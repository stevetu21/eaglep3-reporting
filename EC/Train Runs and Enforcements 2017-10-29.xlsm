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Enforcements!$A$6:$AC$39</definedName>
    <definedName name="_xlnm._FilterDatabase" localSheetId="2" hidden="1">'Missing Trips'!$A$2:$J$26</definedName>
    <definedName name="_xlnm._FilterDatabase" localSheetId="0" hidden="1">'Train Runs'!$A$12:$AG$425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Runs'!$A$12:$J$76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204" i="1" l="1"/>
  <c r="X195" i="1"/>
  <c r="K194" i="1"/>
  <c r="L194" i="1"/>
  <c r="M194" i="1"/>
  <c r="N194" i="1"/>
  <c r="V194" i="1"/>
  <c r="AA194" i="1"/>
  <c r="AB194" i="1"/>
  <c r="AC194" i="1"/>
  <c r="AD194" i="1"/>
  <c r="T194" i="1" s="1"/>
  <c r="AE194" i="1"/>
  <c r="AF194" i="1"/>
  <c r="AH194" i="1"/>
  <c r="AM194" i="1"/>
  <c r="AN194" i="1"/>
  <c r="AO194" i="1"/>
  <c r="K193" i="1"/>
  <c r="L193" i="1"/>
  <c r="M193" i="1"/>
  <c r="N193" i="1"/>
  <c r="V193" i="1"/>
  <c r="AA193" i="1"/>
  <c r="AB193" i="1"/>
  <c r="AC193" i="1"/>
  <c r="AD193" i="1"/>
  <c r="T193" i="1" s="1"/>
  <c r="AE193" i="1"/>
  <c r="R26" i="3" s="1"/>
  <c r="AF193" i="1"/>
  <c r="AH193" i="1"/>
  <c r="AM193" i="1"/>
  <c r="AN193" i="1"/>
  <c r="AO193" i="1"/>
  <c r="X190" i="1"/>
  <c r="X191" i="1"/>
  <c r="K189" i="1"/>
  <c r="L189" i="1"/>
  <c r="M189" i="1"/>
  <c r="N189" i="1" s="1"/>
  <c r="V189" i="1"/>
  <c r="AA189" i="1"/>
  <c r="AB189" i="1"/>
  <c r="AC189" i="1"/>
  <c r="AD189" i="1"/>
  <c r="T189" i="1" s="1"/>
  <c r="AE189" i="1"/>
  <c r="AF189" i="1"/>
  <c r="AH189" i="1"/>
  <c r="AM189" i="1"/>
  <c r="AN189" i="1"/>
  <c r="AO189" i="1"/>
  <c r="X186" i="1"/>
  <c r="X187" i="1"/>
  <c r="K185" i="1"/>
  <c r="L185" i="1"/>
  <c r="M185" i="1"/>
  <c r="N185" i="1"/>
  <c r="V185" i="1"/>
  <c r="AA185" i="1"/>
  <c r="AB185" i="1"/>
  <c r="AC185" i="1"/>
  <c r="AD185" i="1"/>
  <c r="T185" i="1" s="1"/>
  <c r="AE185" i="1"/>
  <c r="AF185" i="1"/>
  <c r="AH185" i="1"/>
  <c r="AM185" i="1"/>
  <c r="AN185" i="1"/>
  <c r="AO185" i="1"/>
  <c r="X182" i="1"/>
  <c r="K181" i="1"/>
  <c r="L181" i="1"/>
  <c r="M181" i="1"/>
  <c r="N181" i="1"/>
  <c r="V181" i="1"/>
  <c r="S25" i="3" s="1"/>
  <c r="AA181" i="1"/>
  <c r="AB181" i="1"/>
  <c r="AC181" i="1"/>
  <c r="AD181" i="1"/>
  <c r="T181" i="1" s="1"/>
  <c r="AE181" i="1"/>
  <c r="R25" i="3" s="1"/>
  <c r="AF181" i="1"/>
  <c r="AH181" i="1"/>
  <c r="AM181" i="1"/>
  <c r="AN181" i="1"/>
  <c r="AO181" i="1"/>
  <c r="X178" i="1"/>
  <c r="K177" i="1"/>
  <c r="L177" i="1"/>
  <c r="M177" i="1"/>
  <c r="N177" i="1"/>
  <c r="V177" i="1"/>
  <c r="S20" i="3" s="1"/>
  <c r="AA177" i="1"/>
  <c r="AB177" i="1"/>
  <c r="AC177" i="1"/>
  <c r="AD177" i="1"/>
  <c r="T177" i="1" s="1"/>
  <c r="AE177" i="1"/>
  <c r="R19" i="3" s="1"/>
  <c r="AF177" i="1"/>
  <c r="AH177" i="1"/>
  <c r="AM177" i="1"/>
  <c r="AN177" i="1"/>
  <c r="AO177" i="1"/>
  <c r="P175" i="1"/>
  <c r="X174" i="1"/>
  <c r="X175" i="1"/>
  <c r="K130" i="1"/>
  <c r="L130" i="1"/>
  <c r="M130" i="1"/>
  <c r="N130" i="1"/>
  <c r="V130" i="1"/>
  <c r="AA130" i="1"/>
  <c r="AB130" i="1"/>
  <c r="AC130" i="1"/>
  <c r="AD130" i="1"/>
  <c r="T130" i="1" s="1"/>
  <c r="AE130" i="1"/>
  <c r="AF130" i="1"/>
  <c r="AH130" i="1"/>
  <c r="AM130" i="1"/>
  <c r="AN130" i="1"/>
  <c r="AO130" i="1"/>
  <c r="K129" i="1"/>
  <c r="L129" i="1"/>
  <c r="M129" i="1"/>
  <c r="N129" i="1" s="1"/>
  <c r="V129" i="1"/>
  <c r="S17" i="3" s="1"/>
  <c r="AA129" i="1"/>
  <c r="AB129" i="1"/>
  <c r="AC129" i="1"/>
  <c r="AD129" i="1"/>
  <c r="T129" i="1" s="1"/>
  <c r="AE129" i="1"/>
  <c r="R17" i="3" s="1"/>
  <c r="AF129" i="1"/>
  <c r="AH129" i="1"/>
  <c r="AM129" i="1"/>
  <c r="AN129" i="1"/>
  <c r="AO129" i="1"/>
  <c r="V43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S14" i="3" s="1"/>
  <c r="Y30" i="1"/>
  <c r="Z30" i="1"/>
  <c r="AB30" i="1"/>
  <c r="AC30" i="1"/>
  <c r="AD30" i="1"/>
  <c r="AE30" i="1"/>
  <c r="R14" i="3" s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S15" i="3" s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X46" i="1" s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X47" i="1" s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/>
  <c r="V52" i="1"/>
  <c r="Y52" i="1"/>
  <c r="Z52" i="1"/>
  <c r="AB52" i="1"/>
  <c r="AC52" i="1"/>
  <c r="AD52" i="1"/>
  <c r="AE52" i="1"/>
  <c r="R11" i="3" s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AO60" i="1"/>
  <c r="K61" i="1"/>
  <c r="L61" i="1"/>
  <c r="M61" i="1"/>
  <c r="N61" i="1" s="1"/>
  <c r="T61" i="1"/>
  <c r="V61" i="1"/>
  <c r="Y61" i="1"/>
  <c r="Z61" i="1"/>
  <c r="AB61" i="1"/>
  <c r="AC61" i="1"/>
  <c r="AD61" i="1"/>
  <c r="X61" i="1" s="1"/>
  <c r="AE61" i="1"/>
  <c r="AF61" i="1"/>
  <c r="AH61" i="1"/>
  <c r="AM61" i="1"/>
  <c r="AN61" i="1"/>
  <c r="AO61" i="1"/>
  <c r="K62" i="1"/>
  <c r="L62" i="1"/>
  <c r="M62" i="1"/>
  <c r="N62" i="1" s="1"/>
  <c r="V62" i="1"/>
  <c r="S8" i="3" s="1"/>
  <c r="Y62" i="1"/>
  <c r="Z62" i="1"/>
  <c r="AB62" i="1"/>
  <c r="AC62" i="1"/>
  <c r="AD62" i="1"/>
  <c r="T62" i="1" s="1"/>
  <c r="AE62" i="1"/>
  <c r="AF62" i="1"/>
  <c r="AH62" i="1"/>
  <c r="AM62" i="1"/>
  <c r="AN62" i="1"/>
  <c r="AO62" i="1"/>
  <c r="K63" i="1"/>
  <c r="L63" i="1"/>
  <c r="M63" i="1"/>
  <c r="N63" i="1" s="1"/>
  <c r="V63" i="1"/>
  <c r="S9" i="3" s="1"/>
  <c r="Y63" i="1"/>
  <c r="Z63" i="1"/>
  <c r="AB63" i="1"/>
  <c r="AC63" i="1"/>
  <c r="AD63" i="1"/>
  <c r="X63" i="1" s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AO64" i="1"/>
  <c r="K65" i="1"/>
  <c r="L65" i="1"/>
  <c r="M65" i="1"/>
  <c r="V65" i="1"/>
  <c r="Y65" i="1"/>
  <c r="Z65" i="1"/>
  <c r="AB65" i="1"/>
  <c r="AC65" i="1"/>
  <c r="AD65" i="1"/>
  <c r="T65" i="1" s="1"/>
  <c r="AE65" i="1"/>
  <c r="R13" i="3" s="1"/>
  <c r="AF65" i="1"/>
  <c r="AH65" i="1"/>
  <c r="AM65" i="1"/>
  <c r="AN65" i="1"/>
  <c r="AO65" i="1"/>
  <c r="K66" i="1"/>
  <c r="L66" i="1"/>
  <c r="M66" i="1"/>
  <c r="P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AO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X78" i="1" s="1"/>
  <c r="AE78" i="1"/>
  <c r="AF78" i="1"/>
  <c r="AH78" i="1"/>
  <c r="AM78" i="1"/>
  <c r="AN78" i="1"/>
  <c r="AO78" i="1"/>
  <c r="K79" i="1"/>
  <c r="L79" i="1"/>
  <c r="M79" i="1"/>
  <c r="N79" i="1" s="1"/>
  <c r="V79" i="1"/>
  <c r="S16" i="3" s="1"/>
  <c r="Y79" i="1"/>
  <c r="Z79" i="1"/>
  <c r="AB79" i="1"/>
  <c r="AC79" i="1"/>
  <c r="AD79" i="1"/>
  <c r="X79" i="1" s="1"/>
  <c r="AE79" i="1"/>
  <c r="AF79" i="1"/>
  <c r="AH79" i="1"/>
  <c r="AM79" i="1"/>
  <c r="AN79" i="1"/>
  <c r="AO79" i="1"/>
  <c r="K80" i="1"/>
  <c r="L80" i="1"/>
  <c r="M80" i="1"/>
  <c r="V80" i="1"/>
  <c r="Y80" i="1"/>
  <c r="Z80" i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AE83" i="1"/>
  <c r="AF83" i="1"/>
  <c r="AH83" i="1"/>
  <c r="AM83" i="1"/>
  <c r="AN83" i="1"/>
  <c r="AO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AO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AO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AO9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91" i="1"/>
  <c r="AM91" i="1"/>
  <c r="AN91" i="1"/>
  <c r="AO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AO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AO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AO94" i="1"/>
  <c r="AH95" i="1"/>
  <c r="AM95" i="1"/>
  <c r="AN95" i="1"/>
  <c r="AO95" i="1"/>
  <c r="K160" i="1"/>
  <c r="M160" i="1"/>
  <c r="N160" i="1" s="1"/>
  <c r="V160" i="1"/>
  <c r="Y160" i="1"/>
  <c r="Z160" i="1"/>
  <c r="AB160" i="1"/>
  <c r="AC160" i="1"/>
  <c r="AD160" i="1"/>
  <c r="X160" i="1" s="1"/>
  <c r="AE160" i="1"/>
  <c r="AF160" i="1"/>
  <c r="AH96" i="1"/>
  <c r="AM96" i="1"/>
  <c r="AN96" i="1"/>
  <c r="AO96" i="1"/>
  <c r="K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7" i="1"/>
  <c r="AM97" i="1"/>
  <c r="AN97" i="1"/>
  <c r="AO97" i="1"/>
  <c r="K162" i="1"/>
  <c r="M162" i="1"/>
  <c r="N162" i="1" s="1"/>
  <c r="V162" i="1"/>
  <c r="Y162" i="1"/>
  <c r="Z162" i="1"/>
  <c r="AB162" i="1"/>
  <c r="AC162" i="1"/>
  <c r="AD162" i="1"/>
  <c r="AE162" i="1"/>
  <c r="AF162" i="1"/>
  <c r="AH98" i="1"/>
  <c r="AM98" i="1"/>
  <c r="AN98" i="1"/>
  <c r="AO98" i="1"/>
  <c r="K163" i="1"/>
  <c r="M163" i="1"/>
  <c r="N163" i="1" s="1"/>
  <c r="V163" i="1"/>
  <c r="Y163" i="1"/>
  <c r="Z163" i="1"/>
  <c r="AB163" i="1"/>
  <c r="AC163" i="1"/>
  <c r="AD163" i="1"/>
  <c r="X163" i="1" s="1"/>
  <c r="AE163" i="1"/>
  <c r="AF163" i="1"/>
  <c r="AH99" i="1"/>
  <c r="AM99" i="1"/>
  <c r="AN99" i="1"/>
  <c r="AO99" i="1"/>
  <c r="K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00" i="1"/>
  <c r="AM100" i="1"/>
  <c r="AN100" i="1"/>
  <c r="AO100" i="1"/>
  <c r="K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1" i="1"/>
  <c r="AM101" i="1"/>
  <c r="AN101" i="1"/>
  <c r="AO101" i="1"/>
  <c r="K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02" i="1"/>
  <c r="AM102" i="1"/>
  <c r="AN102" i="1"/>
  <c r="AO102" i="1"/>
  <c r="K167" i="1"/>
  <c r="M167" i="1"/>
  <c r="N167" i="1" s="1"/>
  <c r="V167" i="1"/>
  <c r="Y167" i="1"/>
  <c r="Z167" i="1"/>
  <c r="AB167" i="1"/>
  <c r="AC167" i="1"/>
  <c r="AD167" i="1"/>
  <c r="T167" i="1" s="1"/>
  <c r="AE167" i="1"/>
  <c r="AF167" i="1"/>
  <c r="AH103" i="1"/>
  <c r="AM103" i="1"/>
  <c r="AN103" i="1"/>
  <c r="AO103" i="1"/>
  <c r="K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04" i="1"/>
  <c r="AM104" i="1"/>
  <c r="AN104" i="1"/>
  <c r="AO104" i="1"/>
  <c r="K169" i="1"/>
  <c r="M169" i="1"/>
  <c r="N169" i="1" s="1"/>
  <c r="V169" i="1"/>
  <c r="Y169" i="1"/>
  <c r="Z169" i="1"/>
  <c r="AB169" i="1"/>
  <c r="AC169" i="1"/>
  <c r="AD169" i="1"/>
  <c r="AE169" i="1"/>
  <c r="AF169" i="1"/>
  <c r="AH105" i="1"/>
  <c r="AM105" i="1"/>
  <c r="AN105" i="1"/>
  <c r="AO105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H106" i="1"/>
  <c r="AM106" i="1"/>
  <c r="AN106" i="1"/>
  <c r="AO106" i="1"/>
  <c r="K170" i="1"/>
  <c r="M170" i="1"/>
  <c r="N170" i="1" s="1"/>
  <c r="V170" i="1"/>
  <c r="Y170" i="1"/>
  <c r="Z170" i="1"/>
  <c r="AB170" i="1"/>
  <c r="AC170" i="1"/>
  <c r="AD170" i="1"/>
  <c r="AE170" i="1"/>
  <c r="AF170" i="1"/>
  <c r="AH107" i="1"/>
  <c r="AM107" i="1"/>
  <c r="AN107" i="1"/>
  <c r="AO107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8" i="1"/>
  <c r="AM108" i="1"/>
  <c r="AN108" i="1"/>
  <c r="AO108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9" i="1"/>
  <c r="AM109" i="1"/>
  <c r="AN109" i="1"/>
  <c r="AO109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10" i="1"/>
  <c r="AM110" i="1"/>
  <c r="AN110" i="1"/>
  <c r="AO110" i="1"/>
  <c r="AH111" i="1"/>
  <c r="AM111" i="1"/>
  <c r="AN111" i="1"/>
  <c r="AO111" i="1"/>
  <c r="K174" i="1"/>
  <c r="L174" i="1"/>
  <c r="M174" i="1"/>
  <c r="N174" i="1" s="1"/>
  <c r="V174" i="1"/>
  <c r="Y174" i="1"/>
  <c r="Z174" i="1"/>
  <c r="AB174" i="1"/>
  <c r="AC174" i="1"/>
  <c r="AD174" i="1"/>
  <c r="T174" i="1" s="1"/>
  <c r="AE174" i="1"/>
  <c r="AF174" i="1"/>
  <c r="AH112" i="1"/>
  <c r="AM112" i="1"/>
  <c r="AN112" i="1"/>
  <c r="AO112" i="1"/>
  <c r="K175" i="1"/>
  <c r="M175" i="1"/>
  <c r="V175" i="1"/>
  <c r="S22" i="3" s="1"/>
  <c r="Y175" i="1"/>
  <c r="Z175" i="1"/>
  <c r="AB175" i="1"/>
  <c r="AC175" i="1"/>
  <c r="AD175" i="1"/>
  <c r="T175" i="1" s="1"/>
  <c r="AE175" i="1"/>
  <c r="R23" i="3" s="1"/>
  <c r="AF175" i="1"/>
  <c r="AH113" i="1"/>
  <c r="AM113" i="1"/>
  <c r="AN113" i="1"/>
  <c r="AO113" i="1"/>
  <c r="K176" i="1"/>
  <c r="M176" i="1"/>
  <c r="N176" i="1" s="1"/>
  <c r="V176" i="1"/>
  <c r="S18" i="3" s="1"/>
  <c r="Y176" i="1"/>
  <c r="Z176" i="1"/>
  <c r="AB176" i="1"/>
  <c r="AC176" i="1"/>
  <c r="AD176" i="1"/>
  <c r="T176" i="1" s="1"/>
  <c r="AE176" i="1"/>
  <c r="R18" i="3" s="1"/>
  <c r="AF176" i="1"/>
  <c r="AH114" i="1"/>
  <c r="AM114" i="1"/>
  <c r="AN114" i="1"/>
  <c r="AO114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5" i="1"/>
  <c r="AM115" i="1"/>
  <c r="AN115" i="1"/>
  <c r="AO115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6" i="1"/>
  <c r="AM116" i="1"/>
  <c r="AN116" i="1"/>
  <c r="AO116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17" i="1"/>
  <c r="AM117" i="1"/>
  <c r="AN117" i="1"/>
  <c r="AO117" i="1"/>
  <c r="K180" i="1"/>
  <c r="L180" i="1"/>
  <c r="M180" i="1"/>
  <c r="N180" i="1" s="1"/>
  <c r="V180" i="1"/>
  <c r="S24" i="3" s="1"/>
  <c r="Y180" i="1"/>
  <c r="Z180" i="1"/>
  <c r="AB180" i="1"/>
  <c r="AC180" i="1"/>
  <c r="AD180" i="1"/>
  <c r="AE180" i="1"/>
  <c r="R24" i="3" s="1"/>
  <c r="AF180" i="1"/>
  <c r="AH118" i="1"/>
  <c r="AM118" i="1"/>
  <c r="AN118" i="1"/>
  <c r="AO118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9" i="1"/>
  <c r="AM119" i="1"/>
  <c r="AN119" i="1"/>
  <c r="AO119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20" i="1"/>
  <c r="AM120" i="1"/>
  <c r="AN120" i="1"/>
  <c r="AO120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1" i="1"/>
  <c r="AM121" i="1"/>
  <c r="AN121" i="1"/>
  <c r="AO121" i="1"/>
  <c r="K186" i="1"/>
  <c r="L186" i="1"/>
  <c r="M186" i="1"/>
  <c r="N186" i="1" s="1"/>
  <c r="V186" i="1"/>
  <c r="Y186" i="1"/>
  <c r="Z186" i="1"/>
  <c r="AB186" i="1"/>
  <c r="AC186" i="1"/>
  <c r="AD186" i="1"/>
  <c r="AE186" i="1"/>
  <c r="AF186" i="1"/>
  <c r="AH122" i="1"/>
  <c r="AM122" i="1"/>
  <c r="AN122" i="1"/>
  <c r="AO122" i="1"/>
  <c r="K187" i="1"/>
  <c r="L187" i="1"/>
  <c r="M187" i="1"/>
  <c r="N187" i="1" s="1"/>
  <c r="V187" i="1"/>
  <c r="Y187" i="1"/>
  <c r="Z187" i="1"/>
  <c r="AB187" i="1"/>
  <c r="AC187" i="1"/>
  <c r="AD187" i="1"/>
  <c r="AE187" i="1"/>
  <c r="AF187" i="1"/>
  <c r="AH123" i="1"/>
  <c r="AM123" i="1"/>
  <c r="AN123" i="1"/>
  <c r="AO123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4" i="1"/>
  <c r="AM124" i="1"/>
  <c r="AN124" i="1"/>
  <c r="AO124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25" i="1"/>
  <c r="AM125" i="1"/>
  <c r="AN125" i="1"/>
  <c r="AO12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6" i="1"/>
  <c r="AM126" i="1"/>
  <c r="AN126" i="1"/>
  <c r="AO126" i="1"/>
  <c r="K191" i="1"/>
  <c r="L191" i="1"/>
  <c r="M191" i="1"/>
  <c r="N191" i="1" s="1"/>
  <c r="V191" i="1"/>
  <c r="Y191" i="1"/>
  <c r="Z191" i="1"/>
  <c r="AB191" i="1"/>
  <c r="AC191" i="1"/>
  <c r="AD191" i="1"/>
  <c r="AE191" i="1"/>
  <c r="AF191" i="1"/>
  <c r="AH127" i="1"/>
  <c r="AM127" i="1"/>
  <c r="AN127" i="1"/>
  <c r="AO127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8" i="1"/>
  <c r="AM128" i="1"/>
  <c r="AN128" i="1"/>
  <c r="AO128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131" i="1"/>
  <c r="AM131" i="1"/>
  <c r="AN131" i="1"/>
  <c r="AO131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132" i="1"/>
  <c r="AM132" i="1"/>
  <c r="AN132" i="1"/>
  <c r="AO132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3" i="1"/>
  <c r="AM133" i="1"/>
  <c r="AN133" i="1"/>
  <c r="AO133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34" i="1"/>
  <c r="AM134" i="1"/>
  <c r="AN134" i="1"/>
  <c r="AO134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5" i="1"/>
  <c r="AM135" i="1"/>
  <c r="AN135" i="1"/>
  <c r="AO135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36" i="1"/>
  <c r="AM136" i="1"/>
  <c r="AN136" i="1"/>
  <c r="AO136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37" i="1"/>
  <c r="AM137" i="1"/>
  <c r="AN137" i="1"/>
  <c r="AO137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38" i="1"/>
  <c r="AM138" i="1"/>
  <c r="AN138" i="1"/>
  <c r="AO138" i="1"/>
  <c r="K211" i="1"/>
  <c r="M211" i="1"/>
  <c r="N211" i="1" s="1"/>
  <c r="V211" i="1"/>
  <c r="Y211" i="1"/>
  <c r="Z211" i="1"/>
  <c r="AB211" i="1"/>
  <c r="AC211" i="1"/>
  <c r="AD211" i="1"/>
  <c r="AE211" i="1"/>
  <c r="AF211" i="1"/>
  <c r="AH139" i="1"/>
  <c r="AM139" i="1"/>
  <c r="AN139" i="1"/>
  <c r="AO139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40" i="1"/>
  <c r="AM140" i="1"/>
  <c r="AN140" i="1"/>
  <c r="AO140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H141" i="1"/>
  <c r="AM141" i="1"/>
  <c r="AN141" i="1"/>
  <c r="AO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2" i="1"/>
  <c r="AM142" i="1"/>
  <c r="AN142" i="1"/>
  <c r="AO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AM143" i="1"/>
  <c r="AN143" i="1"/>
  <c r="AO143" i="1"/>
  <c r="K108" i="1"/>
  <c r="L108" i="1"/>
  <c r="M108" i="1"/>
  <c r="N108" i="1" s="1"/>
  <c r="V108" i="1"/>
  <c r="Y108" i="1"/>
  <c r="Z108" i="1"/>
  <c r="AB108" i="1"/>
  <c r="AC108" i="1"/>
  <c r="AD108" i="1"/>
  <c r="AE108" i="1"/>
  <c r="AF108" i="1"/>
  <c r="AH144" i="1"/>
  <c r="AM144" i="1"/>
  <c r="AN144" i="1"/>
  <c r="AO144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5" i="1"/>
  <c r="AM145" i="1"/>
  <c r="AN145" i="1"/>
  <c r="AO145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6" i="1"/>
  <c r="AM146" i="1"/>
  <c r="AN146" i="1"/>
  <c r="AO146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47" i="1"/>
  <c r="AM147" i="1"/>
  <c r="AN147" i="1"/>
  <c r="AO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8" i="1"/>
  <c r="AM148" i="1"/>
  <c r="AN148" i="1"/>
  <c r="AO148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49" i="1"/>
  <c r="AM149" i="1"/>
  <c r="AN149" i="1"/>
  <c r="AO149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0" i="1"/>
  <c r="AM150" i="1"/>
  <c r="AN150" i="1"/>
  <c r="AO150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1" i="1"/>
  <c r="AM151" i="1"/>
  <c r="AN151" i="1"/>
  <c r="AO151" i="1"/>
  <c r="K116" i="1"/>
  <c r="L116" i="1"/>
  <c r="M116" i="1"/>
  <c r="P116" i="1" s="1"/>
  <c r="V116" i="1"/>
  <c r="Y116" i="1"/>
  <c r="Z116" i="1"/>
  <c r="AB116" i="1"/>
  <c r="AC116" i="1"/>
  <c r="AD116" i="1"/>
  <c r="T116" i="1" s="1"/>
  <c r="AE116" i="1"/>
  <c r="AF116" i="1"/>
  <c r="AH152" i="1"/>
  <c r="AM152" i="1"/>
  <c r="AN152" i="1"/>
  <c r="AO152" i="1"/>
  <c r="K117" i="1"/>
  <c r="L117" i="1"/>
  <c r="M117" i="1"/>
  <c r="N117" i="1" s="1"/>
  <c r="V117" i="1"/>
  <c r="Y117" i="1"/>
  <c r="Z117" i="1"/>
  <c r="AA117" i="1" s="1"/>
  <c r="AB117" i="1"/>
  <c r="AC117" i="1"/>
  <c r="AD117" i="1"/>
  <c r="AE117" i="1"/>
  <c r="AF117" i="1"/>
  <c r="AH153" i="1"/>
  <c r="AM153" i="1"/>
  <c r="AN153" i="1"/>
  <c r="AO153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54" i="1"/>
  <c r="AM154" i="1"/>
  <c r="AN154" i="1"/>
  <c r="AO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AM155" i="1"/>
  <c r="AN155" i="1"/>
  <c r="AO155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56" i="1"/>
  <c r="AM156" i="1"/>
  <c r="AN156" i="1"/>
  <c r="AO156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7" i="1"/>
  <c r="AM157" i="1"/>
  <c r="AN157" i="1"/>
  <c r="AO157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8" i="1"/>
  <c r="AM158" i="1"/>
  <c r="AN158" i="1"/>
  <c r="AO158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9" i="1"/>
  <c r="AM159" i="1"/>
  <c r="AN159" i="1"/>
  <c r="AO159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0" i="1"/>
  <c r="AM160" i="1"/>
  <c r="AN160" i="1"/>
  <c r="AO160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1" i="1"/>
  <c r="AM161" i="1"/>
  <c r="AN161" i="1"/>
  <c r="AO161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2" i="1"/>
  <c r="AM162" i="1"/>
  <c r="AN162" i="1"/>
  <c r="AO162" i="1"/>
  <c r="K128" i="1"/>
  <c r="L128" i="1"/>
  <c r="M128" i="1"/>
  <c r="N128" i="1" s="1"/>
  <c r="V128" i="1"/>
  <c r="Y128" i="1"/>
  <c r="Z128" i="1"/>
  <c r="AB128" i="1"/>
  <c r="AC128" i="1"/>
  <c r="AD128" i="1"/>
  <c r="X128" i="1" s="1"/>
  <c r="AE128" i="1"/>
  <c r="AF128" i="1"/>
  <c r="AH163" i="1"/>
  <c r="AM163" i="1"/>
  <c r="AN163" i="1"/>
  <c r="AO163" i="1"/>
  <c r="K131" i="1"/>
  <c r="L131" i="1"/>
  <c r="M131" i="1"/>
  <c r="N131" i="1" s="1"/>
  <c r="V131" i="1"/>
  <c r="Y131" i="1"/>
  <c r="Z131" i="1"/>
  <c r="AB131" i="1"/>
  <c r="AC131" i="1"/>
  <c r="AD131" i="1"/>
  <c r="AE131" i="1"/>
  <c r="AF131" i="1"/>
  <c r="AH164" i="1"/>
  <c r="AM164" i="1"/>
  <c r="AN164" i="1"/>
  <c r="AO164" i="1"/>
  <c r="K132" i="1"/>
  <c r="L132" i="1"/>
  <c r="M132" i="1"/>
  <c r="N132" i="1" s="1"/>
  <c r="V132" i="1"/>
  <c r="S7" i="3" s="1"/>
  <c r="Y132" i="1"/>
  <c r="Z132" i="1"/>
  <c r="AB132" i="1"/>
  <c r="AC132" i="1"/>
  <c r="AD132" i="1"/>
  <c r="T132" i="1" s="1"/>
  <c r="AE132" i="1"/>
  <c r="AF132" i="1"/>
  <c r="AH165" i="1"/>
  <c r="AM165" i="1"/>
  <c r="AN165" i="1"/>
  <c r="AO165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66" i="1"/>
  <c r="AM166" i="1"/>
  <c r="AN166" i="1"/>
  <c r="AO166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67" i="1"/>
  <c r="AM167" i="1"/>
  <c r="AN167" i="1"/>
  <c r="AO167" i="1"/>
  <c r="K135" i="1"/>
  <c r="L135" i="1"/>
  <c r="M135" i="1"/>
  <c r="N135" i="1" s="1"/>
  <c r="V135" i="1"/>
  <c r="Y135" i="1"/>
  <c r="Z135" i="1"/>
  <c r="AB135" i="1"/>
  <c r="AC135" i="1"/>
  <c r="AD135" i="1"/>
  <c r="AE135" i="1"/>
  <c r="AF135" i="1"/>
  <c r="AH168" i="1"/>
  <c r="AM168" i="1"/>
  <c r="AN168" i="1"/>
  <c r="AO168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69" i="1"/>
  <c r="AM169" i="1"/>
  <c r="AN169" i="1"/>
  <c r="AO169" i="1"/>
  <c r="K137" i="1"/>
  <c r="L137" i="1"/>
  <c r="M137" i="1"/>
  <c r="N137" i="1"/>
  <c r="V137" i="1"/>
  <c r="Y137" i="1"/>
  <c r="Z137" i="1"/>
  <c r="AB137" i="1"/>
  <c r="AC137" i="1"/>
  <c r="AD137" i="1"/>
  <c r="X137" i="1" s="1"/>
  <c r="AE137" i="1"/>
  <c r="AF137" i="1"/>
  <c r="AH170" i="1"/>
  <c r="AM170" i="1"/>
  <c r="AN170" i="1"/>
  <c r="AO170" i="1"/>
  <c r="K138" i="1"/>
  <c r="L138" i="1"/>
  <c r="M138" i="1"/>
  <c r="N138" i="1"/>
  <c r="V138" i="1"/>
  <c r="Y138" i="1"/>
  <c r="Z138" i="1"/>
  <c r="AB138" i="1"/>
  <c r="AC138" i="1"/>
  <c r="AD138" i="1"/>
  <c r="T138" i="1" s="1"/>
  <c r="AE138" i="1"/>
  <c r="AF138" i="1"/>
  <c r="AH171" i="1"/>
  <c r="AM171" i="1"/>
  <c r="AN171" i="1"/>
  <c r="AO171" i="1"/>
  <c r="K139" i="1"/>
  <c r="L139" i="1"/>
  <c r="M139" i="1"/>
  <c r="N139" i="1" s="1"/>
  <c r="V139" i="1"/>
  <c r="Y139" i="1"/>
  <c r="Z139" i="1"/>
  <c r="AB139" i="1"/>
  <c r="AC139" i="1"/>
  <c r="AD139" i="1"/>
  <c r="AE139" i="1"/>
  <c r="AF139" i="1"/>
  <c r="AH172" i="1"/>
  <c r="AM172" i="1"/>
  <c r="AN172" i="1"/>
  <c r="AO172" i="1"/>
  <c r="K140" i="1"/>
  <c r="L140" i="1"/>
  <c r="M140" i="1"/>
  <c r="N140" i="1" s="1"/>
  <c r="V140" i="1"/>
  <c r="S12" i="3" s="1"/>
  <c r="Y140" i="1"/>
  <c r="Z140" i="1"/>
  <c r="AB140" i="1"/>
  <c r="AC140" i="1"/>
  <c r="AD140" i="1"/>
  <c r="T140" i="1" s="1"/>
  <c r="AE140" i="1"/>
  <c r="R12" i="3" s="1"/>
  <c r="AF140" i="1"/>
  <c r="AH173" i="1"/>
  <c r="AM173" i="1"/>
  <c r="AN173" i="1"/>
  <c r="AO173" i="1"/>
  <c r="K141" i="1"/>
  <c r="L141" i="1"/>
  <c r="M141" i="1"/>
  <c r="P141" i="1" s="1"/>
  <c r="V141" i="1"/>
  <c r="Y141" i="1"/>
  <c r="Z141" i="1"/>
  <c r="AA141" i="1" s="1"/>
  <c r="AB141" i="1"/>
  <c r="AC141" i="1"/>
  <c r="AD141" i="1"/>
  <c r="AE141" i="1"/>
  <c r="AF141" i="1"/>
  <c r="K142" i="1"/>
  <c r="L142" i="1"/>
  <c r="M142" i="1"/>
  <c r="V142" i="1"/>
  <c r="Y142" i="1"/>
  <c r="Z142" i="1"/>
  <c r="AB142" i="1"/>
  <c r="AC142" i="1"/>
  <c r="AD142" i="1"/>
  <c r="T142" i="1" s="1"/>
  <c r="AE142" i="1"/>
  <c r="AF142" i="1"/>
  <c r="AH174" i="1"/>
  <c r="AM174" i="1"/>
  <c r="AN174" i="1"/>
  <c r="AO174" i="1"/>
  <c r="K143" i="1"/>
  <c r="L143" i="1"/>
  <c r="M143" i="1"/>
  <c r="N143" i="1" s="1"/>
  <c r="T143" i="1"/>
  <c r="V143" i="1"/>
  <c r="Y143" i="1"/>
  <c r="Z143" i="1"/>
  <c r="AA143" i="1"/>
  <c r="AB143" i="1"/>
  <c r="AC143" i="1"/>
  <c r="AD143" i="1"/>
  <c r="X143" i="1" s="1"/>
  <c r="AE143" i="1"/>
  <c r="AF143" i="1"/>
  <c r="AH175" i="1"/>
  <c r="AM175" i="1"/>
  <c r="AN175" i="1"/>
  <c r="AO175" i="1"/>
  <c r="K144" i="1"/>
  <c r="L144" i="1"/>
  <c r="M144" i="1"/>
  <c r="N144" i="1" s="1"/>
  <c r="V144" i="1"/>
  <c r="Y144" i="1"/>
  <c r="Z144" i="1"/>
  <c r="AA144" i="1" s="1"/>
  <c r="AB144" i="1"/>
  <c r="AC144" i="1"/>
  <c r="AD144" i="1"/>
  <c r="T144" i="1" s="1"/>
  <c r="AE144" i="1"/>
  <c r="AF144" i="1"/>
  <c r="AH176" i="1"/>
  <c r="AM176" i="1"/>
  <c r="AN176" i="1"/>
  <c r="AO176" i="1"/>
  <c r="K145" i="1"/>
  <c r="L145" i="1"/>
  <c r="M145" i="1"/>
  <c r="N145" i="1" s="1"/>
  <c r="V145" i="1"/>
  <c r="Y145" i="1"/>
  <c r="Z145" i="1"/>
  <c r="AB145" i="1"/>
  <c r="AC145" i="1"/>
  <c r="AD145" i="1"/>
  <c r="X145" i="1" s="1"/>
  <c r="AE145" i="1"/>
  <c r="AF145" i="1"/>
  <c r="AH178" i="1"/>
  <c r="AM178" i="1"/>
  <c r="AN178" i="1"/>
  <c r="AO178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79" i="1"/>
  <c r="AM179" i="1"/>
  <c r="AN179" i="1"/>
  <c r="AO179" i="1"/>
  <c r="K147" i="1"/>
  <c r="L147" i="1"/>
  <c r="M147" i="1"/>
  <c r="N147" i="1" s="1"/>
  <c r="V147" i="1"/>
  <c r="Y147" i="1"/>
  <c r="Z147" i="1"/>
  <c r="AB147" i="1"/>
  <c r="AC147" i="1"/>
  <c r="AD147" i="1"/>
  <c r="AE147" i="1"/>
  <c r="AF147" i="1"/>
  <c r="AH180" i="1"/>
  <c r="AM180" i="1"/>
  <c r="AN180" i="1"/>
  <c r="AO180" i="1"/>
  <c r="K148" i="1"/>
  <c r="L148" i="1"/>
  <c r="M148" i="1"/>
  <c r="N148" i="1" s="1"/>
  <c r="V148" i="1"/>
  <c r="Y148" i="1"/>
  <c r="Z148" i="1"/>
  <c r="AA148" i="1" s="1"/>
  <c r="AB148" i="1"/>
  <c r="AC148" i="1"/>
  <c r="AD148" i="1"/>
  <c r="T148" i="1" s="1"/>
  <c r="AE148" i="1"/>
  <c r="AF148" i="1"/>
  <c r="AH182" i="1"/>
  <c r="AM182" i="1"/>
  <c r="AN182" i="1"/>
  <c r="AO182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3" i="1"/>
  <c r="AM183" i="1"/>
  <c r="AN183" i="1"/>
  <c r="AO183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4" i="1"/>
  <c r="AM184" i="1"/>
  <c r="AN184" i="1"/>
  <c r="AO184" i="1"/>
  <c r="K151" i="1"/>
  <c r="L151" i="1"/>
  <c r="M151" i="1"/>
  <c r="N151" i="1" s="1"/>
  <c r="V151" i="1"/>
  <c r="Y151" i="1"/>
  <c r="Z151" i="1"/>
  <c r="AA151" i="1" s="1"/>
  <c r="AB151" i="1"/>
  <c r="AC151" i="1"/>
  <c r="AD151" i="1"/>
  <c r="T151" i="1" s="1"/>
  <c r="AE151" i="1"/>
  <c r="AF151" i="1"/>
  <c r="AH186" i="1"/>
  <c r="AM186" i="1"/>
  <c r="AN186" i="1"/>
  <c r="AO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AM187" i="1"/>
  <c r="AN187" i="1"/>
  <c r="AO187" i="1"/>
  <c r="K153" i="1"/>
  <c r="L153" i="1"/>
  <c r="M153" i="1"/>
  <c r="N153" i="1" s="1"/>
  <c r="V153" i="1"/>
  <c r="Y153" i="1"/>
  <c r="Z153" i="1"/>
  <c r="AB153" i="1"/>
  <c r="AC153" i="1"/>
  <c r="AD153" i="1"/>
  <c r="AE153" i="1"/>
  <c r="AF153" i="1"/>
  <c r="AH188" i="1"/>
  <c r="AM188" i="1"/>
  <c r="AN188" i="1"/>
  <c r="AO188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90" i="1"/>
  <c r="AM190" i="1"/>
  <c r="AN190" i="1"/>
  <c r="AO190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91" i="1"/>
  <c r="AM191" i="1"/>
  <c r="AN191" i="1"/>
  <c r="AO191" i="1"/>
  <c r="K156" i="1"/>
  <c r="L156" i="1"/>
  <c r="M156" i="1"/>
  <c r="N156" i="1" s="1"/>
  <c r="V156" i="1"/>
  <c r="Y156" i="1"/>
  <c r="Z156" i="1"/>
  <c r="AA156" i="1" s="1"/>
  <c r="AB156" i="1"/>
  <c r="AC156" i="1"/>
  <c r="AD156" i="1"/>
  <c r="X156" i="1" s="1"/>
  <c r="AE156" i="1"/>
  <c r="AF156" i="1"/>
  <c r="AH192" i="1"/>
  <c r="AM192" i="1"/>
  <c r="AN192" i="1"/>
  <c r="AO192" i="1"/>
  <c r="K157" i="1"/>
  <c r="L157" i="1"/>
  <c r="M157" i="1"/>
  <c r="N157" i="1" s="1"/>
  <c r="V157" i="1"/>
  <c r="Y157" i="1"/>
  <c r="Z157" i="1"/>
  <c r="AB157" i="1"/>
  <c r="AC157" i="1"/>
  <c r="AD157" i="1"/>
  <c r="AE157" i="1"/>
  <c r="AF157" i="1"/>
  <c r="AH195" i="1"/>
  <c r="AM195" i="1"/>
  <c r="AN195" i="1"/>
  <c r="AO195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96" i="1"/>
  <c r="AM196" i="1"/>
  <c r="AN196" i="1"/>
  <c r="AO196" i="1"/>
  <c r="K159" i="1"/>
  <c r="L159" i="1"/>
  <c r="M159" i="1"/>
  <c r="N159" i="1" s="1"/>
  <c r="V159" i="1"/>
  <c r="Y159" i="1"/>
  <c r="Z159" i="1"/>
  <c r="AB159" i="1"/>
  <c r="AC159" i="1"/>
  <c r="AD159" i="1"/>
  <c r="AE159" i="1"/>
  <c r="AF159" i="1"/>
  <c r="AH197" i="1"/>
  <c r="AM197" i="1"/>
  <c r="AN197" i="1"/>
  <c r="AO197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B197" i="1"/>
  <c r="AC197" i="1"/>
  <c r="AD197" i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V204" i="1"/>
  <c r="Y204" i="1"/>
  <c r="Z204" i="1"/>
  <c r="AB204" i="1"/>
  <c r="AC204" i="1"/>
  <c r="AD204" i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208" i="1"/>
  <c r="AM208" i="1"/>
  <c r="AN208" i="1"/>
  <c r="AO208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209" i="1"/>
  <c r="AM209" i="1"/>
  <c r="AN209" i="1"/>
  <c r="AO209" i="1"/>
  <c r="K208" i="1"/>
  <c r="L208" i="1"/>
  <c r="M208" i="1"/>
  <c r="N208" i="1" s="1"/>
  <c r="V208" i="1"/>
  <c r="Y208" i="1"/>
  <c r="Z208" i="1"/>
  <c r="AB208" i="1"/>
  <c r="AC208" i="1"/>
  <c r="AD208" i="1"/>
  <c r="AE208" i="1"/>
  <c r="AF208" i="1"/>
  <c r="AH210" i="1"/>
  <c r="AM210" i="1"/>
  <c r="AN210" i="1"/>
  <c r="AO210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11" i="1"/>
  <c r="AM211" i="1"/>
  <c r="AN211" i="1"/>
  <c r="AO211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2" i="1"/>
  <c r="AM212" i="1"/>
  <c r="AN212" i="1"/>
  <c r="AO212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213" i="1"/>
  <c r="AM213" i="1"/>
  <c r="AN213" i="1"/>
  <c r="AO213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214" i="1"/>
  <c r="AM214" i="1"/>
  <c r="AN214" i="1"/>
  <c r="AO214" i="1"/>
  <c r="K215" i="1"/>
  <c r="L215" i="1"/>
  <c r="M215" i="1"/>
  <c r="N215" i="1" s="1"/>
  <c r="V215" i="1"/>
  <c r="Y215" i="1"/>
  <c r="Z215" i="1"/>
  <c r="AB215" i="1"/>
  <c r="AC215" i="1"/>
  <c r="AD215" i="1"/>
  <c r="AE215" i="1"/>
  <c r="AF215" i="1"/>
  <c r="AH215" i="1"/>
  <c r="AM215" i="1"/>
  <c r="AN215" i="1"/>
  <c r="AO215" i="1"/>
  <c r="K216" i="1"/>
  <c r="L216" i="1"/>
  <c r="M216" i="1"/>
  <c r="N216" i="1"/>
  <c r="V216" i="1"/>
  <c r="Y216" i="1"/>
  <c r="Z216" i="1"/>
  <c r="AB216" i="1"/>
  <c r="AC216" i="1"/>
  <c r="AD216" i="1"/>
  <c r="T216" i="1" s="1"/>
  <c r="AE216" i="1"/>
  <c r="AF216" i="1"/>
  <c r="AH216" i="1"/>
  <c r="AM216" i="1"/>
  <c r="AN216" i="1"/>
  <c r="AO216" i="1"/>
  <c r="K217" i="1"/>
  <c r="L217" i="1"/>
  <c r="M217" i="1"/>
  <c r="N217" i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AO217" i="1"/>
  <c r="K218" i="1"/>
  <c r="L218" i="1"/>
  <c r="M218" i="1"/>
  <c r="N218" i="1"/>
  <c r="V218" i="1"/>
  <c r="Y218" i="1"/>
  <c r="Z218" i="1"/>
  <c r="AB218" i="1"/>
  <c r="AC218" i="1"/>
  <c r="AD218" i="1"/>
  <c r="T218" i="1" s="1"/>
  <c r="AE218" i="1"/>
  <c r="AF218" i="1"/>
  <c r="AH218" i="1"/>
  <c r="AM218" i="1"/>
  <c r="AN218" i="1"/>
  <c r="AO218" i="1"/>
  <c r="K219" i="1"/>
  <c r="L219" i="1"/>
  <c r="M219" i="1"/>
  <c r="N219" i="1"/>
  <c r="V219" i="1"/>
  <c r="S28" i="3" s="1"/>
  <c r="Y219" i="1"/>
  <c r="Z219" i="1"/>
  <c r="AB219" i="1"/>
  <c r="AC219" i="1"/>
  <c r="AD219" i="1"/>
  <c r="T219" i="1" s="1"/>
  <c r="AE219" i="1"/>
  <c r="R28" i="3" s="1"/>
  <c r="AF219" i="1"/>
  <c r="AH219" i="1"/>
  <c r="AM219" i="1"/>
  <c r="AN219" i="1"/>
  <c r="AO219" i="1"/>
  <c r="K220" i="1"/>
  <c r="L220" i="1"/>
  <c r="M220" i="1"/>
  <c r="N220" i="1"/>
  <c r="V220" i="1"/>
  <c r="Y220" i="1"/>
  <c r="Z220" i="1"/>
  <c r="AB220" i="1"/>
  <c r="AC220" i="1"/>
  <c r="AD220" i="1"/>
  <c r="T220" i="1" s="1"/>
  <c r="AE220" i="1"/>
  <c r="AF220" i="1"/>
  <c r="AH220" i="1"/>
  <c r="AM220" i="1"/>
  <c r="AN220" i="1"/>
  <c r="AO220" i="1"/>
  <c r="K221" i="1"/>
  <c r="L221" i="1"/>
  <c r="M221" i="1"/>
  <c r="N221" i="1"/>
  <c r="V221" i="1"/>
  <c r="Y221" i="1"/>
  <c r="Z221" i="1"/>
  <c r="AB221" i="1"/>
  <c r="AC221" i="1"/>
  <c r="AD221" i="1"/>
  <c r="T221" i="1" s="1"/>
  <c r="AE221" i="1"/>
  <c r="AF221" i="1"/>
  <c r="AH221" i="1"/>
  <c r="AM221" i="1"/>
  <c r="AN221" i="1"/>
  <c r="AO221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22" i="1"/>
  <c r="AM222" i="1"/>
  <c r="AN222" i="1"/>
  <c r="AO222" i="1"/>
  <c r="K223" i="1"/>
  <c r="L223" i="1"/>
  <c r="M223" i="1"/>
  <c r="N223" i="1"/>
  <c r="V223" i="1"/>
  <c r="Y223" i="1"/>
  <c r="Z223" i="1"/>
  <c r="AB223" i="1"/>
  <c r="AC223" i="1"/>
  <c r="AD223" i="1"/>
  <c r="T223" i="1" s="1"/>
  <c r="AE223" i="1"/>
  <c r="AF223" i="1"/>
  <c r="AH223" i="1"/>
  <c r="AM223" i="1"/>
  <c r="AN223" i="1"/>
  <c r="AO223" i="1"/>
  <c r="K224" i="1"/>
  <c r="L224" i="1"/>
  <c r="M224" i="1"/>
  <c r="N224" i="1"/>
  <c r="V224" i="1"/>
  <c r="Y224" i="1"/>
  <c r="Z224" i="1"/>
  <c r="AB224" i="1"/>
  <c r="AC224" i="1"/>
  <c r="AD224" i="1"/>
  <c r="T224" i="1" s="1"/>
  <c r="AE224" i="1"/>
  <c r="AF224" i="1"/>
  <c r="AH224" i="1"/>
  <c r="AM224" i="1"/>
  <c r="AN224" i="1"/>
  <c r="AO224" i="1"/>
  <c r="K225" i="1"/>
  <c r="L225" i="1"/>
  <c r="M225" i="1"/>
  <c r="N225" i="1"/>
  <c r="V225" i="1"/>
  <c r="Y225" i="1"/>
  <c r="Z225" i="1"/>
  <c r="AB225" i="1"/>
  <c r="AC225" i="1"/>
  <c r="AD225" i="1"/>
  <c r="T225" i="1" s="1"/>
  <c r="AE225" i="1"/>
  <c r="AF225" i="1"/>
  <c r="AH225" i="1"/>
  <c r="AM225" i="1"/>
  <c r="AN225" i="1"/>
  <c r="AO225" i="1"/>
  <c r="K226" i="1"/>
  <c r="L226" i="1"/>
  <c r="M226" i="1"/>
  <c r="N226" i="1"/>
  <c r="V226" i="1"/>
  <c r="Y226" i="1"/>
  <c r="Z226" i="1"/>
  <c r="AB226" i="1"/>
  <c r="AC226" i="1"/>
  <c r="AD226" i="1"/>
  <c r="T226" i="1" s="1"/>
  <c r="AE226" i="1"/>
  <c r="AF226" i="1"/>
  <c r="AH226" i="1"/>
  <c r="AM226" i="1"/>
  <c r="AN226" i="1"/>
  <c r="AO226" i="1"/>
  <c r="K227" i="1"/>
  <c r="L227" i="1"/>
  <c r="M227" i="1"/>
  <c r="N227" i="1"/>
  <c r="V227" i="1"/>
  <c r="Y227" i="1"/>
  <c r="Z227" i="1"/>
  <c r="AB227" i="1"/>
  <c r="AC227" i="1"/>
  <c r="AD227" i="1"/>
  <c r="T227" i="1" s="1"/>
  <c r="AE227" i="1"/>
  <c r="AF227" i="1"/>
  <c r="AH227" i="1"/>
  <c r="AM227" i="1"/>
  <c r="AN227" i="1"/>
  <c r="AO227" i="1"/>
  <c r="M10" i="3"/>
  <c r="U10" i="3"/>
  <c r="T10" i="3" s="1"/>
  <c r="V10" i="3"/>
  <c r="X10" i="3"/>
  <c r="M14" i="3"/>
  <c r="U14" i="3"/>
  <c r="AD14" i="3" s="1"/>
  <c r="V14" i="3"/>
  <c r="X14" i="3"/>
  <c r="M15" i="3"/>
  <c r="R15" i="3"/>
  <c r="U15" i="3"/>
  <c r="V15" i="3"/>
  <c r="X15" i="3"/>
  <c r="M11" i="3"/>
  <c r="S11" i="3"/>
  <c r="U11" i="3"/>
  <c r="T11" i="3" s="1"/>
  <c r="V11" i="3"/>
  <c r="X11" i="3"/>
  <c r="M9" i="3"/>
  <c r="R9" i="3"/>
  <c r="U9" i="3"/>
  <c r="T9" i="3" s="1"/>
  <c r="V9" i="3"/>
  <c r="X9" i="3"/>
  <c r="M13" i="3"/>
  <c r="S13" i="3"/>
  <c r="U13" i="3"/>
  <c r="AD13" i="3" s="1"/>
  <c r="V13" i="3"/>
  <c r="X13" i="3"/>
  <c r="M8" i="3"/>
  <c r="R8" i="3"/>
  <c r="U8" i="3"/>
  <c r="T8" i="3" s="1"/>
  <c r="V8" i="3"/>
  <c r="X8" i="3"/>
  <c r="M16" i="3"/>
  <c r="R16" i="3"/>
  <c r="U16" i="3"/>
  <c r="T16" i="3" s="1"/>
  <c r="V16" i="3"/>
  <c r="X16" i="3"/>
  <c r="M22" i="3"/>
  <c r="U22" i="3"/>
  <c r="V22" i="3"/>
  <c r="X22" i="3"/>
  <c r="M23" i="3"/>
  <c r="U23" i="3"/>
  <c r="AD23" i="3" s="1"/>
  <c r="V23" i="3"/>
  <c r="X23" i="3"/>
  <c r="M28" i="3"/>
  <c r="U28" i="3"/>
  <c r="T28" i="3" s="1"/>
  <c r="V28" i="3"/>
  <c r="X28" i="3"/>
  <c r="M18" i="3"/>
  <c r="U18" i="3"/>
  <c r="T18" i="3" s="1"/>
  <c r="V18" i="3"/>
  <c r="X18" i="3"/>
  <c r="M19" i="3"/>
  <c r="U19" i="3"/>
  <c r="AD19" i="3" s="1"/>
  <c r="V19" i="3"/>
  <c r="X19" i="3"/>
  <c r="M20" i="3"/>
  <c r="R20" i="3"/>
  <c r="U20" i="3"/>
  <c r="T20" i="3" s="1"/>
  <c r="V20" i="3"/>
  <c r="X20" i="3"/>
  <c r="M24" i="3"/>
  <c r="U24" i="3"/>
  <c r="T24" i="3" s="1"/>
  <c r="V24" i="3"/>
  <c r="X24" i="3"/>
  <c r="M25" i="3"/>
  <c r="U25" i="3"/>
  <c r="T25" i="3" s="1"/>
  <c r="V25" i="3"/>
  <c r="X25" i="3"/>
  <c r="M17" i="3"/>
  <c r="U17" i="3"/>
  <c r="T17" i="3" s="1"/>
  <c r="V17" i="3"/>
  <c r="X17" i="3"/>
  <c r="M7" i="3"/>
  <c r="R7" i="3"/>
  <c r="U7" i="3"/>
  <c r="AC7" i="3" s="1"/>
  <c r="V7" i="3"/>
  <c r="X7" i="3"/>
  <c r="M12" i="3"/>
  <c r="U12" i="3"/>
  <c r="V12" i="3"/>
  <c r="X12" i="3"/>
  <c r="M21" i="3"/>
  <c r="R21" i="3"/>
  <c r="S21" i="3"/>
  <c r="U21" i="3"/>
  <c r="T21" i="3" s="1"/>
  <c r="V21" i="3"/>
  <c r="X21" i="3"/>
  <c r="M26" i="3"/>
  <c r="S26" i="3"/>
  <c r="U26" i="3"/>
  <c r="AC26" i="3" s="1"/>
  <c r="V26" i="3"/>
  <c r="X26" i="3"/>
  <c r="AG194" i="1"/>
  <c r="AG193" i="1"/>
  <c r="AG189" i="1"/>
  <c r="AG185" i="1"/>
  <c r="AG181" i="1"/>
  <c r="AG177" i="1"/>
  <c r="AG130" i="1"/>
  <c r="AG129" i="1"/>
  <c r="AG14" i="1"/>
  <c r="AG18" i="1"/>
  <c r="AG22" i="1"/>
  <c r="AG26" i="1"/>
  <c r="AG30" i="1"/>
  <c r="AG34" i="1"/>
  <c r="AG38" i="1"/>
  <c r="AG42" i="1"/>
  <c r="AG45" i="1"/>
  <c r="AG48" i="1"/>
  <c r="AG56" i="1"/>
  <c r="AG64" i="1"/>
  <c r="AG69" i="1"/>
  <c r="AG77" i="1"/>
  <c r="AG89" i="1"/>
  <c r="AG161" i="1"/>
  <c r="AG15" i="1"/>
  <c r="AG19" i="1"/>
  <c r="AG23" i="1"/>
  <c r="AG27" i="1"/>
  <c r="AG31" i="1"/>
  <c r="AG35" i="1"/>
  <c r="AG39" i="1"/>
  <c r="AG43" i="1"/>
  <c r="AG49" i="1"/>
  <c r="AG53" i="1"/>
  <c r="AG57" i="1"/>
  <c r="AG68" i="1"/>
  <c r="AG71" i="1"/>
  <c r="AG79" i="1"/>
  <c r="AG87" i="1"/>
  <c r="AG90" i="1"/>
  <c r="AG94" i="1"/>
  <c r="AG162" i="1"/>
  <c r="AG166" i="1"/>
  <c r="AG63" i="1"/>
  <c r="AG74" i="1"/>
  <c r="AG82" i="1"/>
  <c r="AG169" i="1"/>
  <c r="AG172" i="1"/>
  <c r="AG175" i="1"/>
  <c r="AG96" i="1"/>
  <c r="AG184" i="1"/>
  <c r="AG97" i="1"/>
  <c r="AG195" i="1"/>
  <c r="AG101" i="1"/>
  <c r="AG211" i="1"/>
  <c r="AG107" i="1"/>
  <c r="AG111" i="1"/>
  <c r="AG115" i="1"/>
  <c r="AG119" i="1"/>
  <c r="AG123" i="1"/>
  <c r="AG127" i="1"/>
  <c r="AG133" i="1"/>
  <c r="AG137" i="1"/>
  <c r="AG141" i="1"/>
  <c r="AG145" i="1"/>
  <c r="AG149" i="1"/>
  <c r="AG153" i="1"/>
  <c r="AG157" i="1"/>
  <c r="AG197" i="1"/>
  <c r="AG201" i="1"/>
  <c r="AG205" i="1"/>
  <c r="AG209" i="1"/>
  <c r="AG215" i="1"/>
  <c r="AG219" i="1"/>
  <c r="AG223" i="1"/>
  <c r="AG227" i="1"/>
  <c r="AG58" i="1"/>
  <c r="AG167" i="1"/>
  <c r="AG76" i="1"/>
  <c r="AG95" i="1"/>
  <c r="AG176" i="1"/>
  <c r="AG180" i="1"/>
  <c r="AG190" i="1"/>
  <c r="AG102" i="1"/>
  <c r="AG108" i="1"/>
  <c r="AG112" i="1"/>
  <c r="AG120" i="1"/>
  <c r="AG124" i="1"/>
  <c r="AG134" i="1"/>
  <c r="AG142" i="1"/>
  <c r="AG150" i="1"/>
  <c r="AG154" i="1"/>
  <c r="AG198" i="1"/>
  <c r="AG206" i="1"/>
  <c r="AG216" i="1"/>
  <c r="AG220" i="1"/>
  <c r="AG52" i="1"/>
  <c r="AG85" i="1"/>
  <c r="AG93" i="1"/>
  <c r="AG16" i="1"/>
  <c r="AG20" i="1"/>
  <c r="AG24" i="1"/>
  <c r="AG28" i="1"/>
  <c r="AG32" i="1"/>
  <c r="AG36" i="1"/>
  <c r="AG40" i="1"/>
  <c r="AG46" i="1"/>
  <c r="AG50" i="1"/>
  <c r="AG54" i="1"/>
  <c r="AG61" i="1"/>
  <c r="AG73" i="1"/>
  <c r="AG81" i="1"/>
  <c r="AG60" i="1"/>
  <c r="AG91" i="1"/>
  <c r="AG163" i="1"/>
  <c r="AG67" i="1"/>
  <c r="AG84" i="1"/>
  <c r="AG173" i="1"/>
  <c r="AG186" i="1"/>
  <c r="AG98" i="1"/>
  <c r="AG212" i="1"/>
  <c r="AG116" i="1"/>
  <c r="AG128" i="1"/>
  <c r="AG138" i="1"/>
  <c r="AG146" i="1"/>
  <c r="AG158" i="1"/>
  <c r="AG202" i="1"/>
  <c r="AG210" i="1"/>
  <c r="AG224" i="1"/>
  <c r="AG17" i="1"/>
  <c r="AG21" i="1"/>
  <c r="AG25" i="1"/>
  <c r="AG29" i="1"/>
  <c r="AG33" i="1"/>
  <c r="AG37" i="1"/>
  <c r="AG41" i="1"/>
  <c r="AG44" i="1"/>
  <c r="AG47" i="1"/>
  <c r="AG51" i="1"/>
  <c r="AG55" i="1"/>
  <c r="AG62" i="1"/>
  <c r="AG65" i="1"/>
  <c r="AG75" i="1"/>
  <c r="AG83" i="1"/>
  <c r="AG66" i="1"/>
  <c r="AG92" i="1"/>
  <c r="AG160" i="1"/>
  <c r="AG164" i="1"/>
  <c r="AG168" i="1"/>
  <c r="AG70" i="1"/>
  <c r="AG78" i="1"/>
  <c r="AG86" i="1"/>
  <c r="AG170" i="1"/>
  <c r="AG178" i="1"/>
  <c r="AG182" i="1"/>
  <c r="AG187" i="1"/>
  <c r="AG191" i="1"/>
  <c r="AG99" i="1"/>
  <c r="AG103" i="1"/>
  <c r="AG105" i="1"/>
  <c r="AG109" i="1"/>
  <c r="AG113" i="1"/>
  <c r="AG117" i="1"/>
  <c r="AG121" i="1"/>
  <c r="AG125" i="1"/>
  <c r="AG131" i="1"/>
  <c r="AG135" i="1"/>
  <c r="AG139" i="1"/>
  <c r="AG143" i="1"/>
  <c r="AG147" i="1"/>
  <c r="AG151" i="1"/>
  <c r="AG155" i="1"/>
  <c r="AG159" i="1"/>
  <c r="AG199" i="1"/>
  <c r="AG203" i="1"/>
  <c r="AG207" i="1"/>
  <c r="AG213" i="1"/>
  <c r="AG217" i="1"/>
  <c r="AG221" i="1"/>
  <c r="AG225" i="1"/>
  <c r="AG80" i="1"/>
  <c r="AG179" i="1"/>
  <c r="AG100" i="1"/>
  <c r="AG114" i="1"/>
  <c r="AG132" i="1"/>
  <c r="AG148" i="1"/>
  <c r="AG200" i="1"/>
  <c r="AG218" i="1"/>
  <c r="AG171" i="1"/>
  <c r="AG106" i="1"/>
  <c r="AG140" i="1"/>
  <c r="AG208" i="1"/>
  <c r="AG165" i="1"/>
  <c r="AG88" i="1"/>
  <c r="AG183" i="1"/>
  <c r="AG104" i="1"/>
  <c r="AG118" i="1"/>
  <c r="AG136" i="1"/>
  <c r="AG152" i="1"/>
  <c r="AG204" i="1"/>
  <c r="AG222" i="1"/>
  <c r="AG59" i="1"/>
  <c r="AG188" i="1"/>
  <c r="AG122" i="1"/>
  <c r="AG156" i="1"/>
  <c r="AG226" i="1"/>
  <c r="AG72" i="1"/>
  <c r="AG174" i="1"/>
  <c r="AG192" i="1"/>
  <c r="AG110" i="1"/>
  <c r="AG126" i="1"/>
  <c r="AG144" i="1"/>
  <c r="AG196" i="1"/>
  <c r="AG214" i="1"/>
  <c r="W24" i="3"/>
  <c r="W12" i="3"/>
  <c r="W19" i="3"/>
  <c r="W7" i="3"/>
  <c r="W25" i="3"/>
  <c r="W14" i="3"/>
  <c r="W16" i="3"/>
  <c r="W10" i="3"/>
  <c r="W17" i="3"/>
  <c r="W28" i="3"/>
  <c r="W21" i="3"/>
  <c r="W23" i="3"/>
  <c r="W8" i="3"/>
  <c r="W22" i="3"/>
  <c r="W20" i="3"/>
  <c r="W18" i="3"/>
  <c r="W13" i="3"/>
  <c r="W15" i="3"/>
  <c r="W9" i="3"/>
  <c r="W26" i="3"/>
  <c r="W11" i="3"/>
  <c r="U194" i="1" l="1"/>
  <c r="S194" i="1" s="1"/>
  <c r="AI194" i="1"/>
  <c r="W194" i="1"/>
  <c r="X194" i="1"/>
  <c r="AI193" i="1"/>
  <c r="U193" i="1"/>
  <c r="S193" i="1" s="1"/>
  <c r="W193" i="1"/>
  <c r="X193" i="1"/>
  <c r="S19" i="3"/>
  <c r="AI189" i="1"/>
  <c r="U189" i="1"/>
  <c r="S189" i="1" s="1"/>
  <c r="W189" i="1"/>
  <c r="X189" i="1"/>
  <c r="U185" i="1"/>
  <c r="S185" i="1" s="1"/>
  <c r="AI185" i="1"/>
  <c r="W185" i="1"/>
  <c r="X185" i="1"/>
  <c r="AI181" i="1"/>
  <c r="U181" i="1"/>
  <c r="S181" i="1" s="1"/>
  <c r="W181" i="1"/>
  <c r="X181" i="1"/>
  <c r="AI177" i="1"/>
  <c r="U177" i="1"/>
  <c r="S177" i="1" s="1"/>
  <c r="W177" i="1"/>
  <c r="X177" i="1"/>
  <c r="S23" i="3"/>
  <c r="X196" i="1"/>
  <c r="X141" i="1"/>
  <c r="X131" i="1"/>
  <c r="X80" i="1"/>
  <c r="X162" i="1"/>
  <c r="AA138" i="1"/>
  <c r="T128" i="1"/>
  <c r="AA100" i="1"/>
  <c r="AA192" i="1"/>
  <c r="AA188" i="1"/>
  <c r="AA183" i="1"/>
  <c r="AA179" i="1"/>
  <c r="AA174" i="1"/>
  <c r="X161" i="1"/>
  <c r="T156" i="1"/>
  <c r="AA134" i="1"/>
  <c r="AA128" i="1"/>
  <c r="AA171" i="1"/>
  <c r="X170" i="1"/>
  <c r="X206" i="1"/>
  <c r="X197" i="1"/>
  <c r="X123" i="1"/>
  <c r="X81" i="1"/>
  <c r="R22" i="3"/>
  <c r="AA215" i="1"/>
  <c r="AA209" i="1"/>
  <c r="AA205" i="1"/>
  <c r="AA201" i="1"/>
  <c r="AA196" i="1"/>
  <c r="T196" i="1"/>
  <c r="AA137" i="1"/>
  <c r="AA115" i="1"/>
  <c r="AA105" i="1"/>
  <c r="AA163" i="1"/>
  <c r="AA74" i="1"/>
  <c r="T63" i="1"/>
  <c r="AA40" i="1"/>
  <c r="X132" i="1"/>
  <c r="X67" i="1"/>
  <c r="X144" i="1"/>
  <c r="AA32" i="1"/>
  <c r="X66" i="1"/>
  <c r="X202" i="1"/>
  <c r="X126" i="1"/>
  <c r="AA122" i="1"/>
  <c r="AA113" i="1"/>
  <c r="X45" i="1"/>
  <c r="X130" i="1"/>
  <c r="X65" i="1"/>
  <c r="X142" i="1"/>
  <c r="U130" i="1"/>
  <c r="S130" i="1" s="1"/>
  <c r="AI130" i="1"/>
  <c r="W130" i="1"/>
  <c r="AD10" i="3"/>
  <c r="AI129" i="1"/>
  <c r="U129" i="1"/>
  <c r="S129" i="1" s="1"/>
  <c r="W129" i="1"/>
  <c r="X129" i="1"/>
  <c r="AD16" i="3"/>
  <c r="AE10" i="3"/>
  <c r="AD26" i="3"/>
  <c r="AD11" i="3"/>
  <c r="AC10" i="3"/>
  <c r="AA69" i="1"/>
  <c r="X44" i="1"/>
  <c r="AA127" i="1"/>
  <c r="AD15" i="3"/>
  <c r="AA149" i="1"/>
  <c r="AA145" i="1"/>
  <c r="AA133" i="1"/>
  <c r="AA106" i="1"/>
  <c r="AA160" i="1"/>
  <c r="AA92" i="1"/>
  <c r="X91" i="1"/>
  <c r="AA80" i="1"/>
  <c r="AA79" i="1"/>
  <c r="AA76" i="1"/>
  <c r="AA75" i="1"/>
  <c r="AA48" i="1"/>
  <c r="X124" i="1"/>
  <c r="AA46" i="1"/>
  <c r="AA42" i="1"/>
  <c r="AA38" i="1"/>
  <c r="X157" i="1"/>
  <c r="X139" i="1"/>
  <c r="T123" i="1"/>
  <c r="AA110" i="1"/>
  <c r="X108" i="1"/>
  <c r="X169" i="1"/>
  <c r="AA86" i="1"/>
  <c r="AA66" i="1"/>
  <c r="AC19" i="3"/>
  <c r="AC9" i="3"/>
  <c r="X159" i="1"/>
  <c r="X204" i="1"/>
  <c r="AA50" i="1"/>
  <c r="AD28" i="3"/>
  <c r="AC24" i="3"/>
  <c r="AD18" i="3"/>
  <c r="AC8" i="3"/>
  <c r="AA154" i="1"/>
  <c r="X153" i="1"/>
  <c r="X149" i="1"/>
  <c r="AA146" i="1"/>
  <c r="T139" i="1"/>
  <c r="X136" i="1"/>
  <c r="AA131" i="1"/>
  <c r="AA116" i="1"/>
  <c r="X115" i="1"/>
  <c r="AA111" i="1"/>
  <c r="AA212" i="1"/>
  <c r="AA211" i="1"/>
  <c r="X168" i="1"/>
  <c r="AA94" i="1"/>
  <c r="AA90" i="1"/>
  <c r="AA82" i="1"/>
  <c r="AA64" i="1"/>
  <c r="AA62" i="1"/>
  <c r="AA52" i="1"/>
  <c r="AA45" i="1"/>
  <c r="AA36" i="1"/>
  <c r="AA95" i="1"/>
  <c r="AA70" i="1"/>
  <c r="AA147" i="1"/>
  <c r="X112" i="1"/>
  <c r="AE14" i="3"/>
  <c r="X213" i="1"/>
  <c r="X158" i="1"/>
  <c r="X155" i="1"/>
  <c r="X147" i="1"/>
  <c r="X133" i="1"/>
  <c r="AC16" i="3"/>
  <c r="X208" i="1"/>
  <c r="X200" i="1"/>
  <c r="AA67" i="1"/>
  <c r="AA59" i="1"/>
  <c r="AA213" i="1"/>
  <c r="AA207" i="1"/>
  <c r="AA203" i="1"/>
  <c r="AA199" i="1"/>
  <c r="AA158" i="1"/>
  <c r="T147" i="1"/>
  <c r="U147" i="1" s="1"/>
  <c r="S147" i="1" s="1"/>
  <c r="AA142" i="1"/>
  <c r="T131" i="1"/>
  <c r="AA112" i="1"/>
  <c r="AA102" i="1"/>
  <c r="AA98" i="1"/>
  <c r="AA190" i="1"/>
  <c r="AA186" i="1"/>
  <c r="AA180" i="1"/>
  <c r="AA176" i="1"/>
  <c r="AA173" i="1"/>
  <c r="AA167" i="1"/>
  <c r="AA53" i="1"/>
  <c r="AA41" i="1"/>
  <c r="AA39" i="1"/>
  <c r="AA29" i="1"/>
  <c r="AA25" i="1"/>
  <c r="AA21" i="1"/>
  <c r="AA17" i="1"/>
  <c r="AA214" i="1"/>
  <c r="AA208" i="1"/>
  <c r="AA204" i="1"/>
  <c r="AA200" i="1"/>
  <c r="AA157" i="1"/>
  <c r="T157" i="1"/>
  <c r="AA153" i="1"/>
  <c r="AA152" i="1"/>
  <c r="X134" i="1"/>
  <c r="AA132" i="1"/>
  <c r="X120" i="1"/>
  <c r="AA119" i="1"/>
  <c r="AA118" i="1"/>
  <c r="AA114" i="1"/>
  <c r="AA104" i="1"/>
  <c r="AA103" i="1"/>
  <c r="AA99" i="1"/>
  <c r="AA191" i="1"/>
  <c r="AA187" i="1"/>
  <c r="AA182" i="1"/>
  <c r="AA178" i="1"/>
  <c r="AA170" i="1"/>
  <c r="T170" i="1"/>
  <c r="AA169" i="1"/>
  <c r="T169" i="1"/>
  <c r="X94" i="1"/>
  <c r="X93" i="1"/>
  <c r="X92" i="1"/>
  <c r="AA89" i="1"/>
  <c r="AA87" i="1"/>
  <c r="AA84" i="1"/>
  <c r="AA83" i="1"/>
  <c r="AA78" i="1"/>
  <c r="AA60" i="1"/>
  <c r="X56" i="1"/>
  <c r="AA44" i="1"/>
  <c r="AA43" i="1"/>
  <c r="AA30" i="1"/>
  <c r="AA26" i="1"/>
  <c r="AA22" i="1"/>
  <c r="AA18" i="1"/>
  <c r="AA47" i="1"/>
  <c r="AA33" i="1"/>
  <c r="AA31" i="1"/>
  <c r="AA27" i="1"/>
  <c r="AA23" i="1"/>
  <c r="AA19" i="1"/>
  <c r="AA15" i="1"/>
  <c r="X215" i="1"/>
  <c r="AA210" i="1"/>
  <c r="AA206" i="1"/>
  <c r="AA202" i="1"/>
  <c r="AA198" i="1"/>
  <c r="AA159" i="1"/>
  <c r="T159" i="1"/>
  <c r="AA155" i="1"/>
  <c r="X152" i="1"/>
  <c r="AA150" i="1"/>
  <c r="AA140" i="1"/>
  <c r="AA139" i="1"/>
  <c r="AA136" i="1"/>
  <c r="AA135" i="1"/>
  <c r="T133" i="1"/>
  <c r="AA126" i="1"/>
  <c r="AA124" i="1"/>
  <c r="AA123" i="1"/>
  <c r="AA121" i="1"/>
  <c r="AA120" i="1"/>
  <c r="T115" i="1"/>
  <c r="AA109" i="1"/>
  <c r="AA108" i="1"/>
  <c r="AA107" i="1"/>
  <c r="AA101" i="1"/>
  <c r="AA195" i="1"/>
  <c r="AA97" i="1"/>
  <c r="AA184" i="1"/>
  <c r="AA96" i="1"/>
  <c r="AA175" i="1"/>
  <c r="AA172" i="1"/>
  <c r="AA166" i="1"/>
  <c r="AA165" i="1"/>
  <c r="AA164" i="1"/>
  <c r="AA162" i="1"/>
  <c r="AA161" i="1"/>
  <c r="T160" i="1"/>
  <c r="AA93" i="1"/>
  <c r="AA91" i="1"/>
  <c r="X89" i="1"/>
  <c r="AA72" i="1"/>
  <c r="AA71" i="1"/>
  <c r="X60" i="1"/>
  <c r="AA56" i="1"/>
  <c r="AA51" i="1"/>
  <c r="AA49" i="1"/>
  <c r="AA37" i="1"/>
  <c r="AA35" i="1"/>
  <c r="AA34" i="1"/>
  <c r="AA28" i="1"/>
  <c r="AA24" i="1"/>
  <c r="AA20" i="1"/>
  <c r="AA16" i="1"/>
  <c r="AA227" i="1"/>
  <c r="AA226" i="1"/>
  <c r="AA225" i="1"/>
  <c r="AA224" i="1"/>
  <c r="AA223" i="1"/>
  <c r="AA222" i="1"/>
  <c r="AA221" i="1"/>
  <c r="AA220" i="1"/>
  <c r="AA219" i="1"/>
  <c r="AA218" i="1"/>
  <c r="AA217" i="1"/>
  <c r="AA216" i="1"/>
  <c r="X151" i="1"/>
  <c r="X150" i="1"/>
  <c r="T149" i="1"/>
  <c r="U149" i="1" s="1"/>
  <c r="S149" i="1" s="1"/>
  <c r="T141" i="1"/>
  <c r="X135" i="1"/>
  <c r="T135" i="1"/>
  <c r="AA125" i="1"/>
  <c r="T124" i="1"/>
  <c r="X121" i="1"/>
  <c r="T121" i="1"/>
  <c r="X122" i="1"/>
  <c r="X116" i="1"/>
  <c r="T108" i="1"/>
  <c r="X106" i="1"/>
  <c r="T197" i="1"/>
  <c r="U197" i="1" s="1"/>
  <c r="S197" i="1" s="1"/>
  <c r="X148" i="1"/>
  <c r="X140" i="1"/>
  <c r="X125" i="1"/>
  <c r="T125" i="1"/>
  <c r="U125" i="1" s="1"/>
  <c r="S125" i="1" s="1"/>
  <c r="X109" i="1"/>
  <c r="T109" i="1"/>
  <c r="X198" i="1"/>
  <c r="AA197" i="1"/>
  <c r="X154" i="1"/>
  <c r="T153" i="1"/>
  <c r="X146" i="1"/>
  <c r="T145" i="1"/>
  <c r="U145" i="1" s="1"/>
  <c r="S145" i="1" s="1"/>
  <c r="X138" i="1"/>
  <c r="T137" i="1"/>
  <c r="T126" i="1"/>
  <c r="X113" i="1"/>
  <c r="T113" i="1"/>
  <c r="X114" i="1"/>
  <c r="X117" i="1"/>
  <c r="T117" i="1"/>
  <c r="U117" i="1" s="1"/>
  <c r="S117" i="1" s="1"/>
  <c r="X127" i="1"/>
  <c r="X119" i="1"/>
  <c r="X118" i="1"/>
  <c r="X111" i="1"/>
  <c r="X110" i="1"/>
  <c r="X167" i="1"/>
  <c r="T163" i="1"/>
  <c r="AA88" i="1"/>
  <c r="AA81" i="1"/>
  <c r="AA73" i="1"/>
  <c r="AA65" i="1"/>
  <c r="X62" i="1"/>
  <c r="AA61" i="1"/>
  <c r="X57" i="1"/>
  <c r="AA55" i="1"/>
  <c r="AA54" i="1"/>
  <c r="X166" i="1"/>
  <c r="X165" i="1"/>
  <c r="AA14" i="1"/>
  <c r="X164" i="1"/>
  <c r="T162" i="1"/>
  <c r="AA85" i="1"/>
  <c r="AA77" i="1"/>
  <c r="AA68" i="1"/>
  <c r="AA63" i="1"/>
  <c r="AA58" i="1"/>
  <c r="AA57" i="1"/>
  <c r="U227" i="1"/>
  <c r="S227" i="1" s="1"/>
  <c r="AI227" i="1"/>
  <c r="U226" i="1"/>
  <c r="S226" i="1" s="1"/>
  <c r="AI226" i="1"/>
  <c r="U225" i="1"/>
  <c r="S225" i="1" s="1"/>
  <c r="AI225" i="1"/>
  <c r="U224" i="1"/>
  <c r="S224" i="1" s="1"/>
  <c r="AI224" i="1"/>
  <c r="U223" i="1"/>
  <c r="S223" i="1" s="1"/>
  <c r="AI223" i="1"/>
  <c r="U222" i="1"/>
  <c r="S222" i="1" s="1"/>
  <c r="AI222" i="1"/>
  <c r="U221" i="1"/>
  <c r="S221" i="1" s="1"/>
  <c r="AI221" i="1"/>
  <c r="U220" i="1"/>
  <c r="S220" i="1" s="1"/>
  <c r="AI220" i="1"/>
  <c r="U219" i="1"/>
  <c r="S219" i="1" s="1"/>
  <c r="AI219" i="1"/>
  <c r="U218" i="1"/>
  <c r="S218" i="1" s="1"/>
  <c r="AI218" i="1"/>
  <c r="U217" i="1"/>
  <c r="S217" i="1" s="1"/>
  <c r="AI217" i="1"/>
  <c r="U216" i="1"/>
  <c r="S216" i="1" s="1"/>
  <c r="AI216" i="1"/>
  <c r="AI215" i="1"/>
  <c r="U214" i="1"/>
  <c r="S214" i="1" s="1"/>
  <c r="AI214" i="1"/>
  <c r="AI213" i="1"/>
  <c r="U210" i="1"/>
  <c r="S210" i="1" s="1"/>
  <c r="AI212" i="1"/>
  <c r="U209" i="1"/>
  <c r="S209" i="1" s="1"/>
  <c r="AI211" i="1"/>
  <c r="AI210" i="1"/>
  <c r="U207" i="1"/>
  <c r="S207" i="1" s="1"/>
  <c r="AI209" i="1"/>
  <c r="AI208" i="1"/>
  <c r="U205" i="1"/>
  <c r="S205" i="1" s="1"/>
  <c r="AI207" i="1"/>
  <c r="AI206" i="1"/>
  <c r="U203" i="1"/>
  <c r="S203" i="1" s="1"/>
  <c r="AI205" i="1"/>
  <c r="AI204" i="1"/>
  <c r="U201" i="1"/>
  <c r="S201" i="1" s="1"/>
  <c r="AI203" i="1"/>
  <c r="AI202" i="1"/>
  <c r="U199" i="1"/>
  <c r="S199" i="1" s="1"/>
  <c r="AI201" i="1"/>
  <c r="U198" i="1"/>
  <c r="S198" i="1" s="1"/>
  <c r="AI200" i="1"/>
  <c r="AI199" i="1"/>
  <c r="U196" i="1"/>
  <c r="S196" i="1" s="1"/>
  <c r="AI198" i="1"/>
  <c r="U159" i="1"/>
  <c r="S159" i="1" s="1"/>
  <c r="AI197" i="1"/>
  <c r="U158" i="1"/>
  <c r="S158" i="1" s="1"/>
  <c r="AI196" i="1"/>
  <c r="U157" i="1"/>
  <c r="S157" i="1" s="1"/>
  <c r="AI195" i="1"/>
  <c r="U156" i="1"/>
  <c r="S156" i="1" s="1"/>
  <c r="AI192" i="1"/>
  <c r="U155" i="1"/>
  <c r="S155" i="1" s="1"/>
  <c r="AI191" i="1"/>
  <c r="U154" i="1"/>
  <c r="S154" i="1" s="1"/>
  <c r="AI190" i="1"/>
  <c r="U153" i="1"/>
  <c r="S153" i="1" s="1"/>
  <c r="AI188" i="1"/>
  <c r="U152" i="1"/>
  <c r="S152" i="1" s="1"/>
  <c r="AI187" i="1"/>
  <c r="U151" i="1"/>
  <c r="S151" i="1" s="1"/>
  <c r="AI186" i="1"/>
  <c r="W151" i="1"/>
  <c r="U150" i="1"/>
  <c r="S150" i="1" s="1"/>
  <c r="AI184" i="1"/>
  <c r="AI183" i="1"/>
  <c r="U148" i="1"/>
  <c r="S148" i="1" s="1"/>
  <c r="AI182" i="1"/>
  <c r="AI180" i="1"/>
  <c r="W147" i="1"/>
  <c r="U146" i="1"/>
  <c r="S146" i="1" s="1"/>
  <c r="AI179" i="1"/>
  <c r="AI178" i="1"/>
  <c r="U144" i="1"/>
  <c r="S144" i="1" s="1"/>
  <c r="AI176" i="1"/>
  <c r="U143" i="1"/>
  <c r="S143" i="1" s="1"/>
  <c r="AI175" i="1"/>
  <c r="W143" i="1"/>
  <c r="U142" i="1"/>
  <c r="AI174" i="1"/>
  <c r="U141" i="1"/>
  <c r="S141" i="1" s="1"/>
  <c r="U140" i="1"/>
  <c r="S140" i="1" s="1"/>
  <c r="AI173" i="1"/>
  <c r="U139" i="1"/>
  <c r="S139" i="1" s="1"/>
  <c r="AI172" i="1"/>
  <c r="W139" i="1"/>
  <c r="U138" i="1"/>
  <c r="S138" i="1" s="1"/>
  <c r="AI171" i="1"/>
  <c r="U137" i="1"/>
  <c r="S137" i="1" s="1"/>
  <c r="AI170" i="1"/>
  <c r="U136" i="1"/>
  <c r="S136" i="1" s="1"/>
  <c r="AI169" i="1"/>
  <c r="U135" i="1"/>
  <c r="S135" i="1" s="1"/>
  <c r="AI168" i="1"/>
  <c r="W135" i="1"/>
  <c r="U134" i="1"/>
  <c r="S134" i="1" s="1"/>
  <c r="AI167" i="1"/>
  <c r="U133" i="1"/>
  <c r="S133" i="1" s="1"/>
  <c r="AI166" i="1"/>
  <c r="U132" i="1"/>
  <c r="S132" i="1" s="1"/>
  <c r="AI165" i="1"/>
  <c r="U131" i="1"/>
  <c r="S131" i="1" s="1"/>
  <c r="AI164" i="1"/>
  <c r="W131" i="1"/>
  <c r="U128" i="1"/>
  <c r="S128" i="1" s="1"/>
  <c r="AI163" i="1"/>
  <c r="U127" i="1"/>
  <c r="S127" i="1" s="1"/>
  <c r="AI162" i="1"/>
  <c r="U126" i="1"/>
  <c r="S126" i="1" s="1"/>
  <c r="AI161" i="1"/>
  <c r="AI160" i="1"/>
  <c r="U124" i="1"/>
  <c r="S124" i="1" s="1"/>
  <c r="U123" i="1"/>
  <c r="S123" i="1" s="1"/>
  <c r="AI159" i="1"/>
  <c r="U122" i="1"/>
  <c r="S122" i="1" s="1"/>
  <c r="AI158" i="1"/>
  <c r="U121" i="1"/>
  <c r="S121" i="1" s="1"/>
  <c r="AI157" i="1"/>
  <c r="U120" i="1"/>
  <c r="S120" i="1" s="1"/>
  <c r="AI156" i="1"/>
  <c r="U119" i="1"/>
  <c r="S119" i="1" s="1"/>
  <c r="AI155" i="1"/>
  <c r="W119" i="1"/>
  <c r="U118" i="1"/>
  <c r="S118" i="1" s="1"/>
  <c r="AI154" i="1"/>
  <c r="AI153" i="1"/>
  <c r="U116" i="1"/>
  <c r="S116" i="1" s="1"/>
  <c r="AI152" i="1"/>
  <c r="U115" i="1"/>
  <c r="S115" i="1" s="1"/>
  <c r="AI151" i="1"/>
  <c r="W115" i="1"/>
  <c r="U114" i="1"/>
  <c r="S114" i="1" s="1"/>
  <c r="AI150" i="1"/>
  <c r="U113" i="1"/>
  <c r="S113" i="1" s="1"/>
  <c r="AI149" i="1"/>
  <c r="W113" i="1"/>
  <c r="U112" i="1"/>
  <c r="S112" i="1" s="1"/>
  <c r="AI148" i="1"/>
  <c r="U111" i="1"/>
  <c r="S111" i="1" s="1"/>
  <c r="AI147" i="1"/>
  <c r="W111" i="1"/>
  <c r="U110" i="1"/>
  <c r="S110" i="1" s="1"/>
  <c r="AI146" i="1"/>
  <c r="U109" i="1"/>
  <c r="S109" i="1" s="1"/>
  <c r="AI145" i="1"/>
  <c r="W109" i="1"/>
  <c r="U108" i="1"/>
  <c r="S108" i="1" s="1"/>
  <c r="AI144" i="1"/>
  <c r="U107" i="1"/>
  <c r="S107" i="1" s="1"/>
  <c r="AI143" i="1"/>
  <c r="U106" i="1"/>
  <c r="S106" i="1" s="1"/>
  <c r="AI142" i="1"/>
  <c r="U105" i="1"/>
  <c r="S105" i="1" s="1"/>
  <c r="AI141" i="1"/>
  <c r="W212" i="1"/>
  <c r="AI140" i="1"/>
  <c r="W211" i="1"/>
  <c r="AI139" i="1"/>
  <c r="W104" i="1"/>
  <c r="AI138" i="1"/>
  <c r="W103" i="1"/>
  <c r="AI137" i="1"/>
  <c r="W102" i="1"/>
  <c r="AI136" i="1"/>
  <c r="AI135" i="1"/>
  <c r="AI134" i="1"/>
  <c r="AI133" i="1"/>
  <c r="AI132" i="1"/>
  <c r="AI131" i="1"/>
  <c r="AI128" i="1"/>
  <c r="AI127" i="1"/>
  <c r="AI126" i="1"/>
  <c r="AI125" i="1"/>
  <c r="AI124" i="1"/>
  <c r="AI123" i="1"/>
  <c r="AI122" i="1"/>
  <c r="AI121" i="1"/>
  <c r="AI120" i="1"/>
  <c r="AI119" i="1"/>
  <c r="AI118" i="1"/>
  <c r="AI117" i="1"/>
  <c r="AI116" i="1"/>
  <c r="AI115" i="1"/>
  <c r="U176" i="1"/>
  <c r="S176" i="1" s="1"/>
  <c r="AI114" i="1"/>
  <c r="U175" i="1"/>
  <c r="S175" i="1" s="1"/>
  <c r="AI113" i="1"/>
  <c r="U174" i="1"/>
  <c r="S174" i="1" s="1"/>
  <c r="AI112" i="1"/>
  <c r="AI111" i="1"/>
  <c r="U173" i="1"/>
  <c r="S173" i="1" s="1"/>
  <c r="AI110" i="1"/>
  <c r="U172" i="1"/>
  <c r="S172" i="1" s="1"/>
  <c r="AI109" i="1"/>
  <c r="U171" i="1"/>
  <c r="S171" i="1" s="1"/>
  <c r="AI108" i="1"/>
  <c r="U170" i="1"/>
  <c r="S170" i="1" s="1"/>
  <c r="AI107" i="1"/>
  <c r="U95" i="1"/>
  <c r="S95" i="1" s="1"/>
  <c r="AI106" i="1"/>
  <c r="U169" i="1"/>
  <c r="S169" i="1" s="1"/>
  <c r="AI105" i="1"/>
  <c r="AI88" i="1"/>
  <c r="AI86" i="1"/>
  <c r="AI84" i="1"/>
  <c r="AI82" i="1"/>
  <c r="AI80" i="1"/>
  <c r="AI78" i="1"/>
  <c r="AI76" i="1"/>
  <c r="AI74" i="1"/>
  <c r="AI72" i="1"/>
  <c r="AI70" i="1"/>
  <c r="U67" i="1"/>
  <c r="S67" i="1" s="1"/>
  <c r="AI67" i="1"/>
  <c r="AI63" i="1"/>
  <c r="U63" i="1"/>
  <c r="S63" i="1" s="1"/>
  <c r="U59" i="1"/>
  <c r="S59" i="1" s="1"/>
  <c r="AI59" i="1"/>
  <c r="U168" i="1"/>
  <c r="S168" i="1" s="1"/>
  <c r="AI104" i="1"/>
  <c r="U167" i="1"/>
  <c r="S167" i="1" s="1"/>
  <c r="AI103" i="1"/>
  <c r="U166" i="1"/>
  <c r="S166" i="1" s="1"/>
  <c r="AI102" i="1"/>
  <c r="U165" i="1"/>
  <c r="S165" i="1" s="1"/>
  <c r="AI101" i="1"/>
  <c r="U164" i="1"/>
  <c r="S164" i="1" s="1"/>
  <c r="AI100" i="1"/>
  <c r="U163" i="1"/>
  <c r="S163" i="1" s="1"/>
  <c r="AI99" i="1"/>
  <c r="U162" i="1"/>
  <c r="S162" i="1" s="1"/>
  <c r="AI98" i="1"/>
  <c r="U161" i="1"/>
  <c r="S161" i="1" s="1"/>
  <c r="AI97" i="1"/>
  <c r="U160" i="1"/>
  <c r="S160" i="1" s="1"/>
  <c r="AI96" i="1"/>
  <c r="AI95" i="1"/>
  <c r="AI94" i="1"/>
  <c r="U93" i="1"/>
  <c r="S93" i="1" s="1"/>
  <c r="AI93" i="1"/>
  <c r="AI92" i="1"/>
  <c r="AI91" i="1"/>
  <c r="AI90" i="1"/>
  <c r="U90" i="1"/>
  <c r="S90" i="1" s="1"/>
  <c r="AI89" i="1"/>
  <c r="U89" i="1"/>
  <c r="S89" i="1" s="1"/>
  <c r="AI66" i="1"/>
  <c r="W66" i="1"/>
  <c r="U66" i="1"/>
  <c r="S66" i="1" s="1"/>
  <c r="AI60" i="1"/>
  <c r="U60" i="1"/>
  <c r="S60" i="1" s="1"/>
  <c r="AI87" i="1"/>
  <c r="AI85" i="1"/>
  <c r="AI83" i="1"/>
  <c r="AI81" i="1"/>
  <c r="AI79" i="1"/>
  <c r="AI77" i="1"/>
  <c r="AI75" i="1"/>
  <c r="AI73" i="1"/>
  <c r="AI71" i="1"/>
  <c r="U69" i="1"/>
  <c r="S69" i="1" s="1"/>
  <c r="AI69" i="1"/>
  <c r="U65" i="1"/>
  <c r="AI65" i="1"/>
  <c r="U61" i="1"/>
  <c r="S61" i="1" s="1"/>
  <c r="AI61" i="1"/>
  <c r="U68" i="1"/>
  <c r="S68" i="1" s="1"/>
  <c r="AI68" i="1"/>
  <c r="U64" i="1"/>
  <c r="S64" i="1" s="1"/>
  <c r="AI64" i="1"/>
  <c r="U62" i="1"/>
  <c r="S62" i="1" s="1"/>
  <c r="AI62" i="1"/>
  <c r="AI58" i="1"/>
  <c r="U57" i="1"/>
  <c r="S57" i="1" s="1"/>
  <c r="AI57" i="1"/>
  <c r="U56" i="1"/>
  <c r="S56" i="1" s="1"/>
  <c r="AI56" i="1"/>
  <c r="U55" i="1"/>
  <c r="S55" i="1" s="1"/>
  <c r="AI55" i="1"/>
  <c r="U54" i="1"/>
  <c r="S54" i="1" s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W36" i="1"/>
  <c r="AI35" i="1"/>
  <c r="W35" i="1"/>
  <c r="AI34" i="1"/>
  <c r="W34" i="1"/>
  <c r="AI33" i="1"/>
  <c r="W33" i="1"/>
  <c r="AI32" i="1"/>
  <c r="W32" i="1"/>
  <c r="AI31" i="1"/>
  <c r="W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154" i="1"/>
  <c r="W146" i="1"/>
  <c r="W138" i="1"/>
  <c r="W128" i="1"/>
  <c r="W125" i="1"/>
  <c r="W117" i="1"/>
  <c r="W153" i="1"/>
  <c r="W227" i="1"/>
  <c r="W226" i="1"/>
  <c r="W225" i="1"/>
  <c r="W224" i="1"/>
  <c r="W223" i="1"/>
  <c r="W222" i="1"/>
  <c r="W221" i="1"/>
  <c r="W220" i="1"/>
  <c r="W219" i="1"/>
  <c r="W218" i="1"/>
  <c r="W217" i="1"/>
  <c r="W216" i="1"/>
  <c r="W215" i="1"/>
  <c r="W152" i="1"/>
  <c r="W149" i="1"/>
  <c r="W144" i="1"/>
  <c r="W141" i="1"/>
  <c r="W136" i="1"/>
  <c r="W133" i="1"/>
  <c r="W123" i="1"/>
  <c r="W214" i="1"/>
  <c r="W213" i="1"/>
  <c r="W210" i="1"/>
  <c r="W150" i="1"/>
  <c r="W142" i="1"/>
  <c r="W134" i="1"/>
  <c r="W121" i="1"/>
  <c r="W148" i="1"/>
  <c r="W145" i="1"/>
  <c r="W140" i="1"/>
  <c r="W137" i="1"/>
  <c r="W132" i="1"/>
  <c r="W127" i="1"/>
  <c r="X214" i="1"/>
  <c r="X210" i="1"/>
  <c r="W126" i="1"/>
  <c r="W122" i="1"/>
  <c r="W118" i="1"/>
  <c r="W114" i="1"/>
  <c r="W110" i="1"/>
  <c r="T215" i="1"/>
  <c r="U215" i="1" s="1"/>
  <c r="S215" i="1" s="1"/>
  <c r="T213" i="1"/>
  <c r="U213" i="1" s="1"/>
  <c r="S213" i="1" s="1"/>
  <c r="X209" i="1"/>
  <c r="W208" i="1"/>
  <c r="T208" i="1"/>
  <c r="U208" i="1" s="1"/>
  <c r="S208" i="1" s="1"/>
  <c r="X207" i="1"/>
  <c r="W206" i="1"/>
  <c r="T206" i="1"/>
  <c r="U206" i="1" s="1"/>
  <c r="S206" i="1" s="1"/>
  <c r="X205" i="1"/>
  <c r="W204" i="1"/>
  <c r="T204" i="1"/>
  <c r="U204" i="1" s="1"/>
  <c r="S204" i="1" s="1"/>
  <c r="X203" i="1"/>
  <c r="W202" i="1"/>
  <c r="T202" i="1"/>
  <c r="U202" i="1" s="1"/>
  <c r="S202" i="1" s="1"/>
  <c r="X201" i="1"/>
  <c r="W200" i="1"/>
  <c r="T200" i="1"/>
  <c r="U200" i="1" s="1"/>
  <c r="S200" i="1" s="1"/>
  <c r="X199" i="1"/>
  <c r="W198" i="1"/>
  <c r="W196" i="1"/>
  <c r="W158" i="1"/>
  <c r="W156" i="1"/>
  <c r="W107" i="1"/>
  <c r="W105" i="1"/>
  <c r="W124" i="1"/>
  <c r="W120" i="1"/>
  <c r="W116" i="1"/>
  <c r="W112" i="1"/>
  <c r="W108" i="1"/>
  <c r="W106" i="1"/>
  <c r="X227" i="1"/>
  <c r="X226" i="1"/>
  <c r="X225" i="1"/>
  <c r="X224" i="1"/>
  <c r="X223" i="1"/>
  <c r="X222" i="1"/>
  <c r="X221" i="1"/>
  <c r="X220" i="1"/>
  <c r="X219" i="1"/>
  <c r="X218" i="1"/>
  <c r="X217" i="1"/>
  <c r="X216" i="1"/>
  <c r="W209" i="1"/>
  <c r="W207" i="1"/>
  <c r="W205" i="1"/>
  <c r="W203" i="1"/>
  <c r="W201" i="1"/>
  <c r="W199" i="1"/>
  <c r="W197" i="1"/>
  <c r="W159" i="1"/>
  <c r="W157" i="1"/>
  <c r="W155" i="1"/>
  <c r="X107" i="1"/>
  <c r="X105" i="1"/>
  <c r="T212" i="1"/>
  <c r="U212" i="1" s="1"/>
  <c r="S212" i="1" s="1"/>
  <c r="X212" i="1"/>
  <c r="T211" i="1"/>
  <c r="U211" i="1" s="1"/>
  <c r="S211" i="1" s="1"/>
  <c r="X211" i="1"/>
  <c r="T104" i="1"/>
  <c r="U104" i="1" s="1"/>
  <c r="S104" i="1" s="1"/>
  <c r="X104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X100" i="1"/>
  <c r="T99" i="1"/>
  <c r="U99" i="1" s="1"/>
  <c r="S99" i="1" s="1"/>
  <c r="X99" i="1"/>
  <c r="T98" i="1"/>
  <c r="U98" i="1" s="1"/>
  <c r="S98" i="1" s="1"/>
  <c r="X98" i="1"/>
  <c r="T195" i="1"/>
  <c r="U195" i="1" s="1"/>
  <c r="S195" i="1" s="1"/>
  <c r="T192" i="1"/>
  <c r="U192" i="1" s="1"/>
  <c r="S192" i="1" s="1"/>
  <c r="X192" i="1"/>
  <c r="T191" i="1"/>
  <c r="U191" i="1" s="1"/>
  <c r="S191" i="1" s="1"/>
  <c r="T190" i="1"/>
  <c r="U190" i="1" s="1"/>
  <c r="S190" i="1" s="1"/>
  <c r="T97" i="1"/>
  <c r="U97" i="1" s="1"/>
  <c r="S97" i="1" s="1"/>
  <c r="X97" i="1"/>
  <c r="T188" i="1"/>
  <c r="U188" i="1" s="1"/>
  <c r="S188" i="1" s="1"/>
  <c r="X188" i="1"/>
  <c r="T187" i="1"/>
  <c r="U187" i="1" s="1"/>
  <c r="S187" i="1" s="1"/>
  <c r="T186" i="1"/>
  <c r="U186" i="1" s="1"/>
  <c r="S186" i="1" s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T180" i="1"/>
  <c r="U180" i="1" s="1"/>
  <c r="S180" i="1" s="1"/>
  <c r="X180" i="1"/>
  <c r="T96" i="1"/>
  <c r="U96" i="1" s="1"/>
  <c r="S96" i="1" s="1"/>
  <c r="X96" i="1"/>
  <c r="T179" i="1"/>
  <c r="U179" i="1" s="1"/>
  <c r="S179" i="1" s="1"/>
  <c r="X179" i="1"/>
  <c r="T178" i="1"/>
  <c r="U178" i="1" s="1"/>
  <c r="S178" i="1" s="1"/>
  <c r="W166" i="1"/>
  <c r="W161" i="1"/>
  <c r="W94" i="1"/>
  <c r="W88" i="1"/>
  <c r="W95" i="1"/>
  <c r="W169" i="1"/>
  <c r="W167" i="1"/>
  <c r="W164" i="1"/>
  <c r="W93" i="1"/>
  <c r="W165" i="1"/>
  <c r="W162" i="1"/>
  <c r="W101" i="1"/>
  <c r="W100" i="1"/>
  <c r="W99" i="1"/>
  <c r="W98" i="1"/>
  <c r="W195" i="1"/>
  <c r="W192" i="1"/>
  <c r="W191" i="1"/>
  <c r="W190" i="1"/>
  <c r="W97" i="1"/>
  <c r="W188" i="1"/>
  <c r="W187" i="1"/>
  <c r="W186" i="1"/>
  <c r="W184" i="1"/>
  <c r="W183" i="1"/>
  <c r="W182" i="1"/>
  <c r="W180" i="1"/>
  <c r="W96" i="1"/>
  <c r="W179" i="1"/>
  <c r="W178" i="1"/>
  <c r="W176" i="1"/>
  <c r="W175" i="1"/>
  <c r="W174" i="1"/>
  <c r="W173" i="1"/>
  <c r="W172" i="1"/>
  <c r="W171" i="1"/>
  <c r="W170" i="1"/>
  <c r="W168" i="1"/>
  <c r="W163" i="1"/>
  <c r="W160" i="1"/>
  <c r="W92" i="1"/>
  <c r="W84" i="1"/>
  <c r="W81" i="1"/>
  <c r="W76" i="1"/>
  <c r="W73" i="1"/>
  <c r="W65" i="1"/>
  <c r="W61" i="1"/>
  <c r="W60" i="1"/>
  <c r="T94" i="1"/>
  <c r="U94" i="1" s="1"/>
  <c r="S94" i="1" s="1"/>
  <c r="T92" i="1"/>
  <c r="U92" i="1" s="1"/>
  <c r="S92" i="1" s="1"/>
  <c r="W91" i="1"/>
  <c r="T91" i="1"/>
  <c r="U91" i="1" s="1"/>
  <c r="S91" i="1" s="1"/>
  <c r="X90" i="1"/>
  <c r="W89" i="1"/>
  <c r="W86" i="1"/>
  <c r="W83" i="1"/>
  <c r="W78" i="1"/>
  <c r="W75" i="1"/>
  <c r="W67" i="1"/>
  <c r="W85" i="1"/>
  <c r="W80" i="1"/>
  <c r="W77" i="1"/>
  <c r="W72" i="1"/>
  <c r="W70" i="1"/>
  <c r="W68" i="1"/>
  <c r="W63" i="1"/>
  <c r="X176" i="1"/>
  <c r="X173" i="1"/>
  <c r="X172" i="1"/>
  <c r="X171" i="1"/>
  <c r="X95" i="1"/>
  <c r="W90" i="1"/>
  <c r="W87" i="1"/>
  <c r="W82" i="1"/>
  <c r="W79" i="1"/>
  <c r="W74" i="1"/>
  <c r="W71" i="1"/>
  <c r="W69" i="1"/>
  <c r="W64" i="1"/>
  <c r="W62" i="1"/>
  <c r="W59" i="1"/>
  <c r="T58" i="1"/>
  <c r="U58" i="1" s="1"/>
  <c r="S58" i="1" s="1"/>
  <c r="X59" i="1"/>
  <c r="W55" i="1"/>
  <c r="W53" i="1"/>
  <c r="W49" i="1"/>
  <c r="W43" i="1"/>
  <c r="W3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T79" i="1"/>
  <c r="U79" i="1" s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X58" i="1"/>
  <c r="W56" i="1"/>
  <c r="X54" i="1"/>
  <c r="W52" i="1"/>
  <c r="W48" i="1"/>
  <c r="W45" i="1"/>
  <c r="W42" i="1"/>
  <c r="W38" i="1"/>
  <c r="W57" i="1"/>
  <c r="X55" i="1"/>
  <c r="W51" i="1"/>
  <c r="W47" i="1"/>
  <c r="W44" i="1"/>
  <c r="W41" i="1"/>
  <c r="W37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T78" i="1"/>
  <c r="U78" i="1" s="1"/>
  <c r="S78" i="1" s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T70" i="1"/>
  <c r="U70" i="1" s="1"/>
  <c r="S70" i="1" s="1"/>
  <c r="X70" i="1"/>
  <c r="W58" i="1"/>
  <c r="W54" i="1"/>
  <c r="W50" i="1"/>
  <c r="W46" i="1"/>
  <c r="W40" i="1"/>
  <c r="X69" i="1"/>
  <c r="X68" i="1"/>
  <c r="X64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T46" i="1"/>
  <c r="U46" i="1" s="1"/>
  <c r="S46" i="1" s="1"/>
  <c r="T45" i="1"/>
  <c r="U45" i="1" s="1"/>
  <c r="S45" i="1" s="1"/>
  <c r="T44" i="1"/>
  <c r="U44" i="1" s="1"/>
  <c r="S44" i="1" s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S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E26" i="3"/>
  <c r="AC25" i="3"/>
  <c r="AE22" i="3"/>
  <c r="AD17" i="3"/>
  <c r="AD22" i="3"/>
  <c r="AD20" i="3"/>
  <c r="AD9" i="3"/>
  <c r="AC12" i="3"/>
  <c r="T12" i="3"/>
  <c r="AC17" i="3"/>
  <c r="AC18" i="3"/>
  <c r="AE18" i="3"/>
  <c r="AC15" i="3"/>
  <c r="T15" i="3"/>
  <c r="AC21" i="3"/>
  <c r="AC28" i="3"/>
  <c r="AC22" i="3"/>
  <c r="AC11" i="3"/>
  <c r="Y21" i="3"/>
  <c r="Y25" i="3"/>
  <c r="Y18" i="3"/>
  <c r="Y11" i="3"/>
  <c r="Y28" i="3"/>
  <c r="Y7" i="3"/>
  <c r="Y20" i="3"/>
  <c r="Y26" i="3"/>
  <c r="Y17" i="3"/>
  <c r="Y19" i="3"/>
  <c r="Y22" i="3"/>
  <c r="Y9" i="3"/>
  <c r="Y10" i="3"/>
  <c r="Y12" i="3"/>
  <c r="Y8" i="3"/>
  <c r="Y15" i="3"/>
  <c r="Y16" i="3"/>
  <c r="Y24" i="3"/>
  <c r="Y23" i="3"/>
  <c r="Y13" i="3"/>
  <c r="Y14" i="3"/>
  <c r="AE25" i="3"/>
  <c r="T7" i="3"/>
  <c r="AE17" i="3"/>
  <c r="T23" i="3"/>
  <c r="AE28" i="3"/>
  <c r="T26" i="3"/>
  <c r="AD25" i="3"/>
  <c r="AD21" i="3"/>
  <c r="AE20" i="3"/>
  <c r="T19" i="3"/>
  <c r="AE16" i="3"/>
  <c r="T22" i="3"/>
  <c r="AD24" i="3"/>
  <c r="AE23" i="3"/>
  <c r="AC20" i="3"/>
  <c r="AE19" i="3"/>
  <c r="AC23" i="3"/>
  <c r="AE15" i="3"/>
  <c r="AC13" i="3"/>
  <c r="AD12" i="3"/>
  <c r="AE11" i="3"/>
  <c r="AC14" i="3"/>
  <c r="AD8" i="3"/>
  <c r="AE21" i="3"/>
  <c r="AE13" i="3"/>
  <c r="T13" i="3"/>
  <c r="AE9" i="3"/>
  <c r="T14" i="3"/>
  <c r="AE24" i="3"/>
  <c r="AE12" i="3"/>
  <c r="AE8" i="3"/>
  <c r="S27" i="3"/>
  <c r="R27" i="3"/>
  <c r="M27" i="3"/>
  <c r="U27" i="3"/>
  <c r="V27" i="3"/>
  <c r="X27" i="3"/>
  <c r="S79" i="1" l="1"/>
  <c r="AE27" i="3"/>
  <c r="T27" i="3"/>
  <c r="AD27" i="3"/>
  <c r="W27" i="3"/>
  <c r="AC27" i="3" l="1"/>
  <c r="Y27" i="3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D5" i="6" s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D4" i="6" s="1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R10" i="3" s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V13" i="1" l="1"/>
  <c r="S10" i="3" s="1"/>
  <c r="AO13" i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N10" i="3" s="1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L211" i="1" s="1"/>
  <c r="G35" i="4"/>
  <c r="G36" i="4"/>
  <c r="G37" i="4"/>
  <c r="G38" i="4"/>
  <c r="L160" i="1" s="1"/>
  <c r="G39" i="4"/>
  <c r="G40" i="4"/>
  <c r="G41" i="4"/>
  <c r="G42" i="4"/>
  <c r="G43" i="4"/>
  <c r="L161" i="1" s="1"/>
  <c r="G44" i="4"/>
  <c r="G45" i="4"/>
  <c r="G46" i="4"/>
  <c r="G47" i="4"/>
  <c r="G48" i="4"/>
  <c r="L162" i="1" s="1"/>
  <c r="G49" i="4"/>
  <c r="N14" i="3" s="1"/>
  <c r="G50" i="4"/>
  <c r="N15" i="3" s="1"/>
  <c r="G51" i="4"/>
  <c r="G52" i="4"/>
  <c r="G53" i="4"/>
  <c r="L163" i="1" s="1"/>
  <c r="G54" i="4"/>
  <c r="G55" i="4"/>
  <c r="G56" i="4"/>
  <c r="G57" i="4"/>
  <c r="G58" i="4"/>
  <c r="L164" i="1" s="1"/>
  <c r="G59" i="4"/>
  <c r="G60" i="4"/>
  <c r="G61" i="4"/>
  <c r="G62" i="4"/>
  <c r="G63" i="4"/>
  <c r="G64" i="4"/>
  <c r="G65" i="4"/>
  <c r="G66" i="4"/>
  <c r="L165" i="1" s="1"/>
  <c r="G67" i="4"/>
  <c r="G68" i="4"/>
  <c r="G69" i="4"/>
  <c r="G70" i="4"/>
  <c r="L166" i="1" s="1"/>
  <c r="G71" i="4"/>
  <c r="G72" i="4"/>
  <c r="G73" i="4"/>
  <c r="G74" i="4"/>
  <c r="G75" i="4"/>
  <c r="G76" i="4"/>
  <c r="G77" i="4"/>
  <c r="G78" i="4"/>
  <c r="L167" i="1" s="1"/>
  <c r="G79" i="4"/>
  <c r="G80" i="4"/>
  <c r="G81" i="4"/>
  <c r="L168" i="1" s="1"/>
  <c r="G82" i="4"/>
  <c r="N11" i="3" s="1"/>
  <c r="G83" i="4"/>
  <c r="G84" i="4"/>
  <c r="G85" i="4"/>
  <c r="G86" i="4"/>
  <c r="N9" i="3" s="1"/>
  <c r="G87" i="4"/>
  <c r="L169" i="1" s="1"/>
  <c r="G88" i="4"/>
  <c r="G89" i="4"/>
  <c r="G90" i="4"/>
  <c r="N13" i="3" s="1"/>
  <c r="G91" i="4"/>
  <c r="G92" i="4"/>
  <c r="G93" i="4"/>
  <c r="G94" i="4"/>
  <c r="G95" i="4"/>
  <c r="L170" i="1" s="1"/>
  <c r="G96" i="4"/>
  <c r="N8" i="3" s="1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N16" i="3" s="1"/>
  <c r="G116" i="4"/>
  <c r="G117" i="4"/>
  <c r="G118" i="4"/>
  <c r="G119" i="4"/>
  <c r="G120" i="4"/>
  <c r="G121" i="4"/>
  <c r="G122" i="4"/>
  <c r="G123" i="4"/>
  <c r="L175" i="1" s="1"/>
  <c r="G124" i="4"/>
  <c r="G125" i="4"/>
  <c r="G126" i="4"/>
  <c r="G127" i="4"/>
  <c r="G128" i="4"/>
  <c r="G129" i="4"/>
  <c r="G130" i="4"/>
  <c r="N27" i="3" s="1"/>
  <c r="G131" i="4"/>
  <c r="G132" i="4"/>
  <c r="G133" i="4"/>
  <c r="N28" i="3" s="1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N24" i="3" s="1"/>
  <c r="G154" i="4"/>
  <c r="G155" i="4"/>
  <c r="G156" i="4"/>
  <c r="G157" i="4"/>
  <c r="G158" i="4"/>
  <c r="G159" i="4"/>
  <c r="G160" i="4"/>
  <c r="N25" i="3" s="1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N17" i="3" s="1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N7" i="3" s="1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N12" i="3" s="1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8" i="3" l="1"/>
  <c r="L176" i="1"/>
  <c r="N21" i="3"/>
  <c r="N26" i="3"/>
  <c r="N19" i="3"/>
  <c r="N20" i="3"/>
  <c r="N23" i="3"/>
  <c r="N22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<sst xmlns="http://schemas.openxmlformats.org/spreadsheetml/2006/main" count="2741" uniqueCount="1107">
  <si>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</si>
  <si>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</si>
  <si>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</si>
  <si>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</si>
  <si>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</si>
  <si>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</si>
  <si>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</si>
  <si>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</si>
  <si>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</si>
  <si>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</si>
  <si>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</si>
  <si>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</si>
  <si>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</si>
  <si>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</si>
  <si>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</si>
  <si>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</si>
  <si>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</si>
  <si>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</si>
  <si>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</si>
  <si>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</si>
  <si>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</si>
  <si>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</si>
  <si>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</si>
  <si>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</si>
  <si>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</si>
  <si>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</si>
  <si>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</si>
  <si>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</si>
  <si>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</si>
  <si>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</si>
  <si>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</si>
  <si>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</si>
  <si>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</si>
  <si>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</si>
  <si>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</si>
  <si>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</si>
  <si>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</si>
  <si>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</si>
  <si>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</si>
  <si>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</si>
  <si>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</si>
  <si>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</si>
  <si>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</si>
  <si>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</si>
  <si>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</si>
  <si>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</si>
  <si>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</si>
  <si>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</si>
  <si>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</si>
  <si>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</si>
  <si>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</si>
  <si>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</si>
  <si>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</si>
  <si>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</si>
  <si>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</si>
  <si>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</si>
  <si>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</si>
  <si>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</si>
  <si>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</si>
  <si>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</si>
  <si>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</si>
  <si>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</si>
  <si>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</si>
  <si>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</si>
  <si>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</si>
  <si>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</si>
  <si>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</si>
  <si>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</si>
  <si>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</si>
  <si>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</si>
  <si>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</si>
  <si>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</si>
  <si>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</si>
  <si>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</si>
  <si>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</si>
  <si>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</si>
  <si>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</si>
  <si>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</si>
  <si>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</si>
  <si>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</si>
  <si>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</si>
  <si>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</si>
  <si>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</si>
  <si>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</si>
  <si>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</si>
  <si>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</si>
  <si>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</si>
  <si>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</si>
  <si>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</si>
  <si>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</si>
  <si>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</si>
  <si>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</si>
  <si>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</si>
  <si>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</si>
  <si>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</si>
  <si>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</si>
  <si>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</si>
  <si>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</si>
  <si>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</si>
  <si>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</si>
  <si>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</si>
  <si>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</si>
  <si>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</si>
  <si>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</si>
  <si>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</si>
  <si>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</si>
  <si>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</si>
  <si>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</si>
  <si>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</si>
  <si>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</si>
  <si>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</si>
  <si>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</si>
  <si>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</si>
  <si>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</si>
  <si>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</si>
  <si>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</si>
  <si>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</si>
  <si>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</si>
  <si>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</si>
  <si>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</si>
  <si>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</si>
  <si>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</si>
  <si>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</si>
  <si>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</si>
  <si>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</si>
  <si>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</si>
  <si>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</si>
  <si>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</si>
  <si>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</si>
  <si>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</si>
  <si>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</si>
  <si>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</si>
  <si>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</si>
  <si>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</si>
  <si>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</si>
  <si>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</si>
  <si>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</si>
  <si>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</si>
  <si>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</si>
  <si>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</si>
  <si>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</si>
  <si>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</si>
  <si>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</si>
  <si>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</si>
  <si>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</si>
  <si>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</si>
  <si>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</si>
  <si>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</si>
  <si>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</si>
  <si>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</si>
  <si>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</si>
  <si>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</si>
  <si>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</si>
  <si>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</si>
  <si>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</si>
  <si>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</si>
  <si>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</si>
  <si>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</si>
  <si>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</si>
  <si>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</si>
  <si>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</si>
  <si>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</si>
  <si>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</si>
  <si>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</si>
  <si>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</si>
  <si>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</si>
  <si>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</si>
  <si>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</si>
  <si>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</si>
  <si>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</si>
  <si>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</si>
  <si>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</si>
  <si>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</si>
  <si>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</si>
  <si>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</si>
  <si>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</si>
  <si>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</si>
  <si>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</si>
  <si>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</si>
  <si>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</si>
  <si>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</si>
  <si>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</si>
  <si>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</si>
  <si>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</si>
  <si>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</si>
  <si>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</si>
  <si>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</si>
  <si>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</si>
  <si>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</si>
  <si>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</si>
  <si>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</si>
  <si>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</si>
  <si>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</si>
  <si>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</si>
  <si>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</si>
  <si>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</si>
  <si>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</si>
  <si>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</si>
  <si>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</si>
  <si>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</si>
  <si>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</si>
  <si>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</si>
  <si>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</si>
  <si>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</si>
  <si>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</si>
  <si>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</si>
  <si>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</si>
  <si>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</si>
  <si>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</si>
  <si>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</si>
  <si>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</si>
  <si>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</si>
  <si>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</si>
  <si>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</si>
  <si>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</si>
  <si>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</si>
  <si>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</si>
  <si>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</si>
  <si>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</si>
  <si>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</si>
  <si>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</si>
  <si>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</si>
  <si>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</si>
  <si>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</si>
  <si>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</si>
  <si>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</si>
  <si>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</si>
  <si>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</si>
  <si>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</si>
  <si>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</si>
  <si>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</si>
  <si>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</si>
  <si>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</si>
  <si>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</si>
  <si>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</si>
  <si>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</si>
  <si>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</si>
  <si>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</si>
  <si>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</si>
  <si>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</si>
  <si>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</si>
  <si>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</si>
  <si>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</si>
  <si>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</si>
  <si>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</si>
  <si>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</si>
  <si>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</si>
  <si>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</si>
  <si>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</si>
  <si>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</si>
  <si>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</si>
  <si>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</si>
  <si>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</si>
  <si>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</si>
  <si>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</si>
  <si>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</si>
  <si>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</si>
  <si>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</si>
  <si>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</si>
  <si>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</si>
  <si>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</si>
  <si>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</si>
  <si>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</si>
  <si>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</si>
  <si>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</si>
  <si>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</si>
  <si>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</si>
  <si>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</si>
  <si>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</si>
  <si>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</si>
  <si>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</si>
  <si>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</si>
  <si>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</si>
  <si>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</si>
  <si>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</si>
  <si>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</si>
  <si>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</si>
  <si>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</si>
  <si>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</si>
  <si>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</si>
  <si>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</si>
  <si>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</si>
  <si>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</si>
  <si>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</si>
  <si>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</si>
  <si>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</si>
  <si>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</si>
  <si>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</si>
  <si>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</si>
  <si>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</si>
  <si>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</si>
  <si>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</si>
  <si>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</si>
  <si>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</si>
  <si>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</si>
  <si>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</si>
  <si>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</si>
  <si>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</si>
  <si>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</si>
  <si>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</si>
  <si>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</si>
  <si>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</si>
  <si>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</si>
  <si>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</si>
  <si>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</si>
  <si>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</si>
  <si>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</si>
  <si>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</si>
  <si>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</si>
  <si>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</si>
  <si>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</si>
  <si>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</si>
  <si>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</si>
  <si>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</si>
  <si>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</si>
  <si>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</si>
  <si>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</si>
  <si>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</si>
  <si>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</si>
  <si>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</si>
  <si>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</si>
  <si>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</si>
  <si>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</si>
  <si>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</si>
  <si>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</si>
  <si>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</si>
  <si>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</si>
  <si>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</si>
  <si>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</si>
  <si>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</si>
  <si>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</si>
  <si>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</si>
  <si>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</si>
  <si>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</si>
  <si>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204:150</t>
  </si>
  <si>
    <t>204:143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</si>
  <si>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</si>
  <si>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</si>
  <si>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</si>
  <si>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</si>
  <si>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</si>
  <si>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</si>
  <si>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</si>
  <si>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</si>
  <si>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</si>
  <si>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</si>
  <si>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</si>
  <si>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</si>
  <si>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</si>
  <si>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</si>
  <si>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Early Arrival</t>
  </si>
  <si>
    <t>LOZA</t>
  </si>
  <si>
    <t>FIDEL</t>
  </si>
  <si>
    <t>JAMES</t>
  </si>
  <si>
    <t>204:158</t>
  </si>
  <si>
    <t>DUNCAN</t>
  </si>
  <si>
    <t>SHEILA</t>
  </si>
  <si>
    <t>204:139</t>
  </si>
  <si>
    <t>204:471</t>
  </si>
  <si>
    <t>STAMBAUGH</t>
  </si>
  <si>
    <t>204:154</t>
  </si>
  <si>
    <t>204:447</t>
  </si>
  <si>
    <t>YORK</t>
  </si>
  <si>
    <t>EDGAR</t>
  </si>
  <si>
    <t>Y</t>
  </si>
  <si>
    <t>Sat - Sun = 36 Trips</t>
  </si>
  <si>
    <t>"Summary View"</t>
  </si>
  <si>
    <t>ANDERS</t>
  </si>
  <si>
    <t>STEVEN</t>
  </si>
  <si>
    <t>204:473</t>
  </si>
  <si>
    <t>rtdc.l.rtdc.4055:itc</t>
  </si>
  <si>
    <t>MICHAEL</t>
  </si>
  <si>
    <t>clear-night</t>
  </si>
  <si>
    <t>Clear</t>
  </si>
  <si>
    <t>rtdc.l.rtdc.4066:itc</t>
  </si>
  <si>
    <t>rtdc.l.rtdc.4065:itc</t>
  </si>
  <si>
    <t>MCREYNOLDS</t>
  </si>
  <si>
    <t>KYLE</t>
  </si>
  <si>
    <t>%REDMINEAPIKEY%</t>
  </si>
  <si>
    <t>204:464</t>
  </si>
  <si>
    <t>STEWART</t>
  </si>
  <si>
    <t>clear-day</t>
  </si>
  <si>
    <t>300:23346</t>
  </si>
  <si>
    <t>SIGNAL</t>
  </si>
  <si>
    <t>Signal based authority (5)</t>
  </si>
  <si>
    <t>Wi-MAX data drop</t>
  </si>
  <si>
    <t>rtdc.l.rtdc.4008:itc</t>
  </si>
  <si>
    <t>204:233297</t>
  </si>
  <si>
    <t>rtdc.l.rtdc.4060:itc</t>
  </si>
  <si>
    <t>rtdc.l.rtdc.4059:itc</t>
  </si>
  <si>
    <t>rtdc.l.rtdc.4009:itc</t>
  </si>
  <si>
    <t>rtdc.l.rtdc.4010:itc</t>
  </si>
  <si>
    <t>LEVERE</t>
  </si>
  <si>
    <t>CRAIG</t>
  </si>
  <si>
    <t>LEVIN</t>
  </si>
  <si>
    <t>SCOTT</t>
  </si>
  <si>
    <t>BIRKHOLZ</t>
  </si>
  <si>
    <t>NADINE</t>
  </si>
  <si>
    <t>rtdc.l.rtdc.4018:itc</t>
  </si>
  <si>
    <t>rtdc.l.rtdc.4005:itc</t>
  </si>
  <si>
    <t>rtdc.l.rtdc.4007:itc</t>
  </si>
  <si>
    <t>Track device (7)</t>
  </si>
  <si>
    <t>rtdc.l.rtdc.4017:itc</t>
  </si>
  <si>
    <t>SWITCH UNKNOWN</t>
  </si>
  <si>
    <t>rtdc.l.rtdc.4043:itc</t>
  </si>
  <si>
    <t>rtdc.l.rtdc.4044:itc</t>
  </si>
  <si>
    <t>DAVIS</t>
  </si>
  <si>
    <t>rtdc.l.rtdc.4006:itc</t>
  </si>
  <si>
    <t>BERLING</t>
  </si>
  <si>
    <t>GARY</t>
  </si>
  <si>
    <t>HOLCOMB</t>
  </si>
  <si>
    <t>KAMDEN</t>
  </si>
  <si>
    <t>ZEWDU</t>
  </si>
  <si>
    <t>DEREJE</t>
  </si>
  <si>
    <t>204:466</t>
  </si>
  <si>
    <t>204:484</t>
  </si>
  <si>
    <t>rtdc.l.rtdc.4058:itc</t>
  </si>
  <si>
    <t>rtdc.l.rtdc.4024:itc</t>
  </si>
  <si>
    <t>rtdc.l.rtdc.4023:itc</t>
  </si>
  <si>
    <t>rtdc.l.rtdc.4057:itc</t>
  </si>
  <si>
    <t>216-19</t>
  </si>
  <si>
    <t>226-19</t>
  </si>
  <si>
    <t>rtdc.l.rtdc.4016:itc</t>
  </si>
  <si>
    <t>rtdc.l.rtdc.4014:itc</t>
  </si>
  <si>
    <t>DAVID</t>
  </si>
  <si>
    <t>75-19</t>
  </si>
  <si>
    <t>NICHOLSON</t>
  </si>
  <si>
    <t>WESLEY</t>
  </si>
  <si>
    <t>ELBAUM</t>
  </si>
  <si>
    <t>MIKE</t>
  </si>
  <si>
    <t>839-19</t>
  </si>
  <si>
    <t>214-19</t>
  </si>
  <si>
    <t>301-19</t>
  </si>
  <si>
    <t>218-19</t>
  </si>
  <si>
    <t>221-19</t>
  </si>
  <si>
    <t>SANTIZO</t>
  </si>
  <si>
    <t>D. EDY</t>
  </si>
  <si>
    <t>906-19</t>
  </si>
  <si>
    <t>840-19</t>
  </si>
  <si>
    <t>DAVIDSON</t>
  </si>
  <si>
    <t>841-19</t>
  </si>
  <si>
    <t>303-19</t>
  </si>
  <si>
    <t>220-19</t>
  </si>
  <si>
    <t>223-19</t>
  </si>
  <si>
    <t>222-19</t>
  </si>
  <si>
    <t>305-19</t>
  </si>
  <si>
    <t>225-19</t>
  </si>
  <si>
    <t>843-19</t>
  </si>
  <si>
    <t>224-19</t>
  </si>
  <si>
    <t>227-19</t>
  </si>
  <si>
    <t>842-19</t>
  </si>
  <si>
    <t>229-19</t>
  </si>
  <si>
    <t>845-19</t>
  </si>
  <si>
    <t>LOPES</t>
  </si>
  <si>
    <t>KIMBERLY</t>
  </si>
  <si>
    <t>231-19</t>
  </si>
  <si>
    <t>228-19</t>
  </si>
  <si>
    <t>844-19</t>
  </si>
  <si>
    <t>233-19</t>
  </si>
  <si>
    <t>230-19</t>
  </si>
  <si>
    <t>847-19</t>
  </si>
  <si>
    <t>232-19</t>
  </si>
  <si>
    <t>235-19</t>
  </si>
  <si>
    <t>846-19</t>
  </si>
  <si>
    <t>234-19</t>
  </si>
  <si>
    <t>237-19</t>
  </si>
  <si>
    <t>849-19</t>
  </si>
  <si>
    <t>236-19</t>
  </si>
  <si>
    <t>908-19</t>
  </si>
  <si>
    <t>239-19</t>
  </si>
  <si>
    <t>241-19</t>
  </si>
  <si>
    <t>238-19</t>
  </si>
  <si>
    <t>243-19</t>
  </si>
  <si>
    <t>240-19</t>
  </si>
  <si>
    <t>313-19</t>
  </si>
  <si>
    <t>242-19</t>
  </si>
  <si>
    <t>307-19</t>
  </si>
  <si>
    <t>244-19</t>
  </si>
  <si>
    <t>309-19</t>
  </si>
  <si>
    <t>311-19</t>
  </si>
  <si>
    <t>300-20</t>
  </si>
  <si>
    <t>204:449</t>
  </si>
  <si>
    <t>204:435</t>
  </si>
  <si>
    <t>rtdc.l.rtdc.4025:itc</t>
  </si>
  <si>
    <t>rtdc.l.rtdc.4050:itc</t>
  </si>
  <si>
    <t>rtdc.l.rtdc.4026:itc</t>
  </si>
  <si>
    <t>rtdc.l.rtdc.4049:itc</t>
  </si>
  <si>
    <t>rtdc.l.rtdc.4046:itc</t>
  </si>
  <si>
    <t>204:232979</t>
  </si>
  <si>
    <t>204:233268</t>
  </si>
  <si>
    <t>204:160</t>
  </si>
  <si>
    <t>204:232977</t>
  </si>
  <si>
    <t>204:233298</t>
  </si>
  <si>
    <t>300:58630</t>
  </si>
  <si>
    <t>rtdc.l.rtdc.4036:itc</t>
  </si>
  <si>
    <t>STRICKLAND</t>
  </si>
  <si>
    <t>EVAN</t>
  </si>
  <si>
    <t>rtdc.l.rtdc.4035:itc</t>
  </si>
  <si>
    <t>FORTUNATO</t>
  </si>
  <si>
    <t>FRANK</t>
  </si>
  <si>
    <t>204:233288</t>
  </si>
  <si>
    <t>204:232973</t>
  </si>
  <si>
    <t>204:232982</t>
  </si>
  <si>
    <t>204:232879</t>
  </si>
  <si>
    <t>204:546</t>
  </si>
  <si>
    <t>rtdc.l.rtdc.4029:itc</t>
  </si>
  <si>
    <t>rtdc.l.rtdc.4045:itc</t>
  </si>
  <si>
    <t>rtdc.l.rtdc.4030:itc</t>
  </si>
  <si>
    <t>rtdc.l.rtdc.4051:itc</t>
  </si>
  <si>
    <t>313-25</t>
  </si>
  <si>
    <t>GEBRETEKLE</t>
  </si>
  <si>
    <t>DAGNEW</t>
  </si>
  <si>
    <t>239-25</t>
  </si>
  <si>
    <t>236-25</t>
  </si>
  <si>
    <t>908-25</t>
  </si>
  <si>
    <t>238-25</t>
  </si>
  <si>
    <t>241-25</t>
  </si>
  <si>
    <t>240-25</t>
  </si>
  <si>
    <t>243-25</t>
  </si>
  <si>
    <t>242-25</t>
  </si>
  <si>
    <t>244-25</t>
  </si>
  <si>
    <t>307-25</t>
  </si>
  <si>
    <t>309-25</t>
  </si>
  <si>
    <t>311-25</t>
  </si>
  <si>
    <t>300-26</t>
  </si>
  <si>
    <t>precipType</t>
  </si>
  <si>
    <t>rain</t>
  </si>
  <si>
    <t>204:232859</t>
  </si>
  <si>
    <t>204:232938</t>
  </si>
  <si>
    <t>204:232932</t>
  </si>
  <si>
    <t>204:519</t>
  </si>
  <si>
    <t>204:232881</t>
  </si>
  <si>
    <t>204:232945</t>
  </si>
  <si>
    <t>300:23304</t>
  </si>
  <si>
    <t>rtdc.l.rtdc.4041:itc</t>
  </si>
  <si>
    <t>rtdc.l.rtdc.4015:itc</t>
  </si>
  <si>
    <t>rtdc.l.rtdc.4042:itc</t>
  </si>
  <si>
    <t>242-26</t>
  </si>
  <si>
    <t>MAELZER</t>
  </si>
  <si>
    <t>KURT</t>
  </si>
  <si>
    <t>WILLIAMS</t>
  </si>
  <si>
    <t>DONTE</t>
  </si>
  <si>
    <t>CASSIDY</t>
  </si>
  <si>
    <t>BRANDON</t>
  </si>
  <si>
    <t>BADERTSCHER</t>
  </si>
  <si>
    <t>DIANE</t>
  </si>
  <si>
    <t>KILLION</t>
  </si>
  <si>
    <t>238-26</t>
  </si>
  <si>
    <t>240-26</t>
  </si>
  <si>
    <t>313-26</t>
  </si>
  <si>
    <t>307-26</t>
  </si>
  <si>
    <t>244-26</t>
  </si>
  <si>
    <t>309-26</t>
  </si>
  <si>
    <t>311-26</t>
  </si>
  <si>
    <t>precipAccumulation</t>
  </si>
  <si>
    <t>Mostly Cloudy</t>
  </si>
  <si>
    <t>fog</t>
  </si>
  <si>
    <t>Foggy</t>
  </si>
  <si>
    <t>snow</t>
  </si>
  <si>
    <t>partly-cloudy-night</t>
  </si>
  <si>
    <t>cloudy</t>
  </si>
  <si>
    <t>Overcast</t>
  </si>
  <si>
    <t>Partly Cloudy</t>
  </si>
  <si>
    <t>204:156</t>
  </si>
  <si>
    <t>204:233264</t>
  </si>
  <si>
    <t>204:232946</t>
  </si>
  <si>
    <t>204:469</t>
  </si>
  <si>
    <t>204:218</t>
  </si>
  <si>
    <t>204:232948</t>
  </si>
  <si>
    <t>204:232978</t>
  </si>
  <si>
    <t>204:233280</t>
  </si>
  <si>
    <t>204:161</t>
  </si>
  <si>
    <t>204:232957</t>
  </si>
  <si>
    <t>204:509</t>
  </si>
  <si>
    <t>204:233249</t>
  </si>
  <si>
    <t>204:233295</t>
  </si>
  <si>
    <t>204:457</t>
  </si>
  <si>
    <t>204:451</t>
  </si>
  <si>
    <t>204:233172</t>
  </si>
  <si>
    <t>204:233186</t>
  </si>
  <si>
    <t>204:232953</t>
  </si>
  <si>
    <t>204:233198</t>
  </si>
  <si>
    <t>204:232894</t>
  </si>
  <si>
    <t>204:1481</t>
  </si>
  <si>
    <t>204:233215</t>
  </si>
  <si>
    <t>204:233192</t>
  </si>
  <si>
    <t>204:311</t>
  </si>
  <si>
    <t>204:650</t>
  </si>
  <si>
    <t>204:233223</t>
  </si>
  <si>
    <t>204:232904</t>
  </si>
  <si>
    <t>204:200</t>
  </si>
  <si>
    <t>204:233300</t>
  </si>
  <si>
    <t>204:232985</t>
  </si>
  <si>
    <t>204:491</t>
  </si>
  <si>
    <t>204:233311</t>
  </si>
  <si>
    <t>204:262</t>
  </si>
  <si>
    <t>204:185</t>
  </si>
  <si>
    <t>204:198</t>
  </si>
  <si>
    <t>204:506</t>
  </si>
  <si>
    <t>204:220</t>
  </si>
  <si>
    <t>204:234</t>
  </si>
  <si>
    <t>204:232892</t>
  </si>
  <si>
    <t>204:273</t>
  </si>
  <si>
    <t>204:205</t>
  </si>
  <si>
    <t>204:520</t>
  </si>
  <si>
    <t>204:232883</t>
  </si>
  <si>
    <t>204:227</t>
  </si>
  <si>
    <t>204:232923</t>
  </si>
  <si>
    <t>204:511</t>
  </si>
  <si>
    <t>204:251</t>
  </si>
  <si>
    <t>204:551</t>
  </si>
  <si>
    <t>204:254</t>
  </si>
  <si>
    <t>204:233238</t>
  </si>
  <si>
    <t>204:232927</t>
  </si>
  <si>
    <t>204:232909</t>
  </si>
  <si>
    <t>204:515</t>
  </si>
  <si>
    <t>204:540</t>
  </si>
  <si>
    <t>204:535</t>
  </si>
  <si>
    <t>300:23310</t>
  </si>
  <si>
    <t>204:172</t>
  </si>
  <si>
    <t>204:568</t>
  </si>
  <si>
    <t>204:1158</t>
  </si>
  <si>
    <t>300:58615</t>
  </si>
  <si>
    <t>204:820</t>
  </si>
  <si>
    <t>300:58658</t>
  </si>
  <si>
    <t>204:668</t>
  </si>
  <si>
    <t>300:58619</t>
  </si>
  <si>
    <t>300:58626</t>
  </si>
  <si>
    <t>300:58933</t>
  </si>
  <si>
    <t>300-29</t>
  </si>
  <si>
    <t>101-29</t>
  </si>
  <si>
    <t>118-29</t>
  </si>
  <si>
    <t>120-29</t>
  </si>
  <si>
    <t>140-29</t>
  </si>
  <si>
    <t>151-29</t>
  </si>
  <si>
    <t>rtdc.l.rtdc.4062:itc</t>
  </si>
  <si>
    <t>153-29</t>
  </si>
  <si>
    <t>150-29</t>
  </si>
  <si>
    <t>166-29</t>
  </si>
  <si>
    <t>1815-29</t>
  </si>
  <si>
    <t>56-29</t>
  </si>
  <si>
    <t>1816-29</t>
  </si>
  <si>
    <t>1817-29</t>
  </si>
  <si>
    <t>1820-29</t>
  </si>
  <si>
    <t>1821-29</t>
  </si>
  <si>
    <t>rtdc.l.rtdc.4056:itc</t>
  </si>
  <si>
    <t>215-29</t>
  </si>
  <si>
    <t>218-29</t>
  </si>
  <si>
    <t>226-29</t>
  </si>
  <si>
    <t>1833-29</t>
  </si>
  <si>
    <t>245-28</t>
  </si>
  <si>
    <t>RESPASS</t>
  </si>
  <si>
    <t>AARON</t>
  </si>
  <si>
    <t>307-28</t>
  </si>
  <si>
    <t>rtdc.l.rtdc.4003:itc</t>
  </si>
  <si>
    <t>244-28</t>
  </si>
  <si>
    <t>rtdc.l.rtdc.4012:itc</t>
  </si>
  <si>
    <t>309-28</t>
  </si>
  <si>
    <t>rtdc.l.rtdc.4047:itc</t>
  </si>
  <si>
    <t>78-28</t>
  </si>
  <si>
    <t>WEST</t>
  </si>
  <si>
    <t>BRYAN</t>
  </si>
  <si>
    <t>246-28</t>
  </si>
  <si>
    <t>rtdc.l.rtdc.4004:itc</t>
  </si>
  <si>
    <t>311-28</t>
  </si>
  <si>
    <t>313-28</t>
  </si>
  <si>
    <t>THOMPSON</t>
  </si>
  <si>
    <t>LESTER</t>
  </si>
  <si>
    <t>rtdc.l.rtdc.4048:itc</t>
  </si>
  <si>
    <t>51-29</t>
  </si>
  <si>
    <t>302-29</t>
  </si>
  <si>
    <t>52-29</t>
  </si>
  <si>
    <t>103-29</t>
  </si>
  <si>
    <t>304-29</t>
  </si>
  <si>
    <t>LANGERAK</t>
  </si>
  <si>
    <t>WILLIAM</t>
  </si>
  <si>
    <t>105-29</t>
  </si>
  <si>
    <t>102-29</t>
  </si>
  <si>
    <t>306-29</t>
  </si>
  <si>
    <t>PAGE</t>
  </si>
  <si>
    <t>MARCUS</t>
  </si>
  <si>
    <t>308-29</t>
  </si>
  <si>
    <t>107-29</t>
  </si>
  <si>
    <t>104-29</t>
  </si>
  <si>
    <t>109-29</t>
  </si>
  <si>
    <t>310-29</t>
  </si>
  <si>
    <t>106-29</t>
  </si>
  <si>
    <t>111-29</t>
  </si>
  <si>
    <t>113-29</t>
  </si>
  <si>
    <t>108-29</t>
  </si>
  <si>
    <t>1901-29</t>
  </si>
  <si>
    <t>110-29</t>
  </si>
  <si>
    <t>312-29</t>
  </si>
  <si>
    <t>LAMAR</t>
  </si>
  <si>
    <t>NEKESHA</t>
  </si>
  <si>
    <t>115-29</t>
  </si>
  <si>
    <t>1800-29</t>
  </si>
  <si>
    <t>rtdc.l.rtdc.4052:itc</t>
  </si>
  <si>
    <t>117-29</t>
  </si>
  <si>
    <t>112-29</t>
  </si>
  <si>
    <t>119-29</t>
  </si>
  <si>
    <t>1801-29</t>
  </si>
  <si>
    <t>114-29</t>
  </si>
  <si>
    <t>121-29</t>
  </si>
  <si>
    <t>116-29</t>
  </si>
  <si>
    <t>123-29</t>
  </si>
  <si>
    <t>1802-29</t>
  </si>
  <si>
    <t>125-29</t>
  </si>
  <si>
    <t>127-29</t>
  </si>
  <si>
    <t>1803-29</t>
  </si>
  <si>
    <t>122-29</t>
  </si>
  <si>
    <t>129-29</t>
  </si>
  <si>
    <t>124-29</t>
  </si>
  <si>
    <t>131-29</t>
  </si>
  <si>
    <t>1804-29</t>
  </si>
  <si>
    <t>126-29</t>
  </si>
  <si>
    <t>133-29</t>
  </si>
  <si>
    <t>128-29</t>
  </si>
  <si>
    <t>135-29</t>
  </si>
  <si>
    <t>130-29</t>
  </si>
  <si>
    <t>1805-29</t>
  </si>
  <si>
    <t>137-29</t>
  </si>
  <si>
    <t>134-29</t>
  </si>
  <si>
    <t>132-29</t>
  </si>
  <si>
    <t>1806-29</t>
  </si>
  <si>
    <t>139-29</t>
  </si>
  <si>
    <t>rtdc.l.rtdc.4061:itc</t>
  </si>
  <si>
    <t>141-29</t>
  </si>
  <si>
    <t>136-29</t>
  </si>
  <si>
    <t>138-29</t>
  </si>
  <si>
    <t>143-29</t>
  </si>
  <si>
    <t>1807-29</t>
  </si>
  <si>
    <t>145-29</t>
  </si>
  <si>
    <t>147-29</t>
  </si>
  <si>
    <t>1808-29</t>
  </si>
  <si>
    <t>142-29</t>
  </si>
  <si>
    <t>149-29</t>
  </si>
  <si>
    <t>144-29</t>
  </si>
  <si>
    <t>1809-29</t>
  </si>
  <si>
    <t>148-29</t>
  </si>
  <si>
    <t>146-29</t>
  </si>
  <si>
    <t>55-29</t>
  </si>
  <si>
    <t>155-29</t>
  </si>
  <si>
    <t>1810-29</t>
  </si>
  <si>
    <t>157-29</t>
  </si>
  <si>
    <t>152-29</t>
  </si>
  <si>
    <t>159-29</t>
  </si>
  <si>
    <t>1811-29</t>
  </si>
  <si>
    <t>154-29</t>
  </si>
  <si>
    <t>161-29</t>
  </si>
  <si>
    <t>156-29</t>
  </si>
  <si>
    <t>1812-29</t>
  </si>
  <si>
    <t>163-29</t>
  </si>
  <si>
    <t>SAFIEF</t>
  </si>
  <si>
    <t>AEIMEN</t>
  </si>
  <si>
    <t>165-29</t>
  </si>
  <si>
    <t>GUZMAN</t>
  </si>
  <si>
    <t>DANNY</t>
  </si>
  <si>
    <t>158-29</t>
  </si>
  <si>
    <t>160-29</t>
  </si>
  <si>
    <t>167-29</t>
  </si>
  <si>
    <t>1813-29</t>
  </si>
  <si>
    <t>GONZALEZ</t>
  </si>
  <si>
    <t>ARMANDO</t>
  </si>
  <si>
    <t>162-29</t>
  </si>
  <si>
    <t>164-29</t>
  </si>
  <si>
    <t>169-29</t>
  </si>
  <si>
    <t>171-29</t>
  </si>
  <si>
    <t>1814-29</t>
  </si>
  <si>
    <t>173-29</t>
  </si>
  <si>
    <t>168-29</t>
  </si>
  <si>
    <t>175-29</t>
  </si>
  <si>
    <t>170-29</t>
  </si>
  <si>
    <t>177-29</t>
  </si>
  <si>
    <t>172-29</t>
  </si>
  <si>
    <t>179-29</t>
  </si>
  <si>
    <t>57-29</t>
  </si>
  <si>
    <t>MAGEE</t>
  </si>
  <si>
    <t>KENYA</t>
  </si>
  <si>
    <t>174-29</t>
  </si>
  <si>
    <t>181-29</t>
  </si>
  <si>
    <t>178-29</t>
  </si>
  <si>
    <t>176-29</t>
  </si>
  <si>
    <t>183-29</t>
  </si>
  <si>
    <t>180-29</t>
  </si>
  <si>
    <t>185-29</t>
  </si>
  <si>
    <t>187-29</t>
  </si>
  <si>
    <t>1818-29</t>
  </si>
  <si>
    <t>182-29</t>
  </si>
  <si>
    <t>189-29</t>
  </si>
  <si>
    <t>184-29</t>
  </si>
  <si>
    <t>191-29</t>
  </si>
  <si>
    <t>186-29</t>
  </si>
  <si>
    <t>1819-29</t>
  </si>
  <si>
    <t>193-29</t>
  </si>
  <si>
    <t>188-29</t>
  </si>
  <si>
    <t>195-29</t>
  </si>
  <si>
    <t>190-29</t>
  </si>
  <si>
    <t>197-29</t>
  </si>
  <si>
    <t>192-29</t>
  </si>
  <si>
    <t>194-29</t>
  </si>
  <si>
    <t>199-29</t>
  </si>
  <si>
    <t>201-29</t>
  </si>
  <si>
    <t>196-29</t>
  </si>
  <si>
    <t>1822-29</t>
  </si>
  <si>
    <t>203-29</t>
  </si>
  <si>
    <t>198-29</t>
  </si>
  <si>
    <t>205-29</t>
  </si>
  <si>
    <t>200-29</t>
  </si>
  <si>
    <t>207-29</t>
  </si>
  <si>
    <t>1823-29</t>
  </si>
  <si>
    <t>202-29</t>
  </si>
  <si>
    <t>209-29</t>
  </si>
  <si>
    <t>204-29</t>
  </si>
  <si>
    <t>211-29</t>
  </si>
  <si>
    <t>1824-29</t>
  </si>
  <si>
    <t>75-29</t>
  </si>
  <si>
    <t>206-29</t>
  </si>
  <si>
    <t>208-29</t>
  </si>
  <si>
    <t>213-29</t>
  </si>
  <si>
    <t>67-29</t>
  </si>
  <si>
    <t>1825-29</t>
  </si>
  <si>
    <t>210-29</t>
  </si>
  <si>
    <t>217-29</t>
  </si>
  <si>
    <t>73-29</t>
  </si>
  <si>
    <t>212-29</t>
  </si>
  <si>
    <t>219-29</t>
  </si>
  <si>
    <t>1826-29</t>
  </si>
  <si>
    <t>214-29</t>
  </si>
  <si>
    <t>301-29</t>
  </si>
  <si>
    <t>216-29</t>
  </si>
  <si>
    <t>221-29</t>
  </si>
  <si>
    <t>1827-29</t>
  </si>
  <si>
    <t>220-29</t>
  </si>
  <si>
    <t>303-29</t>
  </si>
  <si>
    <t>1828-29</t>
  </si>
  <si>
    <t>223-29</t>
  </si>
  <si>
    <t>305-29</t>
  </si>
  <si>
    <t>225-29</t>
  </si>
  <si>
    <t>222-29</t>
  </si>
  <si>
    <t>1829-29</t>
  </si>
  <si>
    <t>227-29</t>
  </si>
  <si>
    <t>224-29</t>
  </si>
  <si>
    <t>1830-29</t>
  </si>
  <si>
    <t>229-29</t>
  </si>
  <si>
    <t>1831-29</t>
  </si>
  <si>
    <t>231-29</t>
  </si>
  <si>
    <t>228-29</t>
  </si>
  <si>
    <t>1832-29</t>
  </si>
  <si>
    <t>233-29</t>
  </si>
  <si>
    <t>230-29</t>
  </si>
  <si>
    <t>235-29</t>
  </si>
  <si>
    <t>232-29</t>
  </si>
  <si>
    <t>1834-29</t>
  </si>
  <si>
    <t>234-29</t>
  </si>
  <si>
    <t>237-29</t>
  </si>
  <si>
    <t>1835-29</t>
  </si>
  <si>
    <t>236-29</t>
  </si>
  <si>
    <t>1902-29</t>
  </si>
  <si>
    <t>239-29</t>
  </si>
  <si>
    <t>241-29</t>
  </si>
  <si>
    <t>238-29</t>
  </si>
  <si>
    <t>243-29</t>
  </si>
  <si>
    <t>240-29</t>
  </si>
  <si>
    <t>242-29</t>
  </si>
  <si>
    <t>313-29</t>
  </si>
  <si>
    <t>307-29</t>
  </si>
  <si>
    <t>244-29</t>
  </si>
  <si>
    <t>HELVIE</t>
  </si>
  <si>
    <t>ADAM</t>
  </si>
  <si>
    <t>309-29</t>
  </si>
  <si>
    <t>311-29</t>
  </si>
  <si>
    <t>204:752</t>
  </si>
  <si>
    <t>204:232994</t>
  </si>
  <si>
    <t>204:467</t>
  </si>
  <si>
    <t>204:233286</t>
  </si>
  <si>
    <t>204:232975</t>
  </si>
  <si>
    <t>204:136</t>
  </si>
  <si>
    <t>204:1483</t>
  </si>
  <si>
    <t>204:233187</t>
  </si>
  <si>
    <t>204:232864</t>
  </si>
  <si>
    <t>204:233209</t>
  </si>
  <si>
    <t>204:232890</t>
  </si>
  <si>
    <t>204:475</t>
  </si>
  <si>
    <t>204:207</t>
  </si>
  <si>
    <t>204:232983</t>
  </si>
  <si>
    <t>204:455</t>
  </si>
  <si>
    <t>204:233310</t>
  </si>
  <si>
    <t>204:176</t>
  </si>
  <si>
    <t>204:233303</t>
  </si>
  <si>
    <t>204:318</t>
  </si>
  <si>
    <t>204:233242</t>
  </si>
  <si>
    <t>204:232926</t>
  </si>
  <si>
    <t>204:233261</t>
  </si>
  <si>
    <t>204:232944</t>
  </si>
  <si>
    <t>204:165</t>
  </si>
  <si>
    <t>204:500</t>
  </si>
  <si>
    <t>204:233232</t>
  </si>
  <si>
    <t>204:229</t>
  </si>
  <si>
    <t>204:233305</t>
  </si>
  <si>
    <t>204:1473</t>
  </si>
  <si>
    <t>204:233282</t>
  </si>
  <si>
    <t>204:631</t>
  </si>
  <si>
    <t>204:233306</t>
  </si>
  <si>
    <t>204:232913</t>
  </si>
  <si>
    <t>204:178</t>
  </si>
  <si>
    <t>204:462</t>
  </si>
  <si>
    <t>204:232960</t>
  </si>
  <si>
    <t>204:522</t>
  </si>
  <si>
    <t>204:233270</t>
  </si>
  <si>
    <t>204:233315</t>
  </si>
  <si>
    <t>204:232993</t>
  </si>
  <si>
    <t>204:167</t>
  </si>
  <si>
    <t>204:460</t>
  </si>
  <si>
    <t>204:233272</t>
  </si>
  <si>
    <t>204:453</t>
  </si>
  <si>
    <t>204:232855</t>
  </si>
  <si>
    <t>204:1484</t>
  </si>
  <si>
    <t>204:1884</t>
  </si>
  <si>
    <t>204:19110</t>
  </si>
  <si>
    <t>204:233174</t>
  </si>
  <si>
    <t>204:513</t>
  </si>
  <si>
    <t>204:233202</t>
  </si>
  <si>
    <t>204:233180</t>
  </si>
  <si>
    <t>204:232871</t>
  </si>
  <si>
    <t>204:232</t>
  </si>
  <si>
    <t>204:233195</t>
  </si>
  <si>
    <t>204:478</t>
  </si>
  <si>
    <t>204:233199</t>
  </si>
  <si>
    <t>204:232884</t>
  </si>
  <si>
    <t>204:107951</t>
  </si>
  <si>
    <t>204:260</t>
  </si>
  <si>
    <t>204:232898</t>
  </si>
  <si>
    <t>204:107699</t>
  </si>
  <si>
    <t>204:557</t>
  </si>
  <si>
    <t>204:232921</t>
  </si>
  <si>
    <t>204:216</t>
  </si>
  <si>
    <t>204:233241</t>
  </si>
  <si>
    <t>204:232911</t>
  </si>
  <si>
    <t>204:120</t>
  </si>
  <si>
    <t>204:233217</t>
  </si>
  <si>
    <t>204:232907</t>
  </si>
  <si>
    <t>204:233247</t>
  </si>
  <si>
    <t>204:232915</t>
  </si>
  <si>
    <t>204:233245</t>
  </si>
  <si>
    <t>204:201</t>
  </si>
  <si>
    <t>204:542</t>
  </si>
  <si>
    <t>300:58302</t>
  </si>
  <si>
    <t>204:1123</t>
  </si>
  <si>
    <t>300:58941</t>
  </si>
  <si>
    <t>300:58634</t>
  </si>
  <si>
    <t>204:857</t>
  </si>
  <si>
    <t>204:1119</t>
  </si>
  <si>
    <t>300:58931</t>
  </si>
  <si>
    <t>204:904</t>
  </si>
  <si>
    <t>204:1193</t>
  </si>
  <si>
    <t>300:58952</t>
  </si>
  <si>
    <t>300:58628</t>
  </si>
  <si>
    <t>204:894</t>
  </si>
  <si>
    <t>204:1184</t>
  </si>
  <si>
    <t>300:58944</t>
  </si>
  <si>
    <t>204:876</t>
  </si>
  <si>
    <t>204:1179</t>
  </si>
  <si>
    <t>204:848</t>
  </si>
  <si>
    <t>204:1151</t>
  </si>
  <si>
    <t>204:822</t>
  </si>
  <si>
    <t>300:58976</t>
  </si>
  <si>
    <t>300:58656</t>
  </si>
  <si>
    <t>204:722</t>
  </si>
  <si>
    <t>204:2044</t>
  </si>
  <si>
    <t>204:2712</t>
  </si>
  <si>
    <t>204:885</t>
  </si>
  <si>
    <t>300:58677</t>
  </si>
  <si>
    <t>204:936</t>
  </si>
  <si>
    <t>204:1233</t>
  </si>
  <si>
    <t>300:58655</t>
  </si>
  <si>
    <t>204:927</t>
  </si>
  <si>
    <t>300:58660</t>
  </si>
  <si>
    <t>204:918</t>
  </si>
  <si>
    <t>204:1219</t>
  </si>
  <si>
    <t>300:58973</t>
  </si>
  <si>
    <t>204:960</t>
  </si>
  <si>
    <t>300:58673</t>
  </si>
  <si>
    <t>204:941</t>
  </si>
  <si>
    <t>204:1226</t>
  </si>
  <si>
    <t>300:58975</t>
  </si>
  <si>
    <t>300:58653</t>
  </si>
  <si>
    <t>204:913</t>
  </si>
  <si>
    <t>300:58666</t>
  </si>
  <si>
    <t>204:944</t>
  </si>
  <si>
    <t>204:1247</t>
  </si>
  <si>
    <t>300:58967</t>
  </si>
  <si>
    <t>300:58649</t>
  </si>
  <si>
    <t>204:943</t>
  </si>
  <si>
    <t>204:1228</t>
  </si>
  <si>
    <t>300:58965</t>
  </si>
  <si>
    <t>204:232917</t>
  </si>
  <si>
    <t>204:327</t>
  </si>
  <si>
    <t>204:531</t>
  </si>
  <si>
    <t>204:233240</t>
  </si>
  <si>
    <t>204:256</t>
  </si>
  <si>
    <t>204:163</t>
  </si>
  <si>
    <t>204:524</t>
  </si>
  <si>
    <t>204:232882</t>
  </si>
  <si>
    <t>300:29667</t>
  </si>
  <si>
    <t>300:58929</t>
  </si>
  <si>
    <t>300:58647</t>
  </si>
  <si>
    <t>300:28710</t>
  </si>
  <si>
    <t>204:233219</t>
  </si>
  <si>
    <t>204:214</t>
  </si>
  <si>
    <t>204:537</t>
  </si>
  <si>
    <t>204:233225</t>
  </si>
  <si>
    <t>204:233211</t>
  </si>
  <si>
    <t>204:247</t>
  </si>
  <si>
    <t>204:233213</t>
  </si>
  <si>
    <t>204:153999</t>
  </si>
  <si>
    <t>204:508</t>
  </si>
  <si>
    <t>204:544</t>
  </si>
  <si>
    <t>204:233251</t>
  </si>
  <si>
    <t>204:232925</t>
  </si>
  <si>
    <t>204:282</t>
  </si>
  <si>
    <t>204:480</t>
  </si>
  <si>
    <t>204:604</t>
  </si>
  <si>
    <t>204:336</t>
  </si>
  <si>
    <t>204:233224</t>
  </si>
  <si>
    <t>204:233317</t>
  </si>
  <si>
    <t>204:233008</t>
  </si>
  <si>
    <t>204:497</t>
  </si>
  <si>
    <t>204:232858</t>
  </si>
  <si>
    <t>204:233266</t>
  </si>
  <si>
    <t>204:549</t>
  </si>
  <si>
    <t>204:233308</t>
  </si>
  <si>
    <t>204:233006</t>
  </si>
  <si>
    <t>204:19142</t>
  </si>
  <si>
    <t>204:1337</t>
  </si>
  <si>
    <t>204:533</t>
  </si>
  <si>
    <t>204:233246</t>
  </si>
  <si>
    <t>204:586</t>
  </si>
  <si>
    <t>204:233301</t>
  </si>
  <si>
    <t>204:269</t>
  </si>
  <si>
    <t>204:528</t>
  </si>
  <si>
    <t>204:233316</t>
  </si>
  <si>
    <t>204:233005</t>
  </si>
  <si>
    <t>204:233287</t>
  </si>
  <si>
    <t>204:232934</t>
  </si>
  <si>
    <t>204:233342</t>
  </si>
  <si>
    <t>204:233021</t>
  </si>
  <si>
    <t>204:265</t>
  </si>
  <si>
    <t>204:233128</t>
  </si>
  <si>
    <t>204:232809</t>
  </si>
  <si>
    <t>204:369</t>
  </si>
  <si>
    <t>300:23535</t>
  </si>
  <si>
    <t>300:23312</t>
  </si>
  <si>
    <t>300:19470</t>
  </si>
  <si>
    <t>204:642</t>
  </si>
  <si>
    <t>300:23214</t>
  </si>
  <si>
    <t>300:23332</t>
  </si>
  <si>
    <t>204:1162</t>
  </si>
  <si>
    <t>300:23660</t>
  </si>
  <si>
    <t>204:595</t>
  </si>
  <si>
    <t>300:23644</t>
  </si>
  <si>
    <t>300:22639</t>
  </si>
  <si>
    <t>204:3320</t>
  </si>
  <si>
    <t>300:23207</t>
  </si>
  <si>
    <t>204:1152</t>
  </si>
  <si>
    <t>204:2979</t>
  </si>
  <si>
    <t>204:1164</t>
  </si>
  <si>
    <t>204:3462</t>
  </si>
  <si>
    <t>204:3164</t>
  </si>
  <si>
    <t>300:24641</t>
  </si>
  <si>
    <t>300:24263</t>
  </si>
  <si>
    <t>204:3086</t>
  </si>
  <si>
    <t>204:3417</t>
  </si>
  <si>
    <t>300:23301</t>
  </si>
  <si>
    <t>204:1240</t>
  </si>
  <si>
    <t>300:5516</t>
  </si>
  <si>
    <t>204:1156</t>
  </si>
  <si>
    <t>204:3354</t>
  </si>
  <si>
    <t>204:3005</t>
  </si>
  <si>
    <t>start /low /b %USERPROFILE%\Documents\GitHub\eaglep3\Utilities\DownloadLogsFromS3.py --loco 4052 --day 2017-10-29</t>
  </si>
  <si>
    <t>start /low /b %USERPROFILE%\Documents\GitHub\eaglep3\Utilities\DownloadLogsFromS3.py --loco 4059 --day 2017-10-29</t>
  </si>
  <si>
    <t>start /low /b %USERPROFILE%\Documents\GitHub\eaglep3\Utilities\DownloadLogsFromS3.py --loco 4062 --day 2017-10-29</t>
  </si>
  <si>
    <t>start /low /b %USERPROFILE%\Documents\GitHub\eaglep3\Utilities\DownloadLogsFromS3.py --loco 4005 --day 2017-10-29</t>
  </si>
  <si>
    <t>start /low /b %USERPROFILE%\Documents\GitHub\eaglep3\Utilities\DownloadLogsFromS3.py --loco 4025 --day 2017-10-29</t>
  </si>
  <si>
    <t>start /low /b %USERPROFILE%\Documents\GitHub\eaglep3\Utilities\DownloadLogsFromS3.py --loco 4016 --day 2017-10-29</t>
  </si>
  <si>
    <t>start /low /b %USERPROFILE%\Documents\GitHub\eaglep3\Utilities\DownloadLogsFromS3.py --loco 4049 --day 2017-10-29</t>
  </si>
  <si>
    <t>start /low /b %USERPROFILE%\Documents\GitHub\eaglep3\Utilities\DownloadLogsFromS3.py --loco 4050 --day 2017-10-29</t>
  </si>
  <si>
    <t>start /low /b %USERPROFILE%\Documents\GitHub\eaglep3\Utilities\DownloadLogsFromS3.py --loco 4059 --day 2017-10-30</t>
  </si>
  <si>
    <t>start /low /b %USERPROFILE%\Documents\GitHub\eaglep3\Utilities\DownloadLogsFromS3.py --loco 4015 --day 2017-10-29</t>
  </si>
  <si>
    <t>start /low /b %USERPROFILE%\Documents\GitHub\eaglep3\Utilities\DownloadLogsFromS3.py --loco 4006 --day 2017-10-29</t>
  </si>
  <si>
    <t>start /low /b %USERPROFILE%\Documents\GitHub\eaglep3\Utilities\DownloadLogsFromS3.py --loco 4046 --day 2017-10-29</t>
  </si>
  <si>
    <t>start /low /b %USERPROFILE%\Documents\GitHub\eaglep3\Utilities\DownloadLogsFromS3.py --loco 4045 --day 2017-10-29</t>
  </si>
  <si>
    <t>start /low /b %USERPROFILE%\Documents\GitHub\eaglep3\Utilities\DownloadLogsFromS3.py --loco 4051 --day 2017-10-29</t>
  </si>
  <si>
    <t>start /low /b %USERPROFILE%\Documents\GitHub\eaglep3\Utilities\DownloadLogsFromS3.py --loco 4056 --day 2017-10-30</t>
  </si>
  <si>
    <t>start /low /b %USERPROFILE%\Documents\GitHub\eaglep3\Utilities\DownloadLogsFromS3.py --loco 4050 --day 2017-10-30</t>
  </si>
  <si>
    <t>Departure delayed after swapping trains due to propulsion fault on 4052</t>
  </si>
  <si>
    <t>Main 3 depature</t>
  </si>
  <si>
    <t>Wi-MAX data drop, operator cut-out and cut-in</t>
  </si>
  <si>
    <t>Banner without braking</t>
  </si>
  <si>
    <t>Delay due to propulsion fault</t>
  </si>
  <si>
    <t xml:space="preserve">Operator selected wrong track </t>
  </si>
  <si>
    <t>Main 3 departure</t>
  </si>
  <si>
    <t>Unhealthy xing banner at Chambers due to 40th station stop</t>
  </si>
  <si>
    <t>Onboard enroute failure</t>
  </si>
  <si>
    <t>Poor GPS at DUS</t>
  </si>
  <si>
    <t>MACDONALD</t>
  </si>
  <si>
    <t>THOMAS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</si>
</sst>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31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0" fillId="6" borderId="0" xfId="0" applyFill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169" fontId="0" fillId="0" borderId="0" xfId="0" applyNumberFormat="1"/>
    <xf numFmtId="169" fontId="0" fillId="0" borderId="5" xfId="0" applyNumberFormat="1" applyFill="1" applyBorder="1"/>
    <xf numFmtId="169" fontId="1" fillId="0" borderId="0" xfId="0" applyNumberFormat="1" applyFont="1"/>
    <xf numFmtId="9" fontId="0" fillId="0" borderId="0" xfId="2" applyNumberFormat="1" applyFon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0" fillId="0" borderId="0" xfId="0" applyNumberFormat="1" applyBorder="1"/>
    <xf numFmtId="169" fontId="0" fillId="0" borderId="5" xfId="0" applyNumberFormat="1" applyBorder="1" applyAlignment="1">
      <alignment horizontal="left"/>
    </xf>
    <xf numFmtId="0" fontId="0" fillId="0" borderId="0" xfId="2" applyNumberFormat="1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5" fillId="0" borderId="0" xfId="0" applyNumberFormat="1" applyFont="1" applyAlignment="1">
      <alignment horizontal="left"/>
    </xf>
    <xf numFmtId="0" fontId="0" fillId="0" borderId="0" xfId="0" applyNumberFormat="1" applyFill="1"/>
    <xf numFmtId="0" fontId="9" fillId="0" borderId="0" xfId="0" applyNumberFormat="1" applyFont="1" applyFill="1"/>
    <xf numFmtId="0" fontId="6" fillId="0" borderId="0" xfId="0" applyNumberFormat="1" applyFont="1"/>
    <xf numFmtId="0" fontId="0" fillId="0" borderId="2" xfId="2" applyNumberFormat="1" applyFont="1" applyBorder="1" applyAlignme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0" fillId="0" borderId="0" xfId="2" applyNumberFormat="1" applyFont="1"/>
    <xf numFmtId="0" fontId="5" fillId="0" borderId="0" xfId="0" applyNumberFormat="1" applyFont="1" applyFill="1"/>
    <xf numFmtId="0" fontId="1" fillId="0" borderId="5" xfId="2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left" vertical="center" wrapText="1"/>
    </xf>
    <xf numFmtId="0" fontId="9" fillId="6" borderId="0" xfId="0" applyNumberFormat="1" applyFont="1" applyFill="1" applyBorder="1" applyAlignment="1">
      <alignment horizontal="center" vertical="center" wrapText="1"/>
    </xf>
    <xf numFmtId="0" fontId="9" fillId="5" borderId="0" xfId="0" applyNumberFormat="1" applyFont="1" applyFill="1" applyBorder="1" applyAlignment="1">
      <alignment horizontal="center" vertical="center" wrapText="1"/>
    </xf>
    <xf numFmtId="0" fontId="0" fillId="0" borderId="0" xfId="0" applyNumberFormat="1" applyBorder="1" applyAlignment="1">
      <alignment horizontal="center" vertical="center" wrapText="1"/>
    </xf>
    <xf numFmtId="0" fontId="9" fillId="7" borderId="0" xfId="0" applyNumberFormat="1" applyFont="1" applyFill="1" applyBorder="1" applyAlignment="1">
      <alignment horizontal="center" vertical="center" wrapText="1"/>
    </xf>
    <xf numFmtId="0" fontId="9" fillId="9" borderId="0" xfId="0" applyNumberFormat="1" applyFont="1" applyFill="1" applyBorder="1" applyAlignment="1">
      <alignment horizontal="center" vertical="center" wrapText="1"/>
    </xf>
    <xf numFmtId="0" fontId="6" fillId="0" borderId="0" xfId="0" applyNumberFormat="1" applyFont="1" applyBorder="1" applyAlignment="1">
      <alignment horizontal="center" vertical="center" wrapText="1"/>
    </xf>
    <xf numFmtId="0" fontId="0" fillId="0" borderId="5" xfId="2" applyNumberFormat="1" applyFont="1" applyFill="1" applyBorder="1"/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9" fillId="0" borderId="0" xfId="0" applyNumberFormat="1" applyFont="1" applyFill="1" applyBorder="1" applyAlignment="1">
      <alignment horizontal="left"/>
    </xf>
    <xf numFmtId="0" fontId="9" fillId="6" borderId="0" xfId="0" applyNumberFormat="1" applyFont="1" applyFill="1"/>
    <xf numFmtId="0" fontId="9" fillId="5" borderId="0" xfId="0" applyNumberFormat="1" applyFont="1" applyFill="1"/>
    <xf numFmtId="0" fontId="9" fillId="7" borderId="0" xfId="0" applyNumberFormat="1" applyFont="1" applyFill="1"/>
    <xf numFmtId="0" fontId="9" fillId="9" borderId="0" xfId="0" applyNumberFormat="1" applyFont="1" applyFill="1"/>
    <xf numFmtId="0" fontId="9" fillId="0" borderId="0" xfId="0" applyNumberFormat="1" applyFont="1"/>
    <xf numFmtId="0" fontId="5" fillId="8" borderId="0" xfId="0" applyNumberFormat="1" applyFont="1" applyFill="1"/>
    <xf numFmtId="0" fontId="0" fillId="6" borderId="0" xfId="0" applyNumberFormat="1" applyFill="1"/>
    <xf numFmtId="0" fontId="0" fillId="5" borderId="0" xfId="0" applyNumberFormat="1" applyFill="1"/>
    <xf numFmtId="0" fontId="0" fillId="9" borderId="0" xfId="0" applyNumberFormat="1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430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53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45" customWidth="1"/>
    <col min="19" max="19" width="6" style="202" customWidth="1"/>
    <col min="20" max="20" width="3.88671875" style="182" customWidth="1"/>
    <col min="21" max="21" width="5" style="182" customWidth="1"/>
    <col min="22" max="22" width="5.6640625" style="225" customWidth="1"/>
    <col min="23" max="23" width="3.88671875" style="183" customWidth="1"/>
    <col min="24" max="24" width="6.5546875" style="183" customWidth="1"/>
    <col min="25" max="25" width="8.88671875" style="183" customWidth="1"/>
    <col min="26" max="26" width="7.33203125" style="183" customWidth="1"/>
    <col min="27" max="27" width="9.109375" style="183"/>
    <col min="28" max="28" width="10.6640625" style="184" hidden="1" customWidth="1"/>
    <col min="29" max="29" width="9.44140625" style="184" hidden="1" customWidth="1"/>
    <col min="30" max="30" width="7.88671875" style="182" customWidth="1"/>
    <col min="31" max="31" width="4.5546875" style="226" customWidth="1"/>
    <col min="32" max="32" width="6.33203125" style="227" customWidth="1"/>
    <col min="33" max="33" width="3.6640625" style="182" customWidth="1"/>
    <col min="34" max="34" width="5" style="222" customWidth="1"/>
    <col min="35" max="35" width="5.6640625" style="228" customWidth="1"/>
    <col min="36" max="36" width="9.88671875" style="182" customWidth="1"/>
    <col min="37" max="37" width="5" style="182" customWidth="1"/>
    <col min="38" max="38" width="4.109375" style="182" customWidth="1"/>
    <col min="39" max="39" width="9.109375" style="187"/>
    <col min="40" max="40" width="8.88671875" style="182"/>
    <col min="41" max="41" width="3.6640625" style="182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53"/>
      <c r="M1" s="35"/>
      <c r="N1" s="36"/>
      <c r="O1" s="2"/>
      <c r="P1" s="2"/>
      <c r="R1" s="144" t="s">
        <v>103</v>
      </c>
      <c r="S1" s="179"/>
      <c r="T1" s="180"/>
      <c r="U1" s="180"/>
      <c r="V1" s="181"/>
      <c r="W1" s="180"/>
      <c r="X1" s="182"/>
      <c r="Y1" s="183"/>
      <c r="Z1" s="183"/>
      <c r="AA1" s="183"/>
      <c r="AB1" s="184"/>
      <c r="AC1" s="184"/>
      <c r="AD1" s="182"/>
      <c r="AE1" s="185"/>
      <c r="AF1" s="185"/>
      <c r="AG1" s="185"/>
      <c r="AH1" s="186"/>
      <c r="AI1" s="185"/>
      <c r="AJ1" s="182"/>
      <c r="AK1" s="182"/>
      <c r="AL1" s="182"/>
      <c r="AM1" s="187"/>
      <c r="AN1" s="182"/>
      <c r="AO1" s="182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0">
        <f>Variables!$A$2</f>
        <v>43037</v>
      </c>
      <c r="J2" s="51"/>
      <c r="K2" s="52"/>
      <c r="L2" s="154"/>
      <c r="M2" s="53" t="s">
        <v>8</v>
      </c>
      <c r="N2" s="54"/>
      <c r="O2" s="55"/>
      <c r="P2" s="2"/>
      <c r="R2" s="50">
        <f>Variables!$A$2</f>
        <v>43037</v>
      </c>
      <c r="S2" s="188"/>
      <c r="T2" s="189"/>
      <c r="U2" s="189"/>
      <c r="V2" s="190" t="s">
        <v>8</v>
      </c>
      <c r="W2" s="191"/>
      <c r="X2" s="192"/>
      <c r="Y2" s="183"/>
      <c r="Z2" s="183"/>
      <c r="AA2" s="183"/>
      <c r="AB2" s="184"/>
      <c r="AC2" s="184"/>
      <c r="AD2" s="182"/>
      <c r="AE2" s="185"/>
      <c r="AF2" s="185"/>
      <c r="AG2" s="185"/>
      <c r="AH2" s="186"/>
      <c r="AI2" s="185"/>
      <c r="AJ2" s="182"/>
      <c r="AK2" s="182"/>
      <c r="AL2" s="182"/>
      <c r="AM2" s="187"/>
      <c r="AN2" s="182"/>
      <c r="AO2" s="182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56" t="s">
        <v>10</v>
      </c>
      <c r="J3" s="57"/>
      <c r="K3" s="58"/>
      <c r="L3" s="155"/>
      <c r="M3" s="37" t="s">
        <v>11</v>
      </c>
      <c r="N3" s="38" t="s">
        <v>12</v>
      </c>
      <c r="O3" s="3" t="s">
        <v>13</v>
      </c>
      <c r="P3" s="2"/>
      <c r="R3" s="146" t="s">
        <v>10</v>
      </c>
      <c r="S3" s="193"/>
      <c r="T3" s="194"/>
      <c r="U3" s="194"/>
      <c r="V3" s="195" t="s">
        <v>11</v>
      </c>
      <c r="W3" s="196" t="s">
        <v>12</v>
      </c>
      <c r="X3" s="197" t="s">
        <v>13</v>
      </c>
      <c r="Y3" s="183"/>
      <c r="Z3" s="183"/>
      <c r="AA3" s="183"/>
      <c r="AB3" s="184"/>
      <c r="AC3" s="184"/>
      <c r="AD3" s="182"/>
      <c r="AE3" s="185"/>
      <c r="AF3" s="185"/>
      <c r="AG3" s="185"/>
      <c r="AH3" s="186"/>
      <c r="AI3" s="185"/>
      <c r="AJ3" s="182"/>
      <c r="AK3" s="182"/>
      <c r="AL3" s="182"/>
      <c r="AM3" s="187"/>
      <c r="AN3" s="182"/>
      <c r="AO3" s="182"/>
    </row>
    <row r="4" spans="1:91" s="20" customFormat="1" ht="15" thickBot="1" x14ac:dyDescent="0.35">
      <c r="A4" s="34"/>
      <c r="B4" s="36"/>
      <c r="C4" s="27"/>
      <c r="D4" s="27"/>
      <c r="E4" s="33"/>
      <c r="F4" s="144"/>
      <c r="G4" s="36"/>
      <c r="H4" s="33"/>
      <c r="I4" s="59" t="s">
        <v>14</v>
      </c>
      <c r="J4" s="47">
        <f>SUM(J5:J7)</f>
        <v>144</v>
      </c>
      <c r="K4" s="39"/>
      <c r="L4" s="156"/>
      <c r="M4" s="40" t="s">
        <v>15</v>
      </c>
      <c r="N4" s="38" t="s">
        <v>15</v>
      </c>
      <c r="O4" s="3" t="s">
        <v>15</v>
      </c>
      <c r="P4" s="2"/>
      <c r="R4" s="147" t="s">
        <v>14</v>
      </c>
      <c r="S4" s="198">
        <f>SUM(S5:S7)</f>
        <v>36</v>
      </c>
      <c r="T4" s="199"/>
      <c r="U4" s="199"/>
      <c r="V4" s="195" t="s">
        <v>15</v>
      </c>
      <c r="W4" s="196" t="s">
        <v>15</v>
      </c>
      <c r="X4" s="197" t="s">
        <v>15</v>
      </c>
      <c r="Y4" s="183"/>
      <c r="Z4" s="183"/>
      <c r="AA4" s="183"/>
      <c r="AB4" s="184"/>
      <c r="AC4" s="184"/>
      <c r="AD4" s="182"/>
      <c r="AE4" s="185"/>
      <c r="AF4" s="185"/>
      <c r="AG4" s="185"/>
      <c r="AH4" s="186"/>
      <c r="AI4" s="185"/>
      <c r="AJ4" s="182"/>
      <c r="AK4" s="182"/>
      <c r="AL4" s="182"/>
      <c r="AM4" s="187"/>
      <c r="AN4" s="182"/>
      <c r="AO4" s="182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59" t="s">
        <v>17</v>
      </c>
      <c r="J5" s="47">
        <f>COUNTIFS($N$13:$N$9473,"&gt;0",$AG$13:$AG$9473,I1)</f>
        <v>141</v>
      </c>
      <c r="K5" s="39"/>
      <c r="L5" s="156"/>
      <c r="M5" s="40">
        <f>AVERAGEIFS($N$13:$N$9473,$AG$13:$AG$9473,I1)</f>
        <v>37.548226950556398</v>
      </c>
      <c r="N5" s="38">
        <f t="array" ref="N5">MIN(IF($AG$13:$AG$9473=I1,IF(ISNUMBER($N$13:$N$9473),IF($N$13:$N$9473&gt;0,$N$13:$N$9473))))</f>
        <v>34.116666668560356</v>
      </c>
      <c r="O5" s="3">
        <f t="array" ref="O5">MAX(IF($AG$13:$AG$9473=I1,IF(ISNUMBER($N$13:$N$9473),IF($N$13:$N$9473&gt;0,$N$13:$N$9473))))</f>
        <v>53.266666671261191</v>
      </c>
      <c r="P5" s="2"/>
      <c r="R5" s="147" t="s">
        <v>17</v>
      </c>
      <c r="S5" s="198">
        <f>COUNTIFS($N$13:$N$9473,"&gt;0",$AG$13:$AG$9473,R1)</f>
        <v>35</v>
      </c>
      <c r="T5" s="199"/>
      <c r="U5" s="199"/>
      <c r="V5" s="195">
        <f>AVERAGEIFS($N$13:$N$9473,$AG$13:$AG$9473,R1)</f>
        <v>13.394761905007597</v>
      </c>
      <c r="W5" s="196">
        <f t="array" ref="W5">MIN(IF($AG$13:$AG$9473=R1,IF(ISNUMBER($N$13:$N$9473),IF($N$13:$N$9473&gt;0,$N$13:$N$9473))))</f>
        <v>11.266666670562699</v>
      </c>
      <c r="X5" s="197">
        <f t="array" ref="X5">MAX(IF($AG$13:$AG$9473=R1,IF(ISNUMBER($N$13:$N$9473),IF($N$13:$N$9473&gt;0,$N$13:$N$9473))))</f>
        <v>21.149999998742715</v>
      </c>
      <c r="Y5" s="183"/>
      <c r="Z5" s="183"/>
      <c r="AA5" s="183"/>
      <c r="AB5" s="184"/>
      <c r="AC5" s="184"/>
      <c r="AD5" s="182"/>
      <c r="AE5" s="185"/>
      <c r="AF5" s="185"/>
      <c r="AG5" s="185"/>
      <c r="AH5" s="186"/>
      <c r="AI5" s="185"/>
      <c r="AJ5" s="182"/>
      <c r="AK5" s="182"/>
      <c r="AL5" s="182"/>
      <c r="AM5" s="187"/>
      <c r="AN5" s="182"/>
      <c r="AO5" s="182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0" t="s">
        <v>43</v>
      </c>
      <c r="J6" s="47">
        <f>COUNT($O$13:$O$231)</f>
        <v>0</v>
      </c>
      <c r="K6" s="39"/>
      <c r="L6" s="156"/>
      <c r="M6" s="40">
        <f>IFERROR(AVERAGE($O$13:$O$231),0)</f>
        <v>0</v>
      </c>
      <c r="N6" s="38">
        <f>MIN($O$13:$O$231)</f>
        <v>0</v>
      </c>
      <c r="O6" s="3">
        <f>MAX($O$13:$O$231)</f>
        <v>0</v>
      </c>
      <c r="P6" s="2"/>
      <c r="R6" s="148" t="s">
        <v>43</v>
      </c>
      <c r="S6" s="198">
        <f>COUNT($O$13:$O$231)</f>
        <v>0</v>
      </c>
      <c r="T6" s="199"/>
      <c r="U6" s="199"/>
      <c r="V6" s="195">
        <f>IFERROR(AVERAGE($O$13:$O$231),0)</f>
        <v>0</v>
      </c>
      <c r="W6" s="196">
        <f>MIN($O$13:$O$231)</f>
        <v>0</v>
      </c>
      <c r="X6" s="197">
        <f>MAX($O$13:$O$231)</f>
        <v>0</v>
      </c>
      <c r="Y6" s="183"/>
      <c r="Z6" s="183"/>
      <c r="AA6" s="183"/>
      <c r="AB6" s="184"/>
      <c r="AC6" s="184"/>
      <c r="AD6" s="182"/>
      <c r="AE6" s="185"/>
      <c r="AF6" s="185"/>
      <c r="AG6" s="185"/>
      <c r="AH6" s="186"/>
      <c r="AI6" s="185"/>
      <c r="AJ6" s="182"/>
      <c r="AK6" s="182"/>
      <c r="AL6" s="182"/>
      <c r="AM6" s="187"/>
      <c r="AN6" s="182"/>
      <c r="AO6" s="182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1" t="s">
        <v>9</v>
      </c>
      <c r="J7" s="47">
        <f>COUNTIFS($P$13:$P$9473,"&gt;0",$AG$13:$AG$9473,I1)</f>
        <v>3</v>
      </c>
      <c r="K7" s="39"/>
      <c r="L7" s="156"/>
      <c r="M7" s="38" t="s">
        <v>15</v>
      </c>
      <c r="N7" s="38" t="s">
        <v>15</v>
      </c>
      <c r="O7" s="3" t="s">
        <v>15</v>
      </c>
      <c r="P7" s="2"/>
      <c r="R7" s="149" t="s">
        <v>9</v>
      </c>
      <c r="S7" s="198">
        <f>COUNTIFS($P$13:$P$9473,"&gt;0",$AG$13:$AG$9473,R1)</f>
        <v>1</v>
      </c>
      <c r="T7" s="199"/>
      <c r="U7" s="199"/>
      <c r="V7" s="195" t="s">
        <v>15</v>
      </c>
      <c r="W7" s="196" t="s">
        <v>15</v>
      </c>
      <c r="X7" s="197" t="s">
        <v>15</v>
      </c>
      <c r="Y7" s="183"/>
      <c r="Z7" s="183"/>
      <c r="AA7" s="183"/>
      <c r="AB7" s="184"/>
      <c r="AC7" s="184"/>
      <c r="AD7" s="182"/>
      <c r="AE7" s="185"/>
      <c r="AF7" s="185"/>
      <c r="AG7" s="185"/>
      <c r="AH7" s="186"/>
      <c r="AI7" s="185"/>
      <c r="AJ7" s="182"/>
      <c r="AK7" s="182"/>
      <c r="AL7" s="182"/>
      <c r="AM7" s="187"/>
      <c r="AN7" s="182"/>
      <c r="AO7" s="182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59" t="s">
        <v>16</v>
      </c>
      <c r="J8" s="47">
        <f>J5</f>
        <v>141</v>
      </c>
      <c r="K8" s="39"/>
      <c r="L8" s="156"/>
      <c r="M8" s="40">
        <f>M5</f>
        <v>37.548226950556398</v>
      </c>
      <c r="N8" s="38">
        <f>N5</f>
        <v>34.116666668560356</v>
      </c>
      <c r="O8" s="3">
        <f>O5</f>
        <v>53.266666671261191</v>
      </c>
      <c r="P8" s="2"/>
      <c r="R8" s="147" t="s">
        <v>16</v>
      </c>
      <c r="S8" s="198">
        <f>S5</f>
        <v>35</v>
      </c>
      <c r="T8" s="199"/>
      <c r="U8" s="199"/>
      <c r="V8" s="195">
        <f>V5</f>
        <v>13.394761905007597</v>
      </c>
      <c r="W8" s="196">
        <f>W5</f>
        <v>11.266666670562699</v>
      </c>
      <c r="X8" s="197">
        <f>X5</f>
        <v>21.149999998742715</v>
      </c>
      <c r="Y8" s="183"/>
      <c r="Z8" s="183"/>
      <c r="AA8" s="183"/>
      <c r="AB8" s="184"/>
      <c r="AC8" s="184"/>
      <c r="AD8" s="182"/>
      <c r="AE8" s="185"/>
      <c r="AF8" s="185"/>
      <c r="AG8" s="185"/>
      <c r="AH8" s="186"/>
      <c r="AI8" s="185"/>
      <c r="AJ8" s="182"/>
      <c r="AK8" s="182"/>
      <c r="AL8" s="182"/>
      <c r="AM8" s="187"/>
      <c r="AN8" s="182"/>
      <c r="AO8" s="182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59" t="s">
        <v>19</v>
      </c>
      <c r="J9" s="108">
        <f>J8/J4</f>
        <v>0.97916666666666663</v>
      </c>
      <c r="K9" s="41"/>
      <c r="L9" s="153"/>
      <c r="M9" s="62"/>
      <c r="N9" s="36"/>
      <c r="O9" s="63"/>
      <c r="P9" s="2"/>
      <c r="R9" s="147" t="s">
        <v>19</v>
      </c>
      <c r="S9" s="108">
        <f>S8/S4</f>
        <v>0.97222222222222221</v>
      </c>
      <c r="T9" s="180"/>
      <c r="U9" s="180"/>
      <c r="V9" s="200"/>
      <c r="W9" s="180"/>
      <c r="X9" s="201"/>
      <c r="Y9" s="183"/>
      <c r="Z9" s="183"/>
      <c r="AA9" s="183"/>
      <c r="AB9" s="184"/>
      <c r="AC9" s="184"/>
      <c r="AD9" s="182"/>
      <c r="AE9" s="185"/>
      <c r="AF9" s="185"/>
      <c r="AG9" s="185"/>
      <c r="AH9" s="186"/>
      <c r="AI9" s="185"/>
      <c r="AJ9" s="182"/>
      <c r="AK9" s="182"/>
      <c r="AL9" s="182"/>
      <c r="AM9" s="187"/>
      <c r="AN9" s="182"/>
      <c r="AO9" s="182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53"/>
      <c r="M10" s="35"/>
      <c r="N10" s="36"/>
      <c r="O10" s="2"/>
      <c r="P10" s="2"/>
      <c r="R10" s="145"/>
      <c r="S10" s="202"/>
      <c r="T10" s="182"/>
      <c r="U10" s="182"/>
      <c r="V10" s="203"/>
      <c r="W10" s="183"/>
      <c r="X10" s="183"/>
      <c r="Y10" s="183"/>
      <c r="Z10" s="183"/>
      <c r="AA10" s="183"/>
      <c r="AB10" s="184"/>
      <c r="AC10" s="184"/>
      <c r="AD10" s="182"/>
      <c r="AE10" s="185"/>
      <c r="AF10" s="185"/>
      <c r="AG10" s="185"/>
      <c r="AH10" s="186"/>
      <c r="AI10" s="185"/>
      <c r="AJ10" s="182"/>
      <c r="AK10" s="182"/>
      <c r="AL10" s="182"/>
      <c r="AM10" s="187"/>
      <c r="AN10" s="182"/>
      <c r="AO10" s="182"/>
    </row>
    <row r="11" spans="1:91" ht="16.2" thickBot="1" x14ac:dyDescent="0.35">
      <c r="A11" s="229" t="str">
        <f>"Eagle P3 System Performance - "&amp;TEXT(Variables!A2,"yyyy-mm-dd")</f>
        <v>Eagle P3 System Performance - 2017-10-29</v>
      </c>
      <c r="B11" s="229"/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S11" s="174">
        <f>AVERAGE(S13:S114)</f>
        <v>1</v>
      </c>
      <c r="V11" s="203"/>
      <c r="AE11" s="185"/>
      <c r="AF11" s="185"/>
      <c r="AG11" s="185"/>
      <c r="AH11" s="186"/>
      <c r="AI11" s="185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64" t="s">
        <v>54</v>
      </c>
      <c r="L12" s="16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50" t="s">
        <v>24</v>
      </c>
      <c r="S12" s="204" t="s">
        <v>63</v>
      </c>
      <c r="T12" s="205" t="s">
        <v>64</v>
      </c>
      <c r="U12" s="205" t="s">
        <v>65</v>
      </c>
      <c r="V12" s="206" t="s">
        <v>45</v>
      </c>
      <c r="W12" s="207" t="s">
        <v>23</v>
      </c>
      <c r="X12" s="207" t="s">
        <v>48</v>
      </c>
      <c r="Y12" s="207" t="s">
        <v>20</v>
      </c>
      <c r="Z12" s="207" t="s">
        <v>21</v>
      </c>
      <c r="AA12" s="207" t="s">
        <v>22</v>
      </c>
      <c r="AB12" s="208" t="s">
        <v>39</v>
      </c>
      <c r="AC12" s="208" t="s">
        <v>40</v>
      </c>
      <c r="AD12" s="207" t="s">
        <v>82</v>
      </c>
      <c r="AE12" s="209" t="s">
        <v>89</v>
      </c>
      <c r="AF12" s="210" t="s">
        <v>93</v>
      </c>
      <c r="AG12" s="211" t="s">
        <v>104</v>
      </c>
      <c r="AH12" s="212" t="s">
        <v>106</v>
      </c>
      <c r="AI12" s="213" t="s">
        <v>141</v>
      </c>
      <c r="AJ12" s="207" t="s">
        <v>142</v>
      </c>
      <c r="AK12" s="207" t="s">
        <v>115</v>
      </c>
      <c r="AL12" s="207" t="s">
        <v>143</v>
      </c>
      <c r="AM12" s="214" t="s">
        <v>189</v>
      </c>
      <c r="AN12" s="207" t="s">
        <v>331</v>
      </c>
      <c r="AO12" s="211" t="s">
        <v>366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630</v>
      </c>
      <c r="B13" s="7">
        <v>4046</v>
      </c>
      <c r="C13" s="21" t="s">
        <v>194</v>
      </c>
      <c r="D13" s="21" t="s">
        <v>872</v>
      </c>
      <c r="E13" s="13">
        <v>43037.130578703705</v>
      </c>
      <c r="F13" s="13">
        <v>43037.135671296295</v>
      </c>
      <c r="G13" s="7">
        <v>74</v>
      </c>
      <c r="H13" s="21" t="s">
        <v>387</v>
      </c>
      <c r="I13" s="13">
        <v>43037.161481481482</v>
      </c>
      <c r="J13" s="7">
        <v>0</v>
      </c>
      <c r="K13" s="76" t="str">
        <f t="shared" ref="K13:K76" si="0">IF(ISEVEN(B13),(B13-1)&amp;"/"&amp;B13,B13&amp;"/"&amp;(B13+1))</f>
        <v>4045/4046</v>
      </c>
      <c r="L13" s="164" t="str">
        <f>VLOOKUP(A13,'Trips&amp;Operators'!$C$1:$G$99911,5,FALSE)</f>
        <v>THOMPSON LESTER</v>
      </c>
      <c r="M13" s="6">
        <f t="shared" ref="M13:M76" si="1">I13-F13</f>
        <v>2.5810185186855961E-2</v>
      </c>
      <c r="N13" s="7">
        <f t="shared" ref="N13:N44" si="2">24*60*SUM($M13:$M13)</f>
        <v>37.166666669072583</v>
      </c>
      <c r="O13" s="7"/>
      <c r="P13" s="7"/>
      <c r="Q13" s="22"/>
      <c r="R13" s="151"/>
      <c r="S13" s="215">
        <f t="shared" ref="S13:S44" si="3">1/IF(AG13="EC",12,1)*SUM(U13:U13)</f>
        <v>1</v>
      </c>
      <c r="T13" s="216" t="str">
        <f t="shared" ref="T13:T76" si="4">IF(ISEVEN(LEFT(AD13,4)),"Southbound","NorthBound")</f>
        <v>NorthBound</v>
      </c>
      <c r="U13" s="216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7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-29T02:08:02-0600',mode:absolute,to:'2017-10-29T04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" s="218" t="str">
        <f>IF(AA13&lt;VLOOKUP(AG13,Variables!$AC$3:$AD$8,2,FALSE),"Y","N")</f>
        <v>N</v>
      </c>
      <c r="X13" s="218" t="e">
        <f t="shared" ref="X13:X43" si="6">VALUE(LEFT(AD13,4))-VALUE(LEFT(AD12,4))</f>
        <v>#VALUE!</v>
      </c>
      <c r="Y13" s="218">
        <f t="shared" ref="Y13:Y44" si="7">RIGHT(D13,LEN(D13)-4)/10000</f>
        <v>7.5200000000000003E-2</v>
      </c>
      <c r="Z13" s="218">
        <f t="shared" ref="Z13:Z44" si="8">RIGHT(H13,LEN(H13)-4)/10000</f>
        <v>23.329699999999999</v>
      </c>
      <c r="AA13" s="218">
        <f t="shared" ref="AA13:AA76" si="9">ABS(Z13-Y13)</f>
        <v>23.2545</v>
      </c>
      <c r="AB13" s="219" t="str">
        <f>VLOOKUP(A13,Enforcements!$C$7:$K$11,8,0)</f>
        <v>Speed (6)</v>
      </c>
      <c r="AC13" s="219" t="str">
        <f>VLOOKUP(A13,Enforcements!$C$7:$E$11,3,0)</f>
        <v>PERMANENT SPEED RESTRICTION</v>
      </c>
      <c r="AD13" s="186">
        <f t="shared" ref="AD13:AD76" si="10">VALUE(LEFT(A13,LEN(A13)-3))</f>
        <v>101</v>
      </c>
      <c r="AE13" s="220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s3://rtdc.mdm.uploadarchive.raw/RTDC4046/ "%USERPROFILE%\AppData\Local\Temp\OnboardLogs"\RTDC4046\2017-10-29 --exclude "*" --recursive --include "*20171029*" &amp; "%USERPROFILE%\Documents\GitHub\mrs-test-scripts\Headless Mode &amp; Sideloading\WalkAndUnGZ.bat" "%USERPROFILE%\AppData\Local\Temp\OnboardLogs"\RTDC4046\2017-10-29 &amp; aws s3 cp s3://rtdc.mdm.uploadarchive.raw/RTDC4046/ "%USERPROFILE%\AppData\Local\Temp\OnboardLogs"\RTDC4046\2017-10-30 --exclude "*" --recursive --include "*20171030*" &amp; "%USERPROFILE%\Documents\GitHub\mrs-test-scripts\Headless Mode &amp; Sideloading\WalkAndUnGZ.bat" "%USERPROFILE%\AppData\Local\Temp\OnboardLogs"\RTDC4046\2017-10-30</v>
      </c>
      <c r="AF13" s="221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/stypes="app*4046*20171029*" /stext=" 09:.+((SYSTEM_STATE.+slice.+state.+changed )|(ment ac)|(multiple cpu faults)|(system.+state.+changed )|(\[timeout)|(PRM\|1\|D)|(kpr)|(kdp)|(train st.+moving)|(\|lc)|(penalty))"</v>
      </c>
      <c r="AG13" s="185" t="str">
        <f t="shared" ref="AG13:AG76" si="13">DetSubdiv(A13)</f>
        <v>EC</v>
      </c>
      <c r="AH13" s="222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101-29 --locoid 4046 --swversion DE.1.0.9.0 --startMP 204:752 --initTime 2017-10-29T03:08:02 --startdatetime 2017-10-29T03:15:22 --delay 74 --endMP 204:233297 --enddatetime 2017-10-29T03:52:32 --enforcementcount 0 &gt;&gt;%USERPROFILE%\Documents\GitHub\eaglep3-reporting\EC\2017-10-29-refined-times.txt</v>
      </c>
      <c r="AI13" s="223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{"issue":{"subject":"","project_id":79,"tracker_id":40,"status_id":1,"priority_id":2,"assigned_to_id":338,"start_date":"2017-10-29","description":"","custom_fields":[{"id":1,"name":"Subdivision","value":"EC"},{"id":4,"name":"Milepost","value":"23.3297"},{"id":17,"name":"Train ID","value":"101-29"},{"id":16,"name":"Locomotive ID","value":"4046"},{"id":130,"name":"Impact","value":""},{"id":150,"name":"Time of Event (Mountain Time)","value":"03:52:32"},{"id":151,"name":"Denver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182"/>
      <c r="AK13" s="186"/>
      <c r="AL13" s="186"/>
      <c r="AM13" s="187" t="str">
        <f t="shared" ref="AM13" si="16">"start /low /b "&amp;dls3logs&amp;" --loco "&amp;B13&amp;" --day "&amp;TEXT(F13,"YYYY-MM-DD")</f>
        <v>start /low /b %USERPROFILE%\Documents\GitHub\eaglep3\Utilities\DownloadLogsFromS3.py --loco 4046 --day 2017-10-29</v>
      </c>
      <c r="AN13" s="224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09:52:32"},{"id":29,"name":"Sharepoint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82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-10-29T02:08:02-0600',mode:absolute,to:'2017-10-29T04:52:32-0600'))&amp;_a=(columns:!('Message%20ID',Summary),filters:!(),index:'emp_*',interval:auto,query:(query_string:(analyze_wildcard:!t,query:'%22rtdc.l.rtdc.4046%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32" t="s">
        <v>677</v>
      </c>
      <c r="B14" s="7">
        <v>4045</v>
      </c>
      <c r="C14" s="21" t="s">
        <v>194</v>
      </c>
      <c r="D14" s="21" t="s">
        <v>491</v>
      </c>
      <c r="E14" s="13">
        <v>43037.172696759262</v>
      </c>
      <c r="F14" s="13">
        <v>43037.175243055557</v>
      </c>
      <c r="G14" s="7">
        <v>62</v>
      </c>
      <c r="H14" s="21" t="s">
        <v>571</v>
      </c>
      <c r="I14" s="13">
        <v>43037.202719907407</v>
      </c>
      <c r="J14" s="7">
        <v>0</v>
      </c>
      <c r="K14" s="76" t="str">
        <f t="shared" si="0"/>
        <v>4045/4046</v>
      </c>
      <c r="L14" s="164" t="str">
        <f>VLOOKUP(A14,'Trips&amp;Operators'!$C$1:$G$99911,5,FALSE)</f>
        <v>THOMPSON LESTER</v>
      </c>
      <c r="M14" s="6">
        <f t="shared" si="1"/>
        <v>2.7476851850224193E-2</v>
      </c>
      <c r="N14" s="7">
        <f t="shared" si="2"/>
        <v>39.566666664322838</v>
      </c>
      <c r="O14" s="7"/>
      <c r="P14" s="7"/>
      <c r="Q14" s="22"/>
      <c r="R14" s="157"/>
      <c r="S14" s="215">
        <f t="shared" si="3"/>
        <v>1</v>
      </c>
      <c r="T14" s="216" t="str">
        <f t="shared" si="4"/>
        <v>Southbound</v>
      </c>
      <c r="U14" s="216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7" t="str">
        <f t="shared" si="5"/>
        <v>https://d0f6bd738d7f1b3e5a7ca70fe4ff75f0.us-east-1.aws.found.io/app/kibana#/discover/Steve-Slow-Train-Analysis-(2080s-and-2083s)?_g=(refreshInterval:(display:Off,pause:!f,section:0,value:0),time:(from:'2017-10-29T03:08:41-0600',mode:absolute,to:'2017-10-29T05:51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" s="218" t="str">
        <f>IF(AA14&lt;VLOOKUP(AG14,Variables!$AC$3:$AD$8,2,FALSE),"Y","N")</f>
        <v>N</v>
      </c>
      <c r="X14" s="218">
        <f t="shared" si="6"/>
        <v>1</v>
      </c>
      <c r="Y14" s="218">
        <f t="shared" si="7"/>
        <v>23.297699999999999</v>
      </c>
      <c r="Z14" s="218">
        <f t="shared" si="8"/>
        <v>1.61E-2</v>
      </c>
      <c r="AA14" s="218">
        <f t="shared" si="9"/>
        <v>23.281599999999997</v>
      </c>
      <c r="AB14" s="219" t="e">
        <f>VLOOKUP(A14,Enforcements!$C$7:$K$11,8,0)</f>
        <v>#N/A</v>
      </c>
      <c r="AC14" s="219" t="e">
        <f>VLOOKUP(A14,Enforcements!$C$7:$E$11,3,0)</f>
        <v>#N/A</v>
      </c>
      <c r="AD14" s="186">
        <f t="shared" si="10"/>
        <v>102</v>
      </c>
      <c r="AE14" s="220" t="str">
        <f t="shared" si="11"/>
        <v>aws s3 cp s3://rtdc.mdm.uploadarchive.raw/RTDC4045/ "%USERPROFILE%\AppData\Local\Temp\OnboardLogs"\RTDC4045\2017-10-29 --exclude "*" --recursive --include "*20171029*" &amp; "%USERPROFILE%\Documents\GitHub\mrs-test-scripts\Headless Mode &amp; Sideloading\WalkAndUnGZ.bat" "%USERPROFILE%\AppData\Local\Temp\OnboardLogs"\RTDC4045\2017-10-29 &amp; aws s3 cp s3://rtdc.mdm.uploadarchive.raw/RTDC4045/ "%USERPROFILE%\AppData\Local\Temp\OnboardLogs"\RTDC4045\2017-10-30 --exclude "*" --recursive --include "*20171030*" &amp; "%USERPROFILE%\Documents\GitHub\mrs-test-scripts\Headless Mode &amp; Sideloading\WalkAndUnGZ.bat" "%USERPROFILE%\AppData\Local\Temp\OnboardLogs"\RTDC4045\2017-10-30</v>
      </c>
      <c r="AF14" s="221" t="str">
        <f t="shared" si="12"/>
        <v>"C:\Program Files (x86)\AstroGrep\AstroGrep.exe" /e /r /s /spath="%USERPROFILE%\AppData\Local\Temp\OnboardLogs" /stypes="app*4045*20171029*" /stext=" 10:.+((SYSTEM_STATE.+slice.+state.+changed )|(ment ac)|(multiple cpu faults)|(system.+state.+changed )|(\[timeout)|(PRM\|1\|D)|(kpr)|(kdp)|(train st.+moving)|(\|lc)|(penalty))"</v>
      </c>
      <c r="AG14" s="185" t="str">
        <f t="shared" si="13"/>
        <v>EC</v>
      </c>
      <c r="AH14" s="222" t="str">
        <f t="shared" ref="AH14:AH75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102-29 --locoid 4045 --swversion DE.1.0.9.0 --startMP 204:232977 --initTime 2017-10-29T04:08:41 --startdatetime 2017-10-29T04:12:21 --delay 62 --endMP 204:161 --enddatetime 2017-10-29T04:51:55 --enforcementcount 0 &gt;&gt;%USERPROFILE%\Documents\GitHub\eaglep3-reporting\EC\2017-10-29-refined-times.txt</v>
      </c>
      <c r="AI14" s="223" t="str">
        <f t="shared" ref="AI14:AI75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{"issue":{"subject":"","project_id":79,"tracker_id":40,"status_id":1,"priority_id":2,"assigned_to_id":338,"start_date":"2017-10-29","description":"","custom_fields":[{"id":1,"name":"Subdivision","value":"EC"},{"id":4,"name":"Milepost","value":"0.0161"},{"id":17,"name":"Train ID","value":"102-29"},{"id":16,"name":"Locomotive ID","value":"4045"},{"id":130,"name":"Impact","value":""},{"id":150,"name":"Time of Event (Mountain Time)","value":"04:51:55"},{"id":151,"name":"Denver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182"/>
      <c r="AK14" s="186"/>
      <c r="AL14" s="186"/>
      <c r="AM14" s="187" t="str">
        <f t="shared" ref="AM14:AM75" si="21">"start /low /b "&amp;dls3logs&amp;" --loco "&amp;B14&amp;" --day "&amp;TEXT(F14,"YYYY-MM-DD")</f>
        <v>start /low /b %USERPROFILE%\Documents\GitHub\eaglep3\Utilities\DownloadLogsFromS3.py --loco 4045 --day 2017-10-29</v>
      </c>
      <c r="AN14" s="224" t="str">
        <f t="shared" ref="AN14:AN75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10:51:55"},{"id":29,"name":"Sharepoint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82" t="str">
        <f t="shared" ref="AO14:AO75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-10-29T03:08:41-0600',mode:absolute,to:'2017-10-29T05:51:55-0600'))&amp;_a=(columns:!('Message%20ID',Summary),filters:!(),index:'emp_*',interval:auto,query:(query_string:(analyze_wildcard:!t,query:'%22rtdc.l.rtdc.4045%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32" t="s">
        <v>672</v>
      </c>
      <c r="B15" s="7">
        <v>4018</v>
      </c>
      <c r="C15" s="21" t="s">
        <v>194</v>
      </c>
      <c r="D15" s="21" t="s">
        <v>566</v>
      </c>
      <c r="E15" s="13">
        <v>43037.150729166664</v>
      </c>
      <c r="F15" s="13">
        <v>43037.156585648147</v>
      </c>
      <c r="G15" s="7">
        <v>55</v>
      </c>
      <c r="H15" s="21" t="s">
        <v>594</v>
      </c>
      <c r="I15" s="13">
        <v>43037.180543981478</v>
      </c>
      <c r="J15" s="7">
        <v>0</v>
      </c>
      <c r="K15" s="76" t="str">
        <f t="shared" si="0"/>
        <v>4017/4018</v>
      </c>
      <c r="L15" s="164" t="str">
        <f>VLOOKUP(A15,'Trips&amp;Operators'!$C$1:$G$99911,5,FALSE)</f>
        <v>MAELZER KURT</v>
      </c>
      <c r="M15" s="6">
        <f t="shared" si="1"/>
        <v>2.3958333331393078E-2</v>
      </c>
      <c r="N15" s="7">
        <f t="shared" si="2"/>
        <v>34.499999997206032</v>
      </c>
      <c r="O15" s="7"/>
      <c r="P15" s="7"/>
      <c r="Q15" s="22"/>
      <c r="R15" s="157"/>
      <c r="S15" s="215">
        <f t="shared" si="3"/>
        <v>1</v>
      </c>
      <c r="T15" s="216" t="str">
        <f t="shared" si="4"/>
        <v>NorthBound</v>
      </c>
      <c r="U15" s="216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7" t="str">
        <f t="shared" si="5"/>
        <v>https://d0f6bd738d7f1b3e5a7ca70fe4ff75f0.us-east-1.aws.found.io/app/kibana#/discover/Steve-Slow-Train-Analysis-(2080s-and-2083s)?_g=(refreshInterval:(display:Off,pause:!f,section:0,value:0),time:(from:'2017-10-29T02:37:03-0600',mode:absolute,to:'2017-10-29T05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" s="218" t="str">
        <f>IF(AA15&lt;VLOOKUP(AG15,Variables!$AC$3:$AD$8,2,FALSE),"Y","N")</f>
        <v>N</v>
      </c>
      <c r="X15" s="218">
        <f t="shared" si="6"/>
        <v>1</v>
      </c>
      <c r="Y15" s="218">
        <f t="shared" si="7"/>
        <v>4.6899999999999997E-2</v>
      </c>
      <c r="Z15" s="218">
        <f t="shared" si="8"/>
        <v>23.331099999999999</v>
      </c>
      <c r="AA15" s="218">
        <f t="shared" si="9"/>
        <v>23.284199999999998</v>
      </c>
      <c r="AB15" s="219" t="e">
        <f>VLOOKUP(A15,Enforcements!$C$7:$K$11,8,0)</f>
        <v>#N/A</v>
      </c>
      <c r="AC15" s="219" t="e">
        <f>VLOOKUP(A15,Enforcements!$C$7:$E$11,3,0)</f>
        <v>#N/A</v>
      </c>
      <c r="AD15" s="186">
        <f t="shared" si="10"/>
        <v>103</v>
      </c>
      <c r="AE15" s="220" t="str">
        <f t="shared" si="11"/>
        <v>aws s3 cp s3://rtdc.mdm.uploadarchive.raw/RTDC4018/ "%USERPROFILE%\AppData\Local\Temp\OnboardLogs"\RTDC4018\2017-10-29 --exclude "*" --recursive --include "*20171029*" &amp; "%USERPROFILE%\Documents\GitHub\mrs-test-scripts\Headless Mode &amp; Sideloading\WalkAndUnGZ.bat" "%USERPROFILE%\AppData\Local\Temp\OnboardLogs"\RTDC4018\2017-10-29 &amp; aws s3 cp s3://rtdc.mdm.uploadarchive.raw/RTDC4018/ "%USERPROFILE%\AppData\Local\Temp\OnboardLogs"\RTDC4018\2017-10-30 --exclude "*" --recursive --include "*20171030*" &amp; "%USERPROFILE%\Documents\GitHub\mrs-test-scripts\Headless Mode &amp; Sideloading\WalkAndUnGZ.bat" "%USERPROFILE%\AppData\Local\Temp\OnboardLogs"\RTDC4018\2017-10-30</v>
      </c>
      <c r="AF15" s="221" t="str">
        <f t="shared" si="12"/>
        <v>"C:\Program Files (x86)\AstroGrep\AstroGrep.exe" /e /r /s /spath="%USERPROFILE%\AppData\Local\Temp\OnboardLogs" /stypes="app*4018*20171029*" /stext=" 10:.+((SYSTEM_STATE.+slice.+state.+changed )|(ment ac)|(multiple cpu faults)|(system.+state.+changed )|(\[timeout)|(PRM\|1\|D)|(kpr)|(kdp)|(train st.+moving)|(\|lc)|(penalty))"</v>
      </c>
      <c r="AG15" s="185" t="str">
        <f t="shared" si="13"/>
        <v>EC</v>
      </c>
      <c r="AH15" s="222" t="str">
        <f t="shared" si="19"/>
        <v>"%USERPROFILE%\Documents\GitHub\eaglep3\Utilities\RefineRTDCRunTimes.py" --tripid 103-29 --locoid 4018 --swversion DE.1.0.9.0 --startMP 204:469 --initTime 2017-10-29T03:37:03 --startdatetime 2017-10-29T03:45:29 --delay 55 --endMP 204:233311 --enddatetime 2017-10-29T04:19:59 --enforcementcount 0 &gt;&gt;%USERPROFILE%\Documents\GitHub\eaglep3-reporting\EC\2017-10-29-refined-times.txt</v>
      </c>
      <c r="AI15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{"issue":{"subject":"","project_id":79,"tracker_id":40,"status_id":1,"priority_id":2,"assigned_to_id":338,"start_date":"2017-10-29","description":"","custom_fields":[{"id":1,"name":"Subdivision","value":"EC"},{"id":4,"name":"Milepost","value":"23.3311"},{"id":17,"name":"Train ID","value":"103-29"},{"id":16,"name":"Locomotive ID","value":"4018"},{"id":130,"name":"Impact","value":""},{"id":150,"name":"Time of Event (Mountain Time)","value":"04:19:59"},{"id":151,"name":"Denver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182"/>
      <c r="AK15" s="186"/>
      <c r="AL15" s="186"/>
      <c r="AM15" s="187" t="str">
        <f t="shared" si="21"/>
        <v>start /low /b %USERPROFILE%\Documents\GitHub\eaglep3\Utilities\DownloadLogsFromS3.py --loco 4018 --day 2017-10-29</v>
      </c>
      <c r="AN15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10:19:59"},{"id":29,"name":"Sharepoint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82" t="str">
        <f t="shared" si="23"/>
        <v>https://d0f6bd738d7f1b3e5a7ca70fe4ff75f0.us-east-1.aws.found.io/app/kibana#/discover/Steve-Slow-Train-Analysis-(2080s-and-2083s)?_g=(refreshInterval:(display:Off,pause:!f,section:0,value:0),time:(from:'2017-10-29T02:37:03-0600',mode:absolute,to:'2017-10-29T05:19:59-0600'))&amp;_a=(columns:!('Message%20ID',Summary),filters:!(),index:'emp_*',interval:auto,query:(query_string:(analyze_wildcard:!t,query:'%22rtdc.l.rtdc.4018%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32" t="s">
        <v>683</v>
      </c>
      <c r="B16" s="7">
        <v>4017</v>
      </c>
      <c r="C16" s="21" t="s">
        <v>194</v>
      </c>
      <c r="D16" s="21" t="s">
        <v>873</v>
      </c>
      <c r="E16" s="13">
        <v>43037.185231481482</v>
      </c>
      <c r="F16" s="13">
        <v>43037.196516203701</v>
      </c>
      <c r="G16" s="7">
        <v>43</v>
      </c>
      <c r="H16" s="21" t="s">
        <v>335</v>
      </c>
      <c r="I16" s="13">
        <v>43037.22284722222</v>
      </c>
      <c r="J16" s="7">
        <v>0</v>
      </c>
      <c r="K16" s="76" t="str">
        <f t="shared" si="0"/>
        <v>4017/4018</v>
      </c>
      <c r="L16" s="164" t="str">
        <f>VLOOKUP(A16,'Trips&amp;Operators'!$C$1:$G$99911,5,FALSE)</f>
        <v>MAELZER KURT</v>
      </c>
      <c r="M16" s="6">
        <f t="shared" si="1"/>
        <v>2.6331018518249039E-2</v>
      </c>
      <c r="N16" s="7">
        <f t="shared" si="2"/>
        <v>37.916666666278616</v>
      </c>
      <c r="O16" s="7"/>
      <c r="P16" s="7"/>
      <c r="Q16" s="22"/>
      <c r="R16" s="157"/>
      <c r="S16" s="215">
        <f t="shared" si="3"/>
        <v>1</v>
      </c>
      <c r="T16" s="216" t="str">
        <f t="shared" si="4"/>
        <v>Southbound</v>
      </c>
      <c r="U16" s="216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7" t="str">
        <f t="shared" si="5"/>
        <v>https://d0f6bd738d7f1b3e5a7ca70fe4ff75f0.us-east-1.aws.found.io/app/kibana#/discover/Steve-Slow-Train-Analysis-(2080s-and-2083s)?_g=(refreshInterval:(display:Off,pause:!f,section:0,value:0),time:(from:'2017-10-29T03:26:44-0600',mode:absolute,to:'2017-10-29T06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6" s="218" t="str">
        <f>IF(AA16&lt;VLOOKUP(AG16,Variables!$AC$3:$AD$8,2,FALSE),"Y","N")</f>
        <v>N</v>
      </c>
      <c r="X16" s="218">
        <f t="shared" si="6"/>
        <v>1</v>
      </c>
      <c r="Y16" s="218">
        <f t="shared" si="7"/>
        <v>23.299399999999999</v>
      </c>
      <c r="Z16" s="218">
        <f t="shared" si="8"/>
        <v>1.43E-2</v>
      </c>
      <c r="AA16" s="218">
        <f t="shared" si="9"/>
        <v>23.2851</v>
      </c>
      <c r="AB16" s="219" t="e">
        <f>VLOOKUP(A16,Enforcements!$C$7:$K$11,8,0)</f>
        <v>#N/A</v>
      </c>
      <c r="AC16" s="219" t="e">
        <f>VLOOKUP(A16,Enforcements!$C$7:$E$11,3,0)</f>
        <v>#N/A</v>
      </c>
      <c r="AD16" s="186">
        <f t="shared" si="10"/>
        <v>104</v>
      </c>
      <c r="AE16" s="220" t="str">
        <f t="shared" si="11"/>
        <v>aws s3 cp s3://rtdc.mdm.uploadarchive.raw/RTDC4017/ "%USERPROFILE%\AppData\Local\Temp\OnboardLogs"\RTDC4017\2017-10-29 --exclude "*" --recursive --include "*20171029*" &amp; "%USERPROFILE%\Documents\GitHub\mrs-test-scripts\Headless Mode &amp; Sideloading\WalkAndUnGZ.bat" "%USERPROFILE%\AppData\Local\Temp\OnboardLogs"\RTDC4017\2017-10-29 &amp; aws s3 cp s3://rtdc.mdm.uploadarchive.raw/RTDC4017/ "%USERPROFILE%\AppData\Local\Temp\OnboardLogs"\RTDC4017\2017-10-30 --exclude "*" --recursive --include "*20171030*" &amp; "%USERPROFILE%\Documents\GitHub\mrs-test-scripts\Headless Mode &amp; Sideloading\WalkAndUnGZ.bat" "%USERPROFILE%\AppData\Local\Temp\OnboardLogs"\RTDC4017\2017-10-30</v>
      </c>
      <c r="AF16" s="221" t="str">
        <f t="shared" si="12"/>
        <v>"C:\Program Files (x86)\AstroGrep\AstroGrep.exe" /e /r /s /spath="%USERPROFILE%\AppData\Local\Temp\OnboardLogs" /stypes="app*4017*20171029*" /stext=" 11:.+((SYSTEM_STATE.+slice.+state.+changed )|(ment ac)|(multiple cpu faults)|(system.+state.+changed )|(\[timeout)|(PRM\|1\|D)|(kpr)|(kdp)|(train st.+moving)|(\|lc)|(penalty))"</v>
      </c>
      <c r="AG16" s="185" t="str">
        <f t="shared" si="13"/>
        <v>EC</v>
      </c>
      <c r="AH16" s="222" t="str">
        <f t="shared" si="19"/>
        <v>"%USERPROFILE%\Documents\GitHub\eaglep3\Utilities\RefineRTDCRunTimes.py" --tripid 104-29 --locoid 4017 --swversion DE.1.0.9.0 --startMP 204:232994 --initTime 2017-10-29T04:26:44 --startdatetime 2017-10-29T04:42:59 --delay 43 --endMP 204:143 --enddatetime 2017-10-29T05:20:54 --enforcementcount 0 &gt;&gt;%USERPROFILE%\Documents\GitHub\eaglep3-reporting\EC\2017-10-29-refined-times.txt</v>
      </c>
      <c r="AI16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{"issue":{"subject":"","project_id":79,"tracker_id":40,"status_id":1,"priority_id":2,"assigned_to_id":338,"start_date":"2017-10-29","description":"","custom_fields":[{"id":1,"name":"Subdivision","value":"EC"},{"id":4,"name":"Milepost","value":"0.0143"},{"id":17,"name":"Train ID","value":"104-29"},{"id":16,"name":"Locomotive ID","value":"4017"},{"id":130,"name":"Impact","value":""},{"id":150,"name":"Time of Event (Mountain Time)","value":"05:20:54"},{"id":151,"name":"Denver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182"/>
      <c r="AK16" s="186"/>
      <c r="AL16" s="186"/>
      <c r="AM16" s="187" t="str">
        <f t="shared" si="21"/>
        <v>start /low /b %USERPROFILE%\Documents\GitHub\eaglep3\Utilities\DownloadLogsFromS3.py --loco 4017 --day 2017-10-29</v>
      </c>
      <c r="AN16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11:20:54"},{"id":29,"name":"Sharepoint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82" t="str">
        <f t="shared" si="23"/>
        <v>https://d0f6bd738d7f1b3e5a7ca70fe4ff75f0.us-east-1.aws.found.io/app/kibana#/discover/Steve-Slow-Train-Analysis-(2080s-and-2083s)?_g=(refreshInterval:(display:Off,pause:!f,section:0,value:0),time:(from:'2017-10-29T03:26:44-0600',mode:absolute,to:'2017-10-29T06:20:54-0600'))&amp;_a=(columns:!('Message%20ID',Summary),filters:!(),index:'emp_*',interval:auto,query:(query_string:(analyze_wildcard:!t,query:'%22rtdc.l.rtdc.4017%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32" t="s">
        <v>676</v>
      </c>
      <c r="B17" s="7">
        <v>4060</v>
      </c>
      <c r="C17" s="21" t="s">
        <v>194</v>
      </c>
      <c r="D17" s="21" t="s">
        <v>874</v>
      </c>
      <c r="E17" s="13">
        <v>43037.171736111108</v>
      </c>
      <c r="F17" s="13">
        <v>43037.17728009259</v>
      </c>
      <c r="G17" s="7">
        <v>74</v>
      </c>
      <c r="H17" s="21" t="s">
        <v>875</v>
      </c>
      <c r="I17" s="13">
        <v>43037.202418981484</v>
      </c>
      <c r="J17" s="7">
        <v>0</v>
      </c>
      <c r="K17" s="76" t="str">
        <f t="shared" si="0"/>
        <v>4059/4060</v>
      </c>
      <c r="L17" s="164" t="str">
        <f>VLOOKUP(A17,'Trips&amp;Operators'!$C$1:$G$99911,5,FALSE)</f>
        <v>LANGERAK WILLIAM</v>
      </c>
      <c r="M17" s="6">
        <f t="shared" si="1"/>
        <v>2.513888889370719E-2</v>
      </c>
      <c r="N17" s="7">
        <f t="shared" si="2"/>
        <v>36.200000006938353</v>
      </c>
      <c r="O17" s="7"/>
      <c r="P17" s="7"/>
      <c r="Q17" s="22"/>
      <c r="R17" s="157"/>
      <c r="S17" s="215">
        <f t="shared" si="3"/>
        <v>1</v>
      </c>
      <c r="T17" s="216" t="str">
        <f t="shared" si="4"/>
        <v>NorthBound</v>
      </c>
      <c r="U17" s="216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7" t="str">
        <f t="shared" si="5"/>
        <v>https://d0f6bd738d7f1b3e5a7ca70fe4ff75f0.us-east-1.aws.found.io/app/kibana#/discover/Steve-Slow-Train-Analysis-(2080s-and-2083s)?_g=(refreshInterval:(display:Off,pause:!f,section:0,value:0),time:(from:'2017-10-29T03:07:18-0600',mode:absolute,to:'2017-10-29T05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7" s="218" t="str">
        <f>IF(AA17&lt;VLOOKUP(AG17,Variables!$AC$3:$AD$8,2,FALSE),"Y","N")</f>
        <v>N</v>
      </c>
      <c r="X17" s="218">
        <f t="shared" si="6"/>
        <v>1</v>
      </c>
      <c r="Y17" s="218">
        <f t="shared" si="7"/>
        <v>4.6699999999999998E-2</v>
      </c>
      <c r="Z17" s="218">
        <f t="shared" si="8"/>
        <v>23.328600000000002</v>
      </c>
      <c r="AA17" s="218">
        <f t="shared" si="9"/>
        <v>23.2819</v>
      </c>
      <c r="AB17" s="219" t="e">
        <f>VLOOKUP(A17,Enforcements!$C$7:$K$11,8,0)</f>
        <v>#N/A</v>
      </c>
      <c r="AC17" s="219" t="e">
        <f>VLOOKUP(A17,Enforcements!$C$7:$E$11,3,0)</f>
        <v>#N/A</v>
      </c>
      <c r="AD17" s="186">
        <f t="shared" si="10"/>
        <v>105</v>
      </c>
      <c r="AE17" s="220" t="str">
        <f t="shared" si="11"/>
        <v>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 &amp; aws s3 cp s3://rtdc.mdm.uploadarchive.raw/RTDC4060/ "%USERPROFILE%\AppData\Local\Temp\OnboardLogs"\RTDC4060\2017-10-30 --exclude "*" --recursive --include "*20171030*" &amp; "%USERPROFILE%\Documents\GitHub\mrs-test-scripts\Headless Mode &amp; Sideloading\WalkAndUnGZ.bat" "%USERPROFILE%\AppData\Local\Temp\OnboardLogs"\RTDC4060\2017-10-30</v>
      </c>
      <c r="AF17" s="221" t="str">
        <f t="shared" si="12"/>
        <v>"C:\Program Files (x86)\AstroGrep\AstroGrep.exe" /e /r /s /spath="%USERPROFILE%\AppData\Local\Temp\OnboardLogs" /stypes="app*4060*20171029*" /stext=" 10:.+((SYSTEM_STATE.+slice.+state.+changed )|(ment ac)|(multiple cpu faults)|(system.+state.+changed )|(\[timeout)|(PRM\|1\|D)|(kpr)|(kdp)|(train st.+moving)|(\|lc)|(penalty))"</v>
      </c>
      <c r="AG17" s="185" t="str">
        <f t="shared" si="13"/>
        <v>EC</v>
      </c>
      <c r="AH17" s="222" t="str">
        <f t="shared" si="19"/>
        <v>"%USERPROFILE%\Documents\GitHub\eaglep3\Utilities\RefineRTDCRunTimes.py" --tripid 105-29 --locoid 4060 --swversion DE.1.0.9.0 --startMP 204:467 --initTime 2017-10-29T04:07:18 --startdatetime 2017-10-29T04:15:17 --delay 74 --endMP 204:233286 --enddatetime 2017-10-29T04:51:29 --enforcementcount 0 &gt;&gt;%USERPROFILE%\Documents\GitHub\eaglep3-reporting\EC\2017-10-29-refined-times.txt</v>
      </c>
      <c r="AI17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{"issue":{"subject":"","project_id":79,"tracker_id":40,"status_id":1,"priority_id":2,"assigned_to_id":338,"start_date":"2017-10-29","description":"","custom_fields":[{"id":1,"name":"Subdivision","value":"EC"},{"id":4,"name":"Milepost","value":"23.3286"},{"id":17,"name":"Train ID","value":"105-29"},{"id":16,"name":"Locomotive ID","value":"4060"},{"id":130,"name":"Impact","value":""},{"id":150,"name":"Time of Event (Mountain Time)","value":"04:51:29"},{"id":151,"name":"Denver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182"/>
      <c r="AK17" s="186"/>
      <c r="AL17" s="186"/>
      <c r="AM17" s="187" t="str">
        <f t="shared" si="21"/>
        <v>start /low /b %USERPROFILE%\Documents\GitHub\eaglep3\Utilities\DownloadLogsFromS3.py --loco 4060 --day 2017-10-29</v>
      </c>
      <c r="AN17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10:51:29"},{"id":29,"name":"Sharepoint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82" t="str">
        <f t="shared" si="23"/>
        <v>https://d0f6bd738d7f1b3e5a7ca70fe4ff75f0.us-east-1.aws.found.io/app/kibana#/discover/Steve-Slow-Train-Analysis-(2080s-and-2083s)?_g=(refreshInterval:(display:Off,pause:!f,section:0,value:0),time:(from:'2017-10-29T03:07:18-0600',mode:absolute,to:'2017-10-29T05:51:29-0600'))&amp;_a=(columns:!('Message%20ID',Summary),filters:!(),index:'emp_*',interval:auto,query:(query_string:(analyze_wildcard:!t,query:'%22rtdc.l.rtdc.4060%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32" t="s">
        <v>686</v>
      </c>
      <c r="B18" s="7">
        <v>4059</v>
      </c>
      <c r="C18" s="21" t="s">
        <v>194</v>
      </c>
      <c r="D18" s="21" t="s">
        <v>876</v>
      </c>
      <c r="E18" s="13">
        <v>43037.204016203701</v>
      </c>
      <c r="F18" s="13">
        <v>43037.216967592591</v>
      </c>
      <c r="G18" s="7">
        <v>54</v>
      </c>
      <c r="H18" s="21" t="s">
        <v>877</v>
      </c>
      <c r="I18" s="13">
        <v>43037.244120370371</v>
      </c>
      <c r="J18" s="7">
        <v>0</v>
      </c>
      <c r="K18" s="76" t="str">
        <f t="shared" si="0"/>
        <v>4059/4060</v>
      </c>
      <c r="L18" s="164" t="str">
        <f>VLOOKUP(A18,'Trips&amp;Operators'!$C$1:$G$99911,5,FALSE)</f>
        <v>LANGERAK WILLIAM</v>
      </c>
      <c r="M18" s="6">
        <f t="shared" si="1"/>
        <v>2.715277778042946E-2</v>
      </c>
      <c r="N18" s="7">
        <f t="shared" si="2"/>
        <v>39.100000003818423</v>
      </c>
      <c r="O18" s="7"/>
      <c r="P18" s="7"/>
      <c r="Q18" s="22"/>
      <c r="R18" s="157"/>
      <c r="S18" s="215">
        <f t="shared" si="3"/>
        <v>1</v>
      </c>
      <c r="T18" s="216" t="str">
        <f t="shared" si="4"/>
        <v>Southbound</v>
      </c>
      <c r="U18" s="216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7" t="str">
        <f t="shared" si="5"/>
        <v>https://d0f6bd738d7f1b3e5a7ca70fe4ff75f0.us-east-1.aws.found.io/app/kibana#/discover/Steve-Slow-Train-Analysis-(2080s-and-2083s)?_g=(refreshInterval:(display:Off,pause:!f,section:0,value:0),time:(from:'2017-10-29T03:53:47-0600',mode:absolute,to:'2017-10-29T06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8" s="218" t="str">
        <f>IF(AA18&lt;VLOOKUP(AG18,Variables!$AC$3:$AD$8,2,FALSE),"Y","N")</f>
        <v>N</v>
      </c>
      <c r="X18" s="218">
        <f t="shared" si="6"/>
        <v>1</v>
      </c>
      <c r="Y18" s="218">
        <f t="shared" si="7"/>
        <v>23.297499999999999</v>
      </c>
      <c r="Z18" s="218">
        <f t="shared" si="8"/>
        <v>1.3599999999999999E-2</v>
      </c>
      <c r="AA18" s="218">
        <f t="shared" si="9"/>
        <v>23.283899999999999</v>
      </c>
      <c r="AB18" s="219" t="e">
        <f>VLOOKUP(A18,Enforcements!$C$7:$K$11,8,0)</f>
        <v>#N/A</v>
      </c>
      <c r="AC18" s="219" t="e">
        <f>VLOOKUP(A18,Enforcements!$C$7:$E$11,3,0)</f>
        <v>#N/A</v>
      </c>
      <c r="AD18" s="186">
        <f t="shared" si="10"/>
        <v>106</v>
      </c>
      <c r="AE18" s="220" t="str">
        <f t="shared" si="11"/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AF18" s="221" t="str">
        <f t="shared" si="12"/>
        <v>"C:\Program Files (x86)\AstroGrep\AstroGrep.exe" /e /r /s /spath="%USERPROFILE%\AppData\Local\Temp\OnboardLogs" /stypes="app*4059*20171029*" /stext=" 11:.+((SYSTEM_STATE.+slice.+state.+changed )|(ment ac)|(multiple cpu faults)|(system.+state.+changed )|(\[timeout)|(PRM\|1\|D)|(kpr)|(kdp)|(train st.+moving)|(\|lc)|(penalty))"</v>
      </c>
      <c r="AG18" s="185" t="str">
        <f t="shared" si="13"/>
        <v>EC</v>
      </c>
      <c r="AH18" s="222" t="str">
        <f t="shared" si="19"/>
        <v>"%USERPROFILE%\Documents\GitHub\eaglep3\Utilities\RefineRTDCRunTimes.py" --tripid 106-29 --locoid 4059 --swversion DE.1.0.9.0 --startMP 204:232975 --initTime 2017-10-29T04:53:47 --startdatetime 2017-10-29T05:12:26 --delay 54 --endMP 204:136 --enddatetime 2017-10-29T05:51:32 --enforcementcount 0 &gt;&gt;%USERPROFILE%\Documents\GitHub\eaglep3-reporting\EC\2017-10-29-refined-times.txt</v>
      </c>
      <c r="AI18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{"issue":{"subject":"","project_id":79,"tracker_id":40,"status_id":1,"priority_id":2,"assigned_to_id":338,"start_date":"2017-10-29","description":"","custom_fields":[{"id":1,"name":"Subdivision","value":"EC"},{"id":4,"name":"Milepost","value":"0.0136"},{"id":17,"name":"Train ID","value":"106-29"},{"id":16,"name":"Locomotive ID","value":"4059"},{"id":130,"name":"Impact","value":""},{"id":150,"name":"Time of Event (Mountain Time)","value":"05:51:32"},{"id":151,"name":"Denver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182"/>
      <c r="AK18" s="186"/>
      <c r="AL18" s="186"/>
      <c r="AM18" s="187" t="str">
        <f t="shared" si="21"/>
        <v>start /low /b %USERPROFILE%\Documents\GitHub\eaglep3\Utilities\DownloadLogsFromS3.py --loco 4059 --day 2017-10-29</v>
      </c>
      <c r="AN18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11:51:32"},{"id":29,"name":"Sharepoint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82" t="str">
        <f t="shared" si="23"/>
        <v>https://d0f6bd738d7f1b3e5a7ca70fe4ff75f0.us-east-1.aws.found.io/app/kibana#/discover/Steve-Slow-Train-Analysis-(2080s-and-2083s)?_g=(refreshInterval:(display:Off,pause:!f,section:0,value:0),time:(from:'2017-10-29T03:53:47-0600',mode:absolute,to:'2017-10-29T06:51:32-0600'))&amp;_a=(columns:!('Message%20ID',Summary),filters:!(),index:'emp_*',interval:auto,query:(query_string:(analyze_wildcard:!t,query:'%22rtdc.l.rtdc.4059%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32" t="s">
        <v>682</v>
      </c>
      <c r="B19" s="7">
        <v>4016</v>
      </c>
      <c r="C19" s="21" t="s">
        <v>194</v>
      </c>
      <c r="D19" s="21" t="s">
        <v>878</v>
      </c>
      <c r="E19" s="13">
        <v>43037.18204861111</v>
      </c>
      <c r="F19" s="13">
        <v>43037.187650462962</v>
      </c>
      <c r="G19" s="7">
        <v>64</v>
      </c>
      <c r="H19" s="21" t="s">
        <v>879</v>
      </c>
      <c r="I19" s="13">
        <v>43037.213796296295</v>
      </c>
      <c r="J19" s="7">
        <v>0</v>
      </c>
      <c r="K19" s="76" t="str">
        <f t="shared" si="0"/>
        <v>4015/4016</v>
      </c>
      <c r="L19" s="164" t="str">
        <f>VLOOKUP(A19,'Trips&amp;Operators'!$C$1:$G$99911,5,FALSE)</f>
        <v>MCREYNOLDS KYLE</v>
      </c>
      <c r="M19" s="6">
        <f t="shared" si="1"/>
        <v>2.6145833333430346E-2</v>
      </c>
      <c r="N19" s="7">
        <f t="shared" si="2"/>
        <v>37.650000000139698</v>
      </c>
      <c r="O19" s="7"/>
      <c r="P19" s="7"/>
      <c r="Q19" s="22"/>
      <c r="R19" s="157"/>
      <c r="S19" s="215">
        <f t="shared" si="3"/>
        <v>1</v>
      </c>
      <c r="T19" s="216" t="str">
        <f t="shared" si="4"/>
        <v>NorthBound</v>
      </c>
      <c r="U19" s="216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7" t="str">
        <f t="shared" si="5"/>
        <v>https://d0f6bd738d7f1b3e5a7ca70fe4ff75f0.us-east-1.aws.found.io/app/kibana#/discover/Steve-Slow-Train-Analysis-(2080s-and-2083s)?_g=(refreshInterval:(display:Off,pause:!f,section:0,value:0),time:(from:'2017-10-29T03:22:09-0600',mode:absolute,to:'2017-10-29T06:07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9" s="218" t="str">
        <f>IF(AA19&lt;VLOOKUP(AG19,Variables!$AC$3:$AD$8,2,FALSE),"Y","N")</f>
        <v>N</v>
      </c>
      <c r="X19" s="218">
        <f t="shared" si="6"/>
        <v>1</v>
      </c>
      <c r="Y19" s="218">
        <f t="shared" si="7"/>
        <v>0.14829999999999999</v>
      </c>
      <c r="Z19" s="218">
        <f t="shared" si="8"/>
        <v>23.3187</v>
      </c>
      <c r="AA19" s="218">
        <f t="shared" si="9"/>
        <v>23.170400000000001</v>
      </c>
      <c r="AB19" s="219" t="e">
        <f>VLOOKUP(A19,Enforcements!$C$7:$K$11,8,0)</f>
        <v>#N/A</v>
      </c>
      <c r="AC19" s="219" t="e">
        <f>VLOOKUP(A19,Enforcements!$C$7:$E$11,3,0)</f>
        <v>#N/A</v>
      </c>
      <c r="AD19" s="186">
        <f t="shared" si="10"/>
        <v>107</v>
      </c>
      <c r="AE19" s="220" t="str">
        <f t="shared" si="11"/>
        <v>aws s3 cp s3://rtdc.mdm.uploadarchive.raw/RTDC4016/ "%USERPROFILE%\AppData\Local\Temp\OnboardLogs"\RTDC4016\2017-10-29 --exclude "*" --recursive --include "*20171029*" &amp; "%USERPROFILE%\Documents\GitHub\mrs-test-scripts\Headless Mode &amp; Sideloading\WalkAndUnGZ.bat" "%USERPROFILE%\AppData\Local\Temp\OnboardLogs"\RTDC4016\2017-10-29 &amp; 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</v>
      </c>
      <c r="AF19" s="221" t="str">
        <f t="shared" si="12"/>
        <v>"C:\Program Files (x86)\AstroGrep\AstroGrep.exe" /e /r /s /spath="%USERPROFILE%\AppData\Local\Temp\OnboardLogs" /stypes="app*4016*20171029*" /stext=" 11:.+((SYSTEM_STATE.+slice.+state.+changed )|(ment ac)|(multiple cpu faults)|(system.+state.+changed )|(\[timeout)|(PRM\|1\|D)|(kpr)|(kdp)|(train st.+moving)|(\|lc)|(penalty))"</v>
      </c>
      <c r="AG19" s="185" t="str">
        <f t="shared" si="13"/>
        <v>EC</v>
      </c>
      <c r="AH19" s="222" t="str">
        <f t="shared" si="19"/>
        <v>"%USERPROFILE%\Documents\GitHub\eaglep3\Utilities\RefineRTDCRunTimes.py" --tripid 107-29 --locoid 4016 --swversion DE.1.0.9.0 --startMP 204:1483 --initTime 2017-10-29T04:22:09 --startdatetime 2017-10-29T04:30:13 --delay 64 --endMP 204:233187 --enddatetime 2017-10-29T05:07:52 --enforcementcount 0 &gt;&gt;%USERPROFILE%\Documents\GitHub\eaglep3-reporting\EC\2017-10-29-refined-times.txt</v>
      </c>
      <c r="AI19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{"issue":{"subject":"","project_id":79,"tracker_id":40,"status_id":1,"priority_id":2,"assigned_to_id":338,"start_date":"2017-10-29","description":"","custom_fields":[{"id":1,"name":"Subdivision","value":"EC"},{"id":4,"name":"Milepost","value":"23.3187"},{"id":17,"name":"Train ID","value":"107-29"},{"id":16,"name":"Locomotive ID","value":"4016"},{"id":130,"name":"Impact","value":""},{"id":150,"name":"Time of Event (Mountain Time)","value":"05:07:52"},{"id":151,"name":"Denver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182"/>
      <c r="AK19" s="186"/>
      <c r="AL19" s="186"/>
      <c r="AM19" s="187" t="str">
        <f t="shared" si="21"/>
        <v>start /low /b %USERPROFILE%\Documents\GitHub\eaglep3\Utilities\DownloadLogsFromS3.py --loco 4016 --day 2017-10-29</v>
      </c>
      <c r="AN19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11:07:52"},{"id":29,"name":"Sharepoint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82" t="str">
        <f t="shared" si="23"/>
        <v>https://d0f6bd738d7f1b3e5a7ca70fe4ff75f0.us-east-1.aws.found.io/app/kibana#/discover/Steve-Slow-Train-Analysis-(2080s-and-2083s)?_g=(refreshInterval:(display:Off,pause:!f,section:0,value:0),time:(from:'2017-10-29T03:22:09-0600',mode:absolute,to:'2017-10-29T06:07:52-0600'))&amp;_a=(columns:!('Message%20ID',Summary),filters:!(),index:'emp_*',interval:auto,query:(query_string:(analyze_wildcard:!t,query:'%22rtdc.l.rtdc.4016%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32" t="s">
        <v>689</v>
      </c>
      <c r="B20" s="7">
        <v>4015</v>
      </c>
      <c r="C20" s="21" t="s">
        <v>194</v>
      </c>
      <c r="D20" s="21" t="s">
        <v>880</v>
      </c>
      <c r="E20" s="13">
        <v>43037.220648148148</v>
      </c>
      <c r="F20" s="13">
        <v>43037.227222222224</v>
      </c>
      <c r="G20" s="7">
        <v>46</v>
      </c>
      <c r="H20" s="21" t="s">
        <v>602</v>
      </c>
      <c r="I20" s="13">
        <v>43037.253611111111</v>
      </c>
      <c r="J20" s="7">
        <v>0</v>
      </c>
      <c r="K20" s="76" t="str">
        <f t="shared" si="0"/>
        <v>4015/4016</v>
      </c>
      <c r="L20" s="164" t="str">
        <f>VLOOKUP(A20,'Trips&amp;Operators'!$C$1:$G$99911,5,FALSE)</f>
        <v>MCREYNOLDS KYLE</v>
      </c>
      <c r="M20" s="6">
        <f t="shared" si="1"/>
        <v>2.6388888887595385E-2</v>
      </c>
      <c r="N20" s="7">
        <f t="shared" si="2"/>
        <v>37.999999998137355</v>
      </c>
      <c r="O20" s="7"/>
      <c r="P20" s="7"/>
      <c r="Q20" s="22"/>
      <c r="R20" s="157"/>
      <c r="S20" s="215">
        <f t="shared" si="3"/>
        <v>1</v>
      </c>
      <c r="T20" s="216" t="str">
        <f t="shared" si="4"/>
        <v>Southbound</v>
      </c>
      <c r="U20" s="216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7" t="str">
        <f t="shared" si="5"/>
        <v>https://d0f6bd738d7f1b3e5a7ca70fe4ff75f0.us-east-1.aws.found.io/app/kibana#/discover/Steve-Slow-Train-Analysis-(2080s-and-2083s)?_g=(refreshInterval:(display:Off,pause:!f,section:0,value:0),time:(from:'2017-10-29T04:17:44-0600',mode:absolute,to:'2017-10-29T07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0" s="218" t="str">
        <f>IF(AA20&lt;VLOOKUP(AG20,Variables!$AC$3:$AD$8,2,FALSE),"Y","N")</f>
        <v>N</v>
      </c>
      <c r="X20" s="218">
        <f t="shared" si="6"/>
        <v>1</v>
      </c>
      <c r="Y20" s="218">
        <f t="shared" si="7"/>
        <v>23.2864</v>
      </c>
      <c r="Z20" s="218">
        <f t="shared" si="8"/>
        <v>2.7300000000000001E-2</v>
      </c>
      <c r="AA20" s="218">
        <f t="shared" si="9"/>
        <v>23.2591</v>
      </c>
      <c r="AB20" s="219" t="e">
        <f>VLOOKUP(A20,Enforcements!$C$7:$K$11,8,0)</f>
        <v>#N/A</v>
      </c>
      <c r="AC20" s="219" t="e">
        <f>VLOOKUP(A20,Enforcements!$C$7:$E$11,3,0)</f>
        <v>#N/A</v>
      </c>
      <c r="AD20" s="186">
        <f t="shared" si="10"/>
        <v>108</v>
      </c>
      <c r="AE20" s="220" t="str">
        <f t="shared" si="11"/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20" s="221" t="str">
        <f t="shared" si="12"/>
        <v>"C:\Program Files (x86)\AstroGrep\AstroGrep.exe" /e /r /s /spath="%USERPROFILE%\AppData\Local\Temp\OnboardLogs" /stypes="app*4015*20171029*" /stext=" 12:.+((SYSTEM_STATE.+slice.+state.+changed )|(ment ac)|(multiple cpu faults)|(system.+state.+changed )|(\[timeout)|(PRM\|1\|D)|(kpr)|(kdp)|(train st.+moving)|(\|lc)|(penalty))"</v>
      </c>
      <c r="AG20" s="185" t="str">
        <f t="shared" si="13"/>
        <v>EC</v>
      </c>
      <c r="AH20" s="222" t="str">
        <f t="shared" si="19"/>
        <v>"%USERPROFILE%\Documents\GitHub\eaglep3\Utilities\RefineRTDCRunTimes.py" --tripid 108-29 --locoid 4015 --swversion DE.1.0.9.0 --startMP 204:232864 --initTime 2017-10-29T05:17:44 --startdatetime 2017-10-29T05:27:12 --delay 46 --endMP 204:273 --enddatetime 2017-10-29T06:05:12 --enforcementcount 0 &gt;&gt;%USERPROFILE%\Documents\GitHub\eaglep3-reporting\EC\2017-10-29-refined-times.txt</v>
      </c>
      <c r="AI20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{"issue":{"subject":"","project_id":79,"tracker_id":40,"status_id":1,"priority_id":2,"assigned_to_id":338,"start_date":"2017-10-29","description":"","custom_fields":[{"id":1,"name":"Subdivision","value":"EC"},{"id":4,"name":"Milepost","value":"0.0273"},{"id":17,"name":"Train ID","value":"108-29"},{"id":16,"name":"Locomotive ID","value":"4015"},{"id":130,"name":"Impact","value":""},{"id":150,"name":"Time of Event (Mountain Time)","value":"06:05:12"},{"id":151,"name":"Denver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182"/>
      <c r="AK20" s="186"/>
      <c r="AL20" s="186"/>
      <c r="AM20" s="187" t="str">
        <f t="shared" si="21"/>
        <v>start /low /b %USERPROFILE%\Documents\GitHub\eaglep3\Utilities\DownloadLogsFromS3.py --loco 4015 --day 2017-10-29</v>
      </c>
      <c r="AN20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12:05:12"},{"id":29,"name":"Sharepoint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82" t="str">
        <f t="shared" si="23"/>
        <v>https://d0f6bd738d7f1b3e5a7ca70fe4ff75f0.us-east-1.aws.found.io/app/kibana#/discover/Steve-Slow-Train-Analysis-(2080s-and-2083s)?_g=(refreshInterval:(display:Off,pause:!f,section:0,value:0),time:(from:'2017-10-29T04:17:44-0600',mode:absolute,to:'2017-10-29T07:05:12-0600'))&amp;_a=(columns:!('Message%20ID',Summary),filters:!(),index:'emp_*',interval:auto,query:(query_string:(analyze_wildcard:!t,query:'%22rtdc.l.rtdc.4015%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32" t="s">
        <v>684</v>
      </c>
      <c r="B21" s="7">
        <v>4006</v>
      </c>
      <c r="C21" s="21" t="s">
        <v>194</v>
      </c>
      <c r="D21" s="21" t="s">
        <v>593</v>
      </c>
      <c r="E21" s="13">
        <v>43037.195034722223</v>
      </c>
      <c r="F21" s="13">
        <v>43037.19809027778</v>
      </c>
      <c r="G21" s="7">
        <v>66</v>
      </c>
      <c r="H21" s="21" t="s">
        <v>881</v>
      </c>
      <c r="I21" s="13">
        <v>43037.222013888888</v>
      </c>
      <c r="J21" s="7">
        <v>0</v>
      </c>
      <c r="K21" s="76" t="str">
        <f t="shared" si="0"/>
        <v>4005/4006</v>
      </c>
      <c r="L21" s="164" t="str">
        <f>VLOOKUP(A21,'Trips&amp;Operators'!$C$1:$G$99911,5,FALSE)</f>
        <v>GEBRETEKLE DAGNEW</v>
      </c>
      <c r="M21" s="6">
        <f t="shared" si="1"/>
        <v>2.3923611108330078E-2</v>
      </c>
      <c r="N21" s="7">
        <f t="shared" si="2"/>
        <v>34.449999995995313</v>
      </c>
      <c r="O21" s="7"/>
      <c r="P21" s="7"/>
      <c r="Q21" s="22"/>
      <c r="R21" s="157"/>
      <c r="S21" s="215">
        <f t="shared" si="3"/>
        <v>1</v>
      </c>
      <c r="T21" s="216" t="str">
        <f t="shared" si="4"/>
        <v>NorthBound</v>
      </c>
      <c r="U21" s="216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7" t="str">
        <f t="shared" si="5"/>
        <v>https://d0f6bd738d7f1b3e5a7ca70fe4ff75f0.us-east-1.aws.found.io/app/kibana#/discover/Steve-Slow-Train-Analysis-(2080s-and-2083s)?_g=(refreshInterval:(display:Off,pause:!f,section:0,value:0),time:(from:'2017-10-29T03:40:51-0600',mode:absolute,to:'2017-10-29T06:19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21" s="218" t="str">
        <f>IF(AA21&lt;VLOOKUP(AG21,Variables!$AC$3:$AD$8,2,FALSE),"Y","N")</f>
        <v>N</v>
      </c>
      <c r="X21" s="218">
        <f t="shared" si="6"/>
        <v>1</v>
      </c>
      <c r="Y21" s="218">
        <f t="shared" si="7"/>
        <v>4.9099999999999998E-2</v>
      </c>
      <c r="Z21" s="218">
        <f t="shared" si="8"/>
        <v>23.320900000000002</v>
      </c>
      <c r="AA21" s="218">
        <f t="shared" si="9"/>
        <v>23.271800000000002</v>
      </c>
      <c r="AB21" s="219" t="e">
        <f>VLOOKUP(A21,Enforcements!$C$7:$K$11,8,0)</f>
        <v>#N/A</v>
      </c>
      <c r="AC21" s="219" t="e">
        <f>VLOOKUP(A21,Enforcements!$C$7:$E$11,3,0)</f>
        <v>#N/A</v>
      </c>
      <c r="AD21" s="186">
        <f t="shared" si="10"/>
        <v>109</v>
      </c>
      <c r="AE21" s="220" t="str">
        <f t="shared" si="11"/>
        <v>aws s3 cp s3://rtdc.mdm.uploadarchive.raw/RTDC4006/ "%USERPROFILE%\AppData\Local\Temp\OnboardLogs"\RTDC4006\2017-10-29 --exclude "*" --recursive --include "*20171029*" &amp; "%USERPROFILE%\Documents\GitHub\mrs-test-scripts\Headless Mode &amp; Sideloading\WalkAndUnGZ.bat" "%USERPROFILE%\AppData\Local\Temp\OnboardLogs"\RTDC4006\2017-10-29 &amp; aws s3 cp s3://rtdc.mdm.uploadarchive.raw/RTDC4006/ "%USERPROFILE%\AppData\Local\Temp\OnboardLogs"\RTDC4006\2017-10-30 --exclude "*" --recursive --include "*20171030*" &amp; "%USERPROFILE%\Documents\GitHub\mrs-test-scripts\Headless Mode &amp; Sideloading\WalkAndUnGZ.bat" "%USERPROFILE%\AppData\Local\Temp\OnboardLogs"\RTDC4006\2017-10-30</v>
      </c>
      <c r="AF21" s="221" t="str">
        <f t="shared" si="12"/>
        <v>"C:\Program Files (x86)\AstroGrep\AstroGrep.exe" /e /r /s /spath="%USERPROFILE%\AppData\Local\Temp\OnboardLogs" /stypes="app*4006*20171029*" /stext=" 11:.+((SYSTEM_STATE.+slice.+state.+changed )|(ment ac)|(multiple cpu faults)|(system.+state.+changed )|(\[timeout)|(PRM\|1\|D)|(kpr)|(kdp)|(train st.+moving)|(\|lc)|(penalty))"</v>
      </c>
      <c r="AG21" s="185" t="str">
        <f t="shared" si="13"/>
        <v>EC</v>
      </c>
      <c r="AH21" s="222" t="str">
        <f t="shared" si="19"/>
        <v>"%USERPROFILE%\Documents\GitHub\eaglep3\Utilities\RefineRTDCRunTimes.py" --tripid 109-29 --locoid 4006 --swversion DE.1.0.9.0 --startMP 204:491 --initTime 2017-10-29T04:40:51 --startdatetime 2017-10-29T04:45:15 --delay 66 --endMP 204:233209 --enddatetime 2017-10-29T05:19:42 --enforcementcount 0 &gt;&gt;%USERPROFILE%\Documents\GitHub\eaglep3-reporting\EC\2017-10-29-refined-times.txt</v>
      </c>
      <c r="AI21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{"issue":{"subject":"","project_id":79,"tracker_id":40,"status_id":1,"priority_id":2,"assigned_to_id":338,"start_date":"2017-10-29","description":"","custom_fields":[{"id":1,"name":"Subdivision","value":"EC"},{"id":4,"name":"Milepost","value":"23.3209"},{"id":17,"name":"Train ID","value":"109-29"},{"id":16,"name":"Locomotive ID","value":"4006"},{"id":130,"name":"Impact","value":""},{"id":150,"name":"Time of Event (Mountain Time)","value":"05:19:42"},{"id":151,"name":"Denver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182"/>
      <c r="AK21" s="186"/>
      <c r="AL21" s="186"/>
      <c r="AM21" s="187" t="str">
        <f t="shared" si="21"/>
        <v>start /low /b %USERPROFILE%\Documents\GitHub\eaglep3\Utilities\DownloadLogsFromS3.py --loco 4006 --day 2017-10-29</v>
      </c>
      <c r="AN21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11:19:42"},{"id":29,"name":"Sharepoint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82" t="str">
        <f t="shared" si="23"/>
        <v>https://d0f6bd738d7f1b3e5a7ca70fe4ff75f0.us-east-1.aws.found.io/app/kibana#/discover/Steve-Slow-Train-Analysis-(2080s-and-2083s)?_g=(refreshInterval:(display:Off,pause:!f,section:0,value:0),time:(from:'2017-10-29T03:40:51-0600',mode:absolute,to:'2017-10-29T06:19:42-0600'))&amp;_a=(columns:!('Message%20ID',Summary),filters:!(),index:'emp_*',interval:auto,query:(query_string:(analyze_wildcard:!t,query:'%22rtdc.l.rtdc.4006%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32" t="s">
        <v>691</v>
      </c>
      <c r="B22" s="7">
        <v>4005</v>
      </c>
      <c r="C22" s="21" t="s">
        <v>194</v>
      </c>
      <c r="D22" s="21" t="s">
        <v>882</v>
      </c>
      <c r="E22" s="13">
        <v>43037.223310185182</v>
      </c>
      <c r="F22" s="13">
        <v>43037.237685185188</v>
      </c>
      <c r="G22" s="7">
        <v>49</v>
      </c>
      <c r="H22" s="21" t="s">
        <v>597</v>
      </c>
      <c r="I22" s="13">
        <v>43037.263784722221</v>
      </c>
      <c r="J22" s="7">
        <v>0</v>
      </c>
      <c r="K22" s="76" t="str">
        <f t="shared" si="0"/>
        <v>4005/4006</v>
      </c>
      <c r="L22" s="164" t="str">
        <f>VLOOKUP(A22,'Trips&amp;Operators'!$C$1:$G$99911,5,FALSE)</f>
        <v>GEBRETEKLE DAGNEW</v>
      </c>
      <c r="M22" s="6">
        <f t="shared" si="1"/>
        <v>2.6099537033587694E-2</v>
      </c>
      <c r="N22" s="7">
        <f t="shared" si="2"/>
        <v>37.58333332836628</v>
      </c>
      <c r="O22" s="7"/>
      <c r="P22" s="7"/>
      <c r="Q22" s="22"/>
      <c r="R22" s="157"/>
      <c r="S22" s="215">
        <f t="shared" si="3"/>
        <v>1</v>
      </c>
      <c r="T22" s="216" t="str">
        <f t="shared" si="4"/>
        <v>Southbound</v>
      </c>
      <c r="U22" s="216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7" t="str">
        <f t="shared" si="5"/>
        <v>https://d0f6bd738d7f1b3e5a7ca70fe4ff75f0.us-east-1.aws.found.io/app/kibana#/discover/Steve-Slow-Train-Analysis-(2080s-and-2083s)?_g=(refreshInterval:(display:Off,pause:!f,section:0,value:0),time:(from:'2017-10-29T04:21:34-0600',mode:absolute,to:'2017-10-29T07:19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2" s="218" t="str">
        <f>IF(AA22&lt;VLOOKUP(AG22,Variables!$AC$3:$AD$8,2,FALSE),"Y","N")</f>
        <v>N</v>
      </c>
      <c r="X22" s="218">
        <f t="shared" si="6"/>
        <v>1</v>
      </c>
      <c r="Y22" s="218">
        <f t="shared" si="7"/>
        <v>23.289000000000001</v>
      </c>
      <c r="Z22" s="218">
        <f t="shared" si="8"/>
        <v>1.9800000000000002E-2</v>
      </c>
      <c r="AA22" s="218">
        <f t="shared" si="9"/>
        <v>23.269200000000001</v>
      </c>
      <c r="AB22" s="219" t="e">
        <f>VLOOKUP(A22,Enforcements!$C$7:$K$11,8,0)</f>
        <v>#N/A</v>
      </c>
      <c r="AC22" s="219" t="e">
        <f>VLOOKUP(A22,Enforcements!$C$7:$E$11,3,0)</f>
        <v>#N/A</v>
      </c>
      <c r="AD22" s="186">
        <f t="shared" si="10"/>
        <v>110</v>
      </c>
      <c r="AE22" s="220" t="str">
        <f t="shared" si="11"/>
        <v>aws s3 cp s3://rtdc.mdm.uploadarchive.raw/RTDC4005/ "%USERPROFILE%\AppData\Local\Temp\OnboardLogs"\RTDC4005\2017-10-29 --exclude "*" --recursive --include "*20171029*" &amp; "%USERPROFILE%\Documents\GitHub\mrs-test-scripts\Headless Mode &amp; Sideloading\WalkAndUnGZ.bat" "%USERPROFILE%\AppData\Local\Temp\OnboardLogs"\RTDC4005\2017-10-29 &amp; aws s3 cp s3://rtdc.mdm.uploadarchive.raw/RTDC4005/ "%USERPROFILE%\AppData\Local\Temp\OnboardLogs"\RTDC4005\2017-10-30 --exclude "*" --recursive --include "*20171030*" &amp; "%USERPROFILE%\Documents\GitHub\mrs-test-scripts\Headless Mode &amp; Sideloading\WalkAndUnGZ.bat" "%USERPROFILE%\AppData\Local\Temp\OnboardLogs"\RTDC4005\2017-10-30</v>
      </c>
      <c r="AF22" s="221" t="str">
        <f t="shared" si="12"/>
        <v>"C:\Program Files (x86)\AstroGrep\AstroGrep.exe" /e /r /s /spath="%USERPROFILE%\AppData\Local\Temp\OnboardLogs" /stypes="app*4005*20171029*" /stext=" 12:.+((SYSTEM_STATE.+slice.+state.+changed )|(ment ac)|(multiple cpu faults)|(system.+state.+changed )|(\[timeout)|(PRM\|1\|D)|(kpr)|(kdp)|(train st.+moving)|(\|lc)|(penalty))"</v>
      </c>
      <c r="AG22" s="185" t="str">
        <f t="shared" si="13"/>
        <v>EC</v>
      </c>
      <c r="AH22" s="222" t="str">
        <f t="shared" si="19"/>
        <v>"%USERPROFILE%\Documents\GitHub\eaglep3\Utilities\RefineRTDCRunTimes.py" --tripid 110-29 --locoid 4005 --swversion DE.1.0.9.0 --startMP 204:232890 --initTime 2017-10-29T05:21:34 --startdatetime 2017-10-29T05:42:16 --delay 49 --endMP 204:198 --enddatetime 2017-10-29T06:19:51 --enforcementcount 0 &gt;&gt;%USERPROFILE%\Documents\GitHub\eaglep3-reporting\EC\2017-10-29-refined-times.txt</v>
      </c>
      <c r="AI22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{"issue":{"subject":"","project_id":79,"tracker_id":40,"status_id":1,"priority_id":2,"assigned_to_id":338,"start_date":"2017-10-29","description":"","custom_fields":[{"id":1,"name":"Subdivision","value":"EC"},{"id":4,"name":"Milepost","value":"0.0198"},{"id":17,"name":"Train ID","value":"110-29"},{"id":16,"name":"Locomotive ID","value":"4005"},{"id":130,"name":"Impact","value":""},{"id":150,"name":"Time of Event (Mountain Time)","value":"06:19:51"},{"id":151,"name":"Denver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182"/>
      <c r="AK22" s="186"/>
      <c r="AL22" s="186"/>
      <c r="AM22" s="187" t="str">
        <f t="shared" si="21"/>
        <v>start /low /b %USERPROFILE%\Documents\GitHub\eaglep3\Utilities\DownloadLogsFromS3.py --loco 4005 --day 2017-10-29</v>
      </c>
      <c r="AN22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12:19:51"},{"id":29,"name":"Sharepoint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82" t="str">
        <f t="shared" si="23"/>
        <v>https://d0f6bd738d7f1b3e5a7ca70fe4ff75f0.us-east-1.aws.found.io/app/kibana#/discover/Steve-Slow-Train-Analysis-(2080s-and-2083s)?_g=(refreshInterval:(display:Off,pause:!f,section:0,value:0),time:(from:'2017-10-29T04:21:34-0600',mode:absolute,to:'2017-10-29T07:19:51-0600'))&amp;_a=(columns:!('Message%20ID',Summary),filters:!(),index:'emp_*',interval:auto,query:(query_string:(analyze_wildcard:!t,query:'%22rtdc.l.rtdc.4005%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32" t="s">
        <v>687</v>
      </c>
      <c r="B23" s="7">
        <v>4046</v>
      </c>
      <c r="C23" s="21" t="s">
        <v>194</v>
      </c>
      <c r="D23" s="21" t="s">
        <v>883</v>
      </c>
      <c r="E23" s="13">
        <v>43037.206122685187</v>
      </c>
      <c r="F23" s="13">
        <v>43037.208599537036</v>
      </c>
      <c r="G23" s="7">
        <v>56</v>
      </c>
      <c r="H23" s="21" t="s">
        <v>591</v>
      </c>
      <c r="I23" s="13">
        <v>43037.234907407408</v>
      </c>
      <c r="J23" s="7">
        <v>0</v>
      </c>
      <c r="K23" s="76" t="str">
        <f t="shared" si="0"/>
        <v>4045/4046</v>
      </c>
      <c r="L23" s="164" t="str">
        <f>VLOOKUP(A23,'Trips&amp;Operators'!$C$1:$G$99911,5,FALSE)</f>
        <v>THOMPSON LESTER</v>
      </c>
      <c r="M23" s="6">
        <f t="shared" si="1"/>
        <v>2.6307870371965691E-2</v>
      </c>
      <c r="N23" s="7">
        <f t="shared" si="2"/>
        <v>37.883333335630596</v>
      </c>
      <c r="O23" s="7"/>
      <c r="P23" s="7"/>
      <c r="Q23" s="22"/>
      <c r="R23" s="157"/>
      <c r="S23" s="215">
        <f t="shared" si="3"/>
        <v>1</v>
      </c>
      <c r="T23" s="216" t="str">
        <f t="shared" si="4"/>
        <v>NorthBound</v>
      </c>
      <c r="U23" s="216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7" t="str">
        <f t="shared" si="5"/>
        <v>https://d0f6bd738d7f1b3e5a7ca70fe4ff75f0.us-east-1.aws.found.io/app/kibana#/discover/Steve-Slow-Train-Analysis-(2080s-and-2083s)?_g=(refreshInterval:(display:Off,pause:!f,section:0,value:0),time:(from:'2017-10-29T03:56:49-0600',mode:absolute,to:'2017-10-29T06:38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" s="218" t="str">
        <f>IF(AA23&lt;VLOOKUP(AG23,Variables!$AC$3:$AD$8,2,FALSE),"Y","N")</f>
        <v>N</v>
      </c>
      <c r="X23" s="218">
        <f t="shared" si="6"/>
        <v>1</v>
      </c>
      <c r="Y23" s="218">
        <f t="shared" si="7"/>
        <v>4.7500000000000001E-2</v>
      </c>
      <c r="Z23" s="218">
        <f t="shared" si="8"/>
        <v>23.33</v>
      </c>
      <c r="AA23" s="218">
        <f t="shared" si="9"/>
        <v>23.282499999999999</v>
      </c>
      <c r="AB23" s="219" t="e">
        <f>VLOOKUP(A23,Enforcements!$C$7:$K$11,8,0)</f>
        <v>#N/A</v>
      </c>
      <c r="AC23" s="219" t="e">
        <f>VLOOKUP(A23,Enforcements!$C$7:$E$11,3,0)</f>
        <v>#N/A</v>
      </c>
      <c r="AD23" s="186">
        <f t="shared" si="10"/>
        <v>111</v>
      </c>
      <c r="AE23" s="220" t="str">
        <f t="shared" si="11"/>
        <v>aws s3 cp s3://rtdc.mdm.uploadarchive.raw/RTDC4046/ "%USERPROFILE%\AppData\Local\Temp\OnboardLogs"\RTDC4046\2017-10-29 --exclude "*" --recursive --include "*20171029*" &amp; "%USERPROFILE%\Documents\GitHub\mrs-test-scripts\Headless Mode &amp; Sideloading\WalkAndUnGZ.bat" "%USERPROFILE%\AppData\Local\Temp\OnboardLogs"\RTDC4046\2017-10-29 &amp; aws s3 cp s3://rtdc.mdm.uploadarchive.raw/RTDC4046/ "%USERPROFILE%\AppData\Local\Temp\OnboardLogs"\RTDC4046\2017-10-30 --exclude "*" --recursive --include "*20171030*" &amp; "%USERPROFILE%\Documents\GitHub\mrs-test-scripts\Headless Mode &amp; Sideloading\WalkAndUnGZ.bat" "%USERPROFILE%\AppData\Local\Temp\OnboardLogs"\RTDC4046\2017-10-30</v>
      </c>
      <c r="AF23" s="221" t="str">
        <f t="shared" si="12"/>
        <v>"C:\Program Files (x86)\AstroGrep\AstroGrep.exe" /e /r /s /spath="%USERPROFILE%\AppData\Local\Temp\OnboardLogs" /stypes="app*4046*20171029*" /stext=" 11:.+((SYSTEM_STATE.+slice.+state.+changed )|(ment ac)|(multiple cpu faults)|(system.+state.+changed )|(\[timeout)|(PRM\|1\|D)|(kpr)|(kdp)|(train st.+moving)|(\|lc)|(penalty))"</v>
      </c>
      <c r="AG23" s="185" t="str">
        <f t="shared" si="13"/>
        <v>EC</v>
      </c>
      <c r="AH23" s="222" t="str">
        <f t="shared" si="19"/>
        <v>"%USERPROFILE%\Documents\GitHub\eaglep3\Utilities\RefineRTDCRunTimes.py" --tripid 111-29 --locoid 4046 --swversion DE.1.0.9.0 --startMP 204:475 --initTime 2017-10-29T04:56:49 --startdatetime 2017-10-29T05:00:23 --delay 56 --endMP 204:233300 --enddatetime 2017-10-29T05:38:16 --enforcementcount 0 &gt;&gt;%USERPROFILE%\Documents\GitHub\eaglep3-reporting\EC\2017-10-29-refined-times.txt</v>
      </c>
      <c r="AI23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{"issue":{"subject":"","project_id":79,"tracker_id":40,"status_id":1,"priority_id":2,"assigned_to_id":338,"start_date":"2017-10-29","description":"","custom_fields":[{"id":1,"name":"Subdivision","value":"EC"},{"id":4,"name":"Milepost","value":"23.33"},{"id":17,"name":"Train ID","value":"111-29"},{"id":16,"name":"Locomotive ID","value":"4046"},{"id":130,"name":"Impact","value":""},{"id":150,"name":"Time of Event (Mountain Time)","value":"05:38:16"},{"id":151,"name":"Denver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182"/>
      <c r="AK23" s="186"/>
      <c r="AL23" s="186"/>
      <c r="AM23" s="187" t="str">
        <f t="shared" si="21"/>
        <v>start /low /b %USERPROFILE%\Documents\GitHub\eaglep3\Utilities\DownloadLogsFromS3.py --loco 4046 --day 2017-10-29</v>
      </c>
      <c r="AN23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11:38:16"},{"id":29,"name":"Sharepoint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82" t="str">
        <f t="shared" si="23"/>
        <v>https://d0f6bd738d7f1b3e5a7ca70fe4ff75f0.us-east-1.aws.found.io/app/kibana#/discover/Steve-Slow-Train-Analysis-(2080s-and-2083s)?_g=(refreshInterval:(display:Off,pause:!f,section:0,value:0),time:(from:'2017-10-29T03:56:49-0600',mode:absolute,to:'2017-10-29T06:38:16-0600'))&amp;_a=(columns:!('Message%20ID',Summary),filters:!(),index:'emp_*',interval:auto,query:(query_string:(analyze_wildcard:!t,query:'%22rtdc.l.rtdc.4046%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32" t="s">
        <v>699</v>
      </c>
      <c r="B24" s="7">
        <v>4045</v>
      </c>
      <c r="C24" s="21" t="s">
        <v>194</v>
      </c>
      <c r="D24" s="21" t="s">
        <v>592</v>
      </c>
      <c r="E24" s="13">
        <v>43037.244027777779</v>
      </c>
      <c r="F24" s="13">
        <v>43037.248171296298</v>
      </c>
      <c r="G24" s="7">
        <v>59</v>
      </c>
      <c r="H24" s="21" t="s">
        <v>349</v>
      </c>
      <c r="I24" s="13">
        <v>43037.275439814817</v>
      </c>
      <c r="J24" s="7">
        <v>0</v>
      </c>
      <c r="K24" s="76" t="str">
        <f t="shared" si="0"/>
        <v>4045/4046</v>
      </c>
      <c r="L24" s="164" t="str">
        <f>VLOOKUP(A24,'Trips&amp;Operators'!$C$1:$G$99911,5,FALSE)</f>
        <v>THOMPSON LESTER</v>
      </c>
      <c r="M24" s="6">
        <f t="shared" si="1"/>
        <v>2.7268518519122154E-2</v>
      </c>
      <c r="N24" s="7">
        <f t="shared" si="2"/>
        <v>39.266666667535901</v>
      </c>
      <c r="O24" s="7"/>
      <c r="P24" s="7"/>
      <c r="Q24" s="22"/>
      <c r="R24" s="157"/>
      <c r="S24" s="215">
        <f t="shared" si="3"/>
        <v>1</v>
      </c>
      <c r="T24" s="216" t="str">
        <f t="shared" si="4"/>
        <v>Southbound</v>
      </c>
      <c r="U24" s="216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7" t="str">
        <f t="shared" si="5"/>
        <v>https://d0f6bd738d7f1b3e5a7ca70fe4ff75f0.us-east-1.aws.found.io/app/kibana#/discover/Steve-Slow-Train-Analysis-(2080s-and-2083s)?_g=(refreshInterval:(display:Off,pause:!f,section:0,value:0),time:(from:'2017-10-29T04:51:24-0600',mode:absolute,to:'2017-10-29T07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4" s="218" t="str">
        <f>IF(AA24&lt;VLOOKUP(AG24,Variables!$AC$3:$AD$8,2,FALSE),"Y","N")</f>
        <v>N</v>
      </c>
      <c r="X24" s="218">
        <f t="shared" si="6"/>
        <v>1</v>
      </c>
      <c r="Y24" s="218">
        <f t="shared" si="7"/>
        <v>23.298500000000001</v>
      </c>
      <c r="Z24" s="218">
        <f t="shared" si="8"/>
        <v>1.52E-2</v>
      </c>
      <c r="AA24" s="218">
        <f t="shared" si="9"/>
        <v>23.283300000000001</v>
      </c>
      <c r="AB24" s="219" t="e">
        <f>VLOOKUP(A24,Enforcements!$C$7:$K$11,8,0)</f>
        <v>#N/A</v>
      </c>
      <c r="AC24" s="219" t="e">
        <f>VLOOKUP(A24,Enforcements!$C$7:$E$11,3,0)</f>
        <v>#N/A</v>
      </c>
      <c r="AD24" s="186">
        <f t="shared" si="10"/>
        <v>112</v>
      </c>
      <c r="AE24" s="220" t="str">
        <f t="shared" si="11"/>
        <v>aws s3 cp s3://rtdc.mdm.uploadarchive.raw/RTDC4045/ "%USERPROFILE%\AppData\Local\Temp\OnboardLogs"\RTDC4045\2017-10-29 --exclude "*" --recursive --include "*20171029*" &amp; "%USERPROFILE%\Documents\GitHub\mrs-test-scripts\Headless Mode &amp; Sideloading\WalkAndUnGZ.bat" "%USERPROFILE%\AppData\Local\Temp\OnboardLogs"\RTDC4045\2017-10-29 &amp; aws s3 cp s3://rtdc.mdm.uploadarchive.raw/RTDC4045/ "%USERPROFILE%\AppData\Local\Temp\OnboardLogs"\RTDC4045\2017-10-30 --exclude "*" --recursive --include "*20171030*" &amp; "%USERPROFILE%\Documents\GitHub\mrs-test-scripts\Headless Mode &amp; Sideloading\WalkAndUnGZ.bat" "%USERPROFILE%\AppData\Local\Temp\OnboardLogs"\RTDC4045\2017-10-30</v>
      </c>
      <c r="AF24" s="221" t="str">
        <f t="shared" si="12"/>
        <v>"C:\Program Files (x86)\AstroGrep\AstroGrep.exe" /e /r /s /spath="%USERPROFILE%\AppData\Local\Temp\OnboardLogs" /stypes="app*4045*20171029*" /stext=" 12:.+((SYSTEM_STATE.+slice.+state.+changed )|(ment ac)|(multiple cpu faults)|(system.+state.+changed )|(\[timeout)|(PRM\|1\|D)|(kpr)|(kdp)|(train st.+moving)|(\|lc)|(penalty))"</v>
      </c>
      <c r="AG24" s="185" t="str">
        <f t="shared" si="13"/>
        <v>EC</v>
      </c>
      <c r="AH24" s="222" t="str">
        <f t="shared" si="19"/>
        <v>"%USERPROFILE%\Documents\GitHub\eaglep3\Utilities\RefineRTDCRunTimes.py" --tripid 112-29 --locoid 4045 --swversion DE.1.0.9.0 --startMP 204:232985 --initTime 2017-10-29T05:51:24 --startdatetime 2017-10-29T05:57:22 --delay 59 --endMP 204:152 --enddatetime 2017-10-29T06:36:38 --enforcementcount 0 &gt;&gt;%USERPROFILE%\Documents\GitHub\eaglep3-reporting\EC\2017-10-29-refined-times.txt</v>
      </c>
      <c r="AI24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{"issue":{"subject":"","project_id":79,"tracker_id":40,"status_id":1,"priority_id":2,"assigned_to_id":338,"start_date":"2017-10-29","description":"","custom_fields":[{"id":1,"name":"Subdivision","value":"EC"},{"id":4,"name":"Milepost","value":"0.0152"},{"id":17,"name":"Train ID","value":"112-29"},{"id":16,"name":"Locomotive ID","value":"4045"},{"id":130,"name":"Impact","value":""},{"id":150,"name":"Time of Event (Mountain Time)","value":"06:36:38"},{"id":151,"name":"Denver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182"/>
      <c r="AK24" s="186"/>
      <c r="AL24" s="186"/>
      <c r="AM24" s="187" t="str">
        <f t="shared" si="21"/>
        <v>start /low /b %USERPROFILE%\Documents\GitHub\eaglep3\Utilities\DownloadLogsFromS3.py --loco 4045 --day 2017-10-29</v>
      </c>
      <c r="AN24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12:36:38"},{"id":29,"name":"Sharepoint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82" t="str">
        <f t="shared" si="23"/>
        <v>https://d0f6bd738d7f1b3e5a7ca70fe4ff75f0.us-east-1.aws.found.io/app/kibana#/discover/Steve-Slow-Train-Analysis-(2080s-and-2083s)?_g=(refreshInterval:(display:Off,pause:!f,section:0,value:0),time:(from:'2017-10-29T04:51:24-0600',mode:absolute,to:'2017-10-29T07:36:38-0600'))&amp;_a=(columns:!('Message%20ID',Summary),filters:!(),index:'emp_*',interval:auto,query:(query_string:(analyze_wildcard:!t,query:'%22rtdc.l.rtdc.4045%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32" t="s">
        <v>688</v>
      </c>
      <c r="B25" s="7">
        <v>4008</v>
      </c>
      <c r="C25" s="21" t="s">
        <v>194</v>
      </c>
      <c r="D25" s="21" t="s">
        <v>608</v>
      </c>
      <c r="E25" s="13">
        <v>43037.215821759259</v>
      </c>
      <c r="F25" s="13">
        <v>43037.218969907408</v>
      </c>
      <c r="G25" s="7">
        <v>83</v>
      </c>
      <c r="H25" s="21" t="s">
        <v>584</v>
      </c>
      <c r="I25" s="13">
        <v>43037.245127314818</v>
      </c>
      <c r="J25" s="7">
        <v>0</v>
      </c>
      <c r="K25" s="76" t="str">
        <f t="shared" si="0"/>
        <v>4007/4008</v>
      </c>
      <c r="L25" s="164" t="str">
        <f>VLOOKUP(A25,'Trips&amp;Operators'!$C$1:$G$99911,5,FALSE)</f>
        <v>WILLIAMS DONTE</v>
      </c>
      <c r="M25" s="6">
        <f t="shared" si="1"/>
        <v>2.6157407410209998E-2</v>
      </c>
      <c r="N25" s="7">
        <f t="shared" si="2"/>
        <v>37.666666670702398</v>
      </c>
      <c r="O25" s="7"/>
      <c r="P25" s="7"/>
      <c r="Q25" s="22"/>
      <c r="R25" s="157"/>
      <c r="S25" s="215">
        <f t="shared" si="3"/>
        <v>1</v>
      </c>
      <c r="T25" s="216" t="str">
        <f t="shared" si="4"/>
        <v>NorthBound</v>
      </c>
      <c r="U25" s="216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7" t="str">
        <f t="shared" si="5"/>
        <v>https://d0f6bd738d7f1b3e5a7ca70fe4ff75f0.us-east-1.aws.found.io/app/kibana#/discover/Steve-Slow-Train-Analysis-(2080s-and-2083s)?_g=(refreshInterval:(display:Off,pause:!f,section:0,value:0),time:(from:'2017-10-29T04:10:47-0600',mode:absolute,to:'2017-10-29T06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5" s="218" t="str">
        <f>IF(AA25&lt;VLOOKUP(AG25,Variables!$AC$3:$AD$8,2,FALSE),"Y","N")</f>
        <v>N</v>
      </c>
      <c r="X25" s="218">
        <f t="shared" si="6"/>
        <v>1</v>
      </c>
      <c r="Y25" s="218">
        <f t="shared" si="7"/>
        <v>5.11E-2</v>
      </c>
      <c r="Z25" s="218">
        <f t="shared" si="8"/>
        <v>23.3215</v>
      </c>
      <c r="AA25" s="218">
        <f t="shared" si="9"/>
        <v>23.270399999999999</v>
      </c>
      <c r="AB25" s="219" t="e">
        <f>VLOOKUP(A25,Enforcements!$C$7:$K$11,8,0)</f>
        <v>#N/A</v>
      </c>
      <c r="AC25" s="219" t="e">
        <f>VLOOKUP(A25,Enforcements!$C$7:$E$11,3,0)</f>
        <v>#N/A</v>
      </c>
      <c r="AD25" s="186">
        <f t="shared" si="10"/>
        <v>113</v>
      </c>
      <c r="AE25" s="220" t="str">
        <f t="shared" si="11"/>
        <v>aws s3 cp s3://rtdc.mdm.uploadarchive.raw/RTDC4008/ "%USERPROFILE%\AppData\Local\Temp\OnboardLogs"\RTDC4008\2017-10-29 --exclude "*" --recursive --include "*20171029*" &amp; "%USERPROFILE%\Documents\GitHub\mrs-test-scripts\Headless Mode &amp; Sideloading\WalkAndUnGZ.bat" "%USERPROFILE%\AppData\Local\Temp\OnboardLogs"\RTDC4008\2017-10-29 &amp; aws s3 cp s3://rtdc.mdm.uploadarchive.raw/RTDC4008/ "%USERPROFILE%\AppData\Local\Temp\OnboardLogs"\RTDC4008\2017-10-30 --exclude "*" --recursive --include "*20171030*" &amp; "%USERPROFILE%\Documents\GitHub\mrs-test-scripts\Headless Mode &amp; Sideloading\WalkAndUnGZ.bat" "%USERPROFILE%\AppData\Local\Temp\OnboardLogs"\RTDC4008\2017-10-30</v>
      </c>
      <c r="AF25" s="221" t="str">
        <f t="shared" si="12"/>
        <v>"C:\Program Files (x86)\AstroGrep\AstroGrep.exe" /e /r /s /spath="%USERPROFILE%\AppData\Local\Temp\OnboardLogs" /stypes="app*4008*20171029*" /stext=" 11:.+((SYSTEM_STATE.+slice.+state.+changed )|(ment ac)|(multiple cpu faults)|(system.+state.+changed )|(\[timeout)|(PRM\|1\|D)|(kpr)|(kdp)|(train st.+moving)|(\|lc)|(penalty))"</v>
      </c>
      <c r="AG25" s="185" t="str">
        <f t="shared" si="13"/>
        <v>EC</v>
      </c>
      <c r="AH25" s="222" t="str">
        <f t="shared" si="19"/>
        <v>"%USERPROFILE%\Documents\GitHub\eaglep3\Utilities\RefineRTDCRunTimes.py" --tripid 113-29 --locoid 4008 --swversion DE.1.0.9.0 --startMP 204:511 --initTime 2017-10-29T05:10:47 --startdatetime 2017-10-29T05:15:19 --delay 83 --endMP 204:233215 --enddatetime 2017-10-29T05:52:59 --enforcementcount 0 &gt;&gt;%USERPROFILE%\Documents\GitHub\eaglep3-reporting\EC\2017-10-29-refined-times.txt</v>
      </c>
      <c r="AI25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{"issue":{"subject":"","project_id":79,"tracker_id":40,"status_id":1,"priority_id":2,"assigned_to_id":338,"start_date":"2017-10-29","description":"","custom_fields":[{"id":1,"name":"Subdivision","value":"EC"},{"id":4,"name":"Milepost","value":"23.3215"},{"id":17,"name":"Train ID","value":"113-29"},{"id":16,"name":"Locomotive ID","value":"4008"},{"id":130,"name":"Impact","value":""},{"id":150,"name":"Time of Event (Mountain Time)","value":"05:52:59"},{"id":151,"name":"Denver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182"/>
      <c r="AK25" s="186"/>
      <c r="AL25" s="186"/>
      <c r="AM25" s="187" t="str">
        <f t="shared" si="21"/>
        <v>start /low /b %USERPROFILE%\Documents\GitHub\eaglep3\Utilities\DownloadLogsFromS3.py --loco 4008 --day 2017-10-29</v>
      </c>
      <c r="AN25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11:52:59"},{"id":29,"name":"Sharepoint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82" t="str">
        <f t="shared" si="23"/>
        <v>https://d0f6bd738d7f1b3e5a7ca70fe4ff75f0.us-east-1.aws.found.io/app/kibana#/discover/Steve-Slow-Train-Analysis-(2080s-and-2083s)?_g=(refreshInterval:(display:Off,pause:!f,section:0,value:0),time:(from:'2017-10-29T04:10:47-0600',mode:absolute,to:'2017-10-29T06:52:59-0600'))&amp;_a=(columns:!('Message%20ID',Summary),filters:!(),index:'emp_*',interval:auto,query:(query_string:(analyze_wildcard:!t,query:'%22rtdc.l.rtdc.4008%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32" t="s">
        <v>702</v>
      </c>
      <c r="B26" s="7">
        <v>4007</v>
      </c>
      <c r="C26" s="21" t="s">
        <v>194</v>
      </c>
      <c r="D26" s="21" t="s">
        <v>565</v>
      </c>
      <c r="E26" s="13">
        <v>43037.253194444442</v>
      </c>
      <c r="F26" s="13">
        <v>43037.258576388886</v>
      </c>
      <c r="G26" s="7">
        <v>106</v>
      </c>
      <c r="H26" s="21" t="s">
        <v>884</v>
      </c>
      <c r="I26" s="13">
        <v>43037.287175925929</v>
      </c>
      <c r="J26" s="7">
        <v>0</v>
      </c>
      <c r="K26" s="76" t="str">
        <f t="shared" si="0"/>
        <v>4007/4008</v>
      </c>
      <c r="L26" s="164" t="str">
        <f>VLOOKUP(A26,'Trips&amp;Operators'!$C$1:$G$99911,5,FALSE)</f>
        <v>WILLIAMS DONTE</v>
      </c>
      <c r="M26" s="6">
        <f t="shared" si="1"/>
        <v>2.8599537043191958E-2</v>
      </c>
      <c r="N26" s="7">
        <f t="shared" si="2"/>
        <v>41.18333334219642</v>
      </c>
      <c r="O26" s="7"/>
      <c r="P26" s="7"/>
      <c r="Q26" s="22"/>
      <c r="R26" s="157"/>
      <c r="S26" s="215">
        <f t="shared" si="3"/>
        <v>1</v>
      </c>
      <c r="T26" s="216" t="str">
        <f t="shared" si="4"/>
        <v>Southbound</v>
      </c>
      <c r="U26" s="216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7" t="str">
        <f t="shared" si="5"/>
        <v>https://d0f6bd738d7f1b3e5a7ca70fe4ff75f0.us-east-1.aws.found.io/app/kibana#/discover/Steve-Slow-Train-Analysis-(2080s-and-2083s)?_g=(refreshInterval:(display:Off,pause:!f,section:0,value:0),time:(from:'2017-10-29T05:04:36-0600',mode:absolute,to:'2017-10-29T07:53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6" s="218" t="str">
        <f>IF(AA26&lt;VLOOKUP(AG26,Variables!$AC$3:$AD$8,2,FALSE),"Y","N")</f>
        <v>N</v>
      </c>
      <c r="X26" s="218">
        <f t="shared" si="6"/>
        <v>1</v>
      </c>
      <c r="Y26" s="218">
        <f t="shared" si="7"/>
        <v>23.294599999999999</v>
      </c>
      <c r="Z26" s="218">
        <f t="shared" si="8"/>
        <v>2.07E-2</v>
      </c>
      <c r="AA26" s="218">
        <f t="shared" si="9"/>
        <v>23.273899999999998</v>
      </c>
      <c r="AB26" s="219" t="e">
        <f>VLOOKUP(A26,Enforcements!$C$7:$K$11,8,0)</f>
        <v>#N/A</v>
      </c>
      <c r="AC26" s="219" t="e">
        <f>VLOOKUP(A26,Enforcements!$C$7:$E$11,3,0)</f>
        <v>#N/A</v>
      </c>
      <c r="AD26" s="186">
        <f t="shared" si="10"/>
        <v>114</v>
      </c>
      <c r="AE26" s="220" t="str">
        <f t="shared" si="11"/>
        <v>aws s3 cp s3://rtdc.mdm.uploadarchive.raw/RTDC4007/ "%USERPROFILE%\AppData\Local\Temp\OnboardLogs"\RTDC4007\2017-10-29 --exclude "*" --recursive --include "*20171029*" &amp; "%USERPROFILE%\Documents\GitHub\mrs-test-scripts\Headless Mode &amp; Sideloading\WalkAndUnGZ.bat" "%USERPROFILE%\AppData\Local\Temp\OnboardLogs"\RTDC4007\2017-10-29 &amp; aws s3 cp s3://rtdc.mdm.uploadarchive.raw/RTDC4007/ "%USERPROFILE%\AppData\Local\Temp\OnboardLogs"\RTDC4007\2017-10-30 --exclude "*" --recursive --include "*20171030*" &amp; "%USERPROFILE%\Documents\GitHub\mrs-test-scripts\Headless Mode &amp; Sideloading\WalkAndUnGZ.bat" "%USERPROFILE%\AppData\Local\Temp\OnboardLogs"\RTDC4007\2017-10-30</v>
      </c>
      <c r="AF26" s="221" t="str">
        <f t="shared" si="12"/>
        <v>"C:\Program Files (x86)\AstroGrep\AstroGrep.exe" /e /r /s /spath="%USERPROFILE%\AppData\Local\Temp\OnboardLogs" /stypes="app*4007*20171029*" /stext=" 12:.+((SYSTEM_STATE.+slice.+state.+changed )|(ment ac)|(multiple cpu faults)|(system.+state.+changed )|(\[timeout)|(PRM\|1\|D)|(kpr)|(kdp)|(train st.+moving)|(\|lc)|(penalty))"</v>
      </c>
      <c r="AG26" s="185" t="str">
        <f t="shared" si="13"/>
        <v>EC</v>
      </c>
      <c r="AH26" s="222" t="str">
        <f t="shared" si="19"/>
        <v>"%USERPROFILE%\Documents\GitHub\eaglep3\Utilities\RefineRTDCRunTimes.py" --tripid 114-29 --locoid 4007 --swversion DE.1.0.9.0 --startMP 204:232946 --initTime 2017-10-29T06:04:36 --startdatetime 2017-10-29T06:12:21 --delay 106 --endMP 204:207 --enddatetime 2017-10-29T06:53:32 --enforcementcount 0 &gt;&gt;%USERPROFILE%\Documents\GitHub\eaglep3-reporting\EC\2017-10-29-refined-times.txt</v>
      </c>
      <c r="AI26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{"issue":{"subject":"","project_id":79,"tracker_id":40,"status_id":1,"priority_id":2,"assigned_to_id":338,"start_date":"2017-10-29","description":"","custom_fields":[{"id":1,"name":"Subdivision","value":"EC"},{"id":4,"name":"Milepost","value":"0.0207"},{"id":17,"name":"Train ID","value":"114-29"},{"id":16,"name":"Locomotive ID","value":"4007"},{"id":130,"name":"Impact","value":""},{"id":150,"name":"Time of Event (Mountain Time)","value":"06:53:32"},{"id":151,"name":"Denver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182"/>
      <c r="AK26" s="186"/>
      <c r="AL26" s="186"/>
      <c r="AM26" s="187" t="str">
        <f t="shared" si="21"/>
        <v>start /low /b %USERPROFILE%\Documents\GitHub\eaglep3\Utilities\DownloadLogsFromS3.py --loco 4007 --day 2017-10-29</v>
      </c>
      <c r="AN26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12:53:32"},{"id":29,"name":"Sharepoint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82" t="str">
        <f t="shared" si="23"/>
        <v>https://d0f6bd738d7f1b3e5a7ca70fe4ff75f0.us-east-1.aws.found.io/app/kibana#/discover/Steve-Slow-Train-Analysis-(2080s-and-2083s)?_g=(refreshInterval:(display:Off,pause:!f,section:0,value:0),time:(from:'2017-10-29T05:04:36-0600',mode:absolute,to:'2017-10-29T07:53:32-0600'))&amp;_a=(columns:!('Message%20ID',Summary),filters:!(),index:'emp_*',interval:auto,query:(query_string:(analyze_wildcard:!t,query:'%22rtdc.l.rtdc.4007%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32" t="s">
        <v>695</v>
      </c>
      <c r="B27" s="7">
        <v>4018</v>
      </c>
      <c r="C27" s="21" t="s">
        <v>194</v>
      </c>
      <c r="D27" s="21" t="s">
        <v>576</v>
      </c>
      <c r="E27" s="13">
        <v>43037.225324074076</v>
      </c>
      <c r="F27" s="13">
        <v>43037.229328703703</v>
      </c>
      <c r="G27" s="7">
        <v>49</v>
      </c>
      <c r="H27" s="21" t="s">
        <v>492</v>
      </c>
      <c r="I27" s="13">
        <v>43037.254861111112</v>
      </c>
      <c r="J27" s="7">
        <v>0</v>
      </c>
      <c r="K27" s="76" t="str">
        <f t="shared" si="0"/>
        <v>4017/4018</v>
      </c>
      <c r="L27" s="164" t="str">
        <f>VLOOKUP(A27,'Trips&amp;Operators'!$C$1:$G$99911,5,FALSE)</f>
        <v>MAELZER KURT</v>
      </c>
      <c r="M27" s="6">
        <f t="shared" si="1"/>
        <v>2.5532407409627922E-2</v>
      </c>
      <c r="N27" s="7">
        <f t="shared" si="2"/>
        <v>36.766666669864208</v>
      </c>
      <c r="O27" s="7"/>
      <c r="P27" s="7"/>
      <c r="Q27" s="22"/>
      <c r="R27" s="157"/>
      <c r="S27" s="215">
        <f t="shared" si="3"/>
        <v>1</v>
      </c>
      <c r="T27" s="216" t="str">
        <f t="shared" si="4"/>
        <v>NorthBound</v>
      </c>
      <c r="U27" s="216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7" t="str">
        <f t="shared" si="5"/>
        <v>https://d0f6bd738d7f1b3e5a7ca70fe4ff75f0.us-east-1.aws.found.io/app/kibana#/discover/Steve-Slow-Train-Analysis-(2080s-and-2083s)?_g=(refreshInterval:(display:Off,pause:!f,section:0,value:0),time:(from:'2017-10-29T04:24:28-0600',mode:absolute,to:'2017-10-29T07:07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7" s="218" t="str">
        <f>IF(AA27&lt;VLOOKUP(AG27,Variables!$AC$3:$AD$8,2,FALSE),"Y","N")</f>
        <v>N</v>
      </c>
      <c r="X27" s="218">
        <f t="shared" si="6"/>
        <v>1</v>
      </c>
      <c r="Y27" s="218">
        <f t="shared" si="7"/>
        <v>4.5699999999999998E-2</v>
      </c>
      <c r="Z27" s="218">
        <f t="shared" si="8"/>
        <v>23.329799999999999</v>
      </c>
      <c r="AA27" s="218">
        <f t="shared" si="9"/>
        <v>23.284099999999999</v>
      </c>
      <c r="AB27" s="219" t="e">
        <f>VLOOKUP(A27,Enforcements!$C$7:$K$11,8,0)</f>
        <v>#N/A</v>
      </c>
      <c r="AC27" s="219" t="e">
        <f>VLOOKUP(A27,Enforcements!$C$7:$E$11,3,0)</f>
        <v>#N/A</v>
      </c>
      <c r="AD27" s="186">
        <f t="shared" si="10"/>
        <v>115</v>
      </c>
      <c r="AE27" s="220" t="str">
        <f t="shared" si="11"/>
        <v>aws s3 cp s3://rtdc.mdm.uploadarchive.raw/RTDC4018/ "%USERPROFILE%\AppData\Local\Temp\OnboardLogs"\RTDC4018\2017-10-29 --exclude "*" --recursive --include "*20171029*" &amp; "%USERPROFILE%\Documents\GitHub\mrs-test-scripts\Headless Mode &amp; Sideloading\WalkAndUnGZ.bat" "%USERPROFILE%\AppData\Local\Temp\OnboardLogs"\RTDC4018\2017-10-29 &amp; aws s3 cp s3://rtdc.mdm.uploadarchive.raw/RTDC4018/ "%USERPROFILE%\AppData\Local\Temp\OnboardLogs"\RTDC4018\2017-10-30 --exclude "*" --recursive --include "*20171030*" &amp; "%USERPROFILE%\Documents\GitHub\mrs-test-scripts\Headless Mode &amp; Sideloading\WalkAndUnGZ.bat" "%USERPROFILE%\AppData\Local\Temp\OnboardLogs"\RTDC4018\2017-10-30</v>
      </c>
      <c r="AF27" s="221" t="str">
        <f t="shared" si="12"/>
        <v>"C:\Program Files (x86)\AstroGrep\AstroGrep.exe" /e /r /s /spath="%USERPROFILE%\AppData\Local\Temp\OnboardLogs" /stypes="app*4018*20171029*" /stext=" 12:.+((SYSTEM_STATE.+slice.+state.+changed )|(ment ac)|(multiple cpu faults)|(system.+state.+changed )|(\[timeout)|(PRM\|1\|D)|(kpr)|(kdp)|(train st.+moving)|(\|lc)|(penalty))"</v>
      </c>
      <c r="AG27" s="185" t="str">
        <f t="shared" si="13"/>
        <v>EC</v>
      </c>
      <c r="AH27" s="222" t="str">
        <f t="shared" si="19"/>
        <v>"%USERPROFILE%\Documents\GitHub\eaglep3\Utilities\RefineRTDCRunTimes.py" --tripid 115-29 --locoid 4018 --swversion DE.1.0.9.0 --startMP 204:457 --initTime 2017-10-29T05:24:28 --startdatetime 2017-10-29T05:30:14 --delay 49 --endMP 204:233298 --enddatetime 2017-10-29T06:07:00 --enforcementcount 0 &gt;&gt;%USERPROFILE%\Documents\GitHub\eaglep3-reporting\EC\2017-10-29-refined-times.txt</v>
      </c>
      <c r="AI27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{"issue":{"subject":"","project_id":79,"tracker_id":40,"status_id":1,"priority_id":2,"assigned_to_id":338,"start_date":"2017-10-29","description":"","custom_fields":[{"id":1,"name":"Subdivision","value":"EC"},{"id":4,"name":"Milepost","value":"23.3298"},{"id":17,"name":"Train ID","value":"115-29"},{"id":16,"name":"Locomotive ID","value":"4018"},{"id":130,"name":"Impact","value":""},{"id":150,"name":"Time of Event (Mountain Time)","value":"06:07:00"},{"id":151,"name":"Denver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182"/>
      <c r="AK27" s="186"/>
      <c r="AL27" s="186"/>
      <c r="AM27" s="187" t="str">
        <f t="shared" si="21"/>
        <v>start /low /b %USERPROFILE%\Documents\GitHub\eaglep3\Utilities\DownloadLogsFromS3.py --loco 4018 --day 2017-10-29</v>
      </c>
      <c r="AN27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12:07:00"},{"id":29,"name":"Sharepoint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82" t="str">
        <f t="shared" si="23"/>
        <v>https://d0f6bd738d7f1b3e5a7ca70fe4ff75f0.us-east-1.aws.found.io/app/kibana#/discover/Steve-Slow-Train-Analysis-(2080s-and-2083s)?_g=(refreshInterval:(display:Off,pause:!f,section:0,value:0),time:(from:'2017-10-29T04:24:28-0600',mode:absolute,to:'2017-10-29T07:07:00-0600'))&amp;_a=(columns:!('Message%20ID',Summary),filters:!(),index:'emp_*',interval:auto,query:(query_string:(analyze_wildcard:!t,query:'%22rtdc.l.rtdc.4018%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32" t="s">
        <v>704</v>
      </c>
      <c r="B28" s="7">
        <v>4017</v>
      </c>
      <c r="C28" s="21" t="s">
        <v>194</v>
      </c>
      <c r="D28" s="21" t="s">
        <v>885</v>
      </c>
      <c r="E28" s="13">
        <v>43037.262777777774</v>
      </c>
      <c r="F28" s="13">
        <v>43037.268946759257</v>
      </c>
      <c r="G28" s="7">
        <v>48</v>
      </c>
      <c r="H28" s="21" t="s">
        <v>349</v>
      </c>
      <c r="I28" s="13">
        <v>43037.295277777775</v>
      </c>
      <c r="J28" s="7">
        <v>0</v>
      </c>
      <c r="K28" s="76" t="str">
        <f t="shared" si="0"/>
        <v>4017/4018</v>
      </c>
      <c r="L28" s="164" t="str">
        <f>VLOOKUP(A28,'Trips&amp;Operators'!$C$1:$G$99911,5,FALSE)</f>
        <v>MAELZER KURT</v>
      </c>
      <c r="M28" s="6">
        <f t="shared" si="1"/>
        <v>2.6331018518249039E-2</v>
      </c>
      <c r="N28" s="7">
        <f t="shared" si="2"/>
        <v>37.916666666278616</v>
      </c>
      <c r="O28" s="7"/>
      <c r="P28" s="7"/>
      <c r="Q28" s="22"/>
      <c r="R28" s="157"/>
      <c r="S28" s="215">
        <f t="shared" si="3"/>
        <v>1</v>
      </c>
      <c r="T28" s="216" t="str">
        <f t="shared" si="4"/>
        <v>Southbound</v>
      </c>
      <c r="U28" s="216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7" t="str">
        <f t="shared" si="5"/>
        <v>https://d0f6bd738d7f1b3e5a7ca70fe4ff75f0.us-east-1.aws.found.io/app/kibana#/discover/Steve-Slow-Train-Analysis-(2080s-and-2083s)?_g=(refreshInterval:(display:Off,pause:!f,section:0,value:0),time:(from:'2017-10-29T05:18:24-0600',mode:absolute,to:'2017-10-29T08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8" s="218" t="str">
        <f>IF(AA28&lt;VLOOKUP(AG28,Variables!$AC$3:$AD$8,2,FALSE),"Y","N")</f>
        <v>N</v>
      </c>
      <c r="X28" s="218">
        <f t="shared" si="6"/>
        <v>1</v>
      </c>
      <c r="Y28" s="218">
        <f t="shared" si="7"/>
        <v>23.298300000000001</v>
      </c>
      <c r="Z28" s="218">
        <f t="shared" si="8"/>
        <v>1.52E-2</v>
      </c>
      <c r="AA28" s="218">
        <f t="shared" si="9"/>
        <v>23.283100000000001</v>
      </c>
      <c r="AB28" s="219" t="e">
        <f>VLOOKUP(A28,Enforcements!$C$7:$K$11,8,0)</f>
        <v>#N/A</v>
      </c>
      <c r="AC28" s="219" t="e">
        <f>VLOOKUP(A28,Enforcements!$C$7:$E$11,3,0)</f>
        <v>#N/A</v>
      </c>
      <c r="AD28" s="186">
        <f t="shared" si="10"/>
        <v>116</v>
      </c>
      <c r="AE28" s="220" t="str">
        <f t="shared" si="11"/>
        <v>aws s3 cp s3://rtdc.mdm.uploadarchive.raw/RTDC4017/ "%USERPROFILE%\AppData\Local\Temp\OnboardLogs"\RTDC4017\2017-10-29 --exclude "*" --recursive --include "*20171029*" &amp; "%USERPROFILE%\Documents\GitHub\mrs-test-scripts\Headless Mode &amp; Sideloading\WalkAndUnGZ.bat" "%USERPROFILE%\AppData\Local\Temp\OnboardLogs"\RTDC4017\2017-10-29 &amp; aws s3 cp s3://rtdc.mdm.uploadarchive.raw/RTDC4017/ "%USERPROFILE%\AppData\Local\Temp\OnboardLogs"\RTDC4017\2017-10-30 --exclude "*" --recursive --include "*20171030*" &amp; "%USERPROFILE%\Documents\GitHub\mrs-test-scripts\Headless Mode &amp; Sideloading\WalkAndUnGZ.bat" "%USERPROFILE%\AppData\Local\Temp\OnboardLogs"\RTDC4017\2017-10-30</v>
      </c>
      <c r="AF28" s="221" t="str">
        <f t="shared" si="12"/>
        <v>"C:\Program Files (x86)\AstroGrep\AstroGrep.exe" /e /r /s /spath="%USERPROFILE%\AppData\Local\Temp\OnboardLogs" /stypes="app*4017*20171029*" /stext=" 13:.+((SYSTEM_STATE.+slice.+state.+changed )|(ment ac)|(multiple cpu faults)|(system.+state.+changed )|(\[timeout)|(PRM\|1\|D)|(kpr)|(kdp)|(train st.+moving)|(\|lc)|(penalty))"</v>
      </c>
      <c r="AG28" s="185" t="str">
        <f t="shared" si="13"/>
        <v>EC</v>
      </c>
      <c r="AH28" s="222" t="str">
        <f t="shared" si="19"/>
        <v>"%USERPROFILE%\Documents\GitHub\eaglep3\Utilities\RefineRTDCRunTimes.py" --tripid 116-29 --locoid 4017 --swversion DE.1.0.9.0 --startMP 204:232983 --initTime 2017-10-29T06:18:24 --startdatetime 2017-10-29T06:27:17 --delay 48 --endMP 204:152 --enddatetime 2017-10-29T07:05:12 --enforcementcount 0 &gt;&gt;%USERPROFILE%\Documents\GitHub\eaglep3-reporting\EC\2017-10-29-refined-times.txt</v>
      </c>
      <c r="AI28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{"issue":{"subject":"","project_id":79,"tracker_id":40,"status_id":1,"priority_id":2,"assigned_to_id":338,"start_date":"2017-10-29","description":"","custom_fields":[{"id":1,"name":"Subdivision","value":"EC"},{"id":4,"name":"Milepost","value":"0.0152"},{"id":17,"name":"Train ID","value":"116-29"},{"id":16,"name":"Locomotive ID","value":"4017"},{"id":130,"name":"Impact","value":""},{"id":150,"name":"Time of Event (Mountain Time)","value":"07:05:12"},{"id":151,"name":"Denver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182"/>
      <c r="AK28" s="186"/>
      <c r="AL28" s="186"/>
      <c r="AM28" s="187" t="str">
        <f t="shared" si="21"/>
        <v>start /low /b %USERPROFILE%\Documents\GitHub\eaglep3\Utilities\DownloadLogsFromS3.py --loco 4017 --day 2017-10-29</v>
      </c>
      <c r="AN28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13:05:12"},{"id":29,"name":"Sharepoint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82" t="str">
        <f t="shared" si="23"/>
        <v>https://d0f6bd738d7f1b3e5a7ca70fe4ff75f0.us-east-1.aws.found.io/app/kibana#/discover/Steve-Slow-Train-Analysis-(2080s-and-2083s)?_g=(refreshInterval:(display:Off,pause:!f,section:0,value:0),time:(from:'2017-10-29T05:18:24-0600',mode:absolute,to:'2017-10-29T08:05:12-0600'))&amp;_a=(columns:!('Message%20ID',Summary),filters:!(),index:'emp_*',interval:auto,query:(query_string:(analyze_wildcard:!t,query:'%22rtdc.l.rtdc.4017%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32" t="s">
        <v>698</v>
      </c>
      <c r="B29" s="7">
        <v>4052</v>
      </c>
      <c r="C29" s="21" t="s">
        <v>194</v>
      </c>
      <c r="D29" s="21" t="s">
        <v>576</v>
      </c>
      <c r="E29" s="13">
        <v>43037.236678240741</v>
      </c>
      <c r="F29" s="13">
        <v>43037.239803240744</v>
      </c>
      <c r="G29" s="7">
        <v>120</v>
      </c>
      <c r="H29" s="21" t="s">
        <v>500</v>
      </c>
      <c r="I29" s="13">
        <v>43037.264120370368</v>
      </c>
      <c r="J29" s="7">
        <v>0</v>
      </c>
      <c r="K29" s="76" t="str">
        <f t="shared" si="0"/>
        <v>4051/4052</v>
      </c>
      <c r="L29" s="164" t="str">
        <f>VLOOKUP(A29,'Trips&amp;Operators'!$C$1:$G$99911,5,FALSE)</f>
        <v>LAMAR NEKESHA</v>
      </c>
      <c r="M29" s="6">
        <f t="shared" si="1"/>
        <v>2.4317129624250811E-2</v>
      </c>
      <c r="N29" s="7">
        <f t="shared" si="2"/>
        <v>35.016666658921167</v>
      </c>
      <c r="O29" s="7"/>
      <c r="P29" s="7"/>
      <c r="Q29" s="22"/>
      <c r="R29" s="157"/>
      <c r="S29" s="215">
        <f t="shared" si="3"/>
        <v>1</v>
      </c>
      <c r="T29" s="216" t="str">
        <f t="shared" si="4"/>
        <v>NorthBound</v>
      </c>
      <c r="U29" s="216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7" t="str">
        <f t="shared" si="5"/>
        <v>https://d0f6bd738d7f1b3e5a7ca70fe4ff75f0.us-east-1.aws.found.io/app/kibana#/discover/Steve-Slow-Train-Analysis-(2080s-and-2083s)?_g=(refreshInterval:(display:Off,pause:!f,section:0,value:0),time:(from:'2017-10-29T04:40:49-0600',mode:absolute,to:'2017-10-29T07:20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9" s="218" t="str">
        <f>IF(AA29&lt;VLOOKUP(AG29,Variables!$AC$3:$AD$8,2,FALSE),"Y","N")</f>
        <v>N</v>
      </c>
      <c r="X29" s="218">
        <f t="shared" si="6"/>
        <v>1</v>
      </c>
      <c r="Y29" s="218">
        <f t="shared" si="7"/>
        <v>4.5699999999999998E-2</v>
      </c>
      <c r="Z29" s="218">
        <f t="shared" si="8"/>
        <v>23.328800000000001</v>
      </c>
      <c r="AA29" s="218">
        <f t="shared" si="9"/>
        <v>23.283100000000001</v>
      </c>
      <c r="AB29" s="219" t="e">
        <f>VLOOKUP(A29,Enforcements!$C$7:$K$11,8,0)</f>
        <v>#N/A</v>
      </c>
      <c r="AC29" s="219" t="e">
        <f>VLOOKUP(A29,Enforcements!$C$7:$E$11,3,0)</f>
        <v>#N/A</v>
      </c>
      <c r="AD29" s="186">
        <f t="shared" si="10"/>
        <v>117</v>
      </c>
      <c r="AE29" s="220" t="str">
        <f t="shared" si="11"/>
        <v>aws s3 cp s3://rtdc.mdm.uploadarchive.raw/RTDC4052/ "%USERPROFILE%\AppData\Local\Temp\OnboardLogs"\RTDC4052\2017-10-29 --exclude "*" --recursive --include "*20171029*" &amp; "%USERPROFILE%\Documents\GitHub\mrs-test-scripts\Headless Mode &amp; Sideloading\WalkAndUnGZ.bat" "%USERPROFILE%\AppData\Local\Temp\OnboardLogs"\RTDC4052\2017-10-29 &amp; aws s3 cp s3://rtdc.mdm.uploadarchive.raw/RTDC4052/ "%USERPROFILE%\AppData\Local\Temp\OnboardLogs"\RTDC4052\2017-10-30 --exclude "*" --recursive --include "*20171030*" &amp; "%USERPROFILE%\Documents\GitHub\mrs-test-scripts\Headless Mode &amp; Sideloading\WalkAndUnGZ.bat" "%USERPROFILE%\AppData\Local\Temp\OnboardLogs"\RTDC4052\2017-10-30</v>
      </c>
      <c r="AF29" s="221" t="str">
        <f t="shared" si="12"/>
        <v>"C:\Program Files (x86)\AstroGrep\AstroGrep.exe" /e /r /s /spath="%USERPROFILE%\AppData\Local\Temp\OnboardLogs" /stypes="app*4052*20171029*" /stext=" 12:.+((SYSTEM_STATE.+slice.+state.+changed )|(ment ac)|(multiple cpu faults)|(system.+state.+changed )|(\[timeout)|(PRM\|1\|D)|(kpr)|(kdp)|(train st.+moving)|(\|lc)|(penalty))"</v>
      </c>
      <c r="AG29" s="185" t="str">
        <f t="shared" si="13"/>
        <v>EC</v>
      </c>
      <c r="AH29" s="222" t="str">
        <f t="shared" si="19"/>
        <v>"%USERPROFILE%\Documents\GitHub\eaglep3\Utilities\RefineRTDCRunTimes.py" --tripid 117-29 --locoid 4052 --swversion DE.1.0.9.0 --startMP 204:457 --initTime 2017-10-29T05:40:49 --startdatetime 2017-10-29T05:45:19 --delay 120 --endMP 204:233288 --enddatetime 2017-10-29T06:20:20 --enforcementcount 0 &gt;&gt;%USERPROFILE%\Documents\GitHub\eaglep3-reporting\EC\2017-10-29-refined-times.txt</v>
      </c>
      <c r="AI29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{"issue":{"subject":"","project_id":79,"tracker_id":40,"status_id":1,"priority_id":2,"assigned_to_id":338,"start_date":"2017-10-29","description":"","custom_fields":[{"id":1,"name":"Subdivision","value":"EC"},{"id":4,"name":"Milepost","value":"23.3288"},{"id":17,"name":"Train ID","value":"117-29"},{"id":16,"name":"Locomotive ID","value":"4052"},{"id":130,"name":"Impact","value":""},{"id":150,"name":"Time of Event (Mountain Time)","value":"06:20:20"},{"id":151,"name":"Denver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182"/>
      <c r="AK29" s="186"/>
      <c r="AL29" s="186"/>
      <c r="AM29" s="187" t="str">
        <f t="shared" si="21"/>
        <v>start /low /b %USERPROFILE%\Documents\GitHub\eaglep3\Utilities\DownloadLogsFromS3.py --loco 4052 --day 2017-10-29</v>
      </c>
      <c r="AN29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12:20:20"},{"id":29,"name":"Sharepoint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82" t="str">
        <f t="shared" si="23"/>
        <v>https://d0f6bd738d7f1b3e5a7ca70fe4ff75f0.us-east-1.aws.found.io/app/kibana#/discover/Steve-Slow-Train-Analysis-(2080s-and-2083s)?_g=(refreshInterval:(display:Off,pause:!f,section:0,value:0),time:(from:'2017-10-29T04:40:49-0600',mode:absolute,to:'2017-10-29T07:20:20-0600'))&amp;_a=(columns:!('Message%20ID',Summary),filters:!(),index:'emp_*',interval:auto,query:(query_string:(analyze_wildcard:!t,query:'%22rtdc.l.rtdc.4052%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32" t="s">
        <v>631</v>
      </c>
      <c r="B30" s="7">
        <v>4051</v>
      </c>
      <c r="C30" s="21" t="s">
        <v>194</v>
      </c>
      <c r="D30" s="21" t="s">
        <v>501</v>
      </c>
      <c r="E30" s="13">
        <v>43037.276041666664</v>
      </c>
      <c r="F30" s="13">
        <v>43037.279340277775</v>
      </c>
      <c r="G30" s="7">
        <v>94</v>
      </c>
      <c r="H30" s="21" t="s">
        <v>335</v>
      </c>
      <c r="I30" s="13">
        <v>43037.306956018518</v>
      </c>
      <c r="J30" s="7">
        <v>0</v>
      </c>
      <c r="K30" s="76" t="str">
        <f t="shared" si="0"/>
        <v>4051/4052</v>
      </c>
      <c r="L30" s="164" t="str">
        <f>VLOOKUP(A30,'Trips&amp;Operators'!$C$1:$G$99911,5,FALSE)</f>
        <v>LAMAR NEKESHA</v>
      </c>
      <c r="M30" s="6">
        <f t="shared" si="1"/>
        <v>2.7615740742476191E-2</v>
      </c>
      <c r="N30" s="7">
        <f t="shared" si="2"/>
        <v>39.766666669165716</v>
      </c>
      <c r="O30" s="7"/>
      <c r="P30" s="7"/>
      <c r="Q30" s="22"/>
      <c r="R30" s="157"/>
      <c r="S30" s="215">
        <f t="shared" si="3"/>
        <v>1</v>
      </c>
      <c r="T30" s="216" t="str">
        <f t="shared" si="4"/>
        <v>Southbound</v>
      </c>
      <c r="U30" s="216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7" t="str">
        <f t="shared" si="5"/>
        <v>https://d0f6bd738d7f1b3e5a7ca70fe4ff75f0.us-east-1.aws.found.io/app/kibana#/discover/Steve-Slow-Train-Analysis-(2080s-and-2083s)?_g=(refreshInterval:(display:Off,pause:!f,section:0,value:0),time:(from:'2017-10-29T05:37:30-0600',mode:absolute,to:'2017-10-29T08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30" s="218" t="str">
        <f>IF(AA30&lt;VLOOKUP(AG30,Variables!$AC$3:$AD$8,2,FALSE),"Y","N")</f>
        <v>N</v>
      </c>
      <c r="X30" s="218">
        <f t="shared" si="6"/>
        <v>1</v>
      </c>
      <c r="Y30" s="218">
        <f t="shared" si="7"/>
        <v>23.2973</v>
      </c>
      <c r="Z30" s="218">
        <f t="shared" si="8"/>
        <v>1.43E-2</v>
      </c>
      <c r="AA30" s="218">
        <f t="shared" si="9"/>
        <v>23.283000000000001</v>
      </c>
      <c r="AB30" s="219" t="e">
        <f>VLOOKUP(A30,Enforcements!$C$7:$K$11,8,0)</f>
        <v>#N/A</v>
      </c>
      <c r="AC30" s="219" t="e">
        <f>VLOOKUP(A30,Enforcements!$C$7:$E$11,3,0)</f>
        <v>#N/A</v>
      </c>
      <c r="AD30" s="186">
        <f t="shared" si="10"/>
        <v>118</v>
      </c>
      <c r="AE30" s="220" t="str">
        <f t="shared" si="11"/>
        <v>aws s3 cp s3://rtdc.mdm.uploadarchive.raw/RTDC4051/ "%USERPROFILE%\AppData\Local\Temp\OnboardLogs"\RTDC4051\2017-10-29 --exclude "*" --recursive --include "*20171029*" &amp; "%USERPROFILE%\Documents\GitHub\mrs-test-scripts\Headless Mode &amp; Sideloading\WalkAndUnGZ.bat" "%USERPROFILE%\AppData\Local\Temp\OnboardLogs"\RTDC4051\2017-10-29 &amp; aws s3 cp s3://rtdc.mdm.uploadarchive.raw/RTDC4051/ "%USERPROFILE%\AppData\Local\Temp\OnboardLogs"\RTDC4051\2017-10-30 --exclude "*" --recursive --include "*20171030*" &amp; "%USERPROFILE%\Documents\GitHub\mrs-test-scripts\Headless Mode &amp; Sideloading\WalkAndUnGZ.bat" "%USERPROFILE%\AppData\Local\Temp\OnboardLogs"\RTDC4051\2017-10-30</v>
      </c>
      <c r="AF30" s="221" t="str">
        <f t="shared" si="12"/>
        <v>"C:\Program Files (x86)\AstroGrep\AstroGrep.exe" /e /r /s /spath="%USERPROFILE%\AppData\Local\Temp\OnboardLogs" /stypes="app*4051*20171029*" /stext=" 13:.+((SYSTEM_STATE.+slice.+state.+changed )|(ment ac)|(multiple cpu faults)|(system.+state.+changed )|(\[timeout)|(PRM\|1\|D)|(kpr)|(kdp)|(train st.+moving)|(\|lc)|(penalty))"</v>
      </c>
      <c r="AG30" s="185" t="str">
        <f t="shared" si="13"/>
        <v>EC</v>
      </c>
      <c r="AH30" s="222" t="str">
        <f t="shared" si="19"/>
        <v>"%USERPROFILE%\Documents\GitHub\eaglep3\Utilities\RefineRTDCRunTimes.py" --tripid 118-29 --locoid 4051 --swversion DE.1.0.9.0 --startMP 204:232973 --initTime 2017-10-29T06:37:30 --startdatetime 2017-10-29T06:42:15 --delay 94 --endMP 204:143 --enddatetime 2017-10-29T07:22:01 --enforcementcount 0 &gt;&gt;%USERPROFILE%\Documents\GitHub\eaglep3-reporting\EC\2017-10-29-refined-times.txt</v>
      </c>
      <c r="AI30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{"issue":{"subject":"","project_id":79,"tracker_id":40,"status_id":1,"priority_id":2,"assigned_to_id":338,"start_date":"2017-10-29","description":"","custom_fields":[{"id":1,"name":"Subdivision","value":"EC"},{"id":4,"name":"Milepost","value":"0.0143"},{"id":17,"name":"Train ID","value":"118-29"},{"id":16,"name":"Locomotive ID","value":"4051"},{"id":130,"name":"Impact","value":""},{"id":150,"name":"Time of Event (Mountain Time)","value":"07:22:01"},{"id":151,"name":"Denver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182"/>
      <c r="AK30" s="186"/>
      <c r="AL30" s="186"/>
      <c r="AM30" s="187" t="str">
        <f t="shared" si="21"/>
        <v>start /low /b %USERPROFILE%\Documents\GitHub\eaglep3\Utilities\DownloadLogsFromS3.py --loco 4051 --day 2017-10-29</v>
      </c>
      <c r="AN30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13:22:01"},{"id":29,"name":"Sharepoint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82" t="str">
        <f t="shared" si="23"/>
        <v>https://d0f6bd738d7f1b3e5a7ca70fe4ff75f0.us-east-1.aws.found.io/app/kibana#/discover/Steve-Slow-Train-Analysis-(2080s-and-2083s)?_g=(refreshInterval:(display:Off,pause:!f,section:0,value:0),time:(from:'2017-10-29T05:37:30-0600',mode:absolute,to:'2017-10-29T08:22:01-0600'))&amp;_a=(columns:!('Message%20ID',Summary),filters:!(),index:'emp_*',interval:auto,query:(query_string:(analyze_wildcard:!t,query:'%22rtdc.l.rtdc.4051%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32" t="s">
        <v>700</v>
      </c>
      <c r="B31" s="7">
        <v>4060</v>
      </c>
      <c r="C31" s="21" t="s">
        <v>194</v>
      </c>
      <c r="D31" s="21" t="s">
        <v>886</v>
      </c>
      <c r="E31" s="13">
        <v>43037.245451388888</v>
      </c>
      <c r="F31" s="13">
        <v>43037.250185185185</v>
      </c>
      <c r="G31" s="7">
        <v>58</v>
      </c>
      <c r="H31" s="21" t="s">
        <v>887</v>
      </c>
      <c r="I31" s="13">
        <v>43037.276018518518</v>
      </c>
      <c r="J31" s="7">
        <v>0</v>
      </c>
      <c r="K31" s="76" t="str">
        <f t="shared" si="0"/>
        <v>4059/4060</v>
      </c>
      <c r="L31" s="164" t="str">
        <f>VLOOKUP(A31,'Trips&amp;Operators'!$C$1:$G$99911,5,FALSE)</f>
        <v>LANGERAK WILLIAM</v>
      </c>
      <c r="M31" s="6">
        <f t="shared" si="1"/>
        <v>2.5833333333139308E-2</v>
      </c>
      <c r="N31" s="7">
        <f t="shared" si="2"/>
        <v>37.199999999720603</v>
      </c>
      <c r="O31" s="7"/>
      <c r="P31" s="7"/>
      <c r="Q31" s="22"/>
      <c r="R31" s="157"/>
      <c r="S31" s="215">
        <f t="shared" si="3"/>
        <v>1</v>
      </c>
      <c r="T31" s="216" t="str">
        <f t="shared" si="4"/>
        <v>NorthBound</v>
      </c>
      <c r="U31" s="216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7" t="str">
        <f t="shared" si="5"/>
        <v>https://d0f6bd738d7f1b3e5a7ca70fe4ff75f0.us-east-1.aws.found.io/app/kibana#/discover/Steve-Slow-Train-Analysis-(2080s-and-2083s)?_g=(refreshInterval:(display:Off,pause:!f,section:0,value:0),time:(from:'2017-10-29T04:53:27-0600',mode:absolute,to:'2017-10-29T07:37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1" s="218" t="str">
        <f>IF(AA31&lt;VLOOKUP(AG31,Variables!$AC$3:$AD$8,2,FALSE),"Y","N")</f>
        <v>N</v>
      </c>
      <c r="X31" s="218">
        <f t="shared" si="6"/>
        <v>1</v>
      </c>
      <c r="Y31" s="218">
        <f t="shared" si="7"/>
        <v>4.5499999999999999E-2</v>
      </c>
      <c r="Z31" s="218">
        <f t="shared" si="8"/>
        <v>23.331</v>
      </c>
      <c r="AA31" s="218">
        <f t="shared" si="9"/>
        <v>23.285499999999999</v>
      </c>
      <c r="AB31" s="219" t="e">
        <f>VLOOKUP(A31,Enforcements!$C$7:$K$11,8,0)</f>
        <v>#N/A</v>
      </c>
      <c r="AC31" s="219" t="e">
        <f>VLOOKUP(A31,Enforcements!$C$7:$E$11,3,0)</f>
        <v>#N/A</v>
      </c>
      <c r="AD31" s="186">
        <f t="shared" si="10"/>
        <v>119</v>
      </c>
      <c r="AE31" s="220" t="str">
        <f t="shared" si="11"/>
        <v>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 &amp; aws s3 cp s3://rtdc.mdm.uploadarchive.raw/RTDC4060/ "%USERPROFILE%\AppData\Local\Temp\OnboardLogs"\RTDC4060\2017-10-30 --exclude "*" --recursive --include "*20171030*" &amp; "%USERPROFILE%\Documents\GitHub\mrs-test-scripts\Headless Mode &amp; Sideloading\WalkAndUnGZ.bat" "%USERPROFILE%\AppData\Local\Temp\OnboardLogs"\RTDC4060\2017-10-30</v>
      </c>
      <c r="AF31" s="221" t="str">
        <f t="shared" si="12"/>
        <v>"C:\Program Files (x86)\AstroGrep\AstroGrep.exe" /e /r /s /spath="%USERPROFILE%\AppData\Local\Temp\OnboardLogs" /stypes="app*4060*20171029*" /stext=" 12:.+((SYSTEM_STATE.+slice.+state.+changed )|(ment ac)|(multiple cpu faults)|(system.+state.+changed )|(\[timeout)|(PRM\|1\|D)|(kpr)|(kdp)|(train st.+moving)|(\|lc)|(penalty))"</v>
      </c>
      <c r="AG31" s="185" t="str">
        <f t="shared" si="13"/>
        <v>EC</v>
      </c>
      <c r="AH31" s="222" t="str">
        <f t="shared" si="19"/>
        <v>"%USERPROFILE%\Documents\GitHub\eaglep3\Utilities\RefineRTDCRunTimes.py" --tripid 119-29 --locoid 4060 --swversion DE.1.0.9.0 --startMP 204:455 --initTime 2017-10-29T05:53:27 --startdatetime 2017-10-29T06:00:16 --delay 58 --endMP 204:233310 --enddatetime 2017-10-29T06:37:28 --enforcementcount 0 &gt;&gt;%USERPROFILE%\Documents\GitHub\eaglep3-reporting\EC\2017-10-29-refined-times.txt</v>
      </c>
      <c r="AI31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{"issue":{"subject":"","project_id":79,"tracker_id":40,"status_id":1,"priority_id":2,"assigned_to_id":338,"start_date":"2017-10-29","description":"","custom_fields":[{"id":1,"name":"Subdivision","value":"EC"},{"id":4,"name":"Milepost","value":"23.331"},{"id":17,"name":"Train ID","value":"119-29"},{"id":16,"name":"Locomotive ID","value":"4060"},{"id":130,"name":"Impact","value":""},{"id":150,"name":"Time of Event (Mountain Time)","value":"06:37:28"},{"id":151,"name":"Denver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182"/>
      <c r="AK31" s="186"/>
      <c r="AL31" s="186"/>
      <c r="AM31" s="187" t="str">
        <f t="shared" si="21"/>
        <v>start /low /b %USERPROFILE%\Documents\GitHub\eaglep3\Utilities\DownloadLogsFromS3.py --loco 4060 --day 2017-10-29</v>
      </c>
      <c r="AN31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12:37:28"},{"id":29,"name":"Sharepoint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82" t="str">
        <f t="shared" si="23"/>
        <v>https://d0f6bd738d7f1b3e5a7ca70fe4ff75f0.us-east-1.aws.found.io/app/kibana#/discover/Steve-Slow-Train-Analysis-(2080s-and-2083s)?_g=(refreshInterval:(display:Off,pause:!f,section:0,value:0),time:(from:'2017-10-29T04:53:27-0600',mode:absolute,to:'2017-10-29T07:37:28-0600'))&amp;_a=(columns:!('Message%20ID',Summary),filters:!(),index:'emp_*',interval:auto,query:(query_string:(analyze_wildcard:!t,query:'%22rtdc.l.rtdc.4060%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32" t="s">
        <v>632</v>
      </c>
      <c r="B32" s="7">
        <v>4059</v>
      </c>
      <c r="C32" s="21" t="s">
        <v>194</v>
      </c>
      <c r="D32" s="21" t="s">
        <v>873</v>
      </c>
      <c r="E32" s="13">
        <v>43037.277268518519</v>
      </c>
      <c r="F32" s="13">
        <v>43037.289768518516</v>
      </c>
      <c r="G32" s="7">
        <v>51</v>
      </c>
      <c r="H32" s="21" t="s">
        <v>888</v>
      </c>
      <c r="I32" s="13">
        <v>43037.319305555553</v>
      </c>
      <c r="J32" s="7">
        <v>0</v>
      </c>
      <c r="K32" s="76" t="str">
        <f t="shared" si="0"/>
        <v>4059/4060</v>
      </c>
      <c r="L32" s="164" t="str">
        <f>VLOOKUP(A32,'Trips&amp;Operators'!$C$1:$G$99911,5,FALSE)</f>
        <v>LANGERAK WILLIAM</v>
      </c>
      <c r="M32" s="6">
        <f t="shared" si="1"/>
        <v>2.9537037036789116E-2</v>
      </c>
      <c r="N32" s="7">
        <f t="shared" si="2"/>
        <v>42.533333332976326</v>
      </c>
      <c r="O32" s="7"/>
      <c r="P32" s="7"/>
      <c r="Q32" s="22"/>
      <c r="R32" s="157"/>
      <c r="S32" s="215">
        <f t="shared" si="3"/>
        <v>1</v>
      </c>
      <c r="T32" s="216" t="str">
        <f t="shared" si="4"/>
        <v>Southbound</v>
      </c>
      <c r="U32" s="216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7" t="str">
        <f t="shared" si="5"/>
        <v>https://d0f6bd738d7f1b3e5a7ca70fe4ff75f0.us-east-1.aws.found.io/app/kibana#/discover/Steve-Slow-Train-Analysis-(2080s-and-2083s)?_g=(refreshInterval:(display:Off,pause:!f,section:0,value:0),time:(from:'2017-10-29T05:39:16-0600',mode:absolute,to:'2017-10-29T08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2" s="218" t="str">
        <f>IF(AA32&lt;VLOOKUP(AG32,Variables!$AC$3:$AD$8,2,FALSE),"Y","N")</f>
        <v>N</v>
      </c>
      <c r="X32" s="218">
        <f t="shared" si="6"/>
        <v>1</v>
      </c>
      <c r="Y32" s="218">
        <f t="shared" si="7"/>
        <v>23.299399999999999</v>
      </c>
      <c r="Z32" s="218">
        <f t="shared" si="8"/>
        <v>1.7600000000000001E-2</v>
      </c>
      <c r="AA32" s="218">
        <f t="shared" si="9"/>
        <v>23.281799999999997</v>
      </c>
      <c r="AB32" s="219" t="e">
        <f>VLOOKUP(A32,Enforcements!$C$7:$K$11,8,0)</f>
        <v>#N/A</v>
      </c>
      <c r="AC32" s="219" t="e">
        <f>VLOOKUP(A32,Enforcements!$C$7:$E$11,3,0)</f>
        <v>#N/A</v>
      </c>
      <c r="AD32" s="186">
        <f t="shared" si="10"/>
        <v>120</v>
      </c>
      <c r="AE32" s="220" t="str">
        <f t="shared" si="11"/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AF32" s="221" t="str">
        <f t="shared" si="12"/>
        <v>"C:\Program Files (x86)\AstroGrep\AstroGrep.exe" /e /r /s /spath="%USERPROFILE%\AppData\Local\Temp\OnboardLogs" /stypes="app*4059*20171029*" /stext=" 13:.+((SYSTEM_STATE.+slice.+state.+changed )|(ment ac)|(multiple cpu faults)|(system.+state.+changed )|(\[timeout)|(PRM\|1\|D)|(kpr)|(kdp)|(train st.+moving)|(\|lc)|(penalty))"</v>
      </c>
      <c r="AG32" s="185" t="str">
        <f t="shared" si="13"/>
        <v>EC</v>
      </c>
      <c r="AH32" s="222" t="str">
        <f t="shared" si="19"/>
        <v>"%USERPROFILE%\Documents\GitHub\eaglep3\Utilities\RefineRTDCRunTimes.py" --tripid 120-29 --locoid 4059 --swversion DE.1.0.9.0 --startMP 204:232994 --initTime 2017-10-29T06:39:16 --startdatetime 2017-10-29T06:57:16 --delay 51 --endMP 204:176 --enddatetime 2017-10-29T07:39:48 --enforcementcount 0 &gt;&gt;%USERPROFILE%\Documents\GitHub\eaglep3-reporting\EC\2017-10-29-refined-times.txt</v>
      </c>
      <c r="AI32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{"issue":{"subject":"","project_id":79,"tracker_id":40,"status_id":1,"priority_id":2,"assigned_to_id":338,"start_date":"2017-10-29","description":"","custom_fields":[{"id":1,"name":"Subdivision","value":"EC"},{"id":4,"name":"Milepost","value":"0.0176"},{"id":17,"name":"Train ID","value":"120-29"},{"id":16,"name":"Locomotive ID","value":"4059"},{"id":130,"name":"Impact","value":""},{"id":150,"name":"Time of Event (Mountain Time)","value":"07:39:48"},{"id":151,"name":"Denver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182"/>
      <c r="AK32" s="186"/>
      <c r="AL32" s="186"/>
      <c r="AM32" s="187" t="str">
        <f t="shared" si="21"/>
        <v>start /low /b %USERPROFILE%\Documents\GitHub\eaglep3\Utilities\DownloadLogsFromS3.py --loco 4059 --day 2017-10-29</v>
      </c>
      <c r="AN32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13:39:48"},{"id":29,"name":"Sharepoint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82" t="str">
        <f t="shared" si="23"/>
        <v>https://d0f6bd738d7f1b3e5a7ca70fe4ff75f0.us-east-1.aws.found.io/app/kibana#/discover/Steve-Slow-Train-Analysis-(2080s-and-2083s)?_g=(refreshInterval:(display:Off,pause:!f,section:0,value:0),time:(from:'2017-10-29T05:39:16-0600',mode:absolute,to:'2017-10-29T08:39:48-0600'))&amp;_a=(columns:!('Message%20ID',Summary),filters:!(),index:'emp_*',interval:auto,query:(query_string:(analyze_wildcard:!t,query:'%22rtdc.l.rtdc.4059%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32" t="s">
        <v>703</v>
      </c>
      <c r="B33" s="7">
        <v>4016</v>
      </c>
      <c r="C33" s="21" t="s">
        <v>194</v>
      </c>
      <c r="D33" s="21" t="s">
        <v>620</v>
      </c>
      <c r="E33" s="13">
        <v>43037.256261574075</v>
      </c>
      <c r="F33" s="13">
        <v>43037.260613425926</v>
      </c>
      <c r="G33" s="7">
        <v>58</v>
      </c>
      <c r="H33" s="21" t="s">
        <v>889</v>
      </c>
      <c r="I33" s="13">
        <v>43037.284930555557</v>
      </c>
      <c r="J33" s="7">
        <v>0</v>
      </c>
      <c r="K33" s="76" t="str">
        <f t="shared" si="0"/>
        <v>4015/4016</v>
      </c>
      <c r="L33" s="164" t="str">
        <f>VLOOKUP(A33,'Trips&amp;Operators'!$C$1:$G$99911,5,FALSE)</f>
        <v>PAGE MARCUS</v>
      </c>
      <c r="M33" s="6">
        <f t="shared" si="1"/>
        <v>2.4317129631526768E-2</v>
      </c>
      <c r="N33" s="7">
        <f t="shared" si="2"/>
        <v>35.016666669398546</v>
      </c>
      <c r="O33" s="7"/>
      <c r="P33" s="7"/>
      <c r="Q33" s="22"/>
      <c r="R33" s="157"/>
      <c r="S33" s="215">
        <f t="shared" si="3"/>
        <v>1</v>
      </c>
      <c r="T33" s="216" t="str">
        <f t="shared" si="4"/>
        <v>NorthBound</v>
      </c>
      <c r="U33" s="216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7" t="str">
        <f t="shared" si="5"/>
        <v>https://d0f6bd738d7f1b3e5a7ca70fe4ff75f0.us-east-1.aws.found.io/app/kibana#/discover/Steve-Slow-Train-Analysis-(2080s-and-2083s)?_g=(refreshInterval:(display:Off,pause:!f,section:0,value:0),time:(from:'2017-10-29T05:09:01-0600',mode:absolute,to:'2017-10-29T07:50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33" s="218" t="str">
        <f>IF(AA33&lt;VLOOKUP(AG33,Variables!$AC$3:$AD$8,2,FALSE),"Y","N")</f>
        <v>N</v>
      </c>
      <c r="X33" s="218">
        <f t="shared" si="6"/>
        <v>1</v>
      </c>
      <c r="Y33" s="218">
        <f t="shared" si="7"/>
        <v>5.6800000000000003E-2</v>
      </c>
      <c r="Z33" s="218">
        <f t="shared" si="8"/>
        <v>23.330300000000001</v>
      </c>
      <c r="AA33" s="218">
        <f t="shared" si="9"/>
        <v>23.273500000000002</v>
      </c>
      <c r="AB33" s="219" t="e">
        <f>VLOOKUP(A33,Enforcements!$C$7:$K$11,8,0)</f>
        <v>#N/A</v>
      </c>
      <c r="AC33" s="219" t="e">
        <f>VLOOKUP(A33,Enforcements!$C$7:$E$11,3,0)</f>
        <v>#N/A</v>
      </c>
      <c r="AD33" s="186">
        <f t="shared" si="10"/>
        <v>121</v>
      </c>
      <c r="AE33" s="220" t="str">
        <f t="shared" si="11"/>
        <v>aws s3 cp s3://rtdc.mdm.uploadarchive.raw/RTDC4016/ "%USERPROFILE%\AppData\Local\Temp\OnboardLogs"\RTDC4016\2017-10-29 --exclude "*" --recursive --include "*20171029*" &amp; "%USERPROFILE%\Documents\GitHub\mrs-test-scripts\Headless Mode &amp; Sideloading\WalkAndUnGZ.bat" "%USERPROFILE%\AppData\Local\Temp\OnboardLogs"\RTDC4016\2017-10-29 &amp; 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</v>
      </c>
      <c r="AF33" s="221" t="str">
        <f t="shared" si="12"/>
        <v>"C:\Program Files (x86)\AstroGrep\AstroGrep.exe" /e /r /s /spath="%USERPROFILE%\AppData\Local\Temp\OnboardLogs" /stypes="app*4016*20171029*" /stext=" 12:.+((SYSTEM_STATE.+slice.+state.+changed )|(ment ac)|(multiple cpu faults)|(system.+state.+changed )|(\[timeout)|(PRM\|1\|D)|(kpr)|(kdp)|(train st.+moving)|(\|lc)|(penalty))"</v>
      </c>
      <c r="AG33" s="185" t="str">
        <f t="shared" si="13"/>
        <v>EC</v>
      </c>
      <c r="AH33" s="222" t="str">
        <f t="shared" si="19"/>
        <v>"%USERPROFILE%\Documents\GitHub\eaglep3\Utilities\RefineRTDCRunTimes.py" --tripid 121-29 --locoid 4016 --swversion DE.1.0.9.0 --startMP 204:568 --initTime 2017-10-29T06:09:01 --startdatetime 2017-10-29T06:15:17 --delay 58 --endMP 204:233303 --enddatetime 2017-10-29T06:50:18 --enforcementcount 0 &gt;&gt;%USERPROFILE%\Documents\GitHub\eaglep3-reporting\EC\2017-10-29-refined-times.txt</v>
      </c>
      <c r="AI33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{"issue":{"subject":"","project_id":79,"tracker_id":40,"status_id":1,"priority_id":2,"assigned_to_id":338,"start_date":"2017-10-29","description":"","custom_fields":[{"id":1,"name":"Subdivision","value":"EC"},{"id":4,"name":"Milepost","value":"23.3303"},{"id":17,"name":"Train ID","value":"121-29"},{"id":16,"name":"Locomotive ID","value":"4016"},{"id":130,"name":"Impact","value":""},{"id":150,"name":"Time of Event (Mountain Time)","value":"06:50:18"},{"id":151,"name":"Denver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182"/>
      <c r="AK33" s="186"/>
      <c r="AL33" s="186"/>
      <c r="AM33" s="187" t="str">
        <f t="shared" si="21"/>
        <v>start /low /b %USERPROFILE%\Documents\GitHub\eaglep3\Utilities\DownloadLogsFromS3.py --loco 4016 --day 2017-10-29</v>
      </c>
      <c r="AN33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12:50:18"},{"id":29,"name":"Sharepoint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82" t="str">
        <f t="shared" si="23"/>
        <v>https://d0f6bd738d7f1b3e5a7ca70fe4ff75f0.us-east-1.aws.found.io/app/kibana#/discover/Steve-Slow-Train-Analysis-(2080s-and-2083s)?_g=(refreshInterval:(display:Off,pause:!f,section:0,value:0),time:(from:'2017-10-29T05:09:01-0600',mode:absolute,to:'2017-10-29T07:50:18-0600'))&amp;_a=(columns:!('Message%20ID',Summary),filters:!(),index:'emp_*',interval:auto,query:(query_string:(analyze_wildcard:!t,query:'%22rtdc.l.rtdc.4016%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32" t="s">
        <v>710</v>
      </c>
      <c r="B34" s="7">
        <v>4015</v>
      </c>
      <c r="C34" s="21" t="s">
        <v>194</v>
      </c>
      <c r="D34" s="21" t="s">
        <v>876</v>
      </c>
      <c r="E34" s="13">
        <v>43037.295925925922</v>
      </c>
      <c r="F34" s="13">
        <v>43037.300219907411</v>
      </c>
      <c r="G34" s="7">
        <v>68</v>
      </c>
      <c r="H34" s="21" t="s">
        <v>890</v>
      </c>
      <c r="I34" s="13">
        <v>43037.328506944446</v>
      </c>
      <c r="J34" s="7">
        <v>0</v>
      </c>
      <c r="K34" s="76" t="str">
        <f t="shared" si="0"/>
        <v>4015/4016</v>
      </c>
      <c r="L34" s="164" t="str">
        <f>VLOOKUP(A34,'Trips&amp;Operators'!$C$1:$G$99911,5,FALSE)</f>
        <v>PAGE MARCUS</v>
      </c>
      <c r="M34" s="6">
        <f t="shared" si="1"/>
        <v>2.8287037035624962E-2</v>
      </c>
      <c r="N34" s="7">
        <f t="shared" si="2"/>
        <v>40.733333331299946</v>
      </c>
      <c r="O34" s="7"/>
      <c r="P34" s="7"/>
      <c r="Q34" s="22"/>
      <c r="R34" s="157"/>
      <c r="S34" s="215">
        <f t="shared" si="3"/>
        <v>1</v>
      </c>
      <c r="T34" s="216" t="str">
        <f t="shared" si="4"/>
        <v>Southbound</v>
      </c>
      <c r="U34" s="216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7" t="str">
        <f t="shared" si="5"/>
        <v>https://d0f6bd738d7f1b3e5a7ca70fe4ff75f0.us-east-1.aws.found.io/app/kibana#/discover/Steve-Slow-Train-Analysis-(2080s-and-2083s)?_g=(refreshInterval:(display:Off,pause:!f,section:0,value:0),time:(from:'2017-10-29T06:06:08-0600',mode:absolute,to:'2017-10-29T08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34" s="218" t="str">
        <f>IF(AA34&lt;VLOOKUP(AG34,Variables!$AC$3:$AD$8,2,FALSE),"Y","N")</f>
        <v>N</v>
      </c>
      <c r="X34" s="218">
        <f t="shared" si="6"/>
        <v>1</v>
      </c>
      <c r="Y34" s="218">
        <f t="shared" si="7"/>
        <v>23.297499999999999</v>
      </c>
      <c r="Z34" s="218">
        <f t="shared" si="8"/>
        <v>3.1800000000000002E-2</v>
      </c>
      <c r="AA34" s="218">
        <f t="shared" si="9"/>
        <v>23.265699999999999</v>
      </c>
      <c r="AB34" s="219" t="e">
        <f>VLOOKUP(A34,Enforcements!$C$7:$K$11,8,0)</f>
        <v>#N/A</v>
      </c>
      <c r="AC34" s="219" t="e">
        <f>VLOOKUP(A34,Enforcements!$C$7:$E$11,3,0)</f>
        <v>#N/A</v>
      </c>
      <c r="AD34" s="186">
        <f t="shared" si="10"/>
        <v>122</v>
      </c>
      <c r="AE34" s="220" t="str">
        <f t="shared" si="11"/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34" s="221" t="str">
        <f t="shared" si="12"/>
        <v>"C:\Program Files (x86)\AstroGrep\AstroGrep.exe" /e /r /s /spath="%USERPROFILE%\AppData\Local\Temp\OnboardLogs" /stypes="app*4015*20171029*" /stext=" 13:.+((SYSTEM_STATE.+slice.+state.+changed )|(ment ac)|(multiple cpu faults)|(system.+state.+changed )|(\[timeout)|(PRM\|1\|D)|(kpr)|(kdp)|(train st.+moving)|(\|lc)|(penalty))"</v>
      </c>
      <c r="AG34" s="185" t="str">
        <f t="shared" si="13"/>
        <v>EC</v>
      </c>
      <c r="AH34" s="222" t="str">
        <f t="shared" si="19"/>
        <v>"%USERPROFILE%\Documents\GitHub\eaglep3\Utilities\RefineRTDCRunTimes.py" --tripid 122-29 --locoid 4015 --swversion DE.1.0.9.0 --startMP 204:232975 --initTime 2017-10-29T07:06:08 --startdatetime 2017-10-29T07:12:19 --delay 68 --endMP 204:318 --enddatetime 2017-10-29T07:53:03 --enforcementcount 0 &gt;&gt;%USERPROFILE%\Documents\GitHub\eaglep3-reporting\EC\2017-10-29-refined-times.txt</v>
      </c>
      <c r="AI34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{"issue":{"subject":"","project_id":79,"tracker_id":40,"status_id":1,"priority_id":2,"assigned_to_id":338,"start_date":"2017-10-29","description":"","custom_fields":[{"id":1,"name":"Subdivision","value":"EC"},{"id":4,"name":"Milepost","value":"0.0318"},{"id":17,"name":"Train ID","value":"122-29"},{"id":16,"name":"Locomotive ID","value":"4015"},{"id":130,"name":"Impact","value":""},{"id":150,"name":"Time of Event (Mountain Time)","value":"07:53:03"},{"id":151,"name":"Denver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182"/>
      <c r="AK34" s="186"/>
      <c r="AL34" s="186"/>
      <c r="AM34" s="187" t="str">
        <f t="shared" si="21"/>
        <v>start /low /b %USERPROFILE%\Documents\GitHub\eaglep3\Utilities\DownloadLogsFromS3.py --loco 4015 --day 2017-10-29</v>
      </c>
      <c r="AN34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13:53:03"},{"id":29,"name":"Sharepoint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82" t="str">
        <f t="shared" si="23"/>
        <v>https://d0f6bd738d7f1b3e5a7ca70fe4ff75f0.us-east-1.aws.found.io/app/kibana#/discover/Steve-Slow-Train-Analysis-(2080s-and-2083s)?_g=(refreshInterval:(display:Off,pause:!f,section:0,value:0),time:(from:'2017-10-29T06:06:08-0600',mode:absolute,to:'2017-10-29T08:53:03-0600'))&amp;_a=(columns:!('Message%20ID',Summary),filters:!(),index:'emp_*',interval:auto,query:(query_string:(analyze_wildcard:!t,query:'%22rtdc.l.rtdc.4015%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32" t="s">
        <v>705</v>
      </c>
      <c r="B35" s="7">
        <v>4006</v>
      </c>
      <c r="C35" s="21" t="s">
        <v>194</v>
      </c>
      <c r="D35" s="21" t="s">
        <v>369</v>
      </c>
      <c r="E35" s="13">
        <v>43037.265763888892</v>
      </c>
      <c r="F35" s="13">
        <v>43037.270995370367</v>
      </c>
      <c r="G35" s="7">
        <v>66</v>
      </c>
      <c r="H35" s="21" t="s">
        <v>891</v>
      </c>
      <c r="I35" s="13">
        <v>43037.298449074071</v>
      </c>
      <c r="J35" s="7">
        <v>0</v>
      </c>
      <c r="K35" s="76" t="str">
        <f t="shared" si="0"/>
        <v>4005/4006</v>
      </c>
      <c r="L35" s="164" t="str">
        <f>VLOOKUP(A35,'Trips&amp;Operators'!$C$1:$G$99911,5,FALSE)</f>
        <v>GEBRETEKLE DAGNEW</v>
      </c>
      <c r="M35" s="6">
        <f t="shared" si="1"/>
        <v>2.7453703703940846E-2</v>
      </c>
      <c r="N35" s="7">
        <f t="shared" si="2"/>
        <v>39.533333333674818</v>
      </c>
      <c r="O35" s="7"/>
      <c r="P35" s="7"/>
      <c r="Q35" s="22"/>
      <c r="R35" s="157"/>
      <c r="S35" s="215">
        <f t="shared" si="3"/>
        <v>1</v>
      </c>
      <c r="T35" s="216" t="str">
        <f t="shared" si="4"/>
        <v>NorthBound</v>
      </c>
      <c r="U35" s="216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7" t="str">
        <f t="shared" si="5"/>
        <v>https://d0f6bd738d7f1b3e5a7ca70fe4ff75f0.us-east-1.aws.found.io/app/kibana#/discover/Steve-Slow-Train-Analysis-(2080s-and-2083s)?_g=(refreshInterval:(display:Off,pause:!f,section:0,value:0),time:(from:'2017-10-29T05:22:42-0600',mode:absolute,to:'2017-10-29T08:09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5" s="218" t="str">
        <f>IF(AA35&lt;VLOOKUP(AG35,Variables!$AC$3:$AD$8,2,FALSE),"Y","N")</f>
        <v>N</v>
      </c>
      <c r="X35" s="218">
        <f t="shared" si="6"/>
        <v>1</v>
      </c>
      <c r="Y35" s="218">
        <f t="shared" si="7"/>
        <v>4.7300000000000002E-2</v>
      </c>
      <c r="Z35" s="218">
        <f t="shared" si="8"/>
        <v>23.324200000000001</v>
      </c>
      <c r="AA35" s="218">
        <f t="shared" si="9"/>
        <v>23.276900000000001</v>
      </c>
      <c r="AB35" s="219" t="e">
        <f>VLOOKUP(A35,Enforcements!$C$7:$K$11,8,0)</f>
        <v>#N/A</v>
      </c>
      <c r="AC35" s="219" t="e">
        <f>VLOOKUP(A35,Enforcements!$C$7:$E$11,3,0)</f>
        <v>#N/A</v>
      </c>
      <c r="AD35" s="186">
        <f t="shared" si="10"/>
        <v>123</v>
      </c>
      <c r="AE35" s="220" t="str">
        <f t="shared" si="11"/>
        <v>aws s3 cp s3://rtdc.mdm.uploadarchive.raw/RTDC4006/ "%USERPROFILE%\AppData\Local\Temp\OnboardLogs"\RTDC4006\2017-10-29 --exclude "*" --recursive --include "*20171029*" &amp; "%USERPROFILE%\Documents\GitHub\mrs-test-scripts\Headless Mode &amp; Sideloading\WalkAndUnGZ.bat" "%USERPROFILE%\AppData\Local\Temp\OnboardLogs"\RTDC4006\2017-10-29 &amp; aws s3 cp s3://rtdc.mdm.uploadarchive.raw/RTDC4006/ "%USERPROFILE%\AppData\Local\Temp\OnboardLogs"\RTDC4006\2017-10-30 --exclude "*" --recursive --include "*20171030*" &amp; "%USERPROFILE%\Documents\GitHub\mrs-test-scripts\Headless Mode &amp; Sideloading\WalkAndUnGZ.bat" "%USERPROFILE%\AppData\Local\Temp\OnboardLogs"\RTDC4006\2017-10-30</v>
      </c>
      <c r="AF35" s="221" t="str">
        <f t="shared" si="12"/>
        <v>"C:\Program Files (x86)\AstroGrep\AstroGrep.exe" /e /r /s /spath="%USERPROFILE%\AppData\Local\Temp\OnboardLogs" /stypes="app*4006*20171029*" /stext=" 13:.+((SYSTEM_STATE.+slice.+state.+changed )|(ment ac)|(multiple cpu faults)|(system.+state.+changed )|(\[timeout)|(PRM\|1\|D)|(kpr)|(kdp)|(train st.+moving)|(\|lc)|(penalty))"</v>
      </c>
      <c r="AG35" s="185" t="str">
        <f t="shared" si="13"/>
        <v>EC</v>
      </c>
      <c r="AH35" s="222" t="str">
        <f t="shared" si="19"/>
        <v>"%USERPROFILE%\Documents\GitHub\eaglep3\Utilities\RefineRTDCRunTimes.py" --tripid 123-29 --locoid 4006 --swversion DE.1.0.9.0 --startMP 204:473 --initTime 2017-10-29T06:22:42 --startdatetime 2017-10-29T06:30:14 --delay 66 --endMP 204:233242 --enddatetime 2017-10-29T07:09:46 --enforcementcount 0 &gt;&gt;%USERPROFILE%\Documents\GitHub\eaglep3-reporting\EC\2017-10-29-refined-times.txt</v>
      </c>
      <c r="AI35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{"issue":{"subject":"","project_id":79,"tracker_id":40,"status_id":1,"priority_id":2,"assigned_to_id":338,"start_date":"2017-10-29","description":"","custom_fields":[{"id":1,"name":"Subdivision","value":"EC"},{"id":4,"name":"Milepost","value":"23.3242"},{"id":17,"name":"Train ID","value":"123-29"},{"id":16,"name":"Locomotive ID","value":"4006"},{"id":130,"name":"Impact","value":""},{"id":150,"name":"Time of Event (Mountain Time)","value":"07:09:46"},{"id":151,"name":"Denver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182"/>
      <c r="AK35" s="186"/>
      <c r="AL35" s="186"/>
      <c r="AM35" s="187" t="str">
        <f t="shared" si="21"/>
        <v>start /low /b %USERPROFILE%\Documents\GitHub\eaglep3\Utilities\DownloadLogsFromS3.py --loco 4006 --day 2017-10-29</v>
      </c>
      <c r="AN35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13:09:46"},{"id":29,"name":"Sharepoint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82" t="str">
        <f t="shared" si="23"/>
        <v>https://d0f6bd738d7f1b3e5a7ca70fe4ff75f0.us-east-1.aws.found.io/app/kibana#/discover/Steve-Slow-Train-Analysis-(2080s-and-2083s)?_g=(refreshInterval:(display:Off,pause:!f,section:0,value:0),time:(from:'2017-10-29T05:22:42-0600',mode:absolute,to:'2017-10-29T08:09:46-0600'))&amp;_a=(columns:!('Message%20ID',Summary),filters:!(),index:'emp_*',interval:auto,query:(query_string:(analyze_wildcard:!t,query:'%22rtdc.l.rtdc.4006%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32" t="s">
        <v>712</v>
      </c>
      <c r="B36" s="7">
        <v>4005</v>
      </c>
      <c r="C36" s="21" t="s">
        <v>194</v>
      </c>
      <c r="D36" s="21" t="s">
        <v>892</v>
      </c>
      <c r="E36" s="13">
        <v>43037.306134259263</v>
      </c>
      <c r="F36" s="13">
        <v>43037.310601851852</v>
      </c>
      <c r="G36" s="7">
        <v>54</v>
      </c>
      <c r="H36" s="21" t="s">
        <v>888</v>
      </c>
      <c r="I36" s="13">
        <v>43037.336701388886</v>
      </c>
      <c r="J36" s="7">
        <v>0</v>
      </c>
      <c r="K36" s="76" t="str">
        <f t="shared" si="0"/>
        <v>4005/4006</v>
      </c>
      <c r="L36" s="164" t="str">
        <f>VLOOKUP(A36,'Trips&amp;Operators'!$C$1:$G$99911,5,FALSE)</f>
        <v>GEBRETEKLE DAGNEW</v>
      </c>
      <c r="M36" s="6">
        <f t="shared" si="1"/>
        <v>2.6099537033587694E-2</v>
      </c>
      <c r="N36" s="7">
        <f t="shared" si="2"/>
        <v>37.58333332836628</v>
      </c>
      <c r="O36" s="7"/>
      <c r="P36" s="7"/>
      <c r="Q36" s="22"/>
      <c r="R36" s="157"/>
      <c r="S36" s="215">
        <f t="shared" si="3"/>
        <v>1</v>
      </c>
      <c r="T36" s="216" t="str">
        <f t="shared" si="4"/>
        <v>Southbound</v>
      </c>
      <c r="U36" s="216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7" t="str">
        <f t="shared" si="5"/>
        <v>https://d0f6bd738d7f1b3e5a7ca70fe4ff75f0.us-east-1.aws.found.io/app/kibana#/discover/Steve-Slow-Train-Analysis-(2080s-and-2083s)?_g=(refreshInterval:(display:Off,pause:!f,section:0,value:0),time:(from:'2017-10-29T06:20:50-0600',mode:absolute,to:'2017-10-29T09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6" s="218" t="str">
        <f>IF(AA36&lt;VLOOKUP(AG36,Variables!$AC$3:$AD$8,2,FALSE),"Y","N")</f>
        <v>N</v>
      </c>
      <c r="X36" s="218">
        <f t="shared" si="6"/>
        <v>1</v>
      </c>
      <c r="Y36" s="218">
        <f t="shared" si="7"/>
        <v>23.2926</v>
      </c>
      <c r="Z36" s="218">
        <f t="shared" si="8"/>
        <v>1.7600000000000001E-2</v>
      </c>
      <c r="AA36" s="218">
        <f t="shared" si="9"/>
        <v>23.274999999999999</v>
      </c>
      <c r="AB36" s="219" t="e">
        <f>VLOOKUP(A36,Enforcements!$C$7:$K$11,8,0)</f>
        <v>#N/A</v>
      </c>
      <c r="AC36" s="219" t="e">
        <f>VLOOKUP(A36,Enforcements!$C$7:$E$11,3,0)</f>
        <v>#N/A</v>
      </c>
      <c r="AD36" s="186">
        <f t="shared" si="10"/>
        <v>124</v>
      </c>
      <c r="AE36" s="220" t="str">
        <f t="shared" si="11"/>
        <v>aws s3 cp s3://rtdc.mdm.uploadarchive.raw/RTDC4005/ "%USERPROFILE%\AppData\Local\Temp\OnboardLogs"\RTDC4005\2017-10-29 --exclude "*" --recursive --include "*20171029*" &amp; "%USERPROFILE%\Documents\GitHub\mrs-test-scripts\Headless Mode &amp; Sideloading\WalkAndUnGZ.bat" "%USERPROFILE%\AppData\Local\Temp\OnboardLogs"\RTDC4005\2017-10-29 &amp; aws s3 cp s3://rtdc.mdm.uploadarchive.raw/RTDC4005/ "%USERPROFILE%\AppData\Local\Temp\OnboardLogs"\RTDC4005\2017-10-30 --exclude "*" --recursive --include "*20171030*" &amp; "%USERPROFILE%\Documents\GitHub\mrs-test-scripts\Headless Mode &amp; Sideloading\WalkAndUnGZ.bat" "%USERPROFILE%\AppData\Local\Temp\OnboardLogs"\RTDC4005\2017-10-30</v>
      </c>
      <c r="AF36" s="221" t="str">
        <f t="shared" si="12"/>
        <v>"C:\Program Files (x86)\AstroGrep\AstroGrep.exe" /e /r /s /spath="%USERPROFILE%\AppData\Local\Temp\OnboardLogs" /stypes="app*4005*20171029*" /stext=" 14:.+((SYSTEM_STATE.+slice.+state.+changed )|(ment ac)|(multiple cpu faults)|(system.+state.+changed )|(\[timeout)|(PRM\|1\|D)|(kpr)|(kdp)|(train st.+moving)|(\|lc)|(penalty))"</v>
      </c>
      <c r="AG36" s="185" t="str">
        <f t="shared" si="13"/>
        <v>EC</v>
      </c>
      <c r="AH36" s="222" t="str">
        <f t="shared" si="19"/>
        <v>"%USERPROFILE%\Documents\GitHub\eaglep3\Utilities\RefineRTDCRunTimes.py" --tripid 124-29 --locoid 4005 --swversion DE.1.0.9.0 --startMP 204:232926 --initTime 2017-10-29T07:20:50 --startdatetime 2017-10-29T07:27:16 --delay 54 --endMP 204:176 --enddatetime 2017-10-29T08:04:51 --enforcementcount 0 &gt;&gt;%USERPROFILE%\Documents\GitHub\eaglep3-reporting\EC\2017-10-29-refined-times.txt</v>
      </c>
      <c r="AI36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{"issue":{"subject":"","project_id":79,"tracker_id":40,"status_id":1,"priority_id":2,"assigned_to_id":338,"start_date":"2017-10-29","description":"","custom_fields":[{"id":1,"name":"Subdivision","value":"EC"},{"id":4,"name":"Milepost","value":"0.0176"},{"id":17,"name":"Train ID","value":"124-29"},{"id":16,"name":"Locomotive ID","value":"4005"},{"id":130,"name":"Impact","value":""},{"id":150,"name":"Time of Event (Mountain Time)","value":"08:04:51"},{"id":151,"name":"Denver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182"/>
      <c r="AK36" s="186"/>
      <c r="AL36" s="186"/>
      <c r="AM36" s="187" t="str">
        <f t="shared" si="21"/>
        <v>start /low /b %USERPROFILE%\Documents\GitHub\eaglep3\Utilities\DownloadLogsFromS3.py --loco 4005 --day 2017-10-29</v>
      </c>
      <c r="AN36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14:04:51"},{"id":29,"name":"Sharepoint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82" t="str">
        <f t="shared" si="23"/>
        <v>https://d0f6bd738d7f1b3e5a7ca70fe4ff75f0.us-east-1.aws.found.io/app/kibana#/discover/Steve-Slow-Train-Analysis-(2080s-and-2083s)?_g=(refreshInterval:(display:Off,pause:!f,section:0,value:0),time:(from:'2017-10-29T06:20:50-0600',mode:absolute,to:'2017-10-29T09:04:51-0600'))&amp;_a=(columns:!('Message%20ID',Summary),filters:!(),index:'emp_*',interval:auto,query:(query_string:(analyze_wildcard:!t,query:'%22rtdc.l.rtdc.4005%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32" t="s">
        <v>707</v>
      </c>
      <c r="B37" s="7">
        <v>4046</v>
      </c>
      <c r="C37" s="21" t="s">
        <v>194</v>
      </c>
      <c r="D37" s="21" t="s">
        <v>358</v>
      </c>
      <c r="E37" s="13">
        <v>43037.278784722221</v>
      </c>
      <c r="F37" s="13">
        <v>43037.281504629631</v>
      </c>
      <c r="G37" s="7">
        <v>51</v>
      </c>
      <c r="H37" s="21" t="s">
        <v>893</v>
      </c>
      <c r="I37" s="13">
        <v>43037.309386574074</v>
      </c>
      <c r="J37" s="7">
        <v>0</v>
      </c>
      <c r="K37" s="76" t="str">
        <f t="shared" si="0"/>
        <v>4045/4046</v>
      </c>
      <c r="L37" s="164" t="str">
        <f>VLOOKUP(A37,'Trips&amp;Operators'!$C$1:$G$99911,5,FALSE)</f>
        <v>THOMPSON LESTER</v>
      </c>
      <c r="M37" s="6">
        <f t="shared" si="1"/>
        <v>2.7881944442924578E-2</v>
      </c>
      <c r="N37" s="7">
        <f t="shared" si="2"/>
        <v>40.149999997811392</v>
      </c>
      <c r="O37" s="7"/>
      <c r="P37" s="7"/>
      <c r="Q37" s="22"/>
      <c r="R37" s="157"/>
      <c r="S37" s="215">
        <f t="shared" si="3"/>
        <v>1</v>
      </c>
      <c r="T37" s="216" t="str">
        <f t="shared" si="4"/>
        <v>NorthBound</v>
      </c>
      <c r="U37" s="216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7" t="str">
        <f t="shared" si="5"/>
        <v>https://d0f6bd738d7f1b3e5a7ca70fe4ff75f0.us-east-1.aws.found.io/app/kibana#/discover/Steve-Slow-Train-Analysis-(2080s-and-2083s)?_g=(refreshInterval:(display:Off,pause:!f,section:0,value:0),time:(from:'2017-10-29T05:41:27-0600',mode:absolute,to:'2017-10-29T08:25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7" s="218" t="str">
        <f>IF(AA37&lt;VLOOKUP(AG37,Variables!$AC$3:$AD$8,2,FALSE),"Y","N")</f>
        <v>N</v>
      </c>
      <c r="X37" s="218">
        <f t="shared" si="6"/>
        <v>1</v>
      </c>
      <c r="Y37" s="218">
        <f t="shared" si="7"/>
        <v>4.7100000000000003E-2</v>
      </c>
      <c r="Z37" s="218">
        <f t="shared" si="8"/>
        <v>23.3261</v>
      </c>
      <c r="AA37" s="218">
        <f t="shared" si="9"/>
        <v>23.279</v>
      </c>
      <c r="AB37" s="219" t="e">
        <f>VLOOKUP(A37,Enforcements!$C$7:$K$11,8,0)</f>
        <v>#N/A</v>
      </c>
      <c r="AC37" s="219" t="e">
        <f>VLOOKUP(A37,Enforcements!$C$7:$E$11,3,0)</f>
        <v>#N/A</v>
      </c>
      <c r="AD37" s="186">
        <f t="shared" si="10"/>
        <v>125</v>
      </c>
      <c r="AE37" s="220" t="str">
        <f t="shared" si="11"/>
        <v>aws s3 cp s3://rtdc.mdm.uploadarchive.raw/RTDC4046/ "%USERPROFILE%\AppData\Local\Temp\OnboardLogs"\RTDC4046\2017-10-29 --exclude "*" --recursive --include "*20171029*" &amp; "%USERPROFILE%\Documents\GitHub\mrs-test-scripts\Headless Mode &amp; Sideloading\WalkAndUnGZ.bat" "%USERPROFILE%\AppData\Local\Temp\OnboardLogs"\RTDC4046\2017-10-29 &amp; aws s3 cp s3://rtdc.mdm.uploadarchive.raw/RTDC4046/ "%USERPROFILE%\AppData\Local\Temp\OnboardLogs"\RTDC4046\2017-10-30 --exclude "*" --recursive --include "*20171030*" &amp; "%USERPROFILE%\Documents\GitHub\mrs-test-scripts\Headless Mode &amp; Sideloading\WalkAndUnGZ.bat" "%USERPROFILE%\AppData\Local\Temp\OnboardLogs"\RTDC4046\2017-10-30</v>
      </c>
      <c r="AF37" s="221" t="str">
        <f t="shared" si="12"/>
        <v>"C:\Program Files (x86)\AstroGrep\AstroGrep.exe" /e /r /s /spath="%USERPROFILE%\AppData\Local\Temp\OnboardLogs" /stypes="app*4046*20171029*" /stext=" 13:.+((SYSTEM_STATE.+slice.+state.+changed )|(ment ac)|(multiple cpu faults)|(system.+state.+changed )|(\[timeout)|(PRM\|1\|D)|(kpr)|(kdp)|(train st.+moving)|(\|lc)|(penalty))"</v>
      </c>
      <c r="AG37" s="185" t="str">
        <f t="shared" si="13"/>
        <v>EC</v>
      </c>
      <c r="AH37" s="222" t="str">
        <f t="shared" si="19"/>
        <v>"%USERPROFILE%\Documents\GitHub\eaglep3\Utilities\RefineRTDCRunTimes.py" --tripid 125-29 --locoid 4046 --swversion DE.1.0.9.0 --startMP 204:471 --initTime 2017-10-29T06:41:27 --startdatetime 2017-10-29T06:45:22 --delay 51 --endMP 204:233261 --enddatetime 2017-10-29T07:25:31 --enforcementcount 0 &gt;&gt;%USERPROFILE%\Documents\GitHub\eaglep3-reporting\EC\2017-10-29-refined-times.txt</v>
      </c>
      <c r="AI37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{"issue":{"subject":"","project_id":79,"tracker_id":40,"status_id":1,"priority_id":2,"assigned_to_id":338,"start_date":"2017-10-29","description":"","custom_fields":[{"id":1,"name":"Subdivision","value":"EC"},{"id":4,"name":"Milepost","value":"23.3261"},{"id":17,"name":"Train ID","value":"125-29"},{"id":16,"name":"Locomotive ID","value":"4046"},{"id":130,"name":"Impact","value":""},{"id":150,"name":"Time of Event (Mountain Time)","value":"07:25:31"},{"id":151,"name":"Denver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182"/>
      <c r="AK37" s="186"/>
      <c r="AL37" s="186"/>
      <c r="AM37" s="187" t="str">
        <f t="shared" si="21"/>
        <v>start /low /b %USERPROFILE%\Documents\GitHub\eaglep3\Utilities\DownloadLogsFromS3.py --loco 4046 --day 2017-10-29</v>
      </c>
      <c r="AN37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13:25:31"},{"id":29,"name":"Sharepoint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82" t="str">
        <f t="shared" si="23"/>
        <v>https://d0f6bd738d7f1b3e5a7ca70fe4ff75f0.us-east-1.aws.found.io/app/kibana#/discover/Steve-Slow-Train-Analysis-(2080s-and-2083s)?_g=(refreshInterval:(display:Off,pause:!f,section:0,value:0),time:(from:'2017-10-29T05:41:27-0600',mode:absolute,to:'2017-10-29T08:25:31-0600'))&amp;_a=(columns:!('Message%20ID',Summary),filters:!(),index:'emp_*',interval:auto,query:(query_string:(analyze_wildcard:!t,query:'%22rtdc.l.rtdc.4046%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32" t="s">
        <v>715</v>
      </c>
      <c r="B38" s="7">
        <v>4045</v>
      </c>
      <c r="C38" s="21" t="s">
        <v>194</v>
      </c>
      <c r="D38" s="21" t="s">
        <v>894</v>
      </c>
      <c r="E38" s="13">
        <v>43037.317685185182</v>
      </c>
      <c r="F38" s="13">
        <v>43037.321018518516</v>
      </c>
      <c r="G38" s="7">
        <v>51</v>
      </c>
      <c r="H38" s="21" t="s">
        <v>895</v>
      </c>
      <c r="I38" s="13">
        <v>43037.347800925927</v>
      </c>
      <c r="J38" s="7">
        <v>0</v>
      </c>
      <c r="K38" s="76" t="str">
        <f t="shared" si="0"/>
        <v>4045/4046</v>
      </c>
      <c r="L38" s="164" t="str">
        <f>VLOOKUP(A38,'Trips&amp;Operators'!$C$1:$G$99911,5,FALSE)</f>
        <v>THOMPSON LESTER</v>
      </c>
      <c r="M38" s="6">
        <f t="shared" si="1"/>
        <v>2.6782407410792075E-2</v>
      </c>
      <c r="N38" s="7">
        <f t="shared" si="2"/>
        <v>38.566666671540588</v>
      </c>
      <c r="O38" s="7"/>
      <c r="P38" s="7"/>
      <c r="Q38" s="22"/>
      <c r="R38" s="157"/>
      <c r="S38" s="215">
        <f t="shared" si="3"/>
        <v>1</v>
      </c>
      <c r="T38" s="216" t="str">
        <f t="shared" si="4"/>
        <v>Southbound</v>
      </c>
      <c r="U38" s="216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17" t="str">
        <f t="shared" si="5"/>
        <v>https://d0f6bd738d7f1b3e5a7ca70fe4ff75f0.us-east-1.aws.found.io/app/kibana#/discover/Steve-Slow-Train-Analysis-(2080s-and-2083s)?_g=(refreshInterval:(display:Off,pause:!f,section:0,value:0),time:(from:'2017-10-29T06:37:28-0600',mode:absolute,to:'2017-10-29T09:20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8" s="218" t="str">
        <f>IF(AA38&lt;VLOOKUP(AG38,Variables!$AC$3:$AD$8,2,FALSE),"Y","N")</f>
        <v>N</v>
      </c>
      <c r="X38" s="218">
        <f t="shared" si="6"/>
        <v>1</v>
      </c>
      <c r="Y38" s="218">
        <f t="shared" si="7"/>
        <v>23.2944</v>
      </c>
      <c r="Z38" s="218">
        <f t="shared" si="8"/>
        <v>1.6500000000000001E-2</v>
      </c>
      <c r="AA38" s="218">
        <f t="shared" si="9"/>
        <v>23.277899999999999</v>
      </c>
      <c r="AB38" s="219" t="e">
        <f>VLOOKUP(A38,Enforcements!$C$7:$K$11,8,0)</f>
        <v>#N/A</v>
      </c>
      <c r="AC38" s="219" t="e">
        <f>VLOOKUP(A38,Enforcements!$C$7:$E$11,3,0)</f>
        <v>#N/A</v>
      </c>
      <c r="AD38" s="186">
        <f t="shared" si="10"/>
        <v>126</v>
      </c>
      <c r="AE38" s="220" t="str">
        <f t="shared" si="11"/>
        <v>aws s3 cp s3://rtdc.mdm.uploadarchive.raw/RTDC4045/ "%USERPROFILE%\AppData\Local\Temp\OnboardLogs"\RTDC4045\2017-10-29 --exclude "*" --recursive --include "*20171029*" &amp; "%USERPROFILE%\Documents\GitHub\mrs-test-scripts\Headless Mode &amp; Sideloading\WalkAndUnGZ.bat" "%USERPROFILE%\AppData\Local\Temp\OnboardLogs"\RTDC4045\2017-10-29 &amp; aws s3 cp s3://rtdc.mdm.uploadarchive.raw/RTDC4045/ "%USERPROFILE%\AppData\Local\Temp\OnboardLogs"\RTDC4045\2017-10-30 --exclude "*" --recursive --include "*20171030*" &amp; "%USERPROFILE%\Documents\GitHub\mrs-test-scripts\Headless Mode &amp; Sideloading\WalkAndUnGZ.bat" "%USERPROFILE%\AppData\Local\Temp\OnboardLogs"\RTDC4045\2017-10-30</v>
      </c>
      <c r="AF38" s="221" t="str">
        <f t="shared" si="12"/>
        <v>"C:\Program Files (x86)\AstroGrep\AstroGrep.exe" /e /r /s /spath="%USERPROFILE%\AppData\Local\Temp\OnboardLogs" /stypes="app*4045*20171029*" /stext=" 14:.+((SYSTEM_STATE.+slice.+state.+changed )|(ment ac)|(multiple cpu faults)|(system.+state.+changed )|(\[timeout)|(PRM\|1\|D)|(kpr)|(kdp)|(train st.+moving)|(\|lc)|(penalty))"</v>
      </c>
      <c r="AG38" s="185" t="str">
        <f t="shared" si="13"/>
        <v>EC</v>
      </c>
      <c r="AH38" s="222" t="str">
        <f t="shared" si="19"/>
        <v>"%USERPROFILE%\Documents\GitHub\eaglep3\Utilities\RefineRTDCRunTimes.py" --tripid 126-29 --locoid 4045 --swversion DE.1.0.9.0 --startMP 204:232944 --initTime 2017-10-29T07:37:28 --startdatetime 2017-10-29T07:42:16 --delay 51 --endMP 204:165 --enddatetime 2017-10-29T08:20:50 --enforcementcount 0 &gt;&gt;%USERPROFILE%\Documents\GitHub\eaglep3-reporting\EC\2017-10-29-refined-times.txt</v>
      </c>
      <c r="AI38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{"issue":{"subject":"","project_id":79,"tracker_id":40,"status_id":1,"priority_id":2,"assigned_to_id":338,"start_date":"2017-10-29","description":"","custom_fields":[{"id":1,"name":"Subdivision","value":"EC"},{"id":4,"name":"Milepost","value":"0.0165"},{"id":17,"name":"Train ID","value":"126-29"},{"id":16,"name":"Locomotive ID","value":"4045"},{"id":130,"name":"Impact","value":""},{"id":150,"name":"Time of Event (Mountain Time)","value":"08:20:50"},{"id":151,"name":"Denver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182"/>
      <c r="AK38" s="186"/>
      <c r="AL38" s="186"/>
      <c r="AM38" s="187" t="str">
        <f t="shared" si="21"/>
        <v>start /low /b %USERPROFILE%\Documents\GitHub\eaglep3\Utilities\DownloadLogsFromS3.py --loco 4045 --day 2017-10-29</v>
      </c>
      <c r="AN38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14:20:50"},{"id":29,"name":"Sharepoint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82" t="str">
        <f t="shared" si="23"/>
        <v>https://d0f6bd738d7f1b3e5a7ca70fe4ff75f0.us-east-1.aws.found.io/app/kibana#/discover/Steve-Slow-Train-Analysis-(2080s-and-2083s)?_g=(refreshInterval:(display:Off,pause:!f,section:0,value:0),time:(from:'2017-10-29T06:37:28-0600',mode:absolute,to:'2017-10-29T09:20:50-0600'))&amp;_a=(columns:!('Message%20ID',Summary),filters:!(),index:'emp_*',interval:auto,query:(query_string:(analyze_wildcard:!t,query:'%22rtdc.l.rtdc.4045%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32" t="s">
        <v>708</v>
      </c>
      <c r="B39" s="7">
        <v>4008</v>
      </c>
      <c r="C39" s="21" t="s">
        <v>194</v>
      </c>
      <c r="D39" s="21" t="s">
        <v>896</v>
      </c>
      <c r="E39" s="13">
        <v>43037.288113425922</v>
      </c>
      <c r="F39" s="13">
        <v>43037.29184027778</v>
      </c>
      <c r="G39" s="7">
        <v>81</v>
      </c>
      <c r="H39" s="21" t="s">
        <v>897</v>
      </c>
      <c r="I39" s="13">
        <v>43037.318402777775</v>
      </c>
      <c r="J39" s="7">
        <v>0</v>
      </c>
      <c r="K39" s="76" t="str">
        <f t="shared" si="0"/>
        <v>4007/4008</v>
      </c>
      <c r="L39" s="164" t="str">
        <f>VLOOKUP(A39,'Trips&amp;Operators'!$C$1:$G$99911,5,FALSE)</f>
        <v>WILLIAMS DONTE</v>
      </c>
      <c r="M39" s="6">
        <f t="shared" si="1"/>
        <v>2.6562499995634425E-2</v>
      </c>
      <c r="N39" s="7">
        <f t="shared" si="2"/>
        <v>38.249999993713573</v>
      </c>
      <c r="O39" s="7"/>
      <c r="P39" s="7"/>
      <c r="Q39" s="22"/>
      <c r="R39" s="157"/>
      <c r="S39" s="215">
        <f t="shared" si="3"/>
        <v>1</v>
      </c>
      <c r="T39" s="216" t="str">
        <f t="shared" si="4"/>
        <v>NorthBound</v>
      </c>
      <c r="U39" s="216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7" t="str">
        <f t="shared" si="5"/>
        <v>https://d0f6bd738d7f1b3e5a7ca70fe4ff75f0.us-east-1.aws.found.io/app/kibana#/discover/Steve-Slow-Train-Analysis-(2080s-and-2083s)?_g=(refreshInterval:(display:Off,pause:!f,section:0,value:0),time:(from:'2017-10-29T05:54:53-0600',mode:absolute,to:'2017-10-29T08:38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39" s="218" t="str">
        <f>IF(AA39&lt;VLOOKUP(AG39,Variables!$AC$3:$AD$8,2,FALSE),"Y","N")</f>
        <v>N</v>
      </c>
      <c r="X39" s="218">
        <f t="shared" si="6"/>
        <v>1</v>
      </c>
      <c r="Y39" s="218">
        <f t="shared" si="7"/>
        <v>0.05</v>
      </c>
      <c r="Z39" s="218">
        <f t="shared" si="8"/>
        <v>23.3232</v>
      </c>
      <c r="AA39" s="218">
        <f t="shared" si="9"/>
        <v>23.273199999999999</v>
      </c>
      <c r="AB39" s="219" t="e">
        <f>VLOOKUP(A39,Enforcements!$C$7:$K$11,8,0)</f>
        <v>#N/A</v>
      </c>
      <c r="AC39" s="219" t="e">
        <f>VLOOKUP(A39,Enforcements!$C$7:$E$11,3,0)</f>
        <v>#N/A</v>
      </c>
      <c r="AD39" s="186">
        <f t="shared" si="10"/>
        <v>127</v>
      </c>
      <c r="AE39" s="220" t="str">
        <f t="shared" si="11"/>
        <v>aws s3 cp s3://rtdc.mdm.uploadarchive.raw/RTDC4008/ "%USERPROFILE%\AppData\Local\Temp\OnboardLogs"\RTDC4008\2017-10-29 --exclude "*" --recursive --include "*20171029*" &amp; "%USERPROFILE%\Documents\GitHub\mrs-test-scripts\Headless Mode &amp; Sideloading\WalkAndUnGZ.bat" "%USERPROFILE%\AppData\Local\Temp\OnboardLogs"\RTDC4008\2017-10-29 &amp; aws s3 cp s3://rtdc.mdm.uploadarchive.raw/RTDC4008/ "%USERPROFILE%\AppData\Local\Temp\OnboardLogs"\RTDC4008\2017-10-30 --exclude "*" --recursive --include "*20171030*" &amp; "%USERPROFILE%\Documents\GitHub\mrs-test-scripts\Headless Mode &amp; Sideloading\WalkAndUnGZ.bat" "%USERPROFILE%\AppData\Local\Temp\OnboardLogs"\RTDC4008\2017-10-30</v>
      </c>
      <c r="AF39" s="221" t="str">
        <f t="shared" si="12"/>
        <v>"C:\Program Files (x86)\AstroGrep\AstroGrep.exe" /e /r /s /spath="%USERPROFILE%\AppData\Local\Temp\OnboardLogs" /stypes="app*4008*20171029*" /stext=" 13:.+((SYSTEM_STATE.+slice.+state.+changed )|(ment ac)|(multiple cpu faults)|(system.+state.+changed )|(\[timeout)|(PRM\|1\|D)|(kpr)|(kdp)|(train st.+moving)|(\|lc)|(penalty))"</v>
      </c>
      <c r="AG39" s="185" t="str">
        <f t="shared" si="13"/>
        <v>EC</v>
      </c>
      <c r="AH39" s="222" t="str">
        <f t="shared" si="19"/>
        <v>"%USERPROFILE%\Documents\GitHub\eaglep3\Utilities\RefineRTDCRunTimes.py" --tripid 127-29 --locoid 4008 --swversion DE.1.0.9.0 --startMP 204:500 --initTime 2017-10-29T06:54:53 --startdatetime 2017-10-29T07:00:15 --delay 81 --endMP 204:233232 --enddatetime 2017-10-29T07:38:30 --enforcementcount 0 &gt;&gt;%USERPROFILE%\Documents\GitHub\eaglep3-reporting\EC\2017-10-29-refined-times.txt</v>
      </c>
      <c r="AI39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{"issue":{"subject":"","project_id":79,"tracker_id":40,"status_id":1,"priority_id":2,"assigned_to_id":338,"start_date":"2017-10-29","description":"","custom_fields":[{"id":1,"name":"Subdivision","value":"EC"},{"id":4,"name":"Milepost","value":"23.3232"},{"id":17,"name":"Train ID","value":"127-29"},{"id":16,"name":"Locomotive ID","value":"4008"},{"id":130,"name":"Impact","value":""},{"id":150,"name":"Time of Event (Mountain Time)","value":"07:38:30"},{"id":151,"name":"Denver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182"/>
      <c r="AK39" s="186"/>
      <c r="AL39" s="186"/>
      <c r="AM39" s="187" t="str">
        <f t="shared" si="21"/>
        <v>start /low /b %USERPROFILE%\Documents\GitHub\eaglep3\Utilities\DownloadLogsFromS3.py --loco 4008 --day 2017-10-29</v>
      </c>
      <c r="AN39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13:38:30"},{"id":29,"name":"Sharepoint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82" t="str">
        <f t="shared" si="23"/>
        <v>https://d0f6bd738d7f1b3e5a7ca70fe4ff75f0.us-east-1.aws.found.io/app/kibana#/discover/Steve-Slow-Train-Analysis-(2080s-and-2083s)?_g=(refreshInterval:(display:Off,pause:!f,section:0,value:0),time:(from:'2017-10-29T05:54:53-0600',mode:absolute,to:'2017-10-29T08:38:30-0600'))&amp;_a=(columns:!('Message%20ID',Summary),filters:!(),index:'emp_*',interval:auto,query:(query_string:(analyze_wildcard:!t,query:'%22rtdc.l.rtdc.4008%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32" t="s">
        <v>717</v>
      </c>
      <c r="B40" s="7">
        <v>4007</v>
      </c>
      <c r="C40" s="21" t="s">
        <v>194</v>
      </c>
      <c r="D40" s="21" t="s">
        <v>532</v>
      </c>
      <c r="E40" s="13">
        <v>43037.326249999998</v>
      </c>
      <c r="F40" s="13">
        <v>43037.331435185188</v>
      </c>
      <c r="G40" s="7">
        <v>76</v>
      </c>
      <c r="H40" s="21" t="s">
        <v>898</v>
      </c>
      <c r="I40" s="13">
        <v>43037.358981481484</v>
      </c>
      <c r="J40" s="7">
        <v>0</v>
      </c>
      <c r="K40" s="76" t="str">
        <f t="shared" si="0"/>
        <v>4007/4008</v>
      </c>
      <c r="L40" s="164" t="str">
        <f>VLOOKUP(A40,'Trips&amp;Operators'!$C$1:$G$99911,5,FALSE)</f>
        <v>WILLIAMS DONTE</v>
      </c>
      <c r="M40" s="6">
        <f t="shared" si="1"/>
        <v>2.7546296296350192E-2</v>
      </c>
      <c r="N40" s="7">
        <f t="shared" si="2"/>
        <v>39.666666666744277</v>
      </c>
      <c r="O40" s="7"/>
      <c r="P40" s="7"/>
      <c r="Q40" s="22"/>
      <c r="R40" s="157"/>
      <c r="S40" s="215">
        <f t="shared" si="3"/>
        <v>1</v>
      </c>
      <c r="T40" s="216" t="str">
        <f t="shared" si="4"/>
        <v>Southbound</v>
      </c>
      <c r="U40" s="216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7" t="str">
        <f t="shared" si="5"/>
        <v>https://d0f6bd738d7f1b3e5a7ca70fe4ff75f0.us-east-1.aws.found.io/app/kibana#/discover/Steve-Slow-Train-Analysis-(2080s-and-2083s)?_g=(refreshInterval:(display:Off,pause:!f,section:0,value:0),time:(from:'2017-10-29T06:49:48-0600',mode:absolute,to:'2017-10-29T09:36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40" s="218" t="str">
        <f>IF(AA40&lt;VLOOKUP(AG40,Variables!$AC$3:$AD$8,2,FALSE),"Y","N")</f>
        <v>N</v>
      </c>
      <c r="X40" s="218">
        <f t="shared" si="6"/>
        <v>1</v>
      </c>
      <c r="Y40" s="218">
        <f t="shared" si="7"/>
        <v>23.294499999999999</v>
      </c>
      <c r="Z40" s="218">
        <f t="shared" si="8"/>
        <v>2.29E-2</v>
      </c>
      <c r="AA40" s="218">
        <f t="shared" si="9"/>
        <v>23.271599999999999</v>
      </c>
      <c r="AB40" s="219" t="e">
        <f>VLOOKUP(A40,Enforcements!$C$7:$K$11,8,0)</f>
        <v>#N/A</v>
      </c>
      <c r="AC40" s="219" t="e">
        <f>VLOOKUP(A40,Enforcements!$C$7:$E$11,3,0)</f>
        <v>#N/A</v>
      </c>
      <c r="AD40" s="186">
        <f t="shared" si="10"/>
        <v>128</v>
      </c>
      <c r="AE40" s="220" t="str">
        <f t="shared" si="11"/>
        <v>aws s3 cp s3://rtdc.mdm.uploadarchive.raw/RTDC4007/ "%USERPROFILE%\AppData\Local\Temp\OnboardLogs"\RTDC4007\2017-10-29 --exclude "*" --recursive --include "*20171029*" &amp; "%USERPROFILE%\Documents\GitHub\mrs-test-scripts\Headless Mode &amp; Sideloading\WalkAndUnGZ.bat" "%USERPROFILE%\AppData\Local\Temp\OnboardLogs"\RTDC4007\2017-10-29 &amp; aws s3 cp s3://rtdc.mdm.uploadarchive.raw/RTDC4007/ "%USERPROFILE%\AppData\Local\Temp\OnboardLogs"\RTDC4007\2017-10-30 --exclude "*" --recursive --include "*20171030*" &amp; "%USERPROFILE%\Documents\GitHub\mrs-test-scripts\Headless Mode &amp; Sideloading\WalkAndUnGZ.bat" "%USERPROFILE%\AppData\Local\Temp\OnboardLogs"\RTDC4007\2017-10-30</v>
      </c>
      <c r="AF40" s="221" t="str">
        <f t="shared" si="12"/>
        <v>"C:\Program Files (x86)\AstroGrep\AstroGrep.exe" /e /r /s /spath="%USERPROFILE%\AppData\Local\Temp\OnboardLogs" /stypes="app*4007*20171029*" /stext=" 14:.+((SYSTEM_STATE.+slice.+state.+changed )|(ment ac)|(multiple cpu faults)|(system.+state.+changed )|(\[timeout)|(PRM\|1\|D)|(kpr)|(kdp)|(train st.+moving)|(\|lc)|(penalty))"</v>
      </c>
      <c r="AG40" s="185" t="str">
        <f t="shared" si="13"/>
        <v>EC</v>
      </c>
      <c r="AH40" s="222" t="str">
        <f t="shared" si="19"/>
        <v>"%USERPROFILE%\Documents\GitHub\eaglep3\Utilities\RefineRTDCRunTimes.py" --tripid 128-29 --locoid 4007 --swversion DE.1.0.9.0 --startMP 204:232945 --initTime 2017-10-29T07:49:48 --startdatetime 2017-10-29T07:57:16 --delay 76 --endMP 204:229 --enddatetime 2017-10-29T08:36:56 --enforcementcount 0 &gt;&gt;%USERPROFILE%\Documents\GitHub\eaglep3-reporting\EC\2017-10-29-refined-times.txt</v>
      </c>
      <c r="AI40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{"issue":{"subject":"","project_id":79,"tracker_id":40,"status_id":1,"priority_id":2,"assigned_to_id":338,"start_date":"2017-10-29","description":"","custom_fields":[{"id":1,"name":"Subdivision","value":"EC"},{"id":4,"name":"Milepost","value":"0.0229"},{"id":17,"name":"Train ID","value":"128-29"},{"id":16,"name":"Locomotive ID","value":"4007"},{"id":130,"name":"Impact","value":""},{"id":150,"name":"Time of Event (Mountain Time)","value":"08:36:56"},{"id":151,"name":"Denver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182"/>
      <c r="AK40" s="186"/>
      <c r="AL40" s="186"/>
      <c r="AM40" s="187" t="str">
        <f t="shared" si="21"/>
        <v>start /low /b %USERPROFILE%\Documents\GitHub\eaglep3\Utilities\DownloadLogsFromS3.py --loco 4007 --day 2017-10-29</v>
      </c>
      <c r="AN40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14:36:56"},{"id":29,"name":"Sharepoint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82" t="str">
        <f t="shared" si="23"/>
        <v>https://d0f6bd738d7f1b3e5a7ca70fe4ff75f0.us-east-1.aws.found.io/app/kibana#/discover/Steve-Slow-Train-Analysis-(2080s-and-2083s)?_g=(refreshInterval:(display:Off,pause:!f,section:0,value:0),time:(from:'2017-10-29T06:49:48-0600',mode:absolute,to:'2017-10-29T09:36:56-0600'))&amp;_a=(columns:!('Message%20ID',Summary),filters:!(),index:'emp_*',interval:auto,query:(query_string:(analyze_wildcard:!t,query:'%22rtdc.l.rtdc.4007%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32" t="s">
        <v>711</v>
      </c>
      <c r="B41" s="7">
        <v>4018</v>
      </c>
      <c r="C41" s="21" t="s">
        <v>194</v>
      </c>
      <c r="D41" s="21" t="s">
        <v>481</v>
      </c>
      <c r="E41" s="13">
        <v>43037.297175925924</v>
      </c>
      <c r="F41" s="13">
        <v>43037.302372685182</v>
      </c>
      <c r="G41" s="7">
        <v>49</v>
      </c>
      <c r="H41" s="21" t="s">
        <v>899</v>
      </c>
      <c r="I41" s="13">
        <v>43037.326516203706</v>
      </c>
      <c r="J41" s="7">
        <v>0</v>
      </c>
      <c r="K41" s="76" t="str">
        <f t="shared" si="0"/>
        <v>4017/4018</v>
      </c>
      <c r="L41" s="164" t="str">
        <f>VLOOKUP(A41,'Trips&amp;Operators'!$C$1:$G$99911,5,FALSE)</f>
        <v>MAELZER KURT</v>
      </c>
      <c r="M41" s="6">
        <f t="shared" si="1"/>
        <v>2.4143518523487728E-2</v>
      </c>
      <c r="N41" s="7">
        <f t="shared" si="2"/>
        <v>34.766666673822328</v>
      </c>
      <c r="O41" s="7"/>
      <c r="P41" s="7"/>
      <c r="Q41" s="22"/>
      <c r="R41" s="157"/>
      <c r="S41" s="215">
        <f t="shared" si="3"/>
        <v>1</v>
      </c>
      <c r="T41" s="216" t="str">
        <f t="shared" si="4"/>
        <v>NorthBound</v>
      </c>
      <c r="U41" s="216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7" t="str">
        <f t="shared" si="5"/>
        <v>https://d0f6bd738d7f1b3e5a7ca70fe4ff75f0.us-east-1.aws.found.io/app/kibana#/discover/Steve-Slow-Train-Analysis-(2080s-and-2083s)?_g=(refreshInterval:(display:Off,pause:!f,section:0,value:0),time:(from:'2017-10-29T06:07:56-0600',mode:absolute,to:'2017-10-29T08:50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1" s="218" t="str">
        <f>IF(AA41&lt;VLOOKUP(AG41,Variables!$AC$3:$AD$8,2,FALSE),"Y","N")</f>
        <v>N</v>
      </c>
      <c r="X41" s="218">
        <f t="shared" si="6"/>
        <v>1</v>
      </c>
      <c r="Y41" s="218">
        <f t="shared" si="7"/>
        <v>4.4900000000000002E-2</v>
      </c>
      <c r="Z41" s="218">
        <f t="shared" si="8"/>
        <v>23.330500000000001</v>
      </c>
      <c r="AA41" s="218">
        <f t="shared" si="9"/>
        <v>23.285600000000002</v>
      </c>
      <c r="AB41" s="219" t="e">
        <f>VLOOKUP(A41,Enforcements!$C$7:$K$11,8,0)</f>
        <v>#N/A</v>
      </c>
      <c r="AC41" s="219" t="e">
        <f>VLOOKUP(A41,Enforcements!$C$7:$E$11,3,0)</f>
        <v>#N/A</v>
      </c>
      <c r="AD41" s="186">
        <f t="shared" si="10"/>
        <v>129</v>
      </c>
      <c r="AE41" s="220" t="str">
        <f t="shared" si="11"/>
        <v>aws s3 cp s3://rtdc.mdm.uploadarchive.raw/RTDC4018/ "%USERPROFILE%\AppData\Local\Temp\OnboardLogs"\RTDC4018\2017-10-29 --exclude "*" --recursive --include "*20171029*" &amp; "%USERPROFILE%\Documents\GitHub\mrs-test-scripts\Headless Mode &amp; Sideloading\WalkAndUnGZ.bat" "%USERPROFILE%\AppData\Local\Temp\OnboardLogs"\RTDC4018\2017-10-29 &amp; aws s3 cp s3://rtdc.mdm.uploadarchive.raw/RTDC4018/ "%USERPROFILE%\AppData\Local\Temp\OnboardLogs"\RTDC4018\2017-10-30 --exclude "*" --recursive --include "*20171030*" &amp; "%USERPROFILE%\Documents\GitHub\mrs-test-scripts\Headless Mode &amp; Sideloading\WalkAndUnGZ.bat" "%USERPROFILE%\AppData\Local\Temp\OnboardLogs"\RTDC4018\2017-10-30</v>
      </c>
      <c r="AF41" s="221" t="str">
        <f t="shared" si="12"/>
        <v>"C:\Program Files (x86)\AstroGrep\AstroGrep.exe" /e /r /s /spath="%USERPROFILE%\AppData\Local\Temp\OnboardLogs" /stypes="app*4018*20171029*" /stext=" 13:.+((SYSTEM_STATE.+slice.+state.+changed )|(ment ac)|(multiple cpu faults)|(system.+state.+changed )|(\[timeout)|(PRM\|1\|D)|(kpr)|(kdp)|(train st.+moving)|(\|lc)|(penalty))"</v>
      </c>
      <c r="AG41" s="185" t="str">
        <f t="shared" si="13"/>
        <v>EC</v>
      </c>
      <c r="AH41" s="222" t="str">
        <f t="shared" si="19"/>
        <v>"%USERPROFILE%\Documents\GitHub\eaglep3\Utilities\RefineRTDCRunTimes.py" --tripid 129-29 --locoid 4018 --swversion DE.1.0.9.0 --startMP 204:449 --initTime 2017-10-29T07:07:56 --startdatetime 2017-10-29T07:15:25 --delay 49 --endMP 204:233305 --enddatetime 2017-10-29T07:50:11 --enforcementcount 0 &gt;&gt;%USERPROFILE%\Documents\GitHub\eaglep3-reporting\EC\2017-10-29-refined-times.txt</v>
      </c>
      <c r="AI41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{"issue":{"subject":"","project_id":79,"tracker_id":40,"status_id":1,"priority_id":2,"assigned_to_id":338,"start_date":"2017-10-29","description":"","custom_fields":[{"id":1,"name":"Subdivision","value":"EC"},{"id":4,"name":"Milepost","value":"23.3305"},{"id":17,"name":"Train ID","value":"129-29"},{"id":16,"name":"Locomotive ID","value":"4018"},{"id":130,"name":"Impact","value":""},{"id":150,"name":"Time of Event (Mountain Time)","value":"07:50:11"},{"id":151,"name":"Denver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182"/>
      <c r="AK41" s="186"/>
      <c r="AL41" s="186"/>
      <c r="AM41" s="187" t="str">
        <f t="shared" si="21"/>
        <v>start /low /b %USERPROFILE%\Documents\GitHub\eaglep3\Utilities\DownloadLogsFromS3.py --loco 4018 --day 2017-10-29</v>
      </c>
      <c r="AN41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13:50:11"},{"id":29,"name":"Sharepoint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82" t="str">
        <f t="shared" si="23"/>
        <v>https://d0f6bd738d7f1b3e5a7ca70fe4ff75f0.us-east-1.aws.found.io/app/kibana#/discover/Steve-Slow-Train-Analysis-(2080s-and-2083s)?_g=(refreshInterval:(display:Off,pause:!f,section:0,value:0),time:(from:'2017-10-29T06:07:56-0600',mode:absolute,to:'2017-10-29T08:50:11-0600'))&amp;_a=(columns:!('Message%20ID',Summary),filters:!(),index:'emp_*',interval:auto,query:(query_string:(analyze_wildcard:!t,query:'%22rtdc.l.rtdc.4018%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32" t="s">
        <v>719</v>
      </c>
      <c r="B42" s="7">
        <v>4017</v>
      </c>
      <c r="C42" s="21" t="s">
        <v>194</v>
      </c>
      <c r="D42" s="21" t="s">
        <v>569</v>
      </c>
      <c r="E42" s="13">
        <v>43037.33421296296</v>
      </c>
      <c r="F42" s="13">
        <v>43037.341863425929</v>
      </c>
      <c r="G42" s="7">
        <v>59</v>
      </c>
      <c r="H42" s="21" t="s">
        <v>357</v>
      </c>
      <c r="I42" s="13">
        <v>43037.367881944447</v>
      </c>
      <c r="J42" s="7">
        <v>0</v>
      </c>
      <c r="K42" s="76" t="str">
        <f t="shared" si="0"/>
        <v>4017/4018</v>
      </c>
      <c r="L42" s="164" t="str">
        <f>VLOOKUP(A42,'Trips&amp;Operators'!$C$1:$G$99911,5,FALSE)</f>
        <v>MAELZER KURT</v>
      </c>
      <c r="M42" s="6">
        <f t="shared" si="1"/>
        <v>2.6018518517958E-2</v>
      </c>
      <c r="N42" s="7">
        <f t="shared" si="2"/>
        <v>37.46666666585952</v>
      </c>
      <c r="O42" s="7"/>
      <c r="P42" s="7"/>
      <c r="Q42" s="22"/>
      <c r="R42" s="157"/>
      <c r="S42" s="215">
        <f t="shared" si="3"/>
        <v>1</v>
      </c>
      <c r="T42" s="216" t="str">
        <f t="shared" si="4"/>
        <v>Southbound</v>
      </c>
      <c r="U42" s="216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7" t="str">
        <f t="shared" si="5"/>
        <v>https://d0f6bd738d7f1b3e5a7ca70fe4ff75f0.us-east-1.aws.found.io/app/kibana#/discover/Steve-Slow-Train-Analysis-(2080s-and-2083s)?_g=(refreshInterval:(display:Off,pause:!f,section:0,value:0),time:(from:'2017-10-29T07:01:16-0600',mode:absolute,to:'2017-10-29T09:49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2" s="218" t="str">
        <f>IF(AA42&lt;VLOOKUP(AG42,Variables!$AC$3:$AD$8,2,FALSE),"Y","N")</f>
        <v>N</v>
      </c>
      <c r="X42" s="218">
        <f t="shared" si="6"/>
        <v>1</v>
      </c>
      <c r="Y42" s="218">
        <f t="shared" si="7"/>
        <v>23.297799999999999</v>
      </c>
      <c r="Z42" s="218">
        <f t="shared" si="8"/>
        <v>1.3899999999999999E-2</v>
      </c>
      <c r="AA42" s="218">
        <f t="shared" si="9"/>
        <v>23.283899999999999</v>
      </c>
      <c r="AB42" s="219" t="e">
        <f>VLOOKUP(A42,Enforcements!$C$7:$K$11,8,0)</f>
        <v>#N/A</v>
      </c>
      <c r="AC42" s="219" t="e">
        <f>VLOOKUP(A42,Enforcements!$C$7:$E$11,3,0)</f>
        <v>#N/A</v>
      </c>
      <c r="AD42" s="186">
        <f t="shared" si="10"/>
        <v>130</v>
      </c>
      <c r="AE42" s="220" t="str">
        <f t="shared" si="11"/>
        <v>aws s3 cp s3://rtdc.mdm.uploadarchive.raw/RTDC4017/ "%USERPROFILE%\AppData\Local\Temp\OnboardLogs"\RTDC4017\2017-10-29 --exclude "*" --recursive --include "*20171029*" &amp; "%USERPROFILE%\Documents\GitHub\mrs-test-scripts\Headless Mode &amp; Sideloading\WalkAndUnGZ.bat" "%USERPROFILE%\AppData\Local\Temp\OnboardLogs"\RTDC4017\2017-10-29 &amp; aws s3 cp s3://rtdc.mdm.uploadarchive.raw/RTDC4017/ "%USERPROFILE%\AppData\Local\Temp\OnboardLogs"\RTDC4017\2017-10-30 --exclude "*" --recursive --include "*20171030*" &amp; "%USERPROFILE%\Documents\GitHub\mrs-test-scripts\Headless Mode &amp; Sideloading\WalkAndUnGZ.bat" "%USERPROFILE%\AppData\Local\Temp\OnboardLogs"\RTDC4017\2017-10-30</v>
      </c>
      <c r="AF42" s="221" t="str">
        <f t="shared" si="12"/>
        <v>"C:\Program Files (x86)\AstroGrep\AstroGrep.exe" /e /r /s /spath="%USERPROFILE%\AppData\Local\Temp\OnboardLogs" /stypes="app*4017*20171029*" /stext=" 14:.+((SYSTEM_STATE.+slice.+state.+changed )|(ment ac)|(multiple cpu faults)|(system.+state.+changed )|(\[timeout)|(PRM\|1\|D)|(kpr)|(kdp)|(train st.+moving)|(\|lc)|(penalty))"</v>
      </c>
      <c r="AG42" s="185" t="str">
        <f t="shared" si="13"/>
        <v>EC</v>
      </c>
      <c r="AH42" s="222" t="str">
        <f t="shared" si="19"/>
        <v>"%USERPROFILE%\Documents\GitHub\eaglep3\Utilities\RefineRTDCRunTimes.py" --tripid 130-29 --locoid 4017 --swversion DE.1.0.9.0 --startMP 204:232978 --initTime 2017-10-29T08:01:16 --startdatetime 2017-10-29T08:12:17 --delay 59 --endMP 204:139 --enddatetime 2017-10-29T08:49:45 --enforcementcount 0 &gt;&gt;%USERPROFILE%\Documents\GitHub\eaglep3-reporting\EC\2017-10-29-refined-times.txt</v>
      </c>
      <c r="AI42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{"issue":{"subject":"","project_id":79,"tracker_id":40,"status_id":1,"priority_id":2,"assigned_to_id":338,"start_date":"2017-10-29","description":"","custom_fields":[{"id":1,"name":"Subdivision","value":"EC"},{"id":4,"name":"Milepost","value":"0.0139"},{"id":17,"name":"Train ID","value":"130-29"},{"id":16,"name":"Locomotive ID","value":"4017"},{"id":130,"name":"Impact","value":""},{"id":150,"name":"Time of Event (Mountain Time)","value":"08:49:45"},{"id":151,"name":"Denver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182"/>
      <c r="AK42" s="186"/>
      <c r="AL42" s="186"/>
      <c r="AM42" s="187" t="str">
        <f t="shared" si="21"/>
        <v>start /low /b %USERPROFILE%\Documents\GitHub\eaglep3\Utilities\DownloadLogsFromS3.py --loco 4017 --day 2017-10-29</v>
      </c>
      <c r="AN42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14:49:45"},{"id":29,"name":"Sharepoint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82" t="str">
        <f t="shared" si="23"/>
        <v>https://d0f6bd738d7f1b3e5a7ca70fe4ff75f0.us-east-1.aws.found.io/app/kibana#/discover/Steve-Slow-Train-Analysis-(2080s-and-2083s)?_g=(refreshInterval:(display:Off,pause:!f,section:0,value:0),time:(from:'2017-10-29T07:01:16-0600',mode:absolute,to:'2017-10-29T09:49:45-0600'))&amp;_a=(columns:!('Message%20ID',Summary),filters:!(),index:'emp_*',interval:auto,query:(query_string:(analyze_wildcard:!t,query:'%22rtdc.l.rtdc.4017%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32" t="s">
        <v>713</v>
      </c>
      <c r="B43" s="7">
        <v>4026</v>
      </c>
      <c r="C43" s="21" t="s">
        <v>194</v>
      </c>
      <c r="D43" s="21" t="s">
        <v>900</v>
      </c>
      <c r="E43" s="13">
        <v>43037.317037037035</v>
      </c>
      <c r="F43" s="13">
        <v>43037.319768518515</v>
      </c>
      <c r="G43" s="7">
        <v>60</v>
      </c>
      <c r="H43" s="21" t="s">
        <v>492</v>
      </c>
      <c r="I43" s="13">
        <v>43037.345868055556</v>
      </c>
      <c r="J43" s="7">
        <v>0</v>
      </c>
      <c r="K43" s="76" t="str">
        <f t="shared" si="0"/>
        <v>4025/4026</v>
      </c>
      <c r="L43" s="164" t="str">
        <f>VLOOKUP(A43,'Trips&amp;Operators'!$C$1:$G$99911,5,FALSE)</f>
        <v>LAMAR NEKESHA</v>
      </c>
      <c r="M43" s="6">
        <f t="shared" si="1"/>
        <v>2.6099537040863652E-2</v>
      </c>
      <c r="N43" s="7">
        <f t="shared" si="2"/>
        <v>37.583333338843659</v>
      </c>
      <c r="O43" s="7"/>
      <c r="P43" s="7"/>
      <c r="Q43" s="22"/>
      <c r="R43" s="157" t="s">
        <v>1095</v>
      </c>
      <c r="S43" s="215">
        <f t="shared" si="3"/>
        <v>1</v>
      </c>
      <c r="T43" s="216" t="str">
        <f t="shared" si="4"/>
        <v>NorthBound</v>
      </c>
      <c r="U43" s="216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7" t="str">
        <f t="shared" si="5"/>
        <v>https://d0f6bd738d7f1b3e5a7ca70fe4ff75f0.us-east-1.aws.found.io/app/kibana#/discover/Steve-Slow-Train-Analysis-(2080s-and-2083s)?_g=(refreshInterval:(display:Off,pause:!f,section:0,value:0),time:(from:'2017-10-29T06:36:32-0600',mode:absolute,to:'2017-10-29T09:18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3" s="218" t="str">
        <f>IF(AA43&lt;VLOOKUP(AG43,Variables!$AC$3:$AD$8,2,FALSE),"Y","N")</f>
        <v>N</v>
      </c>
      <c r="X43" s="218">
        <f t="shared" si="6"/>
        <v>1</v>
      </c>
      <c r="Y43" s="218">
        <f t="shared" si="7"/>
        <v>0.14729999999999999</v>
      </c>
      <c r="Z43" s="218">
        <f t="shared" si="8"/>
        <v>23.329799999999999</v>
      </c>
      <c r="AA43" s="218">
        <f t="shared" si="9"/>
        <v>23.182499999999997</v>
      </c>
      <c r="AB43" s="219" t="e">
        <f>VLOOKUP(A43,Enforcements!$C$7:$K$11,8,0)</f>
        <v>#N/A</v>
      </c>
      <c r="AC43" s="219" t="e">
        <f>VLOOKUP(A43,Enforcements!$C$7:$E$11,3,0)</f>
        <v>#N/A</v>
      </c>
      <c r="AD43" s="186">
        <f t="shared" si="10"/>
        <v>131</v>
      </c>
      <c r="AE43" s="220" t="str">
        <f t="shared" si="11"/>
        <v>aws s3 cp s3://rtdc.mdm.uploadarchive.raw/RTDC4026/ "%USERPROFILE%\AppData\Local\Temp\OnboardLogs"\RTDC4026\2017-10-29 --exclude "*" --recursive --include "*20171029*" &amp; "%USERPROFILE%\Documents\GitHub\mrs-test-scripts\Headless Mode &amp; Sideloading\WalkAndUnGZ.bat" "%USERPROFILE%\AppData\Local\Temp\OnboardLogs"\RTDC4026\2017-10-29 &amp; aws s3 cp s3://rtdc.mdm.uploadarchive.raw/RTDC4026/ "%USERPROFILE%\AppData\Local\Temp\OnboardLogs"\RTDC4026\2017-10-30 --exclude "*" --recursive --include "*20171030*" &amp; "%USERPROFILE%\Documents\GitHub\mrs-test-scripts\Headless Mode &amp; Sideloading\WalkAndUnGZ.bat" "%USERPROFILE%\AppData\Local\Temp\OnboardLogs"\RTDC4026\2017-10-30</v>
      </c>
      <c r="AF43" s="221" t="str">
        <f t="shared" si="12"/>
        <v>"C:\Program Files (x86)\AstroGrep\AstroGrep.exe" /e /r /s /spath="%USERPROFILE%\AppData\Local\Temp\OnboardLogs" /stypes="app*4026*20171029*" /stext=" 14:.+((SYSTEM_STATE.+slice.+state.+changed )|(ment ac)|(multiple cpu faults)|(system.+state.+changed )|(\[timeout)|(PRM\|1\|D)|(kpr)|(kdp)|(train st.+moving)|(\|lc)|(penalty))"</v>
      </c>
      <c r="AG43" s="185" t="str">
        <f t="shared" si="13"/>
        <v>EC</v>
      </c>
      <c r="AH43" s="222" t="str">
        <f t="shared" si="19"/>
        <v>"%USERPROFILE%\Documents\GitHub\eaglep3\Utilities\RefineRTDCRunTimes.py" --tripid 131-29 --locoid 4026 --swversion DE.1.0.9.0 --startMP 204:1473 --initTime 2017-10-29T07:36:32 --startdatetime 2017-10-29T07:40:28 --delay 60 --endMP 204:233298 --enddatetime 2017-10-29T08:18:03 --enforcementcount 0 &gt;&gt;%USERPROFILE%\Documents\GitHub\eaglep3-reporting\EC\2017-10-29-refined-times.txt</v>
      </c>
      <c r="AI43" s="223" t="str">
        <f t="shared" si="20"/>
        <v>echo {"issue":{"subject":"Departure delayed after swapping trains due to propulsion fault on 4052","project_id":79,"tracker_id":40,"status_id":1,"priority_id":2,"assigned_to_id":338,"start_date":"2017-10-29","description":"","custom_fields":[{"id":1,"name":"Subdivision","value":"EC"},{"id":4,"name":"Milepost","value":"23.3298"},{"id":17,"name":"Train ID","value":"131-29"},{"id":16,"name":"Locomotive ID","value":"4026"},{"id":130,"name":"Impact","value":""},{"id":150,"name":"Time of Event (Mountain Time)","value":"08:18:03"},{"id":151,"name":"Denver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182"/>
      <c r="AK43" s="186"/>
      <c r="AL43" s="186"/>
      <c r="AM43" s="187" t="str">
        <f t="shared" si="21"/>
        <v>start /low /b %USERPROFILE%\Documents\GitHub\eaglep3\Utilities\DownloadLogsFromS3.py --loco 4026 --day 2017-10-29</v>
      </c>
      <c r="AN43" s="224" t="str">
        <f t="shared" si="22"/>
        <v>echo {"issue":{"subject":"Departure delayed after swapping trains due to propulsion fault on 4052","project_id":30,"tracker_id":4,"status_id":1,"priority_id":1,"assigned_to_id":10,"start_date":"2017-10-29","description":"","custom_fields":[{"id":30,"name":"Category","value":"Issue"},{"id":3,"name":"Functional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14:18:03"},{"id":29,"name":"Sharepoint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82" t="str">
        <f t="shared" si="23"/>
        <v>https://d0f6bd738d7f1b3e5a7ca70fe4ff75f0.us-east-1.aws.found.io/app/kibana#/discover/Steve-Slow-Train-Analysis-(2080s-and-2083s)?_g=(refreshInterval:(display:Off,pause:!f,section:0,value:0),time:(from:'2017-10-29T06:36:32-0600',mode:absolute,to:'2017-10-29T09:18:03-0600'))&amp;_a=(columns:!('Message%20ID',Summary),filters:!(),index:'emp_*',interval:auto,query:(query_string:(analyze_wildcard:!t,query:'%22rtdc.l.rtdc.4026%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32" t="s">
        <v>723</v>
      </c>
      <c r="B44" s="7">
        <v>4025</v>
      </c>
      <c r="C44" s="21" t="s">
        <v>194</v>
      </c>
      <c r="D44" s="21" t="s">
        <v>491</v>
      </c>
      <c r="E44" s="13">
        <v>43037.350347222222</v>
      </c>
      <c r="F44" s="13">
        <v>43037.352476851855</v>
      </c>
      <c r="G44" s="7">
        <v>74</v>
      </c>
      <c r="H44" s="21" t="s">
        <v>354</v>
      </c>
      <c r="I44" s="13">
        <v>43037.378101851849</v>
      </c>
      <c r="J44" s="7">
        <v>0</v>
      </c>
      <c r="K44" s="76" t="str">
        <f t="shared" si="0"/>
        <v>4025/4026</v>
      </c>
      <c r="L44" s="164" t="str">
        <f>VLOOKUP(A44,'Trips&amp;Operators'!$C$1:$G$99911,5,FALSE)</f>
        <v>LAMAR NEKESHA</v>
      </c>
      <c r="M44" s="6">
        <f t="shared" si="1"/>
        <v>2.5624999994761311E-2</v>
      </c>
      <c r="N44" s="7">
        <f t="shared" si="2"/>
        <v>36.899999992456287</v>
      </c>
      <c r="O44" s="7"/>
      <c r="P44" s="7"/>
      <c r="Q44" s="22"/>
      <c r="R44" s="157"/>
      <c r="S44" s="215">
        <f t="shared" si="3"/>
        <v>1</v>
      </c>
      <c r="T44" s="216" t="str">
        <f t="shared" si="4"/>
        <v>Southbound</v>
      </c>
      <c r="U44" s="216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7" t="str">
        <f t="shared" si="5"/>
        <v>https://d0f6bd738d7f1b3e5a7ca70fe4ff75f0.us-east-1.aws.found.io/app/kibana#/discover/Steve-Slow-Train-Analysis-(2080s-and-2083s)?_g=(refreshInterval:(display:Off,pause:!f,section:0,value:0),time:(from:'2017-10-29T07:24:30-0600',mode:absolute,to:'2017-10-29T10:04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4" s="218" t="str">
        <f>IF(AA44&lt;VLOOKUP(AG44,Variables!$AC$3:$AD$8,2,FALSE),"Y","N")</f>
        <v>N</v>
      </c>
      <c r="X44" s="218">
        <f t="shared" ref="X44:X47" si="24">VALUE(LEFT(AD44,4))-VALUE(LEFT(AD43,4))</f>
        <v>1</v>
      </c>
      <c r="Y44" s="218">
        <f t="shared" si="7"/>
        <v>23.297699999999999</v>
      </c>
      <c r="Z44" s="218">
        <f t="shared" si="8"/>
        <v>1.5800000000000002E-2</v>
      </c>
      <c r="AA44" s="218">
        <f t="shared" si="9"/>
        <v>23.2819</v>
      </c>
      <c r="AB44" s="219" t="e">
        <f>VLOOKUP(A44,Enforcements!$C$7:$K$11,8,0)</f>
        <v>#N/A</v>
      </c>
      <c r="AC44" s="219" t="e">
        <f>VLOOKUP(A44,Enforcements!$C$7:$E$11,3,0)</f>
        <v>#N/A</v>
      </c>
      <c r="AD44" s="186">
        <f t="shared" si="10"/>
        <v>132</v>
      </c>
      <c r="AE44" s="220" t="str">
        <f t="shared" si="11"/>
        <v>aws s3 cp s3://rtdc.mdm.uploadarchive.raw/RTDC4025/ "%USERPROFILE%\AppData\Local\Temp\OnboardLogs"\RTDC4025\2017-10-29 --exclude "*" --recursive --include "*20171029*" &amp; "%USERPROFILE%\Documents\GitHub\mrs-test-scripts\Headless Mode &amp; Sideloading\WalkAndUnGZ.bat" "%USERPROFILE%\AppData\Local\Temp\OnboardLogs"\RTDC4025\2017-10-29 &amp; aws s3 cp s3://rtdc.mdm.uploadarchive.raw/RTDC4025/ "%USERPROFILE%\AppData\Local\Temp\OnboardLogs"\RTDC4025\2017-10-30 --exclude "*" --recursive --include "*20171030*" &amp; "%USERPROFILE%\Documents\GitHub\mrs-test-scripts\Headless Mode &amp; Sideloading\WalkAndUnGZ.bat" "%USERPROFILE%\AppData\Local\Temp\OnboardLogs"\RTDC4025\2017-10-30</v>
      </c>
      <c r="AF44" s="221" t="str">
        <f t="shared" si="12"/>
        <v>"C:\Program Files (x86)\AstroGrep\AstroGrep.exe" /e /r /s /spath="%USERPROFILE%\AppData\Local\Temp\OnboardLogs" /stypes="app*4025*20171029*" /stext=" 15:.+((SYSTEM_STATE.+slice.+state.+changed )|(ment ac)|(multiple cpu faults)|(system.+state.+changed )|(\[timeout)|(PRM\|1\|D)|(kpr)|(kdp)|(train st.+moving)|(\|lc)|(penalty))"</v>
      </c>
      <c r="AG44" s="185" t="str">
        <f t="shared" si="13"/>
        <v>EC</v>
      </c>
      <c r="AH44" s="222" t="str">
        <f t="shared" si="19"/>
        <v>"%USERPROFILE%\Documents\GitHub\eaglep3\Utilities\RefineRTDCRunTimes.py" --tripid 132-29 --locoid 4025 --swversion DE.1.0.9.0 --startMP 204:232977 --initTime 2017-10-29T08:24:30 --startdatetime 2017-10-29T08:27:34 --delay 74 --endMP 204:158 --enddatetime 2017-10-29T09:04:28 --enforcementcount 0 &gt;&gt;%USERPROFILE%\Documents\GitHub\eaglep3-reporting\EC\2017-10-29-refined-times.txt</v>
      </c>
      <c r="AI44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{"issue":{"subject":"","project_id":79,"tracker_id":40,"status_id":1,"priority_id":2,"assigned_to_id":338,"start_date":"2017-10-29","description":"","custom_fields":[{"id":1,"name":"Subdivision","value":"EC"},{"id":4,"name":"Milepost","value":"0.0158"},{"id":17,"name":"Train ID","value":"132-29"},{"id":16,"name":"Locomotive ID","value":"4025"},{"id":130,"name":"Impact","value":""},{"id":150,"name":"Time of Event (Mountain Time)","value":"09:04:28"},{"id":151,"name":"Denver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182"/>
      <c r="AK44" s="186"/>
      <c r="AL44" s="186"/>
      <c r="AM44" s="187" t="str">
        <f t="shared" si="21"/>
        <v>start /low /b %USERPROFILE%\Documents\GitHub\eaglep3\Utilities\DownloadLogsFromS3.py --loco 4025 --day 2017-10-29</v>
      </c>
      <c r="AN44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15:04:28"},{"id":29,"name":"Sharepoint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82" t="str">
        <f t="shared" si="23"/>
        <v>https://d0f6bd738d7f1b3e5a7ca70fe4ff75f0.us-east-1.aws.found.io/app/kibana#/discover/Steve-Slow-Train-Analysis-(2080s-and-2083s)?_g=(refreshInterval:(display:Off,pause:!f,section:0,value:0),time:(from:'2017-10-29T07:24:30-0600',mode:absolute,to:'2017-10-29T10:04:28-0600'))&amp;_a=(columns:!('Message%20ID',Summary),filters:!(),index:'emp_*',interval:auto,query:(query_string:(analyze_wildcard:!t,query:'%22rtdc.l.rtdc.4025%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32" t="s">
        <v>716</v>
      </c>
      <c r="B45" s="7">
        <v>4060</v>
      </c>
      <c r="C45" s="21" t="s">
        <v>194</v>
      </c>
      <c r="D45" s="21" t="s">
        <v>576</v>
      </c>
      <c r="E45" s="13">
        <v>43037.32068287037</v>
      </c>
      <c r="F45" s="13">
        <v>43037.323101851849</v>
      </c>
      <c r="G45" s="7">
        <v>65</v>
      </c>
      <c r="H45" s="21" t="s">
        <v>901</v>
      </c>
      <c r="I45" s="13">
        <v>43037.348958333336</v>
      </c>
      <c r="J45" s="7">
        <v>0</v>
      </c>
      <c r="K45" s="76" t="str">
        <f t="shared" si="0"/>
        <v>4059/4060</v>
      </c>
      <c r="L45" s="164" t="str">
        <f>VLOOKUP(A45,'Trips&amp;Operators'!$C$1:$G$99911,5,FALSE)</f>
        <v>LANGERAK WILLIAM</v>
      </c>
      <c r="M45" s="6">
        <f t="shared" si="1"/>
        <v>2.5856481486698613E-2</v>
      </c>
      <c r="N45" s="7">
        <f t="shared" ref="N45:N64" si="25">24*60*SUM($M45:$M45)</f>
        <v>37.233333340846002</v>
      </c>
      <c r="O45" s="7"/>
      <c r="P45" s="7"/>
      <c r="Q45" s="22"/>
      <c r="R45" s="157"/>
      <c r="S45" s="215">
        <f t="shared" ref="S45:S64" si="26">1/IF(AG45="EC",12,1)*SUM(U45:U45)</f>
        <v>1</v>
      </c>
      <c r="T45" s="216" t="str">
        <f t="shared" si="4"/>
        <v>NorthBound</v>
      </c>
      <c r="U45" s="216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7" t="str">
        <f t="shared" si="5"/>
        <v>https://d0f6bd738d7f1b3e5a7ca70fe4ff75f0.us-east-1.aws.found.io/app/kibana#/discover/Steve-Slow-Train-Analysis-(2080s-and-2083s)?_g=(refreshInterval:(display:Off,pause:!f,section:0,value:0),time:(from:'2017-10-29T06:41:47-0600',mode:absolute,to:'2017-10-29T09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5" s="218" t="str">
        <f>IF(AA45&lt;VLOOKUP(AG45,Variables!$AC$3:$AD$8,2,FALSE),"Y","N")</f>
        <v>N</v>
      </c>
      <c r="X45" s="218">
        <f t="shared" si="24"/>
        <v>1</v>
      </c>
      <c r="Y45" s="218">
        <f t="shared" ref="Y45:Y76" si="27">RIGHT(D45,LEN(D45)-4)/10000</f>
        <v>4.5699999999999998E-2</v>
      </c>
      <c r="Z45" s="218">
        <f t="shared" ref="Z45:Z76" si="28">RIGHT(H45,LEN(H45)-4)/10000</f>
        <v>23.328199999999999</v>
      </c>
      <c r="AA45" s="218">
        <f t="shared" si="9"/>
        <v>23.282499999999999</v>
      </c>
      <c r="AB45" s="219" t="e">
        <f>VLOOKUP(A45,Enforcements!$C$7:$K$11,8,0)</f>
        <v>#N/A</v>
      </c>
      <c r="AC45" s="219" t="e">
        <f>VLOOKUP(A45,Enforcements!$C$7:$E$11,3,0)</f>
        <v>#N/A</v>
      </c>
      <c r="AD45" s="186">
        <f t="shared" si="10"/>
        <v>133</v>
      </c>
      <c r="AE45" s="220" t="str">
        <f t="shared" si="11"/>
        <v>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 &amp; aws s3 cp s3://rtdc.mdm.uploadarchive.raw/RTDC4060/ "%USERPROFILE%\AppData\Local\Temp\OnboardLogs"\RTDC4060\2017-10-30 --exclude "*" --recursive --include "*20171030*" &amp; "%USERPROFILE%\Documents\GitHub\mrs-test-scripts\Headless Mode &amp; Sideloading\WalkAndUnGZ.bat" "%USERPROFILE%\AppData\Local\Temp\OnboardLogs"\RTDC4060\2017-10-30</v>
      </c>
      <c r="AF45" s="221" t="str">
        <f t="shared" si="12"/>
        <v>"C:\Program Files (x86)\AstroGrep\AstroGrep.exe" /e /r /s /spath="%USERPROFILE%\AppData\Local\Temp\OnboardLogs" /stypes="app*4060*20171029*" /stext=" 14:.+((SYSTEM_STATE.+slice.+state.+changed )|(ment ac)|(multiple cpu faults)|(system.+state.+changed )|(\[timeout)|(PRM\|1\|D)|(kpr)|(kdp)|(train st.+moving)|(\|lc)|(penalty))"</v>
      </c>
      <c r="AG45" s="185" t="str">
        <f t="shared" si="13"/>
        <v>EC</v>
      </c>
      <c r="AH45" s="222" t="str">
        <f t="shared" si="19"/>
        <v>"%USERPROFILE%\Documents\GitHub\eaglep3\Utilities\RefineRTDCRunTimes.py" --tripid 133-29 --locoid 4060 --swversion DE.1.0.9.0 --startMP 204:457 --initTime 2017-10-29T07:41:47 --startdatetime 2017-10-29T07:45:16 --delay 65 --endMP 204:233282 --enddatetime 2017-10-29T08:22:30 --enforcementcount 0 &gt;&gt;%USERPROFILE%\Documents\GitHub\eaglep3-reporting\EC\2017-10-29-refined-times.txt</v>
      </c>
      <c r="AI45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{"issue":{"subject":"","project_id":79,"tracker_id":40,"status_id":1,"priority_id":2,"assigned_to_id":338,"start_date":"2017-10-29","description":"","custom_fields":[{"id":1,"name":"Subdivision","value":"EC"},{"id":4,"name":"Milepost","value":"23.3282"},{"id":17,"name":"Train ID","value":"133-29"},{"id":16,"name":"Locomotive ID","value":"4060"},{"id":130,"name":"Impact","value":""},{"id":150,"name":"Time of Event (Mountain Time)","value":"08:22:30"},{"id":151,"name":"Denver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182"/>
      <c r="AK45" s="186"/>
      <c r="AL45" s="186"/>
      <c r="AM45" s="187" t="str">
        <f t="shared" si="21"/>
        <v>start /low /b %USERPROFILE%\Documents\GitHub\eaglep3\Utilities\DownloadLogsFromS3.py --loco 4060 --day 2017-10-29</v>
      </c>
      <c r="AN45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14:22:30"},{"id":29,"name":"Sharepoint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82" t="str">
        <f t="shared" si="23"/>
        <v>https://d0f6bd738d7f1b3e5a7ca70fe4ff75f0.us-east-1.aws.found.io/app/kibana#/discover/Steve-Slow-Train-Analysis-(2080s-and-2083s)?_g=(refreshInterval:(display:Off,pause:!f,section:0,value:0),time:(from:'2017-10-29T06:41:47-0600',mode:absolute,to:'2017-10-29T09:22:30-0600'))&amp;_a=(columns:!('Message%20ID',Summary),filters:!(),index:'emp_*',interval:auto,query:(query_string:(analyze_wildcard:!t,query:'%22rtdc.l.rtdc.4060%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32" t="s">
        <v>722</v>
      </c>
      <c r="B46" s="7">
        <v>4059</v>
      </c>
      <c r="C46" s="21" t="s">
        <v>194</v>
      </c>
      <c r="D46" s="21" t="s">
        <v>568</v>
      </c>
      <c r="E46" s="13">
        <v>43037.359502314815</v>
      </c>
      <c r="F46" s="13">
        <v>43037.362696759257</v>
      </c>
      <c r="G46" s="7">
        <v>75</v>
      </c>
      <c r="H46" s="21" t="s">
        <v>360</v>
      </c>
      <c r="I46" s="13">
        <v>43037.389201388891</v>
      </c>
      <c r="J46" s="7">
        <v>0</v>
      </c>
      <c r="K46" s="76" t="str">
        <f t="shared" si="0"/>
        <v>4059/4060</v>
      </c>
      <c r="L46" s="164" t="str">
        <f>VLOOKUP(A46,'Trips&amp;Operators'!$C$1:$G$99911,5,FALSE)</f>
        <v>LANGERAK WILLIAM</v>
      </c>
      <c r="M46" s="6">
        <f t="shared" si="1"/>
        <v>2.6504629633564036E-2</v>
      </c>
      <c r="N46" s="7">
        <f t="shared" si="25"/>
        <v>38.166666672332212</v>
      </c>
      <c r="O46" s="7"/>
      <c r="P46" s="7"/>
      <c r="Q46" s="22"/>
      <c r="R46" s="157"/>
      <c r="S46" s="215">
        <f t="shared" si="26"/>
        <v>1</v>
      </c>
      <c r="T46" s="216" t="str">
        <f t="shared" si="4"/>
        <v>Southbound</v>
      </c>
      <c r="U46" s="216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7" t="str">
        <f t="shared" si="5"/>
        <v>https://d0f6bd738d7f1b3e5a7ca70fe4ff75f0.us-east-1.aws.found.io/app/kibana#/discover/Steve-Slow-Train-Analysis-(2080s-and-2083s)?_g=(refreshInterval:(display:Off,pause:!f,section:0,value:0),time:(from:'2017-10-29T07:37:41-0600',mode:absolute,to:'2017-10-29T10:20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6" s="218" t="str">
        <f>IF(AA46&lt;VLOOKUP(AG46,Variables!$AC$3:$AD$8,2,FALSE),"Y","N")</f>
        <v>N</v>
      </c>
      <c r="X46" s="218">
        <f t="shared" si="24"/>
        <v>1</v>
      </c>
      <c r="Y46" s="218">
        <f t="shared" si="27"/>
        <v>23.294799999999999</v>
      </c>
      <c r="Z46" s="218">
        <f t="shared" si="28"/>
        <v>1.54E-2</v>
      </c>
      <c r="AA46" s="218">
        <f t="shared" si="9"/>
        <v>23.279399999999999</v>
      </c>
      <c r="AB46" s="219" t="e">
        <f>VLOOKUP(A46,Enforcements!$C$7:$K$11,8,0)</f>
        <v>#N/A</v>
      </c>
      <c r="AC46" s="219" t="e">
        <f>VLOOKUP(A46,Enforcements!$C$7:$E$11,3,0)</f>
        <v>#N/A</v>
      </c>
      <c r="AD46" s="186">
        <f t="shared" si="10"/>
        <v>134</v>
      </c>
      <c r="AE46" s="220" t="str">
        <f t="shared" si="11"/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AF46" s="221" t="str">
        <f t="shared" si="12"/>
        <v>"C:\Program Files (x86)\AstroGrep\AstroGrep.exe" /e /r /s /spath="%USERPROFILE%\AppData\Local\Temp\OnboardLogs" /stypes="app*4059*20171029*" /stext=" 15:.+((SYSTEM_STATE.+slice.+state.+changed )|(ment ac)|(multiple cpu faults)|(system.+state.+changed )|(\[timeout)|(PRM\|1\|D)|(kpr)|(kdp)|(train st.+moving)|(\|lc)|(penalty))"</v>
      </c>
      <c r="AG46" s="185" t="str">
        <f t="shared" si="13"/>
        <v>EC</v>
      </c>
      <c r="AH46" s="222" t="str">
        <f t="shared" si="19"/>
        <v>"%USERPROFILE%\Documents\GitHub\eaglep3\Utilities\RefineRTDCRunTimes.py" --tripid 134-29 --locoid 4059 --swversion DE.1.0.9.0 --startMP 204:232948 --initTime 2017-10-29T08:37:41 --startdatetime 2017-10-29T08:42:17 --delay 75 --endMP 204:154 --enddatetime 2017-10-29T09:20:27 --enforcementcount 0 &gt;&gt;%USERPROFILE%\Documents\GitHub\eaglep3-reporting\EC\2017-10-29-refined-times.txt</v>
      </c>
      <c r="AI46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{"issue":{"subject":"","project_id":79,"tracker_id":40,"status_id":1,"priority_id":2,"assigned_to_id":338,"start_date":"2017-10-29","description":"","custom_fields":[{"id":1,"name":"Subdivision","value":"EC"},{"id":4,"name":"Milepost","value":"0.0154"},{"id":17,"name":"Train ID","value":"134-29"},{"id":16,"name":"Locomotive ID","value":"4059"},{"id":130,"name":"Impact","value":""},{"id":150,"name":"Time of Event (Mountain Time)","value":"09:20:27"},{"id":151,"name":"Denver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182"/>
      <c r="AK46" s="186"/>
      <c r="AL46" s="186"/>
      <c r="AM46" s="187" t="str">
        <f t="shared" si="21"/>
        <v>start /low /b %USERPROFILE%\Documents\GitHub\eaglep3\Utilities\DownloadLogsFromS3.py --loco 4059 --day 2017-10-29</v>
      </c>
      <c r="AN46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15:20:27"},{"id":29,"name":"Sharepoint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82" t="str">
        <f t="shared" si="23"/>
        <v>https://d0f6bd738d7f1b3e5a7ca70fe4ff75f0.us-east-1.aws.found.io/app/kibana#/discover/Steve-Slow-Train-Analysis-(2080s-and-2083s)?_g=(refreshInterval:(display:Off,pause:!f,section:0,value:0),time:(from:'2017-10-29T07:37:41-0600',mode:absolute,to:'2017-10-29T10:20:27-0600'))&amp;_a=(columns:!('Message%20ID',Summary),filters:!(),index:'emp_*',interval:auto,query:(query_string:(analyze_wildcard:!t,query:'%22rtdc.l.rtdc.4059%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32" t="s">
        <v>718</v>
      </c>
      <c r="B47" s="7">
        <v>4016</v>
      </c>
      <c r="C47" s="21" t="s">
        <v>194</v>
      </c>
      <c r="D47" s="21" t="s">
        <v>902</v>
      </c>
      <c r="E47" s="13">
        <v>43037.330520833333</v>
      </c>
      <c r="F47" s="13">
        <v>43037.333506944444</v>
      </c>
      <c r="G47" s="7">
        <v>58</v>
      </c>
      <c r="H47" s="21" t="s">
        <v>903</v>
      </c>
      <c r="I47" s="13">
        <v>43037.358263888891</v>
      </c>
      <c r="J47" s="7">
        <v>0</v>
      </c>
      <c r="K47" s="76" t="str">
        <f t="shared" si="0"/>
        <v>4015/4016</v>
      </c>
      <c r="L47" s="164" t="str">
        <f>VLOOKUP(A47,'Trips&amp;Operators'!$C$1:$G$99911,5,FALSE)</f>
        <v>PAGE MARCUS</v>
      </c>
      <c r="M47" s="6">
        <f t="shared" si="1"/>
        <v>2.4756944447290152E-2</v>
      </c>
      <c r="N47" s="7">
        <f t="shared" si="25"/>
        <v>35.650000004097819</v>
      </c>
      <c r="O47" s="7"/>
      <c r="P47" s="7"/>
      <c r="Q47" s="22"/>
      <c r="R47" s="157"/>
      <c r="S47" s="215">
        <f t="shared" si="26"/>
        <v>1</v>
      </c>
      <c r="T47" s="216" t="str">
        <f t="shared" si="4"/>
        <v>NorthBound</v>
      </c>
      <c r="U47" s="216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7" t="str">
        <f t="shared" si="5"/>
        <v>https://d0f6bd738d7f1b3e5a7ca70fe4ff75f0.us-east-1.aws.found.io/app/kibana#/discover/Steve-Slow-Train-Analysis-(2080s-and-2083s)?_g=(refreshInterval:(display:Off,pause:!f,section:0,value:0),time:(from:'2017-10-29T06:55:57-0600',mode:absolute,to:'2017-10-29T09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47" s="218" t="str">
        <f>IF(AA47&lt;VLOOKUP(AG47,Variables!$AC$3:$AD$8,2,FALSE),"Y","N")</f>
        <v>N</v>
      </c>
      <c r="X47" s="218">
        <f t="shared" si="24"/>
        <v>1</v>
      </c>
      <c r="Y47" s="218">
        <f t="shared" si="27"/>
        <v>6.3100000000000003E-2</v>
      </c>
      <c r="Z47" s="218">
        <f t="shared" si="28"/>
        <v>23.3306</v>
      </c>
      <c r="AA47" s="218">
        <f t="shared" si="9"/>
        <v>23.267500000000002</v>
      </c>
      <c r="AB47" s="219" t="e">
        <f>VLOOKUP(A47,Enforcements!$C$7:$K$11,8,0)</f>
        <v>#N/A</v>
      </c>
      <c r="AC47" s="219" t="e">
        <f>VLOOKUP(A47,Enforcements!$C$7:$E$11,3,0)</f>
        <v>#N/A</v>
      </c>
      <c r="AD47" s="186">
        <f t="shared" si="10"/>
        <v>135</v>
      </c>
      <c r="AE47" s="220" t="str">
        <f t="shared" si="11"/>
        <v>aws s3 cp s3://rtdc.mdm.uploadarchive.raw/RTDC4016/ "%USERPROFILE%\AppData\Local\Temp\OnboardLogs"\RTDC4016\2017-10-29 --exclude "*" --recursive --include "*20171029*" &amp; "%USERPROFILE%\Documents\GitHub\mrs-test-scripts\Headless Mode &amp; Sideloading\WalkAndUnGZ.bat" "%USERPROFILE%\AppData\Local\Temp\OnboardLogs"\RTDC4016\2017-10-29 &amp; 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</v>
      </c>
      <c r="AF47" s="221" t="str">
        <f t="shared" si="12"/>
        <v>"C:\Program Files (x86)\AstroGrep\AstroGrep.exe" /e /r /s /spath="%USERPROFILE%\AppData\Local\Temp\OnboardLogs" /stypes="app*4016*20171029*" /stext=" 14:.+((SYSTEM_STATE.+slice.+state.+changed )|(ment ac)|(multiple cpu faults)|(system.+state.+changed )|(\[timeout)|(PRM\|1\|D)|(kpr)|(kdp)|(train st.+moving)|(\|lc)|(penalty))"</v>
      </c>
      <c r="AG47" s="185" t="str">
        <f t="shared" si="13"/>
        <v>EC</v>
      </c>
      <c r="AH47" s="222" t="str">
        <f t="shared" si="19"/>
        <v>"%USERPROFILE%\Documents\GitHub\eaglep3\Utilities\RefineRTDCRunTimes.py" --tripid 135-29 --locoid 4016 --swversion DE.1.0.9.0 --startMP 204:631 --initTime 2017-10-29T07:55:57 --startdatetime 2017-10-29T08:00:15 --delay 58 --endMP 204:233306 --enddatetime 2017-10-29T08:35:54 --enforcementcount 0 &gt;&gt;%USERPROFILE%\Documents\GitHub\eaglep3-reporting\EC\2017-10-29-refined-times.txt</v>
      </c>
      <c r="AI47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{"issue":{"subject":"","project_id":79,"tracker_id":40,"status_id":1,"priority_id":2,"assigned_to_id":338,"start_date":"2017-10-29","description":"","custom_fields":[{"id":1,"name":"Subdivision","value":"EC"},{"id":4,"name":"Milepost","value":"23.3306"},{"id":17,"name":"Train ID","value":"135-29"},{"id":16,"name":"Locomotive ID","value":"4016"},{"id":130,"name":"Impact","value":""},{"id":150,"name":"Time of Event (Mountain Time)","value":"08:35:54"},{"id":151,"name":"Denver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182"/>
      <c r="AK47" s="186"/>
      <c r="AL47" s="186"/>
      <c r="AM47" s="187" t="str">
        <f t="shared" si="21"/>
        <v>start /low /b %USERPROFILE%\Documents\GitHub\eaglep3\Utilities\DownloadLogsFromS3.py --loco 4016 --day 2017-10-29</v>
      </c>
      <c r="AN47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82" t="str">
        <f t="shared" si="23"/>
        <v>https://d0f6bd738d7f1b3e5a7ca70fe4ff75f0.us-east-1.aws.found.io/app/kibana#/discover/Steve-Slow-Train-Analysis-(2080s-and-2083s)?_g=(refreshInterval:(display:Off,pause:!f,section:0,value:0),time:(from:'2017-10-29T06:55:57-0600',mode:absolute,to:'2017-10-29T09:35:54-0600'))&amp;_a=(columns:!('Message%20ID',Summary),filters:!(),index:'emp_*',interval:auto,query:(query_string:(analyze_wildcard:!t,query:'%22rtdc.l.rtdc.4016%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32" t="s">
        <v>728</v>
      </c>
      <c r="B48" s="7">
        <v>4015</v>
      </c>
      <c r="C48" s="21" t="s">
        <v>194</v>
      </c>
      <c r="D48" s="21" t="s">
        <v>592</v>
      </c>
      <c r="E48" s="13">
        <v>43037.36859953704</v>
      </c>
      <c r="F48" s="13">
        <v>43037.373078703706</v>
      </c>
      <c r="G48" s="7">
        <v>54</v>
      </c>
      <c r="H48" s="21" t="s">
        <v>619</v>
      </c>
      <c r="I48" s="13">
        <v>43037.398761574077</v>
      </c>
      <c r="J48" s="7">
        <v>0</v>
      </c>
      <c r="K48" s="76" t="str">
        <f t="shared" si="0"/>
        <v>4015/4016</v>
      </c>
      <c r="L48" s="164" t="str">
        <f>VLOOKUP(A48,'Trips&amp;Operators'!$C$1:$G$99911,5,FALSE)</f>
        <v>PAGE MARCUS</v>
      </c>
      <c r="M48" s="6">
        <f t="shared" si="1"/>
        <v>2.5682870371383615E-2</v>
      </c>
      <c r="N48" s="7">
        <f t="shared" si="25"/>
        <v>36.983333334792405</v>
      </c>
      <c r="O48" s="7"/>
      <c r="P48" s="7"/>
      <c r="Q48" s="22"/>
      <c r="R48" s="157"/>
      <c r="S48" s="215">
        <f t="shared" si="26"/>
        <v>1</v>
      </c>
      <c r="T48" s="216" t="str">
        <f t="shared" si="4"/>
        <v>Southbound</v>
      </c>
      <c r="U48" s="216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7" t="str">
        <f t="shared" si="5"/>
        <v>https://d0f6bd738d7f1b3e5a7ca70fe4ff75f0.us-east-1.aws.found.io/app/kibana#/discover/Steve-Slow-Train-Analysis-(2080s-and-2083s)?_g=(refreshInterval:(display:Off,pause:!f,section:0,value:0),time:(from:'2017-10-29T07:50:47-0600',mode:absolute,to:'2017-10-29T10:34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48" s="218" t="str">
        <f>IF(AA48&lt;VLOOKUP(AG48,Variables!$AC$3:$AD$8,2,FALSE),"Y","N")</f>
        <v>N</v>
      </c>
      <c r="X48" s="218">
        <f t="shared" ref="X48:X64" si="29">VALUE(LEFT(AD48,4))-VALUE(LEFT(AD47,4))</f>
        <v>1</v>
      </c>
      <c r="Y48" s="218">
        <f t="shared" si="27"/>
        <v>23.298500000000001</v>
      </c>
      <c r="Z48" s="218">
        <f t="shared" si="28"/>
        <v>1.72E-2</v>
      </c>
      <c r="AA48" s="218">
        <f t="shared" si="9"/>
        <v>23.281300000000002</v>
      </c>
      <c r="AB48" s="219" t="e">
        <f>VLOOKUP(A48,Enforcements!$C$7:$K$11,8,0)</f>
        <v>#N/A</v>
      </c>
      <c r="AC48" s="219" t="e">
        <f>VLOOKUP(A48,Enforcements!$C$7:$E$11,3,0)</f>
        <v>#N/A</v>
      </c>
      <c r="AD48" s="186">
        <f t="shared" si="10"/>
        <v>136</v>
      </c>
      <c r="AE48" s="220" t="str">
        <f t="shared" si="11"/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48" s="221" t="str">
        <f t="shared" si="12"/>
        <v>"C:\Program Files (x86)\AstroGrep\AstroGrep.exe" /e /r /s /spath="%USERPROFILE%\AppData\Local\Temp\OnboardLogs" /stypes="app*4015*20171029*" /stext=" 15:.+((SYSTEM_STATE.+slice.+state.+changed )|(ment ac)|(multiple cpu faults)|(system.+state.+changed )|(\[timeout)|(PRM\|1\|D)|(kpr)|(kdp)|(train st.+moving)|(\|lc)|(penalty))"</v>
      </c>
      <c r="AG48" s="185" t="str">
        <f t="shared" si="13"/>
        <v>EC</v>
      </c>
      <c r="AH48" s="222" t="str">
        <f t="shared" si="19"/>
        <v>"%USERPROFILE%\Documents\GitHub\eaglep3\Utilities\RefineRTDCRunTimes.py" --tripid 136-29 --locoid 4015 --swversion DE.1.0.9.0 --startMP 204:232985 --initTime 2017-10-29T08:50:47 --startdatetime 2017-10-29T08:57:14 --delay 54 --endMP 204:172 --enddatetime 2017-10-29T09:34:13 --enforcementcount 0 &gt;&gt;%USERPROFILE%\Documents\GitHub\eaglep3-reporting\EC\2017-10-29-refined-times.txt</v>
      </c>
      <c r="AI48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{"issue":{"subject":"","project_id":79,"tracker_id":40,"status_id":1,"priority_id":2,"assigned_to_id":338,"start_date":"2017-10-29","description":"","custom_fields":[{"id":1,"name":"Subdivision","value":"EC"},{"id":4,"name":"Milepost","value":"0.0172"},{"id":17,"name":"Train ID","value":"136-29"},{"id":16,"name":"Locomotive ID","value":"4015"},{"id":130,"name":"Impact","value":""},{"id":150,"name":"Time of Event (Mountain Time)","value":"09:34:13"},{"id":151,"name":"Denver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182"/>
      <c r="AK48" s="186"/>
      <c r="AL48" s="186"/>
      <c r="AM48" s="187" t="str">
        <f t="shared" si="21"/>
        <v>start /low /b %USERPROFILE%\Documents\GitHub\eaglep3\Utilities\DownloadLogsFromS3.py --loco 4015 --day 2017-10-29</v>
      </c>
      <c r="AN48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15:34:13"},{"id":29,"name":"Sharepoint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82" t="str">
        <f t="shared" si="23"/>
        <v>https://d0f6bd738d7f1b3e5a7ca70fe4ff75f0.us-east-1.aws.found.io/app/kibana#/discover/Steve-Slow-Train-Analysis-(2080s-and-2083s)?_g=(refreshInterval:(display:Off,pause:!f,section:0,value:0),time:(from:'2017-10-29T07:50:47-0600',mode:absolute,to:'2017-10-29T10:34:13-0600'))&amp;_a=(columns:!('Message%20ID',Summary),filters:!(),index:'emp_*',interval:auto,query:(query_string:(analyze_wildcard:!t,query:'%22rtdc.l.rtdc.4015%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32" t="s">
        <v>721</v>
      </c>
      <c r="B49" s="7">
        <v>4006</v>
      </c>
      <c r="C49" s="21" t="s">
        <v>194</v>
      </c>
      <c r="D49" s="21" t="s">
        <v>358</v>
      </c>
      <c r="E49" s="13">
        <v>43037.339432870373</v>
      </c>
      <c r="F49" s="13">
        <v>43037.343912037039</v>
      </c>
      <c r="G49" s="7">
        <v>62</v>
      </c>
      <c r="H49" s="21" t="s">
        <v>897</v>
      </c>
      <c r="I49" s="13">
        <v>43037.367754629631</v>
      </c>
      <c r="J49" s="7">
        <v>0</v>
      </c>
      <c r="K49" s="76" t="str">
        <f t="shared" si="0"/>
        <v>4005/4006</v>
      </c>
      <c r="L49" s="164" t="str">
        <f>VLOOKUP(A49,'Trips&amp;Operators'!$C$1:$G$99911,5,FALSE)</f>
        <v>GEBRETEKLE DAGNEW</v>
      </c>
      <c r="M49" s="6">
        <f t="shared" si="1"/>
        <v>2.3842592592700385E-2</v>
      </c>
      <c r="N49" s="7">
        <f t="shared" si="25"/>
        <v>34.333333333488554</v>
      </c>
      <c r="O49" s="7"/>
      <c r="P49" s="7"/>
      <c r="Q49" s="22"/>
      <c r="R49" s="157"/>
      <c r="S49" s="215">
        <f t="shared" si="26"/>
        <v>1</v>
      </c>
      <c r="T49" s="216" t="str">
        <f t="shared" si="4"/>
        <v>NorthBound</v>
      </c>
      <c r="U49" s="216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7" t="str">
        <f t="shared" si="5"/>
        <v>https://d0f6bd738d7f1b3e5a7ca70fe4ff75f0.us-east-1.aws.found.io/app/kibana#/discover/Steve-Slow-Train-Analysis-(2080s-and-2083s)?_g=(refreshInterval:(display:Off,pause:!f,section:0,value:0),time:(from:'2017-10-29T07:08:47-0600',mode:absolute,to:'2017-10-29T09:49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49" s="218" t="str">
        <f>IF(AA49&lt;VLOOKUP(AG49,Variables!$AC$3:$AD$8,2,FALSE),"Y","N")</f>
        <v>N</v>
      </c>
      <c r="X49" s="218">
        <f t="shared" si="29"/>
        <v>1</v>
      </c>
      <c r="Y49" s="218">
        <f t="shared" si="27"/>
        <v>4.7100000000000003E-2</v>
      </c>
      <c r="Z49" s="218">
        <f t="shared" si="28"/>
        <v>23.3232</v>
      </c>
      <c r="AA49" s="218">
        <f t="shared" si="9"/>
        <v>23.2761</v>
      </c>
      <c r="AB49" s="219" t="e">
        <f>VLOOKUP(A49,Enforcements!$C$7:$K$11,8,0)</f>
        <v>#N/A</v>
      </c>
      <c r="AC49" s="219" t="e">
        <f>VLOOKUP(A49,Enforcements!$C$7:$E$11,3,0)</f>
        <v>#N/A</v>
      </c>
      <c r="AD49" s="186">
        <f t="shared" si="10"/>
        <v>137</v>
      </c>
      <c r="AE49" s="220" t="str">
        <f t="shared" si="11"/>
        <v>aws s3 cp s3://rtdc.mdm.uploadarchive.raw/RTDC4006/ "%USERPROFILE%\AppData\Local\Temp\OnboardLogs"\RTDC4006\2017-10-29 --exclude "*" --recursive --include "*20171029*" &amp; "%USERPROFILE%\Documents\GitHub\mrs-test-scripts\Headless Mode &amp; Sideloading\WalkAndUnGZ.bat" "%USERPROFILE%\AppData\Local\Temp\OnboardLogs"\RTDC4006\2017-10-29 &amp; aws s3 cp s3://rtdc.mdm.uploadarchive.raw/RTDC4006/ "%USERPROFILE%\AppData\Local\Temp\OnboardLogs"\RTDC4006\2017-10-30 --exclude "*" --recursive --include "*20171030*" &amp; "%USERPROFILE%\Documents\GitHub\mrs-test-scripts\Headless Mode &amp; Sideloading\WalkAndUnGZ.bat" "%USERPROFILE%\AppData\Local\Temp\OnboardLogs"\RTDC4006\2017-10-30</v>
      </c>
      <c r="AF49" s="221" t="str">
        <f t="shared" si="12"/>
        <v>"C:\Program Files (x86)\AstroGrep\AstroGrep.exe" /e /r /s /spath="%USERPROFILE%\AppData\Local\Temp\OnboardLogs" /stypes="app*4006*20171029*" /stext=" 14:.+((SYSTEM_STATE.+slice.+state.+changed )|(ment ac)|(multiple cpu faults)|(system.+state.+changed )|(\[timeout)|(PRM\|1\|D)|(kpr)|(kdp)|(train st.+moving)|(\|lc)|(penalty))"</v>
      </c>
      <c r="AG49" s="185" t="str">
        <f t="shared" si="13"/>
        <v>EC</v>
      </c>
      <c r="AH49" s="222" t="str">
        <f t="shared" si="19"/>
        <v>"%USERPROFILE%\Documents\GitHub\eaglep3\Utilities\RefineRTDCRunTimes.py" --tripid 137-29 --locoid 4006 --swversion DE.1.0.9.0 --startMP 204:471 --initTime 2017-10-29T08:08:47 --startdatetime 2017-10-29T08:15:14 --delay 62 --endMP 204:233232 --enddatetime 2017-10-29T08:49:34 --enforcementcount 0 &gt;&gt;%USERPROFILE%\Documents\GitHub\eaglep3-reporting\EC\2017-10-29-refined-times.txt</v>
      </c>
      <c r="AI49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{"issue":{"subject":"","project_id":79,"tracker_id":40,"status_id":1,"priority_id":2,"assigned_to_id":338,"start_date":"2017-10-29","description":"","custom_fields":[{"id":1,"name":"Subdivision","value":"EC"},{"id":4,"name":"Milepost","value":"23.3232"},{"id":17,"name":"Train ID","value":"137-29"},{"id":16,"name":"Locomotive ID","value":"4006"},{"id":130,"name":"Impact","value":""},{"id":150,"name":"Time of Event (Mountain Time)","value":"08:49:34"},{"id":151,"name":"Denver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182"/>
      <c r="AK49" s="186"/>
      <c r="AL49" s="186"/>
      <c r="AM49" s="187" t="str">
        <f t="shared" si="21"/>
        <v>start /low /b %USERPROFILE%\Documents\GitHub\eaglep3\Utilities\DownloadLogsFromS3.py --loco 4006 --day 2017-10-29</v>
      </c>
      <c r="AN49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14:49:34"},{"id":29,"name":"Sharepoint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82" t="str">
        <f t="shared" si="23"/>
        <v>https://d0f6bd738d7f1b3e5a7ca70fe4ff75f0.us-east-1.aws.found.io/app/kibana#/discover/Steve-Slow-Train-Analysis-(2080s-and-2083s)?_g=(refreshInterval:(display:Off,pause:!f,section:0,value:0),time:(from:'2017-10-29T07:08:47-0600',mode:absolute,to:'2017-10-29T09:49:34-0600'))&amp;_a=(columns:!('Message%20ID',Summary),filters:!(),index:'emp_*',interval:auto,query:(query_string:(analyze_wildcard:!t,query:'%22rtdc.l.rtdc.4006%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32" t="s">
        <v>729</v>
      </c>
      <c r="B50" s="7">
        <v>4005</v>
      </c>
      <c r="C50" s="21" t="s">
        <v>194</v>
      </c>
      <c r="D50" s="21" t="s">
        <v>904</v>
      </c>
      <c r="E50" s="13">
        <v>43037.369305555556</v>
      </c>
      <c r="F50" s="13">
        <v>43037.38175925926</v>
      </c>
      <c r="G50" s="7">
        <v>54</v>
      </c>
      <c r="H50" s="21" t="s">
        <v>905</v>
      </c>
      <c r="I50" s="13">
        <v>43037.410393518519</v>
      </c>
      <c r="J50" s="7">
        <v>0</v>
      </c>
      <c r="K50" s="76" t="str">
        <f t="shared" si="0"/>
        <v>4005/4006</v>
      </c>
      <c r="L50" s="164" t="str">
        <f>VLOOKUP(A50,'Trips&amp;Operators'!$C$1:$G$99911,5,FALSE)</f>
        <v>GEBRETEKLE DAGNEW</v>
      </c>
      <c r="M50" s="6">
        <f t="shared" si="1"/>
        <v>2.8634259258979E-2</v>
      </c>
      <c r="N50" s="7">
        <f t="shared" si="25"/>
        <v>41.23333333292976</v>
      </c>
      <c r="O50" s="7"/>
      <c r="P50" s="7"/>
      <c r="Q50" s="22"/>
      <c r="R50" s="157"/>
      <c r="S50" s="215">
        <f t="shared" si="26"/>
        <v>1</v>
      </c>
      <c r="T50" s="216" t="str">
        <f t="shared" si="4"/>
        <v>Southbound</v>
      </c>
      <c r="U50" s="216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7" t="str">
        <f t="shared" si="5"/>
        <v>https://d0f6bd738d7f1b3e5a7ca70fe4ff75f0.us-east-1.aws.found.io/app/kibana#/discover/Steve-Slow-Train-Analysis-(2080s-and-2083s)?_g=(refreshInterval:(display:Off,pause:!f,section:0,value:0),time:(from:'2017-10-29T07:51:48-0600',mode:absolute,to:'2017-10-29T10:50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50" s="218" t="str">
        <f>IF(AA50&lt;VLOOKUP(AG50,Variables!$AC$3:$AD$8,2,FALSE),"Y","N")</f>
        <v>N</v>
      </c>
      <c r="X50" s="218">
        <f t="shared" si="29"/>
        <v>1</v>
      </c>
      <c r="Y50" s="218">
        <f t="shared" si="27"/>
        <v>23.2913</v>
      </c>
      <c r="Z50" s="218">
        <f t="shared" si="28"/>
        <v>1.78E-2</v>
      </c>
      <c r="AA50" s="218">
        <f t="shared" si="9"/>
        <v>23.273499999999999</v>
      </c>
      <c r="AB50" s="219" t="e">
        <f>VLOOKUP(A50,Enforcements!$C$7:$K$11,8,0)</f>
        <v>#N/A</v>
      </c>
      <c r="AC50" s="219" t="e">
        <f>VLOOKUP(A50,Enforcements!$C$7:$E$11,3,0)</f>
        <v>#N/A</v>
      </c>
      <c r="AD50" s="186">
        <f t="shared" si="10"/>
        <v>138</v>
      </c>
      <c r="AE50" s="220" t="str">
        <f t="shared" si="11"/>
        <v>aws s3 cp s3://rtdc.mdm.uploadarchive.raw/RTDC4005/ "%USERPROFILE%\AppData\Local\Temp\OnboardLogs"\RTDC4005\2017-10-29 --exclude "*" --recursive --include "*20171029*" &amp; "%USERPROFILE%\Documents\GitHub\mrs-test-scripts\Headless Mode &amp; Sideloading\WalkAndUnGZ.bat" "%USERPROFILE%\AppData\Local\Temp\OnboardLogs"\RTDC4005\2017-10-29 &amp; aws s3 cp s3://rtdc.mdm.uploadarchive.raw/RTDC4005/ "%USERPROFILE%\AppData\Local\Temp\OnboardLogs"\RTDC4005\2017-10-30 --exclude "*" --recursive --include "*20171030*" &amp; "%USERPROFILE%\Documents\GitHub\mrs-test-scripts\Headless Mode &amp; Sideloading\WalkAndUnGZ.bat" "%USERPROFILE%\AppData\Local\Temp\OnboardLogs"\RTDC4005\2017-10-30</v>
      </c>
      <c r="AF50" s="221" t="str">
        <f t="shared" si="12"/>
        <v>"C:\Program Files (x86)\AstroGrep\AstroGrep.exe" /e /r /s /spath="%USERPROFILE%\AppData\Local\Temp\OnboardLogs" /stypes="app*4005*20171029*" /stext=" 15:.+((SYSTEM_STATE.+slice.+state.+changed )|(ment ac)|(multiple cpu faults)|(system.+state.+changed )|(\[timeout)|(PRM\|1\|D)|(kpr)|(kdp)|(train st.+moving)|(\|lc)|(penalty))"</v>
      </c>
      <c r="AG50" s="185" t="str">
        <f t="shared" si="13"/>
        <v>EC</v>
      </c>
      <c r="AH50" s="222" t="str">
        <f t="shared" si="19"/>
        <v>"%USERPROFILE%\Documents\GitHub\eaglep3\Utilities\RefineRTDCRunTimes.py" --tripid 138-29 --locoid 4005 --swversion DE.1.0.9.0 --startMP 204:232913 --initTime 2017-10-29T08:51:48 --startdatetime 2017-10-29T09:09:44 --delay 54 --endMP 204:178 --enddatetime 2017-10-29T09:50:58 --enforcementcount 0 &gt;&gt;%USERPROFILE%\Documents\GitHub\eaglep3-reporting\EC\2017-10-29-refined-times.txt</v>
      </c>
      <c r="AI50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{"issue":{"subject":"","project_id":79,"tracker_id":40,"status_id":1,"priority_id":2,"assigned_to_id":338,"start_date":"2017-10-29","description":"","custom_fields":[{"id":1,"name":"Subdivision","value":"EC"},{"id":4,"name":"Milepost","value":"0.0178"},{"id":17,"name":"Train ID","value":"138-29"},{"id":16,"name":"Locomotive ID","value":"4005"},{"id":130,"name":"Impact","value":""},{"id":150,"name":"Time of Event (Mountain Time)","value":"09:50:58"},{"id":151,"name":"Denver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182"/>
      <c r="AK50" s="186"/>
      <c r="AL50" s="186"/>
      <c r="AM50" s="187" t="str">
        <f t="shared" si="21"/>
        <v>start /low /b %USERPROFILE%\Documents\GitHub\eaglep3\Utilities\DownloadLogsFromS3.py --loco 4005 --day 2017-10-29</v>
      </c>
      <c r="AN50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15:50:58"},{"id":29,"name":"Sharepoint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82" t="str">
        <f t="shared" si="23"/>
        <v>https://d0f6bd738d7f1b3e5a7ca70fe4ff75f0.us-east-1.aws.found.io/app/kibana#/discover/Steve-Slow-Train-Analysis-(2080s-and-2083s)?_g=(refreshInterval:(display:Off,pause:!f,section:0,value:0),time:(from:'2017-10-29T07:51:48-0600',mode:absolute,to:'2017-10-29T10:50:58-0600'))&amp;_a=(columns:!('Message%20ID',Summary),filters:!(),index:'emp_*',interval:auto,query:(query_string:(analyze_wildcard:!t,query:'%22rtdc.l.rtdc.4005%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32" t="s">
        <v>725</v>
      </c>
      <c r="B51" s="7">
        <v>4046</v>
      </c>
      <c r="C51" s="21" t="s">
        <v>194</v>
      </c>
      <c r="D51" s="21" t="s">
        <v>906</v>
      </c>
      <c r="E51" s="13">
        <v>43037.351423611108</v>
      </c>
      <c r="F51" s="13">
        <v>43037.354548611111</v>
      </c>
      <c r="G51" s="7">
        <v>74</v>
      </c>
      <c r="H51" s="21" t="s">
        <v>570</v>
      </c>
      <c r="I51" s="13">
        <v>43037.379502314812</v>
      </c>
      <c r="J51" s="7">
        <v>0</v>
      </c>
      <c r="K51" s="76" t="str">
        <f t="shared" si="0"/>
        <v>4045/4046</v>
      </c>
      <c r="L51" s="164" t="str">
        <f>VLOOKUP(A51,'Trips&amp;Operators'!$C$1:$G$99911,5,FALSE)</f>
        <v>THOMPSON LESTER</v>
      </c>
      <c r="M51" s="6">
        <f t="shared" si="1"/>
        <v>2.495370370161254E-2</v>
      </c>
      <c r="N51" s="7">
        <f t="shared" si="25"/>
        <v>35.933333330322057</v>
      </c>
      <c r="O51" s="7"/>
      <c r="P51" s="7"/>
      <c r="Q51" s="22"/>
      <c r="R51" s="157"/>
      <c r="S51" s="215">
        <f t="shared" si="26"/>
        <v>1</v>
      </c>
      <c r="T51" s="216" t="str">
        <f t="shared" si="4"/>
        <v>NorthBound</v>
      </c>
      <c r="U51" s="216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7" t="str">
        <f t="shared" si="5"/>
        <v>https://d0f6bd738d7f1b3e5a7ca70fe4ff75f0.us-east-1.aws.found.io/app/kibana#/discover/Steve-Slow-Train-Analysis-(2080s-and-2083s)?_g=(refreshInterval:(display:Off,pause:!f,section:0,value:0),time:(from:'2017-10-29T07:26:03-0600',mode:absolute,to:'2017-10-29T10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1" s="218" t="str">
        <f>IF(AA51&lt;VLOOKUP(AG51,Variables!$AC$3:$AD$8,2,FALSE),"Y","N")</f>
        <v>N</v>
      </c>
      <c r="X51" s="218">
        <f t="shared" si="29"/>
        <v>1</v>
      </c>
      <c r="Y51" s="218">
        <f t="shared" si="27"/>
        <v>4.6199999999999998E-2</v>
      </c>
      <c r="Z51" s="218">
        <f t="shared" si="28"/>
        <v>23.327999999999999</v>
      </c>
      <c r="AA51" s="218">
        <f t="shared" si="9"/>
        <v>23.2818</v>
      </c>
      <c r="AB51" s="219" t="e">
        <f>VLOOKUP(A51,Enforcements!$C$7:$K$11,8,0)</f>
        <v>#N/A</v>
      </c>
      <c r="AC51" s="219" t="e">
        <f>VLOOKUP(A51,Enforcements!$C$7:$E$11,3,0)</f>
        <v>#N/A</v>
      </c>
      <c r="AD51" s="186">
        <f t="shared" si="10"/>
        <v>139</v>
      </c>
      <c r="AE51" s="220" t="str">
        <f t="shared" si="11"/>
        <v>aws s3 cp s3://rtdc.mdm.uploadarchive.raw/RTDC4046/ "%USERPROFILE%\AppData\Local\Temp\OnboardLogs"\RTDC4046\2017-10-29 --exclude "*" --recursive --include "*20171029*" &amp; "%USERPROFILE%\Documents\GitHub\mrs-test-scripts\Headless Mode &amp; Sideloading\WalkAndUnGZ.bat" "%USERPROFILE%\AppData\Local\Temp\OnboardLogs"\RTDC4046\2017-10-29 &amp; aws s3 cp s3://rtdc.mdm.uploadarchive.raw/RTDC4046/ "%USERPROFILE%\AppData\Local\Temp\OnboardLogs"\RTDC4046\2017-10-30 --exclude "*" --recursive --include "*20171030*" &amp; "%USERPROFILE%\Documents\GitHub\mrs-test-scripts\Headless Mode &amp; Sideloading\WalkAndUnGZ.bat" "%USERPROFILE%\AppData\Local\Temp\OnboardLogs"\RTDC4046\2017-10-30</v>
      </c>
      <c r="AF51" s="221" t="str">
        <f t="shared" si="12"/>
        <v>"C:\Program Files (x86)\AstroGrep\AstroGrep.exe" /e /r /s /spath="%USERPROFILE%\AppData\Local\Temp\OnboardLogs" /stypes="app*4046*20171029*" /stext=" 15:.+((SYSTEM_STATE.+slice.+state.+changed )|(ment ac)|(multiple cpu faults)|(system.+state.+changed )|(\[timeout)|(PRM\|1\|D)|(kpr)|(kdp)|(train st.+moving)|(\|lc)|(penalty))"</v>
      </c>
      <c r="AG51" s="185" t="str">
        <f t="shared" si="13"/>
        <v>EC</v>
      </c>
      <c r="AH51" s="222" t="str">
        <f t="shared" si="19"/>
        <v>"%USERPROFILE%\Documents\GitHub\eaglep3\Utilities\RefineRTDCRunTimes.py" --tripid 139-29 --locoid 4046 --swversion DE.1.0.9.0 --startMP 204:462 --initTime 2017-10-29T08:26:03 --startdatetime 2017-10-29T08:30:33 --delay 74 --endMP 204:233280 --enddatetime 2017-10-29T09:06:29 --enforcementcount 0 &gt;&gt;%USERPROFILE%\Documents\GitHub\eaglep3-reporting\EC\2017-10-29-refined-times.txt</v>
      </c>
      <c r="AI51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{"issue":{"subject":"","project_id":79,"tracker_id":40,"status_id":1,"priority_id":2,"assigned_to_id":338,"start_date":"2017-10-29","description":"","custom_fields":[{"id":1,"name":"Subdivision","value":"EC"},{"id":4,"name":"Milepost","value":"23.328"},{"id":17,"name":"Train ID","value":"139-29"},{"id":16,"name":"Locomotive ID","value":"4046"},{"id":130,"name":"Impact","value":""},{"id":150,"name":"Time of Event (Mountain Time)","value":"09:06:29"},{"id":151,"name":"Denver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182"/>
      <c r="AK51" s="186"/>
      <c r="AL51" s="186"/>
      <c r="AM51" s="187" t="str">
        <f t="shared" si="21"/>
        <v>start /low /b %USERPROFILE%\Documents\GitHub\eaglep3\Utilities\DownloadLogsFromS3.py --loco 4046 --day 2017-10-29</v>
      </c>
      <c r="AN51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15:06:29"},{"id":29,"name":"Sharepoint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82" t="str">
        <f t="shared" si="23"/>
        <v>https://d0f6bd738d7f1b3e5a7ca70fe4ff75f0.us-east-1.aws.found.io/app/kibana#/discover/Steve-Slow-Train-Analysis-(2080s-and-2083s)?_g=(refreshInterval:(display:Off,pause:!f,section:0,value:0),time:(from:'2017-10-29T07:26:03-0600',mode:absolute,to:'2017-10-29T10:06:29-0600'))&amp;_a=(columns:!('Message%20ID',Summary),filters:!(),index:'emp_*',interval:auto,query:(query_string:(analyze_wildcard:!t,query:'%22rtdc.l.rtdc.4046%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32" t="s">
        <v>633</v>
      </c>
      <c r="B52" s="7">
        <v>4045</v>
      </c>
      <c r="C52" s="21" t="s">
        <v>194</v>
      </c>
      <c r="D52" s="21" t="s">
        <v>907</v>
      </c>
      <c r="E52" s="13">
        <v>43037.391840277778</v>
      </c>
      <c r="F52" s="13">
        <v>43037.394016203703</v>
      </c>
      <c r="G52" s="7">
        <v>47</v>
      </c>
      <c r="H52" s="21" t="s">
        <v>563</v>
      </c>
      <c r="I52" s="13">
        <v>43037.427789351852</v>
      </c>
      <c r="J52" s="7">
        <v>0</v>
      </c>
      <c r="K52" s="76" t="str">
        <f t="shared" si="0"/>
        <v>4045/4046</v>
      </c>
      <c r="L52" s="164" t="str">
        <f>VLOOKUP(A52,'Trips&amp;Operators'!$C$1:$G$99911,5,FALSE)</f>
        <v>THOMPSON LESTER</v>
      </c>
      <c r="M52" s="6">
        <f t="shared" si="1"/>
        <v>3.3773148148611654E-2</v>
      </c>
      <c r="N52" s="7">
        <f t="shared" si="25"/>
        <v>48.633333334000781</v>
      </c>
      <c r="O52" s="7"/>
      <c r="P52" s="7"/>
      <c r="Q52" s="22"/>
      <c r="R52" s="157"/>
      <c r="S52" s="215">
        <f t="shared" si="26"/>
        <v>1</v>
      </c>
      <c r="T52" s="216" t="str">
        <f t="shared" si="4"/>
        <v>Southbound</v>
      </c>
      <c r="U52" s="216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7" t="str">
        <f t="shared" si="5"/>
        <v>https://d0f6bd738d7f1b3e5a7ca70fe4ff75f0.us-east-1.aws.found.io/app/kibana#/discover/Steve-Slow-Train-Analysis-(2080s-and-2083s)?_g=(refreshInterval:(display:Off,pause:!f,section:0,value:0),time:(from:'2017-10-29T08:24:15-0600',mode:absolute,to:'2017-10-29T11:16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2" s="218" t="str">
        <f>IF(AA52&lt;VLOOKUP(AG52,Variables!$AC$3:$AD$8,2,FALSE),"Y","N")</f>
        <v>N</v>
      </c>
      <c r="X52" s="218">
        <f t="shared" si="29"/>
        <v>1</v>
      </c>
      <c r="Y52" s="218">
        <f t="shared" si="27"/>
        <v>23.295999999999999</v>
      </c>
      <c r="Z52" s="218">
        <f t="shared" si="28"/>
        <v>1.5599999999999999E-2</v>
      </c>
      <c r="AA52" s="218">
        <f t="shared" si="9"/>
        <v>23.2804</v>
      </c>
      <c r="AB52" s="219" t="str">
        <f>VLOOKUP(A52,Enforcements!$C$7:$K$11,8,0)</f>
        <v>Speed (6)</v>
      </c>
      <c r="AC52" s="219" t="str">
        <f>VLOOKUP(A52,Enforcements!$C$7:$E$11,3,0)</f>
        <v>PERMANENT SPEED RESTRICTION</v>
      </c>
      <c r="AD52" s="186">
        <f t="shared" si="10"/>
        <v>140</v>
      </c>
      <c r="AE52" s="220" t="str">
        <f t="shared" si="11"/>
        <v>aws s3 cp s3://rtdc.mdm.uploadarchive.raw/RTDC4045/ "%USERPROFILE%\AppData\Local\Temp\OnboardLogs"\RTDC4045\2017-10-29 --exclude "*" --recursive --include "*20171029*" &amp; "%USERPROFILE%\Documents\GitHub\mrs-test-scripts\Headless Mode &amp; Sideloading\WalkAndUnGZ.bat" "%USERPROFILE%\AppData\Local\Temp\OnboardLogs"\RTDC4045\2017-10-29 &amp; aws s3 cp s3://rtdc.mdm.uploadarchive.raw/RTDC4045/ "%USERPROFILE%\AppData\Local\Temp\OnboardLogs"\RTDC4045\2017-10-30 --exclude "*" --recursive --include "*20171030*" &amp; "%USERPROFILE%\Documents\GitHub\mrs-test-scripts\Headless Mode &amp; Sideloading\WalkAndUnGZ.bat" "%USERPROFILE%\AppData\Local\Temp\OnboardLogs"\RTDC4045\2017-10-30</v>
      </c>
      <c r="AF52" s="221" t="str">
        <f t="shared" si="12"/>
        <v>"C:\Program Files (x86)\AstroGrep\AstroGrep.exe" /e /r /s /spath="%USERPROFILE%\AppData\Local\Temp\OnboardLogs" /stypes="app*4045*20171029*" /stext=" 16:.+((SYSTEM_STATE.+slice.+state.+changed )|(ment ac)|(multiple cpu faults)|(system.+state.+changed )|(\[timeout)|(PRM\|1\|D)|(kpr)|(kdp)|(train st.+moving)|(\|lc)|(penalty))"</v>
      </c>
      <c r="AG52" s="185" t="str">
        <f t="shared" si="13"/>
        <v>EC</v>
      </c>
      <c r="AH52" s="222" t="str">
        <f t="shared" si="19"/>
        <v>"%USERPROFILE%\Documents\GitHub\eaglep3\Utilities\RefineRTDCRunTimes.py" --tripid 140-29 --locoid 4045 --swversion DE.1.0.9.0 --startMP 204:232960 --initTime 2017-10-29T09:24:15 --startdatetime 2017-10-29T09:27:23 --delay 47 --endMP 204:156 --enddatetime 2017-10-29T10:16:01 --enforcementcount 0 &gt;&gt;%USERPROFILE%\Documents\GitHub\eaglep3-reporting\EC\2017-10-29-refined-times.txt</v>
      </c>
      <c r="AI52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{"issue":{"subject":"","project_id":79,"tracker_id":40,"status_id":1,"priority_id":2,"assigned_to_id":338,"start_date":"2017-10-29","description":"","custom_fields":[{"id":1,"name":"Subdivision","value":"EC"},{"id":4,"name":"Milepost","value":"0.0156"},{"id":17,"name":"Train ID","value":"140-29"},{"id":16,"name":"Locomotive ID","value":"4045"},{"id":130,"name":"Impact","value":""},{"id":150,"name":"Time of Event (Mountain Time)","value":"10:16:01"},{"id":151,"name":"Denver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182"/>
      <c r="AK52" s="186"/>
      <c r="AL52" s="186"/>
      <c r="AM52" s="187" t="str">
        <f t="shared" si="21"/>
        <v>start /low /b %USERPROFILE%\Documents\GitHub\eaglep3\Utilities\DownloadLogsFromS3.py --loco 4045 --day 2017-10-29</v>
      </c>
      <c r="AN52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16:16:01"},{"id":29,"name":"Sharepoint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82" t="str">
        <f t="shared" si="23"/>
        <v>https://d0f6bd738d7f1b3e5a7ca70fe4ff75f0.us-east-1.aws.found.io/app/kibana#/discover/Steve-Slow-Train-Analysis-(2080s-and-2083s)?_g=(refreshInterval:(display:Off,pause:!f,section:0,value:0),time:(from:'2017-10-29T08:24:15-0600',mode:absolute,to:'2017-10-29T11:16:01-0600'))&amp;_a=(columns:!('Message%20ID',Summary),filters:!(),index:'emp_*',interval:auto,query:(query_string:(analyze_wildcard:!t,query:'%22rtdc.l.rtdc.4045%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32" t="s">
        <v>727</v>
      </c>
      <c r="B53" s="7">
        <v>4008</v>
      </c>
      <c r="C53" s="21" t="s">
        <v>194</v>
      </c>
      <c r="D53" s="21" t="s">
        <v>908</v>
      </c>
      <c r="E53" s="13">
        <v>43037.360162037039</v>
      </c>
      <c r="F53" s="13">
        <v>43037.364791666667</v>
      </c>
      <c r="G53" s="7">
        <v>79</v>
      </c>
      <c r="H53" s="21" t="s">
        <v>909</v>
      </c>
      <c r="I53" s="13">
        <v>43037.389675925922</v>
      </c>
      <c r="J53" s="7">
        <v>0</v>
      </c>
      <c r="K53" s="76" t="str">
        <f t="shared" si="0"/>
        <v>4007/4008</v>
      </c>
      <c r="L53" s="164" t="str">
        <f>VLOOKUP(A53,'Trips&amp;Operators'!$C$1:$G$99911,5,FALSE)</f>
        <v>WILLIAMS DONTE</v>
      </c>
      <c r="M53" s="6">
        <f t="shared" si="1"/>
        <v>2.488425925548654E-2</v>
      </c>
      <c r="N53" s="7">
        <f t="shared" si="25"/>
        <v>35.833333327900618</v>
      </c>
      <c r="O53" s="7"/>
      <c r="P53" s="7"/>
      <c r="Q53" s="22"/>
      <c r="R53" s="157"/>
      <c r="S53" s="215">
        <f t="shared" si="26"/>
        <v>1</v>
      </c>
      <c r="T53" s="216" t="str">
        <f t="shared" si="4"/>
        <v>NorthBound</v>
      </c>
      <c r="U53" s="216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7" t="str">
        <f t="shared" si="5"/>
        <v>https://d0f6bd738d7f1b3e5a7ca70fe4ff75f0.us-east-1.aws.found.io/app/kibana#/discover/Steve-Slow-Train-Analysis-(2080s-and-2083s)?_g=(refreshInterval:(display:Off,pause:!f,section:0,value:0),time:(from:'2017-10-29T07:38:38-0600',mode:absolute,to:'2017-10-29T10:21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53" s="218" t="str">
        <f>IF(AA53&lt;VLOOKUP(AG53,Variables!$AC$3:$AD$8,2,FALSE),"Y","N")</f>
        <v>N</v>
      </c>
      <c r="X53" s="218">
        <f t="shared" si="29"/>
        <v>1</v>
      </c>
      <c r="Y53" s="218">
        <f t="shared" si="27"/>
        <v>5.2200000000000003E-2</v>
      </c>
      <c r="Z53" s="218">
        <f t="shared" si="28"/>
        <v>23.327000000000002</v>
      </c>
      <c r="AA53" s="218">
        <f t="shared" si="9"/>
        <v>23.274800000000003</v>
      </c>
      <c r="AB53" s="219" t="e">
        <f>VLOOKUP(A53,Enforcements!$C$7:$K$11,8,0)</f>
        <v>#N/A</v>
      </c>
      <c r="AC53" s="219" t="e">
        <f>VLOOKUP(A53,Enforcements!$C$7:$E$11,3,0)</f>
        <v>#N/A</v>
      </c>
      <c r="AD53" s="186">
        <f t="shared" si="10"/>
        <v>141</v>
      </c>
      <c r="AE53" s="220" t="str">
        <f t="shared" si="11"/>
        <v>aws s3 cp s3://rtdc.mdm.uploadarchive.raw/RTDC4008/ "%USERPROFILE%\AppData\Local\Temp\OnboardLogs"\RTDC4008\2017-10-29 --exclude "*" --recursive --include "*20171029*" &amp; "%USERPROFILE%\Documents\GitHub\mrs-test-scripts\Headless Mode &amp; Sideloading\WalkAndUnGZ.bat" "%USERPROFILE%\AppData\Local\Temp\OnboardLogs"\RTDC4008\2017-10-29 &amp; aws s3 cp s3://rtdc.mdm.uploadarchive.raw/RTDC4008/ "%USERPROFILE%\AppData\Local\Temp\OnboardLogs"\RTDC4008\2017-10-30 --exclude "*" --recursive --include "*20171030*" &amp; "%USERPROFILE%\Documents\GitHub\mrs-test-scripts\Headless Mode &amp; Sideloading\WalkAndUnGZ.bat" "%USERPROFILE%\AppData\Local\Temp\OnboardLogs"\RTDC4008\2017-10-30</v>
      </c>
      <c r="AF53" s="221" t="str">
        <f t="shared" si="12"/>
        <v>"C:\Program Files (x86)\AstroGrep\AstroGrep.exe" /e /r /s /spath="%USERPROFILE%\AppData\Local\Temp\OnboardLogs" /stypes="app*4008*20171029*" /stext=" 15:.+((SYSTEM_STATE.+slice.+state.+changed )|(ment ac)|(multiple cpu faults)|(system.+state.+changed )|(\[timeout)|(PRM\|1\|D)|(kpr)|(kdp)|(train st.+moving)|(\|lc)|(penalty))"</v>
      </c>
      <c r="AG53" s="185" t="str">
        <f t="shared" si="13"/>
        <v>EC</v>
      </c>
      <c r="AH53" s="222" t="str">
        <f t="shared" si="19"/>
        <v>"%USERPROFILE%\Documents\GitHub\eaglep3\Utilities\RefineRTDCRunTimes.py" --tripid 141-29 --locoid 4008 --swversion DE.1.0.9.0 --startMP 204:522 --initTime 2017-10-29T08:38:38 --startdatetime 2017-10-29T08:45:18 --delay 79 --endMP 204:233270 --enddatetime 2017-10-29T09:21:08 --enforcementcount 0 &gt;&gt;%USERPROFILE%\Documents\GitHub\eaglep3-reporting\EC\2017-10-29-refined-times.txt</v>
      </c>
      <c r="AI53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{"issue":{"subject":"","project_id":79,"tracker_id":40,"status_id":1,"priority_id":2,"assigned_to_id":338,"start_date":"2017-10-29","description":"","custom_fields":[{"id":1,"name":"Subdivision","value":"EC"},{"id":4,"name":"Milepost","value":"23.327"},{"id":17,"name":"Train ID","value":"141-29"},{"id":16,"name":"Locomotive ID","value":"4008"},{"id":130,"name":"Impact","value":""},{"id":150,"name":"Time of Event (Mountain Time)","value":"09:21:08"},{"id":151,"name":"Denver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182"/>
      <c r="AK53" s="186"/>
      <c r="AL53" s="186"/>
      <c r="AM53" s="187" t="str">
        <f t="shared" si="21"/>
        <v>start /low /b %USERPROFILE%\Documents\GitHub\eaglep3\Utilities\DownloadLogsFromS3.py --loco 4008 --day 2017-10-29</v>
      </c>
      <c r="AN53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15:21:08"},{"id":29,"name":"Sharepoint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82" t="str">
        <f t="shared" si="23"/>
        <v>https://d0f6bd738d7f1b3e5a7ca70fe4ff75f0.us-east-1.aws.found.io/app/kibana#/discover/Steve-Slow-Train-Analysis-(2080s-and-2083s)?_g=(refreshInterval:(display:Off,pause:!f,section:0,value:0),time:(from:'2017-10-29T07:38:38-0600',mode:absolute,to:'2017-10-29T10:21:08-0600'))&amp;_a=(columns:!('Message%20ID',Summary),filters:!(),index:'emp_*',interval:auto,query:(query_string:(analyze_wildcard:!t,query:'%22rtdc.l.rtdc.4008%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32" t="s">
        <v>735</v>
      </c>
      <c r="B54" s="7">
        <v>4007</v>
      </c>
      <c r="C54" s="21" t="s">
        <v>194</v>
      </c>
      <c r="D54" s="21" t="s">
        <v>894</v>
      </c>
      <c r="E54" s="13">
        <v>43037.398541666669</v>
      </c>
      <c r="F54" s="13">
        <v>43037.404386574075</v>
      </c>
      <c r="G54" s="7">
        <v>78</v>
      </c>
      <c r="H54" s="21" t="s">
        <v>597</v>
      </c>
      <c r="I54" s="13">
        <v>43037.433136574073</v>
      </c>
      <c r="J54" s="7">
        <v>0</v>
      </c>
      <c r="K54" s="76" t="str">
        <f t="shared" si="0"/>
        <v>4007/4008</v>
      </c>
      <c r="L54" s="164" t="str">
        <f>VLOOKUP(A54,'Trips&amp;Operators'!$C$1:$G$99911,5,FALSE)</f>
        <v>WILLIAMS DONTE</v>
      </c>
      <c r="M54" s="6">
        <f t="shared" si="1"/>
        <v>2.8749999997671694E-2</v>
      </c>
      <c r="N54" s="7">
        <f t="shared" si="25"/>
        <v>41.399999996647239</v>
      </c>
      <c r="O54" s="7"/>
      <c r="P54" s="7"/>
      <c r="Q54" s="22"/>
      <c r="R54" s="157"/>
      <c r="S54" s="215">
        <f t="shared" si="26"/>
        <v>1</v>
      </c>
      <c r="T54" s="216" t="str">
        <f t="shared" si="4"/>
        <v>Southbound</v>
      </c>
      <c r="U54" s="216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7" t="str">
        <f t="shared" si="5"/>
        <v>https://d0f6bd738d7f1b3e5a7ca70fe4ff75f0.us-east-1.aws.found.io/app/kibana#/discover/Steve-Slow-Train-Analysis-(2080s-and-2083s)?_g=(refreshInterval:(display:Off,pause:!f,section:0,value:0),time:(from:'2017-10-29T08:33:54-0600',mode:absolute,to:'2017-10-29T11:23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54" s="218" t="str">
        <f>IF(AA54&lt;VLOOKUP(AG54,Variables!$AC$3:$AD$8,2,FALSE),"Y","N")</f>
        <v>N</v>
      </c>
      <c r="X54" s="218">
        <f t="shared" si="29"/>
        <v>1</v>
      </c>
      <c r="Y54" s="218">
        <f t="shared" si="27"/>
        <v>23.2944</v>
      </c>
      <c r="Z54" s="218">
        <f t="shared" si="28"/>
        <v>1.9800000000000002E-2</v>
      </c>
      <c r="AA54" s="218">
        <f t="shared" si="9"/>
        <v>23.2746</v>
      </c>
      <c r="AB54" s="219" t="e">
        <f>VLOOKUP(A54,Enforcements!$C$7:$K$11,8,0)</f>
        <v>#N/A</v>
      </c>
      <c r="AC54" s="219" t="e">
        <f>VLOOKUP(A54,Enforcements!$C$7:$E$11,3,0)</f>
        <v>#N/A</v>
      </c>
      <c r="AD54" s="186">
        <f t="shared" si="10"/>
        <v>142</v>
      </c>
      <c r="AE54" s="220" t="str">
        <f t="shared" si="11"/>
        <v>aws s3 cp s3://rtdc.mdm.uploadarchive.raw/RTDC4007/ "%USERPROFILE%\AppData\Local\Temp\OnboardLogs"\RTDC4007\2017-10-29 --exclude "*" --recursive --include "*20171029*" &amp; "%USERPROFILE%\Documents\GitHub\mrs-test-scripts\Headless Mode &amp; Sideloading\WalkAndUnGZ.bat" "%USERPROFILE%\AppData\Local\Temp\OnboardLogs"\RTDC4007\2017-10-29 &amp; aws s3 cp s3://rtdc.mdm.uploadarchive.raw/RTDC4007/ "%USERPROFILE%\AppData\Local\Temp\OnboardLogs"\RTDC4007\2017-10-30 --exclude "*" --recursive --include "*20171030*" &amp; "%USERPROFILE%\Documents\GitHub\mrs-test-scripts\Headless Mode &amp; Sideloading\WalkAndUnGZ.bat" "%USERPROFILE%\AppData\Local\Temp\OnboardLogs"\RTDC4007\2017-10-30</v>
      </c>
      <c r="AF54" s="221" t="str">
        <f t="shared" si="12"/>
        <v>"C:\Program Files (x86)\AstroGrep\AstroGrep.exe" /e /r /s /spath="%USERPROFILE%\AppData\Local\Temp\OnboardLogs" /stypes="app*4007*20171029*" /stext=" 16:.+((SYSTEM_STATE.+slice.+state.+changed )|(ment ac)|(multiple cpu faults)|(system.+state.+changed )|(\[timeout)|(PRM\|1\|D)|(kpr)|(kdp)|(train st.+moving)|(\|lc)|(penalty))"</v>
      </c>
      <c r="AG54" s="185" t="str">
        <f t="shared" si="13"/>
        <v>EC</v>
      </c>
      <c r="AH54" s="222" t="str">
        <f t="shared" si="19"/>
        <v>"%USERPROFILE%\Documents\GitHub\eaglep3\Utilities\RefineRTDCRunTimes.py" --tripid 142-29 --locoid 4007 --swversion DE.1.0.9.0 --startMP 204:232944 --initTime 2017-10-29T09:33:54 --startdatetime 2017-10-29T09:42:19 --delay 78 --endMP 204:198 --enddatetime 2017-10-29T10:23:43 --enforcementcount 0 &gt;&gt;%USERPROFILE%\Documents\GitHub\eaglep3-reporting\EC\2017-10-29-refined-times.txt</v>
      </c>
      <c r="AI54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{"issue":{"subject":"","project_id":79,"tracker_id":40,"status_id":1,"priority_id":2,"assigned_to_id":338,"start_date":"2017-10-29","description":"","custom_fields":[{"id":1,"name":"Subdivision","value":"EC"},{"id":4,"name":"Milepost","value":"0.0198"},{"id":17,"name":"Train ID","value":"142-29"},{"id":16,"name":"Locomotive ID","value":"4007"},{"id":130,"name":"Impact","value":""},{"id":150,"name":"Time of Event (Mountain Time)","value":"10:23:43"},{"id":151,"name":"Denver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182"/>
      <c r="AK54" s="186"/>
      <c r="AL54" s="186"/>
      <c r="AM54" s="187" t="str">
        <f t="shared" si="21"/>
        <v>start /low /b %USERPROFILE%\Documents\GitHub\eaglep3\Utilities\DownloadLogsFromS3.py --loco 4007 --day 2017-10-29</v>
      </c>
      <c r="AN54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16:23:43"},{"id":29,"name":"Sharepoint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82" t="str">
        <f t="shared" si="23"/>
        <v>https://d0f6bd738d7f1b3e5a7ca70fe4ff75f0.us-east-1.aws.found.io/app/kibana#/discover/Steve-Slow-Train-Analysis-(2080s-and-2083s)?_g=(refreshInterval:(display:Off,pause:!f,section:0,value:0),time:(from:'2017-10-29T08:33:54-0600',mode:absolute,to:'2017-10-29T11:23:43-0600'))&amp;_a=(columns:!('Message%20ID',Summary),filters:!(),index:'emp_*',interval:auto,query:(query_string:(analyze_wildcard:!t,query:'%22rtdc.l.rtdc.4007%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32" t="s">
        <v>730</v>
      </c>
      <c r="B55" s="7">
        <v>4018</v>
      </c>
      <c r="C55" s="21" t="s">
        <v>194</v>
      </c>
      <c r="D55" s="21" t="s">
        <v>874</v>
      </c>
      <c r="E55" s="13">
        <v>43037.36996527778</v>
      </c>
      <c r="F55" s="13">
        <v>43037.375150462962</v>
      </c>
      <c r="G55" s="7">
        <v>53</v>
      </c>
      <c r="H55" s="21" t="s">
        <v>910</v>
      </c>
      <c r="I55" s="13">
        <v>43037.399895833332</v>
      </c>
      <c r="J55" s="7">
        <v>0</v>
      </c>
      <c r="K55" s="76" t="str">
        <f t="shared" si="0"/>
        <v>4017/4018</v>
      </c>
      <c r="L55" s="164" t="str">
        <f>VLOOKUP(A55,'Trips&amp;Operators'!$C$1:$G$99911,5,FALSE)</f>
        <v>MAELZER KURT</v>
      </c>
      <c r="M55" s="6">
        <f t="shared" si="1"/>
        <v>2.47453703705105E-2</v>
      </c>
      <c r="N55" s="7">
        <f t="shared" si="25"/>
        <v>35.63333333353512</v>
      </c>
      <c r="O55" s="7"/>
      <c r="P55" s="7"/>
      <c r="Q55" s="22"/>
      <c r="R55" s="157"/>
      <c r="S55" s="215">
        <f t="shared" si="26"/>
        <v>1</v>
      </c>
      <c r="T55" s="216" t="str">
        <f t="shared" si="4"/>
        <v>NorthBound</v>
      </c>
      <c r="U55" s="216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7" t="str">
        <f t="shared" si="5"/>
        <v>https://d0f6bd738d7f1b3e5a7ca70fe4ff75f0.us-east-1.aws.found.io/app/kibana#/discover/Steve-Slow-Train-Analysis-(2080s-and-2083s)?_g=(refreshInterval:(display:Off,pause:!f,section:0,value:0),time:(from:'2017-10-29T07:52:45-0600',mode:absolute,to:'2017-10-29T10:35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5" s="218" t="str">
        <f>IF(AA55&lt;VLOOKUP(AG55,Variables!$AC$3:$AD$8,2,FALSE),"Y","N")</f>
        <v>N</v>
      </c>
      <c r="X55" s="218">
        <f t="shared" si="29"/>
        <v>1</v>
      </c>
      <c r="Y55" s="218">
        <f t="shared" si="27"/>
        <v>4.6699999999999998E-2</v>
      </c>
      <c r="Z55" s="218">
        <f t="shared" si="28"/>
        <v>23.331499999999998</v>
      </c>
      <c r="AA55" s="218">
        <f t="shared" si="9"/>
        <v>23.284799999999997</v>
      </c>
      <c r="AB55" s="219" t="e">
        <f>VLOOKUP(A55,Enforcements!$C$7:$K$11,8,0)</f>
        <v>#N/A</v>
      </c>
      <c r="AC55" s="219" t="e">
        <f>VLOOKUP(A55,Enforcements!$C$7:$E$11,3,0)</f>
        <v>#N/A</v>
      </c>
      <c r="AD55" s="186">
        <f t="shared" si="10"/>
        <v>143</v>
      </c>
      <c r="AE55" s="220" t="str">
        <f t="shared" si="11"/>
        <v>aws s3 cp s3://rtdc.mdm.uploadarchive.raw/RTDC4018/ "%USERPROFILE%\AppData\Local\Temp\OnboardLogs"\RTDC4018\2017-10-29 --exclude "*" --recursive --include "*20171029*" &amp; "%USERPROFILE%\Documents\GitHub\mrs-test-scripts\Headless Mode &amp; Sideloading\WalkAndUnGZ.bat" "%USERPROFILE%\AppData\Local\Temp\OnboardLogs"\RTDC4018\2017-10-29 &amp; aws s3 cp s3://rtdc.mdm.uploadarchive.raw/RTDC4018/ "%USERPROFILE%\AppData\Local\Temp\OnboardLogs"\RTDC4018\2017-10-30 --exclude "*" --recursive --include "*20171030*" &amp; "%USERPROFILE%\Documents\GitHub\mrs-test-scripts\Headless Mode &amp; Sideloading\WalkAndUnGZ.bat" "%USERPROFILE%\AppData\Local\Temp\OnboardLogs"\RTDC4018\2017-10-30</v>
      </c>
      <c r="AF55" s="221" t="str">
        <f t="shared" si="12"/>
        <v>"C:\Program Files (x86)\AstroGrep\AstroGrep.exe" /e /r /s /spath="%USERPROFILE%\AppData\Local\Temp\OnboardLogs" /stypes="app*4018*20171029*" /stext=" 15:.+((SYSTEM_STATE.+slice.+state.+changed )|(ment ac)|(multiple cpu faults)|(system.+state.+changed )|(\[timeout)|(PRM\|1\|D)|(kpr)|(kdp)|(train st.+moving)|(\|lc)|(penalty))"</v>
      </c>
      <c r="AG55" s="185" t="str">
        <f t="shared" si="13"/>
        <v>EC</v>
      </c>
      <c r="AH55" s="222" t="str">
        <f t="shared" si="19"/>
        <v>"%USERPROFILE%\Documents\GitHub\eaglep3\Utilities\RefineRTDCRunTimes.py" --tripid 143-29 --locoid 4018 --swversion DE.1.0.9.0 --startMP 204:467 --initTime 2017-10-29T08:52:45 --startdatetime 2017-10-29T09:00:13 --delay 53 --endMP 204:233315 --enddatetime 2017-10-29T09:35:51 --enforcementcount 0 &gt;&gt;%USERPROFILE%\Documents\GitHub\eaglep3-reporting\EC\2017-10-29-refined-times.txt</v>
      </c>
      <c r="AI55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{"issue":{"subject":"","project_id":79,"tracker_id":40,"status_id":1,"priority_id":2,"assigned_to_id":338,"start_date":"2017-10-29","description":"","custom_fields":[{"id":1,"name":"Subdivision","value":"EC"},{"id":4,"name":"Milepost","value":"23.3315"},{"id":17,"name":"Train ID","value":"143-29"},{"id":16,"name":"Locomotive ID","value":"4018"},{"id":130,"name":"Impact","value":""},{"id":150,"name":"Time of Event (Mountain Time)","value":"09:35:51"},{"id":151,"name":"Denver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182"/>
      <c r="AK55" s="186"/>
      <c r="AL55" s="186"/>
      <c r="AM55" s="187" t="str">
        <f t="shared" si="21"/>
        <v>start /low /b %USERPROFILE%\Documents\GitHub\eaglep3\Utilities\DownloadLogsFromS3.py --loco 4018 --day 2017-10-29</v>
      </c>
      <c r="AN55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15:35:51"},{"id":29,"name":"Sharepoint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82" t="str">
        <f t="shared" si="23"/>
        <v>https://d0f6bd738d7f1b3e5a7ca70fe4ff75f0.us-east-1.aws.found.io/app/kibana#/discover/Steve-Slow-Train-Analysis-(2080s-and-2083s)?_g=(refreshInterval:(display:Off,pause:!f,section:0,value:0),time:(from:'2017-10-29T07:52:45-0600',mode:absolute,to:'2017-10-29T10:35:51-0600'))&amp;_a=(columns:!('Message%20ID',Summary),filters:!(),index:'emp_*',interval:auto,query:(query_string:(analyze_wildcard:!t,query:'%22rtdc.l.rtdc.4018%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32" t="s">
        <v>737</v>
      </c>
      <c r="B56" s="7">
        <v>4017</v>
      </c>
      <c r="C56" s="21" t="s">
        <v>194</v>
      </c>
      <c r="D56" s="21" t="s">
        <v>911</v>
      </c>
      <c r="E56" s="13">
        <v>43037.406064814815</v>
      </c>
      <c r="F56" s="13">
        <v>43037.414814814816</v>
      </c>
      <c r="G56" s="7">
        <v>47</v>
      </c>
      <c r="H56" s="21" t="s">
        <v>349</v>
      </c>
      <c r="I56" s="13">
        <v>43037.441400462965</v>
      </c>
      <c r="J56" s="7">
        <v>0</v>
      </c>
      <c r="K56" s="76" t="str">
        <f t="shared" si="0"/>
        <v>4017/4018</v>
      </c>
      <c r="L56" s="164" t="str">
        <f>VLOOKUP(A56,'Trips&amp;Operators'!$C$1:$G$99911,5,FALSE)</f>
        <v>MAELZER KURT</v>
      </c>
      <c r="M56" s="6">
        <f t="shared" si="1"/>
        <v>2.658564814919373E-2</v>
      </c>
      <c r="N56" s="7">
        <f t="shared" si="25"/>
        <v>38.283333334838971</v>
      </c>
      <c r="O56" s="7"/>
      <c r="P56" s="7"/>
      <c r="Q56" s="22"/>
      <c r="R56" s="157"/>
      <c r="S56" s="215">
        <f t="shared" si="26"/>
        <v>1</v>
      </c>
      <c r="T56" s="216" t="str">
        <f t="shared" si="4"/>
        <v>Southbound</v>
      </c>
      <c r="U56" s="216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7" t="str">
        <f t="shared" si="5"/>
        <v>https://d0f6bd738d7f1b3e5a7ca70fe4ff75f0.us-east-1.aws.found.io/app/kibana#/discover/Steve-Slow-Train-Analysis-(2080s-and-2083s)?_g=(refreshInterval:(display:Off,pause:!f,section:0,value:0),time:(from:'2017-10-29T08:44:44-0600',mode:absolute,to:'2017-10-29T11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6" s="218" t="str">
        <f>IF(AA56&lt;VLOOKUP(AG56,Variables!$AC$3:$AD$8,2,FALSE),"Y","N")</f>
        <v>N</v>
      </c>
      <c r="X56" s="218">
        <f t="shared" si="29"/>
        <v>1</v>
      </c>
      <c r="Y56" s="218">
        <f t="shared" si="27"/>
        <v>23.299299999999999</v>
      </c>
      <c r="Z56" s="218">
        <f t="shared" si="28"/>
        <v>1.52E-2</v>
      </c>
      <c r="AA56" s="218">
        <f t="shared" si="9"/>
        <v>23.284099999999999</v>
      </c>
      <c r="AB56" s="219" t="e">
        <f>VLOOKUP(A56,Enforcements!$C$7:$K$11,8,0)</f>
        <v>#N/A</v>
      </c>
      <c r="AC56" s="219" t="e">
        <f>VLOOKUP(A56,Enforcements!$C$7:$E$11,3,0)</f>
        <v>#N/A</v>
      </c>
      <c r="AD56" s="186">
        <f t="shared" si="10"/>
        <v>144</v>
      </c>
      <c r="AE56" s="220" t="str">
        <f t="shared" si="11"/>
        <v>aws s3 cp s3://rtdc.mdm.uploadarchive.raw/RTDC4017/ "%USERPROFILE%\AppData\Local\Temp\OnboardLogs"\RTDC4017\2017-10-29 --exclude "*" --recursive --include "*20171029*" &amp; "%USERPROFILE%\Documents\GitHub\mrs-test-scripts\Headless Mode &amp; Sideloading\WalkAndUnGZ.bat" "%USERPROFILE%\AppData\Local\Temp\OnboardLogs"\RTDC4017\2017-10-29 &amp; aws s3 cp s3://rtdc.mdm.uploadarchive.raw/RTDC4017/ "%USERPROFILE%\AppData\Local\Temp\OnboardLogs"\RTDC4017\2017-10-30 --exclude "*" --recursive --include "*20171030*" &amp; "%USERPROFILE%\Documents\GitHub\mrs-test-scripts\Headless Mode &amp; Sideloading\WalkAndUnGZ.bat" "%USERPROFILE%\AppData\Local\Temp\OnboardLogs"\RTDC4017\2017-10-30</v>
      </c>
      <c r="AF56" s="221" t="str">
        <f t="shared" si="12"/>
        <v>"C:\Program Files (x86)\AstroGrep\AstroGrep.exe" /e /r /s /spath="%USERPROFILE%\AppData\Local\Temp\OnboardLogs" /stypes="app*4017*20171029*" /stext=" 16:.+((SYSTEM_STATE.+slice.+state.+changed )|(ment ac)|(multiple cpu faults)|(system.+state.+changed )|(\[timeout)|(PRM\|1\|D)|(kpr)|(kdp)|(train st.+moving)|(\|lc)|(penalty))"</v>
      </c>
      <c r="AG56" s="185" t="str">
        <f t="shared" si="13"/>
        <v>EC</v>
      </c>
      <c r="AH56" s="222" t="str">
        <f t="shared" si="19"/>
        <v>"%USERPROFILE%\Documents\GitHub\eaglep3\Utilities\RefineRTDCRunTimes.py" --tripid 144-29 --locoid 4017 --swversion DE.1.0.9.0 --startMP 204:232993 --initTime 2017-10-29T09:44:44 --startdatetime 2017-10-29T09:57:20 --delay 47 --endMP 204:152 --enddatetime 2017-10-29T10:35:37 --enforcementcount 0 &gt;&gt;%USERPROFILE%\Documents\GitHub\eaglep3-reporting\EC\2017-10-29-refined-times.txt</v>
      </c>
      <c r="AI56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{"issue":{"subject":"","project_id":79,"tracker_id":40,"status_id":1,"priority_id":2,"assigned_to_id":338,"start_date":"2017-10-29","description":"","custom_fields":[{"id":1,"name":"Subdivision","value":"EC"},{"id":4,"name":"Milepost","value":"0.0152"},{"id":17,"name":"Train ID","value":"144-29"},{"id":16,"name":"Locomotive ID","value":"4017"},{"id":130,"name":"Impact","value":""},{"id":150,"name":"Time of Event (Mountain Time)","value":"10:35:37"},{"id":151,"name":"Denver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182"/>
      <c r="AK56" s="186"/>
      <c r="AL56" s="186"/>
      <c r="AM56" s="187" t="str">
        <f t="shared" si="21"/>
        <v>start /low /b %USERPROFILE%\Documents\GitHub\eaglep3\Utilities\DownloadLogsFromS3.py --loco 4017 --day 2017-10-29</v>
      </c>
      <c r="AN56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16:35:37"},{"id":29,"name":"Sharepoint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82" t="str">
        <f t="shared" si="23"/>
        <v>https://d0f6bd738d7f1b3e5a7ca70fe4ff75f0.us-east-1.aws.found.io/app/kibana#/discover/Steve-Slow-Train-Analysis-(2080s-and-2083s)?_g=(refreshInterval:(display:Off,pause:!f,section:0,value:0),time:(from:'2017-10-29T08:44:44-0600',mode:absolute,to:'2017-10-29T11:35:37-0600'))&amp;_a=(columns:!('Message%20ID',Summary),filters:!(),index:'emp_*',interval:auto,query:(query_string:(analyze_wildcard:!t,query:'%22rtdc.l.rtdc.4017%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32" t="s">
        <v>732</v>
      </c>
      <c r="B57" s="7">
        <v>4026</v>
      </c>
      <c r="C57" s="21" t="s">
        <v>194</v>
      </c>
      <c r="D57" s="21" t="s">
        <v>883</v>
      </c>
      <c r="E57" s="13">
        <v>43037.380671296298</v>
      </c>
      <c r="F57" s="13">
        <v>43037.38559027778</v>
      </c>
      <c r="G57" s="7">
        <v>76</v>
      </c>
      <c r="H57" s="21" t="s">
        <v>594</v>
      </c>
      <c r="I57" s="13">
        <v>43037.40960648148</v>
      </c>
      <c r="J57" s="7">
        <v>0</v>
      </c>
      <c r="K57" s="76" t="str">
        <f t="shared" si="0"/>
        <v>4025/4026</v>
      </c>
      <c r="L57" s="164" t="str">
        <f>VLOOKUP(A57,'Trips&amp;Operators'!$C$1:$G$99911,5,FALSE)</f>
        <v>LAMAR NEKESHA</v>
      </c>
      <c r="M57" s="6">
        <f t="shared" si="1"/>
        <v>2.4016203700739425E-2</v>
      </c>
      <c r="N57" s="7">
        <f t="shared" si="25"/>
        <v>34.583333329064772</v>
      </c>
      <c r="O57" s="7"/>
      <c r="P57" s="7"/>
      <c r="Q57" s="22"/>
      <c r="R57" s="157"/>
      <c r="S57" s="215">
        <f t="shared" si="26"/>
        <v>1</v>
      </c>
      <c r="T57" s="216" t="str">
        <f t="shared" si="4"/>
        <v>NorthBound</v>
      </c>
      <c r="U57" s="216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7" t="str">
        <f t="shared" si="5"/>
        <v>https://d0f6bd738d7f1b3e5a7ca70fe4ff75f0.us-east-1.aws.found.io/app/kibana#/discover/Steve-Slow-Train-Analysis-(2080s-and-2083s)?_g=(refreshInterval:(display:Off,pause:!f,section:0,value:0),time:(from:'2017-10-29T08:08:10-0600',mode:absolute,to:'2017-10-29T10:49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7" s="218" t="str">
        <f>IF(AA57&lt;VLOOKUP(AG57,Variables!$AC$3:$AD$8,2,FALSE),"Y","N")</f>
        <v>N</v>
      </c>
      <c r="X57" s="218">
        <f t="shared" si="29"/>
        <v>1</v>
      </c>
      <c r="Y57" s="218">
        <f t="shared" si="27"/>
        <v>4.7500000000000001E-2</v>
      </c>
      <c r="Z57" s="218">
        <f t="shared" si="28"/>
        <v>23.331099999999999</v>
      </c>
      <c r="AA57" s="218">
        <f t="shared" si="9"/>
        <v>23.2836</v>
      </c>
      <c r="AB57" s="219" t="e">
        <f>VLOOKUP(A57,Enforcements!$C$7:$K$11,8,0)</f>
        <v>#N/A</v>
      </c>
      <c r="AC57" s="219" t="e">
        <f>VLOOKUP(A57,Enforcements!$C$7:$E$11,3,0)</f>
        <v>#N/A</v>
      </c>
      <c r="AD57" s="186">
        <f t="shared" si="10"/>
        <v>145</v>
      </c>
      <c r="AE57" s="220" t="str">
        <f t="shared" si="11"/>
        <v>aws s3 cp s3://rtdc.mdm.uploadarchive.raw/RTDC4026/ "%USERPROFILE%\AppData\Local\Temp\OnboardLogs"\RTDC4026\2017-10-29 --exclude "*" --recursive --include "*20171029*" &amp; "%USERPROFILE%\Documents\GitHub\mrs-test-scripts\Headless Mode &amp; Sideloading\WalkAndUnGZ.bat" "%USERPROFILE%\AppData\Local\Temp\OnboardLogs"\RTDC4026\2017-10-29 &amp; aws s3 cp s3://rtdc.mdm.uploadarchive.raw/RTDC4026/ "%USERPROFILE%\AppData\Local\Temp\OnboardLogs"\RTDC4026\2017-10-30 --exclude "*" --recursive --include "*20171030*" &amp; "%USERPROFILE%\Documents\GitHub\mrs-test-scripts\Headless Mode &amp; Sideloading\WalkAndUnGZ.bat" "%USERPROFILE%\AppData\Local\Temp\OnboardLogs"\RTDC4026\2017-10-30</v>
      </c>
      <c r="AF57" s="221" t="str">
        <f t="shared" si="12"/>
        <v>"C:\Program Files (x86)\AstroGrep\AstroGrep.exe" /e /r /s /spath="%USERPROFILE%\AppData\Local\Temp\OnboardLogs" /stypes="app*4026*20171029*" /stext=" 15:.+((SYSTEM_STATE.+slice.+state.+changed )|(ment ac)|(multiple cpu faults)|(system.+state.+changed )|(\[timeout)|(PRM\|1\|D)|(kpr)|(kdp)|(train st.+moving)|(\|lc)|(penalty))"</v>
      </c>
      <c r="AG57" s="185" t="str">
        <f t="shared" si="13"/>
        <v>EC</v>
      </c>
      <c r="AH57" s="222" t="str">
        <f t="shared" si="19"/>
        <v>"%USERPROFILE%\Documents\GitHub\eaglep3\Utilities\RefineRTDCRunTimes.py" --tripid 145-29 --locoid 4026 --swversion DE.1.0.9.0 --startMP 204:475 --initTime 2017-10-29T09:08:10 --startdatetime 2017-10-29T09:15:15 --delay 76 --endMP 204:233311 --enddatetime 2017-10-29T09:49:50 --enforcementcount 0 &gt;&gt;%USERPROFILE%\Documents\GitHub\eaglep3-reporting\EC\2017-10-29-refined-times.txt</v>
      </c>
      <c r="AI57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{"issue":{"subject":"","project_id":79,"tracker_id":40,"status_id":1,"priority_id":2,"assigned_to_id":338,"start_date":"2017-10-29","description":"","custom_fields":[{"id":1,"name":"Subdivision","value":"EC"},{"id":4,"name":"Milepost","value":"23.3311"},{"id":17,"name":"Train ID","value":"145-29"},{"id":16,"name":"Locomotive ID","value":"4026"},{"id":130,"name":"Impact","value":""},{"id":150,"name":"Time of Event (Mountain Time)","value":"09:49:50"},{"id":151,"name":"Denver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182"/>
      <c r="AK57" s="186"/>
      <c r="AL57" s="186"/>
      <c r="AM57" s="187" t="str">
        <f t="shared" si="21"/>
        <v>start /low /b %USERPROFILE%\Documents\GitHub\eaglep3\Utilities\DownloadLogsFromS3.py --loco 4026 --day 2017-10-29</v>
      </c>
      <c r="AN57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15:49:50"},{"id":29,"name":"Sharepoint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82" t="str">
        <f t="shared" si="23"/>
        <v>https://d0f6bd738d7f1b3e5a7ca70fe4ff75f0.us-east-1.aws.found.io/app/kibana#/discover/Steve-Slow-Train-Analysis-(2080s-and-2083s)?_g=(refreshInterval:(display:Off,pause:!f,section:0,value:0),time:(from:'2017-10-29T08:08:10-0600',mode:absolute,to:'2017-10-29T10:49:50-0600'))&amp;_a=(columns:!('Message%20ID',Summary),filters:!(),index:'emp_*',interval:auto,query:(query_string:(analyze_wildcard:!t,query:'%22rtdc.l.rtdc.4026%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32" t="s">
        <v>740</v>
      </c>
      <c r="B58" s="7">
        <v>4025</v>
      </c>
      <c r="C58" s="21" t="s">
        <v>194</v>
      </c>
      <c r="D58" s="21" t="s">
        <v>501</v>
      </c>
      <c r="E58" s="13">
        <v>43037.422731481478</v>
      </c>
      <c r="F58" s="13">
        <v>43037.425196759257</v>
      </c>
      <c r="G58" s="7">
        <v>51</v>
      </c>
      <c r="H58" s="21" t="s">
        <v>912</v>
      </c>
      <c r="I58" s="13">
        <v>43037.452638888892</v>
      </c>
      <c r="J58" s="7">
        <v>0</v>
      </c>
      <c r="K58" s="76" t="str">
        <f t="shared" si="0"/>
        <v>4025/4026</v>
      </c>
      <c r="L58" s="164" t="str">
        <f>VLOOKUP(A58,'Trips&amp;Operators'!$C$1:$G$99911,5,FALSE)</f>
        <v>LAMAR NEKESHA</v>
      </c>
      <c r="M58" s="6">
        <f t="shared" si="1"/>
        <v>2.7442129634437151E-2</v>
      </c>
      <c r="N58" s="7">
        <f t="shared" si="25"/>
        <v>39.516666673589498</v>
      </c>
      <c r="O58" s="7"/>
      <c r="P58" s="7"/>
      <c r="Q58" s="22"/>
      <c r="R58" s="157"/>
      <c r="S58" s="215">
        <f t="shared" si="26"/>
        <v>1</v>
      </c>
      <c r="T58" s="216" t="str">
        <f t="shared" si="4"/>
        <v>Southbound</v>
      </c>
      <c r="U58" s="216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7" t="str">
        <f t="shared" si="5"/>
        <v>https://d0f6bd738d7f1b3e5a7ca70fe4ff75f0.us-east-1.aws.found.io/app/kibana#/discover/Steve-Slow-Train-Analysis-(2080s-and-2083s)?_g=(refreshInterval:(display:Off,pause:!f,section:0,value:0),time:(from:'2017-10-29T09:08:44-0600',mode:absolute,to:'2017-10-29T11:51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8" s="218" t="str">
        <f>IF(AA58&lt;VLOOKUP(AG58,Variables!$AC$3:$AD$8,2,FALSE),"Y","N")</f>
        <v>N</v>
      </c>
      <c r="X58" s="218">
        <f t="shared" si="29"/>
        <v>1</v>
      </c>
      <c r="Y58" s="218">
        <f t="shared" si="27"/>
        <v>23.2973</v>
      </c>
      <c r="Z58" s="218">
        <f t="shared" si="28"/>
        <v>1.67E-2</v>
      </c>
      <c r="AA58" s="218">
        <f t="shared" si="9"/>
        <v>23.2806</v>
      </c>
      <c r="AB58" s="219" t="e">
        <f>VLOOKUP(A58,Enforcements!$C$7:$K$11,8,0)</f>
        <v>#N/A</v>
      </c>
      <c r="AC58" s="219" t="e">
        <f>VLOOKUP(A58,Enforcements!$C$7:$E$11,3,0)</f>
        <v>#N/A</v>
      </c>
      <c r="AD58" s="186">
        <f t="shared" si="10"/>
        <v>146</v>
      </c>
      <c r="AE58" s="220" t="str">
        <f t="shared" si="11"/>
        <v>aws s3 cp s3://rtdc.mdm.uploadarchive.raw/RTDC4025/ "%USERPROFILE%\AppData\Local\Temp\OnboardLogs"\RTDC4025\2017-10-29 --exclude "*" --recursive --include "*20171029*" &amp; "%USERPROFILE%\Documents\GitHub\mrs-test-scripts\Headless Mode &amp; Sideloading\WalkAndUnGZ.bat" "%USERPROFILE%\AppData\Local\Temp\OnboardLogs"\RTDC4025\2017-10-29 &amp; aws s3 cp s3://rtdc.mdm.uploadarchive.raw/RTDC4025/ "%USERPROFILE%\AppData\Local\Temp\OnboardLogs"\RTDC4025\2017-10-30 --exclude "*" --recursive --include "*20171030*" &amp; "%USERPROFILE%\Documents\GitHub\mrs-test-scripts\Headless Mode &amp; Sideloading\WalkAndUnGZ.bat" "%USERPROFILE%\AppData\Local\Temp\OnboardLogs"\RTDC4025\2017-10-30</v>
      </c>
      <c r="AF58" s="221" t="str">
        <f t="shared" si="12"/>
        <v>"C:\Program Files (x86)\AstroGrep\AstroGrep.exe" /e /r /s /spath="%USERPROFILE%\AppData\Local\Temp\OnboardLogs" /stypes="app*4025*20171029*" /stext=" 16:.+((SYSTEM_STATE.+slice.+state.+changed )|(ment ac)|(multiple cpu faults)|(system.+state.+changed )|(\[timeout)|(PRM\|1\|D)|(kpr)|(kdp)|(train st.+moving)|(\|lc)|(penalty))"</v>
      </c>
      <c r="AG58" s="185" t="str">
        <f t="shared" si="13"/>
        <v>EC</v>
      </c>
      <c r="AH58" s="222" t="str">
        <f t="shared" si="19"/>
        <v>"%USERPROFILE%\Documents\GitHub\eaglep3\Utilities\RefineRTDCRunTimes.py" --tripid 146-29 --locoid 4025 --swversion DE.1.0.9.0 --startMP 204:232973 --initTime 2017-10-29T10:08:44 --startdatetime 2017-10-29T10:12:17 --delay 51 --endMP 204:167 --enddatetime 2017-10-29T10:51:48 --enforcementcount 0 &gt;&gt;%USERPROFILE%\Documents\GitHub\eaglep3-reporting\EC\2017-10-29-refined-times.txt</v>
      </c>
      <c r="AI58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{"issue":{"subject":"","project_id":79,"tracker_id":40,"status_id":1,"priority_id":2,"assigned_to_id":338,"start_date":"2017-10-29","description":"","custom_fields":[{"id":1,"name":"Subdivision","value":"EC"},{"id":4,"name":"Milepost","value":"0.0167"},{"id":17,"name":"Train ID","value":"146-29"},{"id":16,"name":"Locomotive ID","value":"4025"},{"id":130,"name":"Impact","value":""},{"id":150,"name":"Time of Event (Mountain Time)","value":"10:51:48"},{"id":151,"name":"Denver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182"/>
      <c r="AK58" s="186"/>
      <c r="AL58" s="186"/>
      <c r="AM58" s="187" t="str">
        <f t="shared" si="21"/>
        <v>start /low /b %USERPROFILE%\Documents\GitHub\eaglep3\Utilities\DownloadLogsFromS3.py --loco 4025 --day 2017-10-29</v>
      </c>
      <c r="AN58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16:51:48"},{"id":29,"name":"Sharepoint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82" t="str">
        <f t="shared" si="23"/>
        <v>https://d0f6bd738d7f1b3e5a7ca70fe4ff75f0.us-east-1.aws.found.io/app/kibana#/discover/Steve-Slow-Train-Analysis-(2080s-and-2083s)?_g=(refreshInterval:(display:Off,pause:!f,section:0,value:0),time:(from:'2017-10-29T09:08:44-0600',mode:absolute,to:'2017-10-29T11:51:48-0600'))&amp;_a=(columns:!('Message%20ID',Summary),filters:!(),index:'emp_*',interval:auto,query:(query_string:(analyze_wildcard:!t,query:'%22rtdc.l.rtdc.4025%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32" t="s">
        <v>733</v>
      </c>
      <c r="B59" s="7">
        <v>4060</v>
      </c>
      <c r="C59" s="21" t="s">
        <v>194</v>
      </c>
      <c r="D59" s="21" t="s">
        <v>913</v>
      </c>
      <c r="E59" s="13">
        <v>43037.390810185185</v>
      </c>
      <c r="F59" s="13">
        <v>43037.396018518521</v>
      </c>
      <c r="G59" s="7">
        <v>59</v>
      </c>
      <c r="H59" s="21" t="s">
        <v>914</v>
      </c>
      <c r="I59" s="13">
        <v>43037.421168981484</v>
      </c>
      <c r="J59" s="7">
        <v>0</v>
      </c>
      <c r="K59" s="76" t="str">
        <f t="shared" si="0"/>
        <v>4059/4060</v>
      </c>
      <c r="L59" s="164" t="str">
        <f>VLOOKUP(A59,'Trips&amp;Operators'!$C$1:$G$99911,5,FALSE)</f>
        <v>LANGERAK WILLIAM</v>
      </c>
      <c r="M59" s="6">
        <f t="shared" si="1"/>
        <v>2.5150462963210884E-2</v>
      </c>
      <c r="N59" s="7">
        <f t="shared" si="25"/>
        <v>36.216666667023674</v>
      </c>
      <c r="O59" s="7"/>
      <c r="P59" s="7"/>
      <c r="Q59" s="22"/>
      <c r="R59" s="157"/>
      <c r="S59" s="215">
        <f t="shared" si="26"/>
        <v>1</v>
      </c>
      <c r="T59" s="216" t="str">
        <f t="shared" si="4"/>
        <v>NorthBound</v>
      </c>
      <c r="U59" s="216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7" t="str">
        <f t="shared" si="5"/>
        <v>https://d0f6bd738d7f1b3e5a7ca70fe4ff75f0.us-east-1.aws.found.io/app/kibana#/discover/Steve-Slow-Train-Analysis-(2080s-and-2083s)?_g=(refreshInterval:(display:Off,pause:!f,section:0,value:0),time:(from:'2017-10-29T08:22:46-0600',mode:absolute,to:'2017-10-29T11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59" s="218" t="str">
        <f>IF(AA59&lt;VLOOKUP(AG59,Variables!$AC$3:$AD$8,2,FALSE),"Y","N")</f>
        <v>N</v>
      </c>
      <c r="X59" s="218">
        <f t="shared" si="29"/>
        <v>1</v>
      </c>
      <c r="Y59" s="218">
        <f t="shared" si="27"/>
        <v>4.5999999999999999E-2</v>
      </c>
      <c r="Z59" s="218">
        <f t="shared" si="28"/>
        <v>23.327200000000001</v>
      </c>
      <c r="AA59" s="218">
        <f t="shared" si="9"/>
        <v>23.281200000000002</v>
      </c>
      <c r="AB59" s="219" t="e">
        <f>VLOOKUP(A59,Enforcements!$C$7:$K$11,8,0)</f>
        <v>#N/A</v>
      </c>
      <c r="AC59" s="219" t="e">
        <f>VLOOKUP(A59,Enforcements!$C$7:$E$11,3,0)</f>
        <v>#N/A</v>
      </c>
      <c r="AD59" s="186">
        <f t="shared" si="10"/>
        <v>147</v>
      </c>
      <c r="AE59" s="220" t="str">
        <f t="shared" si="11"/>
        <v>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 &amp; aws s3 cp s3://rtdc.mdm.uploadarchive.raw/RTDC4060/ "%USERPROFILE%\AppData\Local\Temp\OnboardLogs"\RTDC4060\2017-10-30 --exclude "*" --recursive --include "*20171030*" &amp; "%USERPROFILE%\Documents\GitHub\mrs-test-scripts\Headless Mode &amp; Sideloading\WalkAndUnGZ.bat" "%USERPROFILE%\AppData\Local\Temp\OnboardLogs"\RTDC4060\2017-10-30</v>
      </c>
      <c r="AF59" s="221" t="str">
        <f t="shared" si="12"/>
        <v>"C:\Program Files (x86)\AstroGrep\AstroGrep.exe" /e /r /s /spath="%USERPROFILE%\AppData\Local\Temp\OnboardLogs" /stypes="app*4060*20171029*" /stext=" 16:.+((SYSTEM_STATE.+slice.+state.+changed )|(ment ac)|(multiple cpu faults)|(system.+state.+changed )|(\[timeout)|(PRM\|1\|D)|(kpr)|(kdp)|(train st.+moving)|(\|lc)|(penalty))"</v>
      </c>
      <c r="AG59" s="185" t="str">
        <f t="shared" si="13"/>
        <v>EC</v>
      </c>
      <c r="AH59" s="222" t="str">
        <f t="shared" si="19"/>
        <v>"%USERPROFILE%\Documents\GitHub\eaglep3\Utilities\RefineRTDCRunTimes.py" --tripid 147-29 --locoid 4060 --swversion DE.1.0.9.0 --startMP 204:460 --initTime 2017-10-29T09:22:46 --startdatetime 2017-10-29T09:30:16 --delay 59 --endMP 204:233272 --enddatetime 2017-10-29T10:06:29 --enforcementcount 0 &gt;&gt;%USERPROFILE%\Documents\GitHub\eaglep3-reporting\EC\2017-10-29-refined-times.txt</v>
      </c>
      <c r="AI59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{"issue":{"subject":"","project_id":79,"tracker_id":40,"status_id":1,"priority_id":2,"assigned_to_id":338,"start_date":"2017-10-29","description":"","custom_fields":[{"id":1,"name":"Subdivision","value":"EC"},{"id":4,"name":"Milepost","value":"23.3272"},{"id":17,"name":"Train ID","value":"147-29"},{"id":16,"name":"Locomotive ID","value":"4060"},{"id":130,"name":"Impact","value":""},{"id":150,"name":"Time of Event (Mountain Time)","value":"10:06:29"},{"id":151,"name":"Denver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182"/>
      <c r="AK59" s="186"/>
      <c r="AL59" s="186"/>
      <c r="AM59" s="187" t="str">
        <f t="shared" si="21"/>
        <v>start /low /b %USERPROFILE%\Documents\GitHub\eaglep3\Utilities\DownloadLogsFromS3.py --loco 4060 --day 2017-10-29</v>
      </c>
      <c r="AN59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16:06:29"},{"id":29,"name":"Sharepoint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82" t="str">
        <f t="shared" si="23"/>
        <v>https://d0f6bd738d7f1b3e5a7ca70fe4ff75f0.us-east-1.aws.found.io/app/kibana#/discover/Steve-Slow-Train-Analysis-(2080s-and-2083s)?_g=(refreshInterval:(display:Off,pause:!f,section:0,value:0),time:(from:'2017-10-29T08:22:46-0600',mode:absolute,to:'2017-10-29T11:06:29-0600'))&amp;_a=(columns:!('Message%20ID',Summary),filters:!(),index:'emp_*',interval:auto,query:(query_string:(analyze_wildcard:!t,query:'%22rtdc.l.rtdc.4060%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32" t="s">
        <v>739</v>
      </c>
      <c r="B60" s="7">
        <v>4059</v>
      </c>
      <c r="C60" s="21" t="s">
        <v>194</v>
      </c>
      <c r="D60" s="21" t="s">
        <v>532</v>
      </c>
      <c r="E60" s="13">
        <v>43037.422326388885</v>
      </c>
      <c r="F60" s="13">
        <v>43037.435648148145</v>
      </c>
      <c r="G60" s="7">
        <v>56</v>
      </c>
      <c r="H60" s="21" t="s">
        <v>895</v>
      </c>
      <c r="I60" s="13">
        <v>43037.464479166665</v>
      </c>
      <c r="J60" s="7">
        <v>0</v>
      </c>
      <c r="K60" s="76" t="str">
        <f t="shared" si="0"/>
        <v>4059/4060</v>
      </c>
      <c r="L60" s="164" t="str">
        <f>VLOOKUP(A60,'Trips&amp;Operators'!$C$1:$G$99911,5,FALSE)</f>
        <v>LANGERAK WILLIAM</v>
      </c>
      <c r="M60" s="6">
        <f t="shared" si="1"/>
        <v>2.8831018520577345E-2</v>
      </c>
      <c r="N60" s="7">
        <f t="shared" si="25"/>
        <v>41.516666669631377</v>
      </c>
      <c r="O60" s="7"/>
      <c r="P60" s="7"/>
      <c r="Q60" s="22"/>
      <c r="R60" s="157"/>
      <c r="S60" s="215">
        <f t="shared" si="26"/>
        <v>1</v>
      </c>
      <c r="T60" s="216" t="str">
        <f t="shared" si="4"/>
        <v>Southbound</v>
      </c>
      <c r="U60" s="216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7" t="str">
        <f t="shared" si="5"/>
        <v>https://d0f6bd738d7f1b3e5a7ca70fe4ff75f0.us-east-1.aws.found.io/app/kibana#/discover/Steve-Slow-Train-Analysis-(2080s-and-2083s)?_g=(refreshInterval:(display:Off,pause:!f,section:0,value:0),time:(from:'2017-10-29T09:08:09-0600',mode:absolute,to:'2017-10-29T12:08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0" s="218" t="str">
        <f>IF(AA60&lt;VLOOKUP(AG60,Variables!$AC$3:$AD$8,2,FALSE),"Y","N")</f>
        <v>N</v>
      </c>
      <c r="X60" s="218">
        <f t="shared" si="29"/>
        <v>1</v>
      </c>
      <c r="Y60" s="218">
        <f t="shared" si="27"/>
        <v>23.294499999999999</v>
      </c>
      <c r="Z60" s="218">
        <f t="shared" si="28"/>
        <v>1.6500000000000001E-2</v>
      </c>
      <c r="AA60" s="218">
        <f t="shared" si="9"/>
        <v>23.277999999999999</v>
      </c>
      <c r="AB60" s="219" t="e">
        <f>VLOOKUP(A60,Enforcements!$C$7:$K$11,8,0)</f>
        <v>#N/A</v>
      </c>
      <c r="AC60" s="219" t="e">
        <f>VLOOKUP(A60,Enforcements!$C$7:$E$11,3,0)</f>
        <v>#N/A</v>
      </c>
      <c r="AD60" s="186">
        <f t="shared" si="10"/>
        <v>148</v>
      </c>
      <c r="AE60" s="220" t="str">
        <f t="shared" si="11"/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AF60" s="221" t="str">
        <f t="shared" si="12"/>
        <v>"C:\Program Files (x86)\AstroGrep\AstroGrep.exe" /e /r /s /spath="%USERPROFILE%\AppData\Local\Temp\OnboardLogs" /stypes="app*4059*20171029*" /stext=" 17:.+((SYSTEM_STATE.+slice.+state.+changed )|(ment ac)|(multiple cpu faults)|(system.+state.+changed )|(\[timeout)|(PRM\|1\|D)|(kpr)|(kdp)|(train st.+moving)|(\|lc)|(penalty))"</v>
      </c>
      <c r="AG60" s="185" t="str">
        <f t="shared" si="13"/>
        <v>EC</v>
      </c>
      <c r="AH60" s="222" t="str">
        <f t="shared" si="19"/>
        <v>"%USERPROFILE%\Documents\GitHub\eaglep3\Utilities\RefineRTDCRunTimes.py" --tripid 148-29 --locoid 4059 --swversion DE.1.0.9.0 --startMP 204:232945 --initTime 2017-10-29T10:08:09 --startdatetime 2017-10-29T10:27:20 --delay 56 --endMP 204:165 --enddatetime 2017-10-29T11:08:51 --enforcementcount 0 &gt;&gt;%USERPROFILE%\Documents\GitHub\eaglep3-reporting\EC\2017-10-29-refined-times.txt</v>
      </c>
      <c r="AI60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{"issue":{"subject":"","project_id":79,"tracker_id":40,"status_id":1,"priority_id":2,"assigned_to_id":338,"start_date":"2017-10-29","description":"","custom_fields":[{"id":1,"name":"Subdivision","value":"EC"},{"id":4,"name":"Milepost","value":"0.0165"},{"id":17,"name":"Train ID","value":"148-29"},{"id":16,"name":"Locomotive ID","value":"4059"},{"id":130,"name":"Impact","value":""},{"id":150,"name":"Time of Event (Mountain Time)","value":"11:08:51"},{"id":151,"name":"Denver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182"/>
      <c r="AK60" s="186"/>
      <c r="AL60" s="186"/>
      <c r="AM60" s="187" t="str">
        <f t="shared" si="21"/>
        <v>start /low /b %USERPROFILE%\Documents\GitHub\eaglep3\Utilities\DownloadLogsFromS3.py --loco 4059 --day 2017-10-29</v>
      </c>
      <c r="AN60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17:08:51"},{"id":29,"name":"Sharepoint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82" t="str">
        <f t="shared" si="23"/>
        <v>https://d0f6bd738d7f1b3e5a7ca70fe4ff75f0.us-east-1.aws.found.io/app/kibana#/discover/Steve-Slow-Train-Analysis-(2080s-and-2083s)?_g=(refreshInterval:(display:Off,pause:!f,section:0,value:0),time:(from:'2017-10-29T09:08:09-0600',mode:absolute,to:'2017-10-29T12:08:51-0600'))&amp;_a=(columns:!('Message%20ID',Summary),filters:!(),index:'emp_*',interval:auto,query:(query_string:(analyze_wildcard:!t,query:'%22rtdc.l.rtdc.4059%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32" t="s">
        <v>736</v>
      </c>
      <c r="B61" s="7">
        <v>4016</v>
      </c>
      <c r="C61" s="21" t="s">
        <v>194</v>
      </c>
      <c r="D61" s="21" t="s">
        <v>915</v>
      </c>
      <c r="E61" s="13">
        <v>43037.401701388888</v>
      </c>
      <c r="F61" s="13">
        <v>43037.406412037039</v>
      </c>
      <c r="G61" s="7">
        <v>53</v>
      </c>
      <c r="H61" s="21" t="s">
        <v>575</v>
      </c>
      <c r="I61" s="13">
        <v>43037.430289351854</v>
      </c>
      <c r="J61" s="7">
        <v>0</v>
      </c>
      <c r="K61" s="76" t="str">
        <f t="shared" si="0"/>
        <v>4015/4016</v>
      </c>
      <c r="L61" s="164" t="str">
        <f>VLOOKUP(A61,'Trips&amp;Operators'!$C$1:$G$99911,5,FALSE)</f>
        <v>PAGE MARCUS</v>
      </c>
      <c r="M61" s="6">
        <f t="shared" si="1"/>
        <v>2.3877314815763384E-2</v>
      </c>
      <c r="N61" s="7">
        <f t="shared" si="25"/>
        <v>34.383333334699273</v>
      </c>
      <c r="O61" s="7"/>
      <c r="P61" s="7"/>
      <c r="Q61" s="22"/>
      <c r="R61" s="157"/>
      <c r="S61" s="215">
        <f t="shared" si="26"/>
        <v>1</v>
      </c>
      <c r="T61" s="216" t="str">
        <f t="shared" si="4"/>
        <v>NorthBound</v>
      </c>
      <c r="U61" s="216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7" t="str">
        <f t="shared" si="5"/>
        <v>https://d0f6bd738d7f1b3e5a7ca70fe4ff75f0.us-east-1.aws.found.io/app/kibana#/discover/Steve-Slow-Train-Analysis-(2080s-and-2083s)?_g=(refreshInterval:(display:Off,pause:!f,section:0,value:0),time:(from:'2017-10-29T08:38:27-0600',mode:absolute,to:'2017-10-29T11:19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61" s="218" t="str">
        <f>IF(AA61&lt;VLOOKUP(AG61,Variables!$AC$3:$AD$8,2,FALSE),"Y","N")</f>
        <v>N</v>
      </c>
      <c r="X61" s="218">
        <f t="shared" si="29"/>
        <v>1</v>
      </c>
      <c r="Y61" s="218">
        <f t="shared" si="27"/>
        <v>4.53E-2</v>
      </c>
      <c r="Z61" s="218">
        <f t="shared" si="28"/>
        <v>23.329499999999999</v>
      </c>
      <c r="AA61" s="218">
        <f t="shared" si="9"/>
        <v>23.284199999999998</v>
      </c>
      <c r="AB61" s="219" t="e">
        <f>VLOOKUP(A61,Enforcements!$C$7:$K$11,8,0)</f>
        <v>#N/A</v>
      </c>
      <c r="AC61" s="219" t="e">
        <f>VLOOKUP(A61,Enforcements!$C$7:$E$11,3,0)</f>
        <v>#N/A</v>
      </c>
      <c r="AD61" s="186">
        <f t="shared" si="10"/>
        <v>149</v>
      </c>
      <c r="AE61" s="220" t="str">
        <f t="shared" si="11"/>
        <v>aws s3 cp s3://rtdc.mdm.uploadarchive.raw/RTDC4016/ "%USERPROFILE%\AppData\Local\Temp\OnboardLogs"\RTDC4016\2017-10-29 --exclude "*" --recursive --include "*20171029*" &amp; "%USERPROFILE%\Documents\GitHub\mrs-test-scripts\Headless Mode &amp; Sideloading\WalkAndUnGZ.bat" "%USERPROFILE%\AppData\Local\Temp\OnboardLogs"\RTDC4016\2017-10-29 &amp; 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</v>
      </c>
      <c r="AF61" s="221" t="str">
        <f t="shared" si="12"/>
        <v>"C:\Program Files (x86)\AstroGrep\AstroGrep.exe" /e /r /s /spath="%USERPROFILE%\AppData\Local\Temp\OnboardLogs" /stypes="app*4016*20171029*" /stext=" 16:.+((SYSTEM_STATE.+slice.+state.+changed )|(ment ac)|(multiple cpu faults)|(system.+state.+changed )|(\[timeout)|(PRM\|1\|D)|(kpr)|(kdp)|(train st.+moving)|(\|lc)|(penalty))"</v>
      </c>
      <c r="AG61" s="185" t="str">
        <f t="shared" si="13"/>
        <v>EC</v>
      </c>
      <c r="AH61" s="222" t="str">
        <f t="shared" si="19"/>
        <v>"%USERPROFILE%\Documents\GitHub\eaglep3\Utilities\RefineRTDCRunTimes.py" --tripid 149-29 --locoid 4016 --swversion DE.1.0.9.0 --startMP 204:453 --initTime 2017-10-29T09:38:27 --startdatetime 2017-10-29T09:45:14 --delay 53 --endMP 204:233295 --enddatetime 2017-10-29T10:19:37 --enforcementcount 0 &gt;&gt;%USERPROFILE%\Documents\GitHub\eaglep3-reporting\EC\2017-10-29-refined-times.txt</v>
      </c>
      <c r="AI61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{"issue":{"subject":"","project_id":79,"tracker_id":40,"status_id":1,"priority_id":2,"assigned_to_id":338,"start_date":"2017-10-29","description":"","custom_fields":[{"id":1,"name":"Subdivision","value":"EC"},{"id":4,"name":"Milepost","value":"23.3295"},{"id":17,"name":"Train ID","value":"149-29"},{"id":16,"name":"Locomotive ID","value":"4016"},{"id":130,"name":"Impact","value":""},{"id":150,"name":"Time of Event (Mountain Time)","value":"10:19:37"},{"id":151,"name":"Denver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182"/>
      <c r="AK61" s="186"/>
      <c r="AL61" s="186"/>
      <c r="AM61" s="187" t="str">
        <f t="shared" si="21"/>
        <v>start /low /b %USERPROFILE%\Documents\GitHub\eaglep3\Utilities\DownloadLogsFromS3.py --loco 4016 --day 2017-10-29</v>
      </c>
      <c r="AN61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16:19:37"},{"id":29,"name":"Sharepoint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82" t="str">
        <f t="shared" si="23"/>
        <v>https://d0f6bd738d7f1b3e5a7ca70fe4ff75f0.us-east-1.aws.found.io/app/kibana#/discover/Steve-Slow-Train-Analysis-(2080s-and-2083s)?_g=(refreshInterval:(display:Off,pause:!f,section:0,value:0),time:(from:'2017-10-29T08:38:27-0600',mode:absolute,to:'2017-10-29T11:19:37-0600'))&amp;_a=(columns:!('Message%20ID',Summary),filters:!(),index:'emp_*',interval:auto,query:(query_string:(analyze_wildcard:!t,query:'%22rtdc.l.rtdc.4016%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32" t="s">
        <v>637</v>
      </c>
      <c r="B62" s="7">
        <v>4015</v>
      </c>
      <c r="C62" s="21" t="s">
        <v>194</v>
      </c>
      <c r="D62" s="21" t="s">
        <v>491</v>
      </c>
      <c r="E62" s="13">
        <v>43037.441851851851</v>
      </c>
      <c r="F62" s="13">
        <v>43037.446157407408</v>
      </c>
      <c r="G62" s="7">
        <v>59</v>
      </c>
      <c r="H62" s="21" t="s">
        <v>354</v>
      </c>
      <c r="I62" s="13">
        <v>43037.474062499998</v>
      </c>
      <c r="J62" s="7">
        <v>0</v>
      </c>
      <c r="K62" s="76" t="str">
        <f t="shared" si="0"/>
        <v>4015/4016</v>
      </c>
      <c r="L62" s="164" t="str">
        <f>VLOOKUP(A62,'Trips&amp;Operators'!$C$1:$G$99911,5,FALSE)</f>
        <v>PAGE MARCUS</v>
      </c>
      <c r="M62" s="6">
        <f t="shared" si="1"/>
        <v>2.7905092589207925E-2</v>
      </c>
      <c r="N62" s="7">
        <f t="shared" si="25"/>
        <v>40.183333328459412</v>
      </c>
      <c r="O62" s="7"/>
      <c r="P62" s="7"/>
      <c r="Q62" s="22"/>
      <c r="R62" s="157"/>
      <c r="S62" s="215">
        <f t="shared" si="26"/>
        <v>1</v>
      </c>
      <c r="T62" s="216" t="str">
        <f t="shared" si="4"/>
        <v>Southbound</v>
      </c>
      <c r="U62" s="216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7" t="str">
        <f t="shared" si="5"/>
        <v>https://d0f6bd738d7f1b3e5a7ca70fe4ff75f0.us-east-1.aws.found.io/app/kibana#/discover/Steve-Slow-Train-Analysis-(2080s-and-2083s)?_g=(refreshInterval:(display:Off,pause:!f,section:0,value:0),time:(from:'2017-10-29T09:36:16-0600',mode:absolute,to:'2017-10-29T12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62" s="218" t="str">
        <f>IF(AA62&lt;VLOOKUP(AG62,Variables!$AC$3:$AD$8,2,FALSE),"Y","N")</f>
        <v>N</v>
      </c>
      <c r="X62" s="218">
        <f t="shared" si="29"/>
        <v>1</v>
      </c>
      <c r="Y62" s="218">
        <f t="shared" si="27"/>
        <v>23.297699999999999</v>
      </c>
      <c r="Z62" s="218">
        <f t="shared" si="28"/>
        <v>1.5800000000000002E-2</v>
      </c>
      <c r="AA62" s="218">
        <f t="shared" si="9"/>
        <v>23.2819</v>
      </c>
      <c r="AB62" s="219" t="str">
        <f>VLOOKUP(A62,Enforcements!$C$7:$K$11,8,0)</f>
        <v>Bulletin (2)</v>
      </c>
      <c r="AC62" s="219" t="str">
        <f>VLOOKUP(A62,Enforcements!$C$7:$E$11,3,0)</f>
        <v>GRADE CROSSING</v>
      </c>
      <c r="AD62" s="186">
        <f t="shared" si="10"/>
        <v>150</v>
      </c>
      <c r="AE62" s="220" t="str">
        <f t="shared" si="11"/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62" s="221" t="str">
        <f t="shared" si="12"/>
        <v>"C:\Program Files (x86)\AstroGrep\AstroGrep.exe" /e /r /s /spath="%USERPROFILE%\AppData\Local\Temp\OnboardLogs" /stypes="app*4015*20171029*" /stext=" 17:.+((SYSTEM_STATE.+slice.+state.+changed )|(ment ac)|(multiple cpu faults)|(system.+state.+changed )|(\[timeout)|(PRM\|1\|D)|(kpr)|(kdp)|(train st.+moving)|(\|lc)|(penalty))"</v>
      </c>
      <c r="AG62" s="185" t="str">
        <f t="shared" si="13"/>
        <v>EC</v>
      </c>
      <c r="AH62" s="222" t="str">
        <f t="shared" si="19"/>
        <v>"%USERPROFILE%\Documents\GitHub\eaglep3\Utilities\RefineRTDCRunTimes.py" --tripid 150-29 --locoid 4015 --swversion DE.1.0.9.0 --startMP 204:232977 --initTime 2017-10-29T10:36:16 --startdatetime 2017-10-29T10:42:28 --delay 59 --endMP 204:158 --enddatetime 2017-10-29T11:22:39 --enforcementcount 0 &gt;&gt;%USERPROFILE%\Documents\GitHub\eaglep3-reporting\EC\2017-10-29-refined-times.txt</v>
      </c>
      <c r="AI62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{"issue":{"subject":"","project_id":79,"tracker_id":40,"status_id":1,"priority_id":2,"assigned_to_id":338,"start_date":"2017-10-29","description":"","custom_fields":[{"id":1,"name":"Subdivision","value":"EC"},{"id":4,"name":"Milepost","value":"0.0158"},{"id":17,"name":"Train ID","value":"150-29"},{"id":16,"name":"Locomotive ID","value":"4015"},{"id":130,"name":"Impact","value":""},{"id":150,"name":"Time of Event (Mountain Time)","value":"11:22:39"},{"id":151,"name":"Denver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182"/>
      <c r="AK62" s="186"/>
      <c r="AL62" s="186"/>
      <c r="AM62" s="187" t="str">
        <f t="shared" si="21"/>
        <v>start /low /b %USERPROFILE%\Documents\GitHub\eaglep3\Utilities\DownloadLogsFromS3.py --loco 4015 --day 2017-10-29</v>
      </c>
      <c r="AN62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17:22:39"},{"id":29,"name":"Sharepoint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82" t="str">
        <f t="shared" si="23"/>
        <v>https://d0f6bd738d7f1b3e5a7ca70fe4ff75f0.us-east-1.aws.found.io/app/kibana#/discover/Steve-Slow-Train-Analysis-(2080s-and-2083s)?_g=(refreshInterval:(display:Off,pause:!f,section:0,value:0),time:(from:'2017-10-29T09:36:16-0600',mode:absolute,to:'2017-10-29T12:22:39-0600'))&amp;_a=(columns:!('Message%20ID',Summary),filters:!(),index:'emp_*',interval:auto,query:(query_string:(analyze_wildcard:!t,query:'%22rtdc.l.rtdc.4015%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32" t="s">
        <v>634</v>
      </c>
      <c r="B63" s="7">
        <v>4006</v>
      </c>
      <c r="C63" s="21" t="s">
        <v>194</v>
      </c>
      <c r="D63" s="21" t="s">
        <v>415</v>
      </c>
      <c r="E63" s="13">
        <v>43037.412997685184</v>
      </c>
      <c r="F63" s="13">
        <v>43037.420277777775</v>
      </c>
      <c r="G63" s="7">
        <v>58</v>
      </c>
      <c r="H63" s="21" t="s">
        <v>578</v>
      </c>
      <c r="I63" s="13">
        <v>43037.445034722223</v>
      </c>
      <c r="J63" s="7">
        <v>0</v>
      </c>
      <c r="K63" s="76" t="str">
        <f t="shared" si="0"/>
        <v>4005/4006</v>
      </c>
      <c r="L63" s="164" t="str">
        <f>VLOOKUP(A63,'Trips&amp;Operators'!$C$1:$G$99911,5,FALSE)</f>
        <v>GEBRETEKLE DAGNEW</v>
      </c>
      <c r="M63" s="6">
        <f t="shared" si="1"/>
        <v>2.4756944447290152E-2</v>
      </c>
      <c r="N63" s="7">
        <f t="shared" si="25"/>
        <v>35.650000004097819</v>
      </c>
      <c r="O63" s="7"/>
      <c r="P63" s="7"/>
      <c r="Q63" s="22"/>
      <c r="R63" s="157"/>
      <c r="S63" s="215">
        <f t="shared" si="26"/>
        <v>1</v>
      </c>
      <c r="T63" s="216" t="str">
        <f t="shared" si="4"/>
        <v>NorthBound</v>
      </c>
      <c r="U63" s="216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7" t="str">
        <f t="shared" si="5"/>
        <v>https://d0f6bd738d7f1b3e5a7ca70fe4ff75f0.us-east-1.aws.found.io/app/kibana#/discover/Steve-Slow-Train-Analysis-(2080s-and-2083s)?_g=(refreshInterval:(display:Off,pause:!f,section:0,value:0),time:(from:'2017-10-29T08:54:43-0600',mode:absolute,to:'2017-10-29T11:40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63" s="218" t="str">
        <f>IF(AA63&lt;VLOOKUP(AG63,Variables!$AC$3:$AD$8,2,FALSE),"Y","N")</f>
        <v>N</v>
      </c>
      <c r="X63" s="218">
        <f t="shared" si="29"/>
        <v>1</v>
      </c>
      <c r="Y63" s="218">
        <f t="shared" si="27"/>
        <v>4.8399999999999999E-2</v>
      </c>
      <c r="Z63" s="218">
        <f t="shared" si="28"/>
        <v>23.3172</v>
      </c>
      <c r="AA63" s="218">
        <f t="shared" si="9"/>
        <v>23.268799999999999</v>
      </c>
      <c r="AB63" s="219" t="str">
        <f>VLOOKUP(A63,Enforcements!$C$7:$K$11,8,0)</f>
        <v>Speed (6)</v>
      </c>
      <c r="AC63" s="219" t="str">
        <f>VLOOKUP(A63,Enforcements!$C$7:$E$11,3,0)</f>
        <v>PERMANENT SPEED RESTRICTION</v>
      </c>
      <c r="AD63" s="186">
        <f t="shared" si="10"/>
        <v>151</v>
      </c>
      <c r="AE63" s="220" t="str">
        <f t="shared" si="11"/>
        <v>aws s3 cp s3://rtdc.mdm.uploadarchive.raw/RTDC4006/ "%USERPROFILE%\AppData\Local\Temp\OnboardLogs"\RTDC4006\2017-10-29 --exclude "*" --recursive --include "*20171029*" &amp; "%USERPROFILE%\Documents\GitHub\mrs-test-scripts\Headless Mode &amp; Sideloading\WalkAndUnGZ.bat" "%USERPROFILE%\AppData\Local\Temp\OnboardLogs"\RTDC4006\2017-10-29 &amp; aws s3 cp s3://rtdc.mdm.uploadarchive.raw/RTDC4006/ "%USERPROFILE%\AppData\Local\Temp\OnboardLogs"\RTDC4006\2017-10-30 --exclude "*" --recursive --include "*20171030*" &amp; "%USERPROFILE%\Documents\GitHub\mrs-test-scripts\Headless Mode &amp; Sideloading\WalkAndUnGZ.bat" "%USERPROFILE%\AppData\Local\Temp\OnboardLogs"\RTDC4006\2017-10-30</v>
      </c>
      <c r="AF63" s="221" t="str">
        <f t="shared" si="12"/>
        <v>"C:\Program Files (x86)\AstroGrep\AstroGrep.exe" /e /r /s /spath="%USERPROFILE%\AppData\Local\Temp\OnboardLogs" /stypes="app*4006*20171029*" /stext=" 16:.+((SYSTEM_STATE.+slice.+state.+changed )|(ment ac)|(multiple cpu faults)|(system.+state.+changed )|(\[timeout)|(PRM\|1\|D)|(kpr)|(kdp)|(train st.+moving)|(\|lc)|(penalty))"</v>
      </c>
      <c r="AG63" s="185" t="str">
        <f t="shared" si="13"/>
        <v>EC</v>
      </c>
      <c r="AH63" s="222" t="str">
        <f t="shared" si="19"/>
        <v>"%USERPROFILE%\Documents\GitHub\eaglep3\Utilities\RefineRTDCRunTimes.py" --tripid 151-29 --locoid 4006 --swversion DE.1.0.9.0 --startMP 204:484 --initTime 2017-10-29T09:54:43 --startdatetime 2017-10-29T10:05:12 --delay 58 --endMP 204:233172 --enddatetime 2017-10-29T10:40:51 --enforcementcount 0 &gt;&gt;%USERPROFILE%\Documents\GitHub\eaglep3-reporting\EC\2017-10-29-refined-times.txt</v>
      </c>
      <c r="AI63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{"issue":{"subject":"","project_id":79,"tracker_id":40,"status_id":1,"priority_id":2,"assigned_to_id":338,"start_date":"2017-10-29","description":"","custom_fields":[{"id":1,"name":"Subdivision","value":"EC"},{"id":4,"name":"Milepost","value":"23.3172"},{"id":17,"name":"Train ID","value":"151-29"},{"id":16,"name":"Locomotive ID","value":"4006"},{"id":130,"name":"Impact","value":""},{"id":150,"name":"Time of Event (Mountain Time)","value":"10:40:51"},{"id":151,"name":"Denver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182"/>
      <c r="AK63" s="186"/>
      <c r="AL63" s="186"/>
      <c r="AM63" s="187" t="str">
        <f t="shared" si="21"/>
        <v>start /low /b %USERPROFILE%\Documents\GitHub\eaglep3\Utilities\DownloadLogsFromS3.py --loco 4006 --day 2017-10-29</v>
      </c>
      <c r="AN63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16:40:51"},{"id":29,"name":"Sharepoint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82" t="str">
        <f t="shared" si="23"/>
        <v>https://d0f6bd738d7f1b3e5a7ca70fe4ff75f0.us-east-1.aws.found.io/app/kibana#/discover/Steve-Slow-Train-Analysis-(2080s-and-2083s)?_g=(refreshInterval:(display:Off,pause:!f,section:0,value:0),time:(from:'2017-10-29T08:54:43-0600',mode:absolute,to:'2017-10-29T11:40:51-0600'))&amp;_a=(columns:!('Message%20ID',Summary),filters:!(),index:'emp_*',interval:auto,query:(query_string:(analyze_wildcard:!t,query:'%22rtdc.l.rtdc.4006%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32" t="s">
        <v>745</v>
      </c>
      <c r="B64" s="7">
        <v>4005</v>
      </c>
      <c r="C64" s="21" t="s">
        <v>194</v>
      </c>
      <c r="D64" s="21" t="s">
        <v>916</v>
      </c>
      <c r="E64" s="13">
        <v>43037.452233796299</v>
      </c>
      <c r="F64" s="13">
        <v>43037.456608796296</v>
      </c>
      <c r="G64" s="7">
        <v>69</v>
      </c>
      <c r="H64" s="21" t="s">
        <v>490</v>
      </c>
      <c r="I64" s="13">
        <v>43037.482395833336</v>
      </c>
      <c r="J64" s="7">
        <v>0</v>
      </c>
      <c r="K64" s="76" t="str">
        <f t="shared" si="0"/>
        <v>4005/4006</v>
      </c>
      <c r="L64" s="164" t="str">
        <f>VLOOKUP(A64,'Trips&amp;Operators'!$C$1:$G$99911,5,FALSE)</f>
        <v>GEBRETEKLE DAGNEW</v>
      </c>
      <c r="M64" s="6">
        <f t="shared" si="1"/>
        <v>2.5787037040572613E-2</v>
      </c>
      <c r="N64" s="7">
        <f t="shared" si="25"/>
        <v>37.133333338424563</v>
      </c>
      <c r="O64" s="7"/>
      <c r="P64" s="7"/>
      <c r="Q64" s="22"/>
      <c r="R64" s="157" t="s">
        <v>1102</v>
      </c>
      <c r="S64" s="215">
        <f t="shared" si="26"/>
        <v>1</v>
      </c>
      <c r="T64" s="216" t="str">
        <f t="shared" si="4"/>
        <v>Southbound</v>
      </c>
      <c r="U64" s="216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7" t="str">
        <f t="shared" si="5"/>
        <v>https://d0f6bd738d7f1b3e5a7ca70fe4ff75f0.us-east-1.aws.found.io/app/kibana#/discover/Steve-Slow-Train-Analysis-(2080s-and-2083s)?_g=(refreshInterval:(display:Off,pause:!f,section:0,value:0),time:(from:'2017-10-29T09:51:13-0600',mode:absolute,to:'2017-10-29T12:34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64" s="218" t="str">
        <f>IF(AA64&lt;VLOOKUP(AG64,Variables!$AC$3:$AD$8,2,FALSE),"Y","N")</f>
        <v>N</v>
      </c>
      <c r="X64" s="218">
        <f t="shared" si="29"/>
        <v>1</v>
      </c>
      <c r="Y64" s="218">
        <f t="shared" si="27"/>
        <v>23.285499999999999</v>
      </c>
      <c r="Z64" s="218">
        <f t="shared" si="28"/>
        <v>1.6E-2</v>
      </c>
      <c r="AA64" s="218">
        <f t="shared" si="9"/>
        <v>23.269500000000001</v>
      </c>
      <c r="AB64" s="219" t="e">
        <f>VLOOKUP(A64,Enforcements!$C$7:$K$11,8,0)</f>
        <v>#N/A</v>
      </c>
      <c r="AC64" s="219" t="e">
        <f>VLOOKUP(A64,Enforcements!$C$7:$E$11,3,0)</f>
        <v>#N/A</v>
      </c>
      <c r="AD64" s="186">
        <f t="shared" si="10"/>
        <v>152</v>
      </c>
      <c r="AE64" s="220" t="str">
        <f t="shared" si="11"/>
        <v>aws s3 cp s3://rtdc.mdm.uploadarchive.raw/RTDC4005/ "%USERPROFILE%\AppData\Local\Temp\OnboardLogs"\RTDC4005\2017-10-29 --exclude "*" --recursive --include "*20171029*" &amp; "%USERPROFILE%\Documents\GitHub\mrs-test-scripts\Headless Mode &amp; Sideloading\WalkAndUnGZ.bat" "%USERPROFILE%\AppData\Local\Temp\OnboardLogs"\RTDC4005\2017-10-29 &amp; aws s3 cp s3://rtdc.mdm.uploadarchive.raw/RTDC4005/ "%USERPROFILE%\AppData\Local\Temp\OnboardLogs"\RTDC4005\2017-10-30 --exclude "*" --recursive --include "*20171030*" &amp; "%USERPROFILE%\Documents\GitHub\mrs-test-scripts\Headless Mode &amp; Sideloading\WalkAndUnGZ.bat" "%USERPROFILE%\AppData\Local\Temp\OnboardLogs"\RTDC4005\2017-10-30</v>
      </c>
      <c r="AF64" s="221" t="str">
        <f t="shared" si="12"/>
        <v>"C:\Program Files (x86)\AstroGrep\AstroGrep.exe" /e /r /s /spath="%USERPROFILE%\AppData\Local\Temp\OnboardLogs" /stypes="app*4005*20171029*" /stext=" 17:.+((SYSTEM_STATE.+slice.+state.+changed )|(ment ac)|(multiple cpu faults)|(system.+state.+changed )|(\[timeout)|(PRM\|1\|D)|(kpr)|(kdp)|(train st.+moving)|(\|lc)|(penalty))"</v>
      </c>
      <c r="AG64" s="185" t="str">
        <f t="shared" si="13"/>
        <v>EC</v>
      </c>
      <c r="AH64" s="222" t="str">
        <f t="shared" si="19"/>
        <v>"%USERPROFILE%\Documents\GitHub\eaglep3\Utilities\RefineRTDCRunTimes.py" --tripid 152-29 --locoid 4005 --swversion DE.1.0.9.0 --startMP 204:232855 --initTime 2017-10-29T10:51:13 --startdatetime 2017-10-29T10:57:31 --delay 69 --endMP 204:160 --enddatetime 2017-10-29T11:34:39 --enforcementcount 0 &gt;&gt;%USERPROFILE%\Documents\GitHub\eaglep3-reporting\EC\2017-10-29-refined-times.txt</v>
      </c>
      <c r="AI64" s="223" t="str">
        <f t="shared" si="20"/>
        <v>echo {"issue":{"subject":"Unhealthy xing banner at Chambers due to 40th station stop","project_id":79,"tracker_id":40,"status_id":1,"priority_id":2,"assigned_to_id":338,"start_date":"2017-10-29","description":"","custom_fields":[{"id":1,"name":"Subdivision","value":"EC"},{"id":4,"name":"Milepost","value":"0.016"},{"id":17,"name":"Train ID","value":"152-29"},{"id":16,"name":"Locomotive ID","value":"4005"},{"id":130,"name":"Impact","value":""},{"id":150,"name":"Time of Event (Mountain Time)","value":"11:34:39"},{"id":151,"name":"Denver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182"/>
      <c r="AK64" s="186"/>
      <c r="AL64" s="186"/>
      <c r="AM64" s="187" t="str">
        <f t="shared" si="21"/>
        <v>start /low /b %USERPROFILE%\Documents\GitHub\eaglep3\Utilities\DownloadLogsFromS3.py --loco 4005 --day 2017-10-29</v>
      </c>
      <c r="AN64" s="224" t="str">
        <f t="shared" si="22"/>
        <v>echo {"issue":{"subject":"Unhealthy xing banner at Chambers due to 40th station stop","project_id":30,"tracker_id":4,"status_id":1,"priority_id":1,"assigned_to_id":10,"start_date":"2017-10-29","description":"","custom_fields":[{"id":30,"name":"Category","value":"Issue"},{"id":3,"name":"Functional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17:34:39"},{"id":29,"name":"Sharepoint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82" t="str">
        <f t="shared" si="23"/>
        <v>https://d0f6bd738d7f1b3e5a7ca70fe4ff75f0.us-east-1.aws.found.io/app/kibana#/discover/Steve-Slow-Train-Analysis-(2080s-and-2083s)?_g=(refreshInterval:(display:Off,pause:!f,section:0,value:0),time:(from:'2017-10-29T09:51:13-0600',mode:absolute,to:'2017-10-29T12:34:39-0600'))&amp;_a=(columns:!('Message%20ID',Summary),filters:!(),index:'emp_*',interval:auto,query:(query_string:(analyze_wildcard:!t,query:'%22rtdc.l.rtdc.4005%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32" t="s">
        <v>636</v>
      </c>
      <c r="B65" s="7">
        <v>4062</v>
      </c>
      <c r="C65" s="21" t="s">
        <v>194</v>
      </c>
      <c r="D65" s="21" t="s">
        <v>917</v>
      </c>
      <c r="E65" s="13">
        <v>43037.424861111111</v>
      </c>
      <c r="F65" s="13">
        <v>43037.433692129627</v>
      </c>
      <c r="G65" s="7">
        <v>74</v>
      </c>
      <c r="H65" s="21" t="s">
        <v>918</v>
      </c>
      <c r="I65" s="13">
        <v>43037.454861111109</v>
      </c>
      <c r="J65" s="7">
        <v>0</v>
      </c>
      <c r="K65" s="76" t="str">
        <f t="shared" si="0"/>
        <v>4061/4062</v>
      </c>
      <c r="L65" s="164" t="str">
        <f>VLOOKUP(A65,'Trips&amp;Operators'!$C$1:$G$99911,5,FALSE)</f>
        <v>BADERTSCHER DIANE</v>
      </c>
      <c r="M65" s="6">
        <f t="shared" si="1"/>
        <v>2.1168981482333038E-2</v>
      </c>
      <c r="N65" s="7"/>
      <c r="O65" s="7"/>
      <c r="P65" s="7"/>
      <c r="Q65" s="22"/>
      <c r="R65" s="157"/>
      <c r="S65" s="215"/>
      <c r="T65" s="216" t="str">
        <f t="shared" si="4"/>
        <v>NorthBound</v>
      </c>
      <c r="U65" s="216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0</v>
      </c>
      <c r="V65" s="217" t="str">
        <f t="shared" si="5"/>
        <v>https://d0f6bd738d7f1b3e5a7ca70fe4ff75f0.us-east-1.aws.found.io/app/kibana#/discover/Steve-Slow-Train-Analysis-(2080s-and-2083s)?_g=(refreshInterval:(display:Off,pause:!f,section:0,value:0),time:(from:'2017-10-29T09:11:48-0600',mode:absolute,to:'2017-10-29T11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5" s="218" t="str">
        <f>IF(AA65&lt;VLOOKUP(AG65,Variables!$AC$3:$AD$8,2,FALSE),"Y","N")</f>
        <v>Y</v>
      </c>
      <c r="X65" s="218">
        <f t="shared" ref="X65:X67" si="30">VALUE(LEFT(AD65,4))-VALUE(LEFT(AD64,4))</f>
        <v>1</v>
      </c>
      <c r="Y65" s="218">
        <f t="shared" si="27"/>
        <v>0.1484</v>
      </c>
      <c r="Z65" s="218">
        <f t="shared" si="28"/>
        <v>0.18840000000000001</v>
      </c>
      <c r="AA65" s="218">
        <f t="shared" si="9"/>
        <v>4.0000000000000008E-2</v>
      </c>
      <c r="AB65" s="219" t="e">
        <f>VLOOKUP(A65,Enforcements!$C$7:$K$11,8,0)</f>
        <v>#N/A</v>
      </c>
      <c r="AC65" s="219" t="e">
        <f>VLOOKUP(A65,Enforcements!$C$7:$E$11,3,0)</f>
        <v>#N/A</v>
      </c>
      <c r="AD65" s="186">
        <f t="shared" si="10"/>
        <v>153</v>
      </c>
      <c r="AE65" s="220" t="str">
        <f t="shared" si="11"/>
        <v>aws s3 cp s3://rtdc.mdm.uploadarchive.raw/RTDC4062/ "%USERPROFILE%\AppData\Local\Temp\OnboardLogs"\RTDC4062\2017-10-29 --exclude "*" --recursive --include "*20171029*" &amp; "%USERPROFILE%\Documents\GitHub\mrs-test-scripts\Headless Mode &amp; Sideloading\WalkAndUnGZ.bat" "%USERPROFILE%\AppData\Local\Temp\OnboardLogs"\RTDC4062\2017-10-29 &amp; aws s3 cp s3://rtdc.mdm.uploadarchive.raw/RTDC4062/ "%USERPROFILE%\AppData\Local\Temp\OnboardLogs"\RTDC4062\2017-10-30 --exclude "*" --recursive --include "*20171030*" &amp; "%USERPROFILE%\Documents\GitHub\mrs-test-scripts\Headless Mode &amp; Sideloading\WalkAndUnGZ.bat" "%USERPROFILE%\AppData\Local\Temp\OnboardLogs"\RTDC4062\2017-10-30</v>
      </c>
      <c r="AF65" s="221" t="str">
        <f t="shared" si="12"/>
        <v>"C:\Program Files (x86)\AstroGrep\AstroGrep.exe" /e /r /s /spath="%USERPROFILE%\AppData\Local\Temp\OnboardLogs" /stypes="app*4062*20171029*" /stext=" 16:.+((SYSTEM_STATE.+slice.+state.+changed )|(ment ac)|(multiple cpu faults)|(system.+state.+changed )|(\[timeout)|(PRM\|1\|D)|(kpr)|(kdp)|(train st.+moving)|(\|lc)|(penalty))"</v>
      </c>
      <c r="AG65" s="185" t="str">
        <f t="shared" si="13"/>
        <v>EC</v>
      </c>
      <c r="AH65" s="222" t="str">
        <f t="shared" si="19"/>
        <v>"%USERPROFILE%\Documents\GitHub\eaglep3\Utilities\RefineRTDCRunTimes.py" --tripid 153-29 --locoid 4062 --swversion DE.1.0.9.0 --startMP 204:1484 --initTime 2017-10-29T10:11:48 --startdatetime 2017-10-29T10:24:31 --delay 74 --endMP 204:1884 --enddatetime 2017-10-29T10:55:00 --enforcementcount 0 &gt;&gt;%USERPROFILE%\Documents\GitHub\eaglep3-reporting\EC\2017-10-29-refined-times.txt</v>
      </c>
      <c r="AI65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{"issue":{"subject":"","project_id":79,"tracker_id":40,"status_id":1,"priority_id":2,"assigned_to_id":338,"start_date":"2017-10-29","description":"","custom_fields":[{"id":1,"name":"Subdivision","value":"EC"},{"id":4,"name":"Milepost","value":"0.1884"},{"id":17,"name":"Train ID","value":"153-29"},{"id":16,"name":"Locomotive ID","value":"4062"},{"id":130,"name":"Impact","value":""},{"id":150,"name":"Time of Event (Mountain Time)","value":"10:55:00"},{"id":151,"name":"Denver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182"/>
      <c r="AK65" s="186"/>
      <c r="AL65" s="186"/>
      <c r="AM65" s="187" t="str">
        <f t="shared" si="21"/>
        <v>start /low /b %USERPROFILE%\Documents\GitHub\eaglep3\Utilities\DownloadLogsFromS3.py --loco 4062 --day 2017-10-29</v>
      </c>
      <c r="AN65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16:55:00"},{"id":29,"name":"Sharepoint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82" t="str">
        <f t="shared" si="23"/>
        <v>https://d0f6bd738d7f1b3e5a7ca70fe4ff75f0.us-east-1.aws.found.io/app/kibana#/discover/Steve-Slow-Train-Analysis-(2080s-and-2083s)?_g=(refreshInterval:(display:Off,pause:!f,section:0,value:0),time:(from:'2017-10-29T09:11:48-0600',mode:absolute,to:'2017-10-29T11:55:00-0600'))&amp;_a=(columns:!('Message%20ID',Summary),filters:!(),index:'emp_*',interval:auto,query:(query_string:(analyze_wildcard:!t,query:'%22rtdc.l.rtdc.4062%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32" t="s">
        <v>636</v>
      </c>
      <c r="B66" s="7">
        <v>4062</v>
      </c>
      <c r="C66" s="21" t="s">
        <v>194</v>
      </c>
      <c r="D66" s="21" t="s">
        <v>919</v>
      </c>
      <c r="E66" s="13">
        <v>43037.432199074072</v>
      </c>
      <c r="F66" s="13">
        <v>43037.433692129627</v>
      </c>
      <c r="G66" s="7">
        <v>41</v>
      </c>
      <c r="H66" s="21" t="s">
        <v>920</v>
      </c>
      <c r="I66" s="13">
        <v>43037.454861111109</v>
      </c>
      <c r="J66" s="7">
        <v>0</v>
      </c>
      <c r="K66" s="76" t="str">
        <f t="shared" si="0"/>
        <v>4061/4062</v>
      </c>
      <c r="L66" s="164" t="str">
        <f>VLOOKUP(A66,'Trips&amp;Operators'!$C$1:$G$99911,5,FALSE)</f>
        <v>BADERTSCHER DIANE</v>
      </c>
      <c r="M66" s="6">
        <f t="shared" si="1"/>
        <v>2.1168981482333038E-2</v>
      </c>
      <c r="N66" s="7"/>
      <c r="O66" s="7"/>
      <c r="P66" s="7">
        <f>24*60*SUM($M66:$M66)</f>
        <v>30.483333334559575</v>
      </c>
      <c r="Q66" s="22"/>
      <c r="R66" s="157" t="s">
        <v>1096</v>
      </c>
      <c r="S66" s="215">
        <f t="shared" ref="S66:S78" si="31">1/IF(AG66="EC",12,1)*SUM(U66:U66)</f>
        <v>1</v>
      </c>
      <c r="T66" s="216" t="str">
        <f t="shared" si="4"/>
        <v>NorthBound</v>
      </c>
      <c r="U66" s="216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7" t="str">
        <f t="shared" si="5"/>
        <v>https://d0f6bd738d7f1b3e5a7ca70fe4ff75f0.us-east-1.aws.found.io/app/kibana#/discover/Steve-Slow-Train-Analysis-(2080s-and-2083s)?_g=(refreshInterval:(display:Off,pause:!f,section:0,value:0),time:(from:'2017-10-29T09:22:22-0600',mode:absolute,to:'2017-10-29T11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6" s="218" t="str">
        <f>IF(AA66&lt;VLOOKUP(AG66,Variables!$AC$3:$AD$8,2,FALSE),"Y","N")</f>
        <v>Y</v>
      </c>
      <c r="X66" s="218">
        <f t="shared" si="30"/>
        <v>0</v>
      </c>
      <c r="Y66" s="218">
        <f t="shared" si="27"/>
        <v>1.911</v>
      </c>
      <c r="Z66" s="218">
        <f t="shared" si="28"/>
        <v>23.317399999999999</v>
      </c>
      <c r="AA66" s="218">
        <f t="shared" si="9"/>
        <v>21.406399999999998</v>
      </c>
      <c r="AB66" s="219" t="e">
        <f>VLOOKUP(A66,Enforcements!$C$7:$K$11,8,0)</f>
        <v>#N/A</v>
      </c>
      <c r="AC66" s="219" t="e">
        <f>VLOOKUP(A66,Enforcements!$C$7:$E$11,3,0)</f>
        <v>#N/A</v>
      </c>
      <c r="AD66" s="186">
        <f t="shared" si="10"/>
        <v>153</v>
      </c>
      <c r="AE66" s="220" t="str">
        <f t="shared" si="11"/>
        <v>aws s3 cp s3://rtdc.mdm.uploadarchive.raw/RTDC4062/ "%USERPROFILE%\AppData\Local\Temp\OnboardLogs"\RTDC4062\2017-10-29 --exclude "*" --recursive --include "*20171029*" &amp; "%USERPROFILE%\Documents\GitHub\mrs-test-scripts\Headless Mode &amp; Sideloading\WalkAndUnGZ.bat" "%USERPROFILE%\AppData\Local\Temp\OnboardLogs"\RTDC4062\2017-10-29 &amp; aws s3 cp s3://rtdc.mdm.uploadarchive.raw/RTDC4062/ "%USERPROFILE%\AppData\Local\Temp\OnboardLogs"\RTDC4062\2017-10-30 --exclude "*" --recursive --include "*20171030*" &amp; "%USERPROFILE%\Documents\GitHub\mrs-test-scripts\Headless Mode &amp; Sideloading\WalkAndUnGZ.bat" "%USERPROFILE%\AppData\Local\Temp\OnboardLogs"\RTDC4062\2017-10-30</v>
      </c>
      <c r="AF66" s="221" t="str">
        <f t="shared" si="12"/>
        <v>"C:\Program Files (x86)\AstroGrep\AstroGrep.exe" /e /r /s /spath="%USERPROFILE%\AppData\Local\Temp\OnboardLogs" /stypes="app*4062*20171029*" /stext=" 16:.+((SYSTEM_STATE.+slice.+state.+changed )|(ment ac)|(multiple cpu faults)|(system.+state.+changed )|(\[timeout)|(PRM\|1\|D)|(kpr)|(kdp)|(train st.+moving)|(\|lc)|(penalty))"</v>
      </c>
      <c r="AG66" s="185" t="str">
        <f t="shared" si="13"/>
        <v>EC</v>
      </c>
      <c r="AH66" s="222" t="str">
        <f t="shared" si="19"/>
        <v>"%USERPROFILE%\Documents\GitHub\eaglep3\Utilities\RefineRTDCRunTimes.py" --tripid 153-29 --locoid 4062 --swversion DE.1.0.9.0 --startMP 204:19110 --initTime 2017-10-29T10:22:22 --startdatetime 2017-10-29T10:24:31 --delay 41 --endMP 204:233174 --enddatetime 2017-10-29T10:55:00 --enforcementcount 0 &gt;&gt;%USERPROFILE%\Documents\GitHub\eaglep3-reporting\EC\2017-10-29-refined-times.txt</v>
      </c>
      <c r="AI66" s="223" t="str">
        <f t="shared" si="20"/>
        <v>echo {"issue":{"subject":"Main 3 depature","project_id":79,"tracker_id":40,"status_id":1,"priority_id":2,"assigned_to_id":338,"start_date":"2017-10-29","description":"","custom_fields":[{"id":1,"name":"Subdivision","value":"EC"},{"id":4,"name":"Milepost","value":"23.3174"},{"id":17,"name":"Train ID","value":"153-29"},{"id":16,"name":"Locomotive ID","value":"4062"},{"id":130,"name":"Impact","value":""},{"id":150,"name":"Time of Event (Mountain Time)","value":"10:55:00"},{"id":151,"name":"Denver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182"/>
      <c r="AK66" s="186"/>
      <c r="AL66" s="186"/>
      <c r="AM66" s="187" t="str">
        <f t="shared" si="21"/>
        <v>start /low /b %USERPROFILE%\Documents\GitHub\eaglep3\Utilities\DownloadLogsFromS3.py --loco 4062 --day 2017-10-29</v>
      </c>
      <c r="AN66" s="224" t="str">
        <f t="shared" si="22"/>
        <v>echo {"issue":{"subject":"Main 3 depature","project_id":30,"tracker_id":4,"status_id":1,"priority_id":1,"assigned_to_id":10,"start_date":"2017-10-29","description":"","custom_fields":[{"id":30,"name":"Category","value":"Issue"},{"id":3,"name":"Functional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16:55:00"},{"id":29,"name":"Sharepoint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82" t="str">
        <f t="shared" si="23"/>
        <v>https://d0f6bd738d7f1b3e5a7ca70fe4ff75f0.us-east-1.aws.found.io/app/kibana#/discover/Steve-Slow-Train-Analysis-(2080s-and-2083s)?_g=(refreshInterval:(display:Off,pause:!f,section:0,value:0),time:(from:'2017-10-29T09:22:22-0600',mode:absolute,to:'2017-10-29T11:55:00-0600'))&amp;_a=(columns:!('Message%20ID',Summary),filters:!(),index:'emp_*',interval:auto,query:(query_string:(analyze_wildcard:!t,query:'%22rtdc.l.rtdc.4062%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32" t="s">
        <v>748</v>
      </c>
      <c r="B67" s="7">
        <v>4061</v>
      </c>
      <c r="C67" s="21" t="s">
        <v>194</v>
      </c>
      <c r="D67" s="21" t="s">
        <v>527</v>
      </c>
      <c r="E67" s="13">
        <v>43037.463310185187</v>
      </c>
      <c r="F67" s="13">
        <v>43037.466840277775</v>
      </c>
      <c r="G67" s="7">
        <v>73</v>
      </c>
      <c r="H67" s="21" t="s">
        <v>595</v>
      </c>
      <c r="I67" s="13">
        <v>43037.494513888887</v>
      </c>
      <c r="J67" s="7">
        <v>0</v>
      </c>
      <c r="K67" s="76" t="str">
        <f t="shared" si="0"/>
        <v>4061/4062</v>
      </c>
      <c r="L67" s="164" t="str">
        <f>VLOOKUP(A67,'Trips&amp;Operators'!$C$1:$G$99911,5,FALSE)</f>
        <v>BADERTSCHER DIANE</v>
      </c>
      <c r="M67" s="6">
        <f t="shared" si="1"/>
        <v>2.7673611111822538E-2</v>
      </c>
      <c r="N67" s="7">
        <f t="shared" ref="N67:N79" si="32">24*60*SUM($M67:$M67)</f>
        <v>39.850000001024455</v>
      </c>
      <c r="O67" s="7"/>
      <c r="P67" s="7"/>
      <c r="Q67" s="22"/>
      <c r="R67" s="157" t="s">
        <v>1102</v>
      </c>
      <c r="S67" s="215">
        <f t="shared" si="31"/>
        <v>1</v>
      </c>
      <c r="T67" s="216" t="str">
        <f t="shared" si="4"/>
        <v>Southbound</v>
      </c>
      <c r="U67" s="216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7" t="str">
        <f t="shared" si="5"/>
        <v>https://d0f6bd738d7f1b3e5a7ca70fe4ff75f0.us-east-1.aws.found.io/app/kibana#/discover/Steve-Slow-Train-Analysis-(2080s-and-2083s)?_g=(refreshInterval:(display:Off,pause:!f,section:0,value:0),time:(from:'2017-10-29T10:07:10-0600',mode:absolute,to:'2017-10-29T12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7" s="218" t="str">
        <f>IF(AA67&lt;VLOOKUP(AG67,Variables!$AC$3:$AD$8,2,FALSE),"Y","N")</f>
        <v>N</v>
      </c>
      <c r="X67" s="218">
        <f t="shared" si="30"/>
        <v>1</v>
      </c>
      <c r="Y67" s="218">
        <f t="shared" si="27"/>
        <v>23.285900000000002</v>
      </c>
      <c r="Z67" s="218">
        <f t="shared" si="28"/>
        <v>2.6200000000000001E-2</v>
      </c>
      <c r="AA67" s="218">
        <f t="shared" si="9"/>
        <v>23.259700000000002</v>
      </c>
      <c r="AB67" s="219" t="e">
        <f>VLOOKUP(A67,Enforcements!$C$7:$K$11,8,0)</f>
        <v>#N/A</v>
      </c>
      <c r="AC67" s="219" t="e">
        <f>VLOOKUP(A67,Enforcements!$C$7:$E$11,3,0)</f>
        <v>#N/A</v>
      </c>
      <c r="AD67" s="186">
        <f t="shared" si="10"/>
        <v>154</v>
      </c>
      <c r="AE67" s="220" t="str">
        <f t="shared" si="11"/>
        <v>aws s3 cp s3://rtdc.mdm.uploadarchive.raw/RTDC4061/ "%USERPROFILE%\AppData\Local\Temp\OnboardLogs"\RTDC4061\2017-10-29 --exclude "*" --recursive --include "*20171029*" &amp; "%USERPROFILE%\Documents\GitHub\mrs-test-scripts\Headless Mode &amp; Sideloading\WalkAndUnGZ.bat" "%USERPROFILE%\AppData\Local\Temp\OnboardLogs"\RTDC4061\2017-10-29 &amp; aws s3 cp s3://rtdc.mdm.uploadarchive.raw/RTDC4061/ "%USERPROFILE%\AppData\Local\Temp\OnboardLogs"\RTDC4061\2017-10-30 --exclude "*" --recursive --include "*20171030*" &amp; "%USERPROFILE%\Documents\GitHub\mrs-test-scripts\Headless Mode &amp; Sideloading\WalkAndUnGZ.bat" "%USERPROFILE%\AppData\Local\Temp\OnboardLogs"\RTDC4061\2017-10-30</v>
      </c>
      <c r="AF67" s="221" t="str">
        <f t="shared" si="12"/>
        <v>"C:\Program Files (x86)\AstroGrep\AstroGrep.exe" /e /r /s /spath="%USERPROFILE%\AppData\Local\Temp\OnboardLogs" /stypes="app*4061*20171029*" /stext=" 17:.+((SYSTEM_STATE.+slice.+state.+changed )|(ment ac)|(multiple cpu faults)|(system.+state.+changed )|(\[timeout)|(PRM\|1\|D)|(kpr)|(kdp)|(train st.+moving)|(\|lc)|(penalty))"</v>
      </c>
      <c r="AG67" s="185" t="str">
        <f t="shared" si="13"/>
        <v>EC</v>
      </c>
      <c r="AH67" s="222" t="str">
        <f t="shared" si="19"/>
        <v>"%USERPROFILE%\Documents\GitHub\eaglep3\Utilities\RefineRTDCRunTimes.py" --tripid 154-29 --locoid 4061 --swversion DE.1.0.9.0 --startMP 204:232859 --initTime 2017-10-29T11:07:10 --startdatetime 2017-10-29T11:12:15 --delay 73 --endMP 204:262 --enddatetime 2017-10-29T11:52:06 --enforcementcount 0 &gt;&gt;%USERPROFILE%\Documents\GitHub\eaglep3-reporting\EC\2017-10-29-refined-times.txt</v>
      </c>
      <c r="AI67" s="223" t="str">
        <f t="shared" si="20"/>
        <v>echo {"issue":{"subject":"Unhealthy xing banner at Chambers due to 40th station stop","project_id":79,"tracker_id":40,"status_id":1,"priority_id":2,"assigned_to_id":338,"start_date":"2017-10-29","description":"","custom_fields":[{"id":1,"name":"Subdivision","value":"EC"},{"id":4,"name":"Milepost","value":"0.0262"},{"id":17,"name":"Train ID","value":"154-29"},{"id":16,"name":"Locomotive ID","value":"4061"},{"id":130,"name":"Impact","value":""},{"id":150,"name":"Time of Event (Mountain Time)","value":"11:52:06"},{"id":151,"name":"Denver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182"/>
      <c r="AK67" s="186"/>
      <c r="AL67" s="186"/>
      <c r="AM67" s="187" t="str">
        <f t="shared" si="21"/>
        <v>start /low /b %USERPROFILE%\Documents\GitHub\eaglep3\Utilities\DownloadLogsFromS3.py --loco 4061 --day 2017-10-29</v>
      </c>
      <c r="AN67" s="224" t="str">
        <f t="shared" si="22"/>
        <v>echo {"issue":{"subject":"Unhealthy xing banner at Chambers due to 40th station stop","project_id":30,"tracker_id":4,"status_id":1,"priority_id":1,"assigned_to_id":10,"start_date":"2017-10-29","description":"","custom_fields":[{"id":30,"name":"Category","value":"Issue"},{"id":3,"name":"Functional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17:52:06"},{"id":29,"name":"Sharepoint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82" t="str">
        <f t="shared" si="23"/>
        <v>https://d0f6bd738d7f1b3e5a7ca70fe4ff75f0.us-east-1.aws.found.io/app/kibana#/discover/Steve-Slow-Train-Analysis-(2080s-and-2083s)?_g=(refreshInterval:(display:Off,pause:!f,section:0,value:0),time:(from:'2017-10-29T10:07:10-0600',mode:absolute,to:'2017-10-29T12:52:06-0600'))&amp;_a=(columns:!('Message%20ID',Summary),filters:!(),index:'emp_*',interval:auto,query:(query_string:(analyze_wildcard:!t,query:'%22rtdc.l.rtdc.4061%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32" t="s">
        <v>742</v>
      </c>
      <c r="B68" s="7">
        <v>4008</v>
      </c>
      <c r="C68" s="21" t="s">
        <v>194</v>
      </c>
      <c r="D68" s="21" t="s">
        <v>921</v>
      </c>
      <c r="E68" s="13">
        <v>43037.434421296297</v>
      </c>
      <c r="F68" s="13">
        <v>43037.437708333331</v>
      </c>
      <c r="G68" s="7">
        <v>68</v>
      </c>
      <c r="H68" s="21" t="s">
        <v>922</v>
      </c>
      <c r="I68" s="13">
        <v>43037.463402777779</v>
      </c>
      <c r="J68" s="7">
        <v>0</v>
      </c>
      <c r="K68" s="76" t="str">
        <f t="shared" si="0"/>
        <v>4007/4008</v>
      </c>
      <c r="L68" s="164" t="str">
        <f>VLOOKUP(A68,'Trips&amp;Operators'!$C$1:$G$99911,5,FALSE)</f>
        <v>WILLIAMS DONTE</v>
      </c>
      <c r="M68" s="6">
        <f t="shared" si="1"/>
        <v>2.5694444448163267E-2</v>
      </c>
      <c r="N68" s="7">
        <f t="shared" si="32"/>
        <v>37.000000005355105</v>
      </c>
      <c r="O68" s="7"/>
      <c r="P68" s="7"/>
      <c r="Q68" s="22"/>
      <c r="R68" s="157"/>
      <c r="S68" s="215">
        <f t="shared" si="31"/>
        <v>1</v>
      </c>
      <c r="T68" s="216" t="str">
        <f t="shared" si="4"/>
        <v>NorthBound</v>
      </c>
      <c r="U68" s="216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7" t="str">
        <f t="shared" si="5"/>
        <v>https://d0f6bd738d7f1b3e5a7ca70fe4ff75f0.us-east-1.aws.found.io/app/kibana#/discover/Steve-Slow-Train-Analysis-(2080s-and-2083s)?_g=(refreshInterval:(display:Off,pause:!f,section:0,value:0),time:(from:'2017-10-29T09:25:34-0600',mode:absolute,to:'2017-10-29T12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68" s="218" t="str">
        <f>IF(AA68&lt;VLOOKUP(AG68,Variables!$AC$3:$AD$8,2,FALSE),"Y","N")</f>
        <v>N</v>
      </c>
      <c r="X68" s="218">
        <f t="shared" ref="X68:X77" si="33">VALUE(LEFT(AD68,4))-VALUE(LEFT(AD67,4))</f>
        <v>1</v>
      </c>
      <c r="Y68" s="218">
        <f t="shared" si="27"/>
        <v>5.1299999999999998E-2</v>
      </c>
      <c r="Z68" s="218">
        <f t="shared" si="28"/>
        <v>23.3202</v>
      </c>
      <c r="AA68" s="218">
        <f t="shared" si="9"/>
        <v>23.268899999999999</v>
      </c>
      <c r="AB68" s="219" t="e">
        <f>VLOOKUP(A68,Enforcements!$C$7:$K$11,8,0)</f>
        <v>#N/A</v>
      </c>
      <c r="AC68" s="219" t="e">
        <f>VLOOKUP(A68,Enforcements!$C$7:$E$11,3,0)</f>
        <v>#N/A</v>
      </c>
      <c r="AD68" s="186">
        <f t="shared" si="10"/>
        <v>155</v>
      </c>
      <c r="AE68" s="220" t="str">
        <f t="shared" si="11"/>
        <v>aws s3 cp s3://rtdc.mdm.uploadarchive.raw/RTDC4008/ "%USERPROFILE%\AppData\Local\Temp\OnboardLogs"\RTDC4008\2017-10-29 --exclude "*" --recursive --include "*20171029*" &amp; "%USERPROFILE%\Documents\GitHub\mrs-test-scripts\Headless Mode &amp; Sideloading\WalkAndUnGZ.bat" "%USERPROFILE%\AppData\Local\Temp\OnboardLogs"\RTDC4008\2017-10-29 &amp; aws s3 cp s3://rtdc.mdm.uploadarchive.raw/RTDC4008/ "%USERPROFILE%\AppData\Local\Temp\OnboardLogs"\RTDC4008\2017-10-30 --exclude "*" --recursive --include "*20171030*" &amp; "%USERPROFILE%\Documents\GitHub\mrs-test-scripts\Headless Mode &amp; Sideloading\WalkAndUnGZ.bat" "%USERPROFILE%\AppData\Local\Temp\OnboardLogs"\RTDC4008\2017-10-30</v>
      </c>
      <c r="AF68" s="221" t="str">
        <f t="shared" si="12"/>
        <v>"C:\Program Files (x86)\AstroGrep\AstroGrep.exe" /e /r /s /spath="%USERPROFILE%\AppData\Local\Temp\OnboardLogs" /stypes="app*4008*20171029*" /stext=" 17:.+((SYSTEM_STATE.+slice.+state.+changed )|(ment ac)|(multiple cpu faults)|(system.+state.+changed )|(\[timeout)|(PRM\|1\|D)|(kpr)|(kdp)|(train st.+moving)|(\|lc)|(penalty))"</v>
      </c>
      <c r="AG68" s="185" t="str">
        <f t="shared" si="13"/>
        <v>EC</v>
      </c>
      <c r="AH68" s="222" t="str">
        <f t="shared" si="19"/>
        <v>"%USERPROFILE%\Documents\GitHub\eaglep3\Utilities\RefineRTDCRunTimes.py" --tripid 155-29 --locoid 4008 --swversion DE.1.0.9.0 --startMP 204:513 --initTime 2017-10-29T10:25:34 --startdatetime 2017-10-29T10:30:18 --delay 68 --endMP 204:233202 --enddatetime 2017-10-29T11:07:18 --enforcementcount 0 &gt;&gt;%USERPROFILE%\Documents\GitHub\eaglep3-reporting\EC\2017-10-29-refined-times.txt</v>
      </c>
      <c r="AI68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{"issue":{"subject":"","project_id":79,"tracker_id":40,"status_id":1,"priority_id":2,"assigned_to_id":338,"start_date":"2017-10-29","description":"","custom_fields":[{"id":1,"name":"Subdivision","value":"EC"},{"id":4,"name":"Milepost","value":"23.3202"},{"id":17,"name":"Train ID","value":"155-29"},{"id":16,"name":"Locomotive ID","value":"4008"},{"id":130,"name":"Impact","value":""},{"id":150,"name":"Time of Event (Mountain Time)","value":"11:07:18"},{"id":151,"name":"Denver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182"/>
      <c r="AK68" s="186"/>
      <c r="AL68" s="186"/>
      <c r="AM68" s="187" t="str">
        <f t="shared" si="21"/>
        <v>start /low /b %USERPROFILE%\Documents\GitHub\eaglep3\Utilities\DownloadLogsFromS3.py --loco 4008 --day 2017-10-29</v>
      </c>
      <c r="AN68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17:07:18"},{"id":29,"name":"Sharepoint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82" t="str">
        <f t="shared" si="23"/>
        <v>https://d0f6bd738d7f1b3e5a7ca70fe4ff75f0.us-east-1.aws.found.io/app/kibana#/discover/Steve-Slow-Train-Analysis-(2080s-and-2083s)?_g=(refreshInterval:(display:Off,pause:!f,section:0,value:0),time:(from:'2017-10-29T09:25:34-0600',mode:absolute,to:'2017-10-29T12:07:18-0600'))&amp;_a=(columns:!('Message%20ID',Summary),filters:!(),index:'emp_*',interval:auto,query:(query_string:(analyze_wildcard:!t,query:'%22rtdc.l.rtdc.4008%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32" t="s">
        <v>750</v>
      </c>
      <c r="B69" s="7">
        <v>4007</v>
      </c>
      <c r="C69" s="21" t="s">
        <v>194</v>
      </c>
      <c r="D69" s="21" t="s">
        <v>503</v>
      </c>
      <c r="E69" s="13">
        <v>43037.472743055558</v>
      </c>
      <c r="F69" s="13">
        <v>43037.477303240739</v>
      </c>
      <c r="G69" s="7">
        <v>88</v>
      </c>
      <c r="H69" s="21" t="s">
        <v>603</v>
      </c>
      <c r="I69" s="13">
        <v>43037.50476851852</v>
      </c>
      <c r="J69" s="7">
        <v>0</v>
      </c>
      <c r="K69" s="76" t="str">
        <f t="shared" si="0"/>
        <v>4007/4008</v>
      </c>
      <c r="L69" s="164" t="str">
        <f>VLOOKUP(A69,'Trips&amp;Operators'!$C$1:$G$99911,5,FALSE)</f>
        <v>WILLIAMS DONTE</v>
      </c>
      <c r="M69" s="6">
        <f t="shared" si="1"/>
        <v>2.7465277780720498E-2</v>
      </c>
      <c r="N69" s="7">
        <f t="shared" si="32"/>
        <v>39.550000004237518</v>
      </c>
      <c r="O69" s="7"/>
      <c r="P69" s="7"/>
      <c r="Q69" s="22"/>
      <c r="R69" s="157"/>
      <c r="S69" s="215">
        <f t="shared" si="31"/>
        <v>1</v>
      </c>
      <c r="T69" s="216" t="str">
        <f t="shared" si="4"/>
        <v>Southbound</v>
      </c>
      <c r="U69" s="216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7" t="str">
        <f t="shared" si="5"/>
        <v>https://d0f6bd738d7f1b3e5a7ca70fe4ff75f0.us-east-1.aws.found.io/app/kibana#/discover/Steve-Slow-Train-Analysis-(2080s-and-2083s)?_g=(refreshInterval:(display:Off,pause:!f,section:0,value:0),time:(from:'2017-10-29T10:20:45-0600',mode:absolute,to:'2017-10-29T13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69" s="218" t="str">
        <f>IF(AA69&lt;VLOOKUP(AG69,Variables!$AC$3:$AD$8,2,FALSE),"Y","N")</f>
        <v>N</v>
      </c>
      <c r="X69" s="218">
        <f t="shared" si="33"/>
        <v>1</v>
      </c>
      <c r="Y69" s="218">
        <f t="shared" si="27"/>
        <v>23.2879</v>
      </c>
      <c r="Z69" s="218">
        <f t="shared" si="28"/>
        <v>2.0500000000000001E-2</v>
      </c>
      <c r="AA69" s="218">
        <f t="shared" si="9"/>
        <v>23.267400000000002</v>
      </c>
      <c r="AB69" s="219" t="e">
        <f>VLOOKUP(A69,Enforcements!$C$7:$K$11,8,0)</f>
        <v>#N/A</v>
      </c>
      <c r="AC69" s="219" t="e">
        <f>VLOOKUP(A69,Enforcements!$C$7:$E$11,3,0)</f>
        <v>#N/A</v>
      </c>
      <c r="AD69" s="186">
        <f t="shared" si="10"/>
        <v>156</v>
      </c>
      <c r="AE69" s="220" t="str">
        <f t="shared" si="11"/>
        <v>aws s3 cp s3://rtdc.mdm.uploadarchive.raw/RTDC4007/ "%USERPROFILE%\AppData\Local\Temp\OnboardLogs"\RTDC4007\2017-10-29 --exclude "*" --recursive --include "*20171029*" &amp; "%USERPROFILE%\Documents\GitHub\mrs-test-scripts\Headless Mode &amp; Sideloading\WalkAndUnGZ.bat" "%USERPROFILE%\AppData\Local\Temp\OnboardLogs"\RTDC4007\2017-10-29 &amp; aws s3 cp s3://rtdc.mdm.uploadarchive.raw/RTDC4007/ "%USERPROFILE%\AppData\Local\Temp\OnboardLogs"\RTDC4007\2017-10-30 --exclude "*" --recursive --include "*20171030*" &amp; "%USERPROFILE%\Documents\GitHub\mrs-test-scripts\Headless Mode &amp; Sideloading\WalkAndUnGZ.bat" "%USERPROFILE%\AppData\Local\Temp\OnboardLogs"\RTDC4007\2017-10-30</v>
      </c>
      <c r="AF69" s="221" t="str">
        <f t="shared" si="12"/>
        <v>"C:\Program Files (x86)\AstroGrep\AstroGrep.exe" /e /r /s /spath="%USERPROFILE%\AppData\Local\Temp\OnboardLogs" /stypes="app*4007*20171029*" /stext=" 18:.+((SYSTEM_STATE.+slice.+state.+changed )|(ment ac)|(multiple cpu faults)|(system.+state.+changed )|(\[timeout)|(PRM\|1\|D)|(kpr)|(kdp)|(train st.+moving)|(\|lc)|(penalty))"</v>
      </c>
      <c r="AG69" s="185" t="str">
        <f t="shared" si="13"/>
        <v>EC</v>
      </c>
      <c r="AH69" s="222" t="str">
        <f t="shared" si="19"/>
        <v>"%USERPROFILE%\Documents\GitHub\eaglep3\Utilities\RefineRTDCRunTimes.py" --tripid 156-29 --locoid 4007 --swversion DE.1.0.9.0 --startMP 204:232879 --initTime 2017-10-29T11:20:45 --startdatetime 2017-10-29T11:27:19 --delay 88 --endMP 204:205 --enddatetime 2017-10-29T12:06:52 --enforcementcount 0 &gt;&gt;%USERPROFILE%\Documents\GitHub\eaglep3-reporting\EC\2017-10-29-refined-times.txt</v>
      </c>
      <c r="AI69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{"issue":{"subject":"","project_id":79,"tracker_id":40,"status_id":1,"priority_id":2,"assigned_to_id":338,"start_date":"2017-10-29","description":"","custom_fields":[{"id":1,"name":"Subdivision","value":"EC"},{"id":4,"name":"Milepost","value":"0.0205"},{"id":17,"name":"Train ID","value":"156-29"},{"id":16,"name":"Locomotive ID","value":"4007"},{"id":130,"name":"Impact","value":""},{"id":150,"name":"Time of Event (Mountain Time)","value":"12:06:52"},{"id":151,"name":"Denver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182"/>
      <c r="AK69" s="186"/>
      <c r="AL69" s="186"/>
      <c r="AM69" s="187" t="str">
        <f t="shared" si="21"/>
        <v>start /low /b %USERPROFILE%\Documents\GitHub\eaglep3\Utilities\DownloadLogsFromS3.py --loco 4007 --day 2017-10-29</v>
      </c>
      <c r="AN69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18:06:52"},{"id":29,"name":"Sharepoint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82" t="str">
        <f t="shared" si="23"/>
        <v>https://d0f6bd738d7f1b3e5a7ca70fe4ff75f0.us-east-1.aws.found.io/app/kibana#/discover/Steve-Slow-Train-Analysis-(2080s-and-2083s)?_g=(refreshInterval:(display:Off,pause:!f,section:0,value:0),time:(from:'2017-10-29T10:20:45-0600',mode:absolute,to:'2017-10-29T13:06:52-0600'))&amp;_a=(columns:!('Message%20ID',Summary),filters:!(),index:'emp_*',interval:auto,query:(query_string:(analyze_wildcard:!t,query:'%22rtdc.l.rtdc.4007%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32" t="s">
        <v>744</v>
      </c>
      <c r="B70" s="7">
        <v>4018</v>
      </c>
      <c r="C70" s="21" t="s">
        <v>194</v>
      </c>
      <c r="D70" s="21" t="s">
        <v>915</v>
      </c>
      <c r="E70" s="13">
        <v>43037.443668981483</v>
      </c>
      <c r="F70" s="13">
        <v>43037.448171296295</v>
      </c>
      <c r="G70" s="7">
        <v>66</v>
      </c>
      <c r="H70" s="21" t="s">
        <v>923</v>
      </c>
      <c r="I70" s="13">
        <v>43037.472418981481</v>
      </c>
      <c r="J70" s="7">
        <v>0</v>
      </c>
      <c r="K70" s="76" t="str">
        <f t="shared" si="0"/>
        <v>4017/4018</v>
      </c>
      <c r="L70" s="164" t="str">
        <f>VLOOKUP(A70,'Trips&amp;Operators'!$C$1:$G$99911,5,FALSE)</f>
        <v>STEWART MICHAEL</v>
      </c>
      <c r="M70" s="6">
        <f t="shared" si="1"/>
        <v>2.4247685185400769E-2</v>
      </c>
      <c r="N70" s="7">
        <f t="shared" si="32"/>
        <v>34.916666666977108</v>
      </c>
      <c r="O70" s="7"/>
      <c r="P70" s="7"/>
      <c r="Q70" s="22"/>
      <c r="R70" s="157"/>
      <c r="S70" s="215">
        <f t="shared" si="31"/>
        <v>1</v>
      </c>
      <c r="T70" s="216" t="str">
        <f t="shared" si="4"/>
        <v>NorthBound</v>
      </c>
      <c r="U70" s="216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7" t="str">
        <f t="shared" si="5"/>
        <v>https://d0f6bd738d7f1b3e5a7ca70fe4ff75f0.us-east-1.aws.found.io/app/kibana#/discover/Steve-Slow-Train-Analysis-(2080s-and-2083s)?_g=(refreshInterval:(display:Off,pause:!f,section:0,value:0),time:(from:'2017-10-29T09:38:53-0600',mode:absolute,to:'2017-10-29T12:20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0" s="218" t="str">
        <f>IF(AA70&lt;VLOOKUP(AG70,Variables!$AC$3:$AD$8,2,FALSE),"Y","N")</f>
        <v>N</v>
      </c>
      <c r="X70" s="218">
        <f t="shared" si="33"/>
        <v>1</v>
      </c>
      <c r="Y70" s="218">
        <f t="shared" si="27"/>
        <v>4.53E-2</v>
      </c>
      <c r="Z70" s="218">
        <f t="shared" si="28"/>
        <v>23.318000000000001</v>
      </c>
      <c r="AA70" s="218">
        <f t="shared" si="9"/>
        <v>23.2727</v>
      </c>
      <c r="AB70" s="219" t="e">
        <f>VLOOKUP(A70,Enforcements!$C$7:$K$11,8,0)</f>
        <v>#N/A</v>
      </c>
      <c r="AC70" s="219" t="e">
        <f>VLOOKUP(A70,Enforcements!$C$7:$E$11,3,0)</f>
        <v>#N/A</v>
      </c>
      <c r="AD70" s="186">
        <f t="shared" si="10"/>
        <v>157</v>
      </c>
      <c r="AE70" s="220" t="str">
        <f t="shared" si="11"/>
        <v>aws s3 cp s3://rtdc.mdm.uploadarchive.raw/RTDC4018/ "%USERPROFILE%\AppData\Local\Temp\OnboardLogs"\RTDC4018\2017-10-29 --exclude "*" --recursive --include "*20171029*" &amp; "%USERPROFILE%\Documents\GitHub\mrs-test-scripts\Headless Mode &amp; Sideloading\WalkAndUnGZ.bat" "%USERPROFILE%\AppData\Local\Temp\OnboardLogs"\RTDC4018\2017-10-29 &amp; aws s3 cp s3://rtdc.mdm.uploadarchive.raw/RTDC4018/ "%USERPROFILE%\AppData\Local\Temp\OnboardLogs"\RTDC4018\2017-10-30 --exclude "*" --recursive --include "*20171030*" &amp; "%USERPROFILE%\Documents\GitHub\mrs-test-scripts\Headless Mode &amp; Sideloading\WalkAndUnGZ.bat" "%USERPROFILE%\AppData\Local\Temp\OnboardLogs"\RTDC4018\2017-10-30</v>
      </c>
      <c r="AF70" s="221" t="str">
        <f t="shared" si="12"/>
        <v>"C:\Program Files (x86)\AstroGrep\AstroGrep.exe" /e /r /s /spath="%USERPROFILE%\AppData\Local\Temp\OnboardLogs" /stypes="app*4018*20171029*" /stext=" 17:.+((SYSTEM_STATE.+slice.+state.+changed )|(ment ac)|(multiple cpu faults)|(system.+state.+changed )|(\[timeout)|(PRM\|1\|D)|(kpr)|(kdp)|(train st.+moving)|(\|lc)|(penalty))"</v>
      </c>
      <c r="AG70" s="185" t="str">
        <f t="shared" si="13"/>
        <v>EC</v>
      </c>
      <c r="AH70" s="222" t="str">
        <f t="shared" si="19"/>
        <v>"%USERPROFILE%\Documents\GitHub\eaglep3\Utilities\RefineRTDCRunTimes.py" --tripid 157-29 --locoid 4018 --swversion DE.1.0.9.0 --startMP 204:453 --initTime 2017-10-29T10:38:53 --startdatetime 2017-10-29T10:45:22 --delay 66 --endMP 204:233180 --enddatetime 2017-10-29T11:20:17 --enforcementcount 0 &gt;&gt;%USERPROFILE%\Documents\GitHub\eaglep3-reporting\EC\2017-10-29-refined-times.txt</v>
      </c>
      <c r="AI70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{"issue":{"subject":"","project_id":79,"tracker_id":40,"status_id":1,"priority_id":2,"assigned_to_id":338,"start_date":"2017-10-29","description":"","custom_fields":[{"id":1,"name":"Subdivision","value":"EC"},{"id":4,"name":"Milepost","value":"23.318"},{"id":17,"name":"Train ID","value":"157-29"},{"id":16,"name":"Locomotive ID","value":"4018"},{"id":130,"name":"Impact","value":""},{"id":150,"name":"Time of Event (Mountain Time)","value":"11:20:17"},{"id":151,"name":"Denver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182"/>
      <c r="AK70" s="186"/>
      <c r="AL70" s="186"/>
      <c r="AM70" s="187" t="str">
        <f t="shared" si="21"/>
        <v>start /low /b %USERPROFILE%\Documents\GitHub\eaglep3\Utilities\DownloadLogsFromS3.py --loco 4018 --day 2017-10-29</v>
      </c>
      <c r="AN70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17:20:17"},{"id":29,"name":"Sharepoint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82" t="str">
        <f t="shared" si="23"/>
        <v>https://d0f6bd738d7f1b3e5a7ca70fe4ff75f0.us-east-1.aws.found.io/app/kibana#/discover/Steve-Slow-Train-Analysis-(2080s-and-2083s)?_g=(refreshInterval:(display:Off,pause:!f,section:0,value:0),time:(from:'2017-10-29T09:38:53-0600',mode:absolute,to:'2017-10-29T12:20:17-0600'))&amp;_a=(columns:!('Message%20ID',Summary),filters:!(),index:'emp_*',interval:auto,query:(query_string:(analyze_wildcard:!t,query:'%22rtdc.l.rtdc.4018%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32" t="s">
        <v>758</v>
      </c>
      <c r="B71" s="7">
        <v>4017</v>
      </c>
      <c r="C71" s="21" t="s">
        <v>194</v>
      </c>
      <c r="D71" s="21" t="s">
        <v>924</v>
      </c>
      <c r="E71" s="13">
        <v>43037.484560185185</v>
      </c>
      <c r="F71" s="13">
        <v>43037.487696759257</v>
      </c>
      <c r="G71" s="7">
        <v>74</v>
      </c>
      <c r="H71" s="21" t="s">
        <v>925</v>
      </c>
      <c r="I71" s="13">
        <v>43037.514409722222</v>
      </c>
      <c r="J71" s="7">
        <v>0</v>
      </c>
      <c r="K71" s="76" t="str">
        <f t="shared" si="0"/>
        <v>4017/4018</v>
      </c>
      <c r="L71" s="164" t="str">
        <f>VLOOKUP(A71,'Trips&amp;Operators'!$C$1:$G$99911,5,FALSE)</f>
        <v>STEWART MICHAEL</v>
      </c>
      <c r="M71" s="6">
        <f t="shared" si="1"/>
        <v>2.6712962964666076E-2</v>
      </c>
      <c r="N71" s="7">
        <f t="shared" si="32"/>
        <v>38.466666669119149</v>
      </c>
      <c r="O71" s="7"/>
      <c r="P71" s="7"/>
      <c r="Q71" s="22"/>
      <c r="R71" s="157"/>
      <c r="S71" s="215">
        <f t="shared" si="31"/>
        <v>1</v>
      </c>
      <c r="T71" s="216" t="str">
        <f t="shared" si="4"/>
        <v>Southbound</v>
      </c>
      <c r="U71" s="216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7" t="str">
        <f t="shared" si="5"/>
        <v>https://d0f6bd738d7f1b3e5a7ca70fe4ff75f0.us-east-1.aws.found.io/app/kibana#/discover/Steve-Slow-Train-Analysis-(2080s-and-2083s)?_g=(refreshInterval:(display:Off,pause:!f,section:0,value:0),time:(from:'2017-10-29T10:37:46-0600',mode:absolute,to:'2017-10-29T13:20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1" s="218" t="str">
        <f>IF(AA71&lt;VLOOKUP(AG71,Variables!$AC$3:$AD$8,2,FALSE),"Y","N")</f>
        <v>N</v>
      </c>
      <c r="X71" s="218">
        <f t="shared" si="33"/>
        <v>1</v>
      </c>
      <c r="Y71" s="218">
        <f t="shared" si="27"/>
        <v>23.287099999999999</v>
      </c>
      <c r="Z71" s="218">
        <f t="shared" si="28"/>
        <v>2.3199999999999998E-2</v>
      </c>
      <c r="AA71" s="218">
        <f t="shared" si="9"/>
        <v>23.2639</v>
      </c>
      <c r="AB71" s="219" t="e">
        <f>VLOOKUP(A71,Enforcements!$C$7:$K$11,8,0)</f>
        <v>#N/A</v>
      </c>
      <c r="AC71" s="219" t="e">
        <f>VLOOKUP(A71,Enforcements!$C$7:$E$11,3,0)</f>
        <v>#N/A</v>
      </c>
      <c r="AD71" s="186">
        <f t="shared" si="10"/>
        <v>158</v>
      </c>
      <c r="AE71" s="220" t="str">
        <f t="shared" si="11"/>
        <v>aws s3 cp s3://rtdc.mdm.uploadarchive.raw/RTDC4017/ "%USERPROFILE%\AppData\Local\Temp\OnboardLogs"\RTDC4017\2017-10-29 --exclude "*" --recursive --include "*20171029*" &amp; "%USERPROFILE%\Documents\GitHub\mrs-test-scripts\Headless Mode &amp; Sideloading\WalkAndUnGZ.bat" "%USERPROFILE%\AppData\Local\Temp\OnboardLogs"\RTDC4017\2017-10-29 &amp; aws s3 cp s3://rtdc.mdm.uploadarchive.raw/RTDC4017/ "%USERPROFILE%\AppData\Local\Temp\OnboardLogs"\RTDC4017\2017-10-30 --exclude "*" --recursive --include "*20171030*" &amp; "%USERPROFILE%\Documents\GitHub\mrs-test-scripts\Headless Mode &amp; Sideloading\WalkAndUnGZ.bat" "%USERPROFILE%\AppData\Local\Temp\OnboardLogs"\RTDC4017\2017-10-30</v>
      </c>
      <c r="AF71" s="221" t="str">
        <f t="shared" si="12"/>
        <v>"C:\Program Files (x86)\AstroGrep\AstroGrep.exe" /e /r /s /spath="%USERPROFILE%\AppData\Local\Temp\OnboardLogs" /stypes="app*4017*20171029*" /stext=" 18:.+((SYSTEM_STATE.+slice.+state.+changed )|(ment ac)|(multiple cpu faults)|(system.+state.+changed )|(\[timeout)|(PRM\|1\|D)|(kpr)|(kdp)|(train st.+moving)|(\|lc)|(penalty))"</v>
      </c>
      <c r="AG71" s="185" t="str">
        <f t="shared" si="13"/>
        <v>EC</v>
      </c>
      <c r="AH71" s="222" t="str">
        <f t="shared" si="19"/>
        <v>"%USERPROFILE%\Documents\GitHub\eaglep3\Utilities\RefineRTDCRunTimes.py" --tripid 158-29 --locoid 4017 --swversion DE.1.0.9.0 --startMP 204:232871 --initTime 2017-10-29T11:37:46 --startdatetime 2017-10-29T11:42:17 --delay 74 --endMP 204:232 --enddatetime 2017-10-29T12:20:45 --enforcementcount 0 &gt;&gt;%USERPROFILE%\Documents\GitHub\eaglep3-reporting\EC\2017-10-29-refined-times.txt</v>
      </c>
      <c r="AI71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{"issue":{"subject":"","project_id":79,"tracker_id":40,"status_id":1,"priority_id":2,"assigned_to_id":338,"start_date":"2017-10-29","description":"","custom_fields":[{"id":1,"name":"Subdivision","value":"EC"},{"id":4,"name":"Milepost","value":"0.0232"},{"id":17,"name":"Train ID","value":"158-29"},{"id":16,"name":"Locomotive ID","value":"4017"},{"id":130,"name":"Impact","value":""},{"id":150,"name":"Time of Event (Mountain Time)","value":"12:20:45"},{"id":151,"name":"Denver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182"/>
      <c r="AK71" s="186"/>
      <c r="AL71" s="186"/>
      <c r="AM71" s="187" t="str">
        <f t="shared" si="21"/>
        <v>start /low /b %USERPROFILE%\Documents\GitHub\eaglep3\Utilities\DownloadLogsFromS3.py --loco 4017 --day 2017-10-29</v>
      </c>
      <c r="AN71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18:20:45"},{"id":29,"name":"Sharepoint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82" t="str">
        <f t="shared" si="23"/>
        <v>https://d0f6bd738d7f1b3e5a7ca70fe4ff75f0.us-east-1.aws.found.io/app/kibana#/discover/Steve-Slow-Train-Analysis-(2080s-and-2083s)?_g=(refreshInterval:(display:Off,pause:!f,section:0,value:0),time:(from:'2017-10-29T10:37:46-0600',mode:absolute,to:'2017-10-29T13:20:45-0600'))&amp;_a=(columns:!('Message%20ID',Summary),filters:!(),index:'emp_*',interval:auto,query:(query_string:(analyze_wildcard:!t,query:'%22rtdc.l.rtdc.4017%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32" t="s">
        <v>746</v>
      </c>
      <c r="B72" s="7">
        <v>4026</v>
      </c>
      <c r="C72" s="21" t="s">
        <v>194</v>
      </c>
      <c r="D72" s="21" t="s">
        <v>896</v>
      </c>
      <c r="E72" s="13">
        <v>43037.455243055556</v>
      </c>
      <c r="F72" s="13">
        <v>43037.458495370367</v>
      </c>
      <c r="G72" s="7">
        <v>68</v>
      </c>
      <c r="H72" s="21" t="s">
        <v>926</v>
      </c>
      <c r="I72" s="13">
        <v>43037.483113425929</v>
      </c>
      <c r="J72" s="7">
        <v>0</v>
      </c>
      <c r="K72" s="76" t="str">
        <f t="shared" si="0"/>
        <v>4025/4026</v>
      </c>
      <c r="L72" s="164" t="str">
        <f>VLOOKUP(A72,'Trips&amp;Operators'!$C$1:$G$99911,5,FALSE)</f>
        <v>LAMAR NEKESHA</v>
      </c>
      <c r="M72" s="6">
        <f t="shared" si="1"/>
        <v>2.4618055562314112E-2</v>
      </c>
      <c r="N72" s="7">
        <f t="shared" si="32"/>
        <v>35.450000009732321</v>
      </c>
      <c r="O72" s="7"/>
      <c r="P72" s="7"/>
      <c r="Q72" s="22"/>
      <c r="R72" s="157"/>
      <c r="S72" s="215">
        <f t="shared" si="31"/>
        <v>1</v>
      </c>
      <c r="T72" s="216" t="str">
        <f t="shared" si="4"/>
        <v>NorthBound</v>
      </c>
      <c r="U72" s="216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7" t="str">
        <f t="shared" si="5"/>
        <v>https://d0f6bd738d7f1b3e5a7ca70fe4ff75f0.us-east-1.aws.found.io/app/kibana#/discover/Steve-Slow-Train-Analysis-(2080s-and-2083s)?_g=(refreshInterval:(display:Off,pause:!f,section:0,value:0),time:(from:'2017-10-29T09:55:33-0600',mode:absolute,to:'2017-10-29T12:35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218" t="str">
        <f>IF(AA72&lt;VLOOKUP(AG72,Variables!$AC$3:$AD$8,2,FALSE),"Y","N")</f>
        <v>N</v>
      </c>
      <c r="X72" s="218">
        <f t="shared" si="33"/>
        <v>1</v>
      </c>
      <c r="Y72" s="218">
        <f t="shared" si="27"/>
        <v>0.05</v>
      </c>
      <c r="Z72" s="218">
        <f t="shared" si="28"/>
        <v>23.319500000000001</v>
      </c>
      <c r="AA72" s="218">
        <f t="shared" si="9"/>
        <v>23.269500000000001</v>
      </c>
      <c r="AB72" s="219" t="e">
        <f>VLOOKUP(A72,Enforcements!$C$7:$K$11,8,0)</f>
        <v>#N/A</v>
      </c>
      <c r="AC72" s="219" t="e">
        <f>VLOOKUP(A72,Enforcements!$C$7:$E$11,3,0)</f>
        <v>#N/A</v>
      </c>
      <c r="AD72" s="186">
        <f t="shared" si="10"/>
        <v>159</v>
      </c>
      <c r="AE72" s="220" t="str">
        <f t="shared" si="11"/>
        <v>aws s3 cp s3://rtdc.mdm.uploadarchive.raw/RTDC4026/ "%USERPROFILE%\AppData\Local\Temp\OnboardLogs"\RTDC4026\2017-10-29 --exclude "*" --recursive --include "*20171029*" &amp; "%USERPROFILE%\Documents\GitHub\mrs-test-scripts\Headless Mode &amp; Sideloading\WalkAndUnGZ.bat" "%USERPROFILE%\AppData\Local\Temp\OnboardLogs"\RTDC4026\2017-10-29 &amp; aws s3 cp s3://rtdc.mdm.uploadarchive.raw/RTDC4026/ "%USERPROFILE%\AppData\Local\Temp\OnboardLogs"\RTDC4026\2017-10-30 --exclude "*" --recursive --include "*20171030*" &amp; "%USERPROFILE%\Documents\GitHub\mrs-test-scripts\Headless Mode &amp; Sideloading\WalkAndUnGZ.bat" "%USERPROFILE%\AppData\Local\Temp\OnboardLogs"\RTDC4026\2017-10-30</v>
      </c>
      <c r="AF72" s="221" t="str">
        <f t="shared" si="12"/>
        <v>"C:\Program Files (x86)\AstroGrep\AstroGrep.exe" /e /r /s /spath="%USERPROFILE%\AppData\Local\Temp\OnboardLogs" /stypes="app*4026*20171029*" /stext=" 17:.+((SYSTEM_STATE.+slice.+state.+changed )|(ment ac)|(multiple cpu faults)|(system.+state.+changed )|(\[timeout)|(PRM\|1\|D)|(kpr)|(kdp)|(train st.+moving)|(\|lc)|(penalty))"</v>
      </c>
      <c r="AG72" s="185" t="str">
        <f t="shared" si="13"/>
        <v>EC</v>
      </c>
      <c r="AH72" s="222" t="str">
        <f t="shared" si="19"/>
        <v>"%USERPROFILE%\Documents\GitHub\eaglep3\Utilities\RefineRTDCRunTimes.py" --tripid 159-29 --locoid 4026 --swversion DE.1.0.9.0 --startMP 204:500 --initTime 2017-10-29T10:55:33 --startdatetime 2017-10-29T11:00:14 --delay 68 --endMP 204:233195 --enddatetime 2017-10-29T11:35:41 --enforcementcount 0 &gt;&gt;%USERPROFILE%\Documents\GitHub\eaglep3-reporting\EC\2017-10-29-refined-times.txt</v>
      </c>
      <c r="AI72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{"issue":{"subject":"","project_id":79,"tracker_id":40,"status_id":1,"priority_id":2,"assigned_to_id":338,"start_date":"2017-10-29","description":"","custom_fields":[{"id":1,"name":"Subdivision","value":"EC"},{"id":4,"name":"Milepost","value":"23.3195"},{"id":17,"name":"Train ID","value":"159-29"},{"id":16,"name":"Locomotive ID","value":"4026"},{"id":130,"name":"Impact","value":""},{"id":150,"name":"Time of Event (Mountain Time)","value":"11:35:41"},{"id":151,"name":"Denver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182"/>
      <c r="AK72" s="186"/>
      <c r="AL72" s="186"/>
      <c r="AM72" s="187" t="str">
        <f t="shared" si="21"/>
        <v>start /low /b %USERPROFILE%\Documents\GitHub\eaglep3\Utilities\DownloadLogsFromS3.py --loco 4026 --day 2017-10-29</v>
      </c>
      <c r="AN72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17:35:41"},{"id":29,"name":"Sharepoint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82" t="str">
        <f t="shared" si="23"/>
        <v>https://d0f6bd738d7f1b3e5a7ca70fe4ff75f0.us-east-1.aws.found.io/app/kibana#/discover/Steve-Slow-Train-Analysis-(2080s-and-2083s)?_g=(refreshInterval:(display:Off,pause:!f,section:0,value:0),time:(from:'2017-10-29T09:55:33-0600',mode:absolute,to:'2017-10-29T12:35:41-0600'))&amp;_a=(columns:!('Message%20ID',Summary),filters:!(),index:'emp_*',interval:auto,query:(query_string:(analyze_wildcard:!t,query:'%22rtdc.l.rtdc.4026%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32" t="s">
        <v>759</v>
      </c>
      <c r="B73" s="7">
        <v>4025</v>
      </c>
      <c r="C73" s="21" t="s">
        <v>194</v>
      </c>
      <c r="D73" s="21" t="s">
        <v>531</v>
      </c>
      <c r="E73" s="13">
        <v>43037.493043981478</v>
      </c>
      <c r="F73" s="13">
        <v>43037.498252314814</v>
      </c>
      <c r="G73" s="7">
        <v>56</v>
      </c>
      <c r="H73" s="21" t="s">
        <v>334</v>
      </c>
      <c r="I73" s="13">
        <v>43037.523993055554</v>
      </c>
      <c r="J73" s="7">
        <v>0</v>
      </c>
      <c r="K73" s="76" t="str">
        <f t="shared" si="0"/>
        <v>4025/4026</v>
      </c>
      <c r="L73" s="164" t="str">
        <f>VLOOKUP(A73,'Trips&amp;Operators'!$C$1:$G$99911,5,FALSE)</f>
        <v>LAMAR NEKESHA</v>
      </c>
      <c r="M73" s="6">
        <f t="shared" si="1"/>
        <v>2.5740740740729962E-2</v>
      </c>
      <c r="N73" s="7">
        <f t="shared" si="32"/>
        <v>37.066666666651145</v>
      </c>
      <c r="O73" s="7"/>
      <c r="P73" s="7"/>
      <c r="Q73" s="22"/>
      <c r="R73" s="157"/>
      <c r="S73" s="215">
        <f t="shared" si="31"/>
        <v>1</v>
      </c>
      <c r="T73" s="216" t="str">
        <f t="shared" si="4"/>
        <v>Southbound</v>
      </c>
      <c r="U73" s="216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7" t="str">
        <f t="shared" si="5"/>
        <v>https://d0f6bd738d7f1b3e5a7ca70fe4ff75f0.us-east-1.aws.found.io/app/kibana#/discover/Steve-Slow-Train-Analysis-(2080s-and-2083s)?_g=(refreshInterval:(display:Off,pause:!f,section:0,value:0),time:(from:'2017-10-29T10:49:59-0600',mode:absolute,to:'2017-10-29T13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3" s="218" t="str">
        <f>IF(AA73&lt;VLOOKUP(AG73,Variables!$AC$3:$AD$8,2,FALSE),"Y","N")</f>
        <v>N</v>
      </c>
      <c r="X73" s="218">
        <f t="shared" si="33"/>
        <v>1</v>
      </c>
      <c r="Y73" s="218">
        <f t="shared" si="27"/>
        <v>23.2881</v>
      </c>
      <c r="Z73" s="218">
        <f t="shared" si="28"/>
        <v>1.4999999999999999E-2</v>
      </c>
      <c r="AA73" s="218">
        <f t="shared" si="9"/>
        <v>23.273099999999999</v>
      </c>
      <c r="AB73" s="219" t="e">
        <f>VLOOKUP(A73,Enforcements!$C$7:$K$11,8,0)</f>
        <v>#N/A</v>
      </c>
      <c r="AC73" s="219" t="e">
        <f>VLOOKUP(A73,Enforcements!$C$7:$E$11,3,0)</f>
        <v>#N/A</v>
      </c>
      <c r="AD73" s="186">
        <f t="shared" si="10"/>
        <v>160</v>
      </c>
      <c r="AE73" s="220" t="str">
        <f t="shared" si="11"/>
        <v>aws s3 cp s3://rtdc.mdm.uploadarchive.raw/RTDC4025/ "%USERPROFILE%\AppData\Local\Temp\OnboardLogs"\RTDC4025\2017-10-29 --exclude "*" --recursive --include "*20171029*" &amp; "%USERPROFILE%\Documents\GitHub\mrs-test-scripts\Headless Mode &amp; Sideloading\WalkAndUnGZ.bat" "%USERPROFILE%\AppData\Local\Temp\OnboardLogs"\RTDC4025\2017-10-29 &amp; aws s3 cp s3://rtdc.mdm.uploadarchive.raw/RTDC4025/ "%USERPROFILE%\AppData\Local\Temp\OnboardLogs"\RTDC4025\2017-10-30 --exclude "*" --recursive --include "*20171030*" &amp; "%USERPROFILE%\Documents\GitHub\mrs-test-scripts\Headless Mode &amp; Sideloading\WalkAndUnGZ.bat" "%USERPROFILE%\AppData\Local\Temp\OnboardLogs"\RTDC4025\2017-10-30</v>
      </c>
      <c r="AF73" s="221" t="str">
        <f t="shared" si="12"/>
        <v>"C:\Program Files (x86)\AstroGrep\AstroGrep.exe" /e /r /s /spath="%USERPROFILE%\AppData\Local\Temp\OnboardLogs" /stypes="app*4025*20171029*" /stext=" 18:.+((SYSTEM_STATE.+slice.+state.+changed )|(ment ac)|(multiple cpu faults)|(system.+state.+changed )|(\[timeout)|(PRM\|1\|D)|(kpr)|(kdp)|(train st.+moving)|(\|lc)|(penalty))"</v>
      </c>
      <c r="AG73" s="185" t="str">
        <f t="shared" si="13"/>
        <v>EC</v>
      </c>
      <c r="AH73" s="222" t="str">
        <f t="shared" si="19"/>
        <v>"%USERPROFILE%\Documents\GitHub\eaglep3\Utilities\RefineRTDCRunTimes.py" --tripid 160-29 --locoid 4025 --swversion DE.1.0.9.0 --startMP 204:232881 --initTime 2017-10-29T11:49:59 --startdatetime 2017-10-29T11:57:29 --delay 56 --endMP 204:150 --enddatetime 2017-10-29T12:34:33 --enforcementcount 0 &gt;&gt;%USERPROFILE%\Documents\GitHub\eaglep3-reporting\EC\2017-10-29-refined-times.txt</v>
      </c>
      <c r="AI73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{"issue":{"subject":"","project_id":79,"tracker_id":40,"status_id":1,"priority_id":2,"assigned_to_id":338,"start_date":"2017-10-29","description":"","custom_fields":[{"id":1,"name":"Subdivision","value":"EC"},{"id":4,"name":"Milepost","value":"0.015"},{"id":17,"name":"Train ID","value":"160-29"},{"id":16,"name":"Locomotive ID","value":"4025"},{"id":130,"name":"Impact","value":""},{"id":150,"name":"Time of Event (Mountain Time)","value":"12:34:33"},{"id":151,"name":"Denver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182"/>
      <c r="AK73" s="186"/>
      <c r="AL73" s="186"/>
      <c r="AM73" s="187" t="str">
        <f t="shared" si="21"/>
        <v>start /low /b %USERPROFILE%\Documents\GitHub\eaglep3\Utilities\DownloadLogsFromS3.py --loco 4025 --day 2017-10-29</v>
      </c>
      <c r="AN73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18:34:33"},{"id":29,"name":"Sharepoint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82" t="str">
        <f t="shared" si="23"/>
        <v>https://d0f6bd738d7f1b3e5a7ca70fe4ff75f0.us-east-1.aws.found.io/app/kibana#/discover/Steve-Slow-Train-Analysis-(2080s-and-2083s)?_g=(refreshInterval:(display:Off,pause:!f,section:0,value:0),time:(from:'2017-10-29T10:49:59-0600',mode:absolute,to:'2017-10-29T13:34:33-0600'))&amp;_a=(columns:!('Message%20ID',Summary),filters:!(),index:'emp_*',interval:auto,query:(query_string:(analyze_wildcard:!t,query:'%22rtdc.l.rtdc.4025%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32" t="s">
        <v>749</v>
      </c>
      <c r="B74" s="7">
        <v>4060</v>
      </c>
      <c r="C74" s="21" t="s">
        <v>194</v>
      </c>
      <c r="D74" s="21" t="s">
        <v>927</v>
      </c>
      <c r="E74" s="13">
        <v>43037.465949074074</v>
      </c>
      <c r="F74" s="13">
        <v>43037.469097222223</v>
      </c>
      <c r="G74" s="7">
        <v>124</v>
      </c>
      <c r="H74" s="21" t="s">
        <v>928</v>
      </c>
      <c r="I74" s="13">
        <v>43037.493981481479</v>
      </c>
      <c r="J74" s="7">
        <v>0</v>
      </c>
      <c r="K74" s="76" t="str">
        <f t="shared" si="0"/>
        <v>4059/4060</v>
      </c>
      <c r="L74" s="164" t="str">
        <f>VLOOKUP(A74,'Trips&amp;Operators'!$C$1:$G$99911,5,FALSE)</f>
        <v>DAVIS MICHAEL</v>
      </c>
      <c r="M74" s="6">
        <f t="shared" si="1"/>
        <v>2.488425925548654E-2</v>
      </c>
      <c r="N74" s="7">
        <f t="shared" si="32"/>
        <v>35.833333327900618</v>
      </c>
      <c r="O74" s="7"/>
      <c r="P74" s="7"/>
      <c r="Q74" s="22"/>
      <c r="R74" s="157"/>
      <c r="S74" s="215">
        <f t="shared" si="31"/>
        <v>1</v>
      </c>
      <c r="T74" s="216" t="str">
        <f t="shared" si="4"/>
        <v>NorthBound</v>
      </c>
      <c r="U74" s="216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7" t="str">
        <f t="shared" si="5"/>
        <v>https://d0f6bd738d7f1b3e5a7ca70fe4ff75f0.us-east-1.aws.found.io/app/kibana#/discover/Steve-Slow-Train-Analysis-(2080s-and-2083s)?_g=(refreshInterval:(display:Off,pause:!f,section:0,value:0),time:(from:'2017-10-29T10:10:58-0600',mode:absolute,to:'2017-10-29T12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4" s="218" t="str">
        <f>IF(AA74&lt;VLOOKUP(AG74,Variables!$AC$3:$AD$8,2,FALSE),"Y","N")</f>
        <v>N</v>
      </c>
      <c r="X74" s="218">
        <f t="shared" si="33"/>
        <v>1</v>
      </c>
      <c r="Y74" s="218">
        <f t="shared" si="27"/>
        <v>4.7800000000000002E-2</v>
      </c>
      <c r="Z74" s="218">
        <f t="shared" si="28"/>
        <v>23.319900000000001</v>
      </c>
      <c r="AA74" s="218">
        <f t="shared" si="9"/>
        <v>23.272100000000002</v>
      </c>
      <c r="AB74" s="219" t="e">
        <f>VLOOKUP(A74,Enforcements!$C$7:$K$11,8,0)</f>
        <v>#N/A</v>
      </c>
      <c r="AC74" s="219" t="e">
        <f>VLOOKUP(A74,Enforcements!$C$7:$E$11,3,0)</f>
        <v>#N/A</v>
      </c>
      <c r="AD74" s="186">
        <f t="shared" si="10"/>
        <v>161</v>
      </c>
      <c r="AE74" s="220" t="str">
        <f t="shared" si="11"/>
        <v>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 &amp; aws s3 cp s3://rtdc.mdm.uploadarchive.raw/RTDC4060/ "%USERPROFILE%\AppData\Local\Temp\OnboardLogs"\RTDC4060\2017-10-30 --exclude "*" --recursive --include "*20171030*" &amp; "%USERPROFILE%\Documents\GitHub\mrs-test-scripts\Headless Mode &amp; Sideloading\WalkAndUnGZ.bat" "%USERPROFILE%\AppData\Local\Temp\OnboardLogs"\RTDC4060\2017-10-30</v>
      </c>
      <c r="AF74" s="221" t="str">
        <f t="shared" si="12"/>
        <v>"C:\Program Files (x86)\AstroGrep\AstroGrep.exe" /e /r /s /spath="%USERPROFILE%\AppData\Local\Temp\OnboardLogs" /stypes="app*4060*20171029*" /stext=" 17:.+((SYSTEM_STATE.+slice.+state.+changed )|(ment ac)|(multiple cpu faults)|(system.+state.+changed )|(\[timeout)|(PRM\|1\|D)|(kpr)|(kdp)|(train st.+moving)|(\|lc)|(penalty))"</v>
      </c>
      <c r="AG74" s="185" t="str">
        <f t="shared" si="13"/>
        <v>EC</v>
      </c>
      <c r="AH74" s="222" t="str">
        <f t="shared" si="19"/>
        <v>"%USERPROFILE%\Documents\GitHub\eaglep3\Utilities\RefineRTDCRunTimes.py" --tripid 161-29 --locoid 4060 --swversion DE.1.0.9.0 --startMP 204:478 --initTime 2017-10-29T11:10:58 --startdatetime 2017-10-29T11:15:30 --delay 124 --endMP 204:233199 --enddatetime 2017-10-29T11:51:20 --enforcementcount 0 &gt;&gt;%USERPROFILE%\Documents\GitHub\eaglep3-reporting\EC\2017-10-29-refined-times.txt</v>
      </c>
      <c r="AI74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{"issue":{"subject":"","project_id":79,"tracker_id":40,"status_id":1,"priority_id":2,"assigned_to_id":338,"start_date":"2017-10-29","description":"","custom_fields":[{"id":1,"name":"Subdivision","value":"EC"},{"id":4,"name":"Milepost","value":"23.3199"},{"id":17,"name":"Train ID","value":"161-29"},{"id":16,"name":"Locomotive ID","value":"4060"},{"id":130,"name":"Impact","value":""},{"id":150,"name":"Time of Event (Mountain Time)","value":"11:51:20"},{"id":151,"name":"Denver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182"/>
      <c r="AK74" s="186"/>
      <c r="AL74" s="186"/>
      <c r="AM74" s="187" t="str">
        <f t="shared" si="21"/>
        <v>start /low /b %USERPROFILE%\Documents\GitHub\eaglep3\Utilities\DownloadLogsFromS3.py --loco 4060 --day 2017-10-29</v>
      </c>
      <c r="AN74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17:51:20"},{"id":29,"name":"Sharepoint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82" t="str">
        <f t="shared" si="23"/>
        <v>https://d0f6bd738d7f1b3e5a7ca70fe4ff75f0.us-east-1.aws.found.io/app/kibana#/discover/Steve-Slow-Train-Analysis-(2080s-and-2083s)?_g=(refreshInterval:(display:Off,pause:!f,section:0,value:0),time:(from:'2017-10-29T10:10:58-0600',mode:absolute,to:'2017-10-29T12:51:20-0600'))&amp;_a=(columns:!('Message%20ID',Summary),filters:!(),index:'emp_*',interval:auto,query:(query_string:(analyze_wildcard:!t,query:'%22rtdc.l.rtdc.4060%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32" t="s">
        <v>764</v>
      </c>
      <c r="B75" s="7">
        <v>4059</v>
      </c>
      <c r="C75" s="21" t="s">
        <v>194</v>
      </c>
      <c r="D75" s="21" t="s">
        <v>929</v>
      </c>
      <c r="E75" s="13">
        <v>43037.505115740743</v>
      </c>
      <c r="F75" s="13">
        <v>43037.508715277778</v>
      </c>
      <c r="G75" s="7">
        <v>108</v>
      </c>
      <c r="H75" s="21" t="s">
        <v>606</v>
      </c>
      <c r="I75" s="13">
        <v>43037.536168981482</v>
      </c>
      <c r="J75" s="7">
        <v>0</v>
      </c>
      <c r="K75" s="76" t="str">
        <f t="shared" si="0"/>
        <v>4059/4060</v>
      </c>
      <c r="L75" s="164" t="str">
        <f>VLOOKUP(A75,'Trips&amp;Operators'!$C$1:$G$99911,5,FALSE)</f>
        <v>DAVIS MICHAEL</v>
      </c>
      <c r="M75" s="6">
        <f t="shared" si="1"/>
        <v>2.7453703703940846E-2</v>
      </c>
      <c r="N75" s="7">
        <f t="shared" si="32"/>
        <v>39.533333333674818</v>
      </c>
      <c r="O75" s="7"/>
      <c r="P75" s="7"/>
      <c r="Q75" s="22"/>
      <c r="R75" s="157"/>
      <c r="S75" s="215">
        <f t="shared" si="31"/>
        <v>1</v>
      </c>
      <c r="T75" s="216" t="str">
        <f t="shared" si="4"/>
        <v>Southbound</v>
      </c>
      <c r="U75" s="216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7" t="str">
        <f t="shared" si="5"/>
        <v>https://d0f6bd738d7f1b3e5a7ca70fe4ff75f0.us-east-1.aws.found.io/app/kibana#/discover/Steve-Slow-Train-Analysis-(2080s-and-2083s)?_g=(refreshInterval:(display:Off,pause:!f,section:0,value:0),time:(from:'2017-10-29T11:07:22-0600',mode:absolute,to:'2017-10-29T13:52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5" s="218" t="str">
        <f>IF(AA75&lt;VLOOKUP(AG75,Variables!$AC$3:$AD$8,2,FALSE),"Y","N")</f>
        <v>N</v>
      </c>
      <c r="X75" s="218">
        <f t="shared" si="33"/>
        <v>1</v>
      </c>
      <c r="Y75" s="218">
        <f t="shared" si="27"/>
        <v>23.288399999999999</v>
      </c>
      <c r="Z75" s="218">
        <f t="shared" si="28"/>
        <v>2.2700000000000001E-2</v>
      </c>
      <c r="AA75" s="218">
        <f t="shared" si="9"/>
        <v>23.265699999999999</v>
      </c>
      <c r="AB75" s="219" t="e">
        <f>VLOOKUP(A75,Enforcements!$C$7:$K$11,8,0)</f>
        <v>#N/A</v>
      </c>
      <c r="AC75" s="219" t="e">
        <f>VLOOKUP(A75,Enforcements!$C$7:$E$11,3,0)</f>
        <v>#N/A</v>
      </c>
      <c r="AD75" s="186">
        <f t="shared" si="10"/>
        <v>162</v>
      </c>
      <c r="AE75" s="220" t="str">
        <f t="shared" si="11"/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AF75" s="221" t="str">
        <f t="shared" si="12"/>
        <v>"C:\Program Files (x86)\AstroGrep\AstroGrep.exe" /e /r /s /spath="%USERPROFILE%\AppData\Local\Temp\OnboardLogs" /stypes="app*4059*20171029*" /stext=" 18:.+((SYSTEM_STATE.+slice.+state.+changed )|(ment ac)|(multiple cpu faults)|(system.+state.+changed )|(\[timeout)|(PRM\|1\|D)|(kpr)|(kdp)|(train st.+moving)|(\|lc)|(penalty))"</v>
      </c>
      <c r="AG75" s="185" t="str">
        <f t="shared" si="13"/>
        <v>EC</v>
      </c>
      <c r="AH75" s="222" t="str">
        <f t="shared" si="19"/>
        <v>"%USERPROFILE%\Documents\GitHub\eaglep3\Utilities\RefineRTDCRunTimes.py" --tripid 162-29 --locoid 4059 --swversion DE.1.0.9.0 --startMP 204:232884 --initTime 2017-10-29T12:07:22 --startdatetime 2017-10-29T12:12:33 --delay 108 --endMP 204:227 --enddatetime 2017-10-29T12:52:05 --enforcementcount 0 &gt;&gt;%USERPROFILE%\Documents\GitHub\eaglep3-reporting\EC\2017-10-29-refined-times.txt</v>
      </c>
      <c r="AI75" s="223" t="str">
        <f t="shared" si="20"/>
        <v>echo {"issue":{"subject":"","project_id":79,"tracker_id":40,"status_id":1,"priority_id":2,"assigned_to_id":338,"start_date":"2017-10-29","description":"","custom_fields":[{"id":1,"name":"Subdivision","value":"EC"},{"id":4,"name":"Milepost","value":"0.0227"},{"id":17,"name":"Train ID","value":"162-29"},{"id":16,"name":"Locomotive ID","value":"4059"},{"id":130,"name":"Impact","value":""},{"id":150,"name":"Time of Event (Mountain Time)","value":"12:52:05"},{"id":151,"name":"Denver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182"/>
      <c r="AK75" s="186"/>
      <c r="AL75" s="186"/>
      <c r="AM75" s="187" t="str">
        <f t="shared" si="21"/>
        <v>start /low /b %USERPROFILE%\Documents\GitHub\eaglep3\Utilities\DownloadLogsFromS3.py --loco 4059 --day 2017-10-29</v>
      </c>
      <c r="AN75" s="224" t="str">
        <f t="shared" si="22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18:52:05"},{"id":29,"name":"Sharepoint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82" t="str">
        <f t="shared" si="23"/>
        <v>https://d0f6bd738d7f1b3e5a7ca70fe4ff75f0.us-east-1.aws.found.io/app/kibana#/discover/Steve-Slow-Train-Analysis-(2080s-and-2083s)?_g=(refreshInterval:(display:Off,pause:!f,section:0,value:0),time:(from:'2017-10-29T11:07:22-0600',mode:absolute,to:'2017-10-29T13:52:05-0600'))&amp;_a=(columns:!('Message%20ID',Summary),filters:!(),index:'emp_*',interval:auto,query:(query_string:(analyze_wildcard:!t,query:'%22rtdc.l.rtdc.4059%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32" t="s">
        <v>752</v>
      </c>
      <c r="B76" s="7">
        <v>4016</v>
      </c>
      <c r="C76" s="21" t="s">
        <v>194</v>
      </c>
      <c r="D76" s="21" t="s">
        <v>577</v>
      </c>
      <c r="E76" s="13">
        <v>43037.476400462961</v>
      </c>
      <c r="F76" s="13">
        <v>43037.479386574072</v>
      </c>
      <c r="G76" s="7">
        <v>139</v>
      </c>
      <c r="H76" s="21" t="s">
        <v>588</v>
      </c>
      <c r="I76" s="13">
        <v>43037.50377314815</v>
      </c>
      <c r="J76" s="7">
        <v>0</v>
      </c>
      <c r="K76" s="76" t="str">
        <f t="shared" si="0"/>
        <v>4015/4016</v>
      </c>
      <c r="L76" s="164" t="str">
        <f>VLOOKUP(A76,'Trips&amp;Operators'!$C$1:$G$99911,5,FALSE)</f>
        <v>SAFIEF AEIMEN</v>
      </c>
      <c r="M76" s="6">
        <f t="shared" si="1"/>
        <v>2.4386574077652767E-2</v>
      </c>
      <c r="N76" s="7">
        <f t="shared" si="32"/>
        <v>35.116666671819985</v>
      </c>
      <c r="O76" s="7"/>
      <c r="P76" s="7"/>
      <c r="Q76" s="22"/>
      <c r="R76" s="157"/>
      <c r="S76" s="215">
        <f t="shared" si="31"/>
        <v>1</v>
      </c>
      <c r="T76" s="216" t="str">
        <f t="shared" si="4"/>
        <v>NorthBound</v>
      </c>
      <c r="U76" s="216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7" t="str">
        <f t="shared" si="5"/>
        <v>https://d0f6bd738d7f1b3e5a7ca70fe4ff75f0.us-east-1.aws.found.io/app/kibana#/discover/Steve-Slow-Train-Analysis-(2080s-and-2083s)?_g=(refreshInterval:(display:Off,pause:!f,section:0,value:0),time:(from:'2017-10-29T10:26:01-0600',mode:absolute,to:'2017-10-29T13:05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76" s="218" t="str">
        <f>IF(AA76&lt;VLOOKUP(AG76,Variables!$AC$3:$AD$8,2,FALSE),"Y","N")</f>
        <v>N</v>
      </c>
      <c r="X76" s="218">
        <f t="shared" si="33"/>
        <v>1</v>
      </c>
      <c r="Y76" s="218">
        <f t="shared" si="27"/>
        <v>4.5100000000000001E-2</v>
      </c>
      <c r="Z76" s="218">
        <f t="shared" si="28"/>
        <v>23.322299999999998</v>
      </c>
      <c r="AA76" s="218">
        <f t="shared" si="9"/>
        <v>23.277199999999997</v>
      </c>
      <c r="AB76" s="219" t="e">
        <f>VLOOKUP(A76,Enforcements!$C$7:$K$11,8,0)</f>
        <v>#N/A</v>
      </c>
      <c r="AC76" s="219" t="e">
        <f>VLOOKUP(A76,Enforcements!$C$7:$E$11,3,0)</f>
        <v>#N/A</v>
      </c>
      <c r="AD76" s="186">
        <f t="shared" si="10"/>
        <v>163</v>
      </c>
      <c r="AE76" s="220" t="str">
        <f t="shared" si="11"/>
        <v>aws s3 cp s3://rtdc.mdm.uploadarchive.raw/RTDC4016/ "%USERPROFILE%\AppData\Local\Temp\OnboardLogs"\RTDC4016\2017-10-29 --exclude "*" --recursive --include "*20171029*" &amp; "%USERPROFILE%\Documents\GitHub\mrs-test-scripts\Headless Mode &amp; Sideloading\WalkAndUnGZ.bat" "%USERPROFILE%\AppData\Local\Temp\OnboardLogs"\RTDC4016\2017-10-29 &amp; 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</v>
      </c>
      <c r="AF76" s="221" t="str">
        <f t="shared" si="12"/>
        <v>"C:\Program Files (x86)\AstroGrep\AstroGrep.exe" /e /r /s /spath="%USERPROFILE%\AppData\Local\Temp\OnboardLogs" /stypes="app*4016*20171029*" /stext=" 18:.+((SYSTEM_STATE.+slice.+state.+changed )|(ment ac)|(multiple cpu faults)|(system.+state.+changed )|(\[timeout)|(PRM\|1\|D)|(kpr)|(kdp)|(train st.+moving)|(\|lc)|(penalty))"</v>
      </c>
      <c r="AG76" s="185" t="str">
        <f t="shared" si="13"/>
        <v>EC</v>
      </c>
      <c r="AH76" s="222" t="str">
        <f t="shared" ref="AH76:AH141" si="34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163-29 --locoid 4016 --swversion DE.1.0.9.0 --startMP 204:451 --initTime 2017-10-29T11:26:01 --startdatetime 2017-10-29T11:30:19 --delay 139 --endMP 204:233223 --enddatetime 2017-10-29T12:05:26 --enforcementcount 0 &gt;&gt;%USERPROFILE%\Documents\GitHub\eaglep3-reporting\EC\2017-10-29-refined-times.txt</v>
      </c>
      <c r="AI76" s="223" t="str">
        <f t="shared" ref="AI76:AI141" si="35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{"issue":{"subject":"","project_id":79,"tracker_id":40,"status_id":1,"priority_id":2,"assigned_to_id":338,"start_date":"2017-10-29","description":"","custom_fields":[{"id":1,"name":"Subdivision","value":"EC"},{"id":4,"name":"Milepost","value":"23.3223"},{"id":17,"name":"Train ID","value":"163-29"},{"id":16,"name":"Locomotive ID","value":"4016"},{"id":130,"name":"Impact","value":""},{"id":150,"name":"Time of Event (Mountain Time)","value":"12:05:26"},{"id":151,"name":"Denver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182"/>
      <c r="AK76" s="186"/>
      <c r="AL76" s="186"/>
      <c r="AM76" s="187" t="str">
        <f t="shared" ref="AM76:AM141" si="36">"start /low /b "&amp;dls3logs&amp;" --loco "&amp;B76&amp;" --day "&amp;TEXT(F76,"YYYY-MM-DD")</f>
        <v>start /low /b %USERPROFILE%\Documents\GitHub\eaglep3\Utilities\DownloadLogsFromS3.py --loco 4016 --day 2017-10-29</v>
      </c>
      <c r="AN76" s="224" t="str">
        <f t="shared" ref="AN76:AN141" si="37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18:05:26"},{"id":29,"name":"Sharepoint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82" t="str">
        <f t="shared" ref="AO76:AO141" si="38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Message%20ID',Summary),filters:!(),index:'emp_*',interval:auto,query:"&amp;"(query_string:(analyze_wildcard:!t,query:'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-10-29T10:26:01-0600',mode:absolute,to:'2017-10-29T13:05:26-0600'))&amp;_a=(columns:!('Message%20ID',Summary),filters:!(),index:'emp_*',interval:auto,query:(query_string:(analyze_wildcard:!t,query:'%22rtdc.l.rtdc.4016%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32" t="s">
        <v>765</v>
      </c>
      <c r="B77" s="7">
        <v>4015</v>
      </c>
      <c r="C77" s="21" t="s">
        <v>194</v>
      </c>
      <c r="D77" s="21" t="s">
        <v>589</v>
      </c>
      <c r="E77" s="13">
        <v>43037.506180555552</v>
      </c>
      <c r="F77" s="13">
        <v>43037.518923611111</v>
      </c>
      <c r="G77" s="7">
        <v>95</v>
      </c>
      <c r="H77" s="21" t="s">
        <v>590</v>
      </c>
      <c r="I77" s="13">
        <v>43037.545034722221</v>
      </c>
      <c r="J77" s="7">
        <v>0</v>
      </c>
      <c r="K77" s="76" t="str">
        <f t="shared" ref="K77:K140" si="39">IF(ISEVEN(B77),(B77-1)&amp;"/"&amp;B77,B77&amp;"/"&amp;(B77+1))</f>
        <v>4015/4016</v>
      </c>
      <c r="L77" s="164" t="str">
        <f>VLOOKUP(A77,'Trips&amp;Operators'!$C$1:$G$99911,5,FALSE)</f>
        <v>SAFIEF AEIMEN</v>
      </c>
      <c r="M77" s="6">
        <f t="shared" ref="M77:M140" si="40">I77-F77</f>
        <v>2.6111111110367347E-2</v>
      </c>
      <c r="N77" s="7">
        <f t="shared" si="32"/>
        <v>37.599999998928979</v>
      </c>
      <c r="O77" s="7"/>
      <c r="P77" s="7"/>
      <c r="Q77" s="22"/>
      <c r="R77" s="157"/>
      <c r="S77" s="215">
        <f t="shared" si="31"/>
        <v>1</v>
      </c>
      <c r="T77" s="216" t="str">
        <f t="shared" ref="T77:T140" si="41">IF(ISEVEN(LEFT(AD77,4)),"Southbound","NorthBound")</f>
        <v>Southbound</v>
      </c>
      <c r="U77" s="216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7" t="str">
        <f t="shared" ref="V77:V140" si="4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-10-29T11:08:54-0600',mode:absolute,to:'2017-10-29T14:04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77" s="218" t="str">
        <f>IF(AA77&lt;VLOOKUP(AG77,Variables!$AC$3:$AD$8,2,FALSE),"Y","N")</f>
        <v>N</v>
      </c>
      <c r="X77" s="218">
        <f t="shared" si="33"/>
        <v>1</v>
      </c>
      <c r="Y77" s="218">
        <f t="shared" ref="Y77:Y108" si="43">RIGHT(D77,LEN(D77)-4)/10000</f>
        <v>23.290400000000002</v>
      </c>
      <c r="Z77" s="218">
        <f t="shared" ref="Z77:Z108" si="44">RIGHT(H77,LEN(H77)-4)/10000</f>
        <v>0.02</v>
      </c>
      <c r="AA77" s="218">
        <f t="shared" ref="AA77:AA140" si="45">ABS(Z77-Y77)</f>
        <v>23.270400000000002</v>
      </c>
      <c r="AB77" s="219" t="e">
        <f>VLOOKUP(A77,Enforcements!$C$7:$K$11,8,0)</f>
        <v>#N/A</v>
      </c>
      <c r="AC77" s="219" t="e">
        <f>VLOOKUP(A77,Enforcements!$C$7:$E$11,3,0)</f>
        <v>#N/A</v>
      </c>
      <c r="AD77" s="186">
        <f t="shared" ref="AD77:AD140" si="46">VALUE(LEFT(A77,LEN(A77)-3))</f>
        <v>164</v>
      </c>
      <c r="AE77" s="220" t="str">
        <f t="shared" ref="AE77:AE140" si="4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77" s="221" t="str">
        <f t="shared" ref="AF77:AF140" si="48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/stypes="app*4015*20171029*" /stext=" 19:.+((SYSTEM_STATE.+slice.+state.+changed )|(ment ac)|(multiple cpu faults)|(system.+state.+changed )|(\[timeout)|(PRM\|1\|D)|(kpr)|(kdp)|(train st.+moving)|(\|lc)|(penalty))"</v>
      </c>
      <c r="AG77" s="185" t="str">
        <f t="shared" ref="AG77:AG140" si="49">DetSubdiv(A77)</f>
        <v>EC</v>
      </c>
      <c r="AH77" s="222" t="str">
        <f t="shared" si="34"/>
        <v>"%USERPROFILE%\Documents\GitHub\eaglep3\Utilities\RefineRTDCRunTimes.py" --tripid 164-29 --locoid 4015 --swversion DE.1.0.9.0 --startMP 204:232904 --initTime 2017-10-29T12:08:54 --startdatetime 2017-10-29T12:27:15 --delay 95 --endMP 204:200 --enddatetime 2017-10-29T13:04:51 --enforcementcount 0 &gt;&gt;%USERPROFILE%\Documents\GitHub\eaglep3-reporting\EC\2017-10-29-refined-times.txt</v>
      </c>
      <c r="AI77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{"issue":{"subject":"","project_id":79,"tracker_id":40,"status_id":1,"priority_id":2,"assigned_to_id":338,"start_date":"2017-10-29","description":"","custom_fields":[{"id":1,"name":"Subdivision","value":"EC"},{"id":4,"name":"Milepost","value":"0.02"},{"id":17,"name":"Train ID","value":"164-29"},{"id":16,"name":"Locomotive ID","value":"4015"},{"id":130,"name":"Impact","value":""},{"id":150,"name":"Time of Event (Mountain Time)","value":"13:04:51"},{"id":151,"name":"Denver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182"/>
      <c r="AK77" s="186"/>
      <c r="AL77" s="186"/>
      <c r="AM77" s="187" t="str">
        <f t="shared" si="36"/>
        <v>start /low /b %USERPROFILE%\Documents\GitHub\eaglep3\Utilities\DownloadLogsFromS3.py --loco 4015 --day 2017-10-29</v>
      </c>
      <c r="AN77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19:04:51"},{"id":29,"name":"Sharepoint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82" t="str">
        <f t="shared" si="38"/>
        <v>https://d0f6bd738d7f1b3e5a7ca70fe4ff75f0.us-east-1.aws.found.io/app/kibana#/discover/Steve-Slow-Train-Analysis-(2080s-and-2083s)?_g=(refreshInterval:(display:Off,pause:!f,section:0,value:0),time:(from:'2017-10-29T11:08:54-0600',mode:absolute,to:'2017-10-29T14:04:51-0600'))&amp;_a=(columns:!('Message%20ID',Summary),filters:!(),index:'emp_*',interval:auto,query:(query_string:(analyze_wildcard:!t,query:'%22rtdc.l.rtdc.4015%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32" t="s">
        <v>755</v>
      </c>
      <c r="B78" s="7">
        <v>4006</v>
      </c>
      <c r="C78" s="21" t="s">
        <v>194</v>
      </c>
      <c r="D78" s="21" t="s">
        <v>913</v>
      </c>
      <c r="E78" s="13">
        <v>43037.483668981484</v>
      </c>
      <c r="F78" s="13">
        <v>43037.489745370367</v>
      </c>
      <c r="G78" s="7">
        <v>93</v>
      </c>
      <c r="H78" s="21" t="s">
        <v>584</v>
      </c>
      <c r="I78" s="13">
        <v>43037.513599537036</v>
      </c>
      <c r="J78" s="7">
        <v>0</v>
      </c>
      <c r="K78" s="76" t="str">
        <f t="shared" si="39"/>
        <v>4005/4006</v>
      </c>
      <c r="L78" s="164" t="str">
        <f>VLOOKUP(A78,'Trips&amp;Operators'!$C$1:$G$99911,5,FALSE)</f>
        <v>GUZMAN DANNY</v>
      </c>
      <c r="M78" s="6">
        <f t="shared" si="40"/>
        <v>2.3854166669480037E-2</v>
      </c>
      <c r="N78" s="7">
        <f t="shared" si="32"/>
        <v>34.350000004051253</v>
      </c>
      <c r="O78" s="7"/>
      <c r="P78" s="7"/>
      <c r="Q78" s="22"/>
      <c r="R78" s="157"/>
      <c r="S78" s="215">
        <f t="shared" si="31"/>
        <v>1</v>
      </c>
      <c r="T78" s="216" t="str">
        <f t="shared" si="41"/>
        <v>NorthBound</v>
      </c>
      <c r="U78" s="216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7" t="str">
        <f t="shared" si="42"/>
        <v>https://d0f6bd738d7f1b3e5a7ca70fe4ff75f0.us-east-1.aws.found.io/app/kibana#/discover/Steve-Slow-Train-Analysis-(2080s-and-2083s)?_g=(refreshInterval:(display:Off,pause:!f,section:0,value:0),time:(from:'2017-10-29T10:36:29-0600',mode:absolute,to:'2017-10-29T13:19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78" s="218" t="str">
        <f>IF(AA78&lt;VLOOKUP(AG78,Variables!$AC$3:$AD$8,2,FALSE),"Y","N")</f>
        <v>N</v>
      </c>
      <c r="X78" s="218">
        <f t="shared" ref="X78:X81" si="50">VALUE(LEFT(AD78,4))-VALUE(LEFT(AD77,4))</f>
        <v>1</v>
      </c>
      <c r="Y78" s="218">
        <f t="shared" si="43"/>
        <v>4.5999999999999999E-2</v>
      </c>
      <c r="Z78" s="218">
        <f t="shared" si="44"/>
        <v>23.3215</v>
      </c>
      <c r="AA78" s="218">
        <f t="shared" si="45"/>
        <v>23.275500000000001</v>
      </c>
      <c r="AB78" s="219" t="e">
        <f>VLOOKUP(A78,Enforcements!$C$7:$K$11,8,0)</f>
        <v>#N/A</v>
      </c>
      <c r="AC78" s="219" t="e">
        <f>VLOOKUP(A78,Enforcements!$C$7:$E$11,3,0)</f>
        <v>#N/A</v>
      </c>
      <c r="AD78" s="186">
        <f t="shared" si="46"/>
        <v>165</v>
      </c>
      <c r="AE78" s="220" t="str">
        <f t="shared" si="47"/>
        <v>aws s3 cp s3://rtdc.mdm.uploadarchive.raw/RTDC4006/ "%USERPROFILE%\AppData\Local\Temp\OnboardLogs"\RTDC4006\2017-10-29 --exclude "*" --recursive --include "*20171029*" &amp; "%USERPROFILE%\Documents\GitHub\mrs-test-scripts\Headless Mode &amp; Sideloading\WalkAndUnGZ.bat" "%USERPROFILE%\AppData\Local\Temp\OnboardLogs"\RTDC4006\2017-10-29 &amp; aws s3 cp s3://rtdc.mdm.uploadarchive.raw/RTDC4006/ "%USERPROFILE%\AppData\Local\Temp\OnboardLogs"\RTDC4006\2017-10-30 --exclude "*" --recursive --include "*20171030*" &amp; "%USERPROFILE%\Documents\GitHub\mrs-test-scripts\Headless Mode &amp; Sideloading\WalkAndUnGZ.bat" "%USERPROFILE%\AppData\Local\Temp\OnboardLogs"\RTDC4006\2017-10-30</v>
      </c>
      <c r="AF78" s="221" t="str">
        <f t="shared" si="48"/>
        <v>"C:\Program Files (x86)\AstroGrep\AstroGrep.exe" /e /r /s /spath="%USERPROFILE%\AppData\Local\Temp\OnboardLogs" /stypes="app*4006*20171029*" /stext=" 18:.+((SYSTEM_STATE.+slice.+state.+changed )|(ment ac)|(multiple cpu faults)|(system.+state.+changed )|(\[timeout)|(PRM\|1\|D)|(kpr)|(kdp)|(train st.+moving)|(\|lc)|(penalty))"</v>
      </c>
      <c r="AG78" s="185" t="str">
        <f t="shared" si="49"/>
        <v>EC</v>
      </c>
      <c r="AH78" s="222" t="str">
        <f t="shared" si="34"/>
        <v>"%USERPROFILE%\Documents\GitHub\eaglep3\Utilities\RefineRTDCRunTimes.py" --tripid 165-29 --locoid 4006 --swversion DE.1.0.9.0 --startMP 204:460 --initTime 2017-10-29T11:36:29 --startdatetime 2017-10-29T11:45:14 --delay 93 --endMP 204:233215 --enddatetime 2017-10-29T12:19:35 --enforcementcount 0 &gt;&gt;%USERPROFILE%\Documents\GitHub\eaglep3-reporting\EC\2017-10-29-refined-times.txt</v>
      </c>
      <c r="AI78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{"issue":{"subject":"","project_id":79,"tracker_id":40,"status_id":1,"priority_id":2,"assigned_to_id":338,"start_date":"2017-10-29","description":"","custom_fields":[{"id":1,"name":"Subdivision","value":"EC"},{"id":4,"name":"Milepost","value":"23.3215"},{"id":17,"name":"Train ID","value":"165-29"},{"id":16,"name":"Locomotive ID","value":"4006"},{"id":130,"name":"Impact","value":""},{"id":150,"name":"Time of Event (Mountain Time)","value":"12:19:35"},{"id":151,"name":"Denver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182"/>
      <c r="AK78" s="186"/>
      <c r="AL78" s="186"/>
      <c r="AM78" s="187" t="str">
        <f t="shared" si="36"/>
        <v>start /low /b %USERPROFILE%\Documents\GitHub\eaglep3\Utilities\DownloadLogsFromS3.py --loco 4006 --day 2017-10-29</v>
      </c>
      <c r="AN78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18:19:35"},{"id":29,"name":"Sharepoint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82" t="str">
        <f t="shared" si="38"/>
        <v>https://d0f6bd738d7f1b3e5a7ca70fe4ff75f0.us-east-1.aws.found.io/app/kibana#/discover/Steve-Slow-Train-Analysis-(2080s-and-2083s)?_g=(refreshInterval:(display:Off,pause:!f,section:0,value:0),time:(from:'2017-10-29T10:36:29-0600',mode:absolute,to:'2017-10-29T13:19:35-0600'))&amp;_a=(columns:!('Message%20ID',Summary),filters:!(),index:'emp_*',interval:auto,query:(query_string:(analyze_wildcard:!t,query:'%22rtdc.l.rtdc.4006%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32" t="s">
        <v>638</v>
      </c>
      <c r="B79" s="7">
        <v>4005</v>
      </c>
      <c r="C79" s="21" t="s">
        <v>194</v>
      </c>
      <c r="D79" s="21" t="s">
        <v>930</v>
      </c>
      <c r="E79" s="13">
        <v>43037.542858796296</v>
      </c>
      <c r="F79" s="13">
        <v>43037.529560185183</v>
      </c>
      <c r="G79" s="7">
        <v>43</v>
      </c>
      <c r="H79" s="21" t="s">
        <v>931</v>
      </c>
      <c r="I79" s="13">
        <v>43037.559351851851</v>
      </c>
      <c r="J79" s="7">
        <v>0</v>
      </c>
      <c r="K79" s="76" t="str">
        <f t="shared" si="39"/>
        <v>4005/4006</v>
      </c>
      <c r="L79" s="164" t="str">
        <f>VLOOKUP(A79,'Trips&amp;Operators'!$C$1:$G$99911,5,FALSE)</f>
        <v>GUZMAN DANNY</v>
      </c>
      <c r="M79" s="6">
        <f t="shared" si="40"/>
        <v>2.9791666667733807E-2</v>
      </c>
      <c r="N79" s="7">
        <f t="shared" si="32"/>
        <v>42.900000001536682</v>
      </c>
      <c r="O79" s="7"/>
      <c r="P79" s="7"/>
      <c r="Q79" s="22"/>
      <c r="R79" s="157" t="s">
        <v>1097</v>
      </c>
      <c r="S79" s="215">
        <f>1/IF(AG79="EC",12,1)*SUM(U79:U80)</f>
        <v>1</v>
      </c>
      <c r="T79" s="216" t="str">
        <f t="shared" si="41"/>
        <v>Southbound</v>
      </c>
      <c r="U79" s="216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11</v>
      </c>
      <c r="V79" s="217" t="str">
        <f t="shared" si="42"/>
        <v>https://d0f6bd738d7f1b3e5a7ca70fe4ff75f0.us-east-1.aws.found.io/app/kibana#/discover/Steve-Slow-Train-Analysis-(2080s-and-2083s)?_g=(refreshInterval:(display:Off,pause:!f,section:0,value:0),time:(from:'2017-10-29T12:01:43-0600',mode:absolute,to:'2017-10-29T14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79" s="218" t="str">
        <f>IF(AA79&lt;VLOOKUP(AG79,Variables!$AC$3:$AD$8,2,FALSE),"Y","N")</f>
        <v>Y</v>
      </c>
      <c r="X79" s="218">
        <f t="shared" si="50"/>
        <v>1</v>
      </c>
      <c r="Y79" s="218">
        <f t="shared" si="43"/>
        <v>10.7951</v>
      </c>
      <c r="Z79" s="218">
        <f t="shared" si="44"/>
        <v>2.5999999999999999E-2</v>
      </c>
      <c r="AA79" s="218">
        <f t="shared" si="45"/>
        <v>10.7691</v>
      </c>
      <c r="AB79" s="219" t="e">
        <f>VLOOKUP(A79,Enforcements!$C$7:$K$11,8,0)</f>
        <v>#N/A</v>
      </c>
      <c r="AC79" s="219" t="e">
        <f>VLOOKUP(A79,Enforcements!$C$7:$E$11,3,0)</f>
        <v>#N/A</v>
      </c>
      <c r="AD79" s="186">
        <f t="shared" si="46"/>
        <v>166</v>
      </c>
      <c r="AE79" s="220" t="str">
        <f t="shared" si="47"/>
        <v>aws s3 cp s3://rtdc.mdm.uploadarchive.raw/RTDC4005/ "%USERPROFILE%\AppData\Local\Temp\OnboardLogs"\RTDC4005\2017-10-29 --exclude "*" --recursive --include "*20171029*" &amp; "%USERPROFILE%\Documents\GitHub\mrs-test-scripts\Headless Mode &amp; Sideloading\WalkAndUnGZ.bat" "%USERPROFILE%\AppData\Local\Temp\OnboardLogs"\RTDC4005\2017-10-29 &amp; aws s3 cp s3://rtdc.mdm.uploadarchive.raw/RTDC4005/ "%USERPROFILE%\AppData\Local\Temp\OnboardLogs"\RTDC4005\2017-10-30 --exclude "*" --recursive --include "*20171030*" &amp; "%USERPROFILE%\Documents\GitHub\mrs-test-scripts\Headless Mode &amp; Sideloading\WalkAndUnGZ.bat" "%USERPROFILE%\AppData\Local\Temp\OnboardLogs"\RTDC4005\2017-10-30</v>
      </c>
      <c r="AF79" s="221" t="str">
        <f t="shared" si="48"/>
        <v>"C:\Program Files (x86)\AstroGrep\AstroGrep.exe" /e /r /s /spath="%USERPROFILE%\AppData\Local\Temp\OnboardLogs" /stypes="app*4005*20171029*" /stext=" 19:.+((SYSTEM_STATE.+slice.+state.+changed )|(ment ac)|(multiple cpu faults)|(system.+state.+changed )|(\[timeout)|(PRM\|1\|D)|(kpr)|(kdp)|(train st.+moving)|(\|lc)|(penalty))"</v>
      </c>
      <c r="AG79" s="185" t="str">
        <f t="shared" si="49"/>
        <v>EC</v>
      </c>
      <c r="AH79" s="222" t="str">
        <f t="shared" si="34"/>
        <v>"%USERPROFILE%\Documents\GitHub\eaglep3\Utilities\RefineRTDCRunTimes.py" --tripid 166-29 --locoid 4005 --swversion DE.1.0.9.0 --startMP 204:107951 --initTime 2017-10-29T13:01:43 --startdatetime 2017-10-29T12:42:34 --delay 43 --endMP 204:260 --enddatetime 2017-10-29T13:25:28 --enforcementcount 0 &gt;&gt;%USERPROFILE%\Documents\GitHub\eaglep3-reporting\EC\2017-10-29-refined-times.txt</v>
      </c>
      <c r="AI79" s="223" t="str">
        <f t="shared" si="35"/>
        <v>echo {"issue":{"subject":"Wi-MAX data drop, operator cut-out and cut-in","project_id":79,"tracker_id":40,"status_id":1,"priority_id":2,"assigned_to_id":338,"start_date":"2017-10-29","description":"","custom_fields":[{"id":1,"name":"Subdivision","value":"EC"},{"id":4,"name":"Milepost","value":"0.026"},{"id":17,"name":"Train ID","value":"166-29"},{"id":16,"name":"Locomotive ID","value":"4005"},{"id":130,"name":"Impact","value":""},{"id":150,"name":"Time of Event (Mountain Time)","value":"13:25:28"},{"id":151,"name":"Denver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182"/>
      <c r="AK79" s="186"/>
      <c r="AL79" s="186"/>
      <c r="AM79" s="187" t="str">
        <f t="shared" si="36"/>
        <v>start /low /b %USERPROFILE%\Documents\GitHub\eaglep3\Utilities\DownloadLogsFromS3.py --loco 4005 --day 2017-10-29</v>
      </c>
      <c r="AN79" s="224" t="str">
        <f t="shared" si="37"/>
        <v>echo {"issue":{"subject":"Wi-MAX data drop, operator cut-out and cut-in","project_id":30,"tracker_id":4,"status_id":1,"priority_id":1,"assigned_to_id":10,"start_date":"2017-10-29","description":"","custom_fields":[{"id":30,"name":"Category","value":"Issue"},{"id":3,"name":"Functional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19:25:28"},{"id":29,"name":"Sharepoint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82" t="str">
        <f t="shared" si="38"/>
        <v>https://d0f6bd738d7f1b3e5a7ca70fe4ff75f0.us-east-1.aws.found.io/app/kibana#/discover/Steve-Slow-Train-Analysis-(2080s-and-2083s)?_g=(refreshInterval:(display:Off,pause:!f,section:0,value:0),time:(from:'2017-10-29T12:01:43-0600',mode:absolute,to:'2017-10-29T14:25:28-0600'))&amp;_a=(columns:!('Message%20ID',Summary),filters:!(),index:'emp_*',interval:auto,query:(query_string:(analyze_wildcard:!t,query:'%22rtdc.l.rtdc.4005%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32" t="s">
        <v>638</v>
      </c>
      <c r="B80" s="7">
        <v>4005</v>
      </c>
      <c r="C80" s="21" t="s">
        <v>194</v>
      </c>
      <c r="D80" s="21" t="s">
        <v>932</v>
      </c>
      <c r="E80" s="13">
        <v>43037.514687499999</v>
      </c>
      <c r="F80" s="13">
        <v>43037.543715277781</v>
      </c>
      <c r="G80" s="7">
        <v>73</v>
      </c>
      <c r="H80" s="21" t="s">
        <v>933</v>
      </c>
      <c r="I80" s="13">
        <v>43037.559351851851</v>
      </c>
      <c r="J80" s="7">
        <v>0</v>
      </c>
      <c r="K80" s="76" t="str">
        <f t="shared" si="39"/>
        <v>4005/4006</v>
      </c>
      <c r="L80" s="164" t="str">
        <f>VLOOKUP(A80,'Trips&amp;Operators'!$C$1:$G$99911,5,FALSE)</f>
        <v>GUZMAN DANNY</v>
      </c>
      <c r="M80" s="6">
        <f t="shared" si="40"/>
        <v>1.5636574069503695E-2</v>
      </c>
      <c r="N80" s="7"/>
      <c r="O80" s="7"/>
      <c r="P80" s="7"/>
      <c r="Q80" s="22"/>
      <c r="R80" s="157"/>
      <c r="S80" s="215"/>
      <c r="T80" s="216" t="str">
        <f t="shared" si="41"/>
        <v>Southbound</v>
      </c>
      <c r="U80" s="216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</v>
      </c>
      <c r="V80" s="217" t="str">
        <f t="shared" si="42"/>
        <v>https://d0f6bd738d7f1b3e5a7ca70fe4ff75f0.us-east-1.aws.found.io/app/kibana#/discover/Steve-Slow-Train-Analysis-(2080s-and-2083s)?_g=(refreshInterval:(display:Off,pause:!f,section:0,value:0),time:(from:'2017-10-29T11:21:09-0600',mode:absolute,to:'2017-10-29T14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80" s="218" t="str">
        <f>IF(AA80&lt;VLOOKUP(AG80,Variables!$AC$3:$AD$8,2,FALSE),"Y","N")</f>
        <v>Y</v>
      </c>
      <c r="X80" s="218">
        <f t="shared" si="50"/>
        <v>0</v>
      </c>
      <c r="Y80" s="218">
        <f t="shared" si="43"/>
        <v>23.2898</v>
      </c>
      <c r="Z80" s="218">
        <f t="shared" si="44"/>
        <v>10.7699</v>
      </c>
      <c r="AA80" s="218">
        <f t="shared" si="45"/>
        <v>12.5199</v>
      </c>
      <c r="AB80" s="219" t="e">
        <f>VLOOKUP(A80,Enforcements!$C$7:$K$11,8,0)</f>
        <v>#N/A</v>
      </c>
      <c r="AC80" s="219" t="e">
        <f>VLOOKUP(A80,Enforcements!$C$7:$E$11,3,0)</f>
        <v>#N/A</v>
      </c>
      <c r="AD80" s="186">
        <f t="shared" si="46"/>
        <v>166</v>
      </c>
      <c r="AE80" s="220" t="str">
        <f t="shared" si="47"/>
        <v>aws s3 cp s3://rtdc.mdm.uploadarchive.raw/RTDC4005/ "%USERPROFILE%\AppData\Local\Temp\OnboardLogs"\RTDC4005\2017-10-29 --exclude "*" --recursive --include "*20171029*" &amp; "%USERPROFILE%\Documents\GitHub\mrs-test-scripts\Headless Mode &amp; Sideloading\WalkAndUnGZ.bat" "%USERPROFILE%\AppData\Local\Temp\OnboardLogs"\RTDC4005\2017-10-29 &amp; aws s3 cp s3://rtdc.mdm.uploadarchive.raw/RTDC4005/ "%USERPROFILE%\AppData\Local\Temp\OnboardLogs"\RTDC4005\2017-10-30 --exclude "*" --recursive --include "*20171030*" &amp; "%USERPROFILE%\Documents\GitHub\mrs-test-scripts\Headless Mode &amp; Sideloading\WalkAndUnGZ.bat" "%USERPROFILE%\AppData\Local\Temp\OnboardLogs"\RTDC4005\2017-10-30</v>
      </c>
      <c r="AF80" s="221" t="str">
        <f t="shared" si="48"/>
        <v>"C:\Program Files (x86)\AstroGrep\AstroGrep.exe" /e /r /s /spath="%USERPROFILE%\AppData\Local\Temp\OnboardLogs" /stypes="app*4005*20171029*" /stext=" 19:.+((SYSTEM_STATE.+slice.+state.+changed )|(ment ac)|(multiple cpu faults)|(system.+state.+changed )|(\[timeout)|(PRM\|1\|D)|(kpr)|(kdp)|(train st.+moving)|(\|lc)|(penalty))"</v>
      </c>
      <c r="AG80" s="185" t="str">
        <f t="shared" si="49"/>
        <v>EC</v>
      </c>
      <c r="AH80" s="222" t="str">
        <f t="shared" si="34"/>
        <v>"%USERPROFILE%\Documents\GitHub\eaglep3\Utilities\RefineRTDCRunTimes.py" --tripid 166-29 --locoid 4005 --swversion DE.1.0.9.0 --startMP 204:232898 --initTime 2017-10-29T12:21:09 --startdatetime 2017-10-29T13:02:57 --delay 73 --endMP 204:107699 --enddatetime 2017-10-29T13:25:28 --enforcementcount 0 &gt;&gt;%USERPROFILE%\Documents\GitHub\eaglep3-reporting\EC\2017-10-29-refined-times.txt</v>
      </c>
      <c r="AI80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{"issue":{"subject":"","project_id":79,"tracker_id":40,"status_id":1,"priority_id":2,"assigned_to_id":338,"start_date":"2017-10-29","description":"","custom_fields":[{"id":1,"name":"Subdivision","value":"EC"},{"id":4,"name":"Milepost","value":"10.7699"},{"id":17,"name":"Train ID","value":"166-29"},{"id":16,"name":"Locomotive ID","value":"4005"},{"id":130,"name":"Impact","value":""},{"id":150,"name":"Time of Event (Mountain Time)","value":"13:25:28"},{"id":151,"name":"Denver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182"/>
      <c r="AK80" s="186"/>
      <c r="AL80" s="186"/>
      <c r="AM80" s="187" t="str">
        <f t="shared" si="36"/>
        <v>start /low /b %USERPROFILE%\Documents\GitHub\eaglep3\Utilities\DownloadLogsFromS3.py --loco 4005 --day 2017-10-29</v>
      </c>
      <c r="AN80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19:25:28"},{"id":29,"name":"Sharepoint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82" t="str">
        <f t="shared" si="38"/>
        <v>https://d0f6bd738d7f1b3e5a7ca70fe4ff75f0.us-east-1.aws.found.io/app/kibana#/discover/Steve-Slow-Train-Analysis-(2080s-and-2083s)?_g=(refreshInterval:(display:Off,pause:!f,section:0,value:0),time:(from:'2017-10-29T11:21:09-0600',mode:absolute,to:'2017-10-29T14:25:28-0600'))&amp;_a=(columns:!('Message%20ID',Summary),filters:!(),index:'emp_*',interval:auto,query:(query_string:(analyze_wildcard:!t,query:'%22rtdc.l.rtdc.4005%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32" t="s">
        <v>760</v>
      </c>
      <c r="B81" s="7">
        <v>4062</v>
      </c>
      <c r="C81" s="21" t="s">
        <v>194</v>
      </c>
      <c r="D81" s="21" t="s">
        <v>934</v>
      </c>
      <c r="E81" s="13">
        <v>43037.496249999997</v>
      </c>
      <c r="F81" s="13">
        <v>43037.500335648147</v>
      </c>
      <c r="G81" s="7">
        <v>76</v>
      </c>
      <c r="H81" s="21" t="s">
        <v>612</v>
      </c>
      <c r="I81" s="13">
        <v>43037.525590277779</v>
      </c>
      <c r="J81" s="7">
        <v>0</v>
      </c>
      <c r="K81" s="76" t="str">
        <f t="shared" si="39"/>
        <v>4061/4062</v>
      </c>
      <c r="L81" s="164" t="str">
        <f>VLOOKUP(A81,'Trips&amp;Operators'!$C$1:$G$99911,5,FALSE)</f>
        <v>BADERTSCHER DIANE</v>
      </c>
      <c r="M81" s="6">
        <f t="shared" si="40"/>
        <v>2.5254629632399883E-2</v>
      </c>
      <c r="N81" s="7">
        <f t="shared" ref="N81:N115" si="51">24*60*SUM($M81:$M81)</f>
        <v>36.366666670655832</v>
      </c>
      <c r="O81" s="7"/>
      <c r="P81" s="7"/>
      <c r="Q81" s="22"/>
      <c r="R81" s="157"/>
      <c r="S81" s="215">
        <f t="shared" ref="S81:S112" si="52">1/IF(AG81="EC",12,1)*SUM(U81:U81)</f>
        <v>1</v>
      </c>
      <c r="T81" s="216" t="str">
        <f t="shared" si="41"/>
        <v>NorthBound</v>
      </c>
      <c r="U81" s="216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7" t="str">
        <f t="shared" si="42"/>
        <v>https://d0f6bd738d7f1b3e5a7ca70fe4ff75f0.us-east-1.aws.found.io/app/kibana#/discover/Steve-Slow-Train-Analysis-(2080s-and-2083s)?_g=(refreshInterval:(display:Off,pause:!f,section:0,value:0),time:(from:'2017-10-29T10:54:36-0600',mode:absolute,to:'2017-10-29T13:36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81" s="218" t="str">
        <f>IF(AA81&lt;VLOOKUP(AG81,Variables!$AC$3:$AD$8,2,FALSE),"Y","N")</f>
        <v>N</v>
      </c>
      <c r="X81" s="218">
        <f t="shared" si="50"/>
        <v>1</v>
      </c>
      <c r="Y81" s="218">
        <f t="shared" si="43"/>
        <v>5.57E-2</v>
      </c>
      <c r="Z81" s="218">
        <f t="shared" si="44"/>
        <v>23.323799999999999</v>
      </c>
      <c r="AA81" s="218">
        <f t="shared" si="45"/>
        <v>23.268099999999997</v>
      </c>
      <c r="AB81" s="219" t="e">
        <f>VLOOKUP(A81,Enforcements!$C$7:$K$11,8,0)</f>
        <v>#N/A</v>
      </c>
      <c r="AC81" s="219" t="e">
        <f>VLOOKUP(A81,Enforcements!$C$7:$E$11,3,0)</f>
        <v>#N/A</v>
      </c>
      <c r="AD81" s="186">
        <f t="shared" si="46"/>
        <v>167</v>
      </c>
      <c r="AE81" s="220" t="str">
        <f t="shared" si="47"/>
        <v>aws s3 cp s3://rtdc.mdm.uploadarchive.raw/RTDC4062/ "%USERPROFILE%\AppData\Local\Temp\OnboardLogs"\RTDC4062\2017-10-29 --exclude "*" --recursive --include "*20171029*" &amp; "%USERPROFILE%\Documents\GitHub\mrs-test-scripts\Headless Mode &amp; Sideloading\WalkAndUnGZ.bat" "%USERPROFILE%\AppData\Local\Temp\OnboardLogs"\RTDC4062\2017-10-29 &amp; aws s3 cp s3://rtdc.mdm.uploadarchive.raw/RTDC4062/ "%USERPROFILE%\AppData\Local\Temp\OnboardLogs"\RTDC4062\2017-10-30 --exclude "*" --recursive --include "*20171030*" &amp; "%USERPROFILE%\Documents\GitHub\mrs-test-scripts\Headless Mode &amp; Sideloading\WalkAndUnGZ.bat" "%USERPROFILE%\AppData\Local\Temp\OnboardLogs"\RTDC4062\2017-10-30</v>
      </c>
      <c r="AF81" s="221" t="str">
        <f t="shared" si="48"/>
        <v>"C:\Program Files (x86)\AstroGrep\AstroGrep.exe" /e /r /s /spath="%USERPROFILE%\AppData\Local\Temp\OnboardLogs" /stypes="app*4062*20171029*" /stext=" 18:.+((SYSTEM_STATE.+slice.+state.+changed )|(ment ac)|(multiple cpu faults)|(system.+state.+changed )|(\[timeout)|(PRM\|1\|D)|(kpr)|(kdp)|(train st.+moving)|(\|lc)|(penalty))"</v>
      </c>
      <c r="AG81" s="185" t="str">
        <f t="shared" si="49"/>
        <v>EC</v>
      </c>
      <c r="AH81" s="222" t="str">
        <f t="shared" si="34"/>
        <v>"%USERPROFILE%\Documents\GitHub\eaglep3\Utilities\RefineRTDCRunTimes.py" --tripid 167-29 --locoid 4062 --swversion DE.1.0.9.0 --startMP 204:557 --initTime 2017-10-29T11:54:36 --startdatetime 2017-10-29T12:00:29 --delay 76 --endMP 204:233238 --enddatetime 2017-10-29T12:36:51 --enforcementcount 0 &gt;&gt;%USERPROFILE%\Documents\GitHub\eaglep3-reporting\EC\2017-10-29-refined-times.txt</v>
      </c>
      <c r="AI81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{"issue":{"subject":"","project_id":79,"tracker_id":40,"status_id":1,"priority_id":2,"assigned_to_id":338,"start_date":"2017-10-29","description":"","custom_fields":[{"id":1,"name":"Subdivision","value":"EC"},{"id":4,"name":"Milepost","value":"23.3238"},{"id":17,"name":"Train ID","value":"167-29"},{"id":16,"name":"Locomotive ID","value":"4062"},{"id":130,"name":"Impact","value":""},{"id":150,"name":"Time of Event (Mountain Time)","value":"12:36:51"},{"id":151,"name":"Denver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182"/>
      <c r="AK81" s="186"/>
      <c r="AL81" s="186"/>
      <c r="AM81" s="187" t="str">
        <f t="shared" si="36"/>
        <v>start /low /b %USERPROFILE%\Documents\GitHub\eaglep3\Utilities\DownloadLogsFromS3.py --loco 4062 --day 2017-10-29</v>
      </c>
      <c r="AN81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18:36:51"},{"id":29,"name":"Sharepoint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82" t="str">
        <f t="shared" si="38"/>
        <v>https://d0f6bd738d7f1b3e5a7ca70fe4ff75f0.us-east-1.aws.found.io/app/kibana#/discover/Steve-Slow-Train-Analysis-(2080s-and-2083s)?_g=(refreshInterval:(display:Off,pause:!f,section:0,value:0),time:(from:'2017-10-29T10:54:36-0600',mode:absolute,to:'2017-10-29T13:36:51-0600'))&amp;_a=(columns:!('Message%20ID',Summary),filters:!(),index:'emp_*',interval:auto,query:(query_string:(analyze_wildcard:!t,query:'%22rtdc.l.rtdc.4062%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32" t="s">
        <v>770</v>
      </c>
      <c r="B82" s="7">
        <v>4061</v>
      </c>
      <c r="C82" s="21" t="s">
        <v>194</v>
      </c>
      <c r="D82" s="21" t="s">
        <v>935</v>
      </c>
      <c r="E82" s="13">
        <v>43037.532812500001</v>
      </c>
      <c r="F82" s="13">
        <v>43037.539872685185</v>
      </c>
      <c r="G82" s="7">
        <v>70</v>
      </c>
      <c r="H82" s="21" t="s">
        <v>936</v>
      </c>
      <c r="I82" s="13">
        <v>43037.566979166666</v>
      </c>
      <c r="J82" s="7">
        <v>0</v>
      </c>
      <c r="K82" s="76" t="str">
        <f t="shared" si="39"/>
        <v>4061/4062</v>
      </c>
      <c r="L82" s="164" t="str">
        <f>VLOOKUP(A82,'Trips&amp;Operators'!$C$1:$G$99911,5,FALSE)</f>
        <v>BADERTSCHER DIANE</v>
      </c>
      <c r="M82" s="6">
        <f t="shared" si="40"/>
        <v>2.7106481480586808E-2</v>
      </c>
      <c r="N82" s="7">
        <f t="shared" si="51"/>
        <v>39.033333332045004</v>
      </c>
      <c r="O82" s="7"/>
      <c r="P82" s="7"/>
      <c r="Q82" s="22"/>
      <c r="R82" s="157"/>
      <c r="S82" s="215">
        <f t="shared" si="52"/>
        <v>1</v>
      </c>
      <c r="T82" s="216" t="str">
        <f t="shared" si="41"/>
        <v>Southbound</v>
      </c>
      <c r="U82" s="216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7" t="str">
        <f t="shared" si="42"/>
        <v>https://d0f6bd738d7f1b3e5a7ca70fe4ff75f0.us-east-1.aws.found.io/app/kibana#/discover/Steve-Slow-Train-Analysis-(2080s-and-2083s)?_g=(refreshInterval:(display:Off,pause:!f,section:0,value:0),time:(from:'2017-10-29T11:47:15-0600',mode:absolute,to:'2017-10-29T14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82" s="218" t="str">
        <f>IF(AA82&lt;VLOOKUP(AG82,Variables!$AC$3:$AD$8,2,FALSE),"Y","N")</f>
        <v>N</v>
      </c>
      <c r="X82" s="218">
        <f t="shared" ref="X82:X129" si="53">VALUE(LEFT(AD82,4))-VALUE(LEFT(AD81,4))</f>
        <v>1</v>
      </c>
      <c r="Y82" s="218">
        <f t="shared" si="43"/>
        <v>23.292100000000001</v>
      </c>
      <c r="Z82" s="218">
        <f t="shared" si="44"/>
        <v>2.1600000000000001E-2</v>
      </c>
      <c r="AA82" s="218">
        <f t="shared" si="45"/>
        <v>23.270500000000002</v>
      </c>
      <c r="AB82" s="219" t="e">
        <f>VLOOKUP(A82,Enforcements!$C$7:$K$11,8,0)</f>
        <v>#N/A</v>
      </c>
      <c r="AC82" s="219" t="e">
        <f>VLOOKUP(A82,Enforcements!$C$7:$E$11,3,0)</f>
        <v>#N/A</v>
      </c>
      <c r="AD82" s="186">
        <f t="shared" si="46"/>
        <v>168</v>
      </c>
      <c r="AE82" s="220" t="str">
        <f t="shared" si="47"/>
        <v>aws s3 cp s3://rtdc.mdm.uploadarchive.raw/RTDC4061/ "%USERPROFILE%\AppData\Local\Temp\OnboardLogs"\RTDC4061\2017-10-29 --exclude "*" --recursive --include "*20171029*" &amp; "%USERPROFILE%\Documents\GitHub\mrs-test-scripts\Headless Mode &amp; Sideloading\WalkAndUnGZ.bat" "%USERPROFILE%\AppData\Local\Temp\OnboardLogs"\RTDC4061\2017-10-29 &amp; aws s3 cp s3://rtdc.mdm.uploadarchive.raw/RTDC4061/ "%USERPROFILE%\AppData\Local\Temp\OnboardLogs"\RTDC4061\2017-10-30 --exclude "*" --recursive --include "*20171030*" &amp; "%USERPROFILE%\Documents\GitHub\mrs-test-scripts\Headless Mode &amp; Sideloading\WalkAndUnGZ.bat" "%USERPROFILE%\AppData\Local\Temp\OnboardLogs"\RTDC4061\2017-10-30</v>
      </c>
      <c r="AF82" s="221" t="str">
        <f t="shared" si="48"/>
        <v>"C:\Program Files (x86)\AstroGrep\AstroGrep.exe" /e /r /s /spath="%USERPROFILE%\AppData\Local\Temp\OnboardLogs" /stypes="app*4061*20171029*" /stext=" 19:.+((SYSTEM_STATE.+slice.+state.+changed )|(ment ac)|(multiple cpu faults)|(system.+state.+changed )|(\[timeout)|(PRM\|1\|D)|(kpr)|(kdp)|(train st.+moving)|(\|lc)|(penalty))"</v>
      </c>
      <c r="AG82" s="185" t="str">
        <f t="shared" si="49"/>
        <v>EC</v>
      </c>
      <c r="AH82" s="222" t="str">
        <f t="shared" si="34"/>
        <v>"%USERPROFILE%\Documents\GitHub\eaglep3\Utilities\RefineRTDCRunTimes.py" --tripid 168-29 --locoid 4061 --swversion DE.1.0.9.0 --startMP 204:232921 --initTime 2017-10-29T12:47:15 --startdatetime 2017-10-29T12:57:25 --delay 70 --endMP 204:216 --enddatetime 2017-10-29T13:36:27 --enforcementcount 0 &gt;&gt;%USERPROFILE%\Documents\GitHub\eaglep3-reporting\EC\2017-10-29-refined-times.txt</v>
      </c>
      <c r="AI82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{"issue":{"subject":"","project_id":79,"tracker_id":40,"status_id":1,"priority_id":2,"assigned_to_id":338,"start_date":"2017-10-29","description":"","custom_fields":[{"id":1,"name":"Subdivision","value":"EC"},{"id":4,"name":"Milepost","value":"0.0216"},{"id":17,"name":"Train ID","value":"168-29"},{"id":16,"name":"Locomotive ID","value":"4061"},{"id":130,"name":"Impact","value":""},{"id":150,"name":"Time of Event (Mountain Time)","value":"13:36:27"},{"id":151,"name":"Denver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182"/>
      <c r="AK82" s="186"/>
      <c r="AL82" s="186"/>
      <c r="AM82" s="187" t="str">
        <f t="shared" si="36"/>
        <v>start /low /b %USERPROFILE%\Documents\GitHub\eaglep3\Utilities\DownloadLogsFromS3.py --loco 4061 --day 2017-10-29</v>
      </c>
      <c r="AN82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19:36:27"},{"id":29,"name":"Sharepoint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82" t="str">
        <f t="shared" si="38"/>
        <v>https://d0f6bd738d7f1b3e5a7ca70fe4ff75f0.us-east-1.aws.found.io/app/kibana#/discover/Steve-Slow-Train-Analysis-(2080s-and-2083s)?_g=(refreshInterval:(display:Off,pause:!f,section:0,value:0),time:(from:'2017-10-29T11:47:15-0600',mode:absolute,to:'2017-10-29T14:36:27-0600'))&amp;_a=(columns:!('Message%20ID',Summary),filters:!(),index:'emp_*',interval:auto,query:(query_string:(analyze_wildcard:!t,query:'%22rtdc.l.rtdc.4061%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32" t="s">
        <v>766</v>
      </c>
      <c r="B83" s="7">
        <v>4008</v>
      </c>
      <c r="C83" s="21" t="s">
        <v>194</v>
      </c>
      <c r="D83" s="21" t="s">
        <v>573</v>
      </c>
      <c r="E83" s="13">
        <v>43037.506747685184</v>
      </c>
      <c r="F83" s="13">
        <v>43037.510578703703</v>
      </c>
      <c r="G83" s="7">
        <v>107</v>
      </c>
      <c r="H83" s="21" t="s">
        <v>937</v>
      </c>
      <c r="I83" s="13">
        <v>43037.535266203704</v>
      </c>
      <c r="J83" s="7">
        <v>0</v>
      </c>
      <c r="K83" s="76" t="str">
        <f t="shared" si="39"/>
        <v>4007/4008</v>
      </c>
      <c r="L83" s="164" t="str">
        <f>VLOOKUP(A83,'Trips&amp;Operators'!$C$1:$G$99911,5,FALSE)</f>
        <v>BERLING GARY</v>
      </c>
      <c r="M83" s="6">
        <f t="shared" si="40"/>
        <v>2.4687500001164153E-2</v>
      </c>
      <c r="N83" s="7">
        <f t="shared" si="51"/>
        <v>35.550000001676381</v>
      </c>
      <c r="O83" s="7"/>
      <c r="P83" s="7"/>
      <c r="Q83" s="22"/>
      <c r="R83" s="157"/>
      <c r="S83" s="215">
        <f t="shared" si="52"/>
        <v>1</v>
      </c>
      <c r="T83" s="216" t="str">
        <f t="shared" si="41"/>
        <v>NorthBound</v>
      </c>
      <c r="U83" s="216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7" t="str">
        <f t="shared" si="42"/>
        <v>https://d0f6bd738d7f1b3e5a7ca70fe4ff75f0.us-east-1.aws.found.io/app/kibana#/discover/Steve-Slow-Train-Analysis-(2080s-and-2083s)?_g=(refreshInterval:(display:Off,pause:!f,section:0,value:0),time:(from:'2017-10-29T11:09:43-0600',mode:absolute,to:'2017-10-29T13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83" s="218" t="str">
        <f>IF(AA83&lt;VLOOKUP(AG83,Variables!$AC$3:$AD$8,2,FALSE),"Y","N")</f>
        <v>N</v>
      </c>
      <c r="X83" s="218">
        <f t="shared" si="53"/>
        <v>1</v>
      </c>
      <c r="Y83" s="218">
        <f t="shared" si="43"/>
        <v>5.0900000000000001E-2</v>
      </c>
      <c r="Z83" s="218">
        <f t="shared" si="44"/>
        <v>23.324100000000001</v>
      </c>
      <c r="AA83" s="218">
        <f t="shared" si="45"/>
        <v>23.273200000000003</v>
      </c>
      <c r="AB83" s="219" t="e">
        <f>VLOOKUP(A83,Enforcements!$C$7:$K$11,8,0)</f>
        <v>#N/A</v>
      </c>
      <c r="AC83" s="219" t="e">
        <f>VLOOKUP(A83,Enforcements!$C$7:$E$11,3,0)</f>
        <v>#N/A</v>
      </c>
      <c r="AD83" s="186">
        <f t="shared" si="46"/>
        <v>169</v>
      </c>
      <c r="AE83" s="220" t="str">
        <f t="shared" si="47"/>
        <v>aws s3 cp s3://rtdc.mdm.uploadarchive.raw/RTDC4008/ "%USERPROFILE%\AppData\Local\Temp\OnboardLogs"\RTDC4008\2017-10-29 --exclude "*" --recursive --include "*20171029*" &amp; "%USERPROFILE%\Documents\GitHub\mrs-test-scripts\Headless Mode &amp; Sideloading\WalkAndUnGZ.bat" "%USERPROFILE%\AppData\Local\Temp\OnboardLogs"\RTDC4008\2017-10-29 &amp; aws s3 cp s3://rtdc.mdm.uploadarchive.raw/RTDC4008/ "%USERPROFILE%\AppData\Local\Temp\OnboardLogs"\RTDC4008\2017-10-30 --exclude "*" --recursive --include "*20171030*" &amp; "%USERPROFILE%\Documents\GitHub\mrs-test-scripts\Headless Mode &amp; Sideloading\WalkAndUnGZ.bat" "%USERPROFILE%\AppData\Local\Temp\OnboardLogs"\RTDC4008\2017-10-30</v>
      </c>
      <c r="AF83" s="221" t="str">
        <f t="shared" si="48"/>
        <v>"C:\Program Files (x86)\AstroGrep\AstroGrep.exe" /e /r /s /spath="%USERPROFILE%\AppData\Local\Temp\OnboardLogs" /stypes="app*4008*20171029*" /stext=" 18:.+((SYSTEM_STATE.+slice.+state.+changed )|(ment ac)|(multiple cpu faults)|(system.+state.+changed )|(\[timeout)|(PRM\|1\|D)|(kpr)|(kdp)|(train st.+moving)|(\|lc)|(penalty))"</v>
      </c>
      <c r="AG83" s="185" t="str">
        <f t="shared" si="49"/>
        <v>EC</v>
      </c>
      <c r="AH83" s="222" t="str">
        <f t="shared" si="34"/>
        <v>"%USERPROFILE%\Documents\GitHub\eaglep3\Utilities\RefineRTDCRunTimes.py" --tripid 169-29 --locoid 4008 --swversion DE.1.0.9.0 --startMP 204:509 --initTime 2017-10-29T12:09:43 --startdatetime 2017-10-29T12:15:14 --delay 107 --endMP 204:233241 --enddatetime 2017-10-29T12:50:47 --enforcementcount 0 &gt;&gt;%USERPROFILE%\Documents\GitHub\eaglep3-reporting\EC\2017-10-29-refined-times.txt</v>
      </c>
      <c r="AI83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{"issue":{"subject":"","project_id":79,"tracker_id":40,"status_id":1,"priority_id":2,"assigned_to_id":338,"start_date":"2017-10-29","description":"","custom_fields":[{"id":1,"name":"Subdivision","value":"EC"},{"id":4,"name":"Milepost","value":"23.3241"},{"id":17,"name":"Train ID","value":"169-29"},{"id":16,"name":"Locomotive ID","value":"4008"},{"id":130,"name":"Impact","value":""},{"id":150,"name":"Time of Event (Mountain Time)","value":"12:50:47"},{"id":151,"name":"Denver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182"/>
      <c r="AK83" s="186"/>
      <c r="AL83" s="186"/>
      <c r="AM83" s="187" t="str">
        <f t="shared" si="36"/>
        <v>start /low /b %USERPROFILE%\Documents\GitHub\eaglep3\Utilities\DownloadLogsFromS3.py --loco 4008 --day 2017-10-29</v>
      </c>
      <c r="AN83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18:50:47"},{"id":29,"name":"Sharepoint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82" t="str">
        <f t="shared" si="38"/>
        <v>https://d0f6bd738d7f1b3e5a7ca70fe4ff75f0.us-east-1.aws.found.io/app/kibana#/discover/Steve-Slow-Train-Analysis-(2080s-and-2083s)?_g=(refreshInterval:(display:Off,pause:!f,section:0,value:0),time:(from:'2017-10-29T11:09:43-0600',mode:absolute,to:'2017-10-29T13:50:47-0600'))&amp;_a=(columns:!('Message%20ID',Summary),filters:!(),index:'emp_*',interval:auto,query:(query_string:(analyze_wildcard:!t,query:'%22rtdc.l.rtdc.4008%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32" t="s">
        <v>772</v>
      </c>
      <c r="B84" s="7">
        <v>4007</v>
      </c>
      <c r="C84" s="21" t="s">
        <v>194</v>
      </c>
      <c r="D84" s="21" t="s">
        <v>938</v>
      </c>
      <c r="E84" s="13">
        <v>43037.545520833337</v>
      </c>
      <c r="F84" s="13">
        <v>43037.550219907411</v>
      </c>
      <c r="G84" s="7">
        <v>96</v>
      </c>
      <c r="H84" s="21" t="s">
        <v>939</v>
      </c>
      <c r="I84" s="13">
        <v>43037.578055555554</v>
      </c>
      <c r="J84" s="7">
        <v>0</v>
      </c>
      <c r="K84" s="76" t="str">
        <f t="shared" si="39"/>
        <v>4007/4008</v>
      </c>
      <c r="L84" s="164" t="str">
        <f>VLOOKUP(A84,'Trips&amp;Operators'!$C$1:$G$99911,5,FALSE)</f>
        <v>BERLING GARY</v>
      </c>
      <c r="M84" s="6">
        <f t="shared" si="40"/>
        <v>2.7835648143081926E-2</v>
      </c>
      <c r="N84" s="7">
        <f t="shared" si="51"/>
        <v>40.083333326037973</v>
      </c>
      <c r="O84" s="7"/>
      <c r="P84" s="7"/>
      <c r="Q84" s="22"/>
      <c r="R84" s="157"/>
      <c r="S84" s="215">
        <f t="shared" si="52"/>
        <v>1</v>
      </c>
      <c r="T84" s="216" t="str">
        <f t="shared" si="41"/>
        <v>Southbound</v>
      </c>
      <c r="U84" s="216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7" t="str">
        <f t="shared" si="42"/>
        <v>https://d0f6bd738d7f1b3e5a7ca70fe4ff75f0.us-east-1.aws.found.io/app/kibana#/discover/Steve-Slow-Train-Analysis-(2080s-and-2083s)?_g=(refreshInterval:(display:Off,pause:!f,section:0,value:0),time:(from:'2017-10-29T12:05:33-0600',mode:absolute,to:'2017-10-29T14:52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84" s="218" t="str">
        <f>IF(AA84&lt;VLOOKUP(AG84,Variables!$AC$3:$AD$8,2,FALSE),"Y","N")</f>
        <v>N</v>
      </c>
      <c r="X84" s="218">
        <f t="shared" si="53"/>
        <v>1</v>
      </c>
      <c r="Y84" s="218">
        <f t="shared" si="43"/>
        <v>23.2911</v>
      </c>
      <c r="Z84" s="218">
        <f t="shared" si="44"/>
        <v>1.2E-2</v>
      </c>
      <c r="AA84" s="218">
        <f t="shared" si="45"/>
        <v>23.2791</v>
      </c>
      <c r="AB84" s="219" t="e">
        <f>VLOOKUP(A84,Enforcements!$C$7:$K$11,8,0)</f>
        <v>#N/A</v>
      </c>
      <c r="AC84" s="219" t="e">
        <f>VLOOKUP(A84,Enforcements!$C$7:$E$11,3,0)</f>
        <v>#N/A</v>
      </c>
      <c r="AD84" s="186">
        <f t="shared" si="46"/>
        <v>170</v>
      </c>
      <c r="AE84" s="220" t="str">
        <f t="shared" si="47"/>
        <v>aws s3 cp s3://rtdc.mdm.uploadarchive.raw/RTDC4007/ "%USERPROFILE%\AppData\Local\Temp\OnboardLogs"\RTDC4007\2017-10-29 --exclude "*" --recursive --include "*20171029*" &amp; "%USERPROFILE%\Documents\GitHub\mrs-test-scripts\Headless Mode &amp; Sideloading\WalkAndUnGZ.bat" "%USERPROFILE%\AppData\Local\Temp\OnboardLogs"\RTDC4007\2017-10-29 &amp; aws s3 cp s3://rtdc.mdm.uploadarchive.raw/RTDC4007/ "%USERPROFILE%\AppData\Local\Temp\OnboardLogs"\RTDC4007\2017-10-30 --exclude "*" --recursive --include "*20171030*" &amp; "%USERPROFILE%\Documents\GitHub\mrs-test-scripts\Headless Mode &amp; Sideloading\WalkAndUnGZ.bat" "%USERPROFILE%\AppData\Local\Temp\OnboardLogs"\RTDC4007\2017-10-30</v>
      </c>
      <c r="AF84" s="221" t="str">
        <f t="shared" si="48"/>
        <v>"C:\Program Files (x86)\AstroGrep\AstroGrep.exe" /e /r /s /spath="%USERPROFILE%\AppData\Local\Temp\OnboardLogs" /stypes="app*4007*20171029*" /stext=" 19:.+((SYSTEM_STATE.+slice.+state.+changed )|(ment ac)|(multiple cpu faults)|(system.+state.+changed )|(\[timeout)|(PRM\|1\|D)|(kpr)|(kdp)|(train st.+moving)|(\|lc)|(penalty))"</v>
      </c>
      <c r="AG84" s="185" t="str">
        <f t="shared" si="49"/>
        <v>EC</v>
      </c>
      <c r="AH84" s="222" t="str">
        <f t="shared" si="34"/>
        <v>"%USERPROFILE%\Documents\GitHub\eaglep3\Utilities\RefineRTDCRunTimes.py" --tripid 170-29 --locoid 4007 --swversion DE.1.0.9.0 --startMP 204:232911 --initTime 2017-10-29T13:05:33 --startdatetime 2017-10-29T13:12:19 --delay 96 --endMP 204:120 --enddatetime 2017-10-29T13:52:24 --enforcementcount 0 &gt;&gt;%USERPROFILE%\Documents\GitHub\eaglep3-reporting\EC\2017-10-29-refined-times.txt</v>
      </c>
      <c r="AI84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{"issue":{"subject":"","project_id":79,"tracker_id":40,"status_id":1,"priority_id":2,"assigned_to_id":338,"start_date":"2017-10-29","description":"","custom_fields":[{"id":1,"name":"Subdivision","value":"EC"},{"id":4,"name":"Milepost","value":"0.012"},{"id":17,"name":"Train ID","value":"170-29"},{"id":16,"name":"Locomotive ID","value":"4007"},{"id":130,"name":"Impact","value":""},{"id":150,"name":"Time of Event (Mountain Time)","value":"13:52:24"},{"id":151,"name":"Denver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182"/>
      <c r="AK84" s="186"/>
      <c r="AL84" s="186"/>
      <c r="AM84" s="187" t="str">
        <f t="shared" si="36"/>
        <v>start /low /b %USERPROFILE%\Documents\GitHub\eaglep3\Utilities\DownloadLogsFromS3.py --loco 4007 --day 2017-10-29</v>
      </c>
      <c r="AN84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19:52:24"},{"id":29,"name":"Sharepoint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82" t="str">
        <f t="shared" si="38"/>
        <v>https://d0f6bd738d7f1b3e5a7ca70fe4ff75f0.us-east-1.aws.found.io/app/kibana#/discover/Steve-Slow-Train-Analysis-(2080s-and-2083s)?_g=(refreshInterval:(display:Off,pause:!f,section:0,value:0),time:(from:'2017-10-29T12:05:33-0600',mode:absolute,to:'2017-10-29T14:52:24-0600'))&amp;_a=(columns:!('Message%20ID',Summary),filters:!(),index:'emp_*',interval:auto,query:(query_string:(analyze_wildcard:!t,query:'%22rtdc.l.rtdc.4007%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32" t="s">
        <v>767</v>
      </c>
      <c r="B85" s="7">
        <v>4018</v>
      </c>
      <c r="C85" s="21" t="s">
        <v>194</v>
      </c>
      <c r="D85" s="21" t="s">
        <v>604</v>
      </c>
      <c r="E85" s="13">
        <v>43037.516550925924</v>
      </c>
      <c r="F85" s="13">
        <v>43037.521099537036</v>
      </c>
      <c r="G85" s="7">
        <v>79</v>
      </c>
      <c r="H85" s="21" t="s">
        <v>940</v>
      </c>
      <c r="I85" s="13">
        <v>43037.545902777776</v>
      </c>
      <c r="J85" s="7">
        <v>0</v>
      </c>
      <c r="K85" s="76" t="str">
        <f t="shared" si="39"/>
        <v>4017/4018</v>
      </c>
      <c r="L85" s="164" t="str">
        <f>VLOOKUP(A85,'Trips&amp;Operators'!$C$1:$G$99911,5,FALSE)</f>
        <v>STEWART MICHAEL</v>
      </c>
      <c r="M85" s="6">
        <f t="shared" si="40"/>
        <v>2.4803240739856847E-2</v>
      </c>
      <c r="N85" s="7">
        <f t="shared" si="51"/>
        <v>35.716666665393859</v>
      </c>
      <c r="O85" s="7"/>
      <c r="P85" s="7"/>
      <c r="Q85" s="22"/>
      <c r="R85" s="157"/>
      <c r="S85" s="215">
        <f t="shared" si="52"/>
        <v>1</v>
      </c>
      <c r="T85" s="216" t="str">
        <f t="shared" si="41"/>
        <v>NorthBound</v>
      </c>
      <c r="U85" s="216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7" t="str">
        <f t="shared" si="42"/>
        <v>https://d0f6bd738d7f1b3e5a7ca70fe4ff75f0.us-east-1.aws.found.io/app/kibana#/discover/Steve-Slow-Train-Analysis-(2080s-and-2083s)?_g=(refreshInterval:(display:Off,pause:!f,section:0,value:0),time:(from:'2017-10-29T11:23:50-0600',mode:absolute,to:'2017-10-29T14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5" s="218" t="str">
        <f>IF(AA85&lt;VLOOKUP(AG85,Variables!$AC$3:$AD$8,2,FALSE),"Y","N")</f>
        <v>N</v>
      </c>
      <c r="X85" s="218">
        <f t="shared" si="53"/>
        <v>1</v>
      </c>
      <c r="Y85" s="218">
        <f t="shared" si="43"/>
        <v>5.1999999999999998E-2</v>
      </c>
      <c r="Z85" s="218">
        <f t="shared" si="44"/>
        <v>23.3217</v>
      </c>
      <c r="AA85" s="218">
        <f t="shared" si="45"/>
        <v>23.2697</v>
      </c>
      <c r="AB85" s="219" t="e">
        <f>VLOOKUP(A85,Enforcements!$C$7:$K$11,8,0)</f>
        <v>#N/A</v>
      </c>
      <c r="AC85" s="219" t="e">
        <f>VLOOKUP(A85,Enforcements!$C$7:$E$11,3,0)</f>
        <v>#N/A</v>
      </c>
      <c r="AD85" s="186">
        <f t="shared" si="46"/>
        <v>171</v>
      </c>
      <c r="AE85" s="220" t="str">
        <f t="shared" si="47"/>
        <v>aws s3 cp s3://rtdc.mdm.uploadarchive.raw/RTDC4018/ "%USERPROFILE%\AppData\Local\Temp\OnboardLogs"\RTDC4018\2017-10-29 --exclude "*" --recursive --include "*20171029*" &amp; "%USERPROFILE%\Documents\GitHub\mrs-test-scripts\Headless Mode &amp; Sideloading\WalkAndUnGZ.bat" "%USERPROFILE%\AppData\Local\Temp\OnboardLogs"\RTDC4018\2017-10-29 &amp; aws s3 cp s3://rtdc.mdm.uploadarchive.raw/RTDC4018/ "%USERPROFILE%\AppData\Local\Temp\OnboardLogs"\RTDC4018\2017-10-30 --exclude "*" --recursive --include "*20171030*" &amp; "%USERPROFILE%\Documents\GitHub\mrs-test-scripts\Headless Mode &amp; Sideloading\WalkAndUnGZ.bat" "%USERPROFILE%\AppData\Local\Temp\OnboardLogs"\RTDC4018\2017-10-30</v>
      </c>
      <c r="AF85" s="221" t="str">
        <f t="shared" si="48"/>
        <v>"C:\Program Files (x86)\AstroGrep\AstroGrep.exe" /e /r /s /spath="%USERPROFILE%\AppData\Local\Temp\OnboardLogs" /stypes="app*4018*20171029*" /stext=" 19:.+((SYSTEM_STATE.+slice.+state.+changed )|(ment ac)|(multiple cpu faults)|(system.+state.+changed )|(\[timeout)|(PRM\|1\|D)|(kpr)|(kdp)|(train st.+moving)|(\|lc)|(penalty))"</v>
      </c>
      <c r="AG85" s="185" t="str">
        <f t="shared" si="49"/>
        <v>EC</v>
      </c>
      <c r="AH85" s="222" t="str">
        <f t="shared" si="34"/>
        <v>"%USERPROFILE%\Documents\GitHub\eaglep3\Utilities\RefineRTDCRunTimes.py" --tripid 171-29 --locoid 4018 --swversion DE.1.0.9.0 --startMP 204:520 --initTime 2017-10-29T12:23:50 --startdatetime 2017-10-29T12:30:23 --delay 79 --endMP 204:233217 --enddatetime 2017-10-29T13:06:06 --enforcementcount 0 &gt;&gt;%USERPROFILE%\Documents\GitHub\eaglep3-reporting\EC\2017-10-29-refined-times.txt</v>
      </c>
      <c r="AI85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{"issue":{"subject":"","project_id":79,"tracker_id":40,"status_id":1,"priority_id":2,"assigned_to_id":338,"start_date":"2017-10-29","description":"","custom_fields":[{"id":1,"name":"Subdivision","value":"EC"},{"id":4,"name":"Milepost","value":"23.3217"},{"id":17,"name":"Train ID","value":"171-29"},{"id":16,"name":"Locomotive ID","value":"4018"},{"id":130,"name":"Impact","value":""},{"id":150,"name":"Time of Event (Mountain Time)","value":"13:06:06"},{"id":151,"name":"Denver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182"/>
      <c r="AK85" s="186"/>
      <c r="AL85" s="186"/>
      <c r="AM85" s="187" t="str">
        <f t="shared" si="36"/>
        <v>start /low /b %USERPROFILE%\Documents\GitHub\eaglep3\Utilities\DownloadLogsFromS3.py --loco 4018 --day 2017-10-29</v>
      </c>
      <c r="AN85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19:06:06"},{"id":29,"name":"Sharepoint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82" t="str">
        <f t="shared" si="38"/>
        <v>https://d0f6bd738d7f1b3e5a7ca70fe4ff75f0.us-east-1.aws.found.io/app/kibana#/discover/Steve-Slow-Train-Analysis-(2080s-and-2083s)?_g=(refreshInterval:(display:Off,pause:!f,section:0,value:0),time:(from:'2017-10-29T11:23:50-0600',mode:absolute,to:'2017-10-29T14:06:06-0600'))&amp;_a=(columns:!('Message%20ID',Summary),filters:!(),index:'emp_*',interval:auto,query:(query_string:(analyze_wildcard:!t,query:'%22rtdc.l.rtdc.4018%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32" t="s">
        <v>774</v>
      </c>
      <c r="B86" s="7">
        <v>4017</v>
      </c>
      <c r="C86" s="21" t="s">
        <v>194</v>
      </c>
      <c r="D86" s="21" t="s">
        <v>904</v>
      </c>
      <c r="E86" s="13">
        <v>43037.556620370371</v>
      </c>
      <c r="F86" s="13">
        <v>43037.560694444444</v>
      </c>
      <c r="G86" s="7">
        <v>57</v>
      </c>
      <c r="H86" s="21" t="s">
        <v>606</v>
      </c>
      <c r="I86" s="13">
        <v>43037.587245370371</v>
      </c>
      <c r="J86" s="7">
        <v>0</v>
      </c>
      <c r="K86" s="76" t="str">
        <f t="shared" si="39"/>
        <v>4017/4018</v>
      </c>
      <c r="L86" s="164" t="str">
        <f>VLOOKUP(A86,'Trips&amp;Operators'!$C$1:$G$99911,5,FALSE)</f>
        <v>STEWART MICHAEL</v>
      </c>
      <c r="M86" s="6">
        <f t="shared" si="40"/>
        <v>2.6550925926130731E-2</v>
      </c>
      <c r="N86" s="7">
        <f t="shared" si="51"/>
        <v>38.233333333628252</v>
      </c>
      <c r="O86" s="7"/>
      <c r="P86" s="7"/>
      <c r="Q86" s="22"/>
      <c r="R86" s="157"/>
      <c r="S86" s="215">
        <f t="shared" si="52"/>
        <v>1</v>
      </c>
      <c r="T86" s="216" t="str">
        <f t="shared" si="41"/>
        <v>Southbound</v>
      </c>
      <c r="U86" s="216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7" t="str">
        <f t="shared" si="42"/>
        <v>https://d0f6bd738d7f1b3e5a7ca70fe4ff75f0.us-east-1.aws.found.io/app/kibana#/discover/Steve-Slow-Train-Analysis-(2080s-and-2083s)?_g=(refreshInterval:(display:Off,pause:!f,section:0,value:0),time:(from:'2017-10-29T12:21:32-0600',mode:absolute,to:'2017-10-29T15:05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6" s="218" t="str">
        <f>IF(AA86&lt;VLOOKUP(AG86,Variables!$AC$3:$AD$8,2,FALSE),"Y","N")</f>
        <v>N</v>
      </c>
      <c r="X86" s="218">
        <f t="shared" si="53"/>
        <v>1</v>
      </c>
      <c r="Y86" s="218">
        <f t="shared" si="43"/>
        <v>23.2913</v>
      </c>
      <c r="Z86" s="218">
        <f t="shared" si="44"/>
        <v>2.2700000000000001E-2</v>
      </c>
      <c r="AA86" s="218">
        <f t="shared" si="45"/>
        <v>23.268599999999999</v>
      </c>
      <c r="AB86" s="219" t="e">
        <f>VLOOKUP(A86,Enforcements!$C$7:$K$11,8,0)</f>
        <v>#N/A</v>
      </c>
      <c r="AC86" s="219" t="e">
        <f>VLOOKUP(A86,Enforcements!$C$7:$E$11,3,0)</f>
        <v>#N/A</v>
      </c>
      <c r="AD86" s="186">
        <f t="shared" si="46"/>
        <v>172</v>
      </c>
      <c r="AE86" s="220" t="str">
        <f t="shared" si="47"/>
        <v>aws s3 cp s3://rtdc.mdm.uploadarchive.raw/RTDC4017/ "%USERPROFILE%\AppData\Local\Temp\OnboardLogs"\RTDC4017\2017-10-29 --exclude "*" --recursive --include "*20171029*" &amp; "%USERPROFILE%\Documents\GitHub\mrs-test-scripts\Headless Mode &amp; Sideloading\WalkAndUnGZ.bat" "%USERPROFILE%\AppData\Local\Temp\OnboardLogs"\RTDC4017\2017-10-29 &amp; aws s3 cp s3://rtdc.mdm.uploadarchive.raw/RTDC4017/ "%USERPROFILE%\AppData\Local\Temp\OnboardLogs"\RTDC4017\2017-10-30 --exclude "*" --recursive --include "*20171030*" &amp; "%USERPROFILE%\Documents\GitHub\mrs-test-scripts\Headless Mode &amp; Sideloading\WalkAndUnGZ.bat" "%USERPROFILE%\AppData\Local\Temp\OnboardLogs"\RTDC4017\2017-10-30</v>
      </c>
      <c r="AF86" s="221" t="str">
        <f t="shared" si="48"/>
        <v>"C:\Program Files (x86)\AstroGrep\AstroGrep.exe" /e /r /s /spath="%USERPROFILE%\AppData\Local\Temp\OnboardLogs" /stypes="app*4017*20171029*" /stext=" 20:.+((SYSTEM_STATE.+slice.+state.+changed )|(ment ac)|(multiple cpu faults)|(system.+state.+changed )|(\[timeout)|(PRM\|1\|D)|(kpr)|(kdp)|(train st.+moving)|(\|lc)|(penalty))"</v>
      </c>
      <c r="AG86" s="185" t="str">
        <f t="shared" si="49"/>
        <v>EC</v>
      </c>
      <c r="AH86" s="222" t="str">
        <f t="shared" si="34"/>
        <v>"%USERPROFILE%\Documents\GitHub\eaglep3\Utilities\RefineRTDCRunTimes.py" --tripid 172-29 --locoid 4017 --swversion DE.1.0.9.0 --startMP 204:232913 --initTime 2017-10-29T13:21:32 --startdatetime 2017-10-29T13:27:24 --delay 57 --endMP 204:227 --enddatetime 2017-10-29T14:05:38 --enforcementcount 0 &gt;&gt;%USERPROFILE%\Documents\GitHub\eaglep3-reporting\EC\2017-10-29-refined-times.txt</v>
      </c>
      <c r="AI86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{"issue":{"subject":"","project_id":79,"tracker_id":40,"status_id":1,"priority_id":2,"assigned_to_id":338,"start_date":"2017-10-29","description":"","custom_fields":[{"id":1,"name":"Subdivision","value":"EC"},{"id":4,"name":"Milepost","value":"0.0227"},{"id":17,"name":"Train ID","value":"172-29"},{"id":16,"name":"Locomotive ID","value":"4017"},{"id":130,"name":"Impact","value":""},{"id":150,"name":"Time of Event (Mountain Time)","value":"14:05:38"},{"id":151,"name":"Denver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182"/>
      <c r="AK86" s="186"/>
      <c r="AL86" s="186"/>
      <c r="AM86" s="187" t="str">
        <f t="shared" si="36"/>
        <v>start /low /b %USERPROFILE%\Documents\GitHub\eaglep3\Utilities\DownloadLogsFromS3.py --loco 4017 --day 2017-10-29</v>
      </c>
      <c r="AN86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20:05:38"},{"id":29,"name":"Sharepoint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82" t="str">
        <f t="shared" si="38"/>
        <v>https://d0f6bd738d7f1b3e5a7ca70fe4ff75f0.us-east-1.aws.found.io/app/kibana#/discover/Steve-Slow-Train-Analysis-(2080s-and-2083s)?_g=(refreshInterval:(display:Off,pause:!f,section:0,value:0),time:(from:'2017-10-29T12:21:32-0600',mode:absolute,to:'2017-10-29T15:05:38-0600'))&amp;_a=(columns:!('Message%20ID',Summary),filters:!(),index:'emp_*',interval:auto,query:(query_string:(analyze_wildcard:!t,query:'%22rtdc.l.rtdc.4017%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32" t="s">
        <v>769</v>
      </c>
      <c r="B87" s="7">
        <v>4026</v>
      </c>
      <c r="C87" s="21" t="s">
        <v>194</v>
      </c>
      <c r="D87" s="21" t="s">
        <v>348</v>
      </c>
      <c r="E87" s="13">
        <v>43037.527118055557</v>
      </c>
      <c r="F87" s="13">
        <v>43037.531504629631</v>
      </c>
      <c r="G87" s="7">
        <v>85</v>
      </c>
      <c r="H87" s="21" t="s">
        <v>897</v>
      </c>
      <c r="I87" s="13">
        <v>43037.556087962963</v>
      </c>
      <c r="J87" s="7">
        <v>0</v>
      </c>
      <c r="K87" s="76" t="str">
        <f t="shared" si="39"/>
        <v>4025/4026</v>
      </c>
      <c r="L87" s="164" t="str">
        <f>VLOOKUP(A87,'Trips&amp;Operators'!$C$1:$G$99911,5,FALSE)</f>
        <v>STRICKLAND EVAN</v>
      </c>
      <c r="M87" s="6">
        <f t="shared" si="40"/>
        <v>2.4583333331975155E-2</v>
      </c>
      <c r="N87" s="7">
        <f t="shared" si="51"/>
        <v>35.399999998044223</v>
      </c>
      <c r="O87" s="7"/>
      <c r="P87" s="7"/>
      <c r="Q87" s="22"/>
      <c r="R87" s="157"/>
      <c r="S87" s="215">
        <f t="shared" si="52"/>
        <v>1</v>
      </c>
      <c r="T87" s="216" t="str">
        <f t="shared" si="41"/>
        <v>NorthBound</v>
      </c>
      <c r="U87" s="216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7" t="str">
        <f t="shared" si="42"/>
        <v>https://d0f6bd738d7f1b3e5a7ca70fe4ff75f0.us-east-1.aws.found.io/app/kibana#/discover/Steve-Slow-Train-Analysis-(2080s-and-2083s)?_g=(refreshInterval:(display:Off,pause:!f,section:0,value:0),time:(from:'2017-10-29T11:39:03-0600',mode:absolute,to:'2017-10-29T14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7" s="218" t="str">
        <f>IF(AA87&lt;VLOOKUP(AG87,Variables!$AC$3:$AD$8,2,FALSE),"Y","N")</f>
        <v>N</v>
      </c>
      <c r="X87" s="218">
        <f t="shared" si="53"/>
        <v>1</v>
      </c>
      <c r="Y87" s="218">
        <f t="shared" si="43"/>
        <v>4.58E-2</v>
      </c>
      <c r="Z87" s="218">
        <f t="shared" si="44"/>
        <v>23.3232</v>
      </c>
      <c r="AA87" s="218">
        <f t="shared" si="45"/>
        <v>23.2774</v>
      </c>
      <c r="AB87" s="219" t="e">
        <f>VLOOKUP(A87,Enforcements!$C$7:$K$11,8,0)</f>
        <v>#N/A</v>
      </c>
      <c r="AC87" s="219" t="e">
        <f>VLOOKUP(A87,Enforcements!$C$7:$E$11,3,0)</f>
        <v>#N/A</v>
      </c>
      <c r="AD87" s="186">
        <f t="shared" si="46"/>
        <v>173</v>
      </c>
      <c r="AE87" s="220" t="str">
        <f t="shared" si="47"/>
        <v>aws s3 cp s3://rtdc.mdm.uploadarchive.raw/RTDC4026/ "%USERPROFILE%\AppData\Local\Temp\OnboardLogs"\RTDC4026\2017-10-29 --exclude "*" --recursive --include "*20171029*" &amp; "%USERPROFILE%\Documents\GitHub\mrs-test-scripts\Headless Mode &amp; Sideloading\WalkAndUnGZ.bat" "%USERPROFILE%\AppData\Local\Temp\OnboardLogs"\RTDC4026\2017-10-29 &amp; aws s3 cp s3://rtdc.mdm.uploadarchive.raw/RTDC4026/ "%USERPROFILE%\AppData\Local\Temp\OnboardLogs"\RTDC4026\2017-10-30 --exclude "*" --recursive --include "*20171030*" &amp; "%USERPROFILE%\Documents\GitHub\mrs-test-scripts\Headless Mode &amp; Sideloading\WalkAndUnGZ.bat" "%USERPROFILE%\AppData\Local\Temp\OnboardLogs"\RTDC4026\2017-10-30</v>
      </c>
      <c r="AF87" s="221" t="str">
        <f t="shared" si="48"/>
        <v>"C:\Program Files (x86)\AstroGrep\AstroGrep.exe" /e /r /s /spath="%USERPROFILE%\AppData\Local\Temp\OnboardLogs" /stypes="app*4026*20171029*" /stext=" 19:.+((SYSTEM_STATE.+slice.+state.+changed )|(ment ac)|(multiple cpu faults)|(system.+state.+changed )|(\[timeout)|(PRM\|1\|D)|(kpr)|(kdp)|(train st.+moving)|(\|lc)|(penalty))"</v>
      </c>
      <c r="AG87" s="185" t="str">
        <f t="shared" si="49"/>
        <v>EC</v>
      </c>
      <c r="AH87" s="222" t="str">
        <f t="shared" si="34"/>
        <v>"%USERPROFILE%\Documents\GitHub\eaglep3\Utilities\RefineRTDCRunTimes.py" --tripid 173-29 --locoid 4026 --swversion DE.1.0.9.0 --startMP 204:458 --initTime 2017-10-29T12:39:03 --startdatetime 2017-10-29T12:45:22 --delay 85 --endMP 204:233232 --enddatetime 2017-10-29T13:20:46 --enforcementcount 0 &gt;&gt;%USERPROFILE%\Documents\GitHub\eaglep3-reporting\EC\2017-10-29-refined-times.txt</v>
      </c>
      <c r="AI87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{"issue":{"subject":"","project_id":79,"tracker_id":40,"status_id":1,"priority_id":2,"assigned_to_id":338,"start_date":"2017-10-29","description":"","custom_fields":[{"id":1,"name":"Subdivision","value":"EC"},{"id":4,"name":"Milepost","value":"23.3232"},{"id":17,"name":"Train ID","value":"173-29"},{"id":16,"name":"Locomotive ID","value":"4026"},{"id":130,"name":"Impact","value":""},{"id":150,"name":"Time of Event (Mountain Time)","value":"13:20:46"},{"id":151,"name":"Denver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182"/>
      <c r="AK87" s="186"/>
      <c r="AL87" s="186"/>
      <c r="AM87" s="187" t="str">
        <f t="shared" si="36"/>
        <v>start /low /b %USERPROFILE%\Documents\GitHub\eaglep3\Utilities\DownloadLogsFromS3.py --loco 4026 --day 2017-10-29</v>
      </c>
      <c r="AN87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19:20:46"},{"id":29,"name":"Sharepoint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82" t="str">
        <f t="shared" si="38"/>
        <v>https://d0f6bd738d7f1b3e5a7ca70fe4ff75f0.us-east-1.aws.found.io/app/kibana#/discover/Steve-Slow-Train-Analysis-(2080s-and-2083s)?_g=(refreshInterval:(display:Off,pause:!f,section:0,value:0),time:(from:'2017-10-29T11:39:03-0600',mode:absolute,to:'2017-10-29T14:20:46-0600'))&amp;_a=(columns:!('Message%20ID',Summary),filters:!(),index:'emp_*',interval:auto,query:(query_string:(analyze_wildcard:!t,query:'%22rtdc.l.rtdc.4026%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32" t="s">
        <v>779</v>
      </c>
      <c r="B88" s="7">
        <v>4025</v>
      </c>
      <c r="C88" s="21" t="s">
        <v>194</v>
      </c>
      <c r="D88" s="21" t="s">
        <v>941</v>
      </c>
      <c r="E88" s="13">
        <v>43037.564733796295</v>
      </c>
      <c r="F88" s="13">
        <v>43037.571006944447</v>
      </c>
      <c r="G88" s="7">
        <v>113</v>
      </c>
      <c r="H88" s="21" t="s">
        <v>335</v>
      </c>
      <c r="I88" s="13">
        <v>43037.598101851851</v>
      </c>
      <c r="J88" s="7">
        <v>0</v>
      </c>
      <c r="K88" s="76" t="str">
        <f t="shared" si="39"/>
        <v>4025/4026</v>
      </c>
      <c r="L88" s="164" t="str">
        <f>VLOOKUP(A88,'Trips&amp;Operators'!$C$1:$G$99911,5,FALSE)</f>
        <v>STRICKLAND EVAN</v>
      </c>
      <c r="M88" s="6">
        <f t="shared" si="40"/>
        <v>2.7094907403807156E-2</v>
      </c>
      <c r="N88" s="7">
        <f t="shared" si="51"/>
        <v>39.016666661482304</v>
      </c>
      <c r="O88" s="7"/>
      <c r="P88" s="7"/>
      <c r="Q88" s="22"/>
      <c r="R88" s="157"/>
      <c r="S88" s="215">
        <f t="shared" si="52"/>
        <v>1</v>
      </c>
      <c r="T88" s="216" t="str">
        <f t="shared" si="41"/>
        <v>Southbound</v>
      </c>
      <c r="U88" s="216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7" t="str">
        <f t="shared" si="42"/>
        <v>https://d0f6bd738d7f1b3e5a7ca70fe4ff75f0.us-east-1.aws.found.io/app/kibana#/discover/Steve-Slow-Train-Analysis-(2080s-and-2083s)?_g=(refreshInterval:(display:Off,pause:!f,section:0,value:0),time:(from:'2017-10-29T12:33:13-0600',mode:absolute,to:'2017-10-29T15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8" s="218" t="str">
        <f>IF(AA88&lt;VLOOKUP(AG88,Variables!$AC$3:$AD$8,2,FALSE),"Y","N")</f>
        <v>N</v>
      </c>
      <c r="X88" s="218">
        <f t="shared" si="53"/>
        <v>1</v>
      </c>
      <c r="Y88" s="218">
        <f t="shared" si="43"/>
        <v>23.290700000000001</v>
      </c>
      <c r="Z88" s="218">
        <f t="shared" si="44"/>
        <v>1.43E-2</v>
      </c>
      <c r="AA88" s="218">
        <f t="shared" si="45"/>
        <v>23.276400000000002</v>
      </c>
      <c r="AB88" s="219" t="e">
        <f>VLOOKUP(A88,Enforcements!$C$7:$K$11,8,0)</f>
        <v>#N/A</v>
      </c>
      <c r="AC88" s="219" t="e">
        <f>VLOOKUP(A88,Enforcements!$C$7:$E$11,3,0)</f>
        <v>#N/A</v>
      </c>
      <c r="AD88" s="186">
        <f t="shared" si="46"/>
        <v>174</v>
      </c>
      <c r="AE88" s="220" t="str">
        <f t="shared" si="47"/>
        <v>aws s3 cp s3://rtdc.mdm.uploadarchive.raw/RTDC4025/ "%USERPROFILE%\AppData\Local\Temp\OnboardLogs"\RTDC4025\2017-10-29 --exclude "*" --recursive --include "*20171029*" &amp; "%USERPROFILE%\Documents\GitHub\mrs-test-scripts\Headless Mode &amp; Sideloading\WalkAndUnGZ.bat" "%USERPROFILE%\AppData\Local\Temp\OnboardLogs"\RTDC4025\2017-10-29 &amp; aws s3 cp s3://rtdc.mdm.uploadarchive.raw/RTDC4025/ "%USERPROFILE%\AppData\Local\Temp\OnboardLogs"\RTDC4025\2017-10-30 --exclude "*" --recursive --include "*20171030*" &amp; "%USERPROFILE%\Documents\GitHub\mrs-test-scripts\Headless Mode &amp; Sideloading\WalkAndUnGZ.bat" "%USERPROFILE%\AppData\Local\Temp\OnboardLogs"\RTDC4025\2017-10-30</v>
      </c>
      <c r="AF88" s="221" t="str">
        <f t="shared" si="48"/>
        <v>"C:\Program Files (x86)\AstroGrep\AstroGrep.exe" /e /r /s /spath="%USERPROFILE%\AppData\Local\Temp\OnboardLogs" /stypes="app*4025*20171029*" /stext=" 20:.+((SYSTEM_STATE.+slice.+state.+changed )|(ment ac)|(multiple cpu faults)|(system.+state.+changed )|(\[timeout)|(PRM\|1\|D)|(kpr)|(kdp)|(train st.+moving)|(\|lc)|(penalty))"</v>
      </c>
      <c r="AG88" s="185" t="str">
        <f t="shared" si="49"/>
        <v>EC</v>
      </c>
      <c r="AH88" s="222" t="str">
        <f t="shared" si="34"/>
        <v>"%USERPROFILE%\Documents\GitHub\eaglep3\Utilities\RefineRTDCRunTimes.py" --tripid 174-29 --locoid 4025 --swversion DE.1.0.9.0 --startMP 204:232907 --initTime 2017-10-29T13:33:13 --startdatetime 2017-10-29T13:42:15 --delay 113 --endMP 204:143 --enddatetime 2017-10-29T14:21:16 --enforcementcount 0 &gt;&gt;%USERPROFILE%\Documents\GitHub\eaglep3-reporting\EC\2017-10-29-refined-times.txt</v>
      </c>
      <c r="AI88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{"issue":{"subject":"","project_id":79,"tracker_id":40,"status_id":1,"priority_id":2,"assigned_to_id":338,"start_date":"2017-10-29","description":"","custom_fields":[{"id":1,"name":"Subdivision","value":"EC"},{"id":4,"name":"Milepost","value":"0.0143"},{"id":17,"name":"Train ID","value":"174-29"},{"id":16,"name":"Locomotive ID","value":"4025"},{"id":130,"name":"Impact","value":""},{"id":150,"name":"Time of Event (Mountain Time)","value":"14:21:16"},{"id":151,"name":"Denver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182"/>
      <c r="AK88" s="186"/>
      <c r="AL88" s="186"/>
      <c r="AM88" s="187" t="str">
        <f t="shared" si="36"/>
        <v>start /low /b %USERPROFILE%\Documents\GitHub\eaglep3\Utilities\DownloadLogsFromS3.py --loco 4025 --day 2017-10-29</v>
      </c>
      <c r="AN88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20:21:16"},{"id":29,"name":"Sharepoint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82" t="str">
        <f t="shared" si="38"/>
        <v>https://d0f6bd738d7f1b3e5a7ca70fe4ff75f0.us-east-1.aws.found.io/app/kibana#/discover/Steve-Slow-Train-Analysis-(2080s-and-2083s)?_g=(refreshInterval:(display:Off,pause:!f,section:0,value:0),time:(from:'2017-10-29T12:33:13-0600',mode:absolute,to:'2017-10-29T15:21:16-0600'))&amp;_a=(columns:!('Message%20ID',Summary),filters:!(),index:'emp_*',interval:auto,query:(query_string:(analyze_wildcard:!t,query:'%22rtdc.l.rtdc.4025%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32" t="s">
        <v>771</v>
      </c>
      <c r="B89" s="7">
        <v>4060</v>
      </c>
      <c r="C89" s="21" t="s">
        <v>194</v>
      </c>
      <c r="D89" s="21" t="s">
        <v>504</v>
      </c>
      <c r="E89" s="13">
        <v>43037.538587962961</v>
      </c>
      <c r="F89" s="13">
        <v>43037.542037037034</v>
      </c>
      <c r="G89" s="7">
        <v>67</v>
      </c>
      <c r="H89" s="21" t="s">
        <v>942</v>
      </c>
      <c r="I89" s="13">
        <v>43037.567870370367</v>
      </c>
      <c r="J89" s="7">
        <v>0</v>
      </c>
      <c r="K89" s="76" t="str">
        <f t="shared" si="39"/>
        <v>4059/4060</v>
      </c>
      <c r="L89" s="164" t="str">
        <f>VLOOKUP(A89,'Trips&amp;Operators'!$C$1:$G$99911,5,FALSE)</f>
        <v>DAVIS MICHAEL</v>
      </c>
      <c r="M89" s="6">
        <f t="shared" si="40"/>
        <v>2.5833333333139308E-2</v>
      </c>
      <c r="N89" s="7">
        <f t="shared" si="51"/>
        <v>37.199999999720603</v>
      </c>
      <c r="O89" s="7"/>
      <c r="P89" s="7"/>
      <c r="Q89" s="22"/>
      <c r="R89" s="157"/>
      <c r="S89" s="215">
        <f t="shared" si="52"/>
        <v>1</v>
      </c>
      <c r="T89" s="216" t="str">
        <f t="shared" si="41"/>
        <v>NorthBound</v>
      </c>
      <c r="U89" s="216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7" t="str">
        <f t="shared" si="42"/>
        <v>https://d0f6bd738d7f1b3e5a7ca70fe4ff75f0.us-east-1.aws.found.io/app/kibana#/discover/Steve-Slow-Train-Analysis-(2080s-and-2083s)?_g=(refreshInterval:(display:Off,pause:!f,section:0,value:0),time:(from:'2017-10-29T11:55:34-0600',mode:absolute,to:'2017-10-29T14:37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89" s="218" t="str">
        <f>IF(AA89&lt;VLOOKUP(AG89,Variables!$AC$3:$AD$8,2,FALSE),"Y","N")</f>
        <v>N</v>
      </c>
      <c r="X89" s="218">
        <f t="shared" si="53"/>
        <v>1</v>
      </c>
      <c r="Y89" s="218">
        <f t="shared" si="43"/>
        <v>5.4600000000000003E-2</v>
      </c>
      <c r="Z89" s="218">
        <f t="shared" si="44"/>
        <v>23.3247</v>
      </c>
      <c r="AA89" s="218">
        <f t="shared" si="45"/>
        <v>23.270099999999999</v>
      </c>
      <c r="AB89" s="219" t="e">
        <f>VLOOKUP(A89,Enforcements!$C$7:$K$11,8,0)</f>
        <v>#N/A</v>
      </c>
      <c r="AC89" s="219" t="e">
        <f>VLOOKUP(A89,Enforcements!$C$7:$E$11,3,0)</f>
        <v>#N/A</v>
      </c>
      <c r="AD89" s="186">
        <f t="shared" si="46"/>
        <v>175</v>
      </c>
      <c r="AE89" s="220" t="str">
        <f t="shared" si="47"/>
        <v>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 &amp; aws s3 cp s3://rtdc.mdm.uploadarchive.raw/RTDC4060/ "%USERPROFILE%\AppData\Local\Temp\OnboardLogs"\RTDC4060\2017-10-30 --exclude "*" --recursive --include "*20171030*" &amp; "%USERPROFILE%\Documents\GitHub\mrs-test-scripts\Headless Mode &amp; Sideloading\WalkAndUnGZ.bat" "%USERPROFILE%\AppData\Local\Temp\OnboardLogs"\RTDC4060\2017-10-30</v>
      </c>
      <c r="AF89" s="221" t="str">
        <f t="shared" si="48"/>
        <v>"C:\Program Files (x86)\AstroGrep\AstroGrep.exe" /e /r /s /spath="%USERPROFILE%\AppData\Local\Temp\OnboardLogs" /stypes="app*4060*20171029*" /stext=" 19:.+((SYSTEM_STATE.+slice.+state.+changed )|(ment ac)|(multiple cpu faults)|(system.+state.+changed )|(\[timeout)|(PRM\|1\|D)|(kpr)|(kdp)|(train st.+moving)|(\|lc)|(penalty))"</v>
      </c>
      <c r="AG89" s="185" t="str">
        <f t="shared" si="49"/>
        <v>EC</v>
      </c>
      <c r="AH89" s="222" t="str">
        <f t="shared" si="34"/>
        <v>"%USERPROFILE%\Documents\GitHub\eaglep3\Utilities\RefineRTDCRunTimes.py" --tripid 175-29 --locoid 4060 --swversion DE.1.0.9.0 --startMP 204:546 --initTime 2017-10-29T12:55:34 --startdatetime 2017-10-29T13:00:32 --delay 67 --endMP 204:233247 --enddatetime 2017-10-29T13:37:44 --enforcementcount 0 &gt;&gt;%USERPROFILE%\Documents\GitHub\eaglep3-reporting\EC\2017-10-29-refined-times.txt</v>
      </c>
      <c r="AI89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{"issue":{"subject":"","project_id":79,"tracker_id":40,"status_id":1,"priority_id":2,"assigned_to_id":338,"start_date":"2017-10-29","description":"","custom_fields":[{"id":1,"name":"Subdivision","value":"EC"},{"id":4,"name":"Milepost","value":"23.3247"},{"id":17,"name":"Train ID","value":"175-29"},{"id":16,"name":"Locomotive ID","value":"4060"},{"id":130,"name":"Impact","value":""},{"id":150,"name":"Time of Event (Mountain Time)","value":"13:37:44"},{"id":151,"name":"Denver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182"/>
      <c r="AK89" s="186"/>
      <c r="AL89" s="186"/>
      <c r="AM89" s="187" t="str">
        <f t="shared" si="36"/>
        <v>start /low /b %USERPROFILE%\Documents\GitHub\eaglep3\Utilities\DownloadLogsFromS3.py --loco 4060 --day 2017-10-29</v>
      </c>
      <c r="AN89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19:37:44"},{"id":29,"name":"Sharepoint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82" t="str">
        <f t="shared" si="38"/>
        <v>https://d0f6bd738d7f1b3e5a7ca70fe4ff75f0.us-east-1.aws.found.io/app/kibana#/discover/Steve-Slow-Train-Analysis-(2080s-and-2083s)?_g=(refreshInterval:(display:Off,pause:!f,section:0,value:0),time:(from:'2017-10-29T11:55:34-0600',mode:absolute,to:'2017-10-29T14:37:44-0600'))&amp;_a=(columns:!('Message%20ID',Summary),filters:!(),index:'emp_*',interval:auto,query:(query_string:(analyze_wildcard:!t,query:'%22rtdc.l.rtdc.4060%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32" t="s">
        <v>782</v>
      </c>
      <c r="B90" s="7">
        <v>4059</v>
      </c>
      <c r="C90" s="21" t="s">
        <v>194</v>
      </c>
      <c r="D90" s="21" t="s">
        <v>943</v>
      </c>
      <c r="E90" s="13">
        <v>43037.578703703701</v>
      </c>
      <c r="F90" s="13">
        <v>43037.581909722219</v>
      </c>
      <c r="G90" s="7">
        <v>69</v>
      </c>
      <c r="H90" s="21" t="s">
        <v>936</v>
      </c>
      <c r="I90" s="13">
        <v>43037.609444444446</v>
      </c>
      <c r="J90" s="7">
        <v>0</v>
      </c>
      <c r="K90" s="76" t="str">
        <f t="shared" si="39"/>
        <v>4059/4060</v>
      </c>
      <c r="L90" s="164" t="str">
        <f>VLOOKUP(A90,'Trips&amp;Operators'!$C$1:$G$99911,5,FALSE)</f>
        <v>DAVIS MICHAEL</v>
      </c>
      <c r="M90" s="6">
        <f t="shared" si="40"/>
        <v>2.7534722226846498E-2</v>
      </c>
      <c r="N90" s="7">
        <f t="shared" si="51"/>
        <v>39.650000006658956</v>
      </c>
      <c r="O90" s="7"/>
      <c r="P90" s="7"/>
      <c r="Q90" s="22"/>
      <c r="R90" s="157"/>
      <c r="S90" s="215">
        <f t="shared" si="52"/>
        <v>1</v>
      </c>
      <c r="T90" s="216" t="str">
        <f t="shared" si="41"/>
        <v>Southbound</v>
      </c>
      <c r="U90" s="216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7" t="str">
        <f t="shared" si="42"/>
        <v>https://d0f6bd738d7f1b3e5a7ca70fe4ff75f0.us-east-1.aws.found.io/app/kibana#/discover/Steve-Slow-Train-Analysis-(2080s-and-2083s)?_g=(refreshInterval:(display:Off,pause:!f,section:0,value:0),time:(from:'2017-10-29T12:53:20-0600',mode:absolute,to:'2017-10-29T15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0" s="218" t="str">
        <f>IF(AA90&lt;VLOOKUP(AG90,Variables!$AC$3:$AD$8,2,FALSE),"Y","N")</f>
        <v>N</v>
      </c>
      <c r="X90" s="218">
        <f t="shared" si="53"/>
        <v>1</v>
      </c>
      <c r="Y90" s="218">
        <f t="shared" si="43"/>
        <v>23.291499999999999</v>
      </c>
      <c r="Z90" s="218">
        <f t="shared" si="44"/>
        <v>2.1600000000000001E-2</v>
      </c>
      <c r="AA90" s="218">
        <f t="shared" si="45"/>
        <v>23.2699</v>
      </c>
      <c r="AB90" s="219" t="e">
        <f>VLOOKUP(A90,Enforcements!$C$7:$K$11,8,0)</f>
        <v>#N/A</v>
      </c>
      <c r="AC90" s="219" t="e">
        <f>VLOOKUP(A90,Enforcements!$C$7:$E$11,3,0)</f>
        <v>#N/A</v>
      </c>
      <c r="AD90" s="186">
        <f t="shared" si="46"/>
        <v>176</v>
      </c>
      <c r="AE90" s="220" t="str">
        <f t="shared" si="47"/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AF90" s="221" t="str">
        <f t="shared" si="48"/>
        <v>"C:\Program Files (x86)\AstroGrep\AstroGrep.exe" /e /r /s /spath="%USERPROFILE%\AppData\Local\Temp\OnboardLogs" /stypes="app*4059*20171029*" /stext=" 20:.+((SYSTEM_STATE.+slice.+state.+changed )|(ment ac)|(multiple cpu faults)|(system.+state.+changed )|(\[timeout)|(PRM\|1\|D)|(kpr)|(kdp)|(train st.+moving)|(\|lc)|(penalty))"</v>
      </c>
      <c r="AG90" s="185" t="str">
        <f t="shared" si="49"/>
        <v>EC</v>
      </c>
      <c r="AH90" s="222" t="str">
        <f t="shared" si="34"/>
        <v>"%USERPROFILE%\Documents\GitHub\eaglep3\Utilities\RefineRTDCRunTimes.py" --tripid 176-29 --locoid 4059 --swversion DE.1.0.9.0 --startMP 204:232915 --initTime 2017-10-29T13:53:20 --startdatetime 2017-10-29T13:57:57 --delay 69 --endMP 204:216 --enddatetime 2017-10-29T14:37:36 --enforcementcount 0 &gt;&gt;%USERPROFILE%\Documents\GitHub\eaglep3-reporting\EC\2017-10-29-refined-times.txt</v>
      </c>
      <c r="AI90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{"issue":{"subject":"","project_id":79,"tracker_id":40,"status_id":1,"priority_id":2,"assigned_to_id":338,"start_date":"2017-10-29","description":"","custom_fields":[{"id":1,"name":"Subdivision","value":"EC"},{"id":4,"name":"Milepost","value":"0.0216"},{"id":17,"name":"Train ID","value":"176-29"},{"id":16,"name":"Locomotive ID","value":"4059"},{"id":130,"name":"Impact","value":""},{"id":150,"name":"Time of Event (Mountain Time)","value":"14:37:36"},{"id":151,"name":"Denver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182"/>
      <c r="AK90" s="186"/>
      <c r="AL90" s="186"/>
      <c r="AM90" s="187" t="str">
        <f t="shared" si="36"/>
        <v>start /low /b %USERPROFILE%\Documents\GitHub\eaglep3\Utilities\DownloadLogsFromS3.py --loco 4059 --day 2017-10-29</v>
      </c>
      <c r="AN90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20:37:36"},{"id":29,"name":"Sharepoint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82" t="str">
        <f t="shared" si="38"/>
        <v>https://d0f6bd738d7f1b3e5a7ca70fe4ff75f0.us-east-1.aws.found.io/app/kibana#/discover/Steve-Slow-Train-Analysis-(2080s-and-2083s)?_g=(refreshInterval:(display:Off,pause:!f,section:0,value:0),time:(from:'2017-10-29T12:53:20-0600',mode:absolute,to:'2017-10-29T15:37:36-0600'))&amp;_a=(columns:!('Message%20ID',Summary),filters:!(),index:'emp_*',interval:auto,query:(query_string:(analyze_wildcard:!t,query:'%22rtdc.l.rtdc.4059%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32" t="s">
        <v>773</v>
      </c>
      <c r="B91" s="7">
        <v>4016</v>
      </c>
      <c r="C91" s="21" t="s">
        <v>194</v>
      </c>
      <c r="D91" s="21" t="s">
        <v>896</v>
      </c>
      <c r="E91" s="13">
        <v>43037.548171296294</v>
      </c>
      <c r="F91" s="13">
        <v>43037.552395833336</v>
      </c>
      <c r="G91" s="7">
        <v>79</v>
      </c>
      <c r="H91" s="21" t="s">
        <v>944</v>
      </c>
      <c r="I91" s="13">
        <v>43037.576168981483</v>
      </c>
      <c r="J91" s="7">
        <v>0</v>
      </c>
      <c r="K91" s="76" t="str">
        <f t="shared" si="39"/>
        <v>4015/4016</v>
      </c>
      <c r="L91" s="164" t="str">
        <f>VLOOKUP(A91,'Trips&amp;Operators'!$C$1:$G$99911,5,FALSE)</f>
        <v>SAFIEF AEIMEN</v>
      </c>
      <c r="M91" s="6">
        <f t="shared" si="40"/>
        <v>2.3773148146574385E-2</v>
      </c>
      <c r="N91" s="7">
        <f t="shared" si="51"/>
        <v>34.233333331067115</v>
      </c>
      <c r="O91" s="7"/>
      <c r="P91" s="7"/>
      <c r="Q91" s="22"/>
      <c r="R91" s="157"/>
      <c r="S91" s="215">
        <f t="shared" si="52"/>
        <v>1</v>
      </c>
      <c r="T91" s="216" t="str">
        <f t="shared" si="41"/>
        <v>NorthBound</v>
      </c>
      <c r="U91" s="216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7" t="str">
        <f t="shared" si="42"/>
        <v>https://d0f6bd738d7f1b3e5a7ca70fe4ff75f0.us-east-1.aws.found.io/app/kibana#/discover/Steve-Slow-Train-Analysis-(2080s-and-2083s)?_g=(refreshInterval:(display:Off,pause:!f,section:0,value:0),time:(from:'2017-10-29T12:09:22-0600',mode:absolute,to:'2017-10-29T14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91" s="218" t="str">
        <f>IF(AA91&lt;VLOOKUP(AG91,Variables!$AC$3:$AD$8,2,FALSE),"Y","N")</f>
        <v>N</v>
      </c>
      <c r="X91" s="218">
        <f t="shared" si="53"/>
        <v>1</v>
      </c>
      <c r="Y91" s="218">
        <f t="shared" si="43"/>
        <v>0.05</v>
      </c>
      <c r="Z91" s="218">
        <f t="shared" si="44"/>
        <v>23.3245</v>
      </c>
      <c r="AA91" s="218">
        <f t="shared" si="45"/>
        <v>23.2745</v>
      </c>
      <c r="AB91" s="219" t="e">
        <f>VLOOKUP(A91,Enforcements!$C$7:$K$11,8,0)</f>
        <v>#N/A</v>
      </c>
      <c r="AC91" s="219" t="e">
        <f>VLOOKUP(A91,Enforcements!$C$7:$E$11,3,0)</f>
        <v>#N/A</v>
      </c>
      <c r="AD91" s="186">
        <f t="shared" si="46"/>
        <v>177</v>
      </c>
      <c r="AE91" s="220" t="str">
        <f t="shared" si="47"/>
        <v>aws s3 cp s3://rtdc.mdm.uploadarchive.raw/RTDC4016/ "%USERPROFILE%\AppData\Local\Temp\OnboardLogs"\RTDC4016\2017-10-29 --exclude "*" --recursive --include "*20171029*" &amp; "%USERPROFILE%\Documents\GitHub\mrs-test-scripts\Headless Mode &amp; Sideloading\WalkAndUnGZ.bat" "%USERPROFILE%\AppData\Local\Temp\OnboardLogs"\RTDC4016\2017-10-29 &amp; 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</v>
      </c>
      <c r="AF91" s="221" t="str">
        <f t="shared" si="48"/>
        <v>"C:\Program Files (x86)\AstroGrep\AstroGrep.exe" /e /r /s /spath="%USERPROFILE%\AppData\Local\Temp\OnboardLogs" /stypes="app*4016*20171029*" /stext=" 19:.+((SYSTEM_STATE.+slice.+state.+changed )|(ment ac)|(multiple cpu faults)|(system.+state.+changed )|(\[timeout)|(PRM\|1\|D)|(kpr)|(kdp)|(train st.+moving)|(\|lc)|(penalty))"</v>
      </c>
      <c r="AG91" s="185" t="str">
        <f t="shared" si="49"/>
        <v>EC</v>
      </c>
      <c r="AH91" s="222" t="str">
        <f t="shared" si="34"/>
        <v>"%USERPROFILE%\Documents\GitHub\eaglep3\Utilities\RefineRTDCRunTimes.py" --tripid 177-29 --locoid 4016 --swversion DE.1.0.9.0 --startMP 204:500 --initTime 2017-10-29T13:09:22 --startdatetime 2017-10-29T13:15:27 --delay 79 --endMP 204:233245 --enddatetime 2017-10-29T13:49:41 --enforcementcount 0 &gt;&gt;%USERPROFILE%\Documents\GitHub\eaglep3-reporting\EC\2017-10-29-refined-times.txt</v>
      </c>
      <c r="AI91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{"issue":{"subject":"","project_id":79,"tracker_id":40,"status_id":1,"priority_id":2,"assigned_to_id":338,"start_date":"2017-10-29","description":"","custom_fields":[{"id":1,"name":"Subdivision","value":"EC"},{"id":4,"name":"Milepost","value":"23.3245"},{"id":17,"name":"Train ID","value":"177-29"},{"id":16,"name":"Locomotive ID","value":"4016"},{"id":130,"name":"Impact","value":""},{"id":150,"name":"Time of Event (Mountain Time)","value":"13:49:41"},{"id":151,"name":"Denver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182"/>
      <c r="AK91" s="186"/>
      <c r="AL91" s="186"/>
      <c r="AM91" s="187" t="str">
        <f t="shared" si="36"/>
        <v>start /low /b %USERPROFILE%\Documents\GitHub\eaglep3\Utilities\DownloadLogsFromS3.py --loco 4016 --day 2017-10-29</v>
      </c>
      <c r="AN91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19:49:41"},{"id":29,"name":"Sharepoint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82" t="str">
        <f t="shared" si="38"/>
        <v>https://d0f6bd738d7f1b3e5a7ca70fe4ff75f0.us-east-1.aws.found.io/app/kibana#/discover/Steve-Slow-Train-Analysis-(2080s-and-2083s)?_g=(refreshInterval:(display:Off,pause:!f,section:0,value:0),time:(from:'2017-10-29T12:09:22-0600',mode:absolute,to:'2017-10-29T14:49:41-0600'))&amp;_a=(columns:!('Message%20ID',Summary),filters:!(),index:'emp_*',interval:auto,query:(query_string:(analyze_wildcard:!t,query:'%22rtdc.l.rtdc.4016%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32" t="s">
        <v>781</v>
      </c>
      <c r="B92" s="7">
        <v>4015</v>
      </c>
      <c r="C92" s="21" t="s">
        <v>194</v>
      </c>
      <c r="D92" s="21" t="s">
        <v>529</v>
      </c>
      <c r="E92" s="13">
        <v>43037.5780787037</v>
      </c>
      <c r="F92" s="13">
        <v>43037.591840277775</v>
      </c>
      <c r="G92" s="7">
        <v>84</v>
      </c>
      <c r="H92" s="21" t="s">
        <v>945</v>
      </c>
      <c r="I92" s="13">
        <v>43037.618159722224</v>
      </c>
      <c r="J92" s="7">
        <v>0</v>
      </c>
      <c r="K92" s="76" t="str">
        <f t="shared" si="39"/>
        <v>4015/4016</v>
      </c>
      <c r="L92" s="164" t="str">
        <f>VLOOKUP(A92,'Trips&amp;Operators'!$C$1:$G$99911,5,FALSE)</f>
        <v>SAFIEF AEIMEN</v>
      </c>
      <c r="M92" s="6">
        <f t="shared" si="40"/>
        <v>2.6319444448745344E-2</v>
      </c>
      <c r="N92" s="7">
        <f t="shared" si="51"/>
        <v>37.900000006193295</v>
      </c>
      <c r="O92" s="7"/>
      <c r="P92" s="7"/>
      <c r="Q92" s="22"/>
      <c r="R92" s="157"/>
      <c r="S92" s="215">
        <f t="shared" si="52"/>
        <v>1</v>
      </c>
      <c r="T92" s="216" t="str">
        <f t="shared" si="41"/>
        <v>Southbound</v>
      </c>
      <c r="U92" s="216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7" t="str">
        <f t="shared" si="42"/>
        <v>https://d0f6bd738d7f1b3e5a7ca70fe4ff75f0.us-east-1.aws.found.io/app/kibana#/discover/Steve-Slow-Train-Analysis-(2080s-and-2083s)?_g=(refreshInterval:(display:Off,pause:!f,section:0,value:0),time:(from:'2017-10-29T12:52:26-0600',mode:absolute,to:'2017-10-29T15:50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92" s="218" t="str">
        <f>IF(AA92&lt;VLOOKUP(AG92,Variables!$AC$3:$AD$8,2,FALSE),"Y","N")</f>
        <v>N</v>
      </c>
      <c r="X92" s="218">
        <f t="shared" si="53"/>
        <v>1</v>
      </c>
      <c r="Y92" s="218">
        <f t="shared" si="43"/>
        <v>23.293199999999999</v>
      </c>
      <c r="Z92" s="218">
        <f t="shared" si="44"/>
        <v>2.01E-2</v>
      </c>
      <c r="AA92" s="218">
        <f t="shared" si="45"/>
        <v>23.273099999999999</v>
      </c>
      <c r="AB92" s="219" t="e">
        <f>VLOOKUP(A92,Enforcements!$C$7:$K$11,8,0)</f>
        <v>#N/A</v>
      </c>
      <c r="AC92" s="219" t="e">
        <f>VLOOKUP(A92,Enforcements!$C$7:$E$11,3,0)</f>
        <v>#N/A</v>
      </c>
      <c r="AD92" s="186">
        <f t="shared" si="46"/>
        <v>178</v>
      </c>
      <c r="AE92" s="220" t="str">
        <f t="shared" si="47"/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92" s="221" t="str">
        <f t="shared" si="48"/>
        <v>"C:\Program Files (x86)\AstroGrep\AstroGrep.exe" /e /r /s /spath="%USERPROFILE%\AppData\Local\Temp\OnboardLogs" /stypes="app*4015*20171029*" /stext=" 20:.+((SYSTEM_STATE.+slice.+state.+changed )|(ment ac)|(multiple cpu faults)|(system.+state.+changed )|(\[timeout)|(PRM\|1\|D)|(kpr)|(kdp)|(train st.+moving)|(\|lc)|(penalty))"</v>
      </c>
      <c r="AG92" s="185" t="str">
        <f t="shared" si="49"/>
        <v>EC</v>
      </c>
      <c r="AH92" s="222" t="str">
        <f t="shared" si="34"/>
        <v>"%USERPROFILE%\Documents\GitHub\eaglep3\Utilities\RefineRTDCRunTimes.py" --tripid 178-29 --locoid 4015 --swversion DE.1.0.9.0 --startMP 204:232932 --initTime 2017-10-29T13:52:26 --startdatetime 2017-10-29T14:12:15 --delay 84 --endMP 204:201 --enddatetime 2017-10-29T14:50:09 --enforcementcount 0 &gt;&gt;%USERPROFILE%\Documents\GitHub\eaglep3-reporting\EC\2017-10-29-refined-times.txt</v>
      </c>
      <c r="AI92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{"issue":{"subject":"","project_id":79,"tracker_id":40,"status_id":1,"priority_id":2,"assigned_to_id":338,"start_date":"2017-10-29","description":"","custom_fields":[{"id":1,"name":"Subdivision","value":"EC"},{"id":4,"name":"Milepost","value":"0.0201"},{"id":17,"name":"Train ID","value":"178-29"},{"id":16,"name":"Locomotive ID","value":"4015"},{"id":130,"name":"Impact","value":""},{"id":150,"name":"Time of Event (Mountain Time)","value":"14:50:09"},{"id":151,"name":"Denver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182"/>
      <c r="AK92" s="186"/>
      <c r="AL92" s="186"/>
      <c r="AM92" s="187" t="str">
        <f t="shared" si="36"/>
        <v>start /low /b %USERPROFILE%\Documents\GitHub\eaglep3\Utilities\DownloadLogsFromS3.py --loco 4015 --day 2017-10-29</v>
      </c>
      <c r="AN92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20:50:09"},{"id":29,"name":"Sharepoint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82" t="str">
        <f t="shared" si="38"/>
        <v>https://d0f6bd738d7f1b3e5a7ca70fe4ff75f0.us-east-1.aws.found.io/app/kibana#/discover/Steve-Slow-Train-Analysis-(2080s-and-2083s)?_g=(refreshInterval:(display:Off,pause:!f,section:0,value:0),time:(from:'2017-10-29T12:52:26-0600',mode:absolute,to:'2017-10-29T15:50:09-0600'))&amp;_a=(columns:!('Message%20ID',Summary),filters:!(),index:'emp_*',interval:auto,query:(query_string:(analyze_wildcard:!t,query:'%22rtdc.l.rtdc.4015%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32" t="s">
        <v>775</v>
      </c>
      <c r="B93" s="7">
        <v>4006</v>
      </c>
      <c r="C93" s="21" t="s">
        <v>194</v>
      </c>
      <c r="D93" s="21" t="s">
        <v>946</v>
      </c>
      <c r="E93" s="13">
        <v>43037.560428240744</v>
      </c>
      <c r="F93" s="13">
        <v>43037.562662037039</v>
      </c>
      <c r="G93" s="7">
        <v>45</v>
      </c>
      <c r="H93" s="21" t="s">
        <v>574</v>
      </c>
      <c r="I93" s="13">
        <v>43037.587743055556</v>
      </c>
      <c r="J93" s="7">
        <v>0</v>
      </c>
      <c r="K93" s="76" t="str">
        <f t="shared" si="39"/>
        <v>4005/4006</v>
      </c>
      <c r="L93" s="164" t="str">
        <f>VLOOKUP(A93,'Trips&amp;Operators'!$C$1:$G$99911,5,FALSE)</f>
        <v>GUZMAN DANNY</v>
      </c>
      <c r="M93" s="6">
        <f t="shared" si="40"/>
        <v>2.5081018517084885E-2</v>
      </c>
      <c r="N93" s="7">
        <f t="shared" si="51"/>
        <v>36.116666664602235</v>
      </c>
      <c r="O93" s="7"/>
      <c r="P93" s="7"/>
      <c r="Q93" s="22"/>
      <c r="R93" s="157"/>
      <c r="S93" s="215">
        <f t="shared" si="52"/>
        <v>1</v>
      </c>
      <c r="T93" s="216" t="str">
        <f t="shared" si="41"/>
        <v>NorthBound</v>
      </c>
      <c r="U93" s="216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7" t="str">
        <f t="shared" si="42"/>
        <v>https://d0f6bd738d7f1b3e5a7ca70fe4ff75f0.us-east-1.aws.found.io/app/kibana#/discover/Steve-Slow-Train-Analysis-(2080s-and-2083s)?_g=(refreshInterval:(display:Off,pause:!f,section:0,value:0),time:(from:'2017-10-29T12:27:01-0600',mode:absolute,to:'2017-10-29T15:06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93" s="218" t="str">
        <f>IF(AA93&lt;VLOOKUP(AG93,Variables!$AC$3:$AD$8,2,FALSE),"Y","N")</f>
        <v>N</v>
      </c>
      <c r="X93" s="218">
        <f t="shared" si="53"/>
        <v>1</v>
      </c>
      <c r="Y93" s="218">
        <f t="shared" si="43"/>
        <v>5.4199999999999998E-2</v>
      </c>
      <c r="Z93" s="218">
        <f t="shared" si="44"/>
        <v>23.3249</v>
      </c>
      <c r="AA93" s="218">
        <f t="shared" si="45"/>
        <v>23.270699999999998</v>
      </c>
      <c r="AB93" s="219" t="e">
        <f>VLOOKUP(A93,Enforcements!$C$7:$K$11,8,0)</f>
        <v>#N/A</v>
      </c>
      <c r="AC93" s="219" t="e">
        <f>VLOOKUP(A93,Enforcements!$C$7:$E$11,3,0)</f>
        <v>#N/A</v>
      </c>
      <c r="AD93" s="186">
        <f t="shared" si="46"/>
        <v>179</v>
      </c>
      <c r="AE93" s="220" t="str">
        <f t="shared" si="47"/>
        <v>aws s3 cp s3://rtdc.mdm.uploadarchive.raw/RTDC4006/ "%USERPROFILE%\AppData\Local\Temp\OnboardLogs"\RTDC4006\2017-10-29 --exclude "*" --recursive --include "*20171029*" &amp; "%USERPROFILE%\Documents\GitHub\mrs-test-scripts\Headless Mode &amp; Sideloading\WalkAndUnGZ.bat" "%USERPROFILE%\AppData\Local\Temp\OnboardLogs"\RTDC4006\2017-10-29 &amp; aws s3 cp s3://rtdc.mdm.uploadarchive.raw/RTDC4006/ "%USERPROFILE%\AppData\Local\Temp\OnboardLogs"\RTDC4006\2017-10-30 --exclude "*" --recursive --include "*20171030*" &amp; "%USERPROFILE%\Documents\GitHub\mrs-test-scripts\Headless Mode &amp; Sideloading\WalkAndUnGZ.bat" "%USERPROFILE%\AppData\Local\Temp\OnboardLogs"\RTDC4006\2017-10-30</v>
      </c>
      <c r="AF93" s="221" t="str">
        <f t="shared" si="48"/>
        <v>"C:\Program Files (x86)\AstroGrep\AstroGrep.exe" /e /r /s /spath="%USERPROFILE%\AppData\Local\Temp\OnboardLogs" /stypes="app*4006*20171029*" /stext=" 20:.+((SYSTEM_STATE.+slice.+state.+changed )|(ment ac)|(multiple cpu faults)|(system.+state.+changed )|(\[timeout)|(PRM\|1\|D)|(kpr)|(kdp)|(train st.+moving)|(\|lc)|(penalty))"</v>
      </c>
      <c r="AG93" s="185" t="str">
        <f t="shared" si="49"/>
        <v>EC</v>
      </c>
      <c r="AH93" s="222" t="str">
        <f t="shared" si="34"/>
        <v>"%USERPROFILE%\Documents\GitHub\eaglep3\Utilities\RefineRTDCRunTimes.py" --tripid 179-29 --locoid 4006 --swversion DE.1.0.9.0 --startMP 204:542 --initTime 2017-10-29T13:27:01 --startdatetime 2017-10-29T13:30:14 --delay 45 --endMP 204:233249 --enddatetime 2017-10-29T14:06:21 --enforcementcount 0 &gt;&gt;%USERPROFILE%\Documents\GitHub\eaglep3-reporting\EC\2017-10-29-refined-times.txt</v>
      </c>
      <c r="AI93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{"issue":{"subject":"","project_id":79,"tracker_id":40,"status_id":1,"priority_id":2,"assigned_to_id":338,"start_date":"2017-10-29","description":"","custom_fields":[{"id":1,"name":"Subdivision","value":"EC"},{"id":4,"name":"Milepost","value":"23.3249"},{"id":17,"name":"Train ID","value":"179-29"},{"id":16,"name":"Locomotive ID","value":"4006"},{"id":130,"name":"Impact","value":""},{"id":150,"name":"Time of Event (Mountain Time)","value":"14:06:21"},{"id":151,"name":"Denver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182"/>
      <c r="AK93" s="186"/>
      <c r="AL93" s="186"/>
      <c r="AM93" s="187" t="str">
        <f t="shared" si="36"/>
        <v>start /low /b %USERPROFILE%\Documents\GitHub\eaglep3\Utilities\DownloadLogsFromS3.py --loco 4006 --day 2017-10-29</v>
      </c>
      <c r="AN93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20:06:21"},{"id":29,"name":"Sharepoint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82" t="str">
        <f t="shared" si="38"/>
        <v>https://d0f6bd738d7f1b3e5a7ca70fe4ff75f0.us-east-1.aws.found.io/app/kibana#/discover/Steve-Slow-Train-Analysis-(2080s-and-2083s)?_g=(refreshInterval:(display:Off,pause:!f,section:0,value:0),time:(from:'2017-10-29T12:27:01-0600',mode:absolute,to:'2017-10-29T15:06:21-0600'))&amp;_a=(columns:!('Message%20ID',Summary),filters:!(),index:'emp_*',interval:auto,query:(query_string:(analyze_wildcard:!t,query:'%22rtdc.l.rtdc.4006%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32" t="s">
        <v>784</v>
      </c>
      <c r="B94" s="7">
        <v>4005</v>
      </c>
      <c r="C94" s="21" t="s">
        <v>194</v>
      </c>
      <c r="D94" s="21" t="s">
        <v>528</v>
      </c>
      <c r="E94" s="13">
        <v>43037.59039351852</v>
      </c>
      <c r="F94" s="13">
        <v>43037.60224537037</v>
      </c>
      <c r="G94" s="7">
        <v>60</v>
      </c>
      <c r="H94" s="21" t="s">
        <v>609</v>
      </c>
      <c r="I94" s="13">
        <v>43037.629074074073</v>
      </c>
      <c r="J94" s="7">
        <v>0</v>
      </c>
      <c r="K94" s="76" t="str">
        <f t="shared" si="39"/>
        <v>4005/4006</v>
      </c>
      <c r="L94" s="164" t="str">
        <f>VLOOKUP(A94,'Trips&amp;Operators'!$C$1:$G$99911,5,FALSE)</f>
        <v>GUZMAN DANNY</v>
      </c>
      <c r="M94" s="6">
        <f t="shared" si="40"/>
        <v>2.6828703703358769E-2</v>
      </c>
      <c r="N94" s="7">
        <f t="shared" si="51"/>
        <v>38.633333332836628</v>
      </c>
      <c r="O94" s="7"/>
      <c r="P94" s="7"/>
      <c r="Q94" s="22"/>
      <c r="R94" s="157"/>
      <c r="S94" s="215">
        <f t="shared" si="52"/>
        <v>1</v>
      </c>
      <c r="T94" s="216" t="str">
        <f t="shared" si="41"/>
        <v>Southbound</v>
      </c>
      <c r="U94" s="216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7" t="str">
        <f t="shared" si="42"/>
        <v>https://d0f6bd738d7f1b3e5a7ca70fe4ff75f0.us-east-1.aws.found.io/app/kibana#/discover/Steve-Slow-Train-Analysis-(2080s-and-2083s)?_g=(refreshInterval:(display:Off,pause:!f,section:0,value:0),time:(from:'2017-10-29T13:10:10-0600',mode:absolute,to:'2017-10-29T16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94" s="218" t="str">
        <f>IF(AA94&lt;VLOOKUP(AG94,Variables!$AC$3:$AD$8,2,FALSE),"Y","N")</f>
        <v>N</v>
      </c>
      <c r="X94" s="218">
        <f t="shared" si="53"/>
        <v>1</v>
      </c>
      <c r="Y94" s="218">
        <f t="shared" si="43"/>
        <v>23.293800000000001</v>
      </c>
      <c r="Z94" s="218">
        <f t="shared" si="44"/>
        <v>2.5100000000000001E-2</v>
      </c>
      <c r="AA94" s="218">
        <f t="shared" si="45"/>
        <v>23.268700000000003</v>
      </c>
      <c r="AB94" s="219" t="e">
        <f>VLOOKUP(A94,Enforcements!$C$7:$K$11,8,0)</f>
        <v>#N/A</v>
      </c>
      <c r="AC94" s="219" t="e">
        <f>VLOOKUP(A94,Enforcements!$C$7:$E$11,3,0)</f>
        <v>#N/A</v>
      </c>
      <c r="AD94" s="186">
        <f t="shared" si="46"/>
        <v>180</v>
      </c>
      <c r="AE94" s="220" t="str">
        <f t="shared" si="47"/>
        <v>aws s3 cp s3://rtdc.mdm.uploadarchive.raw/RTDC4005/ "%USERPROFILE%\AppData\Local\Temp\OnboardLogs"\RTDC4005\2017-10-29 --exclude "*" --recursive --include "*20171029*" &amp; "%USERPROFILE%\Documents\GitHub\mrs-test-scripts\Headless Mode &amp; Sideloading\WalkAndUnGZ.bat" "%USERPROFILE%\AppData\Local\Temp\OnboardLogs"\RTDC4005\2017-10-29 &amp; aws s3 cp s3://rtdc.mdm.uploadarchive.raw/RTDC4005/ "%USERPROFILE%\AppData\Local\Temp\OnboardLogs"\RTDC4005\2017-10-30 --exclude "*" --recursive --include "*20171030*" &amp; "%USERPROFILE%\Documents\GitHub\mrs-test-scripts\Headless Mode &amp; Sideloading\WalkAndUnGZ.bat" "%USERPROFILE%\AppData\Local\Temp\OnboardLogs"\RTDC4005\2017-10-30</v>
      </c>
      <c r="AF94" s="221" t="str">
        <f t="shared" si="48"/>
        <v>"C:\Program Files (x86)\AstroGrep\AstroGrep.exe" /e /r /s /spath="%USERPROFILE%\AppData\Local\Temp\OnboardLogs" /stypes="app*4005*20171029*" /stext=" 21:.+((SYSTEM_STATE.+slice.+state.+changed )|(ment ac)|(multiple cpu faults)|(system.+state.+changed )|(\[timeout)|(PRM\|1\|D)|(kpr)|(kdp)|(train st.+moving)|(\|lc)|(penalty))"</v>
      </c>
      <c r="AG94" s="185" t="str">
        <f t="shared" si="49"/>
        <v>EC</v>
      </c>
      <c r="AH94" s="222" t="str">
        <f t="shared" si="34"/>
        <v>"%USERPROFILE%\Documents\GitHub\eaglep3\Utilities\RefineRTDCRunTimes.py" --tripid 180-29 --locoid 4005 --swversion DE.1.0.9.0 --startMP 204:232938 --initTime 2017-10-29T14:10:10 --startdatetime 2017-10-29T14:27:14 --delay 60 --endMP 204:251 --enddatetime 2017-10-29T15:05:52 --enforcementcount 0 &gt;&gt;%USERPROFILE%\Documents\GitHub\eaglep3-reporting\EC\2017-10-29-refined-times.txt</v>
      </c>
      <c r="AI94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{"issue":{"subject":"","project_id":79,"tracker_id":40,"status_id":1,"priority_id":2,"assigned_to_id":338,"start_date":"2017-10-29","description":"","custom_fields":[{"id":1,"name":"Subdivision","value":"EC"},{"id":4,"name":"Milepost","value":"0.0251"},{"id":17,"name":"Train ID","value":"180-29"},{"id":16,"name":"Locomotive ID","value":"4005"},{"id":130,"name":"Impact","value":""},{"id":150,"name":"Time of Event (Mountain Time)","value":"15:05:52"},{"id":151,"name":"Denver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182"/>
      <c r="AK94" s="186"/>
      <c r="AL94" s="186"/>
      <c r="AM94" s="187" t="str">
        <f t="shared" si="36"/>
        <v>start /low /b %USERPROFILE%\Documents\GitHub\eaglep3\Utilities\DownloadLogsFromS3.py --loco 4005 --day 2017-10-29</v>
      </c>
      <c r="AN94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21:05:52"},{"id":29,"name":"Sharepoint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82" t="str">
        <f t="shared" si="38"/>
        <v>https://d0f6bd738d7f1b3e5a7ca70fe4ff75f0.us-east-1.aws.found.io/app/kibana#/discover/Steve-Slow-Train-Analysis-(2080s-and-2083s)?_g=(refreshInterval:(display:Off,pause:!f,section:0,value:0),time:(from:'2017-10-29T13:10:10-0600',mode:absolute,to:'2017-10-29T16:05:52-0600'))&amp;_a=(columns:!('Message%20ID',Summary),filters:!(),index:'emp_*',interval:auto,query:(query_string:(analyze_wildcard:!t,query:'%22rtdc.l.rtdc.4005%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32" t="s">
        <v>780</v>
      </c>
      <c r="B95" s="7">
        <v>4062</v>
      </c>
      <c r="C95" s="21" t="s">
        <v>194</v>
      </c>
      <c r="D95" s="21" t="s">
        <v>530</v>
      </c>
      <c r="E95" s="13">
        <v>43037.569236111114</v>
      </c>
      <c r="F95" s="13">
        <v>43037.573078703703</v>
      </c>
      <c r="G95" s="7">
        <v>72</v>
      </c>
      <c r="H95" s="21" t="s">
        <v>574</v>
      </c>
      <c r="I95" s="13">
        <v>43037.598425925928</v>
      </c>
      <c r="J95" s="7">
        <v>0</v>
      </c>
      <c r="K95" s="76" t="str">
        <f t="shared" si="39"/>
        <v>4061/4062</v>
      </c>
      <c r="L95" s="164" t="str">
        <f>VLOOKUP(A95,'Trips&amp;Operators'!$C$1:$G$99911,5,FALSE)</f>
        <v>BADERTSCHER DIANE</v>
      </c>
      <c r="M95" s="6">
        <f t="shared" si="40"/>
        <v>2.5347222224809229E-2</v>
      </c>
      <c r="N95" s="7">
        <f t="shared" si="51"/>
        <v>36.50000000372529</v>
      </c>
      <c r="O95" s="7"/>
      <c r="P95" s="7"/>
      <c r="Q95" s="22"/>
      <c r="R95" s="157"/>
      <c r="S95" s="215">
        <f t="shared" si="52"/>
        <v>1</v>
      </c>
      <c r="T95" s="216" t="str">
        <f t="shared" si="41"/>
        <v>NorthBound</v>
      </c>
      <c r="U95" s="216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7" t="str">
        <f t="shared" si="42"/>
        <v>https://d0f6bd738d7f1b3e5a7ca70fe4ff75f0.us-east-1.aws.found.io/app/kibana#/discover/Steve-Slow-Train-Analysis-(2080s-and-2083s)?_g=(refreshInterval:(display:Off,pause:!f,section:0,value:0),time:(from:'2017-10-29T12:39:42-0600',mode:absolute,to:'2017-10-29T15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5" s="218" t="str">
        <f>IF(AA95&lt;VLOOKUP(AG95,Variables!$AC$3:$AD$8,2,FALSE),"Y","N")</f>
        <v>N</v>
      </c>
      <c r="X95" s="218">
        <f t="shared" si="53"/>
        <v>1</v>
      </c>
      <c r="Y95" s="218">
        <f t="shared" si="43"/>
        <v>5.1900000000000002E-2</v>
      </c>
      <c r="Z95" s="218">
        <f t="shared" si="44"/>
        <v>23.3249</v>
      </c>
      <c r="AA95" s="218">
        <f t="shared" si="45"/>
        <v>23.273</v>
      </c>
      <c r="AB95" s="219" t="e">
        <f>VLOOKUP(A95,Enforcements!$C$7:$K$11,8,0)</f>
        <v>#N/A</v>
      </c>
      <c r="AC95" s="219" t="e">
        <f>VLOOKUP(A95,Enforcements!$C$7:$E$11,3,0)</f>
        <v>#N/A</v>
      </c>
      <c r="AD95" s="186">
        <f t="shared" si="46"/>
        <v>181</v>
      </c>
      <c r="AE95" s="220" t="str">
        <f t="shared" si="47"/>
        <v>aws s3 cp s3://rtdc.mdm.uploadarchive.raw/RTDC4062/ "%USERPROFILE%\AppData\Local\Temp\OnboardLogs"\RTDC4062\2017-10-29 --exclude "*" --recursive --include "*20171029*" &amp; "%USERPROFILE%\Documents\GitHub\mrs-test-scripts\Headless Mode &amp; Sideloading\WalkAndUnGZ.bat" "%USERPROFILE%\AppData\Local\Temp\OnboardLogs"\RTDC4062\2017-10-29 &amp; aws s3 cp s3://rtdc.mdm.uploadarchive.raw/RTDC4062/ "%USERPROFILE%\AppData\Local\Temp\OnboardLogs"\RTDC4062\2017-10-30 --exclude "*" --recursive --include "*20171030*" &amp; "%USERPROFILE%\Documents\GitHub\mrs-test-scripts\Headless Mode &amp; Sideloading\WalkAndUnGZ.bat" "%USERPROFILE%\AppData\Local\Temp\OnboardLogs"\RTDC4062\2017-10-30</v>
      </c>
      <c r="AF95" s="221" t="str">
        <f t="shared" si="48"/>
        <v>"C:\Program Files (x86)\AstroGrep\AstroGrep.exe" /e /r /s /spath="%USERPROFILE%\AppData\Local\Temp\OnboardLogs" /stypes="app*4062*20171029*" /stext=" 20:.+((SYSTEM_STATE.+slice.+state.+changed )|(ment ac)|(multiple cpu faults)|(system.+state.+changed )|(\[timeout)|(PRM\|1\|D)|(kpr)|(kdp)|(train st.+moving)|(\|lc)|(penalty))"</v>
      </c>
      <c r="AG95" s="185" t="str">
        <f t="shared" si="49"/>
        <v>EC</v>
      </c>
      <c r="AH95" s="222" t="str">
        <f t="shared" si="34"/>
        <v>"%USERPROFILE%\Documents\GitHub\eaglep3\Utilities\RefineRTDCRunTimes.py" --tripid 181-29 --locoid 4062 --swversion DE.1.0.9.0 --startMP 204:519 --initTime 2017-10-29T13:39:42 --startdatetime 2017-10-29T13:45:14 --delay 72 --endMP 204:233249 --enddatetime 2017-10-29T14:21:44 --enforcementcount 0 &gt;&gt;%USERPROFILE%\Documents\GitHub\eaglep3-reporting\EC\2017-10-29-refined-times.txt</v>
      </c>
      <c r="AI95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{"issue":{"subject":"","project_id":79,"tracker_id":40,"status_id":1,"priority_id":2,"assigned_to_id":338,"start_date":"2017-10-29","description":"","custom_fields":[{"id":1,"name":"Subdivision","value":"EC"},{"id":4,"name":"Milepost","value":"23.3249"},{"id":17,"name":"Train ID","value":"181-29"},{"id":16,"name":"Locomotive ID","value":"4062"},{"id":130,"name":"Impact","value":""},{"id":150,"name":"Time of Event (Mountain Time)","value":"14:21:44"},{"id":151,"name":"Denver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182"/>
      <c r="AK95" s="186"/>
      <c r="AL95" s="186"/>
      <c r="AM95" s="187" t="str">
        <f t="shared" si="36"/>
        <v>start /low /b %USERPROFILE%\Documents\GitHub\eaglep3\Utilities\DownloadLogsFromS3.py --loco 4062 --day 2017-10-29</v>
      </c>
      <c r="AN95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20:21:44"},{"id":29,"name":"Sharepoint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82" t="str">
        <f t="shared" si="38"/>
        <v>https://d0f6bd738d7f1b3e5a7ca70fe4ff75f0.us-east-1.aws.found.io/app/kibana#/discover/Steve-Slow-Train-Analysis-(2080s-and-2083s)?_g=(refreshInterval:(display:Off,pause:!f,section:0,value:0),time:(from:'2017-10-29T12:39:42-0600',mode:absolute,to:'2017-10-29T15:21:44-0600'))&amp;_a=(columns:!('Message%20ID',Summary),filters:!(),index:'emp_*',interval:auto,query:(query_string:(analyze_wildcard:!t,query:'%22rtdc.l.rtdc.4062%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32" t="s">
        <v>788</v>
      </c>
      <c r="B96" s="7">
        <v>4061</v>
      </c>
      <c r="C96" s="21" t="s">
        <v>194</v>
      </c>
      <c r="D96" s="21" t="s">
        <v>607</v>
      </c>
      <c r="E96" s="13">
        <v>43037.609039351853</v>
      </c>
      <c r="F96" s="13">
        <v>43037.612708333334</v>
      </c>
      <c r="G96" s="7">
        <v>51</v>
      </c>
      <c r="H96" s="21" t="s">
        <v>945</v>
      </c>
      <c r="I96" s="13">
        <v>43037.640208333331</v>
      </c>
      <c r="J96" s="7">
        <v>0</v>
      </c>
      <c r="K96" s="76" t="str">
        <f t="shared" si="39"/>
        <v>4061/4062</v>
      </c>
      <c r="L96" s="164" t="str">
        <f>VLOOKUP(A96,'Trips&amp;Operators'!$C$1:$G$99911,5,FALSE)</f>
        <v>BADERTSCHER DIANE</v>
      </c>
      <c r="M96" s="6">
        <f t="shared" si="40"/>
        <v>2.749999999650754E-2</v>
      </c>
      <c r="N96" s="7">
        <f t="shared" si="51"/>
        <v>39.599999994970858</v>
      </c>
      <c r="O96" s="7"/>
      <c r="P96" s="7"/>
      <c r="Q96" s="22"/>
      <c r="R96" s="157"/>
      <c r="S96" s="215">
        <f t="shared" si="52"/>
        <v>1</v>
      </c>
      <c r="T96" s="216" t="str">
        <f t="shared" si="41"/>
        <v>Southbound</v>
      </c>
      <c r="U96" s="216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7" t="str">
        <f t="shared" si="42"/>
        <v>https://d0f6bd738d7f1b3e5a7ca70fe4ff75f0.us-east-1.aws.found.io/app/kibana#/discover/Steve-Slow-Train-Analysis-(2080s-and-2083s)?_g=(refreshInterval:(display:Off,pause:!f,section:0,value:0),time:(from:'2017-10-29T13:37:01-0600',mode:absolute,to:'2017-10-29T16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6" s="218" t="str">
        <f>IF(AA96&lt;VLOOKUP(AG96,Variables!$AC$3:$AD$8,2,FALSE),"Y","N")</f>
        <v>N</v>
      </c>
      <c r="X96" s="218">
        <f t="shared" si="53"/>
        <v>1</v>
      </c>
      <c r="Y96" s="218">
        <f t="shared" si="43"/>
        <v>23.292300000000001</v>
      </c>
      <c r="Z96" s="218">
        <f t="shared" si="44"/>
        <v>2.01E-2</v>
      </c>
      <c r="AA96" s="218">
        <f t="shared" si="45"/>
        <v>23.272200000000002</v>
      </c>
      <c r="AB96" s="219" t="e">
        <f>VLOOKUP(A96,Enforcements!$C$7:$K$11,8,0)</f>
        <v>#N/A</v>
      </c>
      <c r="AC96" s="219" t="e">
        <f>VLOOKUP(A96,Enforcements!$C$7:$E$11,3,0)</f>
        <v>#N/A</v>
      </c>
      <c r="AD96" s="186">
        <f t="shared" si="46"/>
        <v>182</v>
      </c>
      <c r="AE96" s="220" t="str">
        <f t="shared" si="47"/>
        <v>aws s3 cp s3://rtdc.mdm.uploadarchive.raw/RTDC4061/ "%USERPROFILE%\AppData\Local\Temp\OnboardLogs"\RTDC4061\2017-10-29 --exclude "*" --recursive --include "*20171029*" &amp; "%USERPROFILE%\Documents\GitHub\mrs-test-scripts\Headless Mode &amp; Sideloading\WalkAndUnGZ.bat" "%USERPROFILE%\AppData\Local\Temp\OnboardLogs"\RTDC4061\2017-10-29 &amp; aws s3 cp s3://rtdc.mdm.uploadarchive.raw/RTDC4061/ "%USERPROFILE%\AppData\Local\Temp\OnboardLogs"\RTDC4061\2017-10-30 --exclude "*" --recursive --include "*20171030*" &amp; "%USERPROFILE%\Documents\GitHub\mrs-test-scripts\Headless Mode &amp; Sideloading\WalkAndUnGZ.bat" "%USERPROFILE%\AppData\Local\Temp\OnboardLogs"\RTDC4061\2017-10-30</v>
      </c>
      <c r="AF96" s="221" t="str">
        <f t="shared" si="48"/>
        <v>"C:\Program Files (x86)\AstroGrep\AstroGrep.exe" /e /r /s /spath="%USERPROFILE%\AppData\Local\Temp\OnboardLogs" /stypes="app*4061*20171029*" /stext=" 21:.+((SYSTEM_STATE.+slice.+state.+changed )|(ment ac)|(multiple cpu faults)|(system.+state.+changed )|(\[timeout)|(PRM\|1\|D)|(kpr)|(kdp)|(train st.+moving)|(\|lc)|(penalty))"</v>
      </c>
      <c r="AG96" s="185" t="str">
        <f t="shared" si="49"/>
        <v>EC</v>
      </c>
      <c r="AH96" s="222" t="str">
        <f t="shared" si="34"/>
        <v>"%USERPROFILE%\Documents\GitHub\eaglep3\Utilities\RefineRTDCRunTimes.py" --tripid 182-29 --locoid 4061 --swversion DE.1.0.9.0 --startMP 204:232923 --initTime 2017-10-29T14:37:01 --startdatetime 2017-10-29T14:42:18 --delay 51 --endMP 204:201 --enddatetime 2017-10-29T15:21:54 --enforcementcount 0 &gt;&gt;%USERPROFILE%\Documents\GitHub\eaglep3-reporting\EC\2017-10-29-refined-times.txt</v>
      </c>
      <c r="AI96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{"issue":{"subject":"","project_id":79,"tracker_id":40,"status_id":1,"priority_id":2,"assigned_to_id":338,"start_date":"2017-10-29","description":"","custom_fields":[{"id":1,"name":"Subdivision","value":"EC"},{"id":4,"name":"Milepost","value":"0.0201"},{"id":17,"name":"Train ID","value":"182-29"},{"id":16,"name":"Locomotive ID","value":"4061"},{"id":130,"name":"Impact","value":""},{"id":150,"name":"Time of Event (Mountain Time)","value":"15:21:54"},{"id":151,"name":"Denver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182"/>
      <c r="AK96" s="186"/>
      <c r="AL96" s="186"/>
      <c r="AM96" s="187" t="str">
        <f t="shared" si="36"/>
        <v>start /low /b %USERPROFILE%\Documents\GitHub\eaglep3\Utilities\DownloadLogsFromS3.py --loco 4061 --day 2017-10-29</v>
      </c>
      <c r="AN96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21:21:54"},{"id":29,"name":"Sharepoint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82" t="str">
        <f t="shared" si="38"/>
        <v>https://d0f6bd738d7f1b3e5a7ca70fe4ff75f0.us-east-1.aws.found.io/app/kibana#/discover/Steve-Slow-Train-Analysis-(2080s-and-2083s)?_g=(refreshInterval:(display:Off,pause:!f,section:0,value:0),time:(from:'2017-10-29T13:37:01-0600',mode:absolute,to:'2017-10-29T16:21:54-0600'))&amp;_a=(columns:!('Message%20ID',Summary),filters:!(),index:'emp_*',interval:auto,query:(query_string:(analyze_wildcard:!t,query:'%22rtdc.l.rtdc.4061%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32" t="s">
        <v>783</v>
      </c>
      <c r="B97" s="7">
        <v>4046</v>
      </c>
      <c r="C97" s="21" t="s">
        <v>194</v>
      </c>
      <c r="D97" s="21" t="s">
        <v>921</v>
      </c>
      <c r="E97" s="13">
        <v>43037.581550925926</v>
      </c>
      <c r="F97" s="13">
        <v>43037.585578703707</v>
      </c>
      <c r="G97" s="7">
        <v>189</v>
      </c>
      <c r="H97" s="21" t="s">
        <v>891</v>
      </c>
      <c r="I97" s="13">
        <v>43037.610289351855</v>
      </c>
      <c r="J97" s="7">
        <v>0</v>
      </c>
      <c r="K97" s="76" t="str">
        <f t="shared" si="39"/>
        <v>4045/4046</v>
      </c>
      <c r="L97" s="164" t="str">
        <f>VLOOKUP(A97,'Trips&amp;Operators'!$C$1:$G$99911,5,FALSE)</f>
        <v>BERLING GARY</v>
      </c>
      <c r="M97" s="6">
        <f t="shared" si="40"/>
        <v>2.47106481474475E-2</v>
      </c>
      <c r="N97" s="7">
        <f t="shared" si="51"/>
        <v>35.583333332324401</v>
      </c>
      <c r="O97" s="7"/>
      <c r="P97" s="7"/>
      <c r="Q97" s="22"/>
      <c r="R97" s="157"/>
      <c r="S97" s="215">
        <f t="shared" si="52"/>
        <v>1</v>
      </c>
      <c r="T97" s="216" t="str">
        <f t="shared" si="41"/>
        <v>NorthBound</v>
      </c>
      <c r="U97" s="216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7" t="str">
        <f t="shared" si="42"/>
        <v>https://d0f6bd738d7f1b3e5a7ca70fe4ff75f0.us-east-1.aws.found.io/app/kibana#/discover/Steve-Slow-Train-Analysis-(2080s-and-2083s)?_g=(refreshInterval:(display:Off,pause:!f,section:0,value:0),time:(from:'2017-10-29T12:57:26-0600',mode:absolute,to:'2017-10-29T15:38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7" s="218" t="str">
        <f>IF(AA97&lt;VLOOKUP(AG97,Variables!$AC$3:$AD$8,2,FALSE),"Y","N")</f>
        <v>N</v>
      </c>
      <c r="X97" s="218">
        <f t="shared" si="53"/>
        <v>1</v>
      </c>
      <c r="Y97" s="218">
        <f t="shared" si="43"/>
        <v>5.1299999999999998E-2</v>
      </c>
      <c r="Z97" s="218">
        <f t="shared" si="44"/>
        <v>23.324200000000001</v>
      </c>
      <c r="AA97" s="218">
        <f t="shared" si="45"/>
        <v>23.2729</v>
      </c>
      <c r="AB97" s="219" t="e">
        <f>VLOOKUP(A97,Enforcements!$C$7:$K$11,8,0)</f>
        <v>#N/A</v>
      </c>
      <c r="AC97" s="219" t="e">
        <f>VLOOKUP(A97,Enforcements!$C$7:$E$11,3,0)</f>
        <v>#N/A</v>
      </c>
      <c r="AD97" s="186">
        <f t="shared" si="46"/>
        <v>183</v>
      </c>
      <c r="AE97" s="220" t="str">
        <f t="shared" si="47"/>
        <v>aws s3 cp s3://rtdc.mdm.uploadarchive.raw/RTDC4046/ "%USERPROFILE%\AppData\Local\Temp\OnboardLogs"\RTDC4046\2017-10-29 --exclude "*" --recursive --include "*20171029*" &amp; "%USERPROFILE%\Documents\GitHub\mrs-test-scripts\Headless Mode &amp; Sideloading\WalkAndUnGZ.bat" "%USERPROFILE%\AppData\Local\Temp\OnboardLogs"\RTDC4046\2017-10-29 &amp; aws s3 cp s3://rtdc.mdm.uploadarchive.raw/RTDC4046/ "%USERPROFILE%\AppData\Local\Temp\OnboardLogs"\RTDC4046\2017-10-30 --exclude "*" --recursive --include "*20171030*" &amp; "%USERPROFILE%\Documents\GitHub\mrs-test-scripts\Headless Mode &amp; Sideloading\WalkAndUnGZ.bat" "%USERPROFILE%\AppData\Local\Temp\OnboardLogs"\RTDC4046\2017-10-30</v>
      </c>
      <c r="AF97" s="221" t="str">
        <f t="shared" si="48"/>
        <v>"C:\Program Files (x86)\AstroGrep\AstroGrep.exe" /e /r /s /spath="%USERPROFILE%\AppData\Local\Temp\OnboardLogs" /stypes="app*4046*20171029*" /stext=" 20:.+((SYSTEM_STATE.+slice.+state.+changed )|(ment ac)|(multiple cpu faults)|(system.+state.+changed )|(\[timeout)|(PRM\|1\|D)|(kpr)|(kdp)|(train st.+moving)|(\|lc)|(penalty))"</v>
      </c>
      <c r="AG97" s="185" t="str">
        <f t="shared" si="49"/>
        <v>EC</v>
      </c>
      <c r="AH97" s="222" t="str">
        <f t="shared" si="34"/>
        <v>"%USERPROFILE%\Documents\GitHub\eaglep3\Utilities\RefineRTDCRunTimes.py" --tripid 183-29 --locoid 4046 --swversion DE.1.0.9.0 --startMP 204:513 --initTime 2017-10-29T13:57:26 --startdatetime 2017-10-29T14:03:14 --delay 189 --endMP 204:233242 --enddatetime 2017-10-29T14:38:49 --enforcementcount 0 &gt;&gt;%USERPROFILE%\Documents\GitHub\eaglep3-reporting\EC\2017-10-29-refined-times.txt</v>
      </c>
      <c r="AI97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{"issue":{"subject":"","project_id":79,"tracker_id":40,"status_id":1,"priority_id":2,"assigned_to_id":338,"start_date":"2017-10-29","description":"","custom_fields":[{"id":1,"name":"Subdivision","value":"EC"},{"id":4,"name":"Milepost","value":"23.3242"},{"id":17,"name":"Train ID","value":"183-29"},{"id":16,"name":"Locomotive ID","value":"4046"},{"id":130,"name":"Impact","value":""},{"id":150,"name":"Time of Event (Mountain Time)","value":"14:38:49"},{"id":151,"name":"Denver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182"/>
      <c r="AK97" s="186"/>
      <c r="AL97" s="186"/>
      <c r="AM97" s="187" t="str">
        <f t="shared" si="36"/>
        <v>start /low /b %USERPROFILE%\Documents\GitHub\eaglep3\Utilities\DownloadLogsFromS3.py --loco 4046 --day 2017-10-29</v>
      </c>
      <c r="AN97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20:38:49"},{"id":29,"name":"Sharepoint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82" t="str">
        <f t="shared" si="38"/>
        <v>https://d0f6bd738d7f1b3e5a7ca70fe4ff75f0.us-east-1.aws.found.io/app/kibana#/discover/Steve-Slow-Train-Analysis-(2080s-and-2083s)?_g=(refreshInterval:(display:Off,pause:!f,section:0,value:0),time:(from:'2017-10-29T12:57:26-0600',mode:absolute,to:'2017-10-29T15:38:49-0600'))&amp;_a=(columns:!('Message%20ID',Summary),filters:!(),index:'emp_*',interval:auto,query:(query_string:(analyze_wildcard:!t,query:'%22rtdc.l.rtdc.4046%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32" t="s">
        <v>790</v>
      </c>
      <c r="B98" s="7">
        <v>4045</v>
      </c>
      <c r="C98" s="21" t="s">
        <v>194</v>
      </c>
      <c r="D98" s="21" t="s">
        <v>996</v>
      </c>
      <c r="E98" s="13">
        <v>43037.618402777778</v>
      </c>
      <c r="F98" s="13">
        <v>43037.623263888891</v>
      </c>
      <c r="G98" s="7">
        <v>86</v>
      </c>
      <c r="H98" s="21" t="s">
        <v>997</v>
      </c>
      <c r="I98" s="13">
        <v>43037.649872685186</v>
      </c>
      <c r="J98" s="7">
        <v>0</v>
      </c>
      <c r="K98" s="76" t="str">
        <f t="shared" si="39"/>
        <v>4045/4046</v>
      </c>
      <c r="L98" s="164" t="str">
        <f>VLOOKUP(A98,'Trips&amp;Operators'!$C$1:$G$99911,5,FALSE)</f>
        <v>BERLING GARY</v>
      </c>
      <c r="M98" s="6">
        <f t="shared" si="40"/>
        <v>2.6608796295477077E-2</v>
      </c>
      <c r="N98" s="7">
        <f t="shared" si="51"/>
        <v>38.316666665486991</v>
      </c>
      <c r="O98" s="7"/>
      <c r="P98" s="7"/>
      <c r="Q98" s="22"/>
      <c r="R98" s="157"/>
      <c r="S98" s="215">
        <f t="shared" si="52"/>
        <v>1</v>
      </c>
      <c r="T98" s="216" t="str">
        <f t="shared" si="41"/>
        <v>Southbound</v>
      </c>
      <c r="U98" s="216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7" t="str">
        <f t="shared" si="42"/>
        <v>https://d0f6bd738d7f1b3e5a7ca70fe4ff75f0.us-east-1.aws.found.io/app/kibana#/discover/Steve-Slow-Train-Analysis-(2080s-and-2083s)?_g=(refreshInterval:(display:Off,pause:!f,section:0,value:0),time:(from:'2017-10-29T13:50:30-0600',mode:absolute,to:'2017-10-29T16:35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8" s="218" t="str">
        <f>IF(AA98&lt;VLOOKUP(AG98,Variables!$AC$3:$AD$8,2,FALSE),"Y","N")</f>
        <v>N</v>
      </c>
      <c r="X98" s="218">
        <f t="shared" si="53"/>
        <v>1</v>
      </c>
      <c r="Y98" s="218">
        <f t="shared" si="43"/>
        <v>23.291699999999999</v>
      </c>
      <c r="Z98" s="218">
        <f t="shared" si="44"/>
        <v>3.27E-2</v>
      </c>
      <c r="AA98" s="218">
        <f t="shared" si="45"/>
        <v>23.259</v>
      </c>
      <c r="AB98" s="219" t="e">
        <f>VLOOKUP(A98,Enforcements!$C$7:$K$11,8,0)</f>
        <v>#N/A</v>
      </c>
      <c r="AC98" s="219" t="e">
        <f>VLOOKUP(A98,Enforcements!$C$7:$E$11,3,0)</f>
        <v>#N/A</v>
      </c>
      <c r="AD98" s="186">
        <f t="shared" si="46"/>
        <v>184</v>
      </c>
      <c r="AE98" s="220" t="str">
        <f t="shared" si="47"/>
        <v>aws s3 cp s3://rtdc.mdm.uploadarchive.raw/RTDC4045/ "%USERPROFILE%\AppData\Local\Temp\OnboardLogs"\RTDC4045\2017-10-29 --exclude "*" --recursive --include "*20171029*" &amp; "%USERPROFILE%\Documents\GitHub\mrs-test-scripts\Headless Mode &amp; Sideloading\WalkAndUnGZ.bat" "%USERPROFILE%\AppData\Local\Temp\OnboardLogs"\RTDC4045\2017-10-29 &amp; aws s3 cp s3://rtdc.mdm.uploadarchive.raw/RTDC4045/ "%USERPROFILE%\AppData\Local\Temp\OnboardLogs"\RTDC4045\2017-10-30 --exclude "*" --recursive --include "*20171030*" &amp; "%USERPROFILE%\Documents\GitHub\mrs-test-scripts\Headless Mode &amp; Sideloading\WalkAndUnGZ.bat" "%USERPROFILE%\AppData\Local\Temp\OnboardLogs"\RTDC4045\2017-10-30</v>
      </c>
      <c r="AF98" s="221" t="str">
        <f t="shared" si="48"/>
        <v>"C:\Program Files (x86)\AstroGrep\AstroGrep.exe" /e /r /s /spath="%USERPROFILE%\AppData\Local\Temp\OnboardLogs" /stypes="app*4045*20171029*" /stext=" 21:.+((SYSTEM_STATE.+slice.+state.+changed )|(ment ac)|(multiple cpu faults)|(system.+state.+changed )|(\[timeout)|(PRM\|1\|D)|(kpr)|(kdp)|(train st.+moving)|(\|lc)|(penalty))"</v>
      </c>
      <c r="AG98" s="185" t="str">
        <f t="shared" si="49"/>
        <v>EC</v>
      </c>
      <c r="AH98" s="222" t="str">
        <f t="shared" si="34"/>
        <v>"%USERPROFILE%\Documents\GitHub\eaglep3\Utilities\RefineRTDCRunTimes.py" --tripid 184-29 --locoid 4045 --swversion DE.1.0.9.0 --startMP 204:232917 --initTime 2017-10-29T14:50:30 --startdatetime 2017-10-29T14:57:30 --delay 86 --endMP 204:327 --enddatetime 2017-10-29T15:35:49 --enforcementcount 0 &gt;&gt;%USERPROFILE%\Documents\GitHub\eaglep3-reporting\EC\2017-10-29-refined-times.txt</v>
      </c>
      <c r="AI98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{"issue":{"subject":"","project_id":79,"tracker_id":40,"status_id":1,"priority_id":2,"assigned_to_id":338,"start_date":"2017-10-29","description":"","custom_fields":[{"id":1,"name":"Subdivision","value":"EC"},{"id":4,"name":"Milepost","value":"0.0327"},{"id":17,"name":"Train ID","value":"184-29"},{"id":16,"name":"Locomotive ID","value":"4045"},{"id":130,"name":"Impact","value":""},{"id":150,"name":"Time of Event (Mountain Time)","value":"15:35:49"},{"id":151,"name":"Denver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182"/>
      <c r="AK98" s="186"/>
      <c r="AL98" s="186"/>
      <c r="AM98" s="187" t="str">
        <f t="shared" si="36"/>
        <v>start /low /b %USERPROFILE%\Documents\GitHub\eaglep3\Utilities\DownloadLogsFromS3.py --loco 4045 --day 2017-10-29</v>
      </c>
      <c r="AN98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21:35:49"},{"id":29,"name":"Sharepoint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82" t="str">
        <f t="shared" si="38"/>
        <v>https://d0f6bd738d7f1b3e5a7ca70fe4ff75f0.us-east-1.aws.found.io/app/kibana#/discover/Steve-Slow-Train-Analysis-(2080s-and-2083s)?_g=(refreshInterval:(display:Off,pause:!f,section:0,value:0),time:(from:'2017-10-29T13:50:30-0600',mode:absolute,to:'2017-10-29T16:35:49-0600'))&amp;_a=(columns:!('Message%20ID',Summary),filters:!(),index:'emp_*',interval:auto,query:(query_string:(analyze_wildcard:!t,query:'%22rtdc.l.rtdc.4045%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32" t="s">
        <v>785</v>
      </c>
      <c r="B99" s="7">
        <v>4018</v>
      </c>
      <c r="C99" s="21" t="s">
        <v>194</v>
      </c>
      <c r="D99" s="21" t="s">
        <v>998</v>
      </c>
      <c r="E99" s="13">
        <v>43037.589537037034</v>
      </c>
      <c r="F99" s="13">
        <v>43037.593958333331</v>
      </c>
      <c r="G99" s="7">
        <v>189</v>
      </c>
      <c r="H99" s="21" t="s">
        <v>999</v>
      </c>
      <c r="I99" s="13">
        <v>43037.619641203702</v>
      </c>
      <c r="J99" s="7">
        <v>0</v>
      </c>
      <c r="K99" s="76" t="str">
        <f t="shared" si="39"/>
        <v>4017/4018</v>
      </c>
      <c r="L99" s="164" t="str">
        <f>VLOOKUP(A99,'Trips&amp;Operators'!$C$1:$G$99911,5,FALSE)</f>
        <v>DAVIDSON DAVID</v>
      </c>
      <c r="M99" s="6">
        <f t="shared" si="40"/>
        <v>2.5682870371383615E-2</v>
      </c>
      <c r="N99" s="7">
        <f t="shared" si="51"/>
        <v>36.983333334792405</v>
      </c>
      <c r="O99" s="7"/>
      <c r="P99" s="7"/>
      <c r="Q99" s="22"/>
      <c r="R99" s="157"/>
      <c r="S99" s="215">
        <f t="shared" si="52"/>
        <v>1</v>
      </c>
      <c r="T99" s="216" t="str">
        <f t="shared" si="41"/>
        <v>NorthBound</v>
      </c>
      <c r="U99" s="216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7" t="str">
        <f t="shared" si="42"/>
        <v>https://d0f6bd738d7f1b3e5a7ca70fe4ff75f0.us-east-1.aws.found.io/app/kibana#/discover/Steve-Slow-Train-Analysis-(2080s-and-2083s)?_g=(refreshInterval:(display:Off,pause:!f,section:0,value:0),time:(from:'2017-10-29T13:08:56-0600',mode:absolute,to:'2017-10-29T15:52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99" s="218" t="str">
        <f>IF(AA99&lt;VLOOKUP(AG99,Variables!$AC$3:$AD$8,2,FALSE),"Y","N")</f>
        <v>N</v>
      </c>
      <c r="X99" s="218">
        <f t="shared" si="53"/>
        <v>1</v>
      </c>
      <c r="Y99" s="218">
        <f t="shared" si="43"/>
        <v>5.3100000000000001E-2</v>
      </c>
      <c r="Z99" s="218">
        <f t="shared" si="44"/>
        <v>23.324000000000002</v>
      </c>
      <c r="AA99" s="218">
        <f t="shared" si="45"/>
        <v>23.270900000000001</v>
      </c>
      <c r="AB99" s="219" t="e">
        <f>VLOOKUP(A99,Enforcements!$C$7:$K$11,8,0)</f>
        <v>#N/A</v>
      </c>
      <c r="AC99" s="219" t="e">
        <f>VLOOKUP(A99,Enforcements!$C$7:$E$11,3,0)</f>
        <v>#N/A</v>
      </c>
      <c r="AD99" s="186">
        <f t="shared" si="46"/>
        <v>185</v>
      </c>
      <c r="AE99" s="220" t="str">
        <f t="shared" si="47"/>
        <v>aws s3 cp s3://rtdc.mdm.uploadarchive.raw/RTDC4018/ "%USERPROFILE%\AppData\Local\Temp\OnboardLogs"\RTDC4018\2017-10-29 --exclude "*" --recursive --include "*20171029*" &amp; "%USERPROFILE%\Documents\GitHub\mrs-test-scripts\Headless Mode &amp; Sideloading\WalkAndUnGZ.bat" "%USERPROFILE%\AppData\Local\Temp\OnboardLogs"\RTDC4018\2017-10-29 &amp; aws s3 cp s3://rtdc.mdm.uploadarchive.raw/RTDC4018/ "%USERPROFILE%\AppData\Local\Temp\OnboardLogs"\RTDC4018\2017-10-30 --exclude "*" --recursive --include "*20171030*" &amp; "%USERPROFILE%\Documents\GitHub\mrs-test-scripts\Headless Mode &amp; Sideloading\WalkAndUnGZ.bat" "%USERPROFILE%\AppData\Local\Temp\OnboardLogs"\RTDC4018\2017-10-30</v>
      </c>
      <c r="AF99" s="221" t="str">
        <f t="shared" si="48"/>
        <v>"C:\Program Files (x86)\AstroGrep\AstroGrep.exe" /e /r /s /spath="%USERPROFILE%\AppData\Local\Temp\OnboardLogs" /stypes="app*4018*20171029*" /stext=" 20:.+((SYSTEM_STATE.+slice.+state.+changed )|(ment ac)|(multiple cpu faults)|(system.+state.+changed )|(\[timeout)|(PRM\|1\|D)|(kpr)|(kdp)|(train st.+moving)|(\|lc)|(penalty))"</v>
      </c>
      <c r="AG99" s="185" t="str">
        <f t="shared" si="49"/>
        <v>EC</v>
      </c>
      <c r="AH99" s="222" t="str">
        <f t="shared" si="34"/>
        <v>"%USERPROFILE%\Documents\GitHub\eaglep3\Utilities\RefineRTDCRunTimes.py" --tripid 185-29 --locoid 4018 --swversion DE.1.0.9.0 --startMP 204:531 --initTime 2017-10-29T14:08:56 --startdatetime 2017-10-29T14:15:18 --delay 189 --endMP 204:233240 --enddatetime 2017-10-29T14:52:17 --enforcementcount 0 &gt;&gt;%USERPROFILE%\Documents\GitHub\eaglep3-reporting\EC\2017-10-29-refined-times.txt</v>
      </c>
      <c r="AI99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{"issue":{"subject":"","project_id":79,"tracker_id":40,"status_id":1,"priority_id":2,"assigned_to_id":338,"start_date":"2017-10-29","description":"","custom_fields":[{"id":1,"name":"Subdivision","value":"EC"},{"id":4,"name":"Milepost","value":"23.324"},{"id":17,"name":"Train ID","value":"185-29"},{"id":16,"name":"Locomotive ID","value":"4018"},{"id":130,"name":"Impact","value":""},{"id":150,"name":"Time of Event (Mountain Time)","value":"14:52:17"},{"id":151,"name":"Denver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182"/>
      <c r="AK99" s="186"/>
      <c r="AL99" s="186"/>
      <c r="AM99" s="187" t="str">
        <f t="shared" si="36"/>
        <v>start /low /b %USERPROFILE%\Documents\GitHub\eaglep3\Utilities\DownloadLogsFromS3.py --loco 4018 --day 2017-10-29</v>
      </c>
      <c r="AN99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20:52:17"},{"id":29,"name":"Sharepoint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82" t="str">
        <f t="shared" si="38"/>
        <v>https://d0f6bd738d7f1b3e5a7ca70fe4ff75f0.us-east-1.aws.found.io/app/kibana#/discover/Steve-Slow-Train-Analysis-(2080s-and-2083s)?_g=(refreshInterval:(display:Off,pause:!f,section:0,value:0),time:(from:'2017-10-29T13:08:56-0600',mode:absolute,to:'2017-10-29T15:52:17-0600'))&amp;_a=(columns:!('Message%20ID',Summary),filters:!(),index:'emp_*',interval:auto,query:(query_string:(analyze_wildcard:!t,query:'%22rtdc.l.rtdc.4018%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3">
      <c r="A100" s="32" t="s">
        <v>792</v>
      </c>
      <c r="B100" s="7">
        <v>4017</v>
      </c>
      <c r="C100" s="21" t="s">
        <v>194</v>
      </c>
      <c r="D100" s="21" t="s">
        <v>943</v>
      </c>
      <c r="E100" s="13">
        <v>43037.621747685182</v>
      </c>
      <c r="F100" s="13">
        <v>43037.633599537039</v>
      </c>
      <c r="G100" s="7">
        <v>94</v>
      </c>
      <c r="H100" s="21" t="s">
        <v>1000</v>
      </c>
      <c r="I100" s="13">
        <v>43037.660821759258</v>
      </c>
      <c r="J100" s="7">
        <v>0</v>
      </c>
      <c r="K100" s="76" t="str">
        <f t="shared" si="39"/>
        <v>4017/4018</v>
      </c>
      <c r="L100" s="164" t="str">
        <f>VLOOKUP(A100,'Trips&amp;Operators'!$C$1:$G$99911,5,FALSE)</f>
        <v>DAVIDSON DAVID</v>
      </c>
      <c r="M100" s="6">
        <f t="shared" si="40"/>
        <v>2.7222222219279502E-2</v>
      </c>
      <c r="N100" s="7">
        <f t="shared" si="51"/>
        <v>39.199999995762482</v>
      </c>
      <c r="O100" s="7"/>
      <c r="P100" s="7"/>
      <c r="Q100" s="22"/>
      <c r="R100" s="157"/>
      <c r="S100" s="215">
        <f t="shared" si="52"/>
        <v>1</v>
      </c>
      <c r="T100" s="216" t="str">
        <f t="shared" si="41"/>
        <v>Southbound</v>
      </c>
      <c r="U100" s="216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7" t="str">
        <f t="shared" si="42"/>
        <v>https://d0f6bd738d7f1b3e5a7ca70fe4ff75f0.us-east-1.aws.found.io/app/kibana#/discover/Steve-Slow-Train-Analysis-(2080s-and-2083s)?_g=(refreshInterval:(display:Off,pause:!f,section:0,value:0),time:(from:'2017-10-29T13:55:19-0600',mode:absolute,to:'2017-10-29T16:51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0" s="218" t="str">
        <f>IF(AA100&lt;VLOOKUP(AG100,Variables!$AC$3:$AD$8,2,FALSE),"Y","N")</f>
        <v>N</v>
      </c>
      <c r="X100" s="218">
        <f t="shared" si="53"/>
        <v>1</v>
      </c>
      <c r="Y100" s="218">
        <f t="shared" si="43"/>
        <v>23.291499999999999</v>
      </c>
      <c r="Z100" s="218">
        <f t="shared" si="44"/>
        <v>2.5600000000000001E-2</v>
      </c>
      <c r="AA100" s="218">
        <f t="shared" si="45"/>
        <v>23.265899999999998</v>
      </c>
      <c r="AB100" s="219" t="e">
        <f>VLOOKUP(A100,Enforcements!$C$7:$K$11,8,0)</f>
        <v>#N/A</v>
      </c>
      <c r="AC100" s="219" t="e">
        <f>VLOOKUP(A100,Enforcements!$C$7:$E$11,3,0)</f>
        <v>#N/A</v>
      </c>
      <c r="AD100" s="186">
        <f t="shared" si="46"/>
        <v>186</v>
      </c>
      <c r="AE100" s="220" t="str">
        <f t="shared" si="47"/>
        <v>aws s3 cp s3://rtdc.mdm.uploadarchive.raw/RTDC4017/ "%USERPROFILE%\AppData\Local\Temp\OnboardLogs"\RTDC4017\2017-10-29 --exclude "*" --recursive --include "*20171029*" &amp; "%USERPROFILE%\Documents\GitHub\mrs-test-scripts\Headless Mode &amp; Sideloading\WalkAndUnGZ.bat" "%USERPROFILE%\AppData\Local\Temp\OnboardLogs"\RTDC4017\2017-10-29 &amp; aws s3 cp s3://rtdc.mdm.uploadarchive.raw/RTDC4017/ "%USERPROFILE%\AppData\Local\Temp\OnboardLogs"\RTDC4017\2017-10-30 --exclude "*" --recursive --include "*20171030*" &amp; "%USERPROFILE%\Documents\GitHub\mrs-test-scripts\Headless Mode &amp; Sideloading\WalkAndUnGZ.bat" "%USERPROFILE%\AppData\Local\Temp\OnboardLogs"\RTDC4017\2017-10-30</v>
      </c>
      <c r="AF100" s="221" t="str">
        <f t="shared" si="48"/>
        <v>"C:\Program Files (x86)\AstroGrep\AstroGrep.exe" /e /r /s /spath="%USERPROFILE%\AppData\Local\Temp\OnboardLogs" /stypes="app*4017*20171029*" /stext=" 21:.+((SYSTEM_STATE.+slice.+state.+changed )|(ment ac)|(multiple cpu faults)|(system.+state.+changed )|(\[timeout)|(PRM\|1\|D)|(kpr)|(kdp)|(train st.+moving)|(\|lc)|(penalty))"</v>
      </c>
      <c r="AG100" s="185" t="str">
        <f t="shared" si="49"/>
        <v>EC</v>
      </c>
      <c r="AH100" s="222" t="str">
        <f t="shared" si="34"/>
        <v>"%USERPROFILE%\Documents\GitHub\eaglep3\Utilities\RefineRTDCRunTimes.py" --tripid 186-29 --locoid 4017 --swversion DE.1.0.9.0 --startMP 204:232915 --initTime 2017-10-29T14:55:19 --startdatetime 2017-10-29T15:12:23 --delay 94 --endMP 204:256 --enddatetime 2017-10-29T15:51:35 --enforcementcount 0 &gt;&gt;%USERPROFILE%\Documents\GitHub\eaglep3-reporting\EC\2017-10-29-refined-times.txt</v>
      </c>
      <c r="AI100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{"issue":{"subject":"","project_id":79,"tracker_id":40,"status_id":1,"priority_id":2,"assigned_to_id":338,"start_date":"2017-10-29","description":"","custom_fields":[{"id":1,"name":"Subdivision","value":"EC"},{"id":4,"name":"Milepost","value":"0.0256"},{"id":17,"name":"Train ID","value":"186-29"},{"id":16,"name":"Locomotive ID","value":"4017"},{"id":130,"name":"Impact","value":""},{"id":150,"name":"Time of Event (Mountain Time)","value":"15:51:35"},{"id":151,"name":"Denver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00" s="186"/>
      <c r="AL100" s="186"/>
      <c r="AM100" s="187" t="str">
        <f t="shared" si="36"/>
        <v>start /low /b %USERPROFILE%\Documents\GitHub\eaglep3\Utilities\DownloadLogsFromS3.py --loco 4017 --day 2017-10-29</v>
      </c>
      <c r="AN100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21:51:35"},{"id":29,"name":"Sharepoint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82" t="str">
        <f t="shared" si="38"/>
        <v>https://d0f6bd738d7f1b3e5a7ca70fe4ff75f0.us-east-1.aws.found.io/app/kibana#/discover/Steve-Slow-Train-Analysis-(2080s-and-2083s)?_g=(refreshInterval:(display:Off,pause:!f,section:0,value:0),time:(from:'2017-10-29T13:55:19-0600',mode:absolute,to:'2017-10-29T16:51:35-0600'))&amp;_a=(columns:!('Message%20ID',Summary),filters:!(),index:'emp_*',interval:auto,query:(query_string:(analyze_wildcard:!t,query:'%22rtdc.l.rtdc.4017%22')),sort:!(Time.ISO8601,asc))</v>
      </c>
    </row>
    <row r="101" spans="1:91" s="20" customFormat="1" x14ac:dyDescent="0.3">
      <c r="A101" s="32" t="s">
        <v>786</v>
      </c>
      <c r="B101" s="7">
        <v>4026</v>
      </c>
      <c r="C101" s="21" t="s">
        <v>194</v>
      </c>
      <c r="D101" s="21" t="s">
        <v>379</v>
      </c>
      <c r="E101" s="13">
        <v>43037.599606481483</v>
      </c>
      <c r="F101" s="13">
        <v>43037.604479166665</v>
      </c>
      <c r="G101" s="7">
        <v>106</v>
      </c>
      <c r="H101" s="21" t="s">
        <v>581</v>
      </c>
      <c r="I101" s="13">
        <v>43037.629583333335</v>
      </c>
      <c r="J101" s="7">
        <v>0</v>
      </c>
      <c r="K101" s="76" t="str">
        <f t="shared" si="39"/>
        <v>4025/4026</v>
      </c>
      <c r="L101" s="164" t="str">
        <f>VLOOKUP(A101,'Trips&amp;Operators'!$C$1:$G$99911,5,FALSE)</f>
        <v>STRICKLAND EVAN</v>
      </c>
      <c r="M101" s="6">
        <f t="shared" si="40"/>
        <v>2.510416667064419E-2</v>
      </c>
      <c r="N101" s="7">
        <f t="shared" si="51"/>
        <v>36.150000005727634</v>
      </c>
      <c r="O101" s="7"/>
      <c r="P101" s="7"/>
      <c r="Q101" s="22"/>
      <c r="R101" s="157"/>
      <c r="S101" s="215">
        <f t="shared" si="52"/>
        <v>1</v>
      </c>
      <c r="T101" s="216" t="str">
        <f t="shared" si="41"/>
        <v>NorthBound</v>
      </c>
      <c r="U101" s="216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7" t="str">
        <f t="shared" si="42"/>
        <v>https://d0f6bd738d7f1b3e5a7ca70fe4ff75f0.us-east-1.aws.found.io/app/kibana#/discover/Steve-Slow-Train-Analysis-(2080s-and-2083s)?_g=(refreshInterval:(display:Off,pause:!f,section:0,value:0),time:(from:'2017-10-29T13:23:26-0600',mode:absolute,to:'2017-10-29T16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1" s="218" t="str">
        <f>IF(AA101&lt;VLOOKUP(AG101,Variables!$AC$3:$AD$8,2,FALSE),"Y","N")</f>
        <v>N</v>
      </c>
      <c r="X101" s="218">
        <f t="shared" si="53"/>
        <v>1</v>
      </c>
      <c r="Y101" s="218">
        <f t="shared" si="43"/>
        <v>4.6399999999999997E-2</v>
      </c>
      <c r="Z101" s="218">
        <f t="shared" si="44"/>
        <v>23.319800000000001</v>
      </c>
      <c r="AA101" s="218">
        <f t="shared" si="45"/>
        <v>23.273400000000002</v>
      </c>
      <c r="AB101" s="219" t="e">
        <f>VLOOKUP(A101,Enforcements!$C$7:$K$11,8,0)</f>
        <v>#N/A</v>
      </c>
      <c r="AC101" s="219" t="e">
        <f>VLOOKUP(A101,Enforcements!$C$7:$E$11,3,0)</f>
        <v>#N/A</v>
      </c>
      <c r="AD101" s="186">
        <f t="shared" si="46"/>
        <v>187</v>
      </c>
      <c r="AE101" s="220" t="str">
        <f t="shared" si="47"/>
        <v>aws s3 cp s3://rtdc.mdm.uploadarchive.raw/RTDC4026/ "%USERPROFILE%\AppData\Local\Temp\OnboardLogs"\RTDC4026\2017-10-29 --exclude "*" --recursive --include "*20171029*" &amp; "%USERPROFILE%\Documents\GitHub\mrs-test-scripts\Headless Mode &amp; Sideloading\WalkAndUnGZ.bat" "%USERPROFILE%\AppData\Local\Temp\OnboardLogs"\RTDC4026\2017-10-29 &amp; aws s3 cp s3://rtdc.mdm.uploadarchive.raw/RTDC4026/ "%USERPROFILE%\AppData\Local\Temp\OnboardLogs"\RTDC4026\2017-10-30 --exclude "*" --recursive --include "*20171030*" &amp; "%USERPROFILE%\Documents\GitHub\mrs-test-scripts\Headless Mode &amp; Sideloading\WalkAndUnGZ.bat" "%USERPROFILE%\AppData\Local\Temp\OnboardLogs"\RTDC4026\2017-10-30</v>
      </c>
      <c r="AF101" s="221" t="str">
        <f t="shared" si="48"/>
        <v>"C:\Program Files (x86)\AstroGrep\AstroGrep.exe" /e /r /s /spath="%USERPROFILE%\AppData\Local\Temp\OnboardLogs" /stypes="app*4026*20171029*" /stext=" 21:.+((SYSTEM_STATE.+slice.+state.+changed )|(ment ac)|(multiple cpu faults)|(system.+state.+changed )|(\[timeout)|(PRM\|1\|D)|(kpr)|(kdp)|(train st.+moving)|(\|lc)|(penalty))"</v>
      </c>
      <c r="AG101" s="185" t="str">
        <f t="shared" si="49"/>
        <v>EC</v>
      </c>
      <c r="AH101" s="222" t="str">
        <f t="shared" si="34"/>
        <v>"%USERPROFILE%\Documents\GitHub\eaglep3\Utilities\RefineRTDCRunTimes.py" --tripid 187-29 --locoid 4026 --swversion DE.1.0.9.0 --startMP 204:464 --initTime 2017-10-29T14:23:26 --startdatetime 2017-10-29T14:30:27 --delay 106 --endMP 204:233198 --enddatetime 2017-10-29T15:06:36 --enforcementcount 0 &gt;&gt;%USERPROFILE%\Documents\GitHub\eaglep3-reporting\EC\2017-10-29-refined-times.txt</v>
      </c>
      <c r="AI101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{"issue":{"subject":"","project_id":79,"tracker_id":40,"status_id":1,"priority_id":2,"assigned_to_id":338,"start_date":"2017-10-29","description":"","custom_fields":[{"id":1,"name":"Subdivision","value":"EC"},{"id":4,"name":"Milepost","value":"23.3198"},{"id":17,"name":"Train ID","value":"187-29"},{"id":16,"name":"Locomotive ID","value":"4026"},{"id":130,"name":"Impact","value":""},{"id":150,"name":"Time of Event (Mountain Time)","value":"15:06:36"},{"id":151,"name":"Denver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182"/>
      <c r="AK101" s="186"/>
      <c r="AL101" s="186"/>
      <c r="AM101" s="187" t="str">
        <f t="shared" si="36"/>
        <v>start /low /b %USERPROFILE%\Documents\GitHub\eaglep3\Utilities\DownloadLogsFromS3.py --loco 4026 --day 2017-10-29</v>
      </c>
      <c r="AN101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21:06:36"},{"id":29,"name":"Sharepoint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82" t="str">
        <f t="shared" si="38"/>
        <v>https://d0f6bd738d7f1b3e5a7ca70fe4ff75f0.us-east-1.aws.found.io/app/kibana#/discover/Steve-Slow-Train-Analysis-(2080s-and-2083s)?_g=(refreshInterval:(display:Off,pause:!f,section:0,value:0),time:(from:'2017-10-29T13:23:26-0600',mode:absolute,to:'2017-10-29T16:06:36-0600'))&amp;_a=(columns:!('Message%20ID',Summary),filters:!(),index:'emp_*',interval:auto,query:(query_string:(analyze_wildcard:!t,query:'%22rtdc.l.rtdc.4026%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3">
      <c r="A102" s="32" t="s">
        <v>795</v>
      </c>
      <c r="B102" s="7">
        <v>4025</v>
      </c>
      <c r="C102" s="21" t="s">
        <v>194</v>
      </c>
      <c r="D102" s="21" t="s">
        <v>605</v>
      </c>
      <c r="E102" s="13">
        <v>43037.638553240744</v>
      </c>
      <c r="F102" s="13">
        <v>43037.643958333334</v>
      </c>
      <c r="G102" s="7">
        <v>65</v>
      </c>
      <c r="H102" s="21" t="s">
        <v>1001</v>
      </c>
      <c r="I102" s="13">
        <v>43037.670844907407</v>
      </c>
      <c r="J102" s="7">
        <v>0</v>
      </c>
      <c r="K102" s="76" t="str">
        <f t="shared" si="39"/>
        <v>4025/4026</v>
      </c>
      <c r="L102" s="164" t="str">
        <f>VLOOKUP(A102,'Trips&amp;Operators'!$C$1:$G$99911,5,FALSE)</f>
        <v>STRICKLAND EVAN</v>
      </c>
      <c r="M102" s="6">
        <f t="shared" si="40"/>
        <v>2.6886574072705116E-2</v>
      </c>
      <c r="N102" s="7">
        <f t="shared" si="51"/>
        <v>38.716666664695367</v>
      </c>
      <c r="O102" s="7"/>
      <c r="P102" s="7"/>
      <c r="Q102" s="22"/>
      <c r="R102" s="157"/>
      <c r="S102" s="215">
        <f t="shared" si="52"/>
        <v>1</v>
      </c>
      <c r="T102" s="216" t="str">
        <f t="shared" si="41"/>
        <v>Southbound</v>
      </c>
      <c r="U102" s="216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7" t="str">
        <f t="shared" si="42"/>
        <v>https://d0f6bd738d7f1b3e5a7ca70fe4ff75f0.us-east-1.aws.found.io/app/kibana#/discover/Steve-Slow-Train-Analysis-(2080s-and-2083s)?_g=(refreshInterval:(display:Off,pause:!f,section:0,value:0),time:(from:'2017-10-29T14:19:31-0600',mode:absolute,to:'2017-10-29T17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02" s="218" t="str">
        <f>IF(AA102&lt;VLOOKUP(AG102,Variables!$AC$3:$AD$8,2,FALSE),"Y","N")</f>
        <v>N</v>
      </c>
      <c r="X102" s="218">
        <f t="shared" si="53"/>
        <v>1</v>
      </c>
      <c r="Y102" s="218">
        <f t="shared" si="43"/>
        <v>23.2883</v>
      </c>
      <c r="Z102" s="218">
        <f t="shared" si="44"/>
        <v>1.6299999999999999E-2</v>
      </c>
      <c r="AA102" s="218">
        <f t="shared" si="45"/>
        <v>23.271999999999998</v>
      </c>
      <c r="AB102" s="219" t="e">
        <f>VLOOKUP(A102,Enforcements!$C$7:$K$11,8,0)</f>
        <v>#N/A</v>
      </c>
      <c r="AC102" s="219" t="e">
        <f>VLOOKUP(A102,Enforcements!$C$7:$E$11,3,0)</f>
        <v>#N/A</v>
      </c>
      <c r="AD102" s="186">
        <f t="shared" si="46"/>
        <v>188</v>
      </c>
      <c r="AE102" s="220" t="str">
        <f t="shared" si="47"/>
        <v>aws s3 cp s3://rtdc.mdm.uploadarchive.raw/RTDC4025/ "%USERPROFILE%\AppData\Local\Temp\OnboardLogs"\RTDC4025\2017-10-29 --exclude "*" --recursive --include "*20171029*" &amp; "%USERPROFILE%\Documents\GitHub\mrs-test-scripts\Headless Mode &amp; Sideloading\WalkAndUnGZ.bat" "%USERPROFILE%\AppData\Local\Temp\OnboardLogs"\RTDC4025\2017-10-29 &amp; aws s3 cp s3://rtdc.mdm.uploadarchive.raw/RTDC4025/ "%USERPROFILE%\AppData\Local\Temp\OnboardLogs"\RTDC4025\2017-10-30 --exclude "*" --recursive --include "*20171030*" &amp; "%USERPROFILE%\Documents\GitHub\mrs-test-scripts\Headless Mode &amp; Sideloading\WalkAndUnGZ.bat" "%USERPROFILE%\AppData\Local\Temp\OnboardLogs"\RTDC4025\2017-10-30</v>
      </c>
      <c r="AF102" s="221" t="str">
        <f t="shared" si="48"/>
        <v>"C:\Program Files (x86)\AstroGrep\AstroGrep.exe" /e /r /s /spath="%USERPROFILE%\AppData\Local\Temp\OnboardLogs" /stypes="app*4025*20171029*" /stext=" 22:.+((SYSTEM_STATE.+slice.+state.+changed )|(ment ac)|(multiple cpu faults)|(system.+state.+changed )|(\[timeout)|(PRM\|1\|D)|(kpr)|(kdp)|(train st.+moving)|(\|lc)|(penalty))"</v>
      </c>
      <c r="AG102" s="185" t="str">
        <f t="shared" si="49"/>
        <v>EC</v>
      </c>
      <c r="AH102" s="222" t="str">
        <f t="shared" si="34"/>
        <v>"%USERPROFILE%\Documents\GitHub\eaglep3\Utilities\RefineRTDCRunTimes.py" --tripid 188-29 --locoid 4025 --swversion DE.1.0.9.0 --startMP 204:232883 --initTime 2017-10-29T15:19:31 --startdatetime 2017-10-29T15:27:18 --delay 65 --endMP 204:163 --enddatetime 2017-10-29T16:06:01 --enforcementcount 0 &gt;&gt;%USERPROFILE%\Documents\GitHub\eaglep3-reporting\EC\2017-10-29-refined-times.txt</v>
      </c>
      <c r="AI102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{"issue":{"subject":"","project_id":79,"tracker_id":40,"status_id":1,"priority_id":2,"assigned_to_id":338,"start_date":"2017-10-29","description":"","custom_fields":[{"id":1,"name":"Subdivision","value":"EC"},{"id":4,"name":"Milepost","value":"0.0163"},{"id":17,"name":"Train ID","value":"188-29"},{"id":16,"name":"Locomotive ID","value":"4025"},{"id":130,"name":"Impact","value":""},{"id":150,"name":"Time of Event (Mountain Time)","value":"16:06:01"},{"id":151,"name":"Denver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182"/>
      <c r="AK102" s="186"/>
      <c r="AL102" s="186"/>
      <c r="AM102" s="187" t="str">
        <f t="shared" si="36"/>
        <v>start /low /b %USERPROFILE%\Documents\GitHub\eaglep3\Utilities\DownloadLogsFromS3.py --loco 4025 --day 2017-10-29</v>
      </c>
      <c r="AN102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22:06:01"},{"id":29,"name":"Sharepoint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82" t="str">
        <f t="shared" si="38"/>
        <v>https://d0f6bd738d7f1b3e5a7ca70fe4ff75f0.us-east-1.aws.found.io/app/kibana#/discover/Steve-Slow-Train-Analysis-(2080s-and-2083s)?_g=(refreshInterval:(display:Off,pause:!f,section:0,value:0),time:(from:'2017-10-29T14:19:31-0600',mode:absolute,to:'2017-10-29T17:06:01-0600'))&amp;_a=(columns:!('Message%20ID',Summary),filters:!(),index:'emp_*',interval:auto,query:(query_string:(analyze_wildcard:!t,query:'%22rtdc.l.rtdc.4025%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32" t="s">
        <v>789</v>
      </c>
      <c r="B103" s="7">
        <v>4060</v>
      </c>
      <c r="C103" s="21" t="s">
        <v>194</v>
      </c>
      <c r="D103" s="21" t="s">
        <v>1002</v>
      </c>
      <c r="E103" s="13">
        <v>43037.612013888887</v>
      </c>
      <c r="F103" s="13">
        <v>43037.615289351852</v>
      </c>
      <c r="G103" s="7">
        <v>55</v>
      </c>
      <c r="H103" s="21" t="s">
        <v>585</v>
      </c>
      <c r="I103" s="13">
        <v>43037.641284722224</v>
      </c>
      <c r="J103" s="7">
        <v>0</v>
      </c>
      <c r="K103" s="76" t="str">
        <f t="shared" si="39"/>
        <v>4059/4060</v>
      </c>
      <c r="L103" s="164" t="str">
        <f>VLOOKUP(A103,'Trips&amp;Operators'!$C$1:$G$99911,5,FALSE)</f>
        <v>DAVIS MICHAEL</v>
      </c>
      <c r="M103" s="6">
        <f t="shared" si="40"/>
        <v>2.5995370371674653E-2</v>
      </c>
      <c r="N103" s="7">
        <f t="shared" si="51"/>
        <v>37.433333335211501</v>
      </c>
      <c r="O103" s="7"/>
      <c r="P103" s="7"/>
      <c r="Q103" s="22"/>
      <c r="R103" s="157"/>
      <c r="S103" s="215">
        <f t="shared" si="52"/>
        <v>1</v>
      </c>
      <c r="T103" s="216" t="str">
        <f t="shared" si="41"/>
        <v>NorthBound</v>
      </c>
      <c r="U103" s="216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7" t="str">
        <f t="shared" si="42"/>
        <v>https://d0f6bd738d7f1b3e5a7ca70fe4ff75f0.us-east-1.aws.found.io/app/kibana#/discover/Steve-Slow-Train-Analysis-(2080s-and-2083s)?_g=(refreshInterval:(display:Off,pause:!f,section:0,value:0),time:(from:'2017-10-29T13:41:18-0600',mode:absolute,to:'2017-10-29T16:23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3" s="218" t="str">
        <f>IF(AA103&lt;VLOOKUP(AG103,Variables!$AC$3:$AD$8,2,FALSE),"Y","N")</f>
        <v>N</v>
      </c>
      <c r="X103" s="218">
        <f t="shared" si="53"/>
        <v>1</v>
      </c>
      <c r="Y103" s="218">
        <f t="shared" si="43"/>
        <v>5.2400000000000002E-2</v>
      </c>
      <c r="Z103" s="218">
        <f t="shared" si="44"/>
        <v>23.319199999999999</v>
      </c>
      <c r="AA103" s="218">
        <f t="shared" si="45"/>
        <v>23.2668</v>
      </c>
      <c r="AB103" s="219" t="e">
        <f>VLOOKUP(A103,Enforcements!$C$7:$K$11,8,0)</f>
        <v>#N/A</v>
      </c>
      <c r="AC103" s="219" t="e">
        <f>VLOOKUP(A103,Enforcements!$C$7:$E$11,3,0)</f>
        <v>#N/A</v>
      </c>
      <c r="AD103" s="186">
        <f t="shared" si="46"/>
        <v>189</v>
      </c>
      <c r="AE103" s="220" t="str">
        <f t="shared" si="47"/>
        <v>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 &amp; aws s3 cp s3://rtdc.mdm.uploadarchive.raw/RTDC4060/ "%USERPROFILE%\AppData\Local\Temp\OnboardLogs"\RTDC4060\2017-10-30 --exclude "*" --recursive --include "*20171030*" &amp; "%USERPROFILE%\Documents\GitHub\mrs-test-scripts\Headless Mode &amp; Sideloading\WalkAndUnGZ.bat" "%USERPROFILE%\AppData\Local\Temp\OnboardLogs"\RTDC4060\2017-10-30</v>
      </c>
      <c r="AF103" s="221" t="str">
        <f t="shared" si="48"/>
        <v>"C:\Program Files (x86)\AstroGrep\AstroGrep.exe" /e /r /s /spath="%USERPROFILE%\AppData\Local\Temp\OnboardLogs" /stypes="app*4060*20171029*" /stext=" 21:.+((SYSTEM_STATE.+slice.+state.+changed )|(ment ac)|(multiple cpu faults)|(system.+state.+changed )|(\[timeout)|(PRM\|1\|D)|(kpr)|(kdp)|(train st.+moving)|(\|lc)|(penalty))"</v>
      </c>
      <c r="AG103" s="185" t="str">
        <f t="shared" si="49"/>
        <v>EC</v>
      </c>
      <c r="AH103" s="222" t="str">
        <f t="shared" si="34"/>
        <v>"%USERPROFILE%\Documents\GitHub\eaglep3\Utilities\RefineRTDCRunTimes.py" --tripid 189-29 --locoid 4060 --swversion DE.1.0.9.0 --startMP 204:524 --initTime 2017-10-29T14:41:18 --startdatetime 2017-10-29T14:46:01 --delay 55 --endMP 204:233192 --enddatetime 2017-10-29T15:23:27 --enforcementcount 0 &gt;&gt;%USERPROFILE%\Documents\GitHub\eaglep3-reporting\EC\2017-10-29-refined-times.txt</v>
      </c>
      <c r="AI103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{"issue":{"subject":"","project_id":79,"tracker_id":40,"status_id":1,"priority_id":2,"assigned_to_id":338,"start_date":"2017-10-29","description":"","custom_fields":[{"id":1,"name":"Subdivision","value":"EC"},{"id":4,"name":"Milepost","value":"23.3192"},{"id":17,"name":"Train ID","value":"189-29"},{"id":16,"name":"Locomotive ID","value":"4060"},{"id":130,"name":"Impact","value":""},{"id":150,"name":"Time of Event (Mountain Time)","value":"15:23:27"},{"id":151,"name":"Denver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182"/>
      <c r="AK103" s="186"/>
      <c r="AL103" s="186"/>
      <c r="AM103" s="187" t="str">
        <f t="shared" si="36"/>
        <v>start /low /b %USERPROFILE%\Documents\GitHub\eaglep3\Utilities\DownloadLogsFromS3.py --loco 4060 --day 2017-10-29</v>
      </c>
      <c r="AN103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21:23:27"},{"id":29,"name":"Sharepoint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82" t="str">
        <f t="shared" si="38"/>
        <v>https://d0f6bd738d7f1b3e5a7ca70fe4ff75f0.us-east-1.aws.found.io/app/kibana#/discover/Steve-Slow-Train-Analysis-(2080s-and-2083s)?_g=(refreshInterval:(display:Off,pause:!f,section:0,value:0),time:(from:'2017-10-29T13:41:18-0600',mode:absolute,to:'2017-10-29T16:23:27-0600'))&amp;_a=(columns:!('Message%20ID',Summary),filters:!(),index:'emp_*',interval:auto,query:(query_string:(analyze_wildcard:!t,query:'%22rtdc.l.rtdc.4060%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32" t="s">
        <v>797</v>
      </c>
      <c r="B104" s="7">
        <v>4059</v>
      </c>
      <c r="C104" s="21" t="s">
        <v>194</v>
      </c>
      <c r="D104" s="21" t="s">
        <v>1003</v>
      </c>
      <c r="E104" s="13">
        <v>43037.650995370372</v>
      </c>
      <c r="F104" s="13">
        <v>43037.654537037037</v>
      </c>
      <c r="G104" s="7">
        <v>65</v>
      </c>
      <c r="H104" s="21" t="s">
        <v>599</v>
      </c>
      <c r="I104" s="13">
        <v>43037.681608796294</v>
      </c>
      <c r="J104" s="7">
        <v>0</v>
      </c>
      <c r="K104" s="76" t="str">
        <f t="shared" si="39"/>
        <v>4059/4060</v>
      </c>
      <c r="L104" s="164" t="str">
        <f>VLOOKUP(A104,'Trips&amp;Operators'!$C$1:$G$99911,5,FALSE)</f>
        <v>DAVIS MICHAEL</v>
      </c>
      <c r="M104" s="6">
        <f t="shared" si="40"/>
        <v>2.7071759257523809E-2</v>
      </c>
      <c r="N104" s="7">
        <f t="shared" si="51"/>
        <v>38.983333330834284</v>
      </c>
      <c r="O104" s="7"/>
      <c r="P104" s="7"/>
      <c r="Q104" s="22"/>
      <c r="R104" s="157"/>
      <c r="S104" s="215">
        <f t="shared" si="52"/>
        <v>1</v>
      </c>
      <c r="T104" s="216" t="str">
        <f t="shared" si="41"/>
        <v>Southbound</v>
      </c>
      <c r="U104" s="216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7" t="str">
        <f t="shared" si="42"/>
        <v>https://d0f6bd738d7f1b3e5a7ca70fe4ff75f0.us-east-1.aws.found.io/app/kibana#/discover/Steve-Slow-Train-Analysis-(2080s-and-2083s)?_g=(refreshInterval:(display:Off,pause:!f,section:0,value:0),time:(from:'2017-10-29T14:37:26-0600',mode:absolute,to:'2017-10-29T17:21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4" s="218" t="str">
        <f>IF(AA104&lt;VLOOKUP(AG104,Variables!$AC$3:$AD$8,2,FALSE),"Y","N")</f>
        <v>N</v>
      </c>
      <c r="X104" s="218">
        <f t="shared" si="53"/>
        <v>1</v>
      </c>
      <c r="Y104" s="218">
        <f t="shared" si="43"/>
        <v>23.2882</v>
      </c>
      <c r="Z104" s="218">
        <f t="shared" si="44"/>
        <v>2.1999999999999999E-2</v>
      </c>
      <c r="AA104" s="218">
        <f t="shared" si="45"/>
        <v>23.266200000000001</v>
      </c>
      <c r="AB104" s="219" t="e">
        <f>VLOOKUP(A104,Enforcements!$C$7:$K$11,8,0)</f>
        <v>#N/A</v>
      </c>
      <c r="AC104" s="219" t="e">
        <f>VLOOKUP(A104,Enforcements!$C$7:$E$11,3,0)</f>
        <v>#N/A</v>
      </c>
      <c r="AD104" s="186">
        <f t="shared" si="46"/>
        <v>190</v>
      </c>
      <c r="AE104" s="220" t="str">
        <f t="shared" si="47"/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AF104" s="221" t="str">
        <f t="shared" si="48"/>
        <v>"C:\Program Files (x86)\AstroGrep\AstroGrep.exe" /e /r /s /spath="%USERPROFILE%\AppData\Local\Temp\OnboardLogs" /stypes="app*4059*20171029*" /stext=" 22:.+((SYSTEM_STATE.+slice.+state.+changed )|(ment ac)|(multiple cpu faults)|(system.+state.+changed )|(\[timeout)|(PRM\|1\|D)|(kpr)|(kdp)|(train st.+moving)|(\|lc)|(penalty))"</v>
      </c>
      <c r="AG104" s="185" t="str">
        <f t="shared" si="49"/>
        <v>EC</v>
      </c>
      <c r="AH104" s="222" t="str">
        <f t="shared" si="34"/>
        <v>"%USERPROFILE%\Documents\GitHub\eaglep3\Utilities\RefineRTDCRunTimes.py" --tripid 190-29 --locoid 4059 --swversion DE.1.0.9.0 --startMP 204:232882 --initTime 2017-10-29T15:37:26 --startdatetime 2017-10-29T15:42:32 --delay 65 --endMP 204:220 --enddatetime 2017-10-29T16:21:31 --enforcementcount 0 &gt;&gt;%USERPROFILE%\Documents\GitHub\eaglep3-reporting\EC\2017-10-29-refined-times.txt</v>
      </c>
      <c r="AI104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{"issue":{"subject":"","project_id":79,"tracker_id":40,"status_id":1,"priority_id":2,"assigned_to_id":338,"start_date":"2017-10-29","description":"","custom_fields":[{"id":1,"name":"Subdivision","value":"EC"},{"id":4,"name":"Milepost","value":"0.022"},{"id":17,"name":"Train ID","value":"190-29"},{"id":16,"name":"Locomotive ID","value":"4059"},{"id":130,"name":"Impact","value":""},{"id":150,"name":"Time of Event (Mountain Time)","value":"16:21:31"},{"id":151,"name":"Denver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182"/>
      <c r="AK104" s="186"/>
      <c r="AL104" s="186"/>
      <c r="AM104" s="187" t="str">
        <f t="shared" si="36"/>
        <v>start /low /b %USERPROFILE%\Documents\GitHub\eaglep3\Utilities\DownloadLogsFromS3.py --loco 4059 --day 2017-10-29</v>
      </c>
      <c r="AN104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22:21:31"},{"id":29,"name":"Sharepoint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82" t="str">
        <f t="shared" si="38"/>
        <v>https://d0f6bd738d7f1b3e5a7ca70fe4ff75f0.us-east-1.aws.found.io/app/kibana#/discover/Steve-Slow-Train-Analysis-(2080s-and-2083s)?_g=(refreshInterval:(display:Off,pause:!f,section:0,value:0),time:(from:'2017-10-29T14:37:26-0600',mode:absolute,to:'2017-10-29T17:21:31-0600'))&amp;_a=(columns:!('Message%20ID',Summary),filters:!(),index:'emp_*',interval:auto,query:(query_string:(analyze_wildcard:!t,query:'%22rtdc.l.rtdc.4059%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32" t="s">
        <v>791</v>
      </c>
      <c r="B105" s="7">
        <v>4016</v>
      </c>
      <c r="C105" s="21" t="s">
        <v>194</v>
      </c>
      <c r="D105" s="21" t="s">
        <v>604</v>
      </c>
      <c r="E105" s="13">
        <v>43037.620451388888</v>
      </c>
      <c r="F105" s="13">
        <v>43037.625208333331</v>
      </c>
      <c r="G105" s="7">
        <v>62</v>
      </c>
      <c r="H105" s="21" t="s">
        <v>1008</v>
      </c>
      <c r="I105" s="13">
        <v>43037.649583333332</v>
      </c>
      <c r="J105" s="7">
        <v>0</v>
      </c>
      <c r="K105" s="76" t="str">
        <f t="shared" si="39"/>
        <v>4015/4016</v>
      </c>
      <c r="L105" s="164" t="str">
        <f>VLOOKUP(A105,'Trips&amp;Operators'!$C$1:$G$99911,5,FALSE)</f>
        <v>SAFIEF AEIMEN</v>
      </c>
      <c r="M105" s="6">
        <f t="shared" si="40"/>
        <v>2.4375000000873115E-2</v>
      </c>
      <c r="N105" s="7">
        <f t="shared" si="51"/>
        <v>35.100000001257285</v>
      </c>
      <c r="O105" s="7"/>
      <c r="P105" s="7"/>
      <c r="Q105" s="22"/>
      <c r="R105" s="157"/>
      <c r="S105" s="215">
        <f t="shared" si="52"/>
        <v>1</v>
      </c>
      <c r="T105" s="216" t="str">
        <f t="shared" si="41"/>
        <v>NorthBound</v>
      </c>
      <c r="U105" s="216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7" t="str">
        <f t="shared" si="42"/>
        <v>https://d0f6bd738d7f1b3e5a7ca70fe4ff75f0.us-east-1.aws.found.io/app/kibana#/discover/Steve-Slow-Train-Analysis-(2080s-and-2083s)?_g=(refreshInterval:(display:Off,pause:!f,section:0,value:0),time:(from:'2017-10-29T13:53:27-0600',mode:absolute,to:'2017-10-29T16:35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05" s="218" t="str">
        <f>IF(AA105&lt;VLOOKUP(AG105,Variables!$AC$3:$AD$8,2,FALSE),"Y","N")</f>
        <v>N</v>
      </c>
      <c r="X105" s="218">
        <f t="shared" si="53"/>
        <v>1</v>
      </c>
      <c r="Y105" s="218">
        <f t="shared" si="43"/>
        <v>5.1999999999999998E-2</v>
      </c>
      <c r="Z105" s="218">
        <f t="shared" si="44"/>
        <v>23.321899999999999</v>
      </c>
      <c r="AA105" s="218">
        <f t="shared" si="45"/>
        <v>23.2699</v>
      </c>
      <c r="AB105" s="219" t="e">
        <f>VLOOKUP(A105,Enforcements!$C$7:$K$11,8,0)</f>
        <v>#N/A</v>
      </c>
      <c r="AC105" s="219" t="e">
        <f>VLOOKUP(A105,Enforcements!$C$7:$E$11,3,0)</f>
        <v>#N/A</v>
      </c>
      <c r="AD105" s="186">
        <f t="shared" si="46"/>
        <v>191</v>
      </c>
      <c r="AE105" s="220" t="str">
        <f t="shared" si="47"/>
        <v>aws s3 cp s3://rtdc.mdm.uploadarchive.raw/RTDC4016/ "%USERPROFILE%\AppData\Local\Temp\OnboardLogs"\RTDC4016\2017-10-29 --exclude "*" --recursive --include "*20171029*" &amp; "%USERPROFILE%\Documents\GitHub\mrs-test-scripts\Headless Mode &amp; Sideloading\WalkAndUnGZ.bat" "%USERPROFILE%\AppData\Local\Temp\OnboardLogs"\RTDC4016\2017-10-29 &amp; 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</v>
      </c>
      <c r="AF105" s="221" t="str">
        <f t="shared" si="48"/>
        <v>"C:\Program Files (x86)\AstroGrep\AstroGrep.exe" /e /r /s /spath="%USERPROFILE%\AppData\Local\Temp\OnboardLogs" /stypes="app*4016*20171029*" /stext=" 21:.+((SYSTEM_STATE.+slice.+state.+changed )|(ment ac)|(multiple cpu faults)|(system.+state.+changed )|(\[timeout)|(PRM\|1\|D)|(kpr)|(kdp)|(train st.+moving)|(\|lc)|(penalty))"</v>
      </c>
      <c r="AG105" s="185" t="str">
        <f t="shared" si="49"/>
        <v>EC</v>
      </c>
      <c r="AH105" s="222" t="str">
        <f t="shared" si="34"/>
        <v>"%USERPROFILE%\Documents\GitHub\eaglep3\Utilities\RefineRTDCRunTimes.py" --tripid 191-29 --locoid 4016 --swversion DE.1.0.9.0 --startMP 204:520 --initTime 2017-10-29T14:53:27 --startdatetime 2017-10-29T15:00:18 --delay 62 --endMP 204:233219 --enddatetime 2017-10-29T15:35:24 --enforcementcount 0 &gt;&gt;%USERPROFILE%\Documents\GitHub\eaglep3-reporting\EC\2017-10-29-refined-times.txt</v>
      </c>
      <c r="AI105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{"issue":{"subject":"","project_id":79,"tracker_id":40,"status_id":1,"priority_id":2,"assigned_to_id":338,"start_date":"2017-10-29","description":"","custom_fields":[{"id":1,"name":"Subdivision","value":"EC"},{"id":4,"name":"Milepost","value":"23.3219"},{"id":17,"name":"Train ID","value":"191-29"},{"id":16,"name":"Locomotive ID","value":"4016"},{"id":130,"name":"Impact","value":""},{"id":150,"name":"Time of Event (Mountain Time)","value":"15:35:24"},{"id":151,"name":"Denver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182"/>
      <c r="AK105" s="186"/>
      <c r="AL105" s="186"/>
      <c r="AM105" s="187" t="str">
        <f t="shared" si="36"/>
        <v>start /low /b %USERPROFILE%\Documents\GitHub\eaglep3\Utilities\DownloadLogsFromS3.py --loco 4016 --day 2017-10-29</v>
      </c>
      <c r="AN105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21:35:24"},{"id":29,"name":"Sharepoint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82" t="str">
        <f t="shared" si="38"/>
        <v>https://d0f6bd738d7f1b3e5a7ca70fe4ff75f0.us-east-1.aws.found.io/app/kibana#/discover/Steve-Slow-Train-Analysis-(2080s-and-2083s)?_g=(refreshInterval:(display:Off,pause:!f,section:0,value:0),time:(from:'2017-10-29T13:53:27-0600',mode:absolute,to:'2017-10-29T16:35:24-0600'))&amp;_a=(columns:!('Message%20ID',Summary),filters:!(),index:'emp_*',interval:auto,query:(query_string:(analyze_wildcard:!t,query:'%22rtdc.l.rtdc.4016%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32" t="s">
        <v>799</v>
      </c>
      <c r="B106" s="7">
        <v>4015</v>
      </c>
      <c r="C106" s="21" t="s">
        <v>194</v>
      </c>
      <c r="D106" s="21" t="s">
        <v>943</v>
      </c>
      <c r="E106" s="13">
        <v>43037.654687499999</v>
      </c>
      <c r="F106" s="13">
        <v>43037.665185185186</v>
      </c>
      <c r="G106" s="7">
        <v>71</v>
      </c>
      <c r="H106" s="21" t="s">
        <v>1009</v>
      </c>
      <c r="I106" s="13">
        <v>43037.690578703703</v>
      </c>
      <c r="J106" s="7">
        <v>0</v>
      </c>
      <c r="K106" s="76" t="str">
        <f t="shared" si="39"/>
        <v>4015/4016</v>
      </c>
      <c r="L106" s="164" t="str">
        <f>VLOOKUP(A106,'Trips&amp;Operators'!$C$1:$G$99911,5,FALSE)</f>
        <v>SAFIEF AEIMEN</v>
      </c>
      <c r="M106" s="6">
        <f t="shared" si="40"/>
        <v>2.5393518517375924E-2</v>
      </c>
      <c r="N106" s="7">
        <f t="shared" si="51"/>
        <v>36.56666666502133</v>
      </c>
      <c r="O106" s="7"/>
      <c r="P106" s="7"/>
      <c r="Q106" s="22"/>
      <c r="R106" s="157"/>
      <c r="S106" s="215">
        <f t="shared" si="52"/>
        <v>1</v>
      </c>
      <c r="T106" s="216" t="str">
        <f t="shared" si="41"/>
        <v>Southbound</v>
      </c>
      <c r="U106" s="216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7" t="str">
        <f t="shared" si="42"/>
        <v>https://d0f6bd738d7f1b3e5a7ca70fe4ff75f0.us-east-1.aws.found.io/app/kibana#/discover/Steve-Slow-Train-Analysis-(2080s-and-2083s)?_g=(refreshInterval:(display:Off,pause:!f,section:0,value:0),time:(from:'2017-10-29T14:42:45-0600',mode:absolute,to:'2017-10-29T17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06" s="218" t="str">
        <f>IF(AA106&lt;VLOOKUP(AG106,Variables!$AC$3:$AD$8,2,FALSE),"Y","N")</f>
        <v>N</v>
      </c>
      <c r="X106" s="218">
        <f t="shared" si="53"/>
        <v>1</v>
      </c>
      <c r="Y106" s="218">
        <f t="shared" si="43"/>
        <v>23.291499999999999</v>
      </c>
      <c r="Z106" s="218">
        <f t="shared" si="44"/>
        <v>2.1399999999999999E-2</v>
      </c>
      <c r="AA106" s="218">
        <f t="shared" si="45"/>
        <v>23.270099999999999</v>
      </c>
      <c r="AB106" s="219" t="e">
        <f>VLOOKUP(A106,Enforcements!$C$7:$K$11,8,0)</f>
        <v>#N/A</v>
      </c>
      <c r="AC106" s="219" t="e">
        <f>VLOOKUP(A106,Enforcements!$C$7:$E$11,3,0)</f>
        <v>#N/A</v>
      </c>
      <c r="AD106" s="186">
        <f t="shared" si="46"/>
        <v>192</v>
      </c>
      <c r="AE106" s="220" t="str">
        <f t="shared" si="47"/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106" s="221" t="str">
        <f t="shared" si="48"/>
        <v>"C:\Program Files (x86)\AstroGrep\AstroGrep.exe" /e /r /s /spath="%USERPROFILE%\AppData\Local\Temp\OnboardLogs" /stypes="app*4015*20171029*" /stext=" 22:.+((SYSTEM_STATE.+slice.+state.+changed )|(ment ac)|(multiple cpu faults)|(system.+state.+changed )|(\[timeout)|(PRM\|1\|D)|(kpr)|(kdp)|(train st.+moving)|(\|lc)|(penalty))"</v>
      </c>
      <c r="AG106" s="185" t="str">
        <f t="shared" si="49"/>
        <v>EC</v>
      </c>
      <c r="AH106" s="222" t="str">
        <f t="shared" si="34"/>
        <v>"%USERPROFILE%\Documents\GitHub\eaglep3\Utilities\RefineRTDCRunTimes.py" --tripid 192-29 --locoid 4015 --swversion DE.1.0.9.0 --startMP 204:232915 --initTime 2017-10-29T15:42:45 --startdatetime 2017-10-29T15:57:52 --delay 71 --endMP 204:214 --enddatetime 2017-10-29T16:34:26 --enforcementcount 0 &gt;&gt;%USERPROFILE%\Documents\GitHub\eaglep3-reporting\EC\2017-10-29-refined-times.txt</v>
      </c>
      <c r="AI106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{"issue":{"subject":"","project_id":79,"tracker_id":40,"status_id":1,"priority_id":2,"assigned_to_id":338,"start_date":"2017-10-29","description":"","custom_fields":[{"id":1,"name":"Subdivision","value":"EC"},{"id":4,"name":"Milepost","value":"0.0214"},{"id":17,"name":"Train ID","value":"192-29"},{"id":16,"name":"Locomotive ID","value":"4015"},{"id":130,"name":"Impact","value":""},{"id":150,"name":"Time of Event (Mountain Time)","value":"16:34:26"},{"id":151,"name":"Denver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182"/>
      <c r="AK106" s="186"/>
      <c r="AL106" s="186"/>
      <c r="AM106" s="187" t="str">
        <f t="shared" si="36"/>
        <v>start /low /b %USERPROFILE%\Documents\GitHub\eaglep3\Utilities\DownloadLogsFromS3.py --loco 4015 --day 2017-10-29</v>
      </c>
      <c r="AN106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22:34:26"},{"id":29,"name":"Sharepoint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82" t="str">
        <f t="shared" si="38"/>
        <v>https://d0f6bd738d7f1b3e5a7ca70fe4ff75f0.us-east-1.aws.found.io/app/kibana#/discover/Steve-Slow-Train-Analysis-(2080s-and-2083s)?_g=(refreshInterval:(display:Off,pause:!f,section:0,value:0),time:(from:'2017-10-29T14:42:45-0600',mode:absolute,to:'2017-10-29T17:34:26-0600'))&amp;_a=(columns:!('Message%20ID',Summary),filters:!(),index:'emp_*',interval:auto,query:(query_string:(analyze_wildcard:!t,query:'%22rtdc.l.rtdc.4015%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32" t="s">
        <v>794</v>
      </c>
      <c r="B107" s="7">
        <v>4006</v>
      </c>
      <c r="C107" s="21" t="s">
        <v>194</v>
      </c>
      <c r="D107" s="21" t="s">
        <v>1010</v>
      </c>
      <c r="E107" s="13">
        <v>43037.631666666668</v>
      </c>
      <c r="F107" s="13">
        <v>43037.635567129626</v>
      </c>
      <c r="G107" s="7">
        <v>52</v>
      </c>
      <c r="H107" s="21" t="s">
        <v>579</v>
      </c>
      <c r="I107" s="13">
        <v>43037.660486111112</v>
      </c>
      <c r="J107" s="7">
        <v>0</v>
      </c>
      <c r="K107" s="76" t="str">
        <f t="shared" si="39"/>
        <v>4005/4006</v>
      </c>
      <c r="L107" s="164" t="str">
        <f>VLOOKUP(A107,'Trips&amp;Operators'!$C$1:$G$99911,5,FALSE)</f>
        <v>GUZMAN DANNY</v>
      </c>
      <c r="M107" s="6">
        <f t="shared" si="40"/>
        <v>2.4918981485825498E-2</v>
      </c>
      <c r="N107" s="7">
        <f t="shared" si="51"/>
        <v>35.883333339588717</v>
      </c>
      <c r="O107" s="7"/>
      <c r="P107" s="7"/>
      <c r="Q107" s="22"/>
      <c r="R107" s="157"/>
      <c r="S107" s="215">
        <f t="shared" si="52"/>
        <v>1</v>
      </c>
      <c r="T107" s="216" t="str">
        <f t="shared" si="41"/>
        <v>NorthBound</v>
      </c>
      <c r="U107" s="216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7" t="str">
        <f t="shared" si="42"/>
        <v>https://d0f6bd738d7f1b3e5a7ca70fe4ff75f0.us-east-1.aws.found.io/app/kibana#/discover/Steve-Slow-Train-Analysis-(2080s-and-2083s)?_g=(refreshInterval:(display:Off,pause:!f,section:0,value:0),time:(from:'2017-10-29T14:09:36-0600',mode:absolute,to:'2017-10-29T16:51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07" s="218" t="str">
        <f>IF(AA107&lt;VLOOKUP(AG107,Variables!$AC$3:$AD$8,2,FALSE),"Y","N")</f>
        <v>N</v>
      </c>
      <c r="X107" s="218">
        <f t="shared" si="53"/>
        <v>1</v>
      </c>
      <c r="Y107" s="218">
        <f t="shared" si="43"/>
        <v>5.3699999999999998E-2</v>
      </c>
      <c r="Z107" s="218">
        <f t="shared" si="44"/>
        <v>23.3186</v>
      </c>
      <c r="AA107" s="218">
        <f t="shared" si="45"/>
        <v>23.264900000000001</v>
      </c>
      <c r="AB107" s="219" t="e">
        <f>VLOOKUP(A107,Enforcements!$C$7:$K$11,8,0)</f>
        <v>#N/A</v>
      </c>
      <c r="AC107" s="219" t="e">
        <f>VLOOKUP(A107,Enforcements!$C$7:$E$11,3,0)</f>
        <v>#N/A</v>
      </c>
      <c r="AD107" s="186">
        <f t="shared" si="46"/>
        <v>193</v>
      </c>
      <c r="AE107" s="220" t="str">
        <f t="shared" si="47"/>
        <v>aws s3 cp s3://rtdc.mdm.uploadarchive.raw/RTDC4006/ "%USERPROFILE%\AppData\Local\Temp\OnboardLogs"\RTDC4006\2017-10-29 --exclude "*" --recursive --include "*20171029*" &amp; "%USERPROFILE%\Documents\GitHub\mrs-test-scripts\Headless Mode &amp; Sideloading\WalkAndUnGZ.bat" "%USERPROFILE%\AppData\Local\Temp\OnboardLogs"\RTDC4006\2017-10-29 &amp; aws s3 cp s3://rtdc.mdm.uploadarchive.raw/RTDC4006/ "%USERPROFILE%\AppData\Local\Temp\OnboardLogs"\RTDC4006\2017-10-30 --exclude "*" --recursive --include "*20171030*" &amp; "%USERPROFILE%\Documents\GitHub\mrs-test-scripts\Headless Mode &amp; Sideloading\WalkAndUnGZ.bat" "%USERPROFILE%\AppData\Local\Temp\OnboardLogs"\RTDC4006\2017-10-30</v>
      </c>
      <c r="AF107" s="221" t="str">
        <f t="shared" si="48"/>
        <v>"C:\Program Files (x86)\AstroGrep\AstroGrep.exe" /e /r /s /spath="%USERPROFILE%\AppData\Local\Temp\OnboardLogs" /stypes="app*4006*20171029*" /stext=" 21:.+((SYSTEM_STATE.+slice.+state.+changed )|(ment ac)|(multiple cpu faults)|(system.+state.+changed )|(\[timeout)|(PRM\|1\|D)|(kpr)|(kdp)|(train st.+moving)|(\|lc)|(penalty))"</v>
      </c>
      <c r="AG107" s="185" t="str">
        <f t="shared" si="49"/>
        <v>EC</v>
      </c>
      <c r="AH107" s="222" t="str">
        <f t="shared" si="34"/>
        <v>"%USERPROFILE%\Documents\GitHub\eaglep3\Utilities\RefineRTDCRunTimes.py" --tripid 193-29 --locoid 4006 --swversion DE.1.0.9.0 --startMP 204:537 --initTime 2017-10-29T15:09:36 --startdatetime 2017-10-29T15:15:13 --delay 52 --endMP 204:233186 --enddatetime 2017-10-29T15:51:06 --enforcementcount 0 &gt;&gt;%USERPROFILE%\Documents\GitHub\eaglep3-reporting\EC\2017-10-29-refined-times.txt</v>
      </c>
      <c r="AI107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{"issue":{"subject":"","project_id":79,"tracker_id":40,"status_id":1,"priority_id":2,"assigned_to_id":338,"start_date":"2017-10-29","description":"","custom_fields":[{"id":1,"name":"Subdivision","value":"EC"},{"id":4,"name":"Milepost","value":"23.3186"},{"id":17,"name":"Train ID","value":"193-29"},{"id":16,"name":"Locomotive ID","value":"4006"},{"id":130,"name":"Impact","value":""},{"id":150,"name":"Time of Event (Mountain Time)","value":"15:51:06"},{"id":151,"name":"Denver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182"/>
      <c r="AK107" s="186"/>
      <c r="AL107" s="186"/>
      <c r="AM107" s="187" t="str">
        <f t="shared" si="36"/>
        <v>start /low /b %USERPROFILE%\Documents\GitHub\eaglep3\Utilities\DownloadLogsFromS3.py --loco 4006 --day 2017-10-29</v>
      </c>
      <c r="AN107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21:51:06"},{"id":29,"name":"Sharepoint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82" t="str">
        <f t="shared" si="38"/>
        <v>https://d0f6bd738d7f1b3e5a7ca70fe4ff75f0.us-east-1.aws.found.io/app/kibana#/discover/Steve-Slow-Train-Analysis-(2080s-and-2083s)?_g=(refreshInterval:(display:Off,pause:!f,section:0,value:0),time:(from:'2017-10-29T14:09:36-0600',mode:absolute,to:'2017-10-29T16:51:06-0600'))&amp;_a=(columns:!('Message%20ID',Summary),filters:!(),index:'emp_*',interval:auto,query:(query_string:(analyze_wildcard:!t,query:'%22rtdc.l.rtdc.4006%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32" t="s">
        <v>800</v>
      </c>
      <c r="B108" s="7">
        <v>4005</v>
      </c>
      <c r="C108" s="21" t="s">
        <v>194</v>
      </c>
      <c r="D108" s="21" t="s">
        <v>531</v>
      </c>
      <c r="E108" s="13">
        <v>43037.662314814814</v>
      </c>
      <c r="F108" s="13">
        <v>43037.675173611111</v>
      </c>
      <c r="G108" s="7">
        <v>47</v>
      </c>
      <c r="H108" s="21" t="s">
        <v>597</v>
      </c>
      <c r="I108" s="13">
        <v>43037.700636574074</v>
      </c>
      <c r="J108" s="7">
        <v>0</v>
      </c>
      <c r="K108" s="76" t="str">
        <f t="shared" si="39"/>
        <v>4005/4006</v>
      </c>
      <c r="L108" s="164" t="str">
        <f>VLOOKUP(A108,'Trips&amp;Operators'!$C$1:$G$99911,5,FALSE)</f>
        <v>GUZMAN DANNY</v>
      </c>
      <c r="M108" s="6">
        <f t="shared" si="40"/>
        <v>2.5462962963501923E-2</v>
      </c>
      <c r="N108" s="7">
        <f t="shared" si="51"/>
        <v>36.666666667442769</v>
      </c>
      <c r="O108" s="7"/>
      <c r="P108" s="7"/>
      <c r="Q108" s="22"/>
      <c r="R108" s="157"/>
      <c r="S108" s="215">
        <f t="shared" si="52"/>
        <v>1</v>
      </c>
      <c r="T108" s="216" t="str">
        <f t="shared" si="41"/>
        <v>Southbound</v>
      </c>
      <c r="U108" s="216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7" t="str">
        <f t="shared" si="42"/>
        <v>https://d0f6bd738d7f1b3e5a7ca70fe4ff75f0.us-east-1.aws.found.io/app/kibana#/discover/Steve-Slow-Train-Analysis-(2080s-and-2083s)?_g=(refreshInterval:(display:Off,pause:!f,section:0,value:0),time:(from:'2017-10-29T14:53:44-0600',mode:absolute,to:'2017-10-29T17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08" s="218" t="str">
        <f>IF(AA108&lt;VLOOKUP(AG108,Variables!$AC$3:$AD$8,2,FALSE),"Y","N")</f>
        <v>N</v>
      </c>
      <c r="X108" s="218">
        <f t="shared" si="53"/>
        <v>1</v>
      </c>
      <c r="Y108" s="218">
        <f t="shared" si="43"/>
        <v>23.2881</v>
      </c>
      <c r="Z108" s="218">
        <f t="shared" si="44"/>
        <v>1.9800000000000002E-2</v>
      </c>
      <c r="AA108" s="218">
        <f t="shared" si="45"/>
        <v>23.2683</v>
      </c>
      <c r="AB108" s="219" t="e">
        <f>VLOOKUP(A108,Enforcements!$C$7:$K$11,8,0)</f>
        <v>#N/A</v>
      </c>
      <c r="AC108" s="219" t="e">
        <f>VLOOKUP(A108,Enforcements!$C$7:$E$11,3,0)</f>
        <v>#N/A</v>
      </c>
      <c r="AD108" s="186">
        <f t="shared" si="46"/>
        <v>194</v>
      </c>
      <c r="AE108" s="220" t="str">
        <f t="shared" si="47"/>
        <v>aws s3 cp s3://rtdc.mdm.uploadarchive.raw/RTDC4005/ "%USERPROFILE%\AppData\Local\Temp\OnboardLogs"\RTDC4005\2017-10-29 --exclude "*" --recursive --include "*20171029*" &amp; "%USERPROFILE%\Documents\GitHub\mrs-test-scripts\Headless Mode &amp; Sideloading\WalkAndUnGZ.bat" "%USERPROFILE%\AppData\Local\Temp\OnboardLogs"\RTDC4005\2017-10-29 &amp; aws s3 cp s3://rtdc.mdm.uploadarchive.raw/RTDC4005/ "%USERPROFILE%\AppData\Local\Temp\OnboardLogs"\RTDC4005\2017-10-30 --exclude "*" --recursive --include "*20171030*" &amp; "%USERPROFILE%\Documents\GitHub\mrs-test-scripts\Headless Mode &amp; Sideloading\WalkAndUnGZ.bat" "%USERPROFILE%\AppData\Local\Temp\OnboardLogs"\RTDC4005\2017-10-30</v>
      </c>
      <c r="AF108" s="221" t="str">
        <f t="shared" si="48"/>
        <v>"C:\Program Files (x86)\AstroGrep\AstroGrep.exe" /e /r /s /spath="%USERPROFILE%\AppData\Local\Temp\OnboardLogs" /stypes="app*4005*20171029*" /stext=" 22:.+((SYSTEM_STATE.+slice.+state.+changed )|(ment ac)|(multiple cpu faults)|(system.+state.+changed )|(\[timeout)|(PRM\|1\|D)|(kpr)|(kdp)|(train st.+moving)|(\|lc)|(penalty))"</v>
      </c>
      <c r="AG108" s="185" t="str">
        <f t="shared" si="49"/>
        <v>EC</v>
      </c>
      <c r="AH108" s="222" t="str">
        <f t="shared" si="34"/>
        <v>"%USERPROFILE%\Documents\GitHub\eaglep3\Utilities\RefineRTDCRunTimes.py" --tripid 194-29 --locoid 4005 --swversion DE.1.0.9.0 --startMP 204:232881 --initTime 2017-10-29T15:53:44 --startdatetime 2017-10-29T16:12:15 --delay 47 --endMP 204:198 --enddatetime 2017-10-29T16:48:55 --enforcementcount 0 &gt;&gt;%USERPROFILE%\Documents\GitHub\eaglep3-reporting\EC\2017-10-29-refined-times.txt</v>
      </c>
      <c r="AI108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{"issue":{"subject":"","project_id":79,"tracker_id":40,"status_id":1,"priority_id":2,"assigned_to_id":338,"start_date":"2017-10-29","description":"","custom_fields":[{"id":1,"name":"Subdivision","value":"EC"},{"id":4,"name":"Milepost","value":"0.0198"},{"id":17,"name":"Train ID","value":"194-29"},{"id":16,"name":"Locomotive ID","value":"4005"},{"id":130,"name":"Impact","value":""},{"id":150,"name":"Time of Event (Mountain Time)","value":"16:48:55"},{"id":151,"name":"Denver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182"/>
      <c r="AK108" s="186"/>
      <c r="AL108" s="186"/>
      <c r="AM108" s="187" t="str">
        <f t="shared" si="36"/>
        <v>start /low /b %USERPROFILE%\Documents\GitHub\eaglep3\Utilities\DownloadLogsFromS3.py --loco 4005 --day 2017-10-29</v>
      </c>
      <c r="AN108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22:48:55"},{"id":29,"name":"Sharepoint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82" t="str">
        <f t="shared" si="38"/>
        <v>https://d0f6bd738d7f1b3e5a7ca70fe4ff75f0.us-east-1.aws.found.io/app/kibana#/discover/Steve-Slow-Train-Analysis-(2080s-and-2083s)?_g=(refreshInterval:(display:Off,pause:!f,section:0,value:0),time:(from:'2017-10-29T14:53:44-0600',mode:absolute,to:'2017-10-29T17:48:55-0600'))&amp;_a=(columns:!('Message%20ID',Summary),filters:!(),index:'emp_*',interval:auto,query:(query_string:(analyze_wildcard:!t,query:'%22rtdc.l.rtdc.4005%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32" t="s">
        <v>796</v>
      </c>
      <c r="B109" s="7">
        <v>4062</v>
      </c>
      <c r="C109" s="21" t="s">
        <v>194</v>
      </c>
      <c r="D109" s="21" t="s">
        <v>1010</v>
      </c>
      <c r="E109" s="13">
        <v>43037.642361111109</v>
      </c>
      <c r="F109" s="13">
        <v>43037.646064814813</v>
      </c>
      <c r="G109" s="7">
        <v>76</v>
      </c>
      <c r="H109" s="21" t="s">
        <v>1011</v>
      </c>
      <c r="I109" s="13">
        <v>43037.671168981484</v>
      </c>
      <c r="J109" s="7">
        <v>0</v>
      </c>
      <c r="K109" s="76" t="str">
        <f t="shared" si="39"/>
        <v>4061/4062</v>
      </c>
      <c r="L109" s="164" t="str">
        <f>VLOOKUP(A109,'Trips&amp;Operators'!$C$1:$G$99911,5,FALSE)</f>
        <v>BADERTSCHER DIANE</v>
      </c>
      <c r="M109" s="6">
        <f t="shared" si="40"/>
        <v>2.510416667064419E-2</v>
      </c>
      <c r="N109" s="7">
        <f t="shared" si="51"/>
        <v>36.150000005727634</v>
      </c>
      <c r="O109" s="7"/>
      <c r="P109" s="7"/>
      <c r="Q109" s="22"/>
      <c r="R109" s="157"/>
      <c r="S109" s="215">
        <f t="shared" si="52"/>
        <v>1</v>
      </c>
      <c r="T109" s="216" t="str">
        <f t="shared" si="41"/>
        <v>NorthBound</v>
      </c>
      <c r="U109" s="216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7" t="str">
        <f t="shared" si="42"/>
        <v>https://d0f6bd738d7f1b3e5a7ca70fe4ff75f0.us-east-1.aws.found.io/app/kibana#/discover/Steve-Slow-Train-Analysis-(2080s-and-2083s)?_g=(refreshInterval:(display:Off,pause:!f,section:0,value:0),time:(from:'2017-10-29T14:25:00-0600',mode:absolute,to:'2017-10-29T17:06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9" s="218" t="str">
        <f>IF(AA109&lt;VLOOKUP(AG109,Variables!$AC$3:$AD$8,2,FALSE),"Y","N")</f>
        <v>N</v>
      </c>
      <c r="X109" s="218">
        <f t="shared" si="53"/>
        <v>1</v>
      </c>
      <c r="Y109" s="218">
        <f t="shared" ref="Y109:Y128" si="54">RIGHT(D109,LEN(D109)-4)/10000</f>
        <v>5.3699999999999998E-2</v>
      </c>
      <c r="Z109" s="218">
        <f t="shared" ref="Z109:Z128" si="55">RIGHT(H109,LEN(H109)-4)/10000</f>
        <v>23.322500000000002</v>
      </c>
      <c r="AA109" s="218">
        <f t="shared" si="45"/>
        <v>23.268800000000002</v>
      </c>
      <c r="AB109" s="219" t="e">
        <f>VLOOKUP(A109,Enforcements!$C$7:$K$11,8,0)</f>
        <v>#N/A</v>
      </c>
      <c r="AC109" s="219" t="e">
        <f>VLOOKUP(A109,Enforcements!$C$7:$E$11,3,0)</f>
        <v>#N/A</v>
      </c>
      <c r="AD109" s="186">
        <f t="shared" si="46"/>
        <v>195</v>
      </c>
      <c r="AE109" s="220" t="str">
        <f t="shared" si="47"/>
        <v>aws s3 cp s3://rtdc.mdm.uploadarchive.raw/RTDC4062/ "%USERPROFILE%\AppData\Local\Temp\OnboardLogs"\RTDC4062\2017-10-29 --exclude "*" --recursive --include "*20171029*" &amp; "%USERPROFILE%\Documents\GitHub\mrs-test-scripts\Headless Mode &amp; Sideloading\WalkAndUnGZ.bat" "%USERPROFILE%\AppData\Local\Temp\OnboardLogs"\RTDC4062\2017-10-29 &amp; aws s3 cp s3://rtdc.mdm.uploadarchive.raw/RTDC4062/ "%USERPROFILE%\AppData\Local\Temp\OnboardLogs"\RTDC4062\2017-10-30 --exclude "*" --recursive --include "*20171030*" &amp; "%USERPROFILE%\Documents\GitHub\mrs-test-scripts\Headless Mode &amp; Sideloading\WalkAndUnGZ.bat" "%USERPROFILE%\AppData\Local\Temp\OnboardLogs"\RTDC4062\2017-10-30</v>
      </c>
      <c r="AF109" s="221" t="str">
        <f t="shared" si="48"/>
        <v>"C:\Program Files (x86)\AstroGrep\AstroGrep.exe" /e /r /s /spath="%USERPROFILE%\AppData\Local\Temp\OnboardLogs" /stypes="app*4062*20171029*" /stext=" 22:.+((SYSTEM_STATE.+slice.+state.+changed )|(ment ac)|(multiple cpu faults)|(system.+state.+changed )|(\[timeout)|(PRM\|1\|D)|(kpr)|(kdp)|(train st.+moving)|(\|lc)|(penalty))"</v>
      </c>
      <c r="AG109" s="185" t="str">
        <f t="shared" si="49"/>
        <v>EC</v>
      </c>
      <c r="AH109" s="222" t="str">
        <f t="shared" si="34"/>
        <v>"%USERPROFILE%\Documents\GitHub\eaglep3\Utilities\RefineRTDCRunTimes.py" --tripid 195-29 --locoid 4062 --swversion DE.1.0.9.0 --startMP 204:537 --initTime 2017-10-29T15:25:00 --startdatetime 2017-10-29T15:30:20 --delay 76 --endMP 204:233225 --enddatetime 2017-10-29T16:06:29 --enforcementcount 0 &gt;&gt;%USERPROFILE%\Documents\GitHub\eaglep3-reporting\EC\2017-10-29-refined-times.txt</v>
      </c>
      <c r="AI109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{"issue":{"subject":"","project_id":79,"tracker_id":40,"status_id":1,"priority_id":2,"assigned_to_id":338,"start_date":"2017-10-29","description":"","custom_fields":[{"id":1,"name":"Subdivision","value":"EC"},{"id":4,"name":"Milepost","value":"23.3225"},{"id":17,"name":"Train ID","value":"195-29"},{"id":16,"name":"Locomotive ID","value":"4062"},{"id":130,"name":"Impact","value":""},{"id":150,"name":"Time of Event (Mountain Time)","value":"16:06:29"},{"id":151,"name":"Denver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182"/>
      <c r="AK109" s="186"/>
      <c r="AL109" s="186"/>
      <c r="AM109" s="187" t="str">
        <f t="shared" si="36"/>
        <v>start /low /b %USERPROFILE%\Documents\GitHub\eaglep3\Utilities\DownloadLogsFromS3.py --loco 4062 --day 2017-10-29</v>
      </c>
      <c r="AN109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22:06:29"},{"id":29,"name":"Sharepoint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82" t="str">
        <f t="shared" si="38"/>
        <v>https://d0f6bd738d7f1b3e5a7ca70fe4ff75f0.us-east-1.aws.found.io/app/kibana#/discover/Steve-Slow-Train-Analysis-(2080s-and-2083s)?_g=(refreshInterval:(display:Off,pause:!f,section:0,value:0),time:(from:'2017-10-29T14:25:00-0600',mode:absolute,to:'2017-10-29T17:06:29-0600'))&amp;_a=(columns:!('Message%20ID',Summary),filters:!(),index:'emp_*',interval:auto,query:(query_string:(analyze_wildcard:!t,query:'%22rtdc.l.rtdc.4062%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32" t="s">
        <v>803</v>
      </c>
      <c r="B110" s="7">
        <v>4061</v>
      </c>
      <c r="C110" s="21" t="s">
        <v>194</v>
      </c>
      <c r="D110" s="21" t="s">
        <v>614</v>
      </c>
      <c r="E110" s="13">
        <v>43037.678888888891</v>
      </c>
      <c r="F110" s="13">
        <v>43037.685601851852</v>
      </c>
      <c r="G110" s="7">
        <v>58</v>
      </c>
      <c r="H110" s="21" t="s">
        <v>905</v>
      </c>
      <c r="I110" s="13">
        <v>43037.713148148148</v>
      </c>
      <c r="J110" s="7">
        <v>0</v>
      </c>
      <c r="K110" s="76" t="str">
        <f t="shared" si="39"/>
        <v>4061/4062</v>
      </c>
      <c r="L110" s="164" t="str">
        <f>VLOOKUP(A110,'Trips&amp;Operators'!$C$1:$G$99911,5,FALSE)</f>
        <v>BADERTSCHER DIANE</v>
      </c>
      <c r="M110" s="6">
        <f t="shared" si="40"/>
        <v>2.7546296296350192E-2</v>
      </c>
      <c r="N110" s="7">
        <f t="shared" si="51"/>
        <v>39.666666666744277</v>
      </c>
      <c r="O110" s="7"/>
      <c r="P110" s="7"/>
      <c r="Q110" s="22"/>
      <c r="R110" s="157"/>
      <c r="S110" s="215">
        <f t="shared" si="52"/>
        <v>1</v>
      </c>
      <c r="T110" s="216" t="str">
        <f t="shared" si="41"/>
        <v>Southbound</v>
      </c>
      <c r="U110" s="216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7" t="str">
        <f t="shared" si="42"/>
        <v>https://d0f6bd738d7f1b3e5a7ca70fe4ff75f0.us-east-1.aws.found.io/app/kibana#/discover/Steve-Slow-Train-Analysis-(2080s-and-2083s)?_g=(refreshInterval:(display:Off,pause:!f,section:0,value:0),time:(from:'2017-10-29T15:17:36-0600',mode:absolute,to:'2017-10-29T18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10" s="218" t="str">
        <f>IF(AA110&lt;VLOOKUP(AG110,Variables!$AC$3:$AD$8,2,FALSE),"Y","N")</f>
        <v>N</v>
      </c>
      <c r="X110" s="218">
        <f t="shared" si="53"/>
        <v>1</v>
      </c>
      <c r="Y110" s="218">
        <f t="shared" si="54"/>
        <v>23.290900000000001</v>
      </c>
      <c r="Z110" s="218">
        <f t="shared" si="55"/>
        <v>1.78E-2</v>
      </c>
      <c r="AA110" s="218">
        <f t="shared" si="45"/>
        <v>23.273099999999999</v>
      </c>
      <c r="AB110" s="219" t="e">
        <f>VLOOKUP(A110,Enforcements!$C$7:$K$11,8,0)</f>
        <v>#N/A</v>
      </c>
      <c r="AC110" s="219" t="e">
        <f>VLOOKUP(A110,Enforcements!$C$7:$E$11,3,0)</f>
        <v>#N/A</v>
      </c>
      <c r="AD110" s="186">
        <f t="shared" si="46"/>
        <v>196</v>
      </c>
      <c r="AE110" s="220" t="str">
        <f t="shared" si="47"/>
        <v>aws s3 cp s3://rtdc.mdm.uploadarchive.raw/RTDC4061/ "%USERPROFILE%\AppData\Local\Temp\OnboardLogs"\RTDC4061\2017-10-29 --exclude "*" --recursive --include "*20171029*" &amp; "%USERPROFILE%\Documents\GitHub\mrs-test-scripts\Headless Mode &amp; Sideloading\WalkAndUnGZ.bat" "%USERPROFILE%\AppData\Local\Temp\OnboardLogs"\RTDC4061\2017-10-29 &amp; aws s3 cp s3://rtdc.mdm.uploadarchive.raw/RTDC4061/ "%USERPROFILE%\AppData\Local\Temp\OnboardLogs"\RTDC4061\2017-10-30 --exclude "*" --recursive --include "*20171030*" &amp; "%USERPROFILE%\Documents\GitHub\mrs-test-scripts\Headless Mode &amp; Sideloading\WalkAndUnGZ.bat" "%USERPROFILE%\AppData\Local\Temp\OnboardLogs"\RTDC4061\2017-10-30</v>
      </c>
      <c r="AF110" s="221" t="str">
        <f t="shared" si="48"/>
        <v>"C:\Program Files (x86)\AstroGrep\AstroGrep.exe" /e /r /s /spath="%USERPROFILE%\AppData\Local\Temp\OnboardLogs" /stypes="app*4061*20171029*" /stext=" 23:.+((SYSTEM_STATE.+slice.+state.+changed )|(ment ac)|(multiple cpu faults)|(system.+state.+changed )|(\[timeout)|(PRM\|1\|D)|(kpr)|(kdp)|(train st.+moving)|(\|lc)|(penalty))"</v>
      </c>
      <c r="AG110" s="185" t="str">
        <f t="shared" si="49"/>
        <v>EC</v>
      </c>
      <c r="AH110" s="222" t="str">
        <f t="shared" si="34"/>
        <v>"%USERPROFILE%\Documents\GitHub\eaglep3\Utilities\RefineRTDCRunTimes.py" --tripid 196-29 --locoid 4061 --swversion DE.1.0.9.0 --startMP 204:232909 --initTime 2017-10-29T16:17:36 --startdatetime 2017-10-29T16:27:16 --delay 58 --endMP 204:178 --enddatetime 2017-10-29T17:06:56 --enforcementcount 0 &gt;&gt;%USERPROFILE%\Documents\GitHub\eaglep3-reporting\EC\2017-10-29-refined-times.txt</v>
      </c>
      <c r="AI110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{"issue":{"subject":"","project_id":79,"tracker_id":40,"status_id":1,"priority_id":2,"assigned_to_id":338,"start_date":"2017-10-29","description":"","custom_fields":[{"id":1,"name":"Subdivision","value":"EC"},{"id":4,"name":"Milepost","value":"0.0178"},{"id":17,"name":"Train ID","value":"196-29"},{"id":16,"name":"Locomotive ID","value":"4061"},{"id":130,"name":"Impact","value":""},{"id":150,"name":"Time of Event (Mountain Time)","value":"17:06:56"},{"id":151,"name":"Denver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182"/>
      <c r="AK110" s="186"/>
      <c r="AL110" s="186"/>
      <c r="AM110" s="187" t="str">
        <f t="shared" si="36"/>
        <v>start /low /b %USERPROFILE%\Documents\GitHub\eaglep3\Utilities\DownloadLogsFromS3.py --loco 4061 --day 2017-10-29</v>
      </c>
      <c r="AN110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23:06:56"},{"id":29,"name":"Sharepoint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82" t="str">
        <f t="shared" si="38"/>
        <v>https://d0f6bd738d7f1b3e5a7ca70fe4ff75f0.us-east-1.aws.found.io/app/kibana#/discover/Steve-Slow-Train-Analysis-(2080s-and-2083s)?_g=(refreshInterval:(display:Off,pause:!f,section:0,value:0),time:(from:'2017-10-29T15:17:36-0600',mode:absolute,to:'2017-10-29T18:06:56-0600'))&amp;_a=(columns:!('Message%20ID',Summary),filters:!(),index:'emp_*',interval:auto,query:(query_string:(analyze_wildcard:!t,query:'%22rtdc.l.rtdc.4061%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32" t="s">
        <v>798</v>
      </c>
      <c r="B111" s="7">
        <v>4046</v>
      </c>
      <c r="C111" s="21" t="s">
        <v>194</v>
      </c>
      <c r="D111" s="21" t="s">
        <v>587</v>
      </c>
      <c r="E111" s="13">
        <v>43037.651967592596</v>
      </c>
      <c r="F111" s="13">
        <v>43037.656736111108</v>
      </c>
      <c r="G111" s="7">
        <v>158</v>
      </c>
      <c r="H111" s="21" t="s">
        <v>1012</v>
      </c>
      <c r="I111" s="13">
        <v>43037.681875000002</v>
      </c>
      <c r="J111" s="7">
        <v>0</v>
      </c>
      <c r="K111" s="76" t="str">
        <f t="shared" si="39"/>
        <v>4045/4046</v>
      </c>
      <c r="L111" s="164" t="str">
        <f>VLOOKUP(A111,'Trips&amp;Operators'!$C$1:$G$99911,5,FALSE)</f>
        <v>BERLING GARY</v>
      </c>
      <c r="M111" s="6">
        <f t="shared" si="40"/>
        <v>2.513888889370719E-2</v>
      </c>
      <c r="N111" s="7">
        <f t="shared" si="51"/>
        <v>36.200000006938353</v>
      </c>
      <c r="O111" s="7"/>
      <c r="P111" s="7"/>
      <c r="Q111" s="22"/>
      <c r="R111" s="157"/>
      <c r="S111" s="215">
        <f t="shared" si="52"/>
        <v>1</v>
      </c>
      <c r="T111" s="216" t="str">
        <f t="shared" si="41"/>
        <v>NorthBound</v>
      </c>
      <c r="U111" s="216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7" t="str">
        <f t="shared" si="42"/>
        <v>https://d0f6bd738d7f1b3e5a7ca70fe4ff75f0.us-east-1.aws.found.io/app/kibana#/discover/Steve-Slow-Train-Analysis-(2080s-and-2083s)?_g=(refreshInterval:(display:Off,pause:!f,section:0,value:0),time:(from:'2017-10-29T14:38:50-0600',mode:absolute,to:'2017-10-29T17:21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1" s="218" t="str">
        <f>IF(AA111&lt;VLOOKUP(AG111,Variables!$AC$3:$AD$8,2,FALSE),"Y","N")</f>
        <v>N</v>
      </c>
      <c r="X111" s="218">
        <f t="shared" si="53"/>
        <v>1</v>
      </c>
      <c r="Y111" s="218">
        <f t="shared" si="54"/>
        <v>6.5000000000000002E-2</v>
      </c>
      <c r="Z111" s="218">
        <f t="shared" si="55"/>
        <v>23.321100000000001</v>
      </c>
      <c r="AA111" s="218">
        <f t="shared" si="45"/>
        <v>23.2561</v>
      </c>
      <c r="AB111" s="219" t="e">
        <f>VLOOKUP(A111,Enforcements!$C$7:$K$11,8,0)</f>
        <v>#N/A</v>
      </c>
      <c r="AC111" s="219" t="e">
        <f>VLOOKUP(A111,Enforcements!$C$7:$E$11,3,0)</f>
        <v>#N/A</v>
      </c>
      <c r="AD111" s="186">
        <f t="shared" si="46"/>
        <v>197</v>
      </c>
      <c r="AE111" s="220" t="str">
        <f t="shared" si="47"/>
        <v>aws s3 cp s3://rtdc.mdm.uploadarchive.raw/RTDC4046/ "%USERPROFILE%\AppData\Local\Temp\OnboardLogs"\RTDC4046\2017-10-29 --exclude "*" --recursive --include "*20171029*" &amp; "%USERPROFILE%\Documents\GitHub\mrs-test-scripts\Headless Mode &amp; Sideloading\WalkAndUnGZ.bat" "%USERPROFILE%\AppData\Local\Temp\OnboardLogs"\RTDC4046\2017-10-29 &amp; aws s3 cp s3://rtdc.mdm.uploadarchive.raw/RTDC4046/ "%USERPROFILE%\AppData\Local\Temp\OnboardLogs"\RTDC4046\2017-10-30 --exclude "*" --recursive --include "*20171030*" &amp; "%USERPROFILE%\Documents\GitHub\mrs-test-scripts\Headless Mode &amp; Sideloading\WalkAndUnGZ.bat" "%USERPROFILE%\AppData\Local\Temp\OnboardLogs"\RTDC4046\2017-10-30</v>
      </c>
      <c r="AF111" s="221" t="str">
        <f t="shared" si="48"/>
        <v>"C:\Program Files (x86)\AstroGrep\AstroGrep.exe" /e /r /s /spath="%USERPROFILE%\AppData\Local\Temp\OnboardLogs" /stypes="app*4046*20171029*" /stext=" 22:.+((SYSTEM_STATE.+slice.+state.+changed )|(ment ac)|(multiple cpu faults)|(system.+state.+changed )|(\[timeout)|(PRM\|1\|D)|(kpr)|(kdp)|(train st.+moving)|(\|lc)|(penalty))"</v>
      </c>
      <c r="AG111" s="185" t="str">
        <f t="shared" si="49"/>
        <v>EC</v>
      </c>
      <c r="AH111" s="222" t="str">
        <f t="shared" si="34"/>
        <v>"%USERPROFILE%\Documents\GitHub\eaglep3\Utilities\RefineRTDCRunTimes.py" --tripid 197-29 --locoid 4046 --swversion DE.1.0.9.0 --startMP 204:650 --initTime 2017-10-29T15:38:50 --startdatetime 2017-10-29T15:45:42 --delay 158 --endMP 204:233211 --enddatetime 2017-10-29T16:21:54 --enforcementcount 0 &gt;&gt;%USERPROFILE%\Documents\GitHub\eaglep3-reporting\EC\2017-10-29-refined-times.txt</v>
      </c>
      <c r="AI111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{"issue":{"subject":"","project_id":79,"tracker_id":40,"status_id":1,"priority_id":2,"assigned_to_id":338,"start_date":"2017-10-29","description":"","custom_fields":[{"id":1,"name":"Subdivision","value":"EC"},{"id":4,"name":"Milepost","value":"23.3211"},{"id":17,"name":"Train ID","value":"197-29"},{"id":16,"name":"Locomotive ID","value":"4046"},{"id":130,"name":"Impact","value":""},{"id":150,"name":"Time of Event (Mountain Time)","value":"16:21:54"},{"id":151,"name":"Denver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182"/>
      <c r="AK111" s="186"/>
      <c r="AL111" s="186"/>
      <c r="AM111" s="187" t="str">
        <f t="shared" si="36"/>
        <v>start /low /b %USERPROFILE%\Documents\GitHub\eaglep3\Utilities\DownloadLogsFromS3.py --loco 4046 --day 2017-10-29</v>
      </c>
      <c r="AN111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22:21:54"},{"id":29,"name":"Sharepoint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82" t="str">
        <f t="shared" si="38"/>
        <v>https://d0f6bd738d7f1b3e5a7ca70fe4ff75f0.us-east-1.aws.found.io/app/kibana#/discover/Steve-Slow-Train-Analysis-(2080s-and-2083s)?_g=(refreshInterval:(display:Off,pause:!f,section:0,value:0),time:(from:'2017-10-29T14:38:50-0600',mode:absolute,to:'2017-10-29T17:21:54-0600'))&amp;_a=(columns:!('Message%20ID',Summary),filters:!(),index:'emp_*',interval:auto,query:(query_string:(analyze_wildcard:!t,query:'%22rtdc.l.rtdc.4046%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32" t="s">
        <v>806</v>
      </c>
      <c r="B112" s="7">
        <v>4045</v>
      </c>
      <c r="C112" s="21" t="s">
        <v>194</v>
      </c>
      <c r="D112" s="21" t="s">
        <v>601</v>
      </c>
      <c r="E112" s="13">
        <v>43037.690162037034</v>
      </c>
      <c r="F112" s="13">
        <v>43037.696018518516</v>
      </c>
      <c r="G112" s="7">
        <v>76</v>
      </c>
      <c r="H112" s="21" t="s">
        <v>586</v>
      </c>
      <c r="I112" s="13">
        <v>43037.722627314812</v>
      </c>
      <c r="J112" s="7">
        <v>0</v>
      </c>
      <c r="K112" s="76" t="str">
        <f t="shared" si="39"/>
        <v>4045/4046</v>
      </c>
      <c r="L112" s="164" t="str">
        <f>VLOOKUP(A112,'Trips&amp;Operators'!$C$1:$G$99911,5,FALSE)</f>
        <v>BERLING GARY</v>
      </c>
      <c r="M112" s="6">
        <f t="shared" si="40"/>
        <v>2.6608796295477077E-2</v>
      </c>
      <c r="N112" s="7">
        <f t="shared" si="51"/>
        <v>38.316666665486991</v>
      </c>
      <c r="O112" s="7"/>
      <c r="P112" s="7"/>
      <c r="Q112" s="22"/>
      <c r="R112" s="157"/>
      <c r="S112" s="215">
        <f t="shared" si="52"/>
        <v>1</v>
      </c>
      <c r="T112" s="216" t="str">
        <f t="shared" si="41"/>
        <v>Southbound</v>
      </c>
      <c r="U112" s="216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7" t="str">
        <f t="shared" si="42"/>
        <v>https://d0f6bd738d7f1b3e5a7ca70fe4ff75f0.us-east-1.aws.found.io/app/kibana#/discover/Steve-Slow-Train-Analysis-(2080s-and-2083s)?_g=(refreshInterval:(display:Off,pause:!f,section:0,value:0),time:(from:'2017-10-29T15:33:50-0600',mode:absolute,to:'2017-10-29T18:20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2" s="218" t="str">
        <f>IF(AA112&lt;VLOOKUP(AG112,Variables!$AC$3:$AD$8,2,FALSE),"Y","N")</f>
        <v>N</v>
      </c>
      <c r="X112" s="218">
        <f t="shared" si="53"/>
        <v>1</v>
      </c>
      <c r="Y112" s="218">
        <f t="shared" si="54"/>
        <v>23.289200000000001</v>
      </c>
      <c r="Z112" s="218">
        <f t="shared" si="55"/>
        <v>3.1099999999999999E-2</v>
      </c>
      <c r="AA112" s="218">
        <f t="shared" si="45"/>
        <v>23.258100000000002</v>
      </c>
      <c r="AB112" s="219" t="e">
        <f>VLOOKUP(A112,Enforcements!$C$7:$K$11,8,0)</f>
        <v>#N/A</v>
      </c>
      <c r="AC112" s="219" t="e">
        <f>VLOOKUP(A112,Enforcements!$C$7:$E$11,3,0)</f>
        <v>#N/A</v>
      </c>
      <c r="AD112" s="186">
        <f t="shared" si="46"/>
        <v>198</v>
      </c>
      <c r="AE112" s="220" t="str">
        <f t="shared" si="47"/>
        <v>aws s3 cp s3://rtdc.mdm.uploadarchive.raw/RTDC4045/ "%USERPROFILE%\AppData\Local\Temp\OnboardLogs"\RTDC4045\2017-10-29 --exclude "*" --recursive --include "*20171029*" &amp; "%USERPROFILE%\Documents\GitHub\mrs-test-scripts\Headless Mode &amp; Sideloading\WalkAndUnGZ.bat" "%USERPROFILE%\AppData\Local\Temp\OnboardLogs"\RTDC4045\2017-10-29 &amp; aws s3 cp s3://rtdc.mdm.uploadarchive.raw/RTDC4045/ "%USERPROFILE%\AppData\Local\Temp\OnboardLogs"\RTDC4045\2017-10-30 --exclude "*" --recursive --include "*20171030*" &amp; "%USERPROFILE%\Documents\GitHub\mrs-test-scripts\Headless Mode &amp; Sideloading\WalkAndUnGZ.bat" "%USERPROFILE%\AppData\Local\Temp\OnboardLogs"\RTDC4045\2017-10-30</v>
      </c>
      <c r="AF112" s="221" t="str">
        <f t="shared" si="48"/>
        <v>"C:\Program Files (x86)\AstroGrep\AstroGrep.exe" /e /r /s /spath="%USERPROFILE%\AppData\Local\Temp\OnboardLogs" /stypes="app*4045*20171029*" /stext=" 23:.+((SYSTEM_STATE.+slice.+state.+changed )|(ment ac)|(multiple cpu faults)|(system.+state.+changed )|(\[timeout)|(PRM\|1\|D)|(kpr)|(kdp)|(train st.+moving)|(\|lc)|(penalty))"</v>
      </c>
      <c r="AG112" s="185" t="str">
        <f t="shared" si="49"/>
        <v>EC</v>
      </c>
      <c r="AH112" s="222" t="str">
        <f t="shared" si="34"/>
        <v>"%USERPROFILE%\Documents\GitHub\eaglep3\Utilities\RefineRTDCRunTimes.py" --tripid 198-29 --locoid 4045 --swversion DE.1.0.9.0 --startMP 204:232892 --initTime 2017-10-29T16:33:50 --startdatetime 2017-10-29T16:42:16 --delay 76 --endMP 204:311 --enddatetime 2017-10-29T17:20:35 --enforcementcount 0 &gt;&gt;%USERPROFILE%\Documents\GitHub\eaglep3-reporting\EC\2017-10-29-refined-times.txt</v>
      </c>
      <c r="AI112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{"issue":{"subject":"","project_id":79,"tracker_id":40,"status_id":1,"priority_id":2,"assigned_to_id":338,"start_date":"2017-10-29","description":"","custom_fields":[{"id":1,"name":"Subdivision","value":"EC"},{"id":4,"name":"Milepost","value":"0.0311"},{"id":17,"name":"Train ID","value":"198-29"},{"id":16,"name":"Locomotive ID","value":"4045"},{"id":130,"name":"Impact","value":""},{"id":150,"name":"Time of Event (Mountain Time)","value":"17:20:35"},{"id":151,"name":"Denver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182"/>
      <c r="AK112" s="186"/>
      <c r="AL112" s="186"/>
      <c r="AM112" s="187" t="str">
        <f t="shared" si="36"/>
        <v>start /low /b %USERPROFILE%\Documents\GitHub\eaglep3\Utilities\DownloadLogsFromS3.py --loco 4045 --day 2017-10-29</v>
      </c>
      <c r="AN112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23:20:35"},{"id":29,"name":"Sharepoint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82" t="str">
        <f t="shared" si="38"/>
        <v>https://d0f6bd738d7f1b3e5a7ca70fe4ff75f0.us-east-1.aws.found.io/app/kibana#/discover/Steve-Slow-Train-Analysis-(2080s-and-2083s)?_g=(refreshInterval:(display:Off,pause:!f,section:0,value:0),time:(from:'2017-10-29T15:33:50-0600',mode:absolute,to:'2017-10-29T18:20:35-0600'))&amp;_a=(columns:!('Message%20ID',Summary),filters:!(),index:'emp_*',interval:auto,query:(query_string:(analyze_wildcard:!t,query:'%22rtdc.l.rtdc.4045%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32" t="s">
        <v>801</v>
      </c>
      <c r="B113" s="7">
        <v>4018</v>
      </c>
      <c r="C113" s="21" t="s">
        <v>194</v>
      </c>
      <c r="D113" s="21" t="s">
        <v>617</v>
      </c>
      <c r="E113" s="13">
        <v>43037.662546296298</v>
      </c>
      <c r="F113" s="13">
        <v>43037.666851851849</v>
      </c>
      <c r="G113" s="7">
        <v>71</v>
      </c>
      <c r="H113" s="21" t="s">
        <v>584</v>
      </c>
      <c r="I113" s="13">
        <v>43037.691782407404</v>
      </c>
      <c r="J113" s="7">
        <v>0</v>
      </c>
      <c r="K113" s="76" t="str">
        <f t="shared" si="39"/>
        <v>4017/4018</v>
      </c>
      <c r="L113" s="164" t="str">
        <f>VLOOKUP(A113,'Trips&amp;Operators'!$C$1:$G$99911,5,FALSE)</f>
        <v>STEWART MICHAEL</v>
      </c>
      <c r="M113" s="6">
        <f t="shared" si="40"/>
        <v>2.4930555555329192E-2</v>
      </c>
      <c r="N113" s="7">
        <f t="shared" si="51"/>
        <v>35.899999999674037</v>
      </c>
      <c r="O113" s="7"/>
      <c r="P113" s="7"/>
      <c r="Q113" s="22"/>
      <c r="R113" s="157"/>
      <c r="S113" s="215">
        <f t="shared" ref="S113:S141" si="56">1/IF(AG113="EC",12,1)*SUM(U113:U113)</f>
        <v>1</v>
      </c>
      <c r="T113" s="216" t="str">
        <f t="shared" si="41"/>
        <v>NorthBound</v>
      </c>
      <c r="U113" s="216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7" t="str">
        <f t="shared" si="42"/>
        <v>https://d0f6bd738d7f1b3e5a7ca70fe4ff75f0.us-east-1.aws.found.io/app/kibana#/discover/Steve-Slow-Train-Analysis-(2080s-and-2083s)?_g=(refreshInterval:(display:Off,pause:!f,section:0,value:0),time:(from:'2017-10-29T14:54:04-0600',mode:absolute,to:'2017-10-29T17:36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3" s="218" t="str">
        <f>IF(AA113&lt;VLOOKUP(AG113,Variables!$AC$3:$AD$8,2,FALSE),"Y","N")</f>
        <v>N</v>
      </c>
      <c r="X113" s="218">
        <f t="shared" si="53"/>
        <v>1</v>
      </c>
      <c r="Y113" s="218">
        <f t="shared" si="54"/>
        <v>5.3499999999999999E-2</v>
      </c>
      <c r="Z113" s="218">
        <f t="shared" si="55"/>
        <v>23.3215</v>
      </c>
      <c r="AA113" s="218">
        <f t="shared" si="45"/>
        <v>23.268000000000001</v>
      </c>
      <c r="AB113" s="219" t="e">
        <f>VLOOKUP(A113,Enforcements!$C$7:$K$11,8,0)</f>
        <v>#N/A</v>
      </c>
      <c r="AC113" s="219" t="e">
        <f>VLOOKUP(A113,Enforcements!$C$7:$E$11,3,0)</f>
        <v>#N/A</v>
      </c>
      <c r="AD113" s="186">
        <f t="shared" si="46"/>
        <v>199</v>
      </c>
      <c r="AE113" s="220" t="str">
        <f t="shared" si="47"/>
        <v>aws s3 cp s3://rtdc.mdm.uploadarchive.raw/RTDC4018/ "%USERPROFILE%\AppData\Local\Temp\OnboardLogs"\RTDC4018\2017-10-29 --exclude "*" --recursive --include "*20171029*" &amp; "%USERPROFILE%\Documents\GitHub\mrs-test-scripts\Headless Mode &amp; Sideloading\WalkAndUnGZ.bat" "%USERPROFILE%\AppData\Local\Temp\OnboardLogs"\RTDC4018\2017-10-29 &amp; aws s3 cp s3://rtdc.mdm.uploadarchive.raw/RTDC4018/ "%USERPROFILE%\AppData\Local\Temp\OnboardLogs"\RTDC4018\2017-10-30 --exclude "*" --recursive --include "*20171030*" &amp; "%USERPROFILE%\Documents\GitHub\mrs-test-scripts\Headless Mode &amp; Sideloading\WalkAndUnGZ.bat" "%USERPROFILE%\AppData\Local\Temp\OnboardLogs"\RTDC4018\2017-10-30</v>
      </c>
      <c r="AF113" s="221" t="str">
        <f t="shared" si="48"/>
        <v>"C:\Program Files (x86)\AstroGrep\AstroGrep.exe" /e /r /s /spath="%USERPROFILE%\AppData\Local\Temp\OnboardLogs" /stypes="app*4018*20171029*" /stext=" 22:.+((SYSTEM_STATE.+slice.+state.+changed )|(ment ac)|(multiple cpu faults)|(system.+state.+changed )|(\[timeout)|(PRM\|1\|D)|(kpr)|(kdp)|(train st.+moving)|(\|lc)|(penalty))"</v>
      </c>
      <c r="AG113" s="185" t="str">
        <f t="shared" si="49"/>
        <v>EC</v>
      </c>
      <c r="AH113" s="222" t="str">
        <f t="shared" si="34"/>
        <v>"%USERPROFILE%\Documents\GitHub\eaglep3\Utilities\RefineRTDCRunTimes.py" --tripid 199-29 --locoid 4018 --swversion DE.1.0.9.0 --startMP 204:535 --initTime 2017-10-29T15:54:04 --startdatetime 2017-10-29T16:00:16 --delay 71 --endMP 204:233215 --enddatetime 2017-10-29T16:36:10 --enforcementcount 0 &gt;&gt;%USERPROFILE%\Documents\GitHub\eaglep3-reporting\EC\2017-10-29-refined-times.txt</v>
      </c>
      <c r="AI113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{"issue":{"subject":"","project_id":79,"tracker_id":40,"status_id":1,"priority_id":2,"assigned_to_id":338,"start_date":"2017-10-29","description":"","custom_fields":[{"id":1,"name":"Subdivision","value":"EC"},{"id":4,"name":"Milepost","value":"23.3215"},{"id":17,"name":"Train ID","value":"199-29"},{"id":16,"name":"Locomotive ID","value":"4018"},{"id":130,"name":"Impact","value":""},{"id":150,"name":"Time of Event (Mountain Time)","value":"16:36:10"},{"id":151,"name":"Denver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182"/>
      <c r="AK113" s="186"/>
      <c r="AL113" s="186"/>
      <c r="AM113" s="187" t="str">
        <f t="shared" si="36"/>
        <v>start /low /b %USERPROFILE%\Documents\GitHub\eaglep3\Utilities\DownloadLogsFromS3.py --loco 4018 --day 2017-10-29</v>
      </c>
      <c r="AN113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22:36:10"},{"id":29,"name":"Sharepoint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82" t="str">
        <f t="shared" si="38"/>
        <v>https://d0f6bd738d7f1b3e5a7ca70fe4ff75f0.us-east-1.aws.found.io/app/kibana#/discover/Steve-Slow-Train-Analysis-(2080s-and-2083s)?_g=(refreshInterval:(display:Off,pause:!f,section:0,value:0),time:(from:'2017-10-29T14:54:04-0600',mode:absolute,to:'2017-10-29T17:36:10-0600'))&amp;_a=(columns:!('Message%20ID',Summary),filters:!(),index:'emp_*',interval:auto,query:(query_string:(analyze_wildcard:!t,query:'%22rtdc.l.rtdc.4018%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32" t="s">
        <v>808</v>
      </c>
      <c r="B114" s="7">
        <v>4017</v>
      </c>
      <c r="C114" s="21" t="s">
        <v>194</v>
      </c>
      <c r="D114" s="21" t="s">
        <v>601</v>
      </c>
      <c r="E114" s="13">
        <v>43037.701516203706</v>
      </c>
      <c r="F114" s="13">
        <v>43037.706504629627</v>
      </c>
      <c r="G114" s="7">
        <v>86</v>
      </c>
      <c r="H114" s="21" t="s">
        <v>1013</v>
      </c>
      <c r="I114" s="13">
        <v>43037.733773148146</v>
      </c>
      <c r="J114" s="7">
        <v>0</v>
      </c>
      <c r="K114" s="76" t="str">
        <f t="shared" si="39"/>
        <v>4017/4018</v>
      </c>
      <c r="L114" s="164" t="str">
        <f>VLOOKUP(A114,'Trips&amp;Operators'!$C$1:$G$99911,5,FALSE)</f>
        <v>STEWART MICHAEL</v>
      </c>
      <c r="M114" s="6">
        <f t="shared" si="40"/>
        <v>2.7268518519122154E-2</v>
      </c>
      <c r="N114" s="7">
        <f t="shared" si="51"/>
        <v>39.266666667535901</v>
      </c>
      <c r="O114" s="7"/>
      <c r="P114" s="7"/>
      <c r="Q114" s="22"/>
      <c r="R114" s="157"/>
      <c r="S114" s="215">
        <f t="shared" si="56"/>
        <v>1</v>
      </c>
      <c r="T114" s="216" t="str">
        <f t="shared" si="41"/>
        <v>Southbound</v>
      </c>
      <c r="U114" s="216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7" t="str">
        <f t="shared" si="42"/>
        <v>https://d0f6bd738d7f1b3e5a7ca70fe4ff75f0.us-east-1.aws.found.io/app/kibana#/discover/Steve-Slow-Train-Analysis-(2080s-and-2083s)?_g=(refreshInterval:(display:Off,pause:!f,section:0,value:0),time:(from:'2017-10-29T15:50:11-0600',mode:absolute,to:'2017-10-29T18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4" s="218" t="str">
        <f>IF(AA114&lt;VLOOKUP(AG114,Variables!$AC$3:$AD$8,2,FALSE),"Y","N")</f>
        <v>N</v>
      </c>
      <c r="X114" s="218">
        <f t="shared" si="53"/>
        <v>1</v>
      </c>
      <c r="Y114" s="218">
        <f t="shared" si="54"/>
        <v>23.289200000000001</v>
      </c>
      <c r="Z114" s="218">
        <f t="shared" si="55"/>
        <v>2.47E-2</v>
      </c>
      <c r="AA114" s="218">
        <f t="shared" si="45"/>
        <v>23.264500000000002</v>
      </c>
      <c r="AB114" s="219" t="e">
        <f>VLOOKUP(A114,Enforcements!$C$7:$K$11,8,0)</f>
        <v>#N/A</v>
      </c>
      <c r="AC114" s="219" t="e">
        <f>VLOOKUP(A114,Enforcements!$C$7:$E$11,3,0)</f>
        <v>#N/A</v>
      </c>
      <c r="AD114" s="186">
        <f t="shared" si="46"/>
        <v>200</v>
      </c>
      <c r="AE114" s="220" t="str">
        <f t="shared" si="47"/>
        <v>aws s3 cp s3://rtdc.mdm.uploadarchive.raw/RTDC4017/ "%USERPROFILE%\AppData\Local\Temp\OnboardLogs"\RTDC4017\2017-10-29 --exclude "*" --recursive --include "*20171029*" &amp; "%USERPROFILE%\Documents\GitHub\mrs-test-scripts\Headless Mode &amp; Sideloading\WalkAndUnGZ.bat" "%USERPROFILE%\AppData\Local\Temp\OnboardLogs"\RTDC4017\2017-10-29 &amp; aws s3 cp s3://rtdc.mdm.uploadarchive.raw/RTDC4017/ "%USERPROFILE%\AppData\Local\Temp\OnboardLogs"\RTDC4017\2017-10-30 --exclude "*" --recursive --include "*20171030*" &amp; "%USERPROFILE%\Documents\GitHub\mrs-test-scripts\Headless Mode &amp; Sideloading\WalkAndUnGZ.bat" "%USERPROFILE%\AppData\Local\Temp\OnboardLogs"\RTDC4017\2017-10-30</v>
      </c>
      <c r="AF114" s="221" t="str">
        <f t="shared" si="48"/>
        <v>"C:\Program Files (x86)\AstroGrep\AstroGrep.exe" /e /r /s /spath="%USERPROFILE%\AppData\Local\Temp\OnboardLogs" /stypes="app*4017*20171029*" /stext=" 23:.+((SYSTEM_STATE.+slice.+state.+changed )|(ment ac)|(multiple cpu faults)|(system.+state.+changed )|(\[timeout)|(PRM\|1\|D)|(kpr)|(kdp)|(train st.+moving)|(\|lc)|(penalty))"</v>
      </c>
      <c r="AG114" s="185" t="str">
        <f t="shared" si="49"/>
        <v>EC</v>
      </c>
      <c r="AH114" s="222" t="str">
        <f t="shared" si="34"/>
        <v>"%USERPROFILE%\Documents\GitHub\eaglep3\Utilities\RefineRTDCRunTimes.py" --tripid 200-29 --locoid 4017 --swversion DE.1.0.9.0 --startMP 204:232892 --initTime 2017-10-29T16:50:11 --startdatetime 2017-10-29T16:57:22 --delay 86 --endMP 204:247 --enddatetime 2017-10-29T17:36:38 --enforcementcount 0 &gt;&gt;%USERPROFILE%\Documents\GitHub\eaglep3-reporting\EC\2017-10-29-refined-times.txt</v>
      </c>
      <c r="AI114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{"issue":{"subject":"","project_id":79,"tracker_id":40,"status_id":1,"priority_id":2,"assigned_to_id":338,"start_date":"2017-10-29","description":"","custom_fields":[{"id":1,"name":"Subdivision","value":"EC"},{"id":4,"name":"Milepost","value":"0.0247"},{"id":17,"name":"Train ID","value":"200-29"},{"id":16,"name":"Locomotive ID","value":"4017"},{"id":130,"name":"Impact","value":""},{"id":150,"name":"Time of Event (Mountain Time)","value":"17:36:38"},{"id":151,"name":"Denver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182"/>
      <c r="AK114" s="186"/>
      <c r="AL114" s="186"/>
      <c r="AM114" s="187" t="str">
        <f t="shared" si="36"/>
        <v>start /low /b %USERPROFILE%\Documents\GitHub\eaglep3\Utilities\DownloadLogsFromS3.py --loco 4017 --day 2017-10-29</v>
      </c>
      <c r="AN114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23:36:38"},{"id":29,"name":"Sharepoint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82" t="str">
        <f t="shared" si="38"/>
        <v>https://d0f6bd738d7f1b3e5a7ca70fe4ff75f0.us-east-1.aws.found.io/app/kibana#/discover/Steve-Slow-Train-Analysis-(2080s-and-2083s)?_g=(refreshInterval:(display:Off,pause:!f,section:0,value:0),time:(from:'2017-10-29T15:50:11-0600',mode:absolute,to:'2017-10-29T18:36:38-0600'))&amp;_a=(columns:!('Message%20ID',Summary),filters:!(),index:'emp_*',interval:auto,query:(query_string:(analyze_wildcard:!t,query:'%22rtdc.l.rtdc.4017%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32" t="s">
        <v>802</v>
      </c>
      <c r="B115" s="7">
        <v>4026</v>
      </c>
      <c r="C115" s="21" t="s">
        <v>194</v>
      </c>
      <c r="D115" s="21" t="s">
        <v>577</v>
      </c>
      <c r="E115" s="13">
        <v>43037.672453703701</v>
      </c>
      <c r="F115" s="13">
        <v>43037.67728009259</v>
      </c>
      <c r="G115" s="7">
        <v>58</v>
      </c>
      <c r="H115" s="21" t="s">
        <v>1014</v>
      </c>
      <c r="I115" s="13">
        <v>43037.703587962962</v>
      </c>
      <c r="J115" s="7">
        <v>0</v>
      </c>
      <c r="K115" s="76" t="str">
        <f t="shared" si="39"/>
        <v>4025/4026</v>
      </c>
      <c r="L115" s="164" t="str">
        <f>VLOOKUP(A115,'Trips&amp;Operators'!$C$1:$G$99911,5,FALSE)</f>
        <v>STRICKLAND EVAN</v>
      </c>
      <c r="M115" s="6">
        <f t="shared" si="40"/>
        <v>2.6307870371965691E-2</v>
      </c>
      <c r="N115" s="7">
        <f t="shared" si="51"/>
        <v>37.883333335630596</v>
      </c>
      <c r="O115" s="7"/>
      <c r="P115" s="7"/>
      <c r="Q115" s="22"/>
      <c r="R115" s="157"/>
      <c r="S115" s="215">
        <f t="shared" si="56"/>
        <v>1</v>
      </c>
      <c r="T115" s="216" t="str">
        <f t="shared" si="41"/>
        <v>NorthBound</v>
      </c>
      <c r="U115" s="216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7" t="str">
        <f t="shared" si="42"/>
        <v>https://d0f6bd738d7f1b3e5a7ca70fe4ff75f0.us-east-1.aws.found.io/app/kibana#/discover/Steve-Slow-Train-Analysis-(2080s-and-2083s)?_g=(refreshInterval:(display:Off,pause:!f,section:0,value:0),time:(from:'2017-10-29T15:08:20-0600',mode:absolute,to:'2017-10-29T17:53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5" s="218" t="str">
        <f>IF(AA115&lt;VLOOKUP(AG115,Variables!$AC$3:$AD$8,2,FALSE),"Y","N")</f>
        <v>N</v>
      </c>
      <c r="X115" s="218">
        <f t="shared" si="53"/>
        <v>1</v>
      </c>
      <c r="Y115" s="218">
        <f t="shared" si="54"/>
        <v>4.5100000000000001E-2</v>
      </c>
      <c r="Z115" s="218">
        <f t="shared" si="55"/>
        <v>23.321300000000001</v>
      </c>
      <c r="AA115" s="218">
        <f t="shared" si="45"/>
        <v>23.276199999999999</v>
      </c>
      <c r="AB115" s="219" t="e">
        <f>VLOOKUP(A115,Enforcements!$C$7:$K$11,8,0)</f>
        <v>#N/A</v>
      </c>
      <c r="AC115" s="219" t="e">
        <f>VLOOKUP(A115,Enforcements!$C$7:$E$11,3,0)</f>
        <v>#N/A</v>
      </c>
      <c r="AD115" s="186">
        <f t="shared" si="46"/>
        <v>201</v>
      </c>
      <c r="AE115" s="220" t="str">
        <f t="shared" si="47"/>
        <v>aws s3 cp s3://rtdc.mdm.uploadarchive.raw/RTDC4026/ "%USERPROFILE%\AppData\Local\Temp\OnboardLogs"\RTDC4026\2017-10-29 --exclude "*" --recursive --include "*20171029*" &amp; "%USERPROFILE%\Documents\GitHub\mrs-test-scripts\Headless Mode &amp; Sideloading\WalkAndUnGZ.bat" "%USERPROFILE%\AppData\Local\Temp\OnboardLogs"\RTDC4026\2017-10-29 &amp; aws s3 cp s3://rtdc.mdm.uploadarchive.raw/RTDC4026/ "%USERPROFILE%\AppData\Local\Temp\OnboardLogs"\RTDC4026\2017-10-30 --exclude "*" --recursive --include "*20171030*" &amp; "%USERPROFILE%\Documents\GitHub\mrs-test-scripts\Headless Mode &amp; Sideloading\WalkAndUnGZ.bat" "%USERPROFILE%\AppData\Local\Temp\OnboardLogs"\RTDC4026\2017-10-30</v>
      </c>
      <c r="AF115" s="221" t="str">
        <f t="shared" si="48"/>
        <v>"C:\Program Files (x86)\AstroGrep\AstroGrep.exe" /e /r /s /spath="%USERPROFILE%\AppData\Local\Temp\OnboardLogs" /stypes="app*4026*20171029*" /stext=" 22:.+((SYSTEM_STATE.+slice.+state.+changed )|(ment ac)|(multiple cpu faults)|(system.+state.+changed )|(\[timeout)|(PRM\|1\|D)|(kpr)|(kdp)|(train st.+moving)|(\|lc)|(penalty))"</v>
      </c>
      <c r="AG115" s="185" t="str">
        <f t="shared" si="49"/>
        <v>EC</v>
      </c>
      <c r="AH115" s="222" t="str">
        <f t="shared" si="34"/>
        <v>"%USERPROFILE%\Documents\GitHub\eaglep3\Utilities\RefineRTDCRunTimes.py" --tripid 201-29 --locoid 4026 --swversion DE.1.0.9.0 --startMP 204:451 --initTime 2017-10-29T16:08:20 --startdatetime 2017-10-29T16:15:17 --delay 58 --endMP 204:233213 --enddatetime 2017-10-29T16:53:10 --enforcementcount 0 &gt;&gt;%USERPROFILE%\Documents\GitHub\eaglep3-reporting\EC\2017-10-29-refined-times.txt</v>
      </c>
      <c r="AI115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{"issue":{"subject":"","project_id":79,"tracker_id":40,"status_id":1,"priority_id":2,"assigned_to_id":338,"start_date":"2017-10-29","description":"","custom_fields":[{"id":1,"name":"Subdivision","value":"EC"},{"id":4,"name":"Milepost","value":"23.3213"},{"id":17,"name":"Train ID","value":"201-29"},{"id":16,"name":"Locomotive ID","value":"4026"},{"id":130,"name":"Impact","value":""},{"id":150,"name":"Time of Event (Mountain Time)","value":"16:53:10"},{"id":151,"name":"Denver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182"/>
      <c r="AK115" s="186"/>
      <c r="AL115" s="186"/>
      <c r="AM115" s="187" t="str">
        <f t="shared" si="36"/>
        <v>start /low /b %USERPROFILE%\Documents\GitHub\eaglep3\Utilities\DownloadLogsFromS3.py --loco 4026 --day 2017-10-29</v>
      </c>
      <c r="AN115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22:53:10"},{"id":29,"name":"Sharepoint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82" t="str">
        <f t="shared" si="38"/>
        <v>https://d0f6bd738d7f1b3e5a7ca70fe4ff75f0.us-east-1.aws.found.io/app/kibana#/discover/Steve-Slow-Train-Analysis-(2080s-and-2083s)?_g=(refreshInterval:(display:Off,pause:!f,section:0,value:0),time:(from:'2017-10-29T15:08:20-0600',mode:absolute,to:'2017-10-29T17:53:10-0600'))&amp;_a=(columns:!('Message%20ID',Summary),filters:!(),index:'emp_*',interval:auto,query:(query_string:(analyze_wildcard:!t,query:'%22rtdc.l.rtdc.4026%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3">
      <c r="A116" s="32" t="s">
        <v>811</v>
      </c>
      <c r="B116" s="7">
        <v>4025</v>
      </c>
      <c r="C116" s="21" t="s">
        <v>194</v>
      </c>
      <c r="D116" s="21" t="s">
        <v>503</v>
      </c>
      <c r="E116" s="13">
        <v>43037.711435185185</v>
      </c>
      <c r="F116" s="13">
        <v>43037.71707175926</v>
      </c>
      <c r="G116" s="7">
        <v>58</v>
      </c>
      <c r="H116" s="21" t="s">
        <v>1015</v>
      </c>
      <c r="I116" s="13">
        <v>43037.724039351851</v>
      </c>
      <c r="J116" s="7">
        <v>0</v>
      </c>
      <c r="K116" s="76" t="str">
        <f t="shared" si="39"/>
        <v>4025/4026</v>
      </c>
      <c r="L116" s="164" t="str">
        <f>VLOOKUP(A116,'Trips&amp;Operators'!$C$1:$G$99911,5,FALSE)</f>
        <v>STRICKLAND EVAN</v>
      </c>
      <c r="M116" s="6">
        <f t="shared" si="40"/>
        <v>6.9675925915362313E-3</v>
      </c>
      <c r="N116" s="7"/>
      <c r="O116" s="7"/>
      <c r="P116" s="7">
        <f>24*60*SUM($M116:$M116)</f>
        <v>10.033333331812173</v>
      </c>
      <c r="Q116" s="22"/>
      <c r="R116" s="157" t="s">
        <v>1098</v>
      </c>
      <c r="S116" s="215">
        <f t="shared" si="56"/>
        <v>0</v>
      </c>
      <c r="T116" s="216" t="str">
        <f t="shared" si="41"/>
        <v>Southbound</v>
      </c>
      <c r="U116" s="216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0</v>
      </c>
      <c r="V116" s="217" t="str">
        <f t="shared" si="42"/>
        <v>https://d0f6bd738d7f1b3e5a7ca70fe4ff75f0.us-east-1.aws.found.io/app/kibana#/discover/Steve-Slow-Train-Analysis-(2080s-and-2083s)?_g=(refreshInterval:(display:Off,pause:!f,section:0,value:0),time:(from:'2017-10-29T16:04:28-0600',mode:absolute,to:'2017-10-29T18:22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6" s="218" t="str">
        <f>IF(AA116&lt;VLOOKUP(AG116,Variables!$AC$3:$AD$8,2,FALSE),"Y","N")</f>
        <v>Y</v>
      </c>
      <c r="X116" s="218">
        <f t="shared" si="53"/>
        <v>1</v>
      </c>
      <c r="Y116" s="218">
        <f t="shared" si="54"/>
        <v>23.2879</v>
      </c>
      <c r="Z116" s="218">
        <f t="shared" si="55"/>
        <v>15.399900000000001</v>
      </c>
      <c r="AA116" s="218">
        <f t="shared" si="45"/>
        <v>7.8879999999999999</v>
      </c>
      <c r="AB116" s="219" t="e">
        <f>VLOOKUP(A116,Enforcements!$C$7:$K$11,8,0)</f>
        <v>#N/A</v>
      </c>
      <c r="AC116" s="219" t="e">
        <f>VLOOKUP(A116,Enforcements!$C$7:$E$11,3,0)</f>
        <v>#N/A</v>
      </c>
      <c r="AD116" s="186">
        <f t="shared" si="46"/>
        <v>202</v>
      </c>
      <c r="AE116" s="220" t="str">
        <f t="shared" si="47"/>
        <v>aws s3 cp s3://rtdc.mdm.uploadarchive.raw/RTDC4025/ "%USERPROFILE%\AppData\Local\Temp\OnboardLogs"\RTDC4025\2017-10-29 --exclude "*" --recursive --include "*20171029*" &amp; "%USERPROFILE%\Documents\GitHub\mrs-test-scripts\Headless Mode &amp; Sideloading\WalkAndUnGZ.bat" "%USERPROFILE%\AppData\Local\Temp\OnboardLogs"\RTDC4025\2017-10-29 &amp; aws s3 cp s3://rtdc.mdm.uploadarchive.raw/RTDC4025/ "%USERPROFILE%\AppData\Local\Temp\OnboardLogs"\RTDC4025\2017-10-30 --exclude "*" --recursive --include "*20171030*" &amp; "%USERPROFILE%\Documents\GitHub\mrs-test-scripts\Headless Mode &amp; Sideloading\WalkAndUnGZ.bat" "%USERPROFILE%\AppData\Local\Temp\OnboardLogs"\RTDC4025\2017-10-30</v>
      </c>
      <c r="AF116" s="221" t="str">
        <f t="shared" si="48"/>
        <v>"C:\Program Files (x86)\AstroGrep\AstroGrep.exe" /e /r /s /spath="%USERPROFILE%\AppData\Local\Temp\OnboardLogs" /stypes="app*4025*20171029*" /stext=" 23:.+((SYSTEM_STATE.+slice.+state.+changed )|(ment ac)|(multiple cpu faults)|(system.+state.+changed )|(\[timeout)|(PRM\|1\|D)|(kpr)|(kdp)|(train st.+moving)|(\|lc)|(penalty))"</v>
      </c>
      <c r="AG116" s="185" t="str">
        <f t="shared" si="49"/>
        <v>EC</v>
      </c>
      <c r="AH116" s="222" t="str">
        <f t="shared" si="34"/>
        <v>"%USERPROFILE%\Documents\GitHub\eaglep3\Utilities\RefineRTDCRunTimes.py" --tripid 202-29 --locoid 4025 --swversion DE.1.0.9.0 --startMP 204:232879 --initTime 2017-10-29T17:04:28 --startdatetime 2017-10-29T17:12:35 --delay 58 --endMP 204:153999 --enddatetime 2017-10-29T17:22:37 --enforcementcount 0 &gt;&gt;%USERPROFILE%\Documents\GitHub\eaglep3-reporting\EC\2017-10-29-refined-times.txt</v>
      </c>
      <c r="AI116" s="223" t="str">
        <f t="shared" si="35"/>
        <v>echo {"issue":{"subject":"Banner without braking","project_id":79,"tracker_id":40,"status_id":1,"priority_id":2,"assigned_to_id":338,"start_date":"2017-10-29","description":"","custom_fields":[{"id":1,"name":"Subdivision","value":"EC"},{"id":4,"name":"Milepost","value":"15.3999"},{"id":17,"name":"Train ID","value":"202-29"},{"id":16,"name":"Locomotive ID","value":"4025"},{"id":130,"name":"Impact","value":""},{"id":150,"name":"Time of Event (Mountain Time)","value":"17:22:37"},{"id":151,"name":"Denver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6" s="182"/>
      <c r="AK116" s="186"/>
      <c r="AL116" s="186"/>
      <c r="AM116" s="187" t="str">
        <f t="shared" si="36"/>
        <v>start /low /b %USERPROFILE%\Documents\GitHub\eaglep3\Utilities\DownloadLogsFromS3.py --loco 4025 --day 2017-10-29</v>
      </c>
      <c r="AN116" s="224" t="str">
        <f t="shared" si="37"/>
        <v>echo {"issue":{"subject":"Banner without braking","project_id":30,"tracker_id":4,"status_id":1,"priority_id":1,"assigned_to_id":10,"start_date":"2017-10-29","description":"","custom_fields":[{"id":30,"name":"Category","value":"Issue"},{"id":3,"name":"Functional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23:22:37"},{"id":29,"name":"Sharepoint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82" t="str">
        <f t="shared" si="38"/>
        <v>https://d0f6bd738d7f1b3e5a7ca70fe4ff75f0.us-east-1.aws.found.io/app/kibana#/discover/Steve-Slow-Train-Analysis-(2080s-and-2083s)?_g=(refreshInterval:(display:Off,pause:!f,section:0,value:0),time:(from:'2017-10-29T16:04:28-0600',mode:absolute,to:'2017-10-29T18:22:37-0600'))&amp;_a=(columns:!('Message%20ID',Summary),filters:!(),index:'emp_*',interval:auto,query:(query_string:(analyze_wildcard:!t,query:'%22rtdc.l.rtdc.4025%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32" t="s">
        <v>805</v>
      </c>
      <c r="B117" s="7">
        <v>4060</v>
      </c>
      <c r="C117" s="21" t="s">
        <v>194</v>
      </c>
      <c r="D117" s="21" t="s">
        <v>598</v>
      </c>
      <c r="E117" s="13">
        <v>43037.684861111113</v>
      </c>
      <c r="F117" s="13">
        <v>43037.687835648147</v>
      </c>
      <c r="G117" s="7">
        <v>73</v>
      </c>
      <c r="H117" s="21" t="s">
        <v>926</v>
      </c>
      <c r="I117" s="13">
        <v>43037.713576388887</v>
      </c>
      <c r="J117" s="7">
        <v>0</v>
      </c>
      <c r="K117" s="76" t="str">
        <f t="shared" si="39"/>
        <v>4059/4060</v>
      </c>
      <c r="L117" s="164" t="str">
        <f>VLOOKUP(A117,'Trips&amp;Operators'!$C$1:$G$99911,5,FALSE)</f>
        <v>DAVIS MICHAEL</v>
      </c>
      <c r="M117" s="6">
        <f t="shared" si="40"/>
        <v>2.5740740740729962E-2</v>
      </c>
      <c r="N117" s="7">
        <f t="shared" ref="N117:N140" si="57">24*60*SUM($M117:$M117)</f>
        <v>37.066666666651145</v>
      </c>
      <c r="O117" s="7"/>
      <c r="P117" s="7"/>
      <c r="Q117" s="22"/>
      <c r="R117" s="157"/>
      <c r="S117" s="215">
        <f t="shared" si="56"/>
        <v>1</v>
      </c>
      <c r="T117" s="216" t="str">
        <f t="shared" si="41"/>
        <v>NorthBound</v>
      </c>
      <c r="U117" s="216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7" t="str">
        <f t="shared" si="42"/>
        <v>https://d0f6bd738d7f1b3e5a7ca70fe4ff75f0.us-east-1.aws.found.io/app/kibana#/discover/Steve-Slow-Train-Analysis-(2080s-and-2083s)?_g=(refreshInterval:(display:Off,pause:!f,section:0,value:0),time:(from:'2017-10-29T15:26:12-0600',mode:absolute,to:'2017-10-29T18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7" s="218" t="str">
        <f>IF(AA117&lt;VLOOKUP(AG117,Variables!$AC$3:$AD$8,2,FALSE),"Y","N")</f>
        <v>N</v>
      </c>
      <c r="X117" s="218">
        <f t="shared" si="53"/>
        <v>1</v>
      </c>
      <c r="Y117" s="218">
        <f t="shared" si="54"/>
        <v>5.0599999999999999E-2</v>
      </c>
      <c r="Z117" s="218">
        <f t="shared" si="55"/>
        <v>23.319500000000001</v>
      </c>
      <c r="AA117" s="218">
        <f t="shared" si="45"/>
        <v>23.268900000000002</v>
      </c>
      <c r="AB117" s="219" t="e">
        <f>VLOOKUP(A117,Enforcements!$C$7:$K$11,8,0)</f>
        <v>#N/A</v>
      </c>
      <c r="AC117" s="219" t="e">
        <f>VLOOKUP(A117,Enforcements!$C$7:$E$11,3,0)</f>
        <v>#N/A</v>
      </c>
      <c r="AD117" s="186">
        <f t="shared" si="46"/>
        <v>203</v>
      </c>
      <c r="AE117" s="220" t="str">
        <f t="shared" si="47"/>
        <v>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 &amp; aws s3 cp s3://rtdc.mdm.uploadarchive.raw/RTDC4060/ "%USERPROFILE%\AppData\Local\Temp\OnboardLogs"\RTDC4060\2017-10-30 --exclude "*" --recursive --include "*20171030*" &amp; "%USERPROFILE%\Documents\GitHub\mrs-test-scripts\Headless Mode &amp; Sideloading\WalkAndUnGZ.bat" "%USERPROFILE%\AppData\Local\Temp\OnboardLogs"\RTDC4060\2017-10-30</v>
      </c>
      <c r="AF117" s="221" t="str">
        <f t="shared" si="48"/>
        <v>"C:\Program Files (x86)\AstroGrep\AstroGrep.exe" /e /r /s /spath="%USERPROFILE%\AppData\Local\Temp\OnboardLogs" /stypes="app*4060*20171029*" /stext=" 23:.+((SYSTEM_STATE.+slice.+state.+changed )|(ment ac)|(multiple cpu faults)|(system.+state.+changed )|(\[timeout)|(PRM\|1\|D)|(kpr)|(kdp)|(train st.+moving)|(\|lc)|(penalty))"</v>
      </c>
      <c r="AG117" s="185" t="str">
        <f t="shared" si="49"/>
        <v>EC</v>
      </c>
      <c r="AH117" s="222" t="str">
        <f t="shared" si="34"/>
        <v>"%USERPROFILE%\Documents\GitHub\eaglep3\Utilities\RefineRTDCRunTimes.py" --tripid 203-29 --locoid 4060 --swversion DE.1.0.9.0 --startMP 204:506 --initTime 2017-10-29T16:26:12 --startdatetime 2017-10-29T16:30:29 --delay 73 --endMP 204:233195 --enddatetime 2017-10-29T17:07:33 --enforcementcount 0 &gt;&gt;%USERPROFILE%\Documents\GitHub\eaglep3-reporting\EC\2017-10-29-refined-times.txt</v>
      </c>
      <c r="AI117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{"issue":{"subject":"","project_id":79,"tracker_id":40,"status_id":1,"priority_id":2,"assigned_to_id":338,"start_date":"2017-10-29","description":"","custom_fields":[{"id":1,"name":"Subdivision","value":"EC"},{"id":4,"name":"Milepost","value":"23.3195"},{"id":17,"name":"Train ID","value":"203-29"},{"id":16,"name":"Locomotive ID","value":"4060"},{"id":130,"name":"Impact","value":""},{"id":150,"name":"Time of Event (Mountain Time)","value":"17:07:33"},{"id":151,"name":"Denver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182"/>
      <c r="AK117" s="186"/>
      <c r="AL117" s="186"/>
      <c r="AM117" s="187" t="str">
        <f t="shared" si="36"/>
        <v>start /low /b %USERPROFILE%\Documents\GitHub\eaglep3\Utilities\DownloadLogsFromS3.py --loco 4060 --day 2017-10-29</v>
      </c>
      <c r="AN117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23:07:33"},{"id":29,"name":"Sharepoint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82" t="str">
        <f t="shared" si="38"/>
        <v>https://d0f6bd738d7f1b3e5a7ca70fe4ff75f0.us-east-1.aws.found.io/app/kibana#/discover/Steve-Slow-Train-Analysis-(2080s-and-2083s)?_g=(refreshInterval:(display:Off,pause:!f,section:0,value:0),time:(from:'2017-10-29T15:26:12-0600',mode:absolute,to:'2017-10-29T18:07:33-0600'))&amp;_a=(columns:!('Message%20ID',Summary),filters:!(),index:'emp_*',interval:auto,query:(query_string:(analyze_wildcard:!t,query:'%22rtdc.l.rtdc.4060%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32" t="s">
        <v>813</v>
      </c>
      <c r="B118" s="7">
        <v>4059</v>
      </c>
      <c r="C118" s="21" t="s">
        <v>194</v>
      </c>
      <c r="D118" s="21" t="s">
        <v>582</v>
      </c>
      <c r="E118" s="13">
        <v>43037.721319444441</v>
      </c>
      <c r="F118" s="13">
        <v>43037.727581018517</v>
      </c>
      <c r="G118" s="7">
        <v>72</v>
      </c>
      <c r="H118" s="21" t="s">
        <v>567</v>
      </c>
      <c r="I118" s="13">
        <v>43037.755127314813</v>
      </c>
      <c r="J118" s="7">
        <v>0</v>
      </c>
      <c r="K118" s="76" t="str">
        <f t="shared" si="39"/>
        <v>4059/4060</v>
      </c>
      <c r="L118" s="164" t="str">
        <f>VLOOKUP(A118,'Trips&amp;Operators'!$C$1:$G$99911,5,FALSE)</f>
        <v>DAVIS MICHAEL</v>
      </c>
      <c r="M118" s="6">
        <f t="shared" si="40"/>
        <v>2.7546296296350192E-2</v>
      </c>
      <c r="N118" s="7">
        <f t="shared" si="57"/>
        <v>39.666666666744277</v>
      </c>
      <c r="O118" s="7"/>
      <c r="P118" s="7"/>
      <c r="Q118" s="22"/>
      <c r="R118" s="157"/>
      <c r="S118" s="215">
        <f t="shared" si="56"/>
        <v>1</v>
      </c>
      <c r="T118" s="216" t="str">
        <f t="shared" si="41"/>
        <v>Southbound</v>
      </c>
      <c r="U118" s="216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7" t="str">
        <f t="shared" si="42"/>
        <v>https://d0f6bd738d7f1b3e5a7ca70fe4ff75f0.us-east-1.aws.found.io/app/kibana#/discover/Steve-Slow-Train-Analysis-(2080s-and-2083s)?_g=(refreshInterval:(display:Off,pause:!f,section:0,value:0),time:(from:'2017-10-29T16:18:42-0600',mode:absolute,to:'2017-10-29T19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8" s="218" t="str">
        <f>IF(AA118&lt;VLOOKUP(AG118,Variables!$AC$3:$AD$8,2,FALSE),"Y","N")</f>
        <v>N</v>
      </c>
      <c r="X118" s="218">
        <f t="shared" si="53"/>
        <v>1</v>
      </c>
      <c r="Y118" s="218">
        <f t="shared" si="54"/>
        <v>23.289400000000001</v>
      </c>
      <c r="Z118" s="218">
        <f t="shared" si="55"/>
        <v>2.18E-2</v>
      </c>
      <c r="AA118" s="218">
        <f t="shared" si="45"/>
        <v>23.267600000000002</v>
      </c>
      <c r="AB118" s="219" t="e">
        <f>VLOOKUP(A118,Enforcements!$C$7:$K$11,8,0)</f>
        <v>#N/A</v>
      </c>
      <c r="AC118" s="219" t="e">
        <f>VLOOKUP(A118,Enforcements!$C$7:$E$11,3,0)</f>
        <v>#N/A</v>
      </c>
      <c r="AD118" s="186">
        <f t="shared" si="46"/>
        <v>204</v>
      </c>
      <c r="AE118" s="220" t="str">
        <f t="shared" si="47"/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AF118" s="221" t="str">
        <f t="shared" si="48"/>
        <v>"C:\Program Files (x86)\AstroGrep\AstroGrep.exe" /e /r /s /spath="%USERPROFILE%\AppData\Local\Temp\OnboardLogs" /stypes="app*4059*20171030*" /stext=" 00:.+((SYSTEM_STATE.+slice.+state.+changed )|(ment ac)|(multiple cpu faults)|(system.+state.+changed )|(\[timeout)|(PRM\|1\|D)|(kpr)|(kdp)|(train st.+moving)|(\|lc)|(penalty))"</v>
      </c>
      <c r="AG118" s="185" t="str">
        <f t="shared" si="49"/>
        <v>EC</v>
      </c>
      <c r="AH118" s="222" t="str">
        <f t="shared" si="34"/>
        <v>"%USERPROFILE%\Documents\GitHub\eaglep3\Utilities\RefineRTDCRunTimes.py" --tripid 204-29 --locoid 4059 --swversion DE.1.0.9.0 --startMP 204:232894 --initTime 2017-10-29T17:18:42 --startdatetime 2017-10-29T17:27:43 --delay 72 --endMP 204:218 --enddatetime 2017-10-29T18:07:23 --enforcementcount 0 &gt;&gt;%USERPROFILE%\Documents\GitHub\eaglep3-reporting\EC\2017-10-29-refined-times.txt</v>
      </c>
      <c r="AI118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{"issue":{"subject":"","project_id":79,"tracker_id":40,"status_id":1,"priority_id":2,"assigned_to_id":338,"start_date":"2017-10-29","description":"","custom_fields":[{"id":1,"name":"Subdivision","value":"EC"},{"id":4,"name":"Milepost","value":"0.0218"},{"id":17,"name":"Train ID","value":"204-29"},{"id":16,"name":"Locomotive ID","value":"4059"},{"id":130,"name":"Impact","value":""},{"id":150,"name":"Time of Event (Mountain Time)","value":"18:07:23"},{"id":151,"name":"Denver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182"/>
      <c r="AK118" s="186"/>
      <c r="AL118" s="186"/>
      <c r="AM118" s="187" t="str">
        <f t="shared" si="36"/>
        <v>start /low /b %USERPROFILE%\Documents\GitHub\eaglep3\Utilities\DownloadLogsFromS3.py --loco 4059 --day 2017-10-29</v>
      </c>
      <c r="AN118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00:07:23"},{"id":29,"name":"Sharepoint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82" t="str">
        <f t="shared" si="38"/>
        <v>https://d0f6bd738d7f1b3e5a7ca70fe4ff75f0.us-east-1.aws.found.io/app/kibana#/discover/Steve-Slow-Train-Analysis-(2080s-and-2083s)?_g=(refreshInterval:(display:Off,pause:!f,section:0,value:0),time:(from:'2017-10-29T16:18:42-0600',mode:absolute,to:'2017-10-29T19:07:23-0600'))&amp;_a=(columns:!('Message%20ID',Summary),filters:!(),index:'emp_*',interval:auto,query:(query_string:(analyze_wildcard:!t,query:'%22rtdc.l.rtdc.4059%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32" t="s">
        <v>807</v>
      </c>
      <c r="B119" s="7">
        <v>4016</v>
      </c>
      <c r="C119" s="21" t="s">
        <v>194</v>
      </c>
      <c r="D119" s="21" t="s">
        <v>1016</v>
      </c>
      <c r="E119" s="13">
        <v>43037.695949074077</v>
      </c>
      <c r="F119" s="13">
        <v>43037.698263888888</v>
      </c>
      <c r="G119" s="7">
        <v>108</v>
      </c>
      <c r="H119" s="21" t="s">
        <v>584</v>
      </c>
      <c r="I119" s="13">
        <v>43037.723703703705</v>
      </c>
      <c r="J119" s="7">
        <v>0</v>
      </c>
      <c r="K119" s="76" t="str">
        <f t="shared" si="39"/>
        <v>4015/4016</v>
      </c>
      <c r="L119" s="164" t="str">
        <f>VLOOKUP(A119,'Trips&amp;Operators'!$C$1:$G$99911,5,FALSE)</f>
        <v>SAFIEF AEIMEN</v>
      </c>
      <c r="M119" s="6">
        <f t="shared" si="40"/>
        <v>2.5439814817218576E-2</v>
      </c>
      <c r="N119" s="7">
        <f t="shared" si="57"/>
        <v>36.633333336794749</v>
      </c>
      <c r="O119" s="7"/>
      <c r="P119" s="7"/>
      <c r="Q119" s="22"/>
      <c r="R119" s="157"/>
      <c r="S119" s="215">
        <f t="shared" si="56"/>
        <v>1</v>
      </c>
      <c r="T119" s="216" t="str">
        <f t="shared" si="41"/>
        <v>NorthBound</v>
      </c>
      <c r="U119" s="216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7" t="str">
        <f t="shared" si="42"/>
        <v>https://d0f6bd738d7f1b3e5a7ca70fe4ff75f0.us-east-1.aws.found.io/app/kibana#/discover/Steve-Slow-Train-Analysis-(2080s-and-2083s)?_g=(refreshInterval:(display:Off,pause:!f,section:0,value:0),time:(from:'2017-10-29T15:42:10-0600',mode:absolute,to:'2017-10-29T18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19" s="218" t="str">
        <f>IF(AA119&lt;VLOOKUP(AG119,Variables!$AC$3:$AD$8,2,FALSE),"Y","N")</f>
        <v>N</v>
      </c>
      <c r="X119" s="218">
        <f t="shared" si="53"/>
        <v>1</v>
      </c>
      <c r="Y119" s="218">
        <f t="shared" si="54"/>
        <v>5.0799999999999998E-2</v>
      </c>
      <c r="Z119" s="218">
        <f t="shared" si="55"/>
        <v>23.3215</v>
      </c>
      <c r="AA119" s="218">
        <f t="shared" si="45"/>
        <v>23.270700000000001</v>
      </c>
      <c r="AB119" s="219" t="e">
        <f>VLOOKUP(A119,Enforcements!$C$7:$K$11,8,0)</f>
        <v>#N/A</v>
      </c>
      <c r="AC119" s="219" t="e">
        <f>VLOOKUP(A119,Enforcements!$C$7:$E$11,3,0)</f>
        <v>#N/A</v>
      </c>
      <c r="AD119" s="186">
        <f t="shared" si="46"/>
        <v>205</v>
      </c>
      <c r="AE119" s="220" t="str">
        <f t="shared" si="47"/>
        <v>aws s3 cp s3://rtdc.mdm.uploadarchive.raw/RTDC4016/ "%USERPROFILE%\AppData\Local\Temp\OnboardLogs"\RTDC4016\2017-10-29 --exclude "*" --recursive --include "*20171029*" &amp; "%USERPROFILE%\Documents\GitHub\mrs-test-scripts\Headless Mode &amp; Sideloading\WalkAndUnGZ.bat" "%USERPROFILE%\AppData\Local\Temp\OnboardLogs"\RTDC4016\2017-10-29 &amp; 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</v>
      </c>
      <c r="AF119" s="221" t="str">
        <f t="shared" si="48"/>
        <v>"C:\Program Files (x86)\AstroGrep\AstroGrep.exe" /e /r /s /spath="%USERPROFILE%\AppData\Local\Temp\OnboardLogs" /stypes="app*4016*20171029*" /stext=" 23:.+((SYSTEM_STATE.+slice.+state.+changed )|(ment ac)|(multiple cpu faults)|(system.+state.+changed )|(\[timeout)|(PRM\|1\|D)|(kpr)|(kdp)|(train st.+moving)|(\|lc)|(penalty))"</v>
      </c>
      <c r="AG119" s="185" t="str">
        <f t="shared" si="49"/>
        <v>EC</v>
      </c>
      <c r="AH119" s="222" t="str">
        <f t="shared" si="34"/>
        <v>"%USERPROFILE%\Documents\GitHub\eaglep3\Utilities\RefineRTDCRunTimes.py" --tripid 205-29 --locoid 4016 --swversion DE.1.0.9.0 --startMP 204:508 --initTime 2017-10-29T16:42:10 --startdatetime 2017-10-29T16:45:30 --delay 108 --endMP 204:233215 --enddatetime 2017-10-29T17:22:08 --enforcementcount 0 &gt;&gt;%USERPROFILE%\Documents\GitHub\eaglep3-reporting\EC\2017-10-29-refined-times.txt</v>
      </c>
      <c r="AI119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{"issue":{"subject":"","project_id":79,"tracker_id":40,"status_id":1,"priority_id":2,"assigned_to_id":338,"start_date":"2017-10-29","description":"","custom_fields":[{"id":1,"name":"Subdivision","value":"EC"},{"id":4,"name":"Milepost","value":"23.3215"},{"id":17,"name":"Train ID","value":"205-29"},{"id":16,"name":"Locomotive ID","value":"4016"},{"id":130,"name":"Impact","value":""},{"id":150,"name":"Time of Event (Mountain Time)","value":"17:22:08"},{"id":151,"name":"Denver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182"/>
      <c r="AK119" s="186"/>
      <c r="AL119" s="186"/>
      <c r="AM119" s="187" t="str">
        <f t="shared" si="36"/>
        <v>start /low /b %USERPROFILE%\Documents\GitHub\eaglep3\Utilities\DownloadLogsFromS3.py --loco 4016 --day 2017-10-29</v>
      </c>
      <c r="AN119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23:22:08"},{"id":29,"name":"Sharepoint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82" t="str">
        <f t="shared" si="38"/>
        <v>https://d0f6bd738d7f1b3e5a7ca70fe4ff75f0.us-east-1.aws.found.io/app/kibana#/discover/Steve-Slow-Train-Analysis-(2080s-and-2083s)?_g=(refreshInterval:(display:Off,pause:!f,section:0,value:0),time:(from:'2017-10-29T15:42:10-0600',mode:absolute,to:'2017-10-29T18:22:08-0600'))&amp;_a=(columns:!('Message%20ID',Summary),filters:!(),index:'emp_*',interval:auto,query:(query_string:(analyze_wildcard:!t,query:'%22rtdc.l.rtdc.4016%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3">
      <c r="A120" s="32" t="s">
        <v>817</v>
      </c>
      <c r="B120" s="7">
        <v>4015</v>
      </c>
      <c r="C120" s="21" t="s">
        <v>194</v>
      </c>
      <c r="D120" s="21" t="s">
        <v>614</v>
      </c>
      <c r="E120" s="13">
        <v>43037.734479166669</v>
      </c>
      <c r="F120" s="13">
        <v>43037.737673611111</v>
      </c>
      <c r="G120" s="7">
        <v>69</v>
      </c>
      <c r="H120" s="21" t="s">
        <v>567</v>
      </c>
      <c r="I120" s="13">
        <v>43037.763402777775</v>
      </c>
      <c r="J120" s="7">
        <v>0</v>
      </c>
      <c r="K120" s="76" t="str">
        <f t="shared" si="39"/>
        <v>4015/4016</v>
      </c>
      <c r="L120" s="164" t="str">
        <f>VLOOKUP(A120,'Trips&amp;Operators'!$C$1:$G$99911,5,FALSE)</f>
        <v>SAFIEF AEIMEN</v>
      </c>
      <c r="M120" s="6">
        <f t="shared" si="40"/>
        <v>2.5729166663950309E-2</v>
      </c>
      <c r="N120" s="7">
        <f t="shared" si="57"/>
        <v>37.049999996088445</v>
      </c>
      <c r="O120" s="7"/>
      <c r="P120" s="7"/>
      <c r="Q120" s="22"/>
      <c r="R120" s="157"/>
      <c r="S120" s="215">
        <f t="shared" si="56"/>
        <v>1</v>
      </c>
      <c r="T120" s="216" t="str">
        <f t="shared" si="41"/>
        <v>Southbound</v>
      </c>
      <c r="U120" s="216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7" t="str">
        <f t="shared" si="42"/>
        <v>https://d0f6bd738d7f1b3e5a7ca70fe4ff75f0.us-east-1.aws.found.io/app/kibana#/discover/Steve-Slow-Train-Analysis-(2080s-and-2083s)?_g=(refreshInterval:(display:Off,pause:!f,section:0,value:0),time:(from:'2017-10-29T16:37:39-0600',mode:absolute,to:'2017-10-29T19:19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20" s="218" t="str">
        <f>IF(AA120&lt;VLOOKUP(AG120,Variables!$AC$3:$AD$8,2,FALSE),"Y","N")</f>
        <v>N</v>
      </c>
      <c r="X120" s="218">
        <f t="shared" si="53"/>
        <v>1</v>
      </c>
      <c r="Y120" s="218">
        <f t="shared" si="54"/>
        <v>23.290900000000001</v>
      </c>
      <c r="Z120" s="218">
        <f t="shared" si="55"/>
        <v>2.18E-2</v>
      </c>
      <c r="AA120" s="218">
        <f t="shared" si="45"/>
        <v>23.269100000000002</v>
      </c>
      <c r="AB120" s="219" t="e">
        <f>VLOOKUP(A120,Enforcements!$C$7:$K$11,8,0)</f>
        <v>#N/A</v>
      </c>
      <c r="AC120" s="219" t="e">
        <f>VLOOKUP(A120,Enforcements!$C$7:$E$11,3,0)</f>
        <v>#N/A</v>
      </c>
      <c r="AD120" s="186">
        <f t="shared" si="46"/>
        <v>206</v>
      </c>
      <c r="AE120" s="220" t="str">
        <f t="shared" si="47"/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120" s="221" t="str">
        <f t="shared" si="48"/>
        <v>"C:\Program Files (x86)\AstroGrep\AstroGrep.exe" /e /r /s /spath="%USERPROFILE%\AppData\Local\Temp\OnboardLogs" /stypes="app*4015*20171030*" /stext=" 00:.+((SYSTEM_STATE.+slice.+state.+changed )|(ment ac)|(multiple cpu faults)|(system.+state.+changed )|(\[timeout)|(PRM\|1\|D)|(kpr)|(kdp)|(train st.+moving)|(\|lc)|(penalty))"</v>
      </c>
      <c r="AG120" s="185" t="str">
        <f t="shared" si="49"/>
        <v>EC</v>
      </c>
      <c r="AH120" s="222" t="str">
        <f t="shared" si="34"/>
        <v>"%USERPROFILE%\Documents\GitHub\eaglep3\Utilities\RefineRTDCRunTimes.py" --tripid 206-29 --locoid 4015 --swversion DE.1.0.9.0 --startMP 204:232909 --initTime 2017-10-29T17:37:39 --startdatetime 2017-10-29T17:42:15 --delay 69 --endMP 204:218 --enddatetime 2017-10-29T18:19:18 --enforcementcount 0 &gt;&gt;%USERPROFILE%\Documents\GitHub\eaglep3-reporting\EC\2017-10-29-refined-times.txt</v>
      </c>
      <c r="AI120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{"issue":{"subject":"","project_id":79,"tracker_id":40,"status_id":1,"priority_id":2,"assigned_to_id":338,"start_date":"2017-10-29","description":"","custom_fields":[{"id":1,"name":"Subdivision","value":"EC"},{"id":4,"name":"Milepost","value":"0.0218"},{"id":17,"name":"Train ID","value":"206-29"},{"id":16,"name":"Locomotive ID","value":"4015"},{"id":130,"name":"Impact","value":""},{"id":150,"name":"Time of Event (Mountain Time)","value":"18:19:18"},{"id":151,"name":"Denver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0" s="182"/>
      <c r="AK120" s="186"/>
      <c r="AL120" s="186"/>
      <c r="AM120" s="187" t="str">
        <f t="shared" si="36"/>
        <v>start /low /b %USERPROFILE%\Documents\GitHub\eaglep3\Utilities\DownloadLogsFromS3.py --loco 4015 --day 2017-10-29</v>
      </c>
      <c r="AN120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00:19:18"},{"id":29,"name":"Sharepoint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82" t="str">
        <f t="shared" si="38"/>
        <v>https://d0f6bd738d7f1b3e5a7ca70fe4ff75f0.us-east-1.aws.found.io/app/kibana#/discover/Steve-Slow-Train-Analysis-(2080s-and-2083s)?_g=(refreshInterval:(display:Off,pause:!f,section:0,value:0),time:(from:'2017-10-29T16:37:39-0600',mode:absolute,to:'2017-10-29T19:19:18-0600'))&amp;_a=(columns:!('Message%20ID',Summary),filters:!(),index:'emp_*',interval:auto,query:(query_string:(analyze_wildcard:!t,query:'%22rtdc.l.rtdc.4015%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32" t="s">
        <v>809</v>
      </c>
      <c r="B121" s="7">
        <v>4006</v>
      </c>
      <c r="C121" s="21" t="s">
        <v>194</v>
      </c>
      <c r="D121" s="21" t="s">
        <v>1017</v>
      </c>
      <c r="E121" s="13">
        <v>43037.704571759263</v>
      </c>
      <c r="F121" s="13">
        <v>43037.708483796298</v>
      </c>
      <c r="G121" s="7">
        <v>62</v>
      </c>
      <c r="H121" s="21" t="s">
        <v>1018</v>
      </c>
      <c r="I121" s="13">
        <v>43037.733437499999</v>
      </c>
      <c r="J121" s="7">
        <v>0</v>
      </c>
      <c r="K121" s="76" t="str">
        <f t="shared" si="39"/>
        <v>4005/4006</v>
      </c>
      <c r="L121" s="164" t="str">
        <f>VLOOKUP(A121,'Trips&amp;Operators'!$C$1:$G$99911,5,FALSE)</f>
        <v>GUZMAN DANNY</v>
      </c>
      <c r="M121" s="6">
        <f t="shared" si="40"/>
        <v>2.495370370161254E-2</v>
      </c>
      <c r="N121" s="7">
        <f t="shared" si="57"/>
        <v>35.933333330322057</v>
      </c>
      <c r="O121" s="7"/>
      <c r="P121" s="7"/>
      <c r="Q121" s="22"/>
      <c r="R121" s="157"/>
      <c r="S121" s="215">
        <f t="shared" si="56"/>
        <v>1</v>
      </c>
      <c r="T121" s="216" t="str">
        <f t="shared" si="41"/>
        <v>NorthBound</v>
      </c>
      <c r="U121" s="216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7" t="str">
        <f t="shared" si="42"/>
        <v>https://d0f6bd738d7f1b3e5a7ca70fe4ff75f0.us-east-1.aws.found.io/app/kibana#/discover/Steve-Slow-Train-Analysis-(2080s-and-2083s)?_g=(refreshInterval:(display:Off,pause:!f,section:0,value:0),time:(from:'2017-10-29T15:54:35-0600',mode:absolute,to:'2017-10-29T18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21" s="218" t="str">
        <f>IF(AA121&lt;VLOOKUP(AG121,Variables!$AC$3:$AD$8,2,FALSE),"Y","N")</f>
        <v>N</v>
      </c>
      <c r="X121" s="218">
        <f t="shared" si="53"/>
        <v>1</v>
      </c>
      <c r="Y121" s="218">
        <f t="shared" si="54"/>
        <v>5.4399999999999997E-2</v>
      </c>
      <c r="Z121" s="218">
        <f t="shared" si="55"/>
        <v>23.325099999999999</v>
      </c>
      <c r="AA121" s="218">
        <f t="shared" si="45"/>
        <v>23.270699999999998</v>
      </c>
      <c r="AB121" s="219" t="e">
        <f>VLOOKUP(A121,Enforcements!$C$7:$K$11,8,0)</f>
        <v>#N/A</v>
      </c>
      <c r="AC121" s="219" t="e">
        <f>VLOOKUP(A121,Enforcements!$C$7:$E$11,3,0)</f>
        <v>#N/A</v>
      </c>
      <c r="AD121" s="186">
        <f t="shared" si="46"/>
        <v>207</v>
      </c>
      <c r="AE121" s="220" t="str">
        <f t="shared" si="47"/>
        <v>aws s3 cp s3://rtdc.mdm.uploadarchive.raw/RTDC4006/ "%USERPROFILE%\AppData\Local\Temp\OnboardLogs"\RTDC4006\2017-10-29 --exclude "*" --recursive --include "*20171029*" &amp; "%USERPROFILE%\Documents\GitHub\mrs-test-scripts\Headless Mode &amp; Sideloading\WalkAndUnGZ.bat" "%USERPROFILE%\AppData\Local\Temp\OnboardLogs"\RTDC4006\2017-10-29 &amp; aws s3 cp s3://rtdc.mdm.uploadarchive.raw/RTDC4006/ "%USERPROFILE%\AppData\Local\Temp\OnboardLogs"\RTDC4006\2017-10-30 --exclude "*" --recursive --include "*20171030*" &amp; "%USERPROFILE%\Documents\GitHub\mrs-test-scripts\Headless Mode &amp; Sideloading\WalkAndUnGZ.bat" "%USERPROFILE%\AppData\Local\Temp\OnboardLogs"\RTDC4006\2017-10-30</v>
      </c>
      <c r="AF121" s="221" t="str">
        <f t="shared" si="48"/>
        <v>"C:\Program Files (x86)\AstroGrep\AstroGrep.exe" /e /r /s /spath="%USERPROFILE%\AppData\Local\Temp\OnboardLogs" /stypes="app*4006*20171029*" /stext=" 23:.+((SYSTEM_STATE.+slice.+state.+changed )|(ment ac)|(multiple cpu faults)|(system.+state.+changed )|(\[timeout)|(PRM\|1\|D)|(kpr)|(kdp)|(train st.+moving)|(\|lc)|(penalty))"</v>
      </c>
      <c r="AG121" s="185" t="str">
        <f t="shared" si="49"/>
        <v>EC</v>
      </c>
      <c r="AH121" s="222" t="str">
        <f t="shared" si="34"/>
        <v>"%USERPROFILE%\Documents\GitHub\eaglep3\Utilities\RefineRTDCRunTimes.py" --tripid 207-29 --locoid 4006 --swversion DE.1.0.9.0 --startMP 204:544 --initTime 2017-10-29T16:54:35 --startdatetime 2017-10-29T17:00:13 --delay 62 --endMP 204:233251 --enddatetime 2017-10-29T17:36:09 --enforcementcount 0 &gt;&gt;%USERPROFILE%\Documents\GitHub\eaglep3-reporting\EC\2017-10-29-refined-times.txt</v>
      </c>
      <c r="AI121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{"issue":{"subject":"","project_id":79,"tracker_id":40,"status_id":1,"priority_id":2,"assigned_to_id":338,"start_date":"2017-10-29","description":"","custom_fields":[{"id":1,"name":"Subdivision","value":"EC"},{"id":4,"name":"Milepost","value":"23.3251"},{"id":17,"name":"Train ID","value":"207-29"},{"id":16,"name":"Locomotive ID","value":"4006"},{"id":130,"name":"Impact","value":""},{"id":150,"name":"Time of Event (Mountain Time)","value":"17:36:09"},{"id":151,"name":"Denver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182"/>
      <c r="AK121" s="186"/>
      <c r="AL121" s="186"/>
      <c r="AM121" s="187" t="str">
        <f t="shared" si="36"/>
        <v>start /low /b %USERPROFILE%\Documents\GitHub\eaglep3\Utilities\DownloadLogsFromS3.py --loco 4006 --day 2017-10-29</v>
      </c>
      <c r="AN121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23:36:09"},{"id":29,"name":"Sharepoint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82" t="str">
        <f t="shared" si="38"/>
        <v>https://d0f6bd738d7f1b3e5a7ca70fe4ff75f0.us-east-1.aws.found.io/app/kibana#/discover/Steve-Slow-Train-Analysis-(2080s-and-2083s)?_g=(refreshInterval:(display:Off,pause:!f,section:0,value:0),time:(from:'2017-10-29T15:54:35-0600',mode:absolute,to:'2017-10-29T18:36:09-0600'))&amp;_a=(columns:!('Message%20ID',Summary),filters:!(),index:'emp_*',interval:auto,query:(query_string:(analyze_wildcard:!t,query:'%22rtdc.l.rtdc.4006%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3">
      <c r="A122" s="32" t="s">
        <v>818</v>
      </c>
      <c r="B122" s="7">
        <v>4005</v>
      </c>
      <c r="C122" s="21" t="s">
        <v>194</v>
      </c>
      <c r="D122" s="21" t="s">
        <v>1019</v>
      </c>
      <c r="E122" s="13">
        <v>43037.735902777778</v>
      </c>
      <c r="F122" s="13">
        <v>43037.748090277775</v>
      </c>
      <c r="G122" s="7">
        <v>75</v>
      </c>
      <c r="H122" s="21" t="s">
        <v>1020</v>
      </c>
      <c r="I122" s="13">
        <v>43037.77412037037</v>
      </c>
      <c r="J122" s="7">
        <v>0</v>
      </c>
      <c r="K122" s="76" t="str">
        <f t="shared" si="39"/>
        <v>4005/4006</v>
      </c>
      <c r="L122" s="164" t="str">
        <f>VLOOKUP(A122,'Trips&amp;Operators'!$C$1:$G$99911,5,FALSE)</f>
        <v>GUZMAN DANNY</v>
      </c>
      <c r="M122" s="6">
        <f t="shared" si="40"/>
        <v>2.6030092594737653E-2</v>
      </c>
      <c r="N122" s="7">
        <f t="shared" si="57"/>
        <v>37.48333333642222</v>
      </c>
      <c r="O122" s="7"/>
      <c r="P122" s="7"/>
      <c r="Q122" s="22"/>
      <c r="R122" s="157"/>
      <c r="S122" s="215">
        <f t="shared" si="56"/>
        <v>1</v>
      </c>
      <c r="T122" s="216" t="str">
        <f t="shared" si="41"/>
        <v>Southbound</v>
      </c>
      <c r="U122" s="216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7" t="str">
        <f t="shared" si="42"/>
        <v>https://d0f6bd738d7f1b3e5a7ca70fe4ff75f0.us-east-1.aws.found.io/app/kibana#/discover/Steve-Slow-Train-Analysis-(2080s-and-2083s)?_g=(refreshInterval:(display:Off,pause:!f,section:0,value:0),time:(from:'2017-10-29T16:39:42-0600',mode:absolute,to:'2017-10-29T19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122" s="218" t="str">
        <f>IF(AA122&lt;VLOOKUP(AG122,Variables!$AC$3:$AD$8,2,FALSE),"Y","N")</f>
        <v>N</v>
      </c>
      <c r="X122" s="218">
        <f t="shared" si="53"/>
        <v>1</v>
      </c>
      <c r="Y122" s="218">
        <f t="shared" si="54"/>
        <v>23.2925</v>
      </c>
      <c r="Z122" s="218">
        <f t="shared" si="55"/>
        <v>2.8199999999999999E-2</v>
      </c>
      <c r="AA122" s="218">
        <f t="shared" si="45"/>
        <v>23.264300000000002</v>
      </c>
      <c r="AB122" s="219" t="e">
        <f>VLOOKUP(A122,Enforcements!$C$7:$K$11,8,0)</f>
        <v>#N/A</v>
      </c>
      <c r="AC122" s="219" t="e">
        <f>VLOOKUP(A122,Enforcements!$C$7:$E$11,3,0)</f>
        <v>#N/A</v>
      </c>
      <c r="AD122" s="186">
        <f t="shared" si="46"/>
        <v>208</v>
      </c>
      <c r="AE122" s="220" t="str">
        <f t="shared" si="47"/>
        <v>aws s3 cp s3://rtdc.mdm.uploadarchive.raw/RTDC4005/ "%USERPROFILE%\AppData\Local\Temp\OnboardLogs"\RTDC4005\2017-10-29 --exclude "*" --recursive --include "*20171029*" &amp; "%USERPROFILE%\Documents\GitHub\mrs-test-scripts\Headless Mode &amp; Sideloading\WalkAndUnGZ.bat" "%USERPROFILE%\AppData\Local\Temp\OnboardLogs"\RTDC4005\2017-10-29 &amp; aws s3 cp s3://rtdc.mdm.uploadarchive.raw/RTDC4005/ "%USERPROFILE%\AppData\Local\Temp\OnboardLogs"\RTDC4005\2017-10-30 --exclude "*" --recursive --include "*20171030*" &amp; "%USERPROFILE%\Documents\GitHub\mrs-test-scripts\Headless Mode &amp; Sideloading\WalkAndUnGZ.bat" "%USERPROFILE%\AppData\Local\Temp\OnboardLogs"\RTDC4005\2017-10-30</v>
      </c>
      <c r="AF122" s="221" t="str">
        <f t="shared" si="48"/>
        <v>"C:\Program Files (x86)\AstroGrep\AstroGrep.exe" /e /r /s /spath="%USERPROFILE%\AppData\Local\Temp\OnboardLogs" /stypes="app*4005*20171030*" /stext=" 00:.+((SYSTEM_STATE.+slice.+state.+changed )|(ment ac)|(multiple cpu faults)|(system.+state.+changed )|(\[timeout)|(PRM\|1\|D)|(kpr)|(kdp)|(train st.+moving)|(\|lc)|(penalty))"</v>
      </c>
      <c r="AG122" s="185" t="str">
        <f t="shared" si="49"/>
        <v>EC</v>
      </c>
      <c r="AH122" s="222" t="str">
        <f t="shared" si="34"/>
        <v>"%USERPROFILE%\Documents\GitHub\eaglep3\Utilities\RefineRTDCRunTimes.py" --tripid 208-29 --locoid 4005 --swversion DE.1.0.9.0 --startMP 204:232925 --initTime 2017-10-29T17:39:42 --startdatetime 2017-10-29T17:57:15 --delay 75 --endMP 204:282 --enddatetime 2017-10-29T18:34:44 --enforcementcount 0 &gt;&gt;%USERPROFILE%\Documents\GitHub\eaglep3-reporting\EC\2017-10-29-refined-times.txt</v>
      </c>
      <c r="AI122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{"issue":{"subject":"","project_id":79,"tracker_id":40,"status_id":1,"priority_id":2,"assigned_to_id":338,"start_date":"2017-10-29","description":"","custom_fields":[{"id":1,"name":"Subdivision","value":"EC"},{"id":4,"name":"Milepost","value":"0.0282"},{"id":17,"name":"Train ID","value":"208-29"},{"id":16,"name":"Locomotive ID","value":"4005"},{"id":130,"name":"Impact","value":""},{"id":150,"name":"Time of Event (Mountain Time)","value":"18:34:44"},{"id":151,"name":"Denver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2" s="182"/>
      <c r="AK122" s="186"/>
      <c r="AL122" s="186"/>
      <c r="AM122" s="187" t="str">
        <f t="shared" si="36"/>
        <v>start /low /b %USERPROFILE%\Documents\GitHub\eaglep3\Utilities\DownloadLogsFromS3.py --loco 4005 --day 2017-10-29</v>
      </c>
      <c r="AN122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00:34:44"},{"id":29,"name":"Sharepoint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82" t="str">
        <f t="shared" si="38"/>
        <v>https://d0f6bd738d7f1b3e5a7ca70fe4ff75f0.us-east-1.aws.found.io/app/kibana#/discover/Steve-Slow-Train-Analysis-(2080s-and-2083s)?_g=(refreshInterval:(display:Off,pause:!f,section:0,value:0),time:(from:'2017-10-29T16:39:42-0600',mode:absolute,to:'2017-10-29T19:34:44-0600'))&amp;_a=(columns:!('Message%20ID',Summary),filters:!(),index:'emp_*',interval:auto,query:(query_string:(analyze_wildcard:!t,query:'%22rtdc.l.rtdc.4005%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32" t="s">
        <v>812</v>
      </c>
      <c r="B123" s="7">
        <v>4062</v>
      </c>
      <c r="C123" s="21" t="s">
        <v>194</v>
      </c>
      <c r="D123" s="21" t="s">
        <v>1021</v>
      </c>
      <c r="E123" s="13">
        <v>43037.716180555559</v>
      </c>
      <c r="F123" s="13">
        <v>43037.719039351854</v>
      </c>
      <c r="G123" s="7">
        <v>71</v>
      </c>
      <c r="H123" s="21" t="s">
        <v>942</v>
      </c>
      <c r="I123" s="13">
        <v>43037.744814814818</v>
      </c>
      <c r="J123" s="7">
        <v>0</v>
      </c>
      <c r="K123" s="76" t="str">
        <f t="shared" si="39"/>
        <v>4061/4062</v>
      </c>
      <c r="L123" s="164" t="str">
        <f>VLOOKUP(A123,'Trips&amp;Operators'!$C$1:$G$99911,5,FALSE)</f>
        <v>CASSIDY BRANDON</v>
      </c>
      <c r="M123" s="6">
        <f t="shared" si="40"/>
        <v>2.5775462963792961E-2</v>
      </c>
      <c r="N123" s="7">
        <f t="shared" si="57"/>
        <v>37.116666667861864</v>
      </c>
      <c r="O123" s="7"/>
      <c r="P123" s="7"/>
      <c r="Q123" s="22"/>
      <c r="R123" s="157"/>
      <c r="S123" s="215">
        <f t="shared" si="56"/>
        <v>1</v>
      </c>
      <c r="T123" s="216" t="str">
        <f t="shared" si="41"/>
        <v>NorthBound</v>
      </c>
      <c r="U123" s="216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7" t="str">
        <f t="shared" si="42"/>
        <v>https://d0f6bd738d7f1b3e5a7ca70fe4ff75f0.us-east-1.aws.found.io/app/kibana#/discover/Steve-Slow-Train-Analysis-(2080s-and-2083s)?_g=(refreshInterval:(display:Off,pause:!f,section:0,value:0),time:(from:'2017-10-29T16:11:18-0600',mode:absolute,to:'2017-10-29T18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3" s="218" t="str">
        <f>IF(AA123&lt;VLOOKUP(AG123,Variables!$AC$3:$AD$8,2,FALSE),"Y","N")</f>
        <v>N</v>
      </c>
      <c r="X123" s="218">
        <f t="shared" si="53"/>
        <v>1</v>
      </c>
      <c r="Y123" s="218">
        <f t="shared" si="54"/>
        <v>4.8000000000000001E-2</v>
      </c>
      <c r="Z123" s="218">
        <f t="shared" si="55"/>
        <v>23.3247</v>
      </c>
      <c r="AA123" s="218">
        <f t="shared" si="45"/>
        <v>23.276700000000002</v>
      </c>
      <c r="AB123" s="219" t="e">
        <f>VLOOKUP(A123,Enforcements!$C$7:$K$11,8,0)</f>
        <v>#N/A</v>
      </c>
      <c r="AC123" s="219" t="e">
        <f>VLOOKUP(A123,Enforcements!$C$7:$E$11,3,0)</f>
        <v>#N/A</v>
      </c>
      <c r="AD123" s="186">
        <f t="shared" si="46"/>
        <v>209</v>
      </c>
      <c r="AE123" s="220" t="str">
        <f t="shared" si="47"/>
        <v>aws s3 cp s3://rtdc.mdm.uploadarchive.raw/RTDC4062/ "%USERPROFILE%\AppData\Local\Temp\OnboardLogs"\RTDC4062\2017-10-29 --exclude "*" --recursive --include "*20171029*" &amp; "%USERPROFILE%\Documents\GitHub\mrs-test-scripts\Headless Mode &amp; Sideloading\WalkAndUnGZ.bat" "%USERPROFILE%\AppData\Local\Temp\OnboardLogs"\RTDC4062\2017-10-29 &amp; aws s3 cp s3://rtdc.mdm.uploadarchive.raw/RTDC4062/ "%USERPROFILE%\AppData\Local\Temp\OnboardLogs"\RTDC4062\2017-10-30 --exclude "*" --recursive --include "*20171030*" &amp; "%USERPROFILE%\Documents\GitHub\mrs-test-scripts\Headless Mode &amp; Sideloading\WalkAndUnGZ.bat" "%USERPROFILE%\AppData\Local\Temp\OnboardLogs"\RTDC4062\2017-10-30</v>
      </c>
      <c r="AF123" s="221" t="str">
        <f t="shared" si="48"/>
        <v>"C:\Program Files (x86)\AstroGrep\AstroGrep.exe" /e /r /s /spath="%USERPROFILE%\AppData\Local\Temp\OnboardLogs" /stypes="app*4062*20171029*" /stext=" 23:.+((SYSTEM_STATE.+slice.+state.+changed )|(ment ac)|(multiple cpu faults)|(system.+state.+changed )|(\[timeout)|(PRM\|1\|D)|(kpr)|(kdp)|(train st.+moving)|(\|lc)|(penalty))"</v>
      </c>
      <c r="AG123" s="185" t="str">
        <f t="shared" si="49"/>
        <v>EC</v>
      </c>
      <c r="AH123" s="222" t="str">
        <f t="shared" si="34"/>
        <v>"%USERPROFILE%\Documents\GitHub\eaglep3\Utilities\RefineRTDCRunTimes.py" --tripid 209-29 --locoid 4062 --swversion DE.1.0.9.0 --startMP 204:480 --initTime 2017-10-29T17:11:18 --startdatetime 2017-10-29T17:15:25 --delay 71 --endMP 204:233247 --enddatetime 2017-10-29T17:52:32 --enforcementcount 0 &gt;&gt;%USERPROFILE%\Documents\GitHub\eaglep3-reporting\EC\2017-10-29-refined-times.txt</v>
      </c>
      <c r="AI123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{"issue":{"subject":"","project_id":79,"tracker_id":40,"status_id":1,"priority_id":2,"assigned_to_id":338,"start_date":"2017-10-29","description":"","custom_fields":[{"id":1,"name":"Subdivision","value":"EC"},{"id":4,"name":"Milepost","value":"23.3247"},{"id":17,"name":"Train ID","value":"209-29"},{"id":16,"name":"Locomotive ID","value":"4062"},{"id":130,"name":"Impact","value":""},{"id":150,"name":"Time of Event (Mountain Time)","value":"17:52:32"},{"id":151,"name":"Denver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182"/>
      <c r="AK123" s="186"/>
      <c r="AL123" s="186"/>
      <c r="AM123" s="187" t="str">
        <f t="shared" si="36"/>
        <v>start /low /b %USERPROFILE%\Documents\GitHub\eaglep3\Utilities\DownloadLogsFromS3.py --loco 4062 --day 2017-10-29</v>
      </c>
      <c r="AN123" s="224" t="str">
        <f t="shared" si="37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23:52:32"},{"id":29,"name":"Sharepoint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82" t="str">
        <f t="shared" si="38"/>
        <v>https://d0f6bd738d7f1b3e5a7ca70fe4ff75f0.us-east-1.aws.found.io/app/kibana#/discover/Steve-Slow-Train-Analysis-(2080s-and-2083s)?_g=(refreshInterval:(display:Off,pause:!f,section:0,value:0),time:(from:'2017-10-29T16:11:18-0600',mode:absolute,to:'2017-10-29T18:52:32-0600'))&amp;_a=(columns:!('Message%20ID',Summary),filters:!(),index:'emp_*',interval:auto,query:(query_string:(analyze_wildcard:!t,query:'%22rtdc.l.rtdc.4062%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32" t="s">
        <v>822</v>
      </c>
      <c r="B124" s="7">
        <v>4061</v>
      </c>
      <c r="C124" s="21" t="s">
        <v>194</v>
      </c>
      <c r="D124" s="21" t="s">
        <v>613</v>
      </c>
      <c r="E124" s="13">
        <v>43037.755578703705</v>
      </c>
      <c r="F124" s="13">
        <v>43037.75854166667</v>
      </c>
      <c r="G124" s="7">
        <v>72</v>
      </c>
      <c r="H124" s="21" t="s">
        <v>603</v>
      </c>
      <c r="I124" s="13">
        <v>43037.785266203704</v>
      </c>
      <c r="J124" s="7">
        <v>0</v>
      </c>
      <c r="K124" s="76" t="str">
        <f t="shared" si="39"/>
        <v>4061/4062</v>
      </c>
      <c r="L124" s="164" t="str">
        <f>VLOOKUP(A124,'Trips&amp;Operators'!$C$1:$G$99911,5,FALSE)</f>
        <v>CASSIDY BRANDON</v>
      </c>
      <c r="M124" s="6">
        <f t="shared" si="40"/>
        <v>2.6724537034169771E-2</v>
      </c>
      <c r="N124" s="7">
        <f t="shared" si="57"/>
        <v>38.48333332920447</v>
      </c>
      <c r="O124" s="7"/>
      <c r="P124" s="7"/>
      <c r="Q124" s="22"/>
      <c r="R124" s="157"/>
      <c r="S124" s="215">
        <f t="shared" si="56"/>
        <v>1</v>
      </c>
      <c r="T124" s="216" t="str">
        <f t="shared" si="41"/>
        <v>Southbound</v>
      </c>
      <c r="U124" s="216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7" t="str">
        <f t="shared" si="42"/>
        <v>https://d0f6bd738d7f1b3e5a7ca70fe4ff75f0.us-east-1.aws.found.io/app/kibana#/discover/Steve-Slow-Train-Analysis-(2080s-and-2083s)?_g=(refreshInterval:(display:Off,pause:!f,section:0,value:0),time:(from:'2017-10-29T17:08:02-0600',mode:absolute,to:'2017-10-29T19:50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4" s="218" t="str">
        <f>IF(AA124&lt;VLOOKUP(AG124,Variables!$AC$3:$AD$8,2,FALSE),"Y","N")</f>
        <v>N</v>
      </c>
      <c r="X124" s="218">
        <f t="shared" si="53"/>
        <v>1</v>
      </c>
      <c r="Y124" s="218">
        <f t="shared" si="54"/>
        <v>23.2927</v>
      </c>
      <c r="Z124" s="218">
        <f t="shared" si="55"/>
        <v>2.0500000000000001E-2</v>
      </c>
      <c r="AA124" s="218">
        <f t="shared" si="45"/>
        <v>23.272200000000002</v>
      </c>
      <c r="AB124" s="219" t="e">
        <f>VLOOKUP(A124,Enforcements!$C$7:$K$11,8,0)</f>
        <v>#N/A</v>
      </c>
      <c r="AC124" s="219" t="e">
        <f>VLOOKUP(A124,Enforcements!$C$7:$E$11,3,0)</f>
        <v>#N/A</v>
      </c>
      <c r="AD124" s="186">
        <f t="shared" si="46"/>
        <v>210</v>
      </c>
      <c r="AE124" s="220" t="str">
        <f t="shared" si="47"/>
        <v>aws s3 cp s3://rtdc.mdm.uploadarchive.raw/RTDC4061/ "%USERPROFILE%\AppData\Local\Temp\OnboardLogs"\RTDC4061\2017-10-29 --exclude "*" --recursive --include "*20171029*" &amp; "%USERPROFILE%\Documents\GitHub\mrs-test-scripts\Headless Mode &amp; Sideloading\WalkAndUnGZ.bat" "%USERPROFILE%\AppData\Local\Temp\OnboardLogs"\RTDC4061\2017-10-29 &amp; aws s3 cp s3://rtdc.mdm.uploadarchive.raw/RTDC4061/ "%USERPROFILE%\AppData\Local\Temp\OnboardLogs"\RTDC4061\2017-10-30 --exclude "*" --recursive --include "*20171030*" &amp; "%USERPROFILE%\Documents\GitHub\mrs-test-scripts\Headless Mode &amp; Sideloading\WalkAndUnGZ.bat" "%USERPROFILE%\AppData\Local\Temp\OnboardLogs"\RTDC4061\2017-10-30</v>
      </c>
      <c r="AF124" s="221" t="str">
        <f t="shared" si="48"/>
        <v>"C:\Program Files (x86)\AstroGrep\AstroGrep.exe" /e /r /s /spath="%USERPROFILE%\AppData\Local\Temp\OnboardLogs" /stypes="app*4061*20171030*" /stext=" 00:.+((SYSTEM_STATE.+slice.+state.+changed )|(ment ac)|(multiple cpu faults)|(system.+state.+changed )|(\[timeout)|(PRM\|1\|D)|(kpr)|(kdp)|(train st.+moving)|(\|lc)|(penalty))"</v>
      </c>
      <c r="AG124" s="185" t="str">
        <f t="shared" si="49"/>
        <v>EC</v>
      </c>
      <c r="AH124" s="222" t="str">
        <f t="shared" si="34"/>
        <v>"%USERPROFILE%\Documents\GitHub\eaglep3\Utilities\RefineRTDCRunTimes.py" --tripid 210-29 --locoid 4061 --swversion DE.1.0.9.0 --startMP 204:232927 --initTime 2017-10-29T18:08:02 --startdatetime 2017-10-29T18:12:18 --delay 72 --endMP 204:205 --enddatetime 2017-10-29T18:50:47 --enforcementcount 0 &gt;&gt;%USERPROFILE%\Documents\GitHub\eaglep3-reporting\EC\2017-10-29-refined-times.txt</v>
      </c>
      <c r="AI124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{"issue":{"subject":"","project_id":79,"tracker_id":40,"status_id":1,"priority_id":2,"assigned_to_id":338,"start_date":"2017-10-29","description":"","custom_fields":[{"id":1,"name":"Subdivision","value":"EC"},{"id":4,"name":"Milepost","value":"0.0205"},{"id":17,"name":"Train ID","value":"210-29"},{"id":16,"name":"Locomotive ID","value":"4061"},{"id":130,"name":"Impact","value":""},{"id":150,"name":"Time of Event (Mountain Time)","value":"18:50:47"},{"id":151,"name":"Denver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182"/>
      <c r="AK124" s="186"/>
      <c r="AL124" s="186"/>
      <c r="AM124" s="187" t="str">
        <f t="shared" si="36"/>
        <v>start /low /b %USERPROFILE%\Documents\GitHub\eaglep3\Utilities\DownloadLogsFromS3.py --loco 4061 --day 2017-10-29</v>
      </c>
      <c r="AN124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00:50:47"},{"id":29,"name":"Sharepoint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82" t="str">
        <f t="shared" si="38"/>
        <v>https://d0f6bd738d7f1b3e5a7ca70fe4ff75f0.us-east-1.aws.found.io/app/kibana#/discover/Steve-Slow-Train-Analysis-(2080s-and-2083s)?_g=(refreshInterval:(display:Off,pause:!f,section:0,value:0),time:(from:'2017-10-29T17:08:02-0600',mode:absolute,to:'2017-10-29T19:50:47-0600'))&amp;_a=(columns:!('Message%20ID',Summary),filters:!(),index:'emp_*',interval:auto,query:(query_string:(analyze_wildcard:!t,query:'%22rtdc.l.rtdc.4061%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32" t="s">
        <v>814</v>
      </c>
      <c r="B125" s="7">
        <v>4046</v>
      </c>
      <c r="C125" s="21" t="s">
        <v>194</v>
      </c>
      <c r="D125" s="21" t="s">
        <v>1022</v>
      </c>
      <c r="E125" s="13">
        <v>43037.72583333333</v>
      </c>
      <c r="F125" s="13">
        <v>43037.729398148149</v>
      </c>
      <c r="G125" s="7">
        <v>90</v>
      </c>
      <c r="H125" s="21" t="s">
        <v>564</v>
      </c>
      <c r="I125" s="13">
        <v>43037.754374999997</v>
      </c>
      <c r="J125" s="7">
        <v>0</v>
      </c>
      <c r="K125" s="76" t="str">
        <f t="shared" si="39"/>
        <v>4045/4046</v>
      </c>
      <c r="L125" s="164" t="str">
        <f>VLOOKUP(A125,'Trips&amp;Operators'!$C$1:$G$99911,5,FALSE)</f>
        <v>BERLING GARY</v>
      </c>
      <c r="M125" s="6">
        <f t="shared" si="40"/>
        <v>2.4976851847895887E-2</v>
      </c>
      <c r="N125" s="7">
        <f t="shared" si="57"/>
        <v>35.966666660970077</v>
      </c>
      <c r="O125" s="7"/>
      <c r="P125" s="7"/>
      <c r="Q125" s="22"/>
      <c r="R125" s="157"/>
      <c r="S125" s="215">
        <f t="shared" si="56"/>
        <v>1</v>
      </c>
      <c r="T125" s="216" t="str">
        <f t="shared" si="41"/>
        <v>NorthBound</v>
      </c>
      <c r="U125" s="216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7" t="str">
        <f t="shared" si="42"/>
        <v>https://d0f6bd738d7f1b3e5a7ca70fe4ff75f0.us-east-1.aws.found.io/app/kibana#/discover/Steve-Slow-Train-Analysis-(2080s-and-2083s)?_g=(refreshInterval:(display:Off,pause:!f,section:0,value:0),time:(from:'2017-10-29T16:25:12-0600',mode:absolute,to:'2017-10-29T19:06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5" s="218" t="str">
        <f>IF(AA125&lt;VLOOKUP(AG125,Variables!$AC$3:$AD$8,2,FALSE),"Y","N")</f>
        <v>N</v>
      </c>
      <c r="X125" s="218">
        <f t="shared" si="53"/>
        <v>1</v>
      </c>
      <c r="Y125" s="218">
        <f t="shared" si="54"/>
        <v>6.0400000000000002E-2</v>
      </c>
      <c r="Z125" s="218">
        <f t="shared" si="55"/>
        <v>23.3264</v>
      </c>
      <c r="AA125" s="218">
        <f t="shared" si="45"/>
        <v>23.265999999999998</v>
      </c>
      <c r="AB125" s="219" t="e">
        <f>VLOOKUP(A125,Enforcements!$C$7:$K$11,8,0)</f>
        <v>#N/A</v>
      </c>
      <c r="AC125" s="219" t="e">
        <f>VLOOKUP(A125,Enforcements!$C$7:$E$11,3,0)</f>
        <v>#N/A</v>
      </c>
      <c r="AD125" s="186">
        <f t="shared" si="46"/>
        <v>211</v>
      </c>
      <c r="AE125" s="220" t="str">
        <f t="shared" si="47"/>
        <v>aws s3 cp s3://rtdc.mdm.uploadarchive.raw/RTDC4046/ "%USERPROFILE%\AppData\Local\Temp\OnboardLogs"\RTDC4046\2017-10-29 --exclude "*" --recursive --include "*20171029*" &amp; "%USERPROFILE%\Documents\GitHub\mrs-test-scripts\Headless Mode &amp; Sideloading\WalkAndUnGZ.bat" "%USERPROFILE%\AppData\Local\Temp\OnboardLogs"\RTDC4046\2017-10-29 &amp; aws s3 cp s3://rtdc.mdm.uploadarchive.raw/RTDC4046/ "%USERPROFILE%\AppData\Local\Temp\OnboardLogs"\RTDC4046\2017-10-30 --exclude "*" --recursive --include "*20171030*" &amp; "%USERPROFILE%\Documents\GitHub\mrs-test-scripts\Headless Mode &amp; Sideloading\WalkAndUnGZ.bat" "%USERPROFILE%\AppData\Local\Temp\OnboardLogs"\RTDC4046\2017-10-30</v>
      </c>
      <c r="AF125" s="221" t="str">
        <f t="shared" si="48"/>
        <v>"C:\Program Files (x86)\AstroGrep\AstroGrep.exe" /e /r /s /spath="%USERPROFILE%\AppData\Local\Temp\OnboardLogs" /stypes="app*4046*20171030*" /stext=" 00:.+((SYSTEM_STATE.+slice.+state.+changed )|(ment ac)|(multiple cpu faults)|(system.+state.+changed )|(\[timeout)|(PRM\|1\|D)|(kpr)|(kdp)|(train st.+moving)|(\|lc)|(penalty))"</v>
      </c>
      <c r="AG125" s="185" t="str">
        <f t="shared" si="49"/>
        <v>EC</v>
      </c>
      <c r="AH125" s="222" t="str">
        <f t="shared" si="34"/>
        <v>"%USERPROFILE%\Documents\GitHub\eaglep3\Utilities\RefineRTDCRunTimes.py" --tripid 211-29 --locoid 4046 --swversion DE.1.0.9.0 --startMP 204:604 --initTime 2017-10-29T17:25:12 --startdatetime 2017-10-29T17:30:20 --delay 90 --endMP 204:233264 --enddatetime 2017-10-29T18:06:18 --enforcementcount 0 &gt;&gt;%USERPROFILE%\Documents\GitHub\eaglep3-reporting\EC\2017-10-29-refined-times.txt</v>
      </c>
      <c r="AI125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{"issue":{"subject":"","project_id":79,"tracker_id":40,"status_id":1,"priority_id":2,"assigned_to_id":338,"start_date":"2017-10-29","description":"","custom_fields":[{"id":1,"name":"Subdivision","value":"EC"},{"id":4,"name":"Milepost","value":"23.3264"},{"id":17,"name":"Train ID","value":"211-29"},{"id":16,"name":"Locomotive ID","value":"4046"},{"id":130,"name":"Impact","value":""},{"id":150,"name":"Time of Event (Mountain Time)","value":"18:06:18"},{"id":151,"name":"Denver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182"/>
      <c r="AK125" s="186"/>
      <c r="AL125" s="186"/>
      <c r="AM125" s="187" t="str">
        <f t="shared" si="36"/>
        <v>start /low /b %USERPROFILE%\Documents\GitHub\eaglep3\Utilities\DownloadLogsFromS3.py --loco 4046 --day 2017-10-29</v>
      </c>
      <c r="AN125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00:06:18"},{"id":29,"name":"Sharepoint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82" t="str">
        <f t="shared" si="38"/>
        <v>https://d0f6bd738d7f1b3e5a7ca70fe4ff75f0.us-east-1.aws.found.io/app/kibana#/discover/Steve-Slow-Train-Analysis-(2080s-and-2083s)?_g=(refreshInterval:(display:Off,pause:!f,section:0,value:0),time:(from:'2017-10-29T16:25:12-0600',mode:absolute,to:'2017-10-29T19:06:18-0600'))&amp;_a=(columns:!('Message%20ID',Summary),filters:!(),index:'emp_*',interval:auto,query:(query_string:(analyze_wildcard:!t,query:'%22rtdc.l.rtdc.4046%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32" t="s">
        <v>825</v>
      </c>
      <c r="B126" s="7">
        <v>4045</v>
      </c>
      <c r="C126" s="21" t="s">
        <v>194</v>
      </c>
      <c r="D126" s="21" t="s">
        <v>532</v>
      </c>
      <c r="E126" s="13">
        <v>43037.76226851852</v>
      </c>
      <c r="F126" s="13">
        <v>43037.768923611111</v>
      </c>
      <c r="G126" s="7">
        <v>107</v>
      </c>
      <c r="H126" s="21" t="s">
        <v>1023</v>
      </c>
      <c r="I126" s="13">
        <v>43037.805914351855</v>
      </c>
      <c r="J126" s="7">
        <v>0</v>
      </c>
      <c r="K126" s="76" t="str">
        <f t="shared" si="39"/>
        <v>4045/4046</v>
      </c>
      <c r="L126" s="164" t="str">
        <f>VLOOKUP(A126,'Trips&amp;Operators'!$C$1:$G$99911,5,FALSE)</f>
        <v>BERLING GARY</v>
      </c>
      <c r="M126" s="6">
        <f t="shared" si="40"/>
        <v>3.6990740743931383E-2</v>
      </c>
      <c r="N126" s="7">
        <f t="shared" si="57"/>
        <v>53.266666671261191</v>
      </c>
      <c r="O126" s="7"/>
      <c r="P126" s="7"/>
      <c r="Q126" s="22"/>
      <c r="R126" s="157" t="s">
        <v>1099</v>
      </c>
      <c r="S126" s="215">
        <f t="shared" si="56"/>
        <v>1</v>
      </c>
      <c r="T126" s="216" t="str">
        <f t="shared" si="41"/>
        <v>Southbound</v>
      </c>
      <c r="U126" s="216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7" t="str">
        <f t="shared" si="42"/>
        <v>https://d0f6bd738d7f1b3e5a7ca70fe4ff75f0.us-east-1.aws.found.io/app/kibana#/discover/Steve-Slow-Train-Analysis-(2080s-and-2083s)?_g=(refreshInterval:(display:Off,pause:!f,section:0,value:0),time:(from:'2017-10-29T17:17:40-0600',mode:absolute,to:'2017-10-29T20:20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6" s="218" t="str">
        <f>IF(AA126&lt;VLOOKUP(AG126,Variables!$AC$3:$AD$8,2,FALSE),"Y","N")</f>
        <v>N</v>
      </c>
      <c r="X126" s="218">
        <f t="shared" si="53"/>
        <v>1</v>
      </c>
      <c r="Y126" s="218">
        <f t="shared" si="54"/>
        <v>23.294499999999999</v>
      </c>
      <c r="Z126" s="218">
        <f t="shared" si="55"/>
        <v>3.3599999999999998E-2</v>
      </c>
      <c r="AA126" s="218">
        <f t="shared" si="45"/>
        <v>23.260899999999999</v>
      </c>
      <c r="AB126" s="219" t="e">
        <f>VLOOKUP(A126,Enforcements!$C$7:$K$11,8,0)</f>
        <v>#N/A</v>
      </c>
      <c r="AC126" s="219" t="e">
        <f>VLOOKUP(A126,Enforcements!$C$7:$E$11,3,0)</f>
        <v>#N/A</v>
      </c>
      <c r="AD126" s="186">
        <f t="shared" si="46"/>
        <v>212</v>
      </c>
      <c r="AE126" s="220" t="str">
        <f t="shared" si="47"/>
        <v>aws s3 cp s3://rtdc.mdm.uploadarchive.raw/RTDC4045/ "%USERPROFILE%\AppData\Local\Temp\OnboardLogs"\RTDC4045\2017-10-29 --exclude "*" --recursive --include "*20171029*" &amp; "%USERPROFILE%\Documents\GitHub\mrs-test-scripts\Headless Mode &amp; Sideloading\WalkAndUnGZ.bat" "%USERPROFILE%\AppData\Local\Temp\OnboardLogs"\RTDC4045\2017-10-29 &amp; aws s3 cp s3://rtdc.mdm.uploadarchive.raw/RTDC4045/ "%USERPROFILE%\AppData\Local\Temp\OnboardLogs"\RTDC4045\2017-10-30 --exclude "*" --recursive --include "*20171030*" &amp; "%USERPROFILE%\Documents\GitHub\mrs-test-scripts\Headless Mode &amp; Sideloading\WalkAndUnGZ.bat" "%USERPROFILE%\AppData\Local\Temp\OnboardLogs"\RTDC4045\2017-10-30</v>
      </c>
      <c r="AF126" s="221" t="str">
        <f t="shared" si="48"/>
        <v>"C:\Program Files (x86)\AstroGrep\AstroGrep.exe" /e /r /s /spath="%USERPROFILE%\AppData\Local\Temp\OnboardLogs" /stypes="app*4045*20171030*" /stext=" 01:.+((SYSTEM_STATE.+slice.+state.+changed )|(ment ac)|(multiple cpu faults)|(system.+state.+changed )|(\[timeout)|(PRM\|1\|D)|(kpr)|(kdp)|(train st.+moving)|(\|lc)|(penalty))"</v>
      </c>
      <c r="AG126" s="185" t="str">
        <f t="shared" si="49"/>
        <v>EC</v>
      </c>
      <c r="AH126" s="222" t="str">
        <f t="shared" si="34"/>
        <v>"%USERPROFILE%\Documents\GitHub\eaglep3\Utilities\RefineRTDCRunTimes.py" --tripid 212-29 --locoid 4045 --swversion DE.1.0.9.0 --startMP 204:232945 --initTime 2017-10-29T18:17:40 --startdatetime 2017-10-29T18:27:15 --delay 107 --endMP 204:336 --enddatetime 2017-10-29T19:20:31 --enforcementcount 0 &gt;&gt;%USERPROFILE%\Documents\GitHub\eaglep3-reporting\EC\2017-10-29-refined-times.txt</v>
      </c>
      <c r="AI126" s="223" t="str">
        <f t="shared" si="35"/>
        <v>echo {"issue":{"subject":"Delay due to propulsion fault","project_id":79,"tracker_id":40,"status_id":1,"priority_id":2,"assigned_to_id":338,"start_date":"2017-10-29","description":"","custom_fields":[{"id":1,"name":"Subdivision","value":"EC"},{"id":4,"name":"Milepost","value":"0.0336"},{"id":17,"name":"Train ID","value":"212-29"},{"id":16,"name":"Locomotive ID","value":"4045"},{"id":130,"name":"Impact","value":""},{"id":150,"name":"Time of Event (Mountain Time)","value":"19:20:31"},{"id":151,"name":"Denver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182"/>
      <c r="AK126" s="186"/>
      <c r="AL126" s="186"/>
      <c r="AM126" s="187" t="str">
        <f t="shared" si="36"/>
        <v>start /low /b %USERPROFILE%\Documents\GitHub\eaglep3\Utilities\DownloadLogsFromS3.py --loco 4045 --day 2017-10-29</v>
      </c>
      <c r="AN126" s="224" t="str">
        <f t="shared" si="37"/>
        <v>echo {"issue":{"subject":"Delay due to propulsion fault","project_id":30,"tracker_id":4,"status_id":1,"priority_id":1,"assigned_to_id":10,"start_date":"2017-10-30","description":"","custom_fields":[{"id":30,"name":"Category","value":"Issue"},{"id":3,"name":"Functional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01:20:31"},{"id":29,"name":"Sharepoint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82" t="str">
        <f t="shared" si="38"/>
        <v>https://d0f6bd738d7f1b3e5a7ca70fe4ff75f0.us-east-1.aws.found.io/app/kibana#/discover/Steve-Slow-Train-Analysis-(2080s-and-2083s)?_g=(refreshInterval:(display:Off,pause:!f,section:0,value:0),time:(from:'2017-10-29T17:17:40-0600',mode:absolute,to:'2017-10-29T20:20:31-0600'))&amp;_a=(columns:!('Message%20ID',Summary),filters:!(),index:'emp_*',interval:auto,query:(query_string:(analyze_wildcard:!t,query:'%22rtdc.l.rtdc.4045%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32" t="s">
        <v>819</v>
      </c>
      <c r="B127" s="7">
        <v>4018</v>
      </c>
      <c r="C127" s="21" t="s">
        <v>194</v>
      </c>
      <c r="D127" s="21" t="s">
        <v>610</v>
      </c>
      <c r="E127" s="13">
        <v>43037.737395833334</v>
      </c>
      <c r="F127" s="13">
        <v>43037.74009259259</v>
      </c>
      <c r="G127" s="7">
        <v>108</v>
      </c>
      <c r="H127" s="21" t="s">
        <v>1024</v>
      </c>
      <c r="I127" s="13">
        <v>43037.764699074076</v>
      </c>
      <c r="J127" s="7">
        <v>0</v>
      </c>
      <c r="K127" s="76" t="str">
        <f t="shared" si="39"/>
        <v>4017/4018</v>
      </c>
      <c r="L127" s="164" t="str">
        <f>VLOOKUP(A127,'Trips&amp;Operators'!$C$1:$G$99911,5,FALSE)</f>
        <v>LOZA FIDEL</v>
      </c>
      <c r="M127" s="6">
        <f t="shared" si="40"/>
        <v>2.4606481485534459E-2</v>
      </c>
      <c r="N127" s="7">
        <f t="shared" si="57"/>
        <v>35.433333339169621</v>
      </c>
      <c r="O127" s="7"/>
      <c r="P127" s="7"/>
      <c r="Q127" s="22"/>
      <c r="R127" s="157"/>
      <c r="S127" s="215">
        <f t="shared" si="56"/>
        <v>1</v>
      </c>
      <c r="T127" s="216" t="str">
        <f t="shared" si="41"/>
        <v>NorthBound</v>
      </c>
      <c r="U127" s="216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7" t="str">
        <f t="shared" si="42"/>
        <v>https://d0f6bd738d7f1b3e5a7ca70fe4ff75f0.us-east-1.aws.found.io/app/kibana#/discover/Steve-Slow-Train-Analysis-(2080s-and-2083s)?_g=(refreshInterval:(display:Off,pause:!f,section:0,value:0),time:(from:'2017-10-29T16:41:51-0600',mode:absolute,to:'2017-10-29T19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7" s="218" t="str">
        <f>IF(AA127&lt;VLOOKUP(AG127,Variables!$AC$3:$AD$8,2,FALSE),"Y","N")</f>
        <v>N</v>
      </c>
      <c r="X127" s="218">
        <f t="shared" si="53"/>
        <v>1</v>
      </c>
      <c r="Y127" s="218">
        <f t="shared" si="54"/>
        <v>5.5100000000000003E-2</v>
      </c>
      <c r="Z127" s="218">
        <f t="shared" si="55"/>
        <v>23.322399999999998</v>
      </c>
      <c r="AA127" s="218">
        <f t="shared" si="45"/>
        <v>23.267299999999999</v>
      </c>
      <c r="AB127" s="219" t="e">
        <f>VLOOKUP(A127,Enforcements!$C$7:$K$11,8,0)</f>
        <v>#N/A</v>
      </c>
      <c r="AC127" s="219" t="e">
        <f>VLOOKUP(A127,Enforcements!$C$7:$E$11,3,0)</f>
        <v>#N/A</v>
      </c>
      <c r="AD127" s="186">
        <f t="shared" si="46"/>
        <v>213</v>
      </c>
      <c r="AE127" s="220" t="str">
        <f t="shared" si="47"/>
        <v>aws s3 cp s3://rtdc.mdm.uploadarchive.raw/RTDC4018/ "%USERPROFILE%\AppData\Local\Temp\OnboardLogs"\RTDC4018\2017-10-29 --exclude "*" --recursive --include "*20171029*" &amp; "%USERPROFILE%\Documents\GitHub\mrs-test-scripts\Headless Mode &amp; Sideloading\WalkAndUnGZ.bat" "%USERPROFILE%\AppData\Local\Temp\OnboardLogs"\RTDC4018\2017-10-29 &amp; aws s3 cp s3://rtdc.mdm.uploadarchive.raw/RTDC4018/ "%USERPROFILE%\AppData\Local\Temp\OnboardLogs"\RTDC4018\2017-10-30 --exclude "*" --recursive --include "*20171030*" &amp; "%USERPROFILE%\Documents\GitHub\mrs-test-scripts\Headless Mode &amp; Sideloading\WalkAndUnGZ.bat" "%USERPROFILE%\AppData\Local\Temp\OnboardLogs"\RTDC4018\2017-10-30</v>
      </c>
      <c r="AF127" s="221" t="str">
        <f t="shared" si="48"/>
        <v>"C:\Program Files (x86)\AstroGrep\AstroGrep.exe" /e /r /s /spath="%USERPROFILE%\AppData\Local\Temp\OnboardLogs" /stypes="app*4018*20171030*" /stext=" 00:.+((SYSTEM_STATE.+slice.+state.+changed )|(ment ac)|(multiple cpu faults)|(system.+state.+changed )|(\[timeout)|(PRM\|1\|D)|(kpr)|(kdp)|(train st.+moving)|(\|lc)|(penalty))"</v>
      </c>
      <c r="AG127" s="185" t="str">
        <f t="shared" si="49"/>
        <v>EC</v>
      </c>
      <c r="AH127" s="222" t="str">
        <f t="shared" si="34"/>
        <v>"%USERPROFILE%\Documents\GitHub\eaglep3\Utilities\RefineRTDCRunTimes.py" --tripid 213-29 --locoid 4018 --swversion DE.1.0.9.0 --startMP 204:551 --initTime 2017-10-29T17:41:51 --startdatetime 2017-10-29T17:45:44 --delay 108 --endMP 204:233224 --enddatetime 2017-10-29T18:21:10 --enforcementcount 0 &gt;&gt;%USERPROFILE%\Documents\GitHub\eaglep3-reporting\EC\2017-10-29-refined-times.txt</v>
      </c>
      <c r="AI127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{"issue":{"subject":"","project_id":79,"tracker_id":40,"status_id":1,"priority_id":2,"assigned_to_id":338,"start_date":"2017-10-29","description":"","custom_fields":[{"id":1,"name":"Subdivision","value":"EC"},{"id":4,"name":"Milepost","value":"23.3224"},{"id":17,"name":"Train ID","value":"213-29"},{"id":16,"name":"Locomotive ID","value":"4018"},{"id":130,"name":"Impact","value":""},{"id":150,"name":"Time of Event (Mountain Time)","value":"18:21:10"},{"id":151,"name":"Denver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182"/>
      <c r="AK127" s="186"/>
      <c r="AL127" s="186"/>
      <c r="AM127" s="187" t="str">
        <f t="shared" si="36"/>
        <v>start /low /b %USERPROFILE%\Documents\GitHub\eaglep3\Utilities\DownloadLogsFromS3.py --loco 4018 --day 2017-10-29</v>
      </c>
      <c r="AN127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00:21:10"},{"id":29,"name":"Sharepoint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82" t="str">
        <f t="shared" si="38"/>
        <v>https://d0f6bd738d7f1b3e5a7ca70fe4ff75f0.us-east-1.aws.found.io/app/kibana#/discover/Steve-Slow-Train-Analysis-(2080s-and-2083s)?_g=(refreshInterval:(display:Off,pause:!f,section:0,value:0),time:(from:'2017-10-29T16:41:51-0600',mode:absolute,to:'2017-10-29T19:21:10-0600'))&amp;_a=(columns:!('Message%20ID',Summary),filters:!(),index:'emp_*',interval:auto,query:(query_string:(analyze_wildcard:!t,query:'%22rtdc.l.rtdc.4018%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3">
      <c r="A128" s="32" t="s">
        <v>828</v>
      </c>
      <c r="B128" s="7">
        <v>4017</v>
      </c>
      <c r="C128" s="21" t="s">
        <v>194</v>
      </c>
      <c r="D128" s="21" t="s">
        <v>607</v>
      </c>
      <c r="E128" s="13">
        <v>43037.774560185186</v>
      </c>
      <c r="F128" s="13">
        <v>43037.779374999998</v>
      </c>
      <c r="G128" s="7">
        <v>116</v>
      </c>
      <c r="H128" s="21" t="s">
        <v>936</v>
      </c>
      <c r="I128" s="13">
        <v>43037.80982638889</v>
      </c>
      <c r="J128" s="7">
        <v>0</v>
      </c>
      <c r="K128" s="76" t="str">
        <f t="shared" si="39"/>
        <v>4017/4018</v>
      </c>
      <c r="L128" s="164" t="str">
        <f>VLOOKUP(A128,'Trips&amp;Operators'!$C$1:$G$99911,5,FALSE)</f>
        <v>LOZA FIDEL</v>
      </c>
      <c r="M128" s="6">
        <f t="shared" si="40"/>
        <v>3.0451388891378883E-2</v>
      </c>
      <c r="N128" s="7">
        <f t="shared" si="57"/>
        <v>43.850000003585592</v>
      </c>
      <c r="O128" s="7"/>
      <c r="P128" s="7"/>
      <c r="Q128" s="22"/>
      <c r="R128" s="157"/>
      <c r="S128" s="215">
        <f t="shared" si="56"/>
        <v>1</v>
      </c>
      <c r="T128" s="216" t="str">
        <f t="shared" si="41"/>
        <v>Southbound</v>
      </c>
      <c r="U128" s="216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7" t="str">
        <f t="shared" si="42"/>
        <v>https://d0f6bd738d7f1b3e5a7ca70fe4ff75f0.us-east-1.aws.found.io/app/kibana#/discover/Steve-Slow-Train-Analysis-(2080s-and-2083s)?_g=(refreshInterval:(display:Off,pause:!f,section:0,value:0),time:(from:'2017-10-29T17:35:22-0600',mode:absolute,to:'2017-10-29T20:26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8" s="218" t="str">
        <f>IF(AA128&lt;VLOOKUP(AG128,Variables!$AC$3:$AD$8,2,FALSE),"Y","N")</f>
        <v>N</v>
      </c>
      <c r="X128" s="218">
        <f t="shared" si="53"/>
        <v>1</v>
      </c>
      <c r="Y128" s="218">
        <f t="shared" si="54"/>
        <v>23.292300000000001</v>
      </c>
      <c r="Z128" s="218">
        <f t="shared" si="55"/>
        <v>2.1600000000000001E-2</v>
      </c>
      <c r="AA128" s="218">
        <f t="shared" si="45"/>
        <v>23.270700000000001</v>
      </c>
      <c r="AB128" s="219" t="e">
        <f>VLOOKUP(A128,Enforcements!$C$7:$K$11,8,0)</f>
        <v>#N/A</v>
      </c>
      <c r="AC128" s="219" t="e">
        <f>VLOOKUP(A128,Enforcements!$C$7:$E$11,3,0)</f>
        <v>#N/A</v>
      </c>
      <c r="AD128" s="186">
        <f t="shared" si="46"/>
        <v>214</v>
      </c>
      <c r="AE128" s="220" t="str">
        <f t="shared" si="47"/>
        <v>aws s3 cp s3://rtdc.mdm.uploadarchive.raw/RTDC4017/ "%USERPROFILE%\AppData\Local\Temp\OnboardLogs"\RTDC4017\2017-10-29 --exclude "*" --recursive --include "*20171029*" &amp; "%USERPROFILE%\Documents\GitHub\mrs-test-scripts\Headless Mode &amp; Sideloading\WalkAndUnGZ.bat" "%USERPROFILE%\AppData\Local\Temp\OnboardLogs"\RTDC4017\2017-10-29 &amp; aws s3 cp s3://rtdc.mdm.uploadarchive.raw/RTDC4017/ "%USERPROFILE%\AppData\Local\Temp\OnboardLogs"\RTDC4017\2017-10-30 --exclude "*" --recursive --include "*20171030*" &amp; "%USERPROFILE%\Documents\GitHub\mrs-test-scripts\Headless Mode &amp; Sideloading\WalkAndUnGZ.bat" "%USERPROFILE%\AppData\Local\Temp\OnboardLogs"\RTDC4017\2017-10-30</v>
      </c>
      <c r="AF128" s="221" t="str">
        <f t="shared" si="48"/>
        <v>"C:\Program Files (x86)\AstroGrep\AstroGrep.exe" /e /r /s /spath="%USERPROFILE%\AppData\Local\Temp\OnboardLogs" /stypes="app*4017*20171030*" /stext=" 01:.+((SYSTEM_STATE.+slice.+state.+changed )|(ment ac)|(multiple cpu faults)|(system.+state.+changed )|(\[timeout)|(PRM\|1\|D)|(kpr)|(kdp)|(train st.+moving)|(\|lc)|(penalty))"</v>
      </c>
      <c r="AG128" s="185" t="str">
        <f t="shared" si="49"/>
        <v>EC</v>
      </c>
      <c r="AH128" s="222" t="str">
        <f t="shared" si="34"/>
        <v>"%USERPROFILE%\Documents\GitHub\eaglep3\Utilities\RefineRTDCRunTimes.py" --tripid 214-29 --locoid 4017 --swversion DE.1.0.9.0 --startMP 204:232923 --initTime 2017-10-29T18:35:22 --startdatetime 2017-10-29T18:42:18 --delay 116 --endMP 204:216 --enddatetime 2017-10-29T19:26:09 --enforcementcount 0 &gt;&gt;%USERPROFILE%\Documents\GitHub\eaglep3-reporting\EC\2017-10-29-refined-times.txt</v>
      </c>
      <c r="AI128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{"issue":{"subject":"","project_id":79,"tracker_id":40,"status_id":1,"priority_id":2,"assigned_to_id":338,"start_date":"2017-10-29","description":"","custom_fields":[{"id":1,"name":"Subdivision","value":"EC"},{"id":4,"name":"Milepost","value":"0.0216"},{"id":17,"name":"Train ID","value":"214-29"},{"id":16,"name":"Locomotive ID","value":"4017"},{"id":130,"name":"Impact","value":""},{"id":150,"name":"Time of Event (Mountain Time)","value":"19:26:09"},{"id":151,"name":"Denver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8" s="182"/>
      <c r="AK128" s="186"/>
      <c r="AL128" s="186"/>
      <c r="AM128" s="187" t="str">
        <f t="shared" si="36"/>
        <v>start /low /b %USERPROFILE%\Documents\GitHub\eaglep3\Utilities\DownloadLogsFromS3.py --loco 4017 --day 2017-10-29</v>
      </c>
      <c r="AN128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01:26:09"},{"id":29,"name":"Sharepoint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82" t="str">
        <f t="shared" si="38"/>
        <v>https://d0f6bd738d7f1b3e5a7ca70fe4ff75f0.us-east-1.aws.found.io/app/kibana#/discover/Steve-Slow-Train-Analysis-(2080s-and-2083s)?_g=(refreshInterval:(display:Off,pause:!f,section:0,value:0),time:(from:'2017-10-29T17:35:22-0600',mode:absolute,to:'2017-10-29T20:26:09-0600'))&amp;_a=(columns:!('Message%20ID',Summary),filters:!(),index:'emp_*',interval:auto,query:(query_string:(analyze_wildcard:!t,query:'%22rtdc.l.rtdc.4017%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32" t="s">
        <v>646</v>
      </c>
      <c r="B129" s="7">
        <v>4056</v>
      </c>
      <c r="C129" s="21" t="s">
        <v>194</v>
      </c>
      <c r="D129" s="21" t="s">
        <v>607</v>
      </c>
      <c r="E129" s="13">
        <v>43037.774560185186</v>
      </c>
      <c r="F129" s="13">
        <v>43037.750405092593</v>
      </c>
      <c r="G129" s="7">
        <v>116</v>
      </c>
      <c r="H129" s="21" t="s">
        <v>936</v>
      </c>
      <c r="I129" s="13">
        <v>43037.776724537034</v>
      </c>
      <c r="J129" s="7">
        <v>0</v>
      </c>
      <c r="K129" s="76" t="str">
        <f t="shared" si="39"/>
        <v>4055/4056</v>
      </c>
      <c r="L129" s="164" t="str">
        <f>VLOOKUP(A129,'Trips&amp;Operators'!$C$1:$G$99911,5,FALSE)</f>
        <v>STRICKLAND EVAN</v>
      </c>
      <c r="M129" s="6">
        <f t="shared" si="40"/>
        <v>2.6319444441469386E-2</v>
      </c>
      <c r="N129" s="7">
        <f t="shared" si="57"/>
        <v>37.899999995715916</v>
      </c>
      <c r="O129" s="7"/>
      <c r="P129" s="7"/>
      <c r="Q129" s="22"/>
      <c r="R129" s="157"/>
      <c r="S129" s="215">
        <f t="shared" si="56"/>
        <v>1</v>
      </c>
      <c r="T129" s="216" t="str">
        <f t="shared" si="41"/>
        <v>NorthBound</v>
      </c>
      <c r="U129" s="216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7" t="str">
        <f t="shared" si="42"/>
        <v>https://d0f6bd738d7f1b3e5a7ca70fe4ff75f0.us-east-1.aws.found.io/app/kibana#/discover/Steve-Slow-Train-Analysis-(2080s-and-2083s)?_g=(refreshInterval:(display:Off,pause:!f,section:0,value:0),time:(from:'2017-10-29T17:35:22-0600',mode:absolute,to:'2017-10-29T19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29" s="218" t="str">
        <f>IF(AA129&lt;VLOOKUP(AG129,Variables!$AC$3:$AD$8,2,FALSE),"Y","N")</f>
        <v>N</v>
      </c>
      <c r="X129" s="218">
        <f t="shared" si="53"/>
        <v>1</v>
      </c>
      <c r="Y129" s="218">
        <v>5.5100000000000003E-2</v>
      </c>
      <c r="Z129" s="218">
        <v>23.322399999999998</v>
      </c>
      <c r="AA129" s="218">
        <f t="shared" si="45"/>
        <v>23.267299999999999</v>
      </c>
      <c r="AB129" s="219" t="e">
        <f>VLOOKUP(A129,Enforcements!$C$7:$K$11,8,0)</f>
        <v>#N/A</v>
      </c>
      <c r="AC129" s="219" t="e">
        <f>VLOOKUP(A129,Enforcements!$C$7:$E$11,3,0)</f>
        <v>#N/A</v>
      </c>
      <c r="AD129" s="186">
        <f t="shared" si="46"/>
        <v>215</v>
      </c>
      <c r="AE129" s="220" t="str">
        <f t="shared" si="47"/>
        <v>aws s3 cp s3://rtdc.mdm.uploadarchive.raw/RTDC4056/ "%USERPROFILE%\AppData\Local\Temp\OnboardLogs"\RTDC4056\2017-10-29 --exclude "*" --recursive --include "*20171029*" &amp; "%USERPROFILE%\Documents\GitHub\mrs-test-scripts\Headless Mode &amp; Sideloading\WalkAndUnGZ.bat" "%USERPROFILE%\AppData\Local\Temp\OnboardLogs"\RTDC4056\2017-10-29 &amp; aws s3 cp s3://rtdc.mdm.uploadarchive.raw/RTDC4056/ "%USERPROFILE%\AppData\Local\Temp\OnboardLogs"\RTDC4056\2017-10-30 --exclude "*" --recursive --include "*20171030*" &amp; "%USERPROFILE%\Documents\GitHub\mrs-test-scripts\Headless Mode &amp; Sideloading\WalkAndUnGZ.bat" "%USERPROFILE%\AppData\Local\Temp\OnboardLogs"\RTDC4056\2017-10-30</v>
      </c>
      <c r="AF129" s="221" t="str">
        <f t="shared" si="48"/>
        <v>"C:\Program Files (x86)\AstroGrep\AstroGrep.exe" /e /r /s /spath="%USERPROFILE%\AppData\Local\Temp\OnboardLogs" /stypes="app*4056*20171030*" /stext=" 00:.+((SYSTEM_STATE.+slice.+state.+changed )|(ment ac)|(multiple cpu faults)|(system.+state.+changed )|(\[timeout)|(PRM\|1\|D)|(kpr)|(kdp)|(train st.+moving)|(\|lc)|(penalty))"</v>
      </c>
      <c r="AG129" s="185" t="str">
        <f t="shared" si="49"/>
        <v>EC</v>
      </c>
      <c r="AH129" s="222" t="str">
        <f t="shared" ref="AH129" si="58">refinertdcruntimes&amp;" --tripid "&amp;A129&amp;" --locoid "&amp;B129&amp;" --swversion "&amp;C129&amp;" --startMP "&amp;D129&amp;" --initTime "&amp;TEXT(E129,"yyyy-mm-ddTHH:MM:SS")&amp;" --startdatetime "&amp;TEXT(F129,"yyyy-mm-ddTHH:MM:SS")&amp;" --delay "&amp;G129&amp;" --endMP "&amp;H129&amp;" --enddatetime "&amp;TEXT(I129,"yyyy-mm-ddTHH:MM:SS")&amp;" --enforcementcount "&amp;J129&amp;IF(outputrefinedruntimes," &gt;&gt;"&amp;RefinedRTDCRunTimesOutputFile,"")</f>
        <v>"%USERPROFILE%\Documents\GitHub\eaglep3\Utilities\RefineRTDCRunTimes.py" --tripid 215-29 --locoid 4056 --swversion DE.1.0.9.0 --startMP 204:232923 --initTime 2017-10-29T18:35:22 --startdatetime 2017-10-29T18:00:35 --delay 116 --endMP 204:216 --enddatetime 2017-10-29T18:38:29 --enforcementcount 0 &gt;&gt;%USERPROFILE%\Documents\GitHub\eaglep3-reporting\EC\2017-10-29-refined-times.txt</v>
      </c>
      <c r="AI129" s="223" t="str">
        <f t="shared" ref="AI129" si="59">"echo {""issue"":{""subject"":"""&amp;R129&amp;""",""project_id"":79,""tracker_id"":40,""status_id"":"&amp;redmine_status&amp;",""priority_id"":"&amp;redmine_priority&amp;",""assigned_to_id"":"&amp;redmine_assignee&amp;",""start_date"":"""&amp;TEXT(I129,"YYYY-mm-dd")&amp;""",""description"":"""&amp;AJ129&amp;""",""custom_fields"":[{""id"":1,""name"":""Subdivision"",""value"":"""&amp;AG129&amp;"""},{""id"":4,""name"":""Milepost"",""value"":"""&amp;Z129&amp;"""},{""id"":17,""name"":""Train ID"",""value"":"""&amp;A129&amp;"""},{""id"":16,""name"":""Locomotive ID"",""value"":"""&amp;B129&amp;"""},{""id"":130,""name"":""Impact"",""value"":"""&amp;AK129&amp;"""},{""id"":150,""name"":""Time of Event (Mountain Time)"",""value"":"""&amp;TEXT(I129,"hh:mm:ss")&amp;"""},{""id"":151,""name"":""Denver Issue ID"",""value"":"""&amp;"""},{""id"":178,""name"":""Operational Impact"",""value"":"""&amp;redmine_op_impact&amp;"""},{""id"":179,""name"":""Denver Segment Assigned"",""value"":"""&amp;AL129&amp;"""}]}}"&amp;"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{"issue":{"subject":"","project_id":79,"tracker_id":40,"status_id":1,"priority_id":2,"assigned_to_id":338,"start_date":"2017-10-29","description":"","custom_fields":[{"id":1,"name":"Subdivision","value":"EC"},{"id":4,"name":"Milepost","value":"23.3224"},{"id":17,"name":"Train ID","value":"215-29"},{"id":16,"name":"Locomotive ID","value":"4056"},{"id":130,"name":"Impact","value":""},{"id":150,"name":"Time of Event (Mountain Time)","value":"18:38:29"},{"id":151,"name":"Denver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182"/>
      <c r="AK129" s="186"/>
      <c r="AL129" s="186"/>
      <c r="AM129" s="187" t="str">
        <f t="shared" ref="AM129" si="60">"start /low /b "&amp;dls3logs&amp;" --loco "&amp;B129&amp;" --day "&amp;TEXT(F129,"YYYY-MM-DD")</f>
        <v>start /low /b %USERPROFILE%\Documents\GitHub\eaglep3\Utilities\DownloadLogsFromS3.py --loco 4056 --day 2017-10-29</v>
      </c>
      <c r="AN129" s="224" t="str">
        <f t="shared" ref="AN129" si="61">"echo {""issue"":{""subject"":"""&amp;R129&amp;""",""project_id"":30,""tracker_id"":4,""status_id"":"&amp;redmine_status_wcr&amp;",""priority_id"":"&amp;redmine_priority_wcr&amp;",""assigned_to_id"":"&amp;redmine_assignee_wcr&amp;",""start_date"":"""&amp;TEXT(I129-utc_offset/24,"YYYY-mm-dd")&amp;""",""description"":"""&amp;AJ129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ID"",""value"":"""&amp;B129&amp;"""},{""id"":20,""name"":""RR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UTC"",""value"":"""&amp;TEXT(I129-utc_offset/24,"YYYY-MM-DD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00:38:29"},{"id":29,"name":"Sharepoint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82" t="str">
        <f t="shared" ref="AO129" si="62"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Message%20ID',Summary),filters:!(),index:'emp_*',interval:auto,query:"&amp;"(query_string:(analyze_wildcard:!t,query:'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-10-29T17:35:22-0600',mode:absolute,to:'2017-10-29T19:38:29-0600'))&amp;_a=(columns:!('Message%20ID',Summary),filters:!(),index:'emp_*',interval:auto,query:(query_string:(analyze_wildcard:!t,query:'%22rtdc.l.rtdc.4056%22')),sort:!(Time.ISO8601,asc))</v>
      </c>
    </row>
    <row r="130" spans="1:91" s="20" customFormat="1" x14ac:dyDescent="0.3">
      <c r="A130" s="32" t="s">
        <v>830</v>
      </c>
      <c r="B130" s="7">
        <v>4055</v>
      </c>
      <c r="C130" s="21" t="s">
        <v>194</v>
      </c>
      <c r="D130" s="21" t="s">
        <v>607</v>
      </c>
      <c r="E130" s="13">
        <v>43037.774560185186</v>
      </c>
      <c r="F130" s="13">
        <v>43037.789803240739</v>
      </c>
      <c r="G130" s="7">
        <v>116</v>
      </c>
      <c r="H130" s="21" t="s">
        <v>936</v>
      </c>
      <c r="I130" s="13">
        <v>43037.817719907405</v>
      </c>
      <c r="J130" s="7">
        <v>0</v>
      </c>
      <c r="K130" s="76" t="str">
        <f t="shared" si="39"/>
        <v>4055/4056</v>
      </c>
      <c r="L130" s="164" t="str">
        <f>VLOOKUP(A130,'Trips&amp;Operators'!$C$1:$G$99911,5,FALSE)</f>
        <v>STRICKLAND EVAN</v>
      </c>
      <c r="M130" s="6">
        <f t="shared" si="40"/>
        <v>2.7916666665987577E-2</v>
      </c>
      <c r="N130" s="7">
        <f t="shared" si="57"/>
        <v>40.199999999022111</v>
      </c>
      <c r="O130" s="7"/>
      <c r="P130" s="7"/>
      <c r="Q130" s="22"/>
      <c r="R130" s="157"/>
      <c r="S130" s="215">
        <f t="shared" si="56"/>
        <v>1</v>
      </c>
      <c r="T130" s="216" t="str">
        <f t="shared" si="41"/>
        <v>Southbound</v>
      </c>
      <c r="U130" s="216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7" t="str">
        <f t="shared" si="42"/>
        <v>https://d0f6bd738d7f1b3e5a7ca70fe4ff75f0.us-east-1.aws.found.io/app/kibana#/discover/Steve-Slow-Train-Analysis-(2080s-and-2083s)?_g=(refreshInterval:(display:Off,pause:!f,section:0,value:0),time:(from:'2017-10-29T17:35:22-0600',mode:absolute,to:'2017-10-29T20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30" s="218" t="str">
        <f>IF(AA130&lt;VLOOKUP(AG130,Variables!$AC$3:$AD$8,2,FALSE),"Y","N")</f>
        <v>N</v>
      </c>
      <c r="X130" s="218">
        <f t="shared" ref="X130:X132" si="63">VALUE(LEFT(AD130,4))-VALUE(LEFT(AD129,4))</f>
        <v>1</v>
      </c>
      <c r="Y130" s="218">
        <v>23.292300000000001</v>
      </c>
      <c r="Z130" s="218">
        <v>2.1600000000000001E-2</v>
      </c>
      <c r="AA130" s="218">
        <f t="shared" si="45"/>
        <v>23.270700000000001</v>
      </c>
      <c r="AB130" s="219" t="e">
        <f>VLOOKUP(A130,Enforcements!$C$7:$K$11,8,0)</f>
        <v>#N/A</v>
      </c>
      <c r="AC130" s="219" t="e">
        <f>VLOOKUP(A130,Enforcements!$C$7:$E$11,3,0)</f>
        <v>#N/A</v>
      </c>
      <c r="AD130" s="186">
        <f t="shared" si="46"/>
        <v>216</v>
      </c>
      <c r="AE130" s="220" t="str">
        <f t="shared" si="47"/>
        <v>aws s3 cp s3://rtdc.mdm.uploadarchive.raw/RTDC4055/ "%USERPROFILE%\AppData\Local\Temp\OnboardLogs"\RTDC4055\2017-10-29 --exclude "*" --recursive --include "*20171029*" &amp; "%USERPROFILE%\Documents\GitHub\mrs-test-scripts\Headless Mode &amp; Sideloading\WalkAndUnGZ.bat" "%USERPROFILE%\AppData\Local\Temp\OnboardLogs"\RTDC4055\2017-10-29 &amp; aws s3 cp s3://rtdc.mdm.uploadarchive.raw/RTDC4055/ "%USERPROFILE%\AppData\Local\Temp\OnboardLogs"\RTDC4055\2017-10-30 --exclude "*" --recursive --include "*20171030*" &amp; "%USERPROFILE%\Documents\GitHub\mrs-test-scripts\Headless Mode &amp; Sideloading\WalkAndUnGZ.bat" "%USERPROFILE%\AppData\Local\Temp\OnboardLogs"\RTDC4055\2017-10-30</v>
      </c>
      <c r="AF130" s="221" t="str">
        <f t="shared" si="48"/>
        <v>"C:\Program Files (x86)\AstroGrep\AstroGrep.exe" /e /r /s /spath="%USERPROFILE%\AppData\Local\Temp\OnboardLogs" /stypes="app*4055*20171030*" /stext=" 01:.+((SYSTEM_STATE.+slice.+state.+changed )|(ment ac)|(multiple cpu faults)|(system.+state.+changed )|(\[timeout)|(PRM\|1\|D)|(kpr)|(kdp)|(train st.+moving)|(\|lc)|(penalty))"</v>
      </c>
      <c r="AG130" s="185" t="str">
        <f t="shared" si="49"/>
        <v>EC</v>
      </c>
      <c r="AH130" s="222" t="str">
        <f t="shared" ref="AH130" si="64">refinertdcruntimes&amp;" --tripid "&amp;A130&amp;" --locoid "&amp;B130&amp;" --swversion "&amp;C130&amp;" --startMP "&amp;D130&amp;" --initTime "&amp;TEXT(E130,"yyyy-mm-ddTHH:MM:SS")&amp;" --startdatetime "&amp;TEXT(F130,"yyyy-mm-ddTHH:MM:SS")&amp;" --delay "&amp;G130&amp;" --endMP "&amp;H130&amp;" --enddatetime "&amp;TEXT(I130,"yyyy-mm-ddTHH:MM:SS")&amp;" --enforcementcount "&amp;J130&amp;IF(outputrefinedruntimes," &gt;&gt;"&amp;RefinedRTDCRunTimesOutputFile,"")</f>
        <v>"%USERPROFILE%\Documents\GitHub\eaglep3\Utilities\RefineRTDCRunTimes.py" --tripid 216-29 --locoid 4055 --swversion DE.1.0.9.0 --startMP 204:232923 --initTime 2017-10-29T18:35:22 --startdatetime 2017-10-29T18:57:19 --delay 116 --endMP 204:216 --enddatetime 2017-10-29T19:37:31 --enforcementcount 0 &gt;&gt;%USERPROFILE%\Documents\GitHub\eaglep3-reporting\EC\2017-10-29-refined-times.txt</v>
      </c>
      <c r="AI130" s="223" t="str">
        <f t="shared" ref="AI130" si="65">"echo {""issue"":{""subject"":"""&amp;R130&amp;""",""project_id"":79,""tracker_id"":40,""status_id"":"&amp;redmine_status&amp;",""priority_id"":"&amp;redmine_priority&amp;",""assigned_to_id"":"&amp;redmine_assignee&amp;",""start_date"":"""&amp;TEXT(I130,"YYYY-mm-dd")&amp;""",""description"":"""&amp;AJ130&amp;""",""custom_fields"":[{""id"":1,""name"":""Subdivision"",""value"":"""&amp;AG130&amp;"""},{""id"":4,""name"":""Milepost"",""value"":"""&amp;Z130&amp;"""},{""id"":17,""name"":""Train ID"",""value"":"""&amp;A130&amp;"""},{""id"":16,""name"":""Locomotive ID"",""value"":"""&amp;B130&amp;"""},{""id"":130,""name"":""Impact"",""value"":"""&amp;AK130&amp;"""},{""id"":150,""name"":""Time of Event (Mountain Time)"",""value"":"""&amp;TEXT(I130,"hh:mm:ss")&amp;"""},{""id"":151,""name"":""Denver Issue ID"",""value"":"""&amp;"""},{""id"":178,""name"":""Operational Impact"",""value"":"""&amp;redmine_op_impact&amp;"""},{""id"":179,""name"":""Denver Segment Assigned"",""value"":"""&amp;AL130&amp;"""}]}}"&amp;"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{"issue":{"subject":"","project_id":79,"tracker_id":40,"status_id":1,"priority_id":2,"assigned_to_id":338,"start_date":"2017-10-29","description":"","custom_fields":[{"id":1,"name":"Subdivision","value":"EC"},{"id":4,"name":"Milepost","value":"0.0216"},{"id":17,"name":"Train ID","value":"216-29"},{"id":16,"name":"Locomotive ID","value":"4055"},{"id":130,"name":"Impact","value":""},{"id":150,"name":"Time of Event (Mountain Time)","value":"19:37:31"},{"id":151,"name":"Denver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182"/>
      <c r="AK130" s="186"/>
      <c r="AL130" s="186"/>
      <c r="AM130" s="187" t="str">
        <f t="shared" ref="AM130" si="66">"start /low /b "&amp;dls3logs&amp;" --loco "&amp;B130&amp;" --day "&amp;TEXT(F130,"YYYY-MM-DD")</f>
        <v>start /low /b %USERPROFILE%\Documents\GitHub\eaglep3\Utilities\DownloadLogsFromS3.py --loco 4055 --day 2017-10-29</v>
      </c>
      <c r="AN130" s="224" t="str">
        <f t="shared" ref="AN130" si="67">"echo {""issue"":{""subject"":"""&amp;R130&amp;""",""project_id"":30,""tracker_id"":4,""status_id"":"&amp;redmine_status_wcr&amp;",""priority_id"":"&amp;redmine_priority_wcr&amp;",""assigned_to_id"":"&amp;redmine_assignee_wcr&amp;",""start_date"":"""&amp;TEXT(I130-utc_offset/24,"YYYY-mm-dd")&amp;""",""description"":"""&amp;AJ130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01:37:31"},{"id":29,"name":"Sharepoint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82" t="str">
        <f t="shared" ref="AO130" si="68"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Message%20ID',Summary),filters:!(),index:'emp_*',interval:auto,query:"&amp;"(query_string:(analyze_wildcard:!t,query:'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-10-29T17:35:22-0600',mode:absolute,to:'2017-10-29T20:37:31-0600'))&amp;_a=(columns:!('Message%20ID',Summary),filters:!(),index:'emp_*',interval:auto,query:(query_string:(analyze_wildcard:!t,query:'%22rtdc.l.rtdc.4055%22')),sort:!(Time.ISO8601,asc))</v>
      </c>
    </row>
    <row r="131" spans="1:91" s="20" customFormat="1" x14ac:dyDescent="0.3">
      <c r="A131" s="32" t="s">
        <v>823</v>
      </c>
      <c r="B131" s="7">
        <v>4060</v>
      </c>
      <c r="C131" s="21" t="s">
        <v>194</v>
      </c>
      <c r="D131" s="21" t="s">
        <v>608</v>
      </c>
      <c r="E131" s="13">
        <v>43037.756539351853</v>
      </c>
      <c r="F131" s="13">
        <v>43037.760625000003</v>
      </c>
      <c r="G131" s="7">
        <v>89</v>
      </c>
      <c r="H131" s="21" t="s">
        <v>899</v>
      </c>
      <c r="I131" s="13">
        <v>43037.785312499997</v>
      </c>
      <c r="J131" s="7">
        <v>0</v>
      </c>
      <c r="K131" s="76" t="str">
        <f t="shared" si="39"/>
        <v>4059/4060</v>
      </c>
      <c r="L131" s="164" t="str">
        <f>VLOOKUP(A131,'Trips&amp;Operators'!$C$1:$G$99911,5,FALSE)</f>
        <v>ELBAUM MIKE</v>
      </c>
      <c r="M131" s="6">
        <f t="shared" si="40"/>
        <v>2.4687499993888196E-2</v>
      </c>
      <c r="N131" s="7">
        <f t="shared" si="57"/>
        <v>35.549999991199002</v>
      </c>
      <c r="O131" s="7"/>
      <c r="P131" s="7"/>
      <c r="Q131" s="22"/>
      <c r="R131" s="157"/>
      <c r="S131" s="215">
        <f t="shared" si="56"/>
        <v>1</v>
      </c>
      <c r="T131" s="216" t="str">
        <f t="shared" si="41"/>
        <v>NorthBound</v>
      </c>
      <c r="U131" s="216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7" t="str">
        <f t="shared" si="42"/>
        <v>https://d0f6bd738d7f1b3e5a7ca70fe4ff75f0.us-east-1.aws.found.io/app/kibana#/discover/Steve-Slow-Train-Analysis-(2080s-and-2083s)?_g=(refreshInterval:(display:Off,pause:!f,section:0,value:0),time:(from:'2017-10-29T17:09:25-0600',mode:absolute,to:'2017-10-29T19:50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1" s="218" t="str">
        <f>IF(AA131&lt;VLOOKUP(AG131,Variables!$AC$3:$AD$8,2,FALSE),"Y","N")</f>
        <v>N</v>
      </c>
      <c r="X131" s="218">
        <f t="shared" si="63"/>
        <v>1</v>
      </c>
      <c r="Y131" s="218">
        <f t="shared" ref="Y131:Y176" si="69">RIGHT(D131,LEN(D131)-4)/10000</f>
        <v>5.11E-2</v>
      </c>
      <c r="Z131" s="218">
        <f t="shared" ref="Z131:Z176" si="70">RIGHT(H131,LEN(H131)-4)/10000</f>
        <v>23.330500000000001</v>
      </c>
      <c r="AA131" s="218">
        <f t="shared" si="45"/>
        <v>23.279399999999999</v>
      </c>
      <c r="AB131" s="219" t="e">
        <f>VLOOKUP(A131,Enforcements!$C$7:$K$11,8,0)</f>
        <v>#N/A</v>
      </c>
      <c r="AC131" s="219" t="e">
        <f>VLOOKUP(A131,Enforcements!$C$7:$E$11,3,0)</f>
        <v>#N/A</v>
      </c>
      <c r="AD131" s="186">
        <f t="shared" si="46"/>
        <v>217</v>
      </c>
      <c r="AE131" s="220" t="str">
        <f t="shared" si="47"/>
        <v>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 &amp; aws s3 cp s3://rtdc.mdm.uploadarchive.raw/RTDC4060/ "%USERPROFILE%\AppData\Local\Temp\OnboardLogs"\RTDC4060\2017-10-30 --exclude "*" --recursive --include "*20171030*" &amp; "%USERPROFILE%\Documents\GitHub\mrs-test-scripts\Headless Mode &amp; Sideloading\WalkAndUnGZ.bat" "%USERPROFILE%\AppData\Local\Temp\OnboardLogs"\RTDC4060\2017-10-30</v>
      </c>
      <c r="AF131" s="221" t="str">
        <f t="shared" si="48"/>
        <v>"C:\Program Files (x86)\AstroGrep\AstroGrep.exe" /e /r /s /spath="%USERPROFILE%\AppData\Local\Temp\OnboardLogs" /stypes="app*4060*20171030*" /stext=" 00:.+((SYSTEM_STATE.+slice.+state.+changed )|(ment ac)|(multiple cpu faults)|(system.+state.+changed )|(\[timeout)|(PRM\|1\|D)|(kpr)|(kdp)|(train st.+moving)|(\|lc)|(penalty))"</v>
      </c>
      <c r="AG131" s="185" t="str">
        <f t="shared" si="49"/>
        <v>EC</v>
      </c>
      <c r="AH131" s="222" t="str">
        <f t="shared" si="34"/>
        <v>"%USERPROFILE%\Documents\GitHub\eaglep3\Utilities\RefineRTDCRunTimes.py" --tripid 217-29 --locoid 4060 --swversion DE.1.0.9.0 --startMP 204:511 --initTime 2017-10-29T18:09:25 --startdatetime 2017-10-29T18:15:18 --delay 89 --endMP 204:233305 --enddatetime 2017-10-29T18:50:51 --enforcementcount 0 &gt;&gt;%USERPROFILE%\Documents\GitHub\eaglep3-reporting\EC\2017-10-29-refined-times.txt</v>
      </c>
      <c r="AI131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{"issue":{"subject":"","project_id":79,"tracker_id":40,"status_id":1,"priority_id":2,"assigned_to_id":338,"start_date":"2017-10-29","description":"","custom_fields":[{"id":1,"name":"Subdivision","value":"EC"},{"id":4,"name":"Milepost","value":"23.3305"},{"id":17,"name":"Train ID","value":"217-29"},{"id":16,"name":"Locomotive ID","value":"4060"},{"id":130,"name":"Impact","value":""},{"id":150,"name":"Time of Event (Mountain Time)","value":"18:50:51"},{"id":151,"name":"Denver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182"/>
      <c r="AK131" s="186"/>
      <c r="AL131" s="186"/>
      <c r="AM131" s="187" t="str">
        <f t="shared" si="36"/>
        <v>start /low /b %USERPROFILE%\Documents\GitHub\eaglep3\Utilities\DownloadLogsFromS3.py --loco 4060 --day 2017-10-29</v>
      </c>
      <c r="AN131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00:50:51"},{"id":29,"name":"Sharepoint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82" t="str">
        <f t="shared" si="38"/>
        <v>https://d0f6bd738d7f1b3e5a7ca70fe4ff75f0.us-east-1.aws.found.io/app/kibana#/discover/Steve-Slow-Train-Analysis-(2080s-and-2083s)?_g=(refreshInterval:(display:Off,pause:!f,section:0,value:0),time:(from:'2017-10-29T17:09:25-0600',mode:absolute,to:'2017-10-29T19:50:51-0600'))&amp;_a=(columns:!('Message%20ID',Summary),filters:!(),index:'emp_*',interval:auto,query:(query_string:(analyze_wildcard:!t,query:'%22rtdc.l.rtdc.4060%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32" t="s">
        <v>647</v>
      </c>
      <c r="B132" s="7">
        <v>4059</v>
      </c>
      <c r="C132" s="21" t="s">
        <v>194</v>
      </c>
      <c r="D132" s="21" t="s">
        <v>502</v>
      </c>
      <c r="E132" s="13">
        <v>43037.787291666667</v>
      </c>
      <c r="F132" s="13">
        <v>43037.800162037034</v>
      </c>
      <c r="G132" s="7">
        <v>66</v>
      </c>
      <c r="H132" s="21" t="s">
        <v>595</v>
      </c>
      <c r="I132" s="13">
        <v>43037.825578703705</v>
      </c>
      <c r="J132" s="7">
        <v>0</v>
      </c>
      <c r="K132" s="76" t="str">
        <f t="shared" si="39"/>
        <v>4059/4060</v>
      </c>
      <c r="L132" s="164" t="str">
        <f>VLOOKUP(A132,'Trips&amp;Operators'!$C$1:$G$99911,5,FALSE)</f>
        <v>ELBAUM MIKE</v>
      </c>
      <c r="M132" s="6">
        <f t="shared" si="40"/>
        <v>2.5416666670935228E-2</v>
      </c>
      <c r="N132" s="7">
        <f t="shared" si="57"/>
        <v>36.600000006146729</v>
      </c>
      <c r="O132" s="7"/>
      <c r="P132" s="7"/>
      <c r="Q132" s="22"/>
      <c r="R132" s="157"/>
      <c r="S132" s="215">
        <f t="shared" si="56"/>
        <v>1</v>
      </c>
      <c r="T132" s="216" t="str">
        <f t="shared" si="41"/>
        <v>Southbound</v>
      </c>
      <c r="U132" s="216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7" t="str">
        <f t="shared" si="42"/>
        <v>https://d0f6bd738d7f1b3e5a7ca70fe4ff75f0.us-east-1.aws.found.io/app/kibana#/discover/Steve-Slow-Train-Analysis-(2080s-and-2083s)?_g=(refreshInterval:(display:Off,pause:!f,section:0,value:0),time:(from:'2017-10-29T17:53:42-0600',mode:absolute,to:'2017-10-29T20:48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2" s="218" t="str">
        <f>IF(AA132&lt;VLOOKUP(AG132,Variables!$AC$3:$AD$8,2,FALSE),"Y","N")</f>
        <v>N</v>
      </c>
      <c r="X132" s="218">
        <f t="shared" si="63"/>
        <v>1</v>
      </c>
      <c r="Y132" s="218">
        <f t="shared" si="69"/>
        <v>23.298200000000001</v>
      </c>
      <c r="Z132" s="218">
        <f t="shared" si="70"/>
        <v>2.6200000000000001E-2</v>
      </c>
      <c r="AA132" s="218">
        <f t="shared" si="45"/>
        <v>23.272000000000002</v>
      </c>
      <c r="AB132" s="219" t="str">
        <f>VLOOKUP(A132,Enforcements!$C$7:$K$11,8,0)</f>
        <v>Bulletin (2)</v>
      </c>
      <c r="AC132" s="219" t="str">
        <f>VLOOKUP(A132,Enforcements!$C$7:$E$11,3,0)</f>
        <v>GRADE CROSSING</v>
      </c>
      <c r="AD132" s="186">
        <f t="shared" si="46"/>
        <v>218</v>
      </c>
      <c r="AE132" s="220" t="str">
        <f t="shared" si="47"/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AF132" s="221" t="str">
        <f t="shared" si="48"/>
        <v>"C:\Program Files (x86)\AstroGrep\AstroGrep.exe" /e /r /s /spath="%USERPROFILE%\AppData\Local\Temp\OnboardLogs" /stypes="app*4059*20171030*" /stext=" 01:.+((SYSTEM_STATE.+slice.+state.+changed )|(ment ac)|(multiple cpu faults)|(system.+state.+changed )|(\[timeout)|(PRM\|1\|D)|(kpr)|(kdp)|(train st.+moving)|(\|lc)|(penalty))"</v>
      </c>
      <c r="AG132" s="185" t="str">
        <f t="shared" si="49"/>
        <v>EC</v>
      </c>
      <c r="AH132" s="222" t="str">
        <f t="shared" si="34"/>
        <v>"%USERPROFILE%\Documents\GitHub\eaglep3\Utilities\RefineRTDCRunTimes.py" --tripid 218-29 --locoid 4059 --swversion DE.1.0.9.0 --startMP 204:232982 --initTime 2017-10-29T18:53:42 --startdatetime 2017-10-29T19:12:14 --delay 66 --endMP 204:262 --enddatetime 2017-10-29T19:48:50 --enforcementcount 0 &gt;&gt;%USERPROFILE%\Documents\GitHub\eaglep3-reporting\EC\2017-10-29-refined-times.txt</v>
      </c>
      <c r="AI132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{"issue":{"subject":"","project_id":79,"tracker_id":40,"status_id":1,"priority_id":2,"assigned_to_id":338,"start_date":"2017-10-29","description":"","custom_fields":[{"id":1,"name":"Subdivision","value":"EC"},{"id":4,"name":"Milepost","value":"0.0262"},{"id":17,"name":"Train ID","value":"218-29"},{"id":16,"name":"Locomotive ID","value":"4059"},{"id":130,"name":"Impact","value":""},{"id":150,"name":"Time of Event (Mountain Time)","value":"19:48:50"},{"id":151,"name":"Denver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182"/>
      <c r="AK132" s="186"/>
      <c r="AL132" s="186"/>
      <c r="AM132" s="187" t="str">
        <f t="shared" si="36"/>
        <v>start /low /b %USERPROFILE%\Documents\GitHub\eaglep3\Utilities\DownloadLogsFromS3.py --loco 4059 --day 2017-10-29</v>
      </c>
      <c r="AN132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01:48:50"},{"id":29,"name":"Sharepoint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82" t="str">
        <f t="shared" si="38"/>
        <v>https://d0f6bd738d7f1b3e5a7ca70fe4ff75f0.us-east-1.aws.found.io/app/kibana#/discover/Steve-Slow-Train-Analysis-(2080s-and-2083s)?_g=(refreshInterval:(display:Off,pause:!f,section:0,value:0),time:(from:'2017-10-29T17:53:42-0600',mode:absolute,to:'2017-10-29T20:48:50-0600'))&amp;_a=(columns:!('Message%20ID',Summary),filters:!(),index:'emp_*',interval:auto,query:(query_string:(analyze_wildcard:!t,query:'%22rtdc.l.rtdc.4059%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32" t="s">
        <v>826</v>
      </c>
      <c r="B133" s="7">
        <v>4016</v>
      </c>
      <c r="C133" s="21" t="s">
        <v>194</v>
      </c>
      <c r="D133" s="21" t="s">
        <v>608</v>
      </c>
      <c r="E133" s="13">
        <v>43037.765428240738</v>
      </c>
      <c r="F133" s="13">
        <v>43037.770995370367</v>
      </c>
      <c r="G133" s="7">
        <v>157</v>
      </c>
      <c r="H133" s="21" t="s">
        <v>1025</v>
      </c>
      <c r="I133" s="13">
        <v>43037.795868055553</v>
      </c>
      <c r="J133" s="7">
        <v>0</v>
      </c>
      <c r="K133" s="76" t="str">
        <f t="shared" si="39"/>
        <v>4015/4016</v>
      </c>
      <c r="L133" s="164" t="str">
        <f>VLOOKUP(A133,'Trips&amp;Operators'!$C$1:$G$99911,5,FALSE)</f>
        <v>DUNCAN SHEILA</v>
      </c>
      <c r="M133" s="6">
        <f t="shared" si="40"/>
        <v>2.4872685185982846E-2</v>
      </c>
      <c r="N133" s="7">
        <f t="shared" si="57"/>
        <v>35.816666667815298</v>
      </c>
      <c r="O133" s="7"/>
      <c r="P133" s="7"/>
      <c r="Q133" s="22"/>
      <c r="R133" s="157"/>
      <c r="S133" s="215">
        <f t="shared" si="56"/>
        <v>1</v>
      </c>
      <c r="T133" s="216" t="str">
        <f t="shared" si="41"/>
        <v>NorthBound</v>
      </c>
      <c r="U133" s="216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7" t="str">
        <f t="shared" si="42"/>
        <v>https://d0f6bd738d7f1b3e5a7ca70fe4ff75f0.us-east-1.aws.found.io/app/kibana#/discover/Steve-Slow-Train-Analysis-(2080s-and-2083s)?_g=(refreshInterval:(display:Off,pause:!f,section:0,value:0),time:(from:'2017-10-29T17:22:13-0600',mode:absolute,to:'2017-10-29T20:06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218" t="str">
        <f>IF(AA133&lt;VLOOKUP(AG133,Variables!$AC$3:$AD$8,2,FALSE),"Y","N")</f>
        <v>N</v>
      </c>
      <c r="X133" s="218">
        <f t="shared" ref="X133:X140" si="71">VALUE(LEFT(AD133,4))-VALUE(LEFT(AD132,4))</f>
        <v>1</v>
      </c>
      <c r="Y133" s="218">
        <f t="shared" si="69"/>
        <v>5.11E-2</v>
      </c>
      <c r="Z133" s="218">
        <f t="shared" si="70"/>
        <v>23.331700000000001</v>
      </c>
      <c r="AA133" s="218">
        <f t="shared" si="45"/>
        <v>23.2806</v>
      </c>
      <c r="AB133" s="219" t="e">
        <f>VLOOKUP(A133,Enforcements!$C$7:$K$11,8,0)</f>
        <v>#N/A</v>
      </c>
      <c r="AC133" s="219" t="e">
        <f>VLOOKUP(A133,Enforcements!$C$7:$E$11,3,0)</f>
        <v>#N/A</v>
      </c>
      <c r="AD133" s="186">
        <f t="shared" si="46"/>
        <v>219</v>
      </c>
      <c r="AE133" s="220" t="str">
        <f t="shared" si="47"/>
        <v>aws s3 cp s3://rtdc.mdm.uploadarchive.raw/RTDC4016/ "%USERPROFILE%\AppData\Local\Temp\OnboardLogs"\RTDC4016\2017-10-29 --exclude "*" --recursive --include "*20171029*" &amp; "%USERPROFILE%\Documents\GitHub\mrs-test-scripts\Headless Mode &amp; Sideloading\WalkAndUnGZ.bat" "%USERPROFILE%\AppData\Local\Temp\OnboardLogs"\RTDC4016\2017-10-29 &amp; 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</v>
      </c>
      <c r="AF133" s="221" t="str">
        <f t="shared" si="48"/>
        <v>"C:\Program Files (x86)\AstroGrep\AstroGrep.exe" /e /r /s /spath="%USERPROFILE%\AppData\Local\Temp\OnboardLogs" /stypes="app*4016*20171030*" /stext=" 01:.+((SYSTEM_STATE.+slice.+state.+changed )|(ment ac)|(multiple cpu faults)|(system.+state.+changed )|(\[timeout)|(PRM\|1\|D)|(kpr)|(kdp)|(train st.+moving)|(\|lc)|(penalty))"</v>
      </c>
      <c r="AG133" s="185" t="str">
        <f t="shared" si="49"/>
        <v>EC</v>
      </c>
      <c r="AH133" s="222" t="str">
        <f t="shared" si="34"/>
        <v>"%USERPROFILE%\Documents\GitHub\eaglep3\Utilities\RefineRTDCRunTimes.py" --tripid 219-29 --locoid 4016 --swversion DE.1.0.9.0 --startMP 204:511 --initTime 2017-10-29T18:22:13 --startdatetime 2017-10-29T18:30:14 --delay 157 --endMP 204:233317 --enddatetime 2017-10-29T19:06:03 --enforcementcount 0 &gt;&gt;%USERPROFILE%\Documents\GitHub\eaglep3-reporting\EC\2017-10-29-refined-times.txt</v>
      </c>
      <c r="AI133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{"issue":{"subject":"","project_id":79,"tracker_id":40,"status_id":1,"priority_id":2,"assigned_to_id":338,"start_date":"2017-10-29","description":"","custom_fields":[{"id":1,"name":"Subdivision","value":"EC"},{"id":4,"name":"Milepost","value":"23.3317"},{"id":17,"name":"Train ID","value":"219-29"},{"id":16,"name":"Locomotive ID","value":"4016"},{"id":130,"name":"Impact","value":""},{"id":150,"name":"Time of Event (Mountain Time)","value":"19:06:03"},{"id":151,"name":"Denver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182"/>
      <c r="AK133" s="186"/>
      <c r="AL133" s="186"/>
      <c r="AM133" s="187" t="str">
        <f t="shared" si="36"/>
        <v>start /low /b %USERPROFILE%\Documents\GitHub\eaglep3\Utilities\DownloadLogsFromS3.py --loco 4016 --day 2017-10-29</v>
      </c>
      <c r="AN133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01:06:03"},{"id":29,"name":"Sharepoint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82" t="str">
        <f t="shared" si="38"/>
        <v>https://d0f6bd738d7f1b3e5a7ca70fe4ff75f0.us-east-1.aws.found.io/app/kibana#/discover/Steve-Slow-Train-Analysis-(2080s-and-2083s)?_g=(refreshInterval:(display:Off,pause:!f,section:0,value:0),time:(from:'2017-10-29T17:22:13-0600',mode:absolute,to:'2017-10-29T20:06:03-0600'))&amp;_a=(columns:!('Message%20ID',Summary),filters:!(),index:'emp_*',interval:auto,query:(query_string:(analyze_wildcard:!t,query:'%22rtdc.l.rtdc.4016%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32" t="s">
        <v>833</v>
      </c>
      <c r="B134" s="7">
        <v>4015</v>
      </c>
      <c r="C134" s="21" t="s">
        <v>194</v>
      </c>
      <c r="D134" s="21" t="s">
        <v>1026</v>
      </c>
      <c r="E134" s="13">
        <v>43037.806226851855</v>
      </c>
      <c r="F134" s="13">
        <v>43037.810578703706</v>
      </c>
      <c r="G134" s="7">
        <v>66</v>
      </c>
      <c r="H134" s="21" t="s">
        <v>945</v>
      </c>
      <c r="I134" s="13">
        <v>43037.83625</v>
      </c>
      <c r="J134" s="7">
        <v>0</v>
      </c>
      <c r="K134" s="76" t="str">
        <f t="shared" si="39"/>
        <v>4015/4016</v>
      </c>
      <c r="L134" s="164" t="str">
        <f>VLOOKUP(A134,'Trips&amp;Operators'!$C$1:$G$99911,5,FALSE)</f>
        <v>DUNCAN SHEILA</v>
      </c>
      <c r="M134" s="6">
        <f t="shared" si="40"/>
        <v>2.5671296294603962E-2</v>
      </c>
      <c r="N134" s="7">
        <f t="shared" si="57"/>
        <v>36.966666664229706</v>
      </c>
      <c r="O134" s="7"/>
      <c r="P134" s="7"/>
      <c r="Q134" s="22"/>
      <c r="R134" s="157"/>
      <c r="S134" s="215">
        <f t="shared" si="56"/>
        <v>1</v>
      </c>
      <c r="T134" s="216" t="str">
        <f t="shared" si="41"/>
        <v>Southbound</v>
      </c>
      <c r="U134" s="216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7" t="str">
        <f t="shared" si="42"/>
        <v>https://d0f6bd738d7f1b3e5a7ca70fe4ff75f0.us-east-1.aws.found.io/app/kibana#/discover/Steve-Slow-Train-Analysis-(2080s-and-2083s)?_g=(refreshInterval:(display:Off,pause:!f,section:0,value:0),time:(from:'2017-10-29T18:20:58-0600',mode:absolute,to:'2017-10-29T21:04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218" t="str">
        <f>IF(AA134&lt;VLOOKUP(AG134,Variables!$AC$3:$AD$8,2,FALSE),"Y","N")</f>
        <v>N</v>
      </c>
      <c r="X134" s="218">
        <f t="shared" si="71"/>
        <v>1</v>
      </c>
      <c r="Y134" s="218">
        <f t="shared" si="69"/>
        <v>23.300799999999999</v>
      </c>
      <c r="Z134" s="218">
        <f t="shared" si="70"/>
        <v>2.01E-2</v>
      </c>
      <c r="AA134" s="218">
        <f t="shared" si="45"/>
        <v>23.2807</v>
      </c>
      <c r="AB134" s="219" t="e">
        <f>VLOOKUP(A134,Enforcements!$C$7:$K$11,8,0)</f>
        <v>#N/A</v>
      </c>
      <c r="AC134" s="219" t="e">
        <f>VLOOKUP(A134,Enforcements!$C$7:$E$11,3,0)</f>
        <v>#N/A</v>
      </c>
      <c r="AD134" s="186">
        <f t="shared" si="46"/>
        <v>220</v>
      </c>
      <c r="AE134" s="220" t="str">
        <f t="shared" si="47"/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134" s="221" t="str">
        <f t="shared" si="48"/>
        <v>"C:\Program Files (x86)\AstroGrep\AstroGrep.exe" /e /r /s /spath="%USERPROFILE%\AppData\Local\Temp\OnboardLogs" /stypes="app*4015*20171030*" /stext=" 02:.+((SYSTEM_STATE.+slice.+state.+changed )|(ment ac)|(multiple cpu faults)|(system.+state.+changed )|(\[timeout)|(PRM\|1\|D)|(kpr)|(kdp)|(train st.+moving)|(\|lc)|(penalty))"</v>
      </c>
      <c r="AG134" s="185" t="str">
        <f t="shared" si="49"/>
        <v>EC</v>
      </c>
      <c r="AH134" s="222" t="str">
        <f t="shared" si="34"/>
        <v>"%USERPROFILE%\Documents\GitHub\eaglep3\Utilities\RefineRTDCRunTimes.py" --tripid 220-29 --locoid 4015 --swversion DE.1.0.9.0 --startMP 204:233008 --initTime 2017-10-29T19:20:58 --startdatetime 2017-10-29T19:27:14 --delay 66 --endMP 204:201 --enddatetime 2017-10-29T20:04:12 --enforcementcount 0 &gt;&gt;%USERPROFILE%\Documents\GitHub\eaglep3-reporting\EC\2017-10-29-refined-times.txt</v>
      </c>
      <c r="AI134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{"issue":{"subject":"","project_id":79,"tracker_id":40,"status_id":1,"priority_id":2,"assigned_to_id":338,"start_date":"2017-10-29","description":"","custom_fields":[{"id":1,"name":"Subdivision","value":"EC"},{"id":4,"name":"Milepost","value":"0.0201"},{"id":17,"name":"Train ID","value":"220-29"},{"id":16,"name":"Locomotive ID","value":"4015"},{"id":130,"name":"Impact","value":""},{"id":150,"name":"Time of Event (Mountain Time)","value":"20:04:12"},{"id":151,"name":"Denver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182"/>
      <c r="AK134" s="186"/>
      <c r="AL134" s="186"/>
      <c r="AM134" s="187" t="str">
        <f t="shared" si="36"/>
        <v>start /low /b %USERPROFILE%\Documents\GitHub\eaglep3\Utilities\DownloadLogsFromS3.py --loco 4015 --day 2017-10-29</v>
      </c>
      <c r="AN134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02:04:12"},{"id":29,"name":"Sharepoint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82" t="str">
        <f t="shared" si="38"/>
        <v>https://d0f6bd738d7f1b3e5a7ca70fe4ff75f0.us-east-1.aws.found.io/app/kibana#/discover/Steve-Slow-Train-Analysis-(2080s-and-2083s)?_g=(refreshInterval:(display:Off,pause:!f,section:0,value:0),time:(from:'2017-10-29T18:20:58-0600',mode:absolute,to:'2017-10-29T21:04:12-0600'))&amp;_a=(columns:!('Message%20ID',Summary),filters:!(),index:'emp_*',interval:auto,query:(query_string:(analyze_wildcard:!t,query:'%22rtdc.l.rtdc.4015%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32" t="s">
        <v>831</v>
      </c>
      <c r="B135" s="7">
        <v>4062</v>
      </c>
      <c r="C135" s="21" t="s">
        <v>194</v>
      </c>
      <c r="D135" s="21" t="s">
        <v>1027</v>
      </c>
      <c r="E135" s="13">
        <v>43037.78769675926</v>
      </c>
      <c r="F135" s="13">
        <v>43037.791909722226</v>
      </c>
      <c r="G135" s="7">
        <v>97</v>
      </c>
      <c r="H135" s="21" t="s">
        <v>578</v>
      </c>
      <c r="I135" s="13">
        <v>43037.816979166666</v>
      </c>
      <c r="J135" s="7">
        <v>0</v>
      </c>
      <c r="K135" s="76" t="str">
        <f t="shared" si="39"/>
        <v>4061/4062</v>
      </c>
      <c r="L135" s="164" t="str">
        <f>VLOOKUP(A135,'Trips&amp;Operators'!$C$1:$G$99911,5,FALSE)</f>
        <v>CASSIDY BRANDON</v>
      </c>
      <c r="M135" s="6">
        <f t="shared" si="40"/>
        <v>2.5069444440305233E-2</v>
      </c>
      <c r="N135" s="7">
        <f t="shared" si="57"/>
        <v>36.099999994039536</v>
      </c>
      <c r="O135" s="7"/>
      <c r="P135" s="7"/>
      <c r="Q135" s="22"/>
      <c r="R135" s="157"/>
      <c r="S135" s="215">
        <f t="shared" si="56"/>
        <v>1</v>
      </c>
      <c r="T135" s="216" t="str">
        <f t="shared" si="41"/>
        <v>NorthBound</v>
      </c>
      <c r="U135" s="216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7" t="str">
        <f t="shared" si="42"/>
        <v>https://d0f6bd738d7f1b3e5a7ca70fe4ff75f0.us-east-1.aws.found.io/app/kibana#/discover/Steve-Slow-Train-Analysis-(2080s-and-2083s)?_g=(refreshInterval:(display:Off,pause:!f,section:0,value:0),time:(from:'2017-10-29T17:54:17-0600',mode:absolute,to:'2017-10-29T20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35" s="218" t="str">
        <f>IF(AA135&lt;VLOOKUP(AG135,Variables!$AC$3:$AD$8,2,FALSE),"Y","N")</f>
        <v>N</v>
      </c>
      <c r="X135" s="218">
        <f t="shared" si="71"/>
        <v>1</v>
      </c>
      <c r="Y135" s="218">
        <f t="shared" si="69"/>
        <v>4.9700000000000001E-2</v>
      </c>
      <c r="Z135" s="218">
        <f t="shared" si="70"/>
        <v>23.3172</v>
      </c>
      <c r="AA135" s="218">
        <f t="shared" si="45"/>
        <v>23.267499999999998</v>
      </c>
      <c r="AB135" s="219" t="e">
        <f>VLOOKUP(A135,Enforcements!$C$7:$K$11,8,0)</f>
        <v>#N/A</v>
      </c>
      <c r="AC135" s="219" t="e">
        <f>VLOOKUP(A135,Enforcements!$C$7:$E$11,3,0)</f>
        <v>#N/A</v>
      </c>
      <c r="AD135" s="186">
        <f t="shared" si="46"/>
        <v>221</v>
      </c>
      <c r="AE135" s="220" t="str">
        <f t="shared" si="47"/>
        <v>aws s3 cp s3://rtdc.mdm.uploadarchive.raw/RTDC4062/ "%USERPROFILE%\AppData\Local\Temp\OnboardLogs"\RTDC4062\2017-10-29 --exclude "*" --recursive --include "*20171029*" &amp; "%USERPROFILE%\Documents\GitHub\mrs-test-scripts\Headless Mode &amp; Sideloading\WalkAndUnGZ.bat" "%USERPROFILE%\AppData\Local\Temp\OnboardLogs"\RTDC4062\2017-10-29 &amp; aws s3 cp s3://rtdc.mdm.uploadarchive.raw/RTDC4062/ "%USERPROFILE%\AppData\Local\Temp\OnboardLogs"\RTDC4062\2017-10-30 --exclude "*" --recursive --include "*20171030*" &amp; "%USERPROFILE%\Documents\GitHub\mrs-test-scripts\Headless Mode &amp; Sideloading\WalkAndUnGZ.bat" "%USERPROFILE%\AppData\Local\Temp\OnboardLogs"\RTDC4062\2017-10-30</v>
      </c>
      <c r="AF135" s="221" t="str">
        <f t="shared" si="48"/>
        <v>"C:\Program Files (x86)\AstroGrep\AstroGrep.exe" /e /r /s /spath="%USERPROFILE%\AppData\Local\Temp\OnboardLogs" /stypes="app*4062*20171030*" /stext=" 01:.+((SYSTEM_STATE.+slice.+state.+changed )|(ment ac)|(multiple cpu faults)|(system.+state.+changed )|(\[timeout)|(PRM\|1\|D)|(kpr)|(kdp)|(train st.+moving)|(\|lc)|(penalty))"</v>
      </c>
      <c r="AG135" s="185" t="str">
        <f t="shared" si="49"/>
        <v>EC</v>
      </c>
      <c r="AH135" s="222" t="str">
        <f t="shared" si="34"/>
        <v>"%USERPROFILE%\Documents\GitHub\eaglep3\Utilities\RefineRTDCRunTimes.py" --tripid 221-29 --locoid 4062 --swversion DE.1.0.9.0 --startMP 204:497 --initTime 2017-10-29T18:54:17 --startdatetime 2017-10-29T19:00:21 --delay 97 --endMP 204:233172 --enddatetime 2017-10-29T19:36:27 --enforcementcount 0 &gt;&gt;%USERPROFILE%\Documents\GitHub\eaglep3-reporting\EC\2017-10-29-refined-times.txt</v>
      </c>
      <c r="AI135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{"issue":{"subject":"","project_id":79,"tracker_id":40,"status_id":1,"priority_id":2,"assigned_to_id":338,"start_date":"2017-10-29","description":"","custom_fields":[{"id":1,"name":"Subdivision","value":"EC"},{"id":4,"name":"Milepost","value":"23.3172"},{"id":17,"name":"Train ID","value":"221-29"},{"id":16,"name":"Locomotive ID","value":"4062"},{"id":130,"name":"Impact","value":""},{"id":150,"name":"Time of Event (Mountain Time)","value":"19:36:27"},{"id":151,"name":"Denver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182"/>
      <c r="AK135" s="186"/>
      <c r="AL135" s="186"/>
      <c r="AM135" s="187" t="str">
        <f t="shared" si="36"/>
        <v>start /low /b %USERPROFILE%\Documents\GitHub\eaglep3\Utilities\DownloadLogsFromS3.py --loco 4062 --day 2017-10-29</v>
      </c>
      <c r="AN135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01:36:27"},{"id":29,"name":"Sharepoint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82" t="str">
        <f t="shared" si="38"/>
        <v>https://d0f6bd738d7f1b3e5a7ca70fe4ff75f0.us-east-1.aws.found.io/app/kibana#/discover/Steve-Slow-Train-Analysis-(2080s-and-2083s)?_g=(refreshInterval:(display:Off,pause:!f,section:0,value:0),time:(from:'2017-10-29T17:54:17-0600',mode:absolute,to:'2017-10-29T20:36:27-0600'))&amp;_a=(columns:!('Message%20ID',Summary),filters:!(),index:'emp_*',interval:auto,query:(query_string:(analyze_wildcard:!t,query:'%22rtdc.l.rtdc.4062%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32" t="s">
        <v>839</v>
      </c>
      <c r="B136" s="7">
        <v>4061</v>
      </c>
      <c r="C136" s="21" t="s">
        <v>194</v>
      </c>
      <c r="D136" s="21" t="s">
        <v>1028</v>
      </c>
      <c r="E136" s="13">
        <v>43037.828946759262</v>
      </c>
      <c r="F136" s="13">
        <v>43037.831550925926</v>
      </c>
      <c r="G136" s="7">
        <v>48</v>
      </c>
      <c r="H136" s="21" t="s">
        <v>596</v>
      </c>
      <c r="I136" s="13">
        <v>43037.858310185184</v>
      </c>
      <c r="J136" s="7">
        <v>0</v>
      </c>
      <c r="K136" s="76" t="str">
        <f t="shared" si="39"/>
        <v>4061/4062</v>
      </c>
      <c r="L136" s="164" t="str">
        <f>VLOOKUP(A136,'Trips&amp;Operators'!$C$1:$G$99911,5,FALSE)</f>
        <v>CASSIDY BRANDON</v>
      </c>
      <c r="M136" s="6">
        <f t="shared" si="40"/>
        <v>2.675925925723277E-2</v>
      </c>
      <c r="N136" s="7">
        <f t="shared" si="57"/>
        <v>38.533333330415189</v>
      </c>
      <c r="O136" s="7"/>
      <c r="P136" s="7"/>
      <c r="Q136" s="22"/>
      <c r="R136" s="157"/>
      <c r="S136" s="215">
        <f t="shared" si="56"/>
        <v>1</v>
      </c>
      <c r="T136" s="216" t="str">
        <f t="shared" si="41"/>
        <v>Southbound</v>
      </c>
      <c r="U136" s="216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7" t="str">
        <f t="shared" si="42"/>
        <v>https://d0f6bd738d7f1b3e5a7ca70fe4ff75f0.us-east-1.aws.found.io/app/kibana#/discover/Steve-Slow-Train-Analysis-(2080s-and-2083s)?_g=(refreshInterval:(display:Off,pause:!f,section:0,value:0),time:(from:'2017-10-29T18:53:41-0600',mode:absolute,to:'2017-10-29T21:35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36" s="218" t="str">
        <f>IF(AA136&lt;VLOOKUP(AG136,Variables!$AC$3:$AD$8,2,FALSE),"Y","N")</f>
        <v>N</v>
      </c>
      <c r="X136" s="218">
        <f t="shared" si="71"/>
        <v>1</v>
      </c>
      <c r="Y136" s="218">
        <f t="shared" si="69"/>
        <v>23.285799999999998</v>
      </c>
      <c r="Z136" s="218">
        <f t="shared" si="70"/>
        <v>1.8499999999999999E-2</v>
      </c>
      <c r="AA136" s="218">
        <f t="shared" si="45"/>
        <v>23.267299999999999</v>
      </c>
      <c r="AB136" s="219" t="e">
        <f>VLOOKUP(A136,Enforcements!$C$7:$K$11,8,0)</f>
        <v>#N/A</v>
      </c>
      <c r="AC136" s="219" t="e">
        <f>VLOOKUP(A136,Enforcements!$C$7:$E$11,3,0)</f>
        <v>#N/A</v>
      </c>
      <c r="AD136" s="186">
        <f t="shared" si="46"/>
        <v>222</v>
      </c>
      <c r="AE136" s="220" t="str">
        <f t="shared" si="47"/>
        <v>aws s3 cp s3://rtdc.mdm.uploadarchive.raw/RTDC4061/ "%USERPROFILE%\AppData\Local\Temp\OnboardLogs"\RTDC4061\2017-10-29 --exclude "*" --recursive --include "*20171029*" &amp; "%USERPROFILE%\Documents\GitHub\mrs-test-scripts\Headless Mode &amp; Sideloading\WalkAndUnGZ.bat" "%USERPROFILE%\AppData\Local\Temp\OnboardLogs"\RTDC4061\2017-10-29 &amp; aws s3 cp s3://rtdc.mdm.uploadarchive.raw/RTDC4061/ "%USERPROFILE%\AppData\Local\Temp\OnboardLogs"\RTDC4061\2017-10-30 --exclude "*" --recursive --include "*20171030*" &amp; "%USERPROFILE%\Documents\GitHub\mrs-test-scripts\Headless Mode &amp; Sideloading\WalkAndUnGZ.bat" "%USERPROFILE%\AppData\Local\Temp\OnboardLogs"\RTDC4061\2017-10-30</v>
      </c>
      <c r="AF136" s="221" t="str">
        <f t="shared" si="48"/>
        <v>"C:\Program Files (x86)\AstroGrep\AstroGrep.exe" /e /r /s /spath="%USERPROFILE%\AppData\Local\Temp\OnboardLogs" /stypes="app*4061*20171030*" /stext=" 02:.+((SYSTEM_STATE.+slice.+state.+changed )|(ment ac)|(multiple cpu faults)|(system.+state.+changed )|(\[timeout)|(PRM\|1\|D)|(kpr)|(kdp)|(train st.+moving)|(\|lc)|(penalty))"</v>
      </c>
      <c r="AG136" s="185" t="str">
        <f t="shared" si="49"/>
        <v>EC</v>
      </c>
      <c r="AH136" s="222" t="str">
        <f t="shared" si="34"/>
        <v>"%USERPROFILE%\Documents\GitHub\eaglep3\Utilities\RefineRTDCRunTimes.py" --tripid 222-29 --locoid 4061 --swversion DE.1.0.9.0 --startMP 204:232858 --initTime 2017-10-29T19:53:41 --startdatetime 2017-10-29T19:57:26 --delay 48 --endMP 204:185 --enddatetime 2017-10-29T20:35:58 --enforcementcount 0 &gt;&gt;%USERPROFILE%\Documents\GitHub\eaglep3-reporting\EC\2017-10-29-refined-times.txt</v>
      </c>
      <c r="AI136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{"issue":{"subject":"","project_id":79,"tracker_id":40,"status_id":1,"priority_id":2,"assigned_to_id":338,"start_date":"2017-10-29","description":"","custom_fields":[{"id":1,"name":"Subdivision","value":"EC"},{"id":4,"name":"Milepost","value":"0.0185"},{"id":17,"name":"Train ID","value":"222-29"},{"id":16,"name":"Locomotive ID","value":"4061"},{"id":130,"name":"Impact","value":""},{"id":150,"name":"Time of Event (Mountain Time)","value":"20:35:58"},{"id":151,"name":"Denver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182"/>
      <c r="AK136" s="186"/>
      <c r="AL136" s="186"/>
      <c r="AM136" s="187" t="str">
        <f t="shared" si="36"/>
        <v>start /low /b %USERPROFILE%\Documents\GitHub\eaglep3\Utilities\DownloadLogsFromS3.py --loco 4061 --day 2017-10-29</v>
      </c>
      <c r="AN136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02:35:58"},{"id":29,"name":"Sharepoint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82" t="str">
        <f t="shared" si="38"/>
        <v>https://d0f6bd738d7f1b3e5a7ca70fe4ff75f0.us-east-1.aws.found.io/app/kibana#/discover/Steve-Slow-Train-Analysis-(2080s-and-2083s)?_g=(refreshInterval:(display:Off,pause:!f,section:0,value:0),time:(from:'2017-10-29T18:53:41-0600',mode:absolute,to:'2017-10-29T21:35:58-0600'))&amp;_a=(columns:!('Message%20ID',Summary),filters:!(),index:'emp_*',interval:auto,query:(query_string:(analyze_wildcard:!t,query:'%22rtdc.l.rtdc.4061%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32" t="s">
        <v>836</v>
      </c>
      <c r="B137" s="7">
        <v>4018</v>
      </c>
      <c r="C137" s="21" t="s">
        <v>194</v>
      </c>
      <c r="D137" s="21" t="s">
        <v>530</v>
      </c>
      <c r="E137" s="13">
        <v>43037.811018518521</v>
      </c>
      <c r="F137" s="13">
        <v>43037.812696759262</v>
      </c>
      <c r="G137" s="7">
        <v>67</v>
      </c>
      <c r="H137" s="21" t="s">
        <v>1029</v>
      </c>
      <c r="I137" s="13">
        <v>43037.836967592593</v>
      </c>
      <c r="J137" s="7">
        <v>0</v>
      </c>
      <c r="K137" s="76" t="str">
        <f t="shared" si="39"/>
        <v>4017/4018</v>
      </c>
      <c r="L137" s="164" t="str">
        <f>VLOOKUP(A137,'Trips&amp;Operators'!$C$1:$G$99911,5,FALSE)</f>
        <v>LOZA FIDEL</v>
      </c>
      <c r="M137" s="6">
        <f t="shared" si="40"/>
        <v>2.4270833331684116E-2</v>
      </c>
      <c r="N137" s="7">
        <f t="shared" si="57"/>
        <v>34.949999997625127</v>
      </c>
      <c r="O137" s="7"/>
      <c r="P137" s="7"/>
      <c r="Q137" s="22"/>
      <c r="R137" s="157"/>
      <c r="S137" s="215">
        <f t="shared" si="56"/>
        <v>1</v>
      </c>
      <c r="T137" s="216" t="str">
        <f t="shared" si="41"/>
        <v>NorthBound</v>
      </c>
      <c r="U137" s="216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7" t="str">
        <f t="shared" si="42"/>
        <v>https://d0f6bd738d7f1b3e5a7ca70fe4ff75f0.us-east-1.aws.found.io/app/kibana#/discover/Steve-Slow-Train-Analysis-(2080s-and-2083s)?_g=(refreshInterval:(display:Off,pause:!f,section:0,value:0),time:(from:'2017-10-29T18:27:52-0600',mode:absolute,to:'2017-10-29T21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7" s="218" t="str">
        <f>IF(AA137&lt;VLOOKUP(AG137,Variables!$AC$3:$AD$8,2,FALSE),"Y","N")</f>
        <v>N</v>
      </c>
      <c r="X137" s="218">
        <f t="shared" si="71"/>
        <v>1</v>
      </c>
      <c r="Y137" s="218">
        <f t="shared" si="69"/>
        <v>5.1900000000000002E-2</v>
      </c>
      <c r="Z137" s="218">
        <f t="shared" si="70"/>
        <v>23.326599999999999</v>
      </c>
      <c r="AA137" s="218">
        <f t="shared" si="45"/>
        <v>23.274699999999999</v>
      </c>
      <c r="AB137" s="219" t="e">
        <f>VLOOKUP(A137,Enforcements!$C$7:$K$11,8,0)</f>
        <v>#N/A</v>
      </c>
      <c r="AC137" s="219" t="e">
        <f>VLOOKUP(A137,Enforcements!$C$7:$E$11,3,0)</f>
        <v>#N/A</v>
      </c>
      <c r="AD137" s="186">
        <f t="shared" si="46"/>
        <v>223</v>
      </c>
      <c r="AE137" s="220" t="str">
        <f t="shared" si="47"/>
        <v>aws s3 cp s3://rtdc.mdm.uploadarchive.raw/RTDC4018/ "%USERPROFILE%\AppData\Local\Temp\OnboardLogs"\RTDC4018\2017-10-29 --exclude "*" --recursive --include "*20171029*" &amp; "%USERPROFILE%\Documents\GitHub\mrs-test-scripts\Headless Mode &amp; Sideloading\WalkAndUnGZ.bat" "%USERPROFILE%\AppData\Local\Temp\OnboardLogs"\RTDC4018\2017-10-29 &amp; aws s3 cp s3://rtdc.mdm.uploadarchive.raw/RTDC4018/ "%USERPROFILE%\AppData\Local\Temp\OnboardLogs"\RTDC4018\2017-10-30 --exclude "*" --recursive --include "*20171030*" &amp; "%USERPROFILE%\Documents\GitHub\mrs-test-scripts\Headless Mode &amp; Sideloading\WalkAndUnGZ.bat" "%USERPROFILE%\AppData\Local\Temp\OnboardLogs"\RTDC4018\2017-10-30</v>
      </c>
      <c r="AF137" s="221" t="str">
        <f t="shared" si="48"/>
        <v>"C:\Program Files (x86)\AstroGrep\AstroGrep.exe" /e /r /s /spath="%USERPROFILE%\AppData\Local\Temp\OnboardLogs" /stypes="app*4018*20171030*" /stext=" 02:.+((SYSTEM_STATE.+slice.+state.+changed )|(ment ac)|(multiple cpu faults)|(system.+state.+changed )|(\[timeout)|(PRM\|1\|D)|(kpr)|(kdp)|(train st.+moving)|(\|lc)|(penalty))"</v>
      </c>
      <c r="AG137" s="185" t="str">
        <f t="shared" si="49"/>
        <v>EC</v>
      </c>
      <c r="AH137" s="222" t="str">
        <f t="shared" si="34"/>
        <v>"%USERPROFILE%\Documents\GitHub\eaglep3\Utilities\RefineRTDCRunTimes.py" --tripid 223-29 --locoid 4018 --swversion DE.1.0.9.0 --startMP 204:519 --initTime 2017-10-29T19:27:52 --startdatetime 2017-10-29T19:30:17 --delay 67 --endMP 204:233266 --enddatetime 2017-10-29T20:05:14 --enforcementcount 0 &gt;&gt;%USERPROFILE%\Documents\GitHub\eaglep3-reporting\EC\2017-10-29-refined-times.txt</v>
      </c>
      <c r="AI137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{"issue":{"subject":"","project_id":79,"tracker_id":40,"status_id":1,"priority_id":2,"assigned_to_id":338,"start_date":"2017-10-29","description":"","custom_fields":[{"id":1,"name":"Subdivision","value":"EC"},{"id":4,"name":"Milepost","value":"23.3266"},{"id":17,"name":"Train ID","value":"223-29"},{"id":16,"name":"Locomotive ID","value":"4018"},{"id":130,"name":"Impact","value":""},{"id":150,"name":"Time of Event (Mountain Time)","value":"20:05:14"},{"id":151,"name":"Denver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182"/>
      <c r="AK137" s="186"/>
      <c r="AL137" s="186"/>
      <c r="AM137" s="187" t="str">
        <f t="shared" si="36"/>
        <v>start /low /b %USERPROFILE%\Documents\GitHub\eaglep3\Utilities\DownloadLogsFromS3.py --loco 4018 --day 2017-10-29</v>
      </c>
      <c r="AN137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02:05:14"},{"id":29,"name":"Sharepoint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82" t="str">
        <f t="shared" si="38"/>
        <v>https://d0f6bd738d7f1b3e5a7ca70fe4ff75f0.us-east-1.aws.found.io/app/kibana#/discover/Steve-Slow-Train-Analysis-(2080s-and-2083s)?_g=(refreshInterval:(display:Off,pause:!f,section:0,value:0),time:(from:'2017-10-29T18:27:52-0600',mode:absolute,to:'2017-10-29T21:05:14-0600'))&amp;_a=(columns:!('Message%20ID',Summary),filters:!(),index:'emp_*',interval:auto,query:(query_string:(analyze_wildcard:!t,query:'%22rtdc.l.rtdc.4018%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32" t="s">
        <v>842</v>
      </c>
      <c r="B138" s="7">
        <v>4017</v>
      </c>
      <c r="C138" s="21" t="s">
        <v>194</v>
      </c>
      <c r="D138" s="21" t="s">
        <v>532</v>
      </c>
      <c r="E138" s="13">
        <v>43037.850162037037</v>
      </c>
      <c r="F138" s="13">
        <v>43037.852303240739</v>
      </c>
      <c r="G138" s="7">
        <v>65</v>
      </c>
      <c r="H138" s="21" t="s">
        <v>936</v>
      </c>
      <c r="I138" s="13">
        <v>43037.877835648149</v>
      </c>
      <c r="J138" s="7">
        <v>0</v>
      </c>
      <c r="K138" s="76" t="str">
        <f t="shared" si="39"/>
        <v>4017/4018</v>
      </c>
      <c r="L138" s="164" t="str">
        <f>VLOOKUP(A138,'Trips&amp;Operators'!$C$1:$G$99911,5,FALSE)</f>
        <v>LOZA FIDEL</v>
      </c>
      <c r="M138" s="6">
        <f t="shared" si="40"/>
        <v>2.5532407409627922E-2</v>
      </c>
      <c r="N138" s="7">
        <f t="shared" si="57"/>
        <v>36.766666669864208</v>
      </c>
      <c r="O138" s="7"/>
      <c r="P138" s="7"/>
      <c r="Q138" s="22"/>
      <c r="R138" s="157"/>
      <c r="S138" s="215">
        <f t="shared" si="56"/>
        <v>1</v>
      </c>
      <c r="T138" s="216" t="str">
        <f t="shared" si="41"/>
        <v>Southbound</v>
      </c>
      <c r="U138" s="216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7" t="str">
        <f t="shared" si="42"/>
        <v>https://d0f6bd738d7f1b3e5a7ca70fe4ff75f0.us-east-1.aws.found.io/app/kibana#/discover/Steve-Slow-Train-Analysis-(2080s-and-2083s)?_g=(refreshInterval:(display:Off,pause:!f,section:0,value:0),time:(from:'2017-10-29T19:24:14-0600',mode:absolute,to:'2017-10-29T22:04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8" s="218" t="str">
        <f>IF(AA138&lt;VLOOKUP(AG138,Variables!$AC$3:$AD$8,2,FALSE),"Y","N")</f>
        <v>N</v>
      </c>
      <c r="X138" s="218">
        <f t="shared" si="71"/>
        <v>1</v>
      </c>
      <c r="Y138" s="218">
        <f t="shared" si="69"/>
        <v>23.294499999999999</v>
      </c>
      <c r="Z138" s="218">
        <f t="shared" si="70"/>
        <v>2.1600000000000001E-2</v>
      </c>
      <c r="AA138" s="218">
        <f t="shared" si="45"/>
        <v>23.2729</v>
      </c>
      <c r="AB138" s="219" t="e">
        <f>VLOOKUP(A138,Enforcements!$C$7:$K$11,8,0)</f>
        <v>#N/A</v>
      </c>
      <c r="AC138" s="219" t="e">
        <f>VLOOKUP(A138,Enforcements!$C$7:$E$11,3,0)</f>
        <v>#N/A</v>
      </c>
      <c r="AD138" s="186">
        <f t="shared" si="46"/>
        <v>224</v>
      </c>
      <c r="AE138" s="220" t="str">
        <f t="shared" si="47"/>
        <v>aws s3 cp s3://rtdc.mdm.uploadarchive.raw/RTDC4017/ "%USERPROFILE%\AppData\Local\Temp\OnboardLogs"\RTDC4017\2017-10-29 --exclude "*" --recursive --include "*20171029*" &amp; "%USERPROFILE%\Documents\GitHub\mrs-test-scripts\Headless Mode &amp; Sideloading\WalkAndUnGZ.bat" "%USERPROFILE%\AppData\Local\Temp\OnboardLogs"\RTDC4017\2017-10-29 &amp; aws s3 cp s3://rtdc.mdm.uploadarchive.raw/RTDC4017/ "%USERPROFILE%\AppData\Local\Temp\OnboardLogs"\RTDC4017\2017-10-30 --exclude "*" --recursive --include "*20171030*" &amp; "%USERPROFILE%\Documents\GitHub\mrs-test-scripts\Headless Mode &amp; Sideloading\WalkAndUnGZ.bat" "%USERPROFILE%\AppData\Local\Temp\OnboardLogs"\RTDC4017\2017-10-30</v>
      </c>
      <c r="AF138" s="221" t="str">
        <f t="shared" si="48"/>
        <v>"C:\Program Files (x86)\AstroGrep\AstroGrep.exe" /e /r /s /spath="%USERPROFILE%\AppData\Local\Temp\OnboardLogs" /stypes="app*4017*20171030*" /stext=" 03:.+((SYSTEM_STATE.+slice.+state.+changed )|(ment ac)|(multiple cpu faults)|(system.+state.+changed )|(\[timeout)|(PRM\|1\|D)|(kpr)|(kdp)|(train st.+moving)|(\|lc)|(penalty))"</v>
      </c>
      <c r="AG138" s="185" t="str">
        <f t="shared" si="49"/>
        <v>EC</v>
      </c>
      <c r="AH138" s="222" t="str">
        <f t="shared" si="34"/>
        <v>"%USERPROFILE%\Documents\GitHub\eaglep3\Utilities\RefineRTDCRunTimes.py" --tripid 224-29 --locoid 4017 --swversion DE.1.0.9.0 --startMP 204:232945 --initTime 2017-10-29T20:24:14 --startdatetime 2017-10-29T20:27:19 --delay 65 --endMP 204:216 --enddatetime 2017-10-29T21:04:05 --enforcementcount 0 &gt;&gt;%USERPROFILE%\Documents\GitHub\eaglep3-reporting\EC\2017-10-29-refined-times.txt</v>
      </c>
      <c r="AI138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{"issue":{"subject":"","project_id":79,"tracker_id":40,"status_id":1,"priority_id":2,"assigned_to_id":338,"start_date":"2017-10-29","description":"","custom_fields":[{"id":1,"name":"Subdivision","value":"EC"},{"id":4,"name":"Milepost","value":"0.0216"},{"id":17,"name":"Train ID","value":"224-29"},{"id":16,"name":"Locomotive ID","value":"4017"},{"id":130,"name":"Impact","value":""},{"id":150,"name":"Time of Event (Mountain Time)","value":"21:04:05"},{"id":151,"name":"Denver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182"/>
      <c r="AK138" s="186"/>
      <c r="AL138" s="186"/>
      <c r="AM138" s="187" t="str">
        <f t="shared" si="36"/>
        <v>start /low /b %USERPROFILE%\Documents\GitHub\eaglep3\Utilities\DownloadLogsFromS3.py --loco 4017 --day 2017-10-29</v>
      </c>
      <c r="AN138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03:04:05"},{"id":29,"name":"Sharepoint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82" t="str">
        <f t="shared" si="38"/>
        <v>https://d0f6bd738d7f1b3e5a7ca70fe4ff75f0.us-east-1.aws.found.io/app/kibana#/discover/Steve-Slow-Train-Analysis-(2080s-and-2083s)?_g=(refreshInterval:(display:Off,pause:!f,section:0,value:0),time:(from:'2017-10-29T19:24:14-0600',mode:absolute,to:'2017-10-29T22:04:05-0600'))&amp;_a=(columns:!('Message%20ID',Summary),filters:!(),index:'emp_*',interval:auto,query:(query_string:(analyze_wildcard:!t,query:'%22rtdc.l.rtdc.4017%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3">
      <c r="A139" s="32" t="s">
        <v>838</v>
      </c>
      <c r="B139" s="7">
        <v>4060</v>
      </c>
      <c r="C139" s="21" t="s">
        <v>194</v>
      </c>
      <c r="D139" s="21" t="s">
        <v>1030</v>
      </c>
      <c r="E139" s="13">
        <v>43037.827777777777</v>
      </c>
      <c r="F139" s="13">
        <v>43037.833506944444</v>
      </c>
      <c r="G139" s="7">
        <v>64</v>
      </c>
      <c r="H139" s="21" t="s">
        <v>1031</v>
      </c>
      <c r="I139" s="13">
        <v>43037.857928240737</v>
      </c>
      <c r="J139" s="7">
        <v>0</v>
      </c>
      <c r="K139" s="76" t="str">
        <f t="shared" si="39"/>
        <v>4059/4060</v>
      </c>
      <c r="L139" s="164" t="str">
        <f>VLOOKUP(A139,'Trips&amp;Operators'!$C$1:$G$99911,5,FALSE)</f>
        <v>ELBAUM MIKE</v>
      </c>
      <c r="M139" s="6">
        <f t="shared" si="40"/>
        <v>2.4421296293439809E-2</v>
      </c>
      <c r="N139" s="7">
        <f t="shared" si="57"/>
        <v>35.166666662553325</v>
      </c>
      <c r="O139" s="7"/>
      <c r="P139" s="7"/>
      <c r="Q139" s="22"/>
      <c r="R139" s="157"/>
      <c r="S139" s="215">
        <f t="shared" si="56"/>
        <v>1</v>
      </c>
      <c r="T139" s="216" t="str">
        <f t="shared" si="41"/>
        <v>NorthBound</v>
      </c>
      <c r="U139" s="216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7" t="str">
        <f t="shared" si="42"/>
        <v>https://d0f6bd738d7f1b3e5a7ca70fe4ff75f0.us-east-1.aws.found.io/app/kibana#/discover/Steve-Slow-Train-Analysis-(2080s-and-2083s)?_g=(refreshInterval:(display:Off,pause:!f,section:0,value:0),time:(from:'2017-10-29T18:52:00-0600',mode:absolute,to:'2017-10-29T21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9" s="218" t="str">
        <f>IF(AA139&lt;VLOOKUP(AG139,Variables!$AC$3:$AD$8,2,FALSE),"Y","N")</f>
        <v>N</v>
      </c>
      <c r="X139" s="218">
        <f t="shared" si="71"/>
        <v>1</v>
      </c>
      <c r="Y139" s="218">
        <f t="shared" si="69"/>
        <v>5.4899999999999997E-2</v>
      </c>
      <c r="Z139" s="218">
        <f t="shared" si="70"/>
        <v>23.3308</v>
      </c>
      <c r="AA139" s="218">
        <f t="shared" si="45"/>
        <v>23.2759</v>
      </c>
      <c r="AB139" s="219" t="e">
        <f>VLOOKUP(A139,Enforcements!$C$7:$K$11,8,0)</f>
        <v>#N/A</v>
      </c>
      <c r="AC139" s="219" t="e">
        <f>VLOOKUP(A139,Enforcements!$C$7:$E$11,3,0)</f>
        <v>#N/A</v>
      </c>
      <c r="AD139" s="186">
        <f t="shared" si="46"/>
        <v>225</v>
      </c>
      <c r="AE139" s="220" t="str">
        <f t="shared" si="47"/>
        <v>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 &amp; aws s3 cp s3://rtdc.mdm.uploadarchive.raw/RTDC4060/ "%USERPROFILE%\AppData\Local\Temp\OnboardLogs"\RTDC4060\2017-10-30 --exclude "*" --recursive --include "*20171030*" &amp; "%USERPROFILE%\Documents\GitHub\mrs-test-scripts\Headless Mode &amp; Sideloading\WalkAndUnGZ.bat" "%USERPROFILE%\AppData\Local\Temp\OnboardLogs"\RTDC4060\2017-10-30</v>
      </c>
      <c r="AF139" s="221" t="str">
        <f t="shared" si="48"/>
        <v>"C:\Program Files (x86)\AstroGrep\AstroGrep.exe" /e /r /s /spath="%USERPROFILE%\AppData\Local\Temp\OnboardLogs" /stypes="app*4060*20171030*" /stext=" 02:.+((SYSTEM_STATE.+slice.+state.+changed )|(ment ac)|(multiple cpu faults)|(system.+state.+changed )|(\[timeout)|(PRM\|1\|D)|(kpr)|(kdp)|(train st.+moving)|(\|lc)|(penalty))"</v>
      </c>
      <c r="AG139" s="185" t="str">
        <f t="shared" si="49"/>
        <v>EC</v>
      </c>
      <c r="AH139" s="222" t="str">
        <f t="shared" si="34"/>
        <v>"%USERPROFILE%\Documents\GitHub\eaglep3\Utilities\RefineRTDCRunTimes.py" --tripid 225-29 --locoid 4060 --swversion DE.1.0.9.0 --startMP 204:549 --initTime 2017-10-29T19:52:00 --startdatetime 2017-10-29T20:00:15 --delay 64 --endMP 204:233308 --enddatetime 2017-10-29T20:35:25 --enforcementcount 0 &gt;&gt;%USERPROFILE%\Documents\GitHub\eaglep3-reporting\EC\2017-10-29-refined-times.txt</v>
      </c>
      <c r="AI139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{"issue":{"subject":"","project_id":79,"tracker_id":40,"status_id":1,"priority_id":2,"assigned_to_id":338,"start_date":"2017-10-29","description":"","custom_fields":[{"id":1,"name":"Subdivision","value":"EC"},{"id":4,"name":"Milepost","value":"23.3308"},{"id":17,"name":"Train ID","value":"225-29"},{"id":16,"name":"Locomotive ID","value":"4060"},{"id":130,"name":"Impact","value":""},{"id":150,"name":"Time of Event (Mountain Time)","value":"20:35:25"},{"id":151,"name":"Denver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9" s="182"/>
      <c r="AK139" s="186"/>
      <c r="AL139" s="186"/>
      <c r="AM139" s="187" t="str">
        <f t="shared" si="36"/>
        <v>start /low /b %USERPROFILE%\Documents\GitHub\eaglep3\Utilities\DownloadLogsFromS3.py --loco 4060 --day 2017-10-29</v>
      </c>
      <c r="AN139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82" t="str">
        <f t="shared" si="38"/>
        <v>https://d0f6bd738d7f1b3e5a7ca70fe4ff75f0.us-east-1.aws.found.io/app/kibana#/discover/Steve-Slow-Train-Analysis-(2080s-and-2083s)?_g=(refreshInterval:(display:Off,pause:!f,section:0,value:0),time:(from:'2017-10-29T18:52:00-0600',mode:absolute,to:'2017-10-29T21:35:25-0600'))&amp;_a=(columns:!('Message%20ID',Summary),filters:!(),index:'emp_*',interval:auto,query:(query_string:(analyze_wildcard:!t,query:'%22rtdc.l.rtdc.4060%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3">
      <c r="A140" s="32" t="s">
        <v>648</v>
      </c>
      <c r="B140" s="7">
        <v>4059</v>
      </c>
      <c r="C140" s="21" t="s">
        <v>194</v>
      </c>
      <c r="D140" s="21" t="s">
        <v>1032</v>
      </c>
      <c r="E140" s="13">
        <v>43037.859050925923</v>
      </c>
      <c r="F140" s="13">
        <v>43037.873043981483</v>
      </c>
      <c r="G140" s="7">
        <v>60</v>
      </c>
      <c r="H140" s="21" t="s">
        <v>611</v>
      </c>
      <c r="I140" s="13">
        <v>43037.899050925924</v>
      </c>
      <c r="J140" s="7">
        <v>0</v>
      </c>
      <c r="K140" s="76" t="str">
        <f t="shared" si="39"/>
        <v>4059/4060</v>
      </c>
      <c r="L140" s="164" t="str">
        <f>VLOOKUP(A140,'Trips&amp;Operators'!$C$1:$G$99911,5,FALSE)</f>
        <v>ELBAUM MIKE</v>
      </c>
      <c r="M140" s="6">
        <f t="shared" si="40"/>
        <v>2.6006944441178348E-2</v>
      </c>
      <c r="N140" s="7">
        <f t="shared" si="57"/>
        <v>37.449999995296821</v>
      </c>
      <c r="O140" s="7"/>
      <c r="P140" s="7"/>
      <c r="Q140" s="22"/>
      <c r="R140" s="157"/>
      <c r="S140" s="215">
        <f t="shared" si="56"/>
        <v>1</v>
      </c>
      <c r="T140" s="216" t="str">
        <f t="shared" si="41"/>
        <v>Southbound</v>
      </c>
      <c r="U140" s="216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7" t="str">
        <f t="shared" si="42"/>
        <v>https://d0f6bd738d7f1b3e5a7ca70fe4ff75f0.us-east-1.aws.found.io/app/kibana#/discover/Steve-Slow-Train-Analysis-(2080s-and-2083s)?_g=(refreshInterval:(display:Off,pause:!f,section:0,value:0),time:(from:'2017-10-29T19:37:02-0600',mode:absolute,to:'2017-10-29T22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0" s="218" t="str">
        <f>IF(AA140&lt;VLOOKUP(AG140,Variables!$AC$3:$AD$8,2,FALSE),"Y","N")</f>
        <v>N</v>
      </c>
      <c r="X140" s="218">
        <f t="shared" si="71"/>
        <v>1</v>
      </c>
      <c r="Y140" s="218">
        <f t="shared" si="69"/>
        <v>23.300599999999999</v>
      </c>
      <c r="Z140" s="218">
        <f t="shared" si="70"/>
        <v>2.5399999999999999E-2</v>
      </c>
      <c r="AA140" s="218">
        <f t="shared" si="45"/>
        <v>23.275199999999998</v>
      </c>
      <c r="AB140" s="219" t="e">
        <f>VLOOKUP(A140,Enforcements!$C$7:$K$11,8,0)</f>
        <v>#N/A</v>
      </c>
      <c r="AC140" s="219" t="e">
        <f>VLOOKUP(A140,Enforcements!$C$7:$E$11,3,0)</f>
        <v>#N/A</v>
      </c>
      <c r="AD140" s="186">
        <f t="shared" si="46"/>
        <v>226</v>
      </c>
      <c r="AE140" s="220" t="str">
        <f t="shared" si="47"/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AF140" s="221" t="str">
        <f t="shared" si="48"/>
        <v>"C:\Program Files (x86)\AstroGrep\AstroGrep.exe" /e /r /s /spath="%USERPROFILE%\AppData\Local\Temp\OnboardLogs" /stypes="app*4059*20171030*" /stext=" 03:.+((SYSTEM_STATE.+slice.+state.+changed )|(ment ac)|(multiple cpu faults)|(system.+state.+changed )|(\[timeout)|(PRM\|1\|D)|(kpr)|(kdp)|(train st.+moving)|(\|lc)|(penalty))"</v>
      </c>
      <c r="AG140" s="185" t="str">
        <f t="shared" si="49"/>
        <v>EC</v>
      </c>
      <c r="AH140" s="222" t="str">
        <f t="shared" si="34"/>
        <v>"%USERPROFILE%\Documents\GitHub\eaglep3\Utilities\RefineRTDCRunTimes.py" --tripid 226-29 --locoid 4059 --swversion DE.1.0.9.0 --startMP 204:233006 --initTime 2017-10-29T20:37:02 --startdatetime 2017-10-29T20:57:11 --delay 60 --endMP 204:254 --enddatetime 2017-10-29T21:34:38 --enforcementcount 0 &gt;&gt;%USERPROFILE%\Documents\GitHub\eaglep3-reporting\EC\2017-10-29-refined-times.txt</v>
      </c>
      <c r="AI140" s="223" t="str">
        <f t="shared" si="35"/>
        <v>echo {"issue":{"subject":"","project_id":79,"tracker_id":40,"status_id":1,"priority_id":2,"assigned_to_id":338,"start_date":"2017-10-29","description":"","custom_fields":[{"id":1,"name":"Subdivision","value":"EC"},{"id":4,"name":"Milepost","value":"0.0254"},{"id":17,"name":"Train ID","value":"226-29"},{"id":16,"name":"Locomotive ID","value":"4059"},{"id":130,"name":"Impact","value":""},{"id":150,"name":"Time of Event (Mountain Time)","value":"21:34:38"},{"id":151,"name":"Denver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182"/>
      <c r="AK140" s="186"/>
      <c r="AL140" s="186"/>
      <c r="AM140" s="187" t="str">
        <f t="shared" si="36"/>
        <v>start /low /b %USERPROFILE%\Documents\GitHub\eaglep3\Utilities\DownloadLogsFromS3.py --loco 4059 --day 2017-10-29</v>
      </c>
      <c r="AN140" s="224" t="str">
        <f t="shared" si="37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03:34:38"},{"id":29,"name":"Sharepoint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82" t="str">
        <f t="shared" si="38"/>
        <v>https://d0f6bd738d7f1b3e5a7ca70fe4ff75f0.us-east-1.aws.found.io/app/kibana#/discover/Steve-Slow-Train-Analysis-(2080s-and-2083s)?_g=(refreshInterval:(display:Off,pause:!f,section:0,value:0),time:(from:'2017-10-29T19:37:02-0600',mode:absolute,to:'2017-10-29T22:34:38-0600'))&amp;_a=(columns:!('Message%20ID',Summary),filters:!(),index:'emp_*',interval:auto,query:(query_string:(analyze_wildcard:!t,query:'%22rtdc.l.rtdc.4059%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32" t="s">
        <v>841</v>
      </c>
      <c r="B141" s="7">
        <v>4016</v>
      </c>
      <c r="C141" s="21" t="s">
        <v>194</v>
      </c>
      <c r="D141" s="21" t="s">
        <v>1033</v>
      </c>
      <c r="E141" s="13">
        <v>43037.857766203706</v>
      </c>
      <c r="F141" s="13">
        <v>43037.858680555553</v>
      </c>
      <c r="G141" s="7">
        <v>47</v>
      </c>
      <c r="H141" s="21" t="s">
        <v>910</v>
      </c>
      <c r="I141" s="13">
        <v>43037.880011574074</v>
      </c>
      <c r="J141" s="7">
        <v>0</v>
      </c>
      <c r="K141" s="76" t="str">
        <f t="shared" ref="K141:K204" si="72">IF(ISEVEN(B141),(B141-1)&amp;"/"&amp;B141,B141&amp;"/"&amp;(B141+1))</f>
        <v>4015/4016</v>
      </c>
      <c r="L141" s="164" t="str">
        <f>VLOOKUP(A141,'Trips&amp;Operators'!$C$1:$G$99911,5,FALSE)</f>
        <v>DUNCAN SHEILA</v>
      </c>
      <c r="M141" s="6">
        <f t="shared" ref="M141:M204" si="73">I141-F141</f>
        <v>2.1331018520868383E-2</v>
      </c>
      <c r="N141" s="7"/>
      <c r="O141" s="7"/>
      <c r="P141" s="7">
        <f>24*60*SUM($M141:$M141)</f>
        <v>30.716666670050472</v>
      </c>
      <c r="Q141" s="22"/>
      <c r="R141" s="157" t="s">
        <v>1100</v>
      </c>
      <c r="S141" s="215">
        <f t="shared" si="56"/>
        <v>1</v>
      </c>
      <c r="T141" s="216" t="str">
        <f t="shared" ref="T141:T204" si="74">IF(ISEVEN(LEFT(AD141,4)),"Southbound","NorthBound")</f>
        <v>NorthBound</v>
      </c>
      <c r="U141" s="216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7" t="str">
        <f t="shared" ref="V141:V204" si="75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-10-29T19:35:11-0600',mode:absolute,to:'2017-10-29T22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218" t="str">
        <f>IF(AA141&lt;VLOOKUP(AG141,Variables!$AC$3:$AD$8,2,FALSE),"Y","N")</f>
        <v>Y</v>
      </c>
      <c r="X141" s="218">
        <f t="shared" ref="X141:X145" si="76">VALUE(LEFT(AD141,4))-VALUE(LEFT(AD140,4))</f>
        <v>1</v>
      </c>
      <c r="Y141" s="218">
        <f t="shared" si="69"/>
        <v>1.9141999999999999</v>
      </c>
      <c r="Z141" s="218">
        <f t="shared" si="70"/>
        <v>23.331499999999998</v>
      </c>
      <c r="AA141" s="218">
        <f t="shared" ref="AA141:AA204" si="77">ABS(Z141-Y141)</f>
        <v>21.417299999999997</v>
      </c>
      <c r="AB141" s="219" t="e">
        <f>VLOOKUP(A141,Enforcements!$C$7:$K$11,8,0)</f>
        <v>#N/A</v>
      </c>
      <c r="AC141" s="219" t="e">
        <f>VLOOKUP(A141,Enforcements!$C$7:$E$11,3,0)</f>
        <v>#N/A</v>
      </c>
      <c r="AD141" s="186">
        <f t="shared" ref="AD141:AD204" si="78">VALUE(LEFT(A141,LEN(A141)-3))</f>
        <v>227</v>
      </c>
      <c r="AE141" s="220" t="str">
        <f t="shared" ref="AE141:AE204" si="79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"%USERPROFILE%\AppData\Local\Temp\OnboardLogs"\RTDC4016\2017-10-29 --exclude "*" --recursive --include "*20171029*" &amp; "%USERPROFILE%\Documents\GitHub\mrs-test-scripts\Headless Mode &amp; Sideloading\WalkAndUnGZ.bat" "%USERPROFILE%\AppData\Local\Temp\OnboardLogs"\RTDC4016\2017-10-29 &amp; 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</v>
      </c>
      <c r="AF141" s="221" t="str">
        <f t="shared" ref="AF141:AF204" si="80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/stypes="app*4016*20171030*" /stext=" 03:.+((SYSTEM_STATE.+slice.+state.+changed )|(ment ac)|(multiple cpu faults)|(system.+state.+changed )|(\[timeout)|(PRM\|1\|D)|(kpr)|(kdp)|(train st.+moving)|(\|lc)|(penalty))"</v>
      </c>
      <c r="AG141" s="185" t="str">
        <f t="shared" ref="AG141:AG204" si="81">DetSubdiv(A141)</f>
        <v>EC</v>
      </c>
      <c r="AH141" s="222" t="str">
        <f t="shared" si="34"/>
        <v>"%USERPROFILE%\Documents\GitHub\eaglep3\Utilities\RefineRTDCRunTimes.py" --tripid 227-29 --locoid 4016 --swversion DE.1.0.9.0 --startMP 204:19142 --initTime 2017-10-29T20:35:11 --startdatetime 2017-10-29T20:36:30 --delay 47 --endMP 204:233315 --enddatetime 2017-10-29T21:07:13 --enforcementcount 0 &gt;&gt;%USERPROFILE%\Documents\GitHub\eaglep3-reporting\EC\2017-10-29-refined-times.txt</v>
      </c>
      <c r="AI141" s="223" t="str">
        <f t="shared" si="35"/>
        <v>echo {"issue":{"subject":"Operator selected wrong track ","project_id":79,"tracker_id":40,"status_id":1,"priority_id":2,"assigned_to_id":338,"start_date":"2017-10-29","description":"","custom_fields":[{"id":1,"name":"Subdivision","value":"EC"},{"id":4,"name":"Milepost","value":"23.3315"},{"id":17,"name":"Train ID","value":"227-29"},{"id":16,"name":"Locomotive ID","value":"4016"},{"id":130,"name":"Impact","value":""},{"id":150,"name":"Time of Event (Mountain Time)","value":"21:07:13"},{"id":151,"name":"Denver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182"/>
      <c r="AK141" s="186"/>
      <c r="AL141" s="186"/>
      <c r="AM141" s="187" t="str">
        <f t="shared" si="36"/>
        <v>start /low /b %USERPROFILE%\Documents\GitHub\eaglep3\Utilities\DownloadLogsFromS3.py --loco 4016 --day 2017-10-29</v>
      </c>
      <c r="AN141" s="224" t="str">
        <f t="shared" si="37"/>
        <v>echo {"issue":{"subject":"Operator selected wrong track 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03:07:13"},{"id":29,"name":"Sharepoint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82" t="str">
        <f t="shared" si="38"/>
        <v>https://d0f6bd738d7f1b3e5a7ca70fe4ff75f0.us-east-1.aws.found.io/app/kibana#/discover/Steve-Slow-Train-Analysis-(2080s-and-2083s)?_g=(refreshInterval:(display:Off,pause:!f,section:0,value:0),time:(from:'2017-10-29T19:35:11-0600',mode:absolute,to:'2017-10-29T22:07:13-0600'))&amp;_a=(columns:!('Message%20ID',Summary),filters:!(),index:'emp_*',interval:auto,query:(query_string:(analyze_wildcard:!t,query:'%22rtdc.l.rtdc.4016%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32" t="s">
        <v>841</v>
      </c>
      <c r="B142" s="7">
        <v>4016</v>
      </c>
      <c r="C142" s="21" t="s">
        <v>194</v>
      </c>
      <c r="D142" s="21" t="s">
        <v>1016</v>
      </c>
      <c r="E142" s="13">
        <v>43037.840451388889</v>
      </c>
      <c r="F142" s="13">
        <v>43037.858680555553</v>
      </c>
      <c r="G142" s="7">
        <v>132</v>
      </c>
      <c r="H142" s="21" t="s">
        <v>1034</v>
      </c>
      <c r="I142" s="13">
        <v>43037.880011574074</v>
      </c>
      <c r="J142" s="7">
        <v>0</v>
      </c>
      <c r="K142" s="76" t="str">
        <f t="shared" si="72"/>
        <v>4015/4016</v>
      </c>
      <c r="L142" s="164" t="str">
        <f>VLOOKUP(A142,'Trips&amp;Operators'!$C$1:$G$99911,5,FALSE)</f>
        <v>DUNCAN SHEILA</v>
      </c>
      <c r="M142" s="6">
        <f t="shared" si="73"/>
        <v>2.1331018520868383E-2</v>
      </c>
      <c r="N142" s="7"/>
      <c r="O142" s="7"/>
      <c r="P142" s="7"/>
      <c r="Q142" s="22"/>
      <c r="R142" s="157"/>
      <c r="S142" s="215"/>
      <c r="T142" s="216" t="str">
        <f t="shared" si="74"/>
        <v>NorthBound</v>
      </c>
      <c r="U142" s="216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217" t="str">
        <f t="shared" si="75"/>
        <v>https://d0f6bd738d7f1b3e5a7ca70fe4ff75f0.us-east-1.aws.found.io/app/kibana#/discover/Steve-Slow-Train-Analysis-(2080s-and-2083s)?_g=(refreshInterval:(display:Off,pause:!f,section:0,value:0),time:(from:'2017-10-29T19:10:15-0600',mode:absolute,to:'2017-10-29T22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2" s="218" t="str">
        <f>IF(AA142&lt;VLOOKUP(AG142,Variables!$AC$3:$AD$8,2,FALSE),"Y","N")</f>
        <v>Y</v>
      </c>
      <c r="X142" s="218">
        <f t="shared" si="76"/>
        <v>0</v>
      </c>
      <c r="Y142" s="218">
        <f t="shared" si="69"/>
        <v>5.0799999999999998E-2</v>
      </c>
      <c r="Z142" s="218">
        <f t="shared" si="70"/>
        <v>0.13370000000000001</v>
      </c>
      <c r="AA142" s="218">
        <f t="shared" si="77"/>
        <v>8.2900000000000015E-2</v>
      </c>
      <c r="AB142" s="219" t="e">
        <f>VLOOKUP(A142,Enforcements!$C$7:$K$11,8,0)</f>
        <v>#N/A</v>
      </c>
      <c r="AC142" s="219" t="e">
        <f>VLOOKUP(A142,Enforcements!$C$7:$E$11,3,0)</f>
        <v>#N/A</v>
      </c>
      <c r="AD142" s="186">
        <f t="shared" si="78"/>
        <v>227</v>
      </c>
      <c r="AE142" s="220" t="str">
        <f t="shared" si="79"/>
        <v>aws s3 cp s3://rtdc.mdm.uploadarchive.raw/RTDC4016/ "%USERPROFILE%\AppData\Local\Temp\OnboardLogs"\RTDC4016\2017-10-29 --exclude "*" --recursive --include "*20171029*" &amp; "%USERPROFILE%\Documents\GitHub\mrs-test-scripts\Headless Mode &amp; Sideloading\WalkAndUnGZ.bat" "%USERPROFILE%\AppData\Local\Temp\OnboardLogs"\RTDC4016\2017-10-29 &amp; 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</v>
      </c>
      <c r="AF142" s="221" t="str">
        <f t="shared" si="80"/>
        <v>"C:\Program Files (x86)\AstroGrep\AstroGrep.exe" /e /r /s /spath="%USERPROFILE%\AppData\Local\Temp\OnboardLogs" /stypes="app*4016*20171030*" /stext=" 03:.+((SYSTEM_STATE.+slice.+state.+changed )|(ment ac)|(multiple cpu faults)|(system.+state.+changed )|(\[timeout)|(PRM\|1\|D)|(kpr)|(kdp)|(train st.+moving)|(\|lc)|(penalty))"</v>
      </c>
      <c r="AG142" s="185" t="str">
        <f t="shared" si="81"/>
        <v>EC</v>
      </c>
      <c r="AH142" s="222" t="str">
        <f t="shared" ref="AH142:AH209" si="82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227-29 --locoid 4016 --swversion DE.1.0.9.0 --startMP 204:508 --initTime 2017-10-29T20:10:15 --startdatetime 2017-10-29T20:36:30 --delay 132 --endMP 204:1337 --enddatetime 2017-10-29T21:07:13 --enforcementcount 0 &gt;&gt;%USERPROFILE%\Documents\GitHub\eaglep3-reporting\EC\2017-10-29-refined-times.txt</v>
      </c>
      <c r="AI142" s="223" t="str">
        <f t="shared" ref="AI142:AI209" si="83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{"issue":{"subject":"","project_id":79,"tracker_id":40,"status_id":1,"priority_id":2,"assigned_to_id":338,"start_date":"2017-10-29","description":"","custom_fields":[{"id":1,"name":"Subdivision","value":"EC"},{"id":4,"name":"Milepost","value":"0.1337"},{"id":17,"name":"Train ID","value":"227-29"},{"id":16,"name":"Locomotive ID","value":"4016"},{"id":130,"name":"Impact","value":""},{"id":150,"name":"Time of Event (Mountain Time)","value":"21:07:13"},{"id":151,"name":"Denver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182"/>
      <c r="AK142" s="186"/>
      <c r="AL142" s="186"/>
      <c r="AM142" s="187" t="str">
        <f t="shared" ref="AM142:AM209" si="84">"start /low /b "&amp;dls3logs&amp;" --loco "&amp;B142&amp;" --day "&amp;TEXT(F142,"YYYY-MM-DD")</f>
        <v>start /low /b %USERPROFILE%\Documents\GitHub\eaglep3\Utilities\DownloadLogsFromS3.py --loco 4016 --day 2017-10-29</v>
      </c>
      <c r="AN142" s="224" t="str">
        <f t="shared" ref="AN142:AN209" si="85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03:07:13"},{"id":29,"name":"Sharepoint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82" t="str">
        <f t="shared" ref="AO142:AO209" si="86"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-10-29T19:10:15-0600',mode:absolute,to:'2017-10-29T22:07:13-0600'))&amp;_a=(columns:!('Message%20ID',Summary),filters:!(),index:'emp_*',interval:auto,query:(query_string:(analyze_wildcard:!t,query:'%22rtdc.l.rtdc.4016%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3">
      <c r="A143" s="32" t="s">
        <v>847</v>
      </c>
      <c r="B143" s="7">
        <v>4015</v>
      </c>
      <c r="C143" s="21" t="s">
        <v>194</v>
      </c>
      <c r="D143" s="21" t="s">
        <v>1026</v>
      </c>
      <c r="E143" s="13">
        <v>43037.8906712963</v>
      </c>
      <c r="F143" s="13">
        <v>43037.893923611111</v>
      </c>
      <c r="G143" s="7">
        <v>59</v>
      </c>
      <c r="H143" s="21" t="s">
        <v>925</v>
      </c>
      <c r="I143" s="13">
        <v>43037.919976851852</v>
      </c>
      <c r="J143" s="7">
        <v>0</v>
      </c>
      <c r="K143" s="76" t="str">
        <f t="shared" si="72"/>
        <v>4015/4016</v>
      </c>
      <c r="L143" s="164" t="str">
        <f>VLOOKUP(A143,'Trips&amp;Operators'!$C$1:$G$99911,5,FALSE)</f>
        <v>DUNCAN SHEILA</v>
      </c>
      <c r="M143" s="6">
        <f t="shared" si="73"/>
        <v>2.6053240741021E-2</v>
      </c>
      <c r="N143" s="7">
        <f t="shared" ref="N143:N174" si="87">24*60*SUM($M143:$M143)</f>
        <v>37.51666666707024</v>
      </c>
      <c r="O143" s="7"/>
      <c r="P143" s="7"/>
      <c r="Q143" s="22"/>
      <c r="R143" s="157"/>
      <c r="S143" s="215">
        <f t="shared" ref="S143:S174" si="88">1/IF(AG143="EC",12,1)*SUM(U143:U143)</f>
        <v>1</v>
      </c>
      <c r="T143" s="216" t="str">
        <f t="shared" si="74"/>
        <v>Southbound</v>
      </c>
      <c r="U143" s="216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7" t="str">
        <f t="shared" si="75"/>
        <v>https://d0f6bd738d7f1b3e5a7ca70fe4ff75f0.us-east-1.aws.found.io/app/kibana#/discover/Steve-Slow-Train-Analysis-(2080s-and-2083s)?_g=(refreshInterval:(display:Off,pause:!f,section:0,value:0),time:(from:'2017-10-29T20:22:34-0600',mode:absolute,to:'2017-10-29T23:04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3" s="218" t="str">
        <f>IF(AA143&lt;VLOOKUP(AG143,Variables!$AC$3:$AD$8,2,FALSE),"Y","N")</f>
        <v>N</v>
      </c>
      <c r="X143" s="218">
        <f t="shared" si="76"/>
        <v>1</v>
      </c>
      <c r="Y143" s="218">
        <f t="shared" si="69"/>
        <v>23.300799999999999</v>
      </c>
      <c r="Z143" s="218">
        <f t="shared" si="70"/>
        <v>2.3199999999999998E-2</v>
      </c>
      <c r="AA143" s="218">
        <f t="shared" si="77"/>
        <v>23.2776</v>
      </c>
      <c r="AB143" s="219" t="e">
        <f>VLOOKUP(A143,Enforcements!$C$7:$K$11,8,0)</f>
        <v>#N/A</v>
      </c>
      <c r="AC143" s="219" t="e">
        <f>VLOOKUP(A143,Enforcements!$C$7:$E$11,3,0)</f>
        <v>#N/A</v>
      </c>
      <c r="AD143" s="186">
        <f t="shared" si="78"/>
        <v>228</v>
      </c>
      <c r="AE143" s="220" t="str">
        <f t="shared" si="79"/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143" s="221" t="str">
        <f t="shared" si="80"/>
        <v>"C:\Program Files (x86)\AstroGrep\AstroGrep.exe" /e /r /s /spath="%USERPROFILE%\AppData\Local\Temp\OnboardLogs" /stypes="app*4015*20171030*" /stext=" 04:.+((SYSTEM_STATE.+slice.+state.+changed )|(ment ac)|(multiple cpu faults)|(system.+state.+changed )|(\[timeout)|(PRM\|1\|D)|(kpr)|(kdp)|(train st.+moving)|(\|lc)|(penalty))"</v>
      </c>
      <c r="AG143" s="185" t="str">
        <f t="shared" si="81"/>
        <v>EC</v>
      </c>
      <c r="AH143" s="222" t="str">
        <f t="shared" si="82"/>
        <v>"%USERPROFILE%\Documents\GitHub\eaglep3\Utilities\RefineRTDCRunTimes.py" --tripid 228-29 --locoid 4015 --swversion DE.1.0.9.0 --startMP 204:233008 --initTime 2017-10-29T21:22:34 --startdatetime 2017-10-29T21:27:15 --delay 59 --endMP 204:232 --enddatetime 2017-10-29T22:04:46 --enforcementcount 0 &gt;&gt;%USERPROFILE%\Documents\GitHub\eaglep3-reporting\EC\2017-10-29-refined-times.txt</v>
      </c>
      <c r="AI143" s="223" t="str">
        <f t="shared" si="83"/>
        <v>echo {"issue":{"subject":"","project_id":79,"tracker_id":40,"status_id":1,"priority_id":2,"assigned_to_id":338,"start_date":"2017-10-29","description":"","custom_fields":[{"id":1,"name":"Subdivision","value":"EC"},{"id":4,"name":"Milepost","value":"0.0232"},{"id":17,"name":"Train ID","value":"228-29"},{"id":16,"name":"Locomotive ID","value":"4015"},{"id":130,"name":"Impact","value":""},{"id":150,"name":"Time of Event (Mountain Time)","value":"22:04:46"},{"id":151,"name":"Denver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3" s="182"/>
      <c r="AK143" s="186"/>
      <c r="AL143" s="186"/>
      <c r="AM143" s="187" t="str">
        <f t="shared" si="84"/>
        <v>start /low /b %USERPROFILE%\Documents\GitHub\eaglep3\Utilities\DownloadLogsFromS3.py --loco 4015 --day 2017-10-29</v>
      </c>
      <c r="AN143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04:04:46"},{"id":29,"name":"Sharepoint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82" t="str">
        <f t="shared" si="86"/>
        <v>https://d0f6bd738d7f1b3e5a7ca70fe4ff75f0.us-east-1.aws.found.io/app/kibana#/discover/Steve-Slow-Train-Analysis-(2080s-and-2083s)?_g=(refreshInterval:(display:Off,pause:!f,section:0,value:0),time:(from:'2017-10-29T20:22:34-0600',mode:absolute,to:'2017-10-29T23:04:46-0600'))&amp;_a=(columns:!('Message%20ID',Summary),filters:!(),index:'emp_*',interval:auto,query:(query_string:(analyze_wildcard:!t,query:'%22rtdc.l.rtdc.4015%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3">
      <c r="A144" s="32" t="s">
        <v>844</v>
      </c>
      <c r="B144" s="7">
        <v>4062</v>
      </c>
      <c r="C144" s="21" t="s">
        <v>194</v>
      </c>
      <c r="D144" s="21" t="s">
        <v>1027</v>
      </c>
      <c r="E144" s="13">
        <v>43037.871840277781</v>
      </c>
      <c r="F144" s="13">
        <v>43037.875219907408</v>
      </c>
      <c r="G144" s="7">
        <v>51</v>
      </c>
      <c r="H144" s="21" t="s">
        <v>489</v>
      </c>
      <c r="I144" s="13">
        <v>43037.900300925925</v>
      </c>
      <c r="J144" s="7">
        <v>0</v>
      </c>
      <c r="K144" s="76" t="str">
        <f t="shared" si="72"/>
        <v>4061/4062</v>
      </c>
      <c r="L144" s="164" t="str">
        <f>VLOOKUP(A144,'Trips&amp;Operators'!$C$1:$G$99911,5,FALSE)</f>
        <v>CASSIDY BRANDON</v>
      </c>
      <c r="M144" s="6">
        <f t="shared" si="73"/>
        <v>2.5081018517084885E-2</v>
      </c>
      <c r="N144" s="7">
        <f t="shared" si="87"/>
        <v>36.116666664602235</v>
      </c>
      <c r="O144" s="7"/>
      <c r="P144" s="7"/>
      <c r="Q144" s="22"/>
      <c r="R144" s="157"/>
      <c r="S144" s="215">
        <f t="shared" si="88"/>
        <v>1</v>
      </c>
      <c r="T144" s="216" t="str">
        <f t="shared" si="74"/>
        <v>NorthBound</v>
      </c>
      <c r="U144" s="216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7" t="str">
        <f t="shared" si="75"/>
        <v>https://d0f6bd738d7f1b3e5a7ca70fe4ff75f0.us-east-1.aws.found.io/app/kibana#/discover/Steve-Slow-Train-Analysis-(2080s-and-2083s)?_g=(refreshInterval:(display:Off,pause:!f,section:0,value:0),time:(from:'2017-10-29T19:55:27-0600',mode:absolute,to:'2017-10-29T22:36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44" s="218" t="str">
        <f>IF(AA144&lt;VLOOKUP(AG144,Variables!$AC$3:$AD$8,2,FALSE),"Y","N")</f>
        <v>N</v>
      </c>
      <c r="X144" s="218">
        <f t="shared" si="76"/>
        <v>1</v>
      </c>
      <c r="Y144" s="218">
        <f t="shared" si="69"/>
        <v>4.9700000000000001E-2</v>
      </c>
      <c r="Z144" s="218">
        <f t="shared" si="70"/>
        <v>23.326799999999999</v>
      </c>
      <c r="AA144" s="218">
        <f t="shared" si="77"/>
        <v>23.277099999999997</v>
      </c>
      <c r="AB144" s="219" t="e">
        <f>VLOOKUP(A144,Enforcements!$C$7:$K$11,8,0)</f>
        <v>#N/A</v>
      </c>
      <c r="AC144" s="219" t="e">
        <f>VLOOKUP(A144,Enforcements!$C$7:$E$11,3,0)</f>
        <v>#N/A</v>
      </c>
      <c r="AD144" s="186">
        <f t="shared" si="78"/>
        <v>229</v>
      </c>
      <c r="AE144" s="220" t="str">
        <f t="shared" si="79"/>
        <v>aws s3 cp s3://rtdc.mdm.uploadarchive.raw/RTDC4062/ "%USERPROFILE%\AppData\Local\Temp\OnboardLogs"\RTDC4062\2017-10-29 --exclude "*" --recursive --include "*20171029*" &amp; "%USERPROFILE%\Documents\GitHub\mrs-test-scripts\Headless Mode &amp; Sideloading\WalkAndUnGZ.bat" "%USERPROFILE%\AppData\Local\Temp\OnboardLogs"\RTDC4062\2017-10-29 &amp; aws s3 cp s3://rtdc.mdm.uploadarchive.raw/RTDC4062/ "%USERPROFILE%\AppData\Local\Temp\OnboardLogs"\RTDC4062\2017-10-30 --exclude "*" --recursive --include "*20171030*" &amp; "%USERPROFILE%\Documents\GitHub\mrs-test-scripts\Headless Mode &amp; Sideloading\WalkAndUnGZ.bat" "%USERPROFILE%\AppData\Local\Temp\OnboardLogs"\RTDC4062\2017-10-30</v>
      </c>
      <c r="AF144" s="221" t="str">
        <f t="shared" si="80"/>
        <v>"C:\Program Files (x86)\AstroGrep\AstroGrep.exe" /e /r /s /spath="%USERPROFILE%\AppData\Local\Temp\OnboardLogs" /stypes="app*4062*20171030*" /stext=" 03:.+((SYSTEM_STATE.+slice.+state.+changed )|(ment ac)|(multiple cpu faults)|(system.+state.+changed )|(\[timeout)|(PRM\|1\|D)|(kpr)|(kdp)|(train st.+moving)|(\|lc)|(penalty))"</v>
      </c>
      <c r="AG144" s="185" t="str">
        <f t="shared" si="81"/>
        <v>EC</v>
      </c>
      <c r="AH144" s="222" t="str">
        <f t="shared" si="82"/>
        <v>"%USERPROFILE%\Documents\GitHub\eaglep3\Utilities\RefineRTDCRunTimes.py" --tripid 229-29 --locoid 4062 --swversion DE.1.0.9.0 --startMP 204:497 --initTime 2017-10-29T20:55:27 --startdatetime 2017-10-29T21:00:19 --delay 51 --endMP 204:233268 --enddatetime 2017-10-29T21:36:26 --enforcementcount 0 &gt;&gt;%USERPROFILE%\Documents\GitHub\eaglep3-reporting\EC\2017-10-29-refined-times.txt</v>
      </c>
      <c r="AI144" s="223" t="str">
        <f t="shared" si="83"/>
        <v>echo {"issue":{"subject":"","project_id":79,"tracker_id":40,"status_id":1,"priority_id":2,"assigned_to_id":338,"start_date":"2017-10-29","description":"","custom_fields":[{"id":1,"name":"Subdivision","value":"EC"},{"id":4,"name":"Milepost","value":"23.3268"},{"id":17,"name":"Train ID","value":"229-29"},{"id":16,"name":"Locomotive ID","value":"4062"},{"id":130,"name":"Impact","value":""},{"id":150,"name":"Time of Event (Mountain Time)","value":"21:36:26"},{"id":151,"name":"Denver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4" s="182"/>
      <c r="AK144" s="186"/>
      <c r="AL144" s="186"/>
      <c r="AM144" s="187" t="str">
        <f t="shared" si="84"/>
        <v>start /low /b %USERPROFILE%\Documents\GitHub\eaglep3\Utilities\DownloadLogsFromS3.py --loco 4062 --day 2017-10-29</v>
      </c>
      <c r="AN144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03:36:26"},{"id":29,"name":"Sharepoint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82" t="str">
        <f t="shared" si="86"/>
        <v>https://d0f6bd738d7f1b3e5a7ca70fe4ff75f0.us-east-1.aws.found.io/app/kibana#/discover/Steve-Slow-Train-Analysis-(2080s-and-2083s)?_g=(refreshInterval:(display:Off,pause:!f,section:0,value:0),time:(from:'2017-10-29T19:55:27-0600',mode:absolute,to:'2017-10-29T22:36:26-0600'))&amp;_a=(columns:!('Message%20ID',Summary),filters:!(),index:'emp_*',interval:auto,query:(query_string:(analyze_wildcard:!t,query:'%22rtdc.l.rtdc.4062%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32" t="s">
        <v>850</v>
      </c>
      <c r="B145" s="7">
        <v>4061</v>
      </c>
      <c r="C145" s="21" t="s">
        <v>194</v>
      </c>
      <c r="D145" s="21" t="s">
        <v>580</v>
      </c>
      <c r="E145" s="13">
        <v>43037.909178240741</v>
      </c>
      <c r="F145" s="13">
        <v>43037.914780092593</v>
      </c>
      <c r="G145" s="7">
        <v>54</v>
      </c>
      <c r="H145" s="21" t="s">
        <v>354</v>
      </c>
      <c r="I145" s="13">
        <v>43037.941331018519</v>
      </c>
      <c r="J145" s="7">
        <v>0</v>
      </c>
      <c r="K145" s="76" t="str">
        <f t="shared" si="72"/>
        <v>4061/4062</v>
      </c>
      <c r="L145" s="164" t="str">
        <f>VLOOKUP(A145,'Trips&amp;Operators'!$C$1:$G$99911,5,FALSE)</f>
        <v>CASSIDY BRANDON</v>
      </c>
      <c r="M145" s="6">
        <f t="shared" si="73"/>
        <v>2.6550925926130731E-2</v>
      </c>
      <c r="N145" s="7">
        <f t="shared" si="87"/>
        <v>38.233333333628252</v>
      </c>
      <c r="O145" s="7"/>
      <c r="P145" s="7"/>
      <c r="Q145" s="22"/>
      <c r="R145" s="157"/>
      <c r="S145" s="215">
        <f t="shared" si="88"/>
        <v>1</v>
      </c>
      <c r="T145" s="216" t="str">
        <f t="shared" si="74"/>
        <v>Southbound</v>
      </c>
      <c r="U145" s="216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7" t="str">
        <f t="shared" si="75"/>
        <v>https://d0f6bd738d7f1b3e5a7ca70fe4ff75f0.us-east-1.aws.found.io/app/kibana#/discover/Steve-Slow-Train-Analysis-(2080s-and-2083s)?_g=(refreshInterval:(display:Off,pause:!f,section:0,value:0),time:(from:'2017-10-29T20:49:13-0600',mode:absolute,to:'2017-10-29T23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45" s="218" t="str">
        <f>IF(AA145&lt;VLOOKUP(AG145,Variables!$AC$3:$AD$8,2,FALSE),"Y","N")</f>
        <v>N</v>
      </c>
      <c r="X145" s="218">
        <f t="shared" si="76"/>
        <v>1</v>
      </c>
      <c r="Y145" s="218">
        <f t="shared" si="69"/>
        <v>23.295300000000001</v>
      </c>
      <c r="Z145" s="218">
        <f t="shared" si="70"/>
        <v>1.5800000000000002E-2</v>
      </c>
      <c r="AA145" s="218">
        <f t="shared" si="77"/>
        <v>23.279500000000002</v>
      </c>
      <c r="AB145" s="219" t="e">
        <f>VLOOKUP(A145,Enforcements!$C$7:$K$11,8,0)</f>
        <v>#N/A</v>
      </c>
      <c r="AC145" s="219" t="e">
        <f>VLOOKUP(A145,Enforcements!$C$7:$E$11,3,0)</f>
        <v>#N/A</v>
      </c>
      <c r="AD145" s="186">
        <f t="shared" si="78"/>
        <v>230</v>
      </c>
      <c r="AE145" s="220" t="str">
        <f t="shared" si="79"/>
        <v>aws s3 cp s3://rtdc.mdm.uploadarchive.raw/RTDC4061/ "%USERPROFILE%\AppData\Local\Temp\OnboardLogs"\RTDC4061\2017-10-29 --exclude "*" --recursive --include "*20171029*" &amp; "%USERPROFILE%\Documents\GitHub\mrs-test-scripts\Headless Mode &amp; Sideloading\WalkAndUnGZ.bat" "%USERPROFILE%\AppData\Local\Temp\OnboardLogs"\RTDC4061\2017-10-29 &amp; aws s3 cp s3://rtdc.mdm.uploadarchive.raw/RTDC4061/ "%USERPROFILE%\AppData\Local\Temp\OnboardLogs"\RTDC4061\2017-10-30 --exclude "*" --recursive --include "*20171030*" &amp; "%USERPROFILE%\Documents\GitHub\mrs-test-scripts\Headless Mode &amp; Sideloading\WalkAndUnGZ.bat" "%USERPROFILE%\AppData\Local\Temp\OnboardLogs"\RTDC4061\2017-10-30</v>
      </c>
      <c r="AF145" s="221" t="str">
        <f t="shared" si="80"/>
        <v>"C:\Program Files (x86)\AstroGrep\AstroGrep.exe" /e /r /s /spath="%USERPROFILE%\AppData\Local\Temp\OnboardLogs" /stypes="app*4061*20171030*" /stext=" 04:.+((SYSTEM_STATE.+slice.+state.+changed )|(ment ac)|(multiple cpu faults)|(system.+state.+changed )|(\[timeout)|(PRM\|1\|D)|(kpr)|(kdp)|(train st.+moving)|(\|lc)|(penalty))"</v>
      </c>
      <c r="AG145" s="185" t="str">
        <f t="shared" si="81"/>
        <v>EC</v>
      </c>
      <c r="AH145" s="222" t="str">
        <f t="shared" si="82"/>
        <v>"%USERPROFILE%\Documents\GitHub\eaglep3\Utilities\RefineRTDCRunTimes.py" --tripid 230-29 --locoid 4061 --swversion DE.1.0.9.0 --startMP 204:232953 --initTime 2017-10-29T21:49:13 --startdatetime 2017-10-29T21:57:17 --delay 54 --endMP 204:158 --enddatetime 2017-10-29T22:35:31 --enforcementcount 0 &gt;&gt;%USERPROFILE%\Documents\GitHub\eaglep3-reporting\EC\2017-10-29-refined-times.txt</v>
      </c>
      <c r="AI145" s="223" t="str">
        <f t="shared" si="83"/>
        <v>echo {"issue":{"subject":"","project_id":79,"tracker_id":40,"status_id":1,"priority_id":2,"assigned_to_id":338,"start_date":"2017-10-29","description":"","custom_fields":[{"id":1,"name":"Subdivision","value":"EC"},{"id":4,"name":"Milepost","value":"0.0158"},{"id":17,"name":"Train ID","value":"230-29"},{"id":16,"name":"Locomotive ID","value":"4061"},{"id":130,"name":"Impact","value":""},{"id":150,"name":"Time of Event (Mountain Time)","value":"22:35:31"},{"id":151,"name":"Denver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182"/>
      <c r="AK145" s="186"/>
      <c r="AL145" s="186"/>
      <c r="AM145" s="187" t="str">
        <f t="shared" si="84"/>
        <v>start /low /b %USERPROFILE%\Documents\GitHub\eaglep3\Utilities\DownloadLogsFromS3.py --loco 4061 --day 2017-10-29</v>
      </c>
      <c r="AN145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04:35:31"},{"id":29,"name":"Sharepoint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82" t="str">
        <f t="shared" si="86"/>
        <v>https://d0f6bd738d7f1b3e5a7ca70fe4ff75f0.us-east-1.aws.found.io/app/kibana#/discover/Steve-Slow-Train-Analysis-(2080s-and-2083s)?_g=(refreshInterval:(display:Off,pause:!f,section:0,value:0),time:(from:'2017-10-29T20:49:13-0600',mode:absolute,to:'2017-10-29T23:35:31-0600'))&amp;_a=(columns:!('Message%20ID',Summary),filters:!(),index:'emp_*',interval:auto,query:(query_string:(analyze_wildcard:!t,query:'%22rtdc.l.rtdc.4061%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32" t="s">
        <v>846</v>
      </c>
      <c r="B146" s="7">
        <v>4018</v>
      </c>
      <c r="C146" s="21" t="s">
        <v>194</v>
      </c>
      <c r="D146" s="21" t="s">
        <v>1035</v>
      </c>
      <c r="E146" s="13">
        <v>43037.880914351852</v>
      </c>
      <c r="F146" s="13">
        <v>43037.896111111113</v>
      </c>
      <c r="G146" s="7">
        <v>82</v>
      </c>
      <c r="H146" s="21" t="s">
        <v>1036</v>
      </c>
      <c r="I146" s="13">
        <v>43037.920416666668</v>
      </c>
      <c r="J146" s="7">
        <v>0</v>
      </c>
      <c r="K146" s="76" t="str">
        <f t="shared" si="72"/>
        <v>4017/4018</v>
      </c>
      <c r="L146" s="164" t="str">
        <f>VLOOKUP(A146,'Trips&amp;Operators'!$C$1:$G$99911,5,FALSE)</f>
        <v>LOZA FIDEL</v>
      </c>
      <c r="M146" s="6">
        <f t="shared" si="73"/>
        <v>2.4305555554747116E-2</v>
      </c>
      <c r="N146" s="7">
        <f t="shared" si="87"/>
        <v>34.999999998835847</v>
      </c>
      <c r="O146" s="7"/>
      <c r="P146" s="7"/>
      <c r="Q146" s="22"/>
      <c r="R146" s="157"/>
      <c r="S146" s="215">
        <f t="shared" si="88"/>
        <v>1</v>
      </c>
      <c r="T146" s="216" t="str">
        <f t="shared" si="74"/>
        <v>NorthBound</v>
      </c>
      <c r="U146" s="216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7" t="str">
        <f t="shared" si="75"/>
        <v>https://d0f6bd738d7f1b3e5a7ca70fe4ff75f0.us-east-1.aws.found.io/app/kibana#/discover/Steve-Slow-Train-Analysis-(2080s-and-2083s)?_g=(refreshInterval:(display:Off,pause:!f,section:0,value:0),time:(from:'2017-10-29T20:08:31-0600',mode:absolute,to:'2017-10-29T23:05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6" s="218" t="str">
        <f>IF(AA146&lt;VLOOKUP(AG146,Variables!$AC$3:$AD$8,2,FALSE),"Y","N")</f>
        <v>N</v>
      </c>
      <c r="X146" s="218">
        <f t="shared" ref="X146:X159" si="89">VALUE(LEFT(AD146,4))-VALUE(LEFT(AD145,4))</f>
        <v>1</v>
      </c>
      <c r="Y146" s="218">
        <f t="shared" si="69"/>
        <v>5.33E-2</v>
      </c>
      <c r="Z146" s="218">
        <f t="shared" si="70"/>
        <v>23.3246</v>
      </c>
      <c r="AA146" s="218">
        <f t="shared" si="77"/>
        <v>23.2713</v>
      </c>
      <c r="AB146" s="219" t="e">
        <f>VLOOKUP(A146,Enforcements!$C$7:$K$11,8,0)</f>
        <v>#N/A</v>
      </c>
      <c r="AC146" s="219" t="e">
        <f>VLOOKUP(A146,Enforcements!$C$7:$E$11,3,0)</f>
        <v>#N/A</v>
      </c>
      <c r="AD146" s="186">
        <f t="shared" si="78"/>
        <v>231</v>
      </c>
      <c r="AE146" s="220" t="str">
        <f t="shared" si="79"/>
        <v>aws s3 cp s3://rtdc.mdm.uploadarchive.raw/RTDC4018/ "%USERPROFILE%\AppData\Local\Temp\OnboardLogs"\RTDC4018\2017-10-29 --exclude "*" --recursive --include "*20171029*" &amp; "%USERPROFILE%\Documents\GitHub\mrs-test-scripts\Headless Mode &amp; Sideloading\WalkAndUnGZ.bat" "%USERPROFILE%\AppData\Local\Temp\OnboardLogs"\RTDC4018\2017-10-29 &amp; aws s3 cp s3://rtdc.mdm.uploadarchive.raw/RTDC4018/ "%USERPROFILE%\AppData\Local\Temp\OnboardLogs"\RTDC4018\2017-10-30 --exclude "*" --recursive --include "*20171030*" &amp; "%USERPROFILE%\Documents\GitHub\mrs-test-scripts\Headless Mode &amp; Sideloading\WalkAndUnGZ.bat" "%USERPROFILE%\AppData\Local\Temp\OnboardLogs"\RTDC4018\2017-10-30</v>
      </c>
      <c r="AF146" s="221" t="str">
        <f t="shared" si="80"/>
        <v>"C:\Program Files (x86)\AstroGrep\AstroGrep.exe" /e /r /s /spath="%USERPROFILE%\AppData\Local\Temp\OnboardLogs" /stypes="app*4018*20171030*" /stext=" 04:.+((SYSTEM_STATE.+slice.+state.+changed )|(ment ac)|(multiple cpu faults)|(system.+state.+changed )|(\[timeout)|(PRM\|1\|D)|(kpr)|(kdp)|(train st.+moving)|(\|lc)|(penalty))"</v>
      </c>
      <c r="AG146" s="185" t="str">
        <f t="shared" si="81"/>
        <v>EC</v>
      </c>
      <c r="AH146" s="222" t="str">
        <f t="shared" si="82"/>
        <v>"%USERPROFILE%\Documents\GitHub\eaglep3\Utilities\RefineRTDCRunTimes.py" --tripid 231-29 --locoid 4018 --swversion DE.1.0.9.0 --startMP 204:533 --initTime 2017-10-29T21:08:31 --startdatetime 2017-10-29T21:30:24 --delay 82 --endMP 204:233246 --enddatetime 2017-10-29T22:05:24 --enforcementcount 0 &gt;&gt;%USERPROFILE%\Documents\GitHub\eaglep3-reporting\EC\2017-10-29-refined-times.txt</v>
      </c>
      <c r="AI146" s="223" t="str">
        <f t="shared" si="83"/>
        <v>echo {"issue":{"subject":"","project_id":79,"tracker_id":40,"status_id":1,"priority_id":2,"assigned_to_id":338,"start_date":"2017-10-29","description":"","custom_fields":[{"id":1,"name":"Subdivision","value":"EC"},{"id":4,"name":"Milepost","value":"23.3246"},{"id":17,"name":"Train ID","value":"231-29"},{"id":16,"name":"Locomotive ID","value":"4018"},{"id":130,"name":"Impact","value":""},{"id":150,"name":"Time of Event (Mountain Time)","value":"22:05:24"},{"id":151,"name":"Denver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182"/>
      <c r="AK146" s="186"/>
      <c r="AL146" s="186"/>
      <c r="AM146" s="187" t="str">
        <f t="shared" si="84"/>
        <v>start /low /b %USERPROFILE%\Documents\GitHub\eaglep3\Utilities\DownloadLogsFromS3.py --loco 4018 --day 2017-10-29</v>
      </c>
      <c r="AN146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04:05:24"},{"id":29,"name":"Sharepoint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82" t="str">
        <f t="shared" si="86"/>
        <v>https://d0f6bd738d7f1b3e5a7ca70fe4ff75f0.us-east-1.aws.found.io/app/kibana#/discover/Steve-Slow-Train-Analysis-(2080s-and-2083s)?_g=(refreshInterval:(display:Off,pause:!f,section:0,value:0),time:(from:'2017-10-29T20:08:31-0600',mode:absolute,to:'2017-10-29T23:05:24-0600'))&amp;_a=(columns:!('Message%20ID',Summary),filters:!(),index:'emp_*',interval:auto,query:(query_string:(analyze_wildcard:!t,query:'%22rtdc.l.rtdc.4018%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32" t="s">
        <v>852</v>
      </c>
      <c r="B147" s="7">
        <v>4017</v>
      </c>
      <c r="C147" s="21" t="s">
        <v>194</v>
      </c>
      <c r="D147" s="21" t="s">
        <v>572</v>
      </c>
      <c r="E147" s="13">
        <v>43037.930648148147</v>
      </c>
      <c r="F147" s="13">
        <v>43037.935856481483</v>
      </c>
      <c r="G147" s="7">
        <v>61</v>
      </c>
      <c r="H147" s="21" t="s">
        <v>600</v>
      </c>
      <c r="I147" s="13">
        <v>43037.961782407408</v>
      </c>
      <c r="J147" s="7">
        <v>0</v>
      </c>
      <c r="K147" s="76" t="str">
        <f t="shared" si="72"/>
        <v>4017/4018</v>
      </c>
      <c r="L147" s="164" t="str">
        <f>VLOOKUP(A147,'Trips&amp;Operators'!$C$1:$G$99911,5,FALSE)</f>
        <v>LOZA FIDEL</v>
      </c>
      <c r="M147" s="6">
        <f t="shared" si="73"/>
        <v>2.5925925925548654E-2</v>
      </c>
      <c r="N147" s="7">
        <f t="shared" si="87"/>
        <v>37.333333332790062</v>
      </c>
      <c r="O147" s="7"/>
      <c r="P147" s="7"/>
      <c r="Q147" s="22"/>
      <c r="R147" s="157"/>
      <c r="S147" s="215">
        <f t="shared" si="88"/>
        <v>1</v>
      </c>
      <c r="T147" s="216" t="str">
        <f t="shared" si="74"/>
        <v>Southbound</v>
      </c>
      <c r="U147" s="216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7" t="str">
        <f t="shared" si="75"/>
        <v>https://d0f6bd738d7f1b3e5a7ca70fe4ff75f0.us-east-1.aws.found.io/app/kibana#/discover/Steve-Slow-Train-Analysis-(2080s-and-2083s)?_g=(refreshInterval:(display:Off,pause:!f,section:0,value:0),time:(from:'2017-10-29T21:20:08-0600',mode:absolute,to:'2017-10-30T00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7" s="218" t="str">
        <f>IF(AA147&lt;VLOOKUP(AG147,Variables!$AC$3:$AD$8,2,FALSE),"Y","N")</f>
        <v>N</v>
      </c>
      <c r="X147" s="218">
        <f t="shared" si="89"/>
        <v>1</v>
      </c>
      <c r="Y147" s="218">
        <f t="shared" si="69"/>
        <v>23.2957</v>
      </c>
      <c r="Z147" s="218">
        <f t="shared" si="70"/>
        <v>2.3400000000000001E-2</v>
      </c>
      <c r="AA147" s="218">
        <f t="shared" si="77"/>
        <v>23.272300000000001</v>
      </c>
      <c r="AB147" s="219" t="e">
        <f>VLOOKUP(A147,Enforcements!$C$7:$K$11,8,0)</f>
        <v>#N/A</v>
      </c>
      <c r="AC147" s="219" t="e">
        <f>VLOOKUP(A147,Enforcements!$C$7:$E$11,3,0)</f>
        <v>#N/A</v>
      </c>
      <c r="AD147" s="186">
        <f t="shared" si="78"/>
        <v>232</v>
      </c>
      <c r="AE147" s="220" t="str">
        <f t="shared" si="79"/>
        <v>aws s3 cp s3://rtdc.mdm.uploadarchive.raw/RTDC4017/ "%USERPROFILE%\AppData\Local\Temp\OnboardLogs"\RTDC4017\2017-10-29 --exclude "*" --recursive --include "*20171029*" &amp; "%USERPROFILE%\Documents\GitHub\mrs-test-scripts\Headless Mode &amp; Sideloading\WalkAndUnGZ.bat" "%USERPROFILE%\AppData\Local\Temp\OnboardLogs"\RTDC4017\2017-10-29 &amp; aws s3 cp s3://rtdc.mdm.uploadarchive.raw/RTDC4017/ "%USERPROFILE%\AppData\Local\Temp\OnboardLogs"\RTDC4017\2017-10-30 --exclude "*" --recursive --include "*20171030*" &amp; "%USERPROFILE%\Documents\GitHub\mrs-test-scripts\Headless Mode &amp; Sideloading\WalkAndUnGZ.bat" "%USERPROFILE%\AppData\Local\Temp\OnboardLogs"\RTDC4017\2017-10-30</v>
      </c>
      <c r="AF147" s="221" t="str">
        <f t="shared" si="80"/>
        <v>"C:\Program Files (x86)\AstroGrep\AstroGrep.exe" /e /r /s /spath="%USERPROFILE%\AppData\Local\Temp\OnboardLogs" /stypes="app*4017*20171030*" /stext=" 05:.+((SYSTEM_STATE.+slice.+state.+changed )|(ment ac)|(multiple cpu faults)|(system.+state.+changed )|(\[timeout)|(PRM\|1\|D)|(kpr)|(kdp)|(train st.+moving)|(\|lc)|(penalty))"</v>
      </c>
      <c r="AG147" s="185" t="str">
        <f t="shared" si="81"/>
        <v>EC</v>
      </c>
      <c r="AH147" s="222" t="str">
        <f t="shared" si="82"/>
        <v>"%USERPROFILE%\Documents\GitHub\eaglep3\Utilities\RefineRTDCRunTimes.py" --tripid 232-29 --locoid 4017 --swversion DE.1.0.9.0 --startMP 204:232957 --initTime 2017-10-29T22:20:08 --startdatetime 2017-10-29T22:27:38 --delay 61 --endMP 204:234 --enddatetime 2017-10-29T23:04:58 --enforcementcount 0 &gt;&gt;%USERPROFILE%\Documents\GitHub\eaglep3-reporting\EC\2017-10-29-refined-times.txt</v>
      </c>
      <c r="AI147" s="223" t="str">
        <f t="shared" si="83"/>
        <v>echo {"issue":{"subject":"","project_id":79,"tracker_id":40,"status_id":1,"priority_id":2,"assigned_to_id":338,"start_date":"2017-10-29","description":"","custom_fields":[{"id":1,"name":"Subdivision","value":"EC"},{"id":4,"name":"Milepost","value":"0.0234"},{"id":17,"name":"Train ID","value":"232-29"},{"id":16,"name":"Locomotive ID","value":"4017"},{"id":130,"name":"Impact","value":""},{"id":150,"name":"Time of Event (Mountain Time)","value":"23:04:58"},{"id":151,"name":"Denver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182"/>
      <c r="AK147" s="186"/>
      <c r="AL147" s="186"/>
      <c r="AM147" s="187" t="str">
        <f t="shared" si="84"/>
        <v>start /low /b %USERPROFILE%\Documents\GitHub\eaglep3\Utilities\DownloadLogsFromS3.py --loco 4017 --day 2017-10-29</v>
      </c>
      <c r="AN147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05:04:58"},{"id":29,"name":"Sharepoint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82" t="str">
        <f t="shared" si="86"/>
        <v>https://d0f6bd738d7f1b3e5a7ca70fe4ff75f0.us-east-1.aws.found.io/app/kibana#/discover/Steve-Slow-Train-Analysis-(2080s-and-2083s)?_g=(refreshInterval:(display:Off,pause:!f,section:0,value:0),time:(from:'2017-10-29T21:20:08-0600',mode:absolute,to:'2017-10-30T00:04:58-0600'))&amp;_a=(columns:!('Message%20ID',Summary),filters:!(),index:'emp_*',interval:auto,query:(query_string:(analyze_wildcard:!t,query:'%22rtdc.l.rtdc.4017%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3">
      <c r="A148" s="32" t="s">
        <v>849</v>
      </c>
      <c r="B148" s="7">
        <v>4060</v>
      </c>
      <c r="C148" s="21" t="s">
        <v>194</v>
      </c>
      <c r="D148" s="21" t="s">
        <v>1037</v>
      </c>
      <c r="E148" s="13">
        <v>43037.900625000002</v>
      </c>
      <c r="F148" s="13">
        <v>43037.916886574072</v>
      </c>
      <c r="G148" s="7">
        <v>52</v>
      </c>
      <c r="H148" s="21" t="s">
        <v>1038</v>
      </c>
      <c r="I148" s="13">
        <v>43037.940578703703</v>
      </c>
      <c r="J148" s="7">
        <v>0</v>
      </c>
      <c r="K148" s="76" t="str">
        <f t="shared" si="72"/>
        <v>4059/4060</v>
      </c>
      <c r="L148" s="164" t="str">
        <f>VLOOKUP(A148,'Trips&amp;Operators'!$C$1:$G$99911,5,FALSE)</f>
        <v>ELBAUM MIKE</v>
      </c>
      <c r="M148" s="6">
        <f t="shared" si="73"/>
        <v>2.3692129630944692E-2</v>
      </c>
      <c r="N148" s="7">
        <f t="shared" si="87"/>
        <v>34.116666668560356</v>
      </c>
      <c r="O148" s="7"/>
      <c r="P148" s="7"/>
      <c r="Q148" s="22"/>
      <c r="R148" s="157"/>
      <c r="S148" s="215">
        <f t="shared" si="88"/>
        <v>1</v>
      </c>
      <c r="T148" s="216" t="str">
        <f t="shared" si="74"/>
        <v>NorthBound</v>
      </c>
      <c r="U148" s="216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7" t="str">
        <f t="shared" si="75"/>
        <v>https://d0f6bd738d7f1b3e5a7ca70fe4ff75f0.us-east-1.aws.found.io/app/kibana#/discover/Steve-Slow-Train-Analysis-(2080s-and-2083s)?_g=(refreshInterval:(display:Off,pause:!f,section:0,value:0),time:(from:'2017-10-29T20:36:54-0600',mode:absolute,to:'2017-10-29T23:34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8" s="218" t="str">
        <f>IF(AA148&lt;VLOOKUP(AG148,Variables!$AC$3:$AD$8,2,FALSE),"Y","N")</f>
        <v>N</v>
      </c>
      <c r="X148" s="218">
        <f t="shared" si="89"/>
        <v>1</v>
      </c>
      <c r="Y148" s="218">
        <f t="shared" si="69"/>
        <v>5.8599999999999999E-2</v>
      </c>
      <c r="Z148" s="218">
        <f t="shared" si="70"/>
        <v>23.330100000000002</v>
      </c>
      <c r="AA148" s="218">
        <f t="shared" si="77"/>
        <v>23.271500000000003</v>
      </c>
      <c r="AB148" s="219" t="e">
        <f>VLOOKUP(A148,Enforcements!$C$7:$K$11,8,0)</f>
        <v>#N/A</v>
      </c>
      <c r="AC148" s="219" t="e">
        <f>VLOOKUP(A148,Enforcements!$C$7:$E$11,3,0)</f>
        <v>#N/A</v>
      </c>
      <c r="AD148" s="186">
        <f t="shared" si="78"/>
        <v>233</v>
      </c>
      <c r="AE148" s="220" t="str">
        <f t="shared" si="79"/>
        <v>aws s3 cp s3://rtdc.mdm.uploadarchive.raw/RTDC4060/ "%USERPROFILE%\AppData\Local\Temp\OnboardLogs"\RTDC4060\2017-10-29 --exclude "*" --recursive --include "*20171029*" &amp; "%USERPROFILE%\Documents\GitHub\mrs-test-scripts\Headless Mode &amp; Sideloading\WalkAndUnGZ.bat" "%USERPROFILE%\AppData\Local\Temp\OnboardLogs"\RTDC4060\2017-10-29 &amp; aws s3 cp s3://rtdc.mdm.uploadarchive.raw/RTDC4060/ "%USERPROFILE%\AppData\Local\Temp\OnboardLogs"\RTDC4060\2017-10-30 --exclude "*" --recursive --include "*20171030*" &amp; "%USERPROFILE%\Documents\GitHub\mrs-test-scripts\Headless Mode &amp; Sideloading\WalkAndUnGZ.bat" "%USERPROFILE%\AppData\Local\Temp\OnboardLogs"\RTDC4060\2017-10-30</v>
      </c>
      <c r="AF148" s="221" t="str">
        <f t="shared" si="80"/>
        <v>"C:\Program Files (x86)\AstroGrep\AstroGrep.exe" /e /r /s /spath="%USERPROFILE%\AppData\Local\Temp\OnboardLogs" /stypes="app*4060*20171030*" /stext=" 04:.+((SYSTEM_STATE.+slice.+state.+changed )|(ment ac)|(multiple cpu faults)|(system.+state.+changed )|(\[timeout)|(PRM\|1\|D)|(kpr)|(kdp)|(train st.+moving)|(\|lc)|(penalty))"</v>
      </c>
      <c r="AG148" s="185" t="str">
        <f t="shared" si="81"/>
        <v>EC</v>
      </c>
      <c r="AH148" s="222" t="str">
        <f t="shared" si="82"/>
        <v>"%USERPROFILE%\Documents\GitHub\eaglep3\Utilities\RefineRTDCRunTimes.py" --tripid 233-29 --locoid 4060 --swversion DE.1.0.9.0 --startMP 204:586 --initTime 2017-10-29T21:36:54 --startdatetime 2017-10-29T22:00:19 --delay 52 --endMP 204:233301 --enddatetime 2017-10-29T22:34:26 --enforcementcount 0 &gt;&gt;%USERPROFILE%\Documents\GitHub\eaglep3-reporting\EC\2017-10-29-refined-times.txt</v>
      </c>
      <c r="AI148" s="223" t="str">
        <f t="shared" si="83"/>
        <v>echo {"issue":{"subject":"","project_id":79,"tracker_id":40,"status_id":1,"priority_id":2,"assigned_to_id":338,"start_date":"2017-10-29","description":"","custom_fields":[{"id":1,"name":"Subdivision","value":"EC"},{"id":4,"name":"Milepost","value":"23.3301"},{"id":17,"name":"Train ID","value":"233-29"},{"id":16,"name":"Locomotive ID","value":"4060"},{"id":130,"name":"Impact","value":""},{"id":150,"name":"Time of Event (Mountain Time)","value":"22:34:26"},{"id":151,"name":"Denver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8" s="182"/>
      <c r="AK148" s="186"/>
      <c r="AL148" s="186"/>
      <c r="AM148" s="187" t="str">
        <f t="shared" si="84"/>
        <v>start /low /b %USERPROFILE%\Documents\GitHub\eaglep3\Utilities\DownloadLogsFromS3.py --loco 4060 --day 2017-10-29</v>
      </c>
      <c r="AN148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04:34:26"},{"id":29,"name":"Sharepoint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82" t="str">
        <f t="shared" si="86"/>
        <v>https://d0f6bd738d7f1b3e5a7ca70fe4ff75f0.us-east-1.aws.found.io/app/kibana#/discover/Steve-Slow-Train-Analysis-(2080s-and-2083s)?_g=(refreshInterval:(display:Off,pause:!f,section:0,value:0),time:(from:'2017-10-29T20:36:54-0600',mode:absolute,to:'2017-10-29T23:34:26-0600'))&amp;_a=(columns:!('Message%20ID',Summary),filters:!(),index:'emp_*',interval:auto,query:(query_string:(analyze_wildcard:!t,query:'%22rtdc.l.rtdc.4060%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32" t="s">
        <v>854</v>
      </c>
      <c r="B149" s="7">
        <v>4059</v>
      </c>
      <c r="C149" s="21" t="s">
        <v>194</v>
      </c>
      <c r="D149" s="21" t="s">
        <v>502</v>
      </c>
      <c r="E149" s="13">
        <v>43037.944560185184</v>
      </c>
      <c r="F149" s="13">
        <v>43037.95652777778</v>
      </c>
      <c r="G149" s="7">
        <v>56</v>
      </c>
      <c r="H149" s="21" t="s">
        <v>1039</v>
      </c>
      <c r="I149" s="13">
        <v>43037.982129629629</v>
      </c>
      <c r="J149" s="7">
        <v>0</v>
      </c>
      <c r="K149" s="76" t="str">
        <f t="shared" si="72"/>
        <v>4059/4060</v>
      </c>
      <c r="L149" s="164" t="str">
        <f>VLOOKUP(A149,'Trips&amp;Operators'!$C$1:$G$99911,5,FALSE)</f>
        <v>ELBAUM MIKE</v>
      </c>
      <c r="M149" s="6">
        <f t="shared" si="73"/>
        <v>2.5601851848477963E-2</v>
      </c>
      <c r="N149" s="7">
        <f t="shared" si="87"/>
        <v>36.866666661808267</v>
      </c>
      <c r="O149" s="7"/>
      <c r="P149" s="7"/>
      <c r="Q149" s="22"/>
      <c r="R149" s="157"/>
      <c r="S149" s="215">
        <f t="shared" si="88"/>
        <v>1</v>
      </c>
      <c r="T149" s="216" t="str">
        <f t="shared" si="74"/>
        <v>Southbound</v>
      </c>
      <c r="U149" s="216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7" t="str">
        <f t="shared" si="75"/>
        <v>https://d0f6bd738d7f1b3e5a7ca70fe4ff75f0.us-east-1.aws.found.io/app/kibana#/discover/Steve-Slow-Train-Analysis-(2080s-and-2083s)?_g=(refreshInterval:(display:Off,pause:!f,section:0,value:0),time:(from:'2017-10-29T21:40:10-0600',mode:absolute,to:'2017-10-30T00:34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9" s="218" t="str">
        <f>IF(AA149&lt;VLOOKUP(AG149,Variables!$AC$3:$AD$8,2,FALSE),"Y","N")</f>
        <v>N</v>
      </c>
      <c r="X149" s="218">
        <f t="shared" si="89"/>
        <v>1</v>
      </c>
      <c r="Y149" s="218">
        <f t="shared" si="69"/>
        <v>23.298200000000001</v>
      </c>
      <c r="Z149" s="218">
        <f t="shared" si="70"/>
        <v>2.69E-2</v>
      </c>
      <c r="AA149" s="218">
        <f t="shared" si="77"/>
        <v>23.2713</v>
      </c>
      <c r="AB149" s="219" t="e">
        <f>VLOOKUP(A149,Enforcements!$C$7:$K$11,8,0)</f>
        <v>#N/A</v>
      </c>
      <c r="AC149" s="219" t="e">
        <f>VLOOKUP(A149,Enforcements!$C$7:$E$11,3,0)</f>
        <v>#N/A</v>
      </c>
      <c r="AD149" s="186">
        <f t="shared" si="78"/>
        <v>234</v>
      </c>
      <c r="AE149" s="220" t="str">
        <f t="shared" si="79"/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AF149" s="221" t="str">
        <f t="shared" si="80"/>
        <v>"C:\Program Files (x86)\AstroGrep\AstroGrep.exe" /e /r /s /spath="%USERPROFILE%\AppData\Local\Temp\OnboardLogs" /stypes="app*4059*20171030*" /stext=" 05:.+((SYSTEM_STATE.+slice.+state.+changed )|(ment ac)|(multiple cpu faults)|(system.+state.+changed )|(\[timeout)|(PRM\|1\|D)|(kpr)|(kdp)|(train st.+moving)|(\|lc)|(penalty))"</v>
      </c>
      <c r="AG149" s="185" t="str">
        <f t="shared" si="81"/>
        <v>EC</v>
      </c>
      <c r="AH149" s="222" t="str">
        <f t="shared" si="82"/>
        <v>"%USERPROFILE%\Documents\GitHub\eaglep3\Utilities\RefineRTDCRunTimes.py" --tripid 234-29 --locoid 4059 --swversion DE.1.0.9.0 --startMP 204:232982 --initTime 2017-10-29T22:40:10 --startdatetime 2017-10-29T22:57:24 --delay 56 --endMP 204:269 --enddatetime 2017-10-29T23:34:16 --enforcementcount 0 &gt;&gt;%USERPROFILE%\Documents\GitHub\eaglep3-reporting\EC\2017-10-29-refined-times.txt</v>
      </c>
      <c r="AI149" s="223" t="str">
        <f t="shared" si="83"/>
        <v>echo {"issue":{"subject":"","project_id":79,"tracker_id":40,"status_id":1,"priority_id":2,"assigned_to_id":338,"start_date":"2017-10-29","description":"","custom_fields":[{"id":1,"name":"Subdivision","value":"EC"},{"id":4,"name":"Milepost","value":"0.0269"},{"id":17,"name":"Train ID","value":"234-29"},{"id":16,"name":"Locomotive ID","value":"4059"},{"id":130,"name":"Impact","value":""},{"id":150,"name":"Time of Event (Mountain Time)","value":"23:34:16"},{"id":151,"name":"Denver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182"/>
      <c r="AK149" s="186"/>
      <c r="AL149" s="186"/>
      <c r="AM149" s="187" t="str">
        <f t="shared" si="84"/>
        <v>start /low /b %USERPROFILE%\Documents\GitHub\eaglep3\Utilities\DownloadLogsFromS3.py --loco 4059 --day 2017-10-29</v>
      </c>
      <c r="AN149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05:34:16"},{"id":29,"name":"Sharepoint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82" t="str">
        <f t="shared" si="86"/>
        <v>https://d0f6bd738d7f1b3e5a7ca70fe4ff75f0.us-east-1.aws.found.io/app/kibana#/discover/Steve-Slow-Train-Analysis-(2080s-and-2083s)?_g=(refreshInterval:(display:Off,pause:!f,section:0,value:0),time:(from:'2017-10-29T21:40:10-0600',mode:absolute,to:'2017-10-30T00:34:16-0600'))&amp;_a=(columns:!('Message%20ID',Summary),filters:!(),index:'emp_*',interval:auto,query:(query_string:(analyze_wildcard:!t,query:'%22rtdc.l.rtdc.4059%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3">
      <c r="A150" s="32" t="s">
        <v>851</v>
      </c>
      <c r="B150" s="7">
        <v>4016</v>
      </c>
      <c r="C150" s="21" t="s">
        <v>194</v>
      </c>
      <c r="D150" s="21" t="s">
        <v>1040</v>
      </c>
      <c r="E150" s="13">
        <v>43037.928206018521</v>
      </c>
      <c r="F150" s="13">
        <v>43037.937719907408</v>
      </c>
      <c r="G150" s="7">
        <v>58</v>
      </c>
      <c r="H150" s="21" t="s">
        <v>1041</v>
      </c>
      <c r="I150" s="13">
        <v>43037.962129629632</v>
      </c>
      <c r="J150" s="7">
        <v>0</v>
      </c>
      <c r="K150" s="76" t="str">
        <f t="shared" si="72"/>
        <v>4015/4016</v>
      </c>
      <c r="L150" s="164" t="str">
        <f>VLOOKUP(A150,'Trips&amp;Operators'!$C$1:$G$99911,5,FALSE)</f>
        <v>DUNCAN SHEILA</v>
      </c>
      <c r="M150" s="6">
        <f t="shared" si="73"/>
        <v>2.4409722223936114E-2</v>
      </c>
      <c r="N150" s="7">
        <f t="shared" si="87"/>
        <v>35.150000002468005</v>
      </c>
      <c r="O150" s="7"/>
      <c r="P150" s="7"/>
      <c r="Q150" s="22"/>
      <c r="R150" s="157"/>
      <c r="S150" s="215">
        <f t="shared" si="88"/>
        <v>1</v>
      </c>
      <c r="T150" s="216" t="str">
        <f t="shared" si="74"/>
        <v>NorthBound</v>
      </c>
      <c r="U150" s="216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7" t="str">
        <f t="shared" si="75"/>
        <v>https://d0f6bd738d7f1b3e5a7ca70fe4ff75f0.us-east-1.aws.found.io/app/kibana#/discover/Steve-Slow-Train-Analysis-(2080s-and-2083s)?_g=(refreshInterval:(display:Off,pause:!f,section:0,value:0),time:(from:'2017-10-29T21:16:37-0600',mode:absolute,to:'2017-10-30T00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0" s="218" t="str">
        <f>IF(AA150&lt;VLOOKUP(AG150,Variables!$AC$3:$AD$8,2,FALSE),"Y","N")</f>
        <v>N</v>
      </c>
      <c r="X150" s="218">
        <f t="shared" si="89"/>
        <v>1</v>
      </c>
      <c r="Y150" s="218">
        <f t="shared" si="69"/>
        <v>5.28E-2</v>
      </c>
      <c r="Z150" s="218">
        <f t="shared" si="70"/>
        <v>23.331600000000002</v>
      </c>
      <c r="AA150" s="218">
        <f t="shared" si="77"/>
        <v>23.2788</v>
      </c>
      <c r="AB150" s="219" t="e">
        <f>VLOOKUP(A150,Enforcements!$C$7:$K$11,8,0)</f>
        <v>#N/A</v>
      </c>
      <c r="AC150" s="219" t="e">
        <f>VLOOKUP(A150,Enforcements!$C$7:$E$11,3,0)</f>
        <v>#N/A</v>
      </c>
      <c r="AD150" s="186">
        <f t="shared" si="78"/>
        <v>235</v>
      </c>
      <c r="AE150" s="220" t="str">
        <f t="shared" si="79"/>
        <v>aws s3 cp s3://rtdc.mdm.uploadarchive.raw/RTDC4016/ "%USERPROFILE%\AppData\Local\Temp\OnboardLogs"\RTDC4016\2017-10-29 --exclude "*" --recursive --include "*20171029*" &amp; "%USERPROFILE%\Documents\GitHub\mrs-test-scripts\Headless Mode &amp; Sideloading\WalkAndUnGZ.bat" "%USERPROFILE%\AppData\Local\Temp\OnboardLogs"\RTDC4016\2017-10-29 &amp; 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</v>
      </c>
      <c r="AF150" s="221" t="str">
        <f t="shared" si="80"/>
        <v>"C:\Program Files (x86)\AstroGrep\AstroGrep.exe" /e /r /s /spath="%USERPROFILE%\AppData\Local\Temp\OnboardLogs" /stypes="app*4016*20171030*" /stext=" 05:.+((SYSTEM_STATE.+slice.+state.+changed )|(ment ac)|(multiple cpu faults)|(system.+state.+changed )|(\[timeout)|(PRM\|1\|D)|(kpr)|(kdp)|(train st.+moving)|(\|lc)|(penalty))"</v>
      </c>
      <c r="AG150" s="185" t="str">
        <f t="shared" si="81"/>
        <v>EC</v>
      </c>
      <c r="AH150" s="222" t="str">
        <f t="shared" si="82"/>
        <v>"%USERPROFILE%\Documents\GitHub\eaglep3\Utilities\RefineRTDCRunTimes.py" --tripid 235-29 --locoid 4016 --swversion DE.1.0.9.0 --startMP 204:528 --initTime 2017-10-29T22:16:37 --startdatetime 2017-10-29T22:30:19 --delay 58 --endMP 204:233316 --enddatetime 2017-10-29T23:05:28 --enforcementcount 0 &gt;&gt;%USERPROFILE%\Documents\GitHub\eaglep3-reporting\EC\2017-10-29-refined-times.txt</v>
      </c>
      <c r="AI150" s="223" t="str">
        <f t="shared" si="83"/>
        <v>echo {"issue":{"subject":"","project_id":79,"tracker_id":40,"status_id":1,"priority_id":2,"assigned_to_id":338,"start_date":"2017-10-29","description":"","custom_fields":[{"id":1,"name":"Subdivision","value":"EC"},{"id":4,"name":"Milepost","value":"23.3316"},{"id":17,"name":"Train ID","value":"235-29"},{"id":16,"name":"Locomotive ID","value":"4016"},{"id":130,"name":"Impact","value":""},{"id":150,"name":"Time of Event (Mountain Time)","value":"23:05:28"},{"id":151,"name":"Denver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0" s="182"/>
      <c r="AK150" s="186"/>
      <c r="AL150" s="186"/>
      <c r="AM150" s="187" t="str">
        <f t="shared" si="84"/>
        <v>start /low /b %USERPROFILE%\Documents\GitHub\eaglep3\Utilities\DownloadLogsFromS3.py --loco 4016 --day 2017-10-29</v>
      </c>
      <c r="AN150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05:05:28"},{"id":29,"name":"Sharepoint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82" t="str">
        <f t="shared" si="86"/>
        <v>https://d0f6bd738d7f1b3e5a7ca70fe4ff75f0.us-east-1.aws.found.io/app/kibana#/discover/Steve-Slow-Train-Analysis-(2080s-and-2083s)?_g=(refreshInterval:(display:Off,pause:!f,section:0,value:0),time:(from:'2017-10-29T21:16:37-0600',mode:absolute,to:'2017-10-30T00:05:28-0600'))&amp;_a=(columns:!('Message%20ID',Summary),filters:!(),index:'emp_*',interval:auto,query:(query_string:(analyze_wildcard:!t,query:'%22rtdc.l.rtdc.4016%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32" t="s">
        <v>857</v>
      </c>
      <c r="B151" s="7">
        <v>4015</v>
      </c>
      <c r="C151" s="21" t="s">
        <v>194</v>
      </c>
      <c r="D151" s="21" t="s">
        <v>1042</v>
      </c>
      <c r="E151" s="13">
        <v>43037.974120370367</v>
      </c>
      <c r="F151" s="13">
        <v>43037.97724537037</v>
      </c>
      <c r="G151" s="7">
        <v>59</v>
      </c>
      <c r="H151" s="21" t="s">
        <v>945</v>
      </c>
      <c r="I151" s="13">
        <v>43038.003159722219</v>
      </c>
      <c r="J151" s="7">
        <v>0</v>
      </c>
      <c r="K151" s="76" t="str">
        <f t="shared" si="72"/>
        <v>4015/4016</v>
      </c>
      <c r="L151" s="164" t="str">
        <f>VLOOKUP(A151,'Trips&amp;Operators'!$C$1:$G$99911,5,FALSE)</f>
        <v>DUNCAN SHEILA</v>
      </c>
      <c r="M151" s="6">
        <f t="shared" si="73"/>
        <v>2.5914351848769002E-2</v>
      </c>
      <c r="N151" s="7">
        <f t="shared" si="87"/>
        <v>37.316666662227362</v>
      </c>
      <c r="O151" s="7"/>
      <c r="P151" s="7"/>
      <c r="Q151" s="22"/>
      <c r="R151" s="157"/>
      <c r="S151" s="215">
        <f t="shared" si="88"/>
        <v>1</v>
      </c>
      <c r="T151" s="216" t="str">
        <f t="shared" si="74"/>
        <v>Southbound</v>
      </c>
      <c r="U151" s="216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7" t="str">
        <f t="shared" si="75"/>
        <v>https://d0f6bd738d7f1b3e5a7ca70fe4ff75f0.us-east-1.aws.found.io/app/kibana#/discover/Steve-Slow-Train-Analysis-(2080s-and-2083s)?_g=(refreshInterval:(display:Off,pause:!f,section:0,value:0),time:(from:'2017-10-29T22:22:44-0600',mode:absolute,to:'2017-10-30T01:04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1" s="218" t="str">
        <f>IF(AA151&lt;VLOOKUP(AG151,Variables!$AC$3:$AD$8,2,FALSE),"Y","N")</f>
        <v>N</v>
      </c>
      <c r="X151" s="218">
        <f t="shared" si="89"/>
        <v>1</v>
      </c>
      <c r="Y151" s="218">
        <f t="shared" si="69"/>
        <v>23.3005</v>
      </c>
      <c r="Z151" s="218">
        <f t="shared" si="70"/>
        <v>2.01E-2</v>
      </c>
      <c r="AA151" s="218">
        <f t="shared" si="77"/>
        <v>23.2804</v>
      </c>
      <c r="AB151" s="219" t="e">
        <f>VLOOKUP(A151,Enforcements!$C$7:$K$11,8,0)</f>
        <v>#N/A</v>
      </c>
      <c r="AC151" s="219" t="e">
        <f>VLOOKUP(A151,Enforcements!$C$7:$E$11,3,0)</f>
        <v>#N/A</v>
      </c>
      <c r="AD151" s="186">
        <f t="shared" si="78"/>
        <v>236</v>
      </c>
      <c r="AE151" s="220" t="str">
        <f t="shared" si="79"/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151" s="221" t="str">
        <f t="shared" si="80"/>
        <v>"C:\Program Files (x86)\AstroGrep\AstroGrep.exe" /e /r /s /spath="%USERPROFILE%\AppData\Local\Temp\OnboardLogs" /stypes="app*4015*20171030*" /stext=" 06:.+((SYSTEM_STATE.+slice.+state.+changed )|(ment ac)|(multiple cpu faults)|(system.+state.+changed )|(\[timeout)|(PRM\|1\|D)|(kpr)|(kdp)|(train st.+moving)|(\|lc)|(penalty))"</v>
      </c>
      <c r="AG151" s="185" t="str">
        <f t="shared" si="81"/>
        <v>EC</v>
      </c>
      <c r="AH151" s="222" t="str">
        <f t="shared" si="82"/>
        <v>"%USERPROFILE%\Documents\GitHub\eaglep3\Utilities\RefineRTDCRunTimes.py" --tripid 236-29 --locoid 4015 --swversion DE.1.0.9.0 --startMP 204:233005 --initTime 2017-10-29T23:22:44 --startdatetime 2017-10-29T23:27:14 --delay 59 --endMP 204:201 --enddatetime 2017-10-30T00:04:33 --enforcementcount 0 &gt;&gt;%USERPROFILE%\Documents\GitHub\eaglep3-reporting\EC\2017-10-29-refined-times.txt</v>
      </c>
      <c r="AI151" s="223" t="str">
        <f t="shared" si="83"/>
        <v>echo {"issue":{"subject":"","project_id":79,"tracker_id":40,"status_id":1,"priority_id":2,"assigned_to_id":338,"start_date":"2017-10-30","description":"","custom_fields":[{"id":1,"name":"Subdivision","value":"EC"},{"id":4,"name":"Milepost","value":"0.0201"},{"id":17,"name":"Train ID","value":"236-29"},{"id":16,"name":"Locomotive ID","value":"4015"},{"id":130,"name":"Impact","value":""},{"id":150,"name":"Time of Event (Mountain Time)","value":"00:04:33"},{"id":151,"name":"Denver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182"/>
      <c r="AK151" s="186"/>
      <c r="AL151" s="186"/>
      <c r="AM151" s="187" t="str">
        <f t="shared" si="84"/>
        <v>start /low /b %USERPROFILE%\Documents\GitHub\eaglep3\Utilities\DownloadLogsFromS3.py --loco 4015 --day 2017-10-29</v>
      </c>
      <c r="AN151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06:04:33"},{"id":29,"name":"Sharepoint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82" t="str">
        <f t="shared" si="86"/>
        <v>https://d0f6bd738d7f1b3e5a7ca70fe4ff75f0.us-east-1.aws.found.io/app/kibana#/discover/Steve-Slow-Train-Analysis-(2080s-and-2083s)?_g=(refreshInterval:(display:Off,pause:!f,section:0,value:0),time:(from:'2017-10-29T22:22:44-0600',mode:absolute,to:'2017-10-30T01:04:33-0600'))&amp;_a=(columns:!('Message%20ID',Summary),filters:!(),index:'emp_*',interval:auto,query:(query_string:(analyze_wildcard:!t,query:'%22rtdc.l.rtdc.4015%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32" t="s">
        <v>855</v>
      </c>
      <c r="B152" s="7">
        <v>4062</v>
      </c>
      <c r="C152" s="21" t="s">
        <v>194</v>
      </c>
      <c r="D152" s="21" t="s">
        <v>369</v>
      </c>
      <c r="E152" s="13">
        <v>43037.954675925925</v>
      </c>
      <c r="F152" s="13">
        <v>43037.958726851852</v>
      </c>
      <c r="G152" s="7">
        <v>65</v>
      </c>
      <c r="H152" s="21" t="s">
        <v>1043</v>
      </c>
      <c r="I152" s="13">
        <v>43037.984444444446</v>
      </c>
      <c r="J152" s="7">
        <v>0</v>
      </c>
      <c r="K152" s="76" t="str">
        <f t="shared" si="72"/>
        <v>4061/4062</v>
      </c>
      <c r="L152" s="164" t="str">
        <f>VLOOKUP(A152,'Trips&amp;Operators'!$C$1:$G$99911,5,FALSE)</f>
        <v>CASSIDY BRANDON</v>
      </c>
      <c r="M152" s="6">
        <f t="shared" si="73"/>
        <v>2.5717592594446614E-2</v>
      </c>
      <c r="N152" s="7">
        <f t="shared" si="87"/>
        <v>37.033333336003125</v>
      </c>
      <c r="O152" s="7"/>
      <c r="P152" s="7"/>
      <c r="Q152" s="22"/>
      <c r="R152" s="157"/>
      <c r="S152" s="215">
        <f t="shared" si="88"/>
        <v>1</v>
      </c>
      <c r="T152" s="216" t="str">
        <f t="shared" si="74"/>
        <v>NorthBound</v>
      </c>
      <c r="U152" s="216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7" t="str">
        <f t="shared" si="75"/>
        <v>https://d0f6bd738d7f1b3e5a7ca70fe4ff75f0.us-east-1.aws.found.io/app/kibana#/discover/Steve-Slow-Train-Analysis-(2080s-and-2083s)?_g=(refreshInterval:(display:Off,pause:!f,section:0,value:0),time:(from:'2017-10-29T21:54:44-0600',mode:absolute,to:'2017-10-30T00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52" s="218" t="str">
        <f>IF(AA152&lt;VLOOKUP(AG152,Variables!$AC$3:$AD$8,2,FALSE),"Y","N")</f>
        <v>N</v>
      </c>
      <c r="X152" s="218">
        <f t="shared" si="89"/>
        <v>1</v>
      </c>
      <c r="Y152" s="218">
        <f t="shared" si="69"/>
        <v>4.7300000000000002E-2</v>
      </c>
      <c r="Z152" s="218">
        <f t="shared" si="70"/>
        <v>23.328700000000001</v>
      </c>
      <c r="AA152" s="218">
        <f t="shared" si="77"/>
        <v>23.281400000000001</v>
      </c>
      <c r="AB152" s="219" t="e">
        <f>VLOOKUP(A152,Enforcements!$C$7:$K$11,8,0)</f>
        <v>#N/A</v>
      </c>
      <c r="AC152" s="219" t="e">
        <f>VLOOKUP(A152,Enforcements!$C$7:$E$11,3,0)</f>
        <v>#N/A</v>
      </c>
      <c r="AD152" s="186">
        <f t="shared" si="78"/>
        <v>237</v>
      </c>
      <c r="AE152" s="220" t="str">
        <f t="shared" si="79"/>
        <v>aws s3 cp s3://rtdc.mdm.uploadarchive.raw/RTDC4062/ "%USERPROFILE%\AppData\Local\Temp\OnboardLogs"\RTDC4062\2017-10-29 --exclude "*" --recursive --include "*20171029*" &amp; "%USERPROFILE%\Documents\GitHub\mrs-test-scripts\Headless Mode &amp; Sideloading\WalkAndUnGZ.bat" "%USERPROFILE%\AppData\Local\Temp\OnboardLogs"\RTDC4062\2017-10-29 &amp; aws s3 cp s3://rtdc.mdm.uploadarchive.raw/RTDC4062/ "%USERPROFILE%\AppData\Local\Temp\OnboardLogs"\RTDC4062\2017-10-30 --exclude "*" --recursive --include "*20171030*" &amp; "%USERPROFILE%\Documents\GitHub\mrs-test-scripts\Headless Mode &amp; Sideloading\WalkAndUnGZ.bat" "%USERPROFILE%\AppData\Local\Temp\OnboardLogs"\RTDC4062\2017-10-30</v>
      </c>
      <c r="AF152" s="221" t="str">
        <f t="shared" si="80"/>
        <v>"C:\Program Files (x86)\AstroGrep\AstroGrep.exe" /e /r /s /spath="%USERPROFILE%\AppData\Local\Temp\OnboardLogs" /stypes="app*4062*20171030*" /stext=" 05:.+((SYSTEM_STATE.+slice.+state.+changed )|(ment ac)|(multiple cpu faults)|(system.+state.+changed )|(\[timeout)|(PRM\|1\|D)|(kpr)|(kdp)|(train st.+moving)|(\|lc)|(penalty))"</v>
      </c>
      <c r="AG152" s="185" t="str">
        <f t="shared" si="81"/>
        <v>EC</v>
      </c>
      <c r="AH152" s="222" t="str">
        <f t="shared" si="82"/>
        <v>"%USERPROFILE%\Documents\GitHub\eaglep3\Utilities\RefineRTDCRunTimes.py" --tripid 237-29 --locoid 4062 --swversion DE.1.0.9.0 --startMP 204:473 --initTime 2017-10-29T22:54:44 --startdatetime 2017-10-29T23:00:34 --delay 65 --endMP 204:233287 --enddatetime 2017-10-29T23:37:36 --enforcementcount 0 &gt;&gt;%USERPROFILE%\Documents\GitHub\eaglep3-reporting\EC\2017-10-29-refined-times.txt</v>
      </c>
      <c r="AI152" s="223" t="str">
        <f t="shared" si="83"/>
        <v>echo {"issue":{"subject":"","project_id":79,"tracker_id":40,"status_id":1,"priority_id":2,"assigned_to_id":338,"start_date":"2017-10-29","description":"","custom_fields":[{"id":1,"name":"Subdivision","value":"EC"},{"id":4,"name":"Milepost","value":"23.3287"},{"id":17,"name":"Train ID","value":"237-29"},{"id":16,"name":"Locomotive ID","value":"4062"},{"id":130,"name":"Impact","value":""},{"id":150,"name":"Time of Event (Mountain Time)","value":"23:37:36"},{"id":151,"name":"Denver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182"/>
      <c r="AK152" s="186"/>
      <c r="AL152" s="186"/>
      <c r="AM152" s="187" t="str">
        <f t="shared" si="84"/>
        <v>start /low /b %USERPROFILE%\Documents\GitHub\eaglep3\Utilities\DownloadLogsFromS3.py --loco 4062 --day 2017-10-29</v>
      </c>
      <c r="AN152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05:37:36"},{"id":29,"name":"Sharepoint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82" t="str">
        <f t="shared" si="86"/>
        <v>https://d0f6bd738d7f1b3e5a7ca70fe4ff75f0.us-east-1.aws.found.io/app/kibana#/discover/Steve-Slow-Train-Analysis-(2080s-and-2083s)?_g=(refreshInterval:(display:Off,pause:!f,section:0,value:0),time:(from:'2017-10-29T21:54:44-0600',mode:absolute,to:'2017-10-30T00:37:36-0600'))&amp;_a=(columns:!('Message%20ID',Summary),filters:!(),index:'emp_*',interval:auto,query:(query_string:(analyze_wildcard:!t,query:'%22rtdc.l.rtdc.4062%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32" t="s">
        <v>861</v>
      </c>
      <c r="B153" s="7">
        <v>4061</v>
      </c>
      <c r="C153" s="21" t="s">
        <v>194</v>
      </c>
      <c r="D153" s="21" t="s">
        <v>488</v>
      </c>
      <c r="E153" s="13">
        <v>43037.995347222219</v>
      </c>
      <c r="F153" s="13">
        <v>43037.998518518521</v>
      </c>
      <c r="G153" s="7">
        <v>84</v>
      </c>
      <c r="H153" s="21" t="s">
        <v>1009</v>
      </c>
      <c r="I153" s="13">
        <v>43038.02516203704</v>
      </c>
      <c r="J153" s="7">
        <v>0</v>
      </c>
      <c r="K153" s="76" t="str">
        <f t="shared" si="72"/>
        <v>4061/4062</v>
      </c>
      <c r="L153" s="164" t="str">
        <f>VLOOKUP(A153,'Trips&amp;Operators'!$C$1:$G$99911,5,FALSE)</f>
        <v>CASSIDY BRANDON</v>
      </c>
      <c r="M153" s="6">
        <f t="shared" si="73"/>
        <v>2.6643518518540077E-2</v>
      </c>
      <c r="N153" s="7">
        <f t="shared" si="87"/>
        <v>38.366666666697711</v>
      </c>
      <c r="O153" s="7"/>
      <c r="P153" s="7"/>
      <c r="Q153" s="22"/>
      <c r="R153" s="157"/>
      <c r="S153" s="215">
        <f t="shared" si="88"/>
        <v>1</v>
      </c>
      <c r="T153" s="216" t="str">
        <f t="shared" si="74"/>
        <v>Southbound</v>
      </c>
      <c r="U153" s="216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7" t="str">
        <f t="shared" si="75"/>
        <v>https://d0f6bd738d7f1b3e5a7ca70fe4ff75f0.us-east-1.aws.found.io/app/kibana#/discover/Steve-Slow-Train-Analysis-(2080s-and-2083s)?_g=(refreshInterval:(display:Off,pause:!f,section:0,value:0),time:(from:'2017-10-29T22:53:18-0600',mode:absolute,to:'2017-10-30T01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53" s="218" t="str">
        <f>IF(AA153&lt;VLOOKUP(AG153,Variables!$AC$3:$AD$8,2,FALSE),"Y","N")</f>
        <v>N</v>
      </c>
      <c r="X153" s="218">
        <f t="shared" si="89"/>
        <v>1</v>
      </c>
      <c r="Y153" s="218">
        <f t="shared" si="69"/>
        <v>23.297899999999998</v>
      </c>
      <c r="Z153" s="218">
        <f t="shared" si="70"/>
        <v>2.1399999999999999E-2</v>
      </c>
      <c r="AA153" s="218">
        <f t="shared" si="77"/>
        <v>23.276499999999999</v>
      </c>
      <c r="AB153" s="219" t="e">
        <f>VLOOKUP(A153,Enforcements!$C$7:$K$11,8,0)</f>
        <v>#N/A</v>
      </c>
      <c r="AC153" s="219" t="e">
        <f>VLOOKUP(A153,Enforcements!$C$7:$E$11,3,0)</f>
        <v>#N/A</v>
      </c>
      <c r="AD153" s="186">
        <f t="shared" si="78"/>
        <v>238</v>
      </c>
      <c r="AE153" s="220" t="str">
        <f t="shared" si="79"/>
        <v>aws s3 cp s3://rtdc.mdm.uploadarchive.raw/RTDC4061/ "%USERPROFILE%\AppData\Local\Temp\OnboardLogs"\RTDC4061\2017-10-29 --exclude "*" --recursive --include "*20171029*" &amp; "%USERPROFILE%\Documents\GitHub\mrs-test-scripts\Headless Mode &amp; Sideloading\WalkAndUnGZ.bat" "%USERPROFILE%\AppData\Local\Temp\OnboardLogs"\RTDC4061\2017-10-29 &amp; aws s3 cp s3://rtdc.mdm.uploadarchive.raw/RTDC4061/ "%USERPROFILE%\AppData\Local\Temp\OnboardLogs"\RTDC4061\2017-10-30 --exclude "*" --recursive --include "*20171030*" &amp; "%USERPROFILE%\Documents\GitHub\mrs-test-scripts\Headless Mode &amp; Sideloading\WalkAndUnGZ.bat" "%USERPROFILE%\AppData\Local\Temp\OnboardLogs"\RTDC4061\2017-10-30</v>
      </c>
      <c r="AF153" s="221" t="str">
        <f t="shared" si="80"/>
        <v>"C:\Program Files (x86)\AstroGrep\AstroGrep.exe" /e /r /s /spath="%USERPROFILE%\AppData\Local\Temp\OnboardLogs" /stypes="app*4061*20171030*" /stext=" 06:.+((SYSTEM_STATE.+slice.+state.+changed )|(ment ac)|(multiple cpu faults)|(system.+state.+changed )|(\[timeout)|(PRM\|1\|D)|(kpr)|(kdp)|(train st.+moving)|(\|lc)|(penalty))"</v>
      </c>
      <c r="AG153" s="185" t="str">
        <f t="shared" si="81"/>
        <v>EC</v>
      </c>
      <c r="AH153" s="222" t="str">
        <f t="shared" si="82"/>
        <v>"%USERPROFILE%\Documents\GitHub\eaglep3\Utilities\RefineRTDCRunTimes.py" --tripid 238-29 --locoid 4061 --swversion DE.1.0.9.0 --startMP 204:232979 --initTime 2017-10-29T23:53:18 --startdatetime 2017-10-29T23:57:52 --delay 84 --endMP 204:214 --enddatetime 2017-10-30T00:36:14 --enforcementcount 0 &gt;&gt;%USERPROFILE%\Documents\GitHub\eaglep3-reporting\EC\2017-10-29-refined-times.txt</v>
      </c>
      <c r="AI153" s="223" t="str">
        <f t="shared" si="83"/>
        <v>echo {"issue":{"subject":"","project_id":79,"tracker_id":40,"status_id":1,"priority_id":2,"assigned_to_id":338,"start_date":"2017-10-30","description":"","custom_fields":[{"id":1,"name":"Subdivision","value":"EC"},{"id":4,"name":"Milepost","value":"0.0214"},{"id":17,"name":"Train ID","value":"238-29"},{"id":16,"name":"Locomotive ID","value":"4061"},{"id":130,"name":"Impact","value":""},{"id":150,"name":"Time of Event (Mountain Time)","value":"00:36:14"},{"id":151,"name":"Denver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182"/>
      <c r="AK153" s="186"/>
      <c r="AL153" s="186"/>
      <c r="AM153" s="187" t="str">
        <f t="shared" si="84"/>
        <v>start /low /b %USERPROFILE%\Documents\GitHub\eaglep3\Utilities\DownloadLogsFromS3.py --loco 4061 --day 2017-10-29</v>
      </c>
      <c r="AN153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06:36:14"},{"id":29,"name":"Sharepoint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82" t="str">
        <f t="shared" si="86"/>
        <v>https://d0f6bd738d7f1b3e5a7ca70fe4ff75f0.us-east-1.aws.found.io/app/kibana#/discover/Steve-Slow-Train-Analysis-(2080s-and-2083s)?_g=(refreshInterval:(display:Off,pause:!f,section:0,value:0),time:(from:'2017-10-29T22:53:18-0600',mode:absolute,to:'2017-10-30T01:36:14-0600'))&amp;_a=(columns:!('Message%20ID',Summary),filters:!(),index:'emp_*',interval:auto,query:(query_string:(analyze_wildcard:!t,query:'%22rtdc.l.rtdc.4061%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3">
      <c r="A154" s="32" t="s">
        <v>859</v>
      </c>
      <c r="B154" s="7">
        <v>4018</v>
      </c>
      <c r="C154" s="21" t="s">
        <v>194</v>
      </c>
      <c r="D154" s="21" t="s">
        <v>616</v>
      </c>
      <c r="E154" s="13">
        <v>43037.977303240739</v>
      </c>
      <c r="F154" s="13">
        <v>43037.979363425926</v>
      </c>
      <c r="G154" s="7">
        <v>56</v>
      </c>
      <c r="H154" s="21" t="s">
        <v>944</v>
      </c>
      <c r="I154" s="13">
        <v>43038.003055555557</v>
      </c>
      <c r="J154" s="7">
        <v>0</v>
      </c>
      <c r="K154" s="76" t="str">
        <f t="shared" si="72"/>
        <v>4017/4018</v>
      </c>
      <c r="L154" s="164" t="str">
        <f>VLOOKUP(A154,'Trips&amp;Operators'!$C$1:$G$99911,5,FALSE)</f>
        <v>LOZA FIDEL</v>
      </c>
      <c r="M154" s="6">
        <f t="shared" si="73"/>
        <v>2.3692129630944692E-2</v>
      </c>
      <c r="N154" s="7">
        <f t="shared" si="87"/>
        <v>34.116666668560356</v>
      </c>
      <c r="O154" s="7"/>
      <c r="P154" s="7"/>
      <c r="Q154" s="22"/>
      <c r="R154" s="157"/>
      <c r="S154" s="215">
        <f t="shared" si="88"/>
        <v>1</v>
      </c>
      <c r="T154" s="216" t="str">
        <f t="shared" si="74"/>
        <v>NorthBound</v>
      </c>
      <c r="U154" s="216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7" t="str">
        <f t="shared" si="75"/>
        <v>https://d0f6bd738d7f1b3e5a7ca70fe4ff75f0.us-east-1.aws.found.io/app/kibana#/discover/Steve-Slow-Train-Analysis-(2080s-and-2083s)?_g=(refreshInterval:(display:Off,pause:!f,section:0,value:0),time:(from:'2017-10-29T22:27:19-0600',mode:absolute,to:'2017-10-30T01:04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4" s="218" t="str">
        <f>IF(AA154&lt;VLOOKUP(AG154,Variables!$AC$3:$AD$8,2,FALSE),"Y","N")</f>
        <v>N</v>
      </c>
      <c r="X154" s="218">
        <f t="shared" si="89"/>
        <v>1</v>
      </c>
      <c r="Y154" s="218">
        <f t="shared" si="69"/>
        <v>5.3999999999999999E-2</v>
      </c>
      <c r="Z154" s="218">
        <f t="shared" si="70"/>
        <v>23.3245</v>
      </c>
      <c r="AA154" s="218">
        <f t="shared" si="77"/>
        <v>23.270500000000002</v>
      </c>
      <c r="AB154" s="219" t="e">
        <f>VLOOKUP(A154,Enforcements!$C$7:$K$11,8,0)</f>
        <v>#N/A</v>
      </c>
      <c r="AC154" s="219" t="e">
        <f>VLOOKUP(A154,Enforcements!$C$7:$E$11,3,0)</f>
        <v>#N/A</v>
      </c>
      <c r="AD154" s="186">
        <f t="shared" si="78"/>
        <v>239</v>
      </c>
      <c r="AE154" s="220" t="str">
        <f t="shared" si="79"/>
        <v>aws s3 cp s3://rtdc.mdm.uploadarchive.raw/RTDC4018/ "%USERPROFILE%\AppData\Local\Temp\OnboardLogs"\RTDC4018\2017-10-29 --exclude "*" --recursive --include "*20171029*" &amp; "%USERPROFILE%\Documents\GitHub\mrs-test-scripts\Headless Mode &amp; Sideloading\WalkAndUnGZ.bat" "%USERPROFILE%\AppData\Local\Temp\OnboardLogs"\RTDC4018\2017-10-29 &amp; aws s3 cp s3://rtdc.mdm.uploadarchive.raw/RTDC4018/ "%USERPROFILE%\AppData\Local\Temp\OnboardLogs"\RTDC4018\2017-10-30 --exclude "*" --recursive --include "*20171030*" &amp; "%USERPROFILE%\Documents\GitHub\mrs-test-scripts\Headless Mode &amp; Sideloading\WalkAndUnGZ.bat" "%USERPROFILE%\AppData\Local\Temp\OnboardLogs"\RTDC4018\2017-10-30</v>
      </c>
      <c r="AF154" s="221" t="str">
        <f t="shared" si="80"/>
        <v>"C:\Program Files (x86)\AstroGrep\AstroGrep.exe" /e /r /s /spath="%USERPROFILE%\AppData\Local\Temp\OnboardLogs" /stypes="app*4018*20171030*" /stext=" 06:.+((SYSTEM_STATE.+slice.+state.+changed )|(ment ac)|(multiple cpu faults)|(system.+state.+changed )|(\[timeout)|(PRM\|1\|D)|(kpr)|(kdp)|(train st.+moving)|(\|lc)|(penalty))"</v>
      </c>
      <c r="AG154" s="185" t="str">
        <f t="shared" si="81"/>
        <v>EC</v>
      </c>
      <c r="AH154" s="222" t="str">
        <f t="shared" si="82"/>
        <v>"%USERPROFILE%\Documents\GitHub\eaglep3\Utilities\RefineRTDCRunTimes.py" --tripid 239-29 --locoid 4018 --swversion DE.1.0.9.0 --startMP 204:540 --initTime 2017-10-29T23:27:19 --startdatetime 2017-10-29T23:30:17 --delay 56 --endMP 204:233245 --enddatetime 2017-10-30T00:04:24 --enforcementcount 0 &gt;&gt;%USERPROFILE%\Documents\GitHub\eaglep3-reporting\EC\2017-10-29-refined-times.txt</v>
      </c>
      <c r="AI154" s="223" t="str">
        <f t="shared" si="83"/>
        <v>echo {"issue":{"subject":"","project_id":79,"tracker_id":40,"status_id":1,"priority_id":2,"assigned_to_id":338,"start_date":"2017-10-30","description":"","custom_fields":[{"id":1,"name":"Subdivision","value":"EC"},{"id":4,"name":"Milepost","value":"23.3245"},{"id":17,"name":"Train ID","value":"239-29"},{"id":16,"name":"Locomotive ID","value":"4018"},{"id":130,"name":"Impact","value":""},{"id":150,"name":"Time of Event (Mountain Time)","value":"00:04:24"},{"id":151,"name":"Denver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4" s="182"/>
      <c r="AK154" s="186"/>
      <c r="AL154" s="186"/>
      <c r="AM154" s="187" t="str">
        <f t="shared" si="84"/>
        <v>start /low /b %USERPROFILE%\Documents\GitHub\eaglep3\Utilities\DownloadLogsFromS3.py --loco 4018 --day 2017-10-29</v>
      </c>
      <c r="AN154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06:04:24"},{"id":29,"name":"Sharepoint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82" t="str">
        <f t="shared" si="86"/>
        <v>https://d0f6bd738d7f1b3e5a7ca70fe4ff75f0.us-east-1.aws.found.io/app/kibana#/discover/Steve-Slow-Train-Analysis-(2080s-and-2083s)?_g=(refreshInterval:(display:Off,pause:!f,section:0,value:0),time:(from:'2017-10-29T22:27:19-0600',mode:absolute,to:'2017-10-30T01:04:24-0600'))&amp;_a=(columns:!('Message%20ID',Summary),filters:!(),index:'emp_*',interval:auto,query:(query_string:(analyze_wildcard:!t,query:'%22rtdc.l.rtdc.4018%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3">
      <c r="A155" s="32" t="s">
        <v>863</v>
      </c>
      <c r="B155" s="7">
        <v>4017</v>
      </c>
      <c r="C155" s="21" t="s">
        <v>194</v>
      </c>
      <c r="D155" s="21" t="s">
        <v>1044</v>
      </c>
      <c r="E155" s="13">
        <v>43038.016770833332</v>
      </c>
      <c r="F155" s="13">
        <v>43038.019016203703</v>
      </c>
      <c r="G155" s="7">
        <v>69</v>
      </c>
      <c r="H155" s="21" t="s">
        <v>606</v>
      </c>
      <c r="I155" s="13">
        <v>43038.044247685182</v>
      </c>
      <c r="J155" s="7">
        <v>0</v>
      </c>
      <c r="K155" s="76" t="str">
        <f t="shared" si="72"/>
        <v>4017/4018</v>
      </c>
      <c r="L155" s="164" t="str">
        <f>VLOOKUP(A155,'Trips&amp;Operators'!$C$1:$G$99911,5,FALSE)</f>
        <v>LOZA FIDEL</v>
      </c>
      <c r="M155" s="6">
        <f t="shared" si="73"/>
        <v>2.5231481478840578E-2</v>
      </c>
      <c r="N155" s="7">
        <f t="shared" si="87"/>
        <v>36.333333329530433</v>
      </c>
      <c r="O155" s="7"/>
      <c r="P155" s="7"/>
      <c r="Q155" s="22"/>
      <c r="R155" s="157"/>
      <c r="S155" s="215">
        <f t="shared" si="88"/>
        <v>1</v>
      </c>
      <c r="T155" s="216" t="str">
        <f t="shared" si="74"/>
        <v>Southbound</v>
      </c>
      <c r="U155" s="216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7" t="str">
        <f t="shared" si="75"/>
        <v>https://d0f6bd738d7f1b3e5a7ca70fe4ff75f0.us-east-1.aws.found.io/app/kibana#/discover/Steve-Slow-Train-Analysis-(2080s-and-2083s)?_g=(refreshInterval:(display:Off,pause:!f,section:0,value:0),time:(from:'2017-10-29T23:24:09-0600',mode:absolute,to:'2017-10-30T02:03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5" s="218" t="str">
        <f>IF(AA155&lt;VLOOKUP(AG155,Variables!$AC$3:$AD$8,2,FALSE),"Y","N")</f>
        <v>N</v>
      </c>
      <c r="X155" s="218">
        <f t="shared" si="89"/>
        <v>1</v>
      </c>
      <c r="Y155" s="218">
        <f t="shared" si="69"/>
        <v>23.293399999999998</v>
      </c>
      <c r="Z155" s="218">
        <f t="shared" si="70"/>
        <v>2.2700000000000001E-2</v>
      </c>
      <c r="AA155" s="218">
        <f t="shared" si="77"/>
        <v>23.270699999999998</v>
      </c>
      <c r="AB155" s="219" t="e">
        <f>VLOOKUP(A155,Enforcements!$C$7:$K$11,8,0)</f>
        <v>#N/A</v>
      </c>
      <c r="AC155" s="219" t="e">
        <f>VLOOKUP(A155,Enforcements!$C$7:$E$11,3,0)</f>
        <v>#N/A</v>
      </c>
      <c r="AD155" s="186">
        <f t="shared" si="78"/>
        <v>240</v>
      </c>
      <c r="AE155" s="220" t="str">
        <f t="shared" si="79"/>
        <v>aws s3 cp s3://rtdc.mdm.uploadarchive.raw/RTDC4017/ "%USERPROFILE%\AppData\Local\Temp\OnboardLogs"\RTDC4017\2017-10-30 --exclude "*" --recursive --include "*20171030*" &amp; "%USERPROFILE%\Documents\GitHub\mrs-test-scripts\Headless Mode &amp; Sideloading\WalkAndUnGZ.bat" "%USERPROFILE%\AppData\Local\Temp\OnboardLogs"\RTDC4017\2017-10-30 &amp; aws s3 cp s3://rtdc.mdm.uploadarchive.raw/RTDC4017/ "%USERPROFILE%\AppData\Local\Temp\OnboardLogs"\RTDC4017\2017-10-31 --exclude "*" --recursive --include "*20171031*" &amp; "%USERPROFILE%\Documents\GitHub\mrs-test-scripts\Headless Mode &amp; Sideloading\WalkAndUnGZ.bat" "%USERPROFILE%\AppData\Local\Temp\OnboardLogs"\RTDC4017\2017-10-31</v>
      </c>
      <c r="AF155" s="221" t="str">
        <f t="shared" si="80"/>
        <v>"C:\Program Files (x86)\AstroGrep\AstroGrep.exe" /e /r /s /spath="%USERPROFILE%\AppData\Local\Temp\OnboardLogs" /stypes="app*4017*20171030*" /stext=" 07:.+((SYSTEM_STATE.+slice.+state.+changed )|(ment ac)|(multiple cpu faults)|(system.+state.+changed )|(\[timeout)|(PRM\|1\|D)|(kpr)|(kdp)|(train st.+moving)|(\|lc)|(penalty))"</v>
      </c>
      <c r="AG155" s="185" t="str">
        <f t="shared" si="81"/>
        <v>EC</v>
      </c>
      <c r="AH155" s="222" t="str">
        <f t="shared" si="82"/>
        <v>"%USERPROFILE%\Documents\GitHub\eaglep3\Utilities\RefineRTDCRunTimes.py" --tripid 240-29 --locoid 4017 --swversion DE.1.0.9.0 --startMP 204:232934 --initTime 2017-10-30T00:24:09 --startdatetime 2017-10-30T00:27:23 --delay 69 --endMP 204:227 --enddatetime 2017-10-30T01:03:43 --enforcementcount 0 &gt;&gt;%USERPROFILE%\Documents\GitHub\eaglep3-reporting\EC\2017-10-29-refined-times.txt</v>
      </c>
      <c r="AI155" s="223" t="str">
        <f t="shared" si="83"/>
        <v>echo {"issue":{"subject":"","project_id":79,"tracker_id":40,"status_id":1,"priority_id":2,"assigned_to_id":338,"start_date":"2017-10-30","description":"","custom_fields":[{"id":1,"name":"Subdivision","value":"EC"},{"id":4,"name":"Milepost","value":"0.0227"},{"id":17,"name":"Train ID","value":"240-29"},{"id":16,"name":"Locomotive ID","value":"4017"},{"id":130,"name":"Impact","value":""},{"id":150,"name":"Time of Event (Mountain Time)","value":"01:03:43"},{"id":151,"name":"Denver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5" s="182"/>
      <c r="AK155" s="186"/>
      <c r="AL155" s="186"/>
      <c r="AM155" s="187" t="str">
        <f t="shared" si="84"/>
        <v>start /low /b %USERPROFILE%\Documents\GitHub\eaglep3\Utilities\DownloadLogsFromS3.py --loco 4017 --day 2017-10-30</v>
      </c>
      <c r="AN155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07:03:43"},{"id":29,"name":"Sharepoint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82" t="str">
        <f t="shared" si="86"/>
        <v>https://d0f6bd738d7f1b3e5a7ca70fe4ff75f0.us-east-1.aws.found.io/app/kibana#/discover/Steve-Slow-Train-Analysis-(2080s-and-2083s)?_g=(refreshInterval:(display:Off,pause:!f,section:0,value:0),time:(from:'2017-10-29T23:24:09-0600',mode:absolute,to:'2017-10-30T02:03:43-0600'))&amp;_a=(columns:!('Message%20ID',Summary),filters:!(),index:'emp_*',interval:auto,query:(query_string:(analyze_wildcard:!t,query:'%22rtdc.l.rtdc.4017%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3">
      <c r="A156" s="32" t="s">
        <v>860</v>
      </c>
      <c r="B156" s="7">
        <v>4060</v>
      </c>
      <c r="C156" s="21" t="s">
        <v>194</v>
      </c>
      <c r="D156" s="21" t="s">
        <v>620</v>
      </c>
      <c r="E156" s="13">
        <v>43037.990370370368</v>
      </c>
      <c r="F156" s="13">
        <v>43038.000162037039</v>
      </c>
      <c r="G156" s="7">
        <v>49</v>
      </c>
      <c r="H156" s="21" t="s">
        <v>1045</v>
      </c>
      <c r="I156" s="13">
        <v>43038.024282407408</v>
      </c>
      <c r="J156" s="7">
        <v>0</v>
      </c>
      <c r="K156" s="76" t="str">
        <f t="shared" si="72"/>
        <v>4059/4060</v>
      </c>
      <c r="L156" s="164" t="str">
        <f>VLOOKUP(A156,'Trips&amp;Operators'!$C$1:$G$99911,5,FALSE)</f>
        <v>ELBAUM MIKE</v>
      </c>
      <c r="M156" s="6">
        <f t="shared" si="73"/>
        <v>2.4120370369928423E-2</v>
      </c>
      <c r="N156" s="7">
        <f t="shared" si="87"/>
        <v>34.73333333269693</v>
      </c>
      <c r="O156" s="7"/>
      <c r="P156" s="7"/>
      <c r="Q156" s="22"/>
      <c r="R156" s="157"/>
      <c r="S156" s="215">
        <f t="shared" si="88"/>
        <v>1</v>
      </c>
      <c r="T156" s="216" t="str">
        <f t="shared" si="74"/>
        <v>NorthBound</v>
      </c>
      <c r="U156" s="216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7" t="str">
        <f t="shared" si="75"/>
        <v>https://d0f6bd738d7f1b3e5a7ca70fe4ff75f0.us-east-1.aws.found.io/app/kibana#/discover/Steve-Slow-Train-Analysis-(2080s-and-2083s)?_g=(refreshInterval:(display:Off,pause:!f,section:0,value:0),time:(from:'2017-10-29T22:46:08-0600',mode:absolute,to:'2017-10-30T01:34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6" s="218" t="str">
        <f>IF(AA156&lt;VLOOKUP(AG156,Variables!$AC$3:$AD$8,2,FALSE),"Y","N")</f>
        <v>N</v>
      </c>
      <c r="X156" s="218">
        <f t="shared" si="89"/>
        <v>1</v>
      </c>
      <c r="Y156" s="218">
        <f t="shared" si="69"/>
        <v>5.6800000000000003E-2</v>
      </c>
      <c r="Z156" s="218">
        <f t="shared" si="70"/>
        <v>23.334199999999999</v>
      </c>
      <c r="AA156" s="218">
        <f t="shared" si="77"/>
        <v>23.2774</v>
      </c>
      <c r="AB156" s="219" t="e">
        <f>VLOOKUP(A156,Enforcements!$C$7:$K$11,8,0)</f>
        <v>#N/A</v>
      </c>
      <c r="AC156" s="219" t="e">
        <f>VLOOKUP(A156,Enforcements!$C$7:$E$11,3,0)</f>
        <v>#N/A</v>
      </c>
      <c r="AD156" s="186">
        <f t="shared" si="78"/>
        <v>241</v>
      </c>
      <c r="AE156" s="220" t="str">
        <f t="shared" si="79"/>
        <v>aws s3 cp s3://rtdc.mdm.uploadarchive.raw/RTDC4060/ "%USERPROFILE%\AppData\Local\Temp\OnboardLogs"\RTDC4060\2017-10-30 --exclude "*" --recursive --include "*20171030*" &amp; "%USERPROFILE%\Documents\GitHub\mrs-test-scripts\Headless Mode &amp; Sideloading\WalkAndUnGZ.bat" "%USERPROFILE%\AppData\Local\Temp\OnboardLogs"\RTDC4060\2017-10-30 &amp; aws s3 cp s3://rtdc.mdm.uploadarchive.raw/RTDC4060/ "%USERPROFILE%\AppData\Local\Temp\OnboardLogs"\RTDC4060\2017-10-31 --exclude "*" --recursive --include "*20171031*" &amp; "%USERPROFILE%\Documents\GitHub\mrs-test-scripts\Headless Mode &amp; Sideloading\WalkAndUnGZ.bat" "%USERPROFILE%\AppData\Local\Temp\OnboardLogs"\RTDC4060\2017-10-31</v>
      </c>
      <c r="AF156" s="221" t="str">
        <f t="shared" si="80"/>
        <v>"C:\Program Files (x86)\AstroGrep\AstroGrep.exe" /e /r /s /spath="%USERPROFILE%\AppData\Local\Temp\OnboardLogs" /stypes="app*4060*20171030*" /stext=" 06:.+((SYSTEM_STATE.+slice.+state.+changed )|(ment ac)|(multiple cpu faults)|(system.+state.+changed )|(\[timeout)|(PRM\|1\|D)|(kpr)|(kdp)|(train st.+moving)|(\|lc)|(penalty))"</v>
      </c>
      <c r="AG156" s="185" t="str">
        <f t="shared" si="81"/>
        <v>EC</v>
      </c>
      <c r="AH156" s="222" t="str">
        <f t="shared" si="82"/>
        <v>"%USERPROFILE%\Documents\GitHub\eaglep3\Utilities\RefineRTDCRunTimes.py" --tripid 241-29 --locoid 4060 --swversion DE.1.0.9.0 --startMP 204:568 --initTime 2017-10-29T23:46:08 --startdatetime 2017-10-30T00:00:14 --delay 49 --endMP 204:233342 --enddatetime 2017-10-30T00:34:58 --enforcementcount 0 &gt;&gt;%USERPROFILE%\Documents\GitHub\eaglep3-reporting\EC\2017-10-29-refined-times.txt</v>
      </c>
      <c r="AI156" s="223" t="str">
        <f t="shared" si="83"/>
        <v>echo {"issue":{"subject":"","project_id":79,"tracker_id":40,"status_id":1,"priority_id":2,"assigned_to_id":338,"start_date":"2017-10-30","description":"","custom_fields":[{"id":1,"name":"Subdivision","value":"EC"},{"id":4,"name":"Milepost","value":"23.3342"},{"id":17,"name":"Train ID","value":"241-29"},{"id":16,"name":"Locomotive ID","value":"4060"},{"id":130,"name":"Impact","value":""},{"id":150,"name":"Time of Event (Mountain Time)","value":"00:34:58"},{"id":151,"name":"Denver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182"/>
      <c r="AK156" s="186"/>
      <c r="AL156" s="186"/>
      <c r="AM156" s="187" t="str">
        <f t="shared" si="84"/>
        <v>start /low /b %USERPROFILE%\Documents\GitHub\eaglep3\Utilities\DownloadLogsFromS3.py --loco 4060 --day 2017-10-30</v>
      </c>
      <c r="AN156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06:34:58"},{"id":29,"name":"Sharepoint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82" t="str">
        <f t="shared" si="86"/>
        <v>https://d0f6bd738d7f1b3e5a7ca70fe4ff75f0.us-east-1.aws.found.io/app/kibana#/discover/Steve-Slow-Train-Analysis-(2080s-and-2083s)?_g=(refreshInterval:(display:Off,pause:!f,section:0,value:0),time:(from:'2017-10-29T22:46:08-0600',mode:absolute,to:'2017-10-30T01:34:58-0600'))&amp;_a=(columns:!('Message%20ID',Summary),filters:!(),index:'emp_*',interval:auto,query:(query_string:(analyze_wildcard:!t,query:'%22rtdc.l.rtdc.4060%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3">
      <c r="A157" s="32" t="s">
        <v>864</v>
      </c>
      <c r="B157" s="7">
        <v>4059</v>
      </c>
      <c r="C157" s="21" t="s">
        <v>194</v>
      </c>
      <c r="D157" s="21" t="s">
        <v>1046</v>
      </c>
      <c r="E157" s="13">
        <v>43038.02579861111</v>
      </c>
      <c r="F157" s="13">
        <v>43038.039710648147</v>
      </c>
      <c r="G157" s="7">
        <v>70</v>
      </c>
      <c r="H157" s="21" t="s">
        <v>1047</v>
      </c>
      <c r="I157" s="13">
        <v>43038.064791666664</v>
      </c>
      <c r="J157" s="7">
        <v>0</v>
      </c>
      <c r="K157" s="76" t="str">
        <f t="shared" si="72"/>
        <v>4059/4060</v>
      </c>
      <c r="L157" s="164" t="str">
        <f>VLOOKUP(A157,'Trips&amp;Operators'!$C$1:$G$99911,5,FALSE)</f>
        <v>ELBAUM MIKE</v>
      </c>
      <c r="M157" s="6">
        <f t="shared" si="73"/>
        <v>2.5081018517084885E-2</v>
      </c>
      <c r="N157" s="7">
        <f t="shared" si="87"/>
        <v>36.116666664602235</v>
      </c>
      <c r="O157" s="7"/>
      <c r="P157" s="7"/>
      <c r="Q157" s="22"/>
      <c r="R157" s="157"/>
      <c r="S157" s="215">
        <f t="shared" si="88"/>
        <v>1</v>
      </c>
      <c r="T157" s="216" t="str">
        <f t="shared" si="74"/>
        <v>Southbound</v>
      </c>
      <c r="U157" s="216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7" t="str">
        <f t="shared" si="75"/>
        <v>https://d0f6bd738d7f1b3e5a7ca70fe4ff75f0.us-east-1.aws.found.io/app/kibana#/discover/Steve-Slow-Train-Analysis-(2080s-and-2083s)?_g=(refreshInterval:(display:Off,pause:!f,section:0,value:0),time:(from:'2017-10-29T23:37:09-0600',mode:absolute,to:'2017-10-30T02:33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7" s="218" t="str">
        <f>IF(AA157&lt;VLOOKUP(AG157,Variables!$AC$3:$AD$8,2,FALSE),"Y","N")</f>
        <v>N</v>
      </c>
      <c r="X157" s="218">
        <f t="shared" si="89"/>
        <v>1</v>
      </c>
      <c r="Y157" s="218">
        <f t="shared" si="69"/>
        <v>23.302099999999999</v>
      </c>
      <c r="Z157" s="218">
        <f t="shared" si="70"/>
        <v>2.6499999999999999E-2</v>
      </c>
      <c r="AA157" s="218">
        <f t="shared" si="77"/>
        <v>23.275600000000001</v>
      </c>
      <c r="AB157" s="219" t="e">
        <f>VLOOKUP(A157,Enforcements!$C$7:$K$11,8,0)</f>
        <v>#N/A</v>
      </c>
      <c r="AC157" s="219" t="e">
        <f>VLOOKUP(A157,Enforcements!$C$7:$E$11,3,0)</f>
        <v>#N/A</v>
      </c>
      <c r="AD157" s="186">
        <f t="shared" si="78"/>
        <v>242</v>
      </c>
      <c r="AE157" s="220" t="str">
        <f t="shared" si="79"/>
        <v>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 &amp; aws s3 cp s3://rtdc.mdm.uploadarchive.raw/RTDC4059/ "%USERPROFILE%\AppData\Local\Temp\OnboardLogs"\RTDC4059\2017-10-31 --exclude "*" --recursive --include "*20171031*" &amp; "%USERPROFILE%\Documents\GitHub\mrs-test-scripts\Headless Mode &amp; Sideloading\WalkAndUnGZ.bat" "%USERPROFILE%\AppData\Local\Temp\OnboardLogs"\RTDC4059\2017-10-31</v>
      </c>
      <c r="AF157" s="221" t="str">
        <f t="shared" si="80"/>
        <v>"C:\Program Files (x86)\AstroGrep\AstroGrep.exe" /e /r /s /spath="%USERPROFILE%\AppData\Local\Temp\OnboardLogs" /stypes="app*4059*20171030*" /stext=" 07:.+((SYSTEM_STATE.+slice.+state.+changed )|(ment ac)|(multiple cpu faults)|(system.+state.+changed )|(\[timeout)|(PRM\|1\|D)|(kpr)|(kdp)|(train st.+moving)|(\|lc)|(penalty))"</v>
      </c>
      <c r="AG157" s="185" t="str">
        <f t="shared" si="81"/>
        <v>EC</v>
      </c>
      <c r="AH157" s="222" t="str">
        <f t="shared" si="82"/>
        <v>"%USERPROFILE%\Documents\GitHub\eaglep3\Utilities\RefineRTDCRunTimes.py" --tripid 242-29 --locoid 4059 --swversion DE.1.0.9.0 --startMP 204:233021 --initTime 2017-10-30T00:37:09 --startdatetime 2017-10-30T00:57:11 --delay 70 --endMP 204:265 --enddatetime 2017-10-30T01:33:18 --enforcementcount 0 &gt;&gt;%USERPROFILE%\Documents\GitHub\eaglep3-reporting\EC\2017-10-29-refined-times.txt</v>
      </c>
      <c r="AI157" s="223" t="str">
        <f t="shared" si="83"/>
        <v>echo {"issue":{"subject":"","project_id":79,"tracker_id":40,"status_id":1,"priority_id":2,"assigned_to_id":338,"start_date":"2017-10-30","description":"","custom_fields":[{"id":1,"name":"Subdivision","value":"EC"},{"id":4,"name":"Milepost","value":"0.0265"},{"id":17,"name":"Train ID","value":"242-29"},{"id":16,"name":"Locomotive ID","value":"4059"},{"id":130,"name":"Impact","value":""},{"id":150,"name":"Time of Event (Mountain Time)","value":"01:33:18"},{"id":151,"name":"Denver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7" s="182"/>
      <c r="AK157" s="186"/>
      <c r="AL157" s="186"/>
      <c r="AM157" s="187" t="str">
        <f t="shared" si="84"/>
        <v>start /low /b %USERPROFILE%\Documents\GitHub\eaglep3\Utilities\DownloadLogsFromS3.py --loco 4059 --day 2017-10-30</v>
      </c>
      <c r="AN157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07:33:18"},{"id":29,"name":"Sharepoint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82" t="str">
        <f t="shared" si="86"/>
        <v>https://d0f6bd738d7f1b3e5a7ca70fe4ff75f0.us-east-1.aws.found.io/app/kibana#/discover/Steve-Slow-Train-Analysis-(2080s-and-2083s)?_g=(refreshInterval:(display:Off,pause:!f,section:0,value:0),time:(from:'2017-10-29T23:37:09-0600',mode:absolute,to:'2017-10-30T02:33:18-0600'))&amp;_a=(columns:!('Message%20ID',Summary),filters:!(),index:'emp_*',interval:auto,query:(query_string:(analyze_wildcard:!t,query:'%22rtdc.l.rtdc.4059%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32" t="s">
        <v>862</v>
      </c>
      <c r="B158" s="7">
        <v>4016</v>
      </c>
      <c r="C158" s="21" t="s">
        <v>194</v>
      </c>
      <c r="D158" s="21" t="s">
        <v>1016</v>
      </c>
      <c r="E158" s="13">
        <v>43038.00513888889</v>
      </c>
      <c r="F158" s="13">
        <v>43038.021006944444</v>
      </c>
      <c r="G158" s="7">
        <v>94</v>
      </c>
      <c r="H158" s="21" t="s">
        <v>1048</v>
      </c>
      <c r="I158" s="13">
        <v>43038.04546296296</v>
      </c>
      <c r="J158" s="7">
        <v>0</v>
      </c>
      <c r="K158" s="76" t="str">
        <f t="shared" si="72"/>
        <v>4015/4016</v>
      </c>
      <c r="L158" s="164" t="str">
        <f>VLOOKUP(A158,'Trips&amp;Operators'!$C$1:$G$99911,5,FALSE)</f>
        <v>DUNCAN SHEILA</v>
      </c>
      <c r="M158" s="6">
        <f t="shared" si="73"/>
        <v>2.4456018516502809E-2</v>
      </c>
      <c r="N158" s="7">
        <f t="shared" si="87"/>
        <v>35.216666663764045</v>
      </c>
      <c r="O158" s="7"/>
      <c r="P158" s="7"/>
      <c r="Q158" s="22"/>
      <c r="R158" s="157"/>
      <c r="S158" s="215">
        <f t="shared" si="88"/>
        <v>1</v>
      </c>
      <c r="T158" s="216" t="str">
        <f t="shared" si="74"/>
        <v>NorthBound</v>
      </c>
      <c r="U158" s="216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7" t="str">
        <f t="shared" si="75"/>
        <v>https://d0f6bd738d7f1b3e5a7ca70fe4ff75f0.us-east-1.aws.found.io/app/kibana#/discover/Steve-Slow-Train-Analysis-(2080s-and-2083s)?_g=(refreshInterval:(display:Off,pause:!f,section:0,value:0),time:(from:'2017-10-29T23:07:24-0600',mode:absolute,to:'2017-10-30T02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58" s="218" t="str">
        <f>IF(AA158&lt;VLOOKUP(AG158,Variables!$AC$3:$AD$8,2,FALSE),"Y","N")</f>
        <v>N</v>
      </c>
      <c r="X158" s="218">
        <f t="shared" si="89"/>
        <v>1</v>
      </c>
      <c r="Y158" s="218">
        <f t="shared" si="69"/>
        <v>5.0799999999999998E-2</v>
      </c>
      <c r="Z158" s="218">
        <f t="shared" si="70"/>
        <v>23.312799999999999</v>
      </c>
      <c r="AA158" s="218">
        <f t="shared" si="77"/>
        <v>23.262</v>
      </c>
      <c r="AB158" s="219" t="e">
        <f>VLOOKUP(A158,Enforcements!$C$7:$K$11,8,0)</f>
        <v>#N/A</v>
      </c>
      <c r="AC158" s="219" t="e">
        <f>VLOOKUP(A158,Enforcements!$C$7:$E$11,3,0)</f>
        <v>#N/A</v>
      </c>
      <c r="AD158" s="186">
        <f t="shared" si="78"/>
        <v>243</v>
      </c>
      <c r="AE158" s="220" t="str">
        <f t="shared" si="79"/>
        <v>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 &amp; aws s3 cp s3://rtdc.mdm.uploadarchive.raw/RTDC4016/ "%USERPROFILE%\AppData\Local\Temp\OnboardLogs"\RTDC4016\2017-10-31 --exclude "*" --recursive --include "*20171031*" &amp; "%USERPROFILE%\Documents\GitHub\mrs-test-scripts\Headless Mode &amp; Sideloading\WalkAndUnGZ.bat" "%USERPROFILE%\AppData\Local\Temp\OnboardLogs"\RTDC4016\2017-10-31</v>
      </c>
      <c r="AF158" s="221" t="str">
        <f t="shared" si="80"/>
        <v>"C:\Program Files (x86)\AstroGrep\AstroGrep.exe" /e /r /s /spath="%USERPROFILE%\AppData\Local\Temp\OnboardLogs" /stypes="app*4016*20171030*" /stext=" 07:.+((SYSTEM_STATE.+slice.+state.+changed )|(ment ac)|(multiple cpu faults)|(system.+state.+changed )|(\[timeout)|(PRM\|1\|D)|(kpr)|(kdp)|(train st.+moving)|(\|lc)|(penalty))"</v>
      </c>
      <c r="AG158" s="185" t="str">
        <f t="shared" si="81"/>
        <v>EC</v>
      </c>
      <c r="AH158" s="222" t="str">
        <f t="shared" si="82"/>
        <v>"%USERPROFILE%\Documents\GitHub\eaglep3\Utilities\RefineRTDCRunTimes.py" --tripid 243-29 --locoid 4016 --swversion DE.1.0.9.0 --startMP 204:508 --initTime 2017-10-30T00:07:24 --startdatetime 2017-10-30T00:30:15 --delay 94 --endMP 204:233128 --enddatetime 2017-10-30T01:05:28 --enforcementcount 0 &gt;&gt;%USERPROFILE%\Documents\GitHub\eaglep3-reporting\EC\2017-10-29-refined-times.txt</v>
      </c>
      <c r="AI158" s="223" t="str">
        <f t="shared" si="83"/>
        <v>echo {"issue":{"subject":"","project_id":79,"tracker_id":40,"status_id":1,"priority_id":2,"assigned_to_id":338,"start_date":"2017-10-30","description":"","custom_fields":[{"id":1,"name":"Subdivision","value":"EC"},{"id":4,"name":"Milepost","value":"23.3128"},{"id":17,"name":"Train ID","value":"243-29"},{"id":16,"name":"Locomotive ID","value":"4016"},{"id":130,"name":"Impact","value":""},{"id":150,"name":"Time of Event (Mountain Time)","value":"01:05:28"},{"id":151,"name":"Denver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182"/>
      <c r="AK158" s="186"/>
      <c r="AL158" s="186"/>
      <c r="AM158" s="187" t="str">
        <f t="shared" si="84"/>
        <v>start /low /b %USERPROFILE%\Documents\GitHub\eaglep3\Utilities\DownloadLogsFromS3.py --loco 4016 --day 2017-10-30</v>
      </c>
      <c r="AN158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07:05:28"},{"id":29,"name":"Sharepoint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82" t="str">
        <f t="shared" si="86"/>
        <v>https://d0f6bd738d7f1b3e5a7ca70fe4ff75f0.us-east-1.aws.found.io/app/kibana#/discover/Steve-Slow-Train-Analysis-(2080s-and-2083s)?_g=(refreshInterval:(display:Off,pause:!f,section:0,value:0),time:(from:'2017-10-29T23:07:24-0600',mode:absolute,to:'2017-10-30T02:05:28-0600'))&amp;_a=(columns:!('Message%20ID',Summary),filters:!(),index:'emp_*',interval:auto,query:(query_string:(analyze_wildcard:!t,query:'%22rtdc.l.rtdc.4016%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3">
      <c r="A159" s="32" t="s">
        <v>867</v>
      </c>
      <c r="B159" s="7">
        <v>4015</v>
      </c>
      <c r="C159" s="21" t="s">
        <v>194</v>
      </c>
      <c r="D159" s="21" t="s">
        <v>1049</v>
      </c>
      <c r="E159" s="13">
        <v>43038.051736111112</v>
      </c>
      <c r="F159" s="13">
        <v>43038.060613425929</v>
      </c>
      <c r="G159" s="7">
        <v>79</v>
      </c>
      <c r="H159" s="21" t="s">
        <v>1050</v>
      </c>
      <c r="I159" s="13">
        <v>43038.086238425924</v>
      </c>
      <c r="J159" s="7">
        <v>0</v>
      </c>
      <c r="K159" s="76" t="str">
        <f t="shared" si="72"/>
        <v>4015/4016</v>
      </c>
      <c r="L159" s="164" t="str">
        <f>VLOOKUP(A159,'Trips&amp;Operators'!$C$1:$G$99911,5,FALSE)</f>
        <v>HELVIE ADAM</v>
      </c>
      <c r="M159" s="6">
        <f t="shared" si="73"/>
        <v>2.5624999994761311E-2</v>
      </c>
      <c r="N159" s="7">
        <f t="shared" si="87"/>
        <v>36.899999992456287</v>
      </c>
      <c r="O159" s="7"/>
      <c r="P159" s="7"/>
      <c r="Q159" s="22"/>
      <c r="R159" s="157"/>
      <c r="S159" s="215">
        <f t="shared" si="88"/>
        <v>1</v>
      </c>
      <c r="T159" s="216" t="str">
        <f t="shared" si="74"/>
        <v>Southbound</v>
      </c>
      <c r="U159" s="216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217" t="str">
        <f t="shared" si="75"/>
        <v>https://d0f6bd738d7f1b3e5a7ca70fe4ff75f0.us-east-1.aws.found.io/app/kibana#/discover/Steve-Slow-Train-Analysis-(2080s-and-2083s)?_g=(refreshInterval:(display:Off,pause:!f,section:0,value:0),time:(from:'2017-10-30T00:14:30-0600',mode:absolute,to:'2017-10-30T03:04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9" s="218" t="str">
        <f>IF(AA159&lt;VLOOKUP(AG159,Variables!$AC$3:$AD$8,2,FALSE),"Y","N")</f>
        <v>N</v>
      </c>
      <c r="X159" s="218">
        <f t="shared" si="89"/>
        <v>1</v>
      </c>
      <c r="Y159" s="218">
        <f t="shared" si="69"/>
        <v>23.280899999999999</v>
      </c>
      <c r="Z159" s="218">
        <f t="shared" si="70"/>
        <v>3.6900000000000002E-2</v>
      </c>
      <c r="AA159" s="218">
        <f t="shared" si="77"/>
        <v>23.244</v>
      </c>
      <c r="AB159" s="219" t="e">
        <f>VLOOKUP(A159,Enforcements!$C$7:$K$11,8,0)</f>
        <v>#N/A</v>
      </c>
      <c r="AC159" s="219" t="e">
        <f>VLOOKUP(A159,Enforcements!$C$7:$E$11,3,0)</f>
        <v>#N/A</v>
      </c>
      <c r="AD159" s="186">
        <f t="shared" si="78"/>
        <v>244</v>
      </c>
      <c r="AE159" s="220" t="str">
        <f t="shared" si="79"/>
        <v>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 &amp; aws s3 cp s3://rtdc.mdm.uploadarchive.raw/RTDC4015/ "%USERPROFILE%\AppData\Local\Temp\OnboardLogs"\RTDC4015\2017-10-31 --exclude "*" --recursive --include "*20171031*" &amp; "%USERPROFILE%\Documents\GitHub\mrs-test-scripts\Headless Mode &amp; Sideloading\WalkAndUnGZ.bat" "%USERPROFILE%\AppData\Local\Temp\OnboardLogs"\RTDC4015\2017-10-31</v>
      </c>
      <c r="AF159" s="221" t="str">
        <f t="shared" si="80"/>
        <v>"C:\Program Files (x86)\AstroGrep\AstroGrep.exe" /e /r /s /spath="%USERPROFILE%\AppData\Local\Temp\OnboardLogs" /stypes="app*4015*20171030*" /stext=" 08:.+((SYSTEM_STATE.+slice.+state.+changed )|(ment ac)|(multiple cpu faults)|(system.+state.+changed )|(\[timeout)|(PRM\|1\|D)|(kpr)|(kdp)|(train st.+moving)|(\|lc)|(penalty))"</v>
      </c>
      <c r="AG159" s="185" t="str">
        <f t="shared" si="81"/>
        <v>EC</v>
      </c>
      <c r="AH159" s="222" t="str">
        <f t="shared" si="82"/>
        <v>"%USERPROFILE%\Documents\GitHub\eaglep3\Utilities\RefineRTDCRunTimes.py" --tripid 244-29 --locoid 4015 --swversion DE.1.0.9.0 --startMP 204:232809 --initTime 2017-10-30T01:14:30 --startdatetime 2017-10-30T01:27:17 --delay 79 --endMP 204:369 --enddatetime 2017-10-30T02:04:11 --enforcementcount 0 &gt;&gt;%USERPROFILE%\Documents\GitHub\eaglep3-reporting\EC\2017-10-29-refined-times.txt</v>
      </c>
      <c r="AI159" s="223" t="str">
        <f t="shared" si="83"/>
        <v>echo {"issue":{"subject":"","project_id":79,"tracker_id":40,"status_id":1,"priority_id":2,"assigned_to_id":338,"start_date":"2017-10-30","description":"","custom_fields":[{"id":1,"name":"Subdivision","value":"EC"},{"id":4,"name":"Milepost","value":"0.0369"},{"id":17,"name":"Train ID","value":"244-29"},{"id":16,"name":"Locomotive ID","value":"4015"},{"id":130,"name":"Impact","value":""},{"id":150,"name":"Time of Event (Mountain Time)","value":"02:04:11"},{"id":151,"name":"Denver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9" s="182"/>
      <c r="AK159" s="186"/>
      <c r="AL159" s="186"/>
      <c r="AM159" s="187" t="str">
        <f t="shared" si="84"/>
        <v>start /low /b %USERPROFILE%\Documents\GitHub\eaglep3\Utilities\DownloadLogsFromS3.py --loco 4015 --day 2017-10-30</v>
      </c>
      <c r="AN159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08:04:11"},{"id":29,"name":"Sharepoint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82" t="str">
        <f t="shared" si="86"/>
        <v>https://d0f6bd738d7f1b3e5a7ca70fe4ff75f0.us-east-1.aws.found.io/app/kibana#/discover/Steve-Slow-Train-Analysis-(2080s-and-2083s)?_g=(refreshInterval:(display:Off,pause:!f,section:0,value:0),time:(from:'2017-10-30T00:14:30-0600',mode:absolute,to:'2017-10-30T03:04:11-0600'))&amp;_a=(columns:!('Message%20ID',Summary),filters:!(),index:'emp_*',interval:auto,query:(query_string:(analyze_wildcard:!t,query:'%22rtdc.l.rtdc.4015%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3">
      <c r="A160" s="32" t="s">
        <v>696</v>
      </c>
      <c r="B160" s="7">
        <v>4049</v>
      </c>
      <c r="C160" s="21" t="s">
        <v>194</v>
      </c>
      <c r="D160" s="21" t="s">
        <v>947</v>
      </c>
      <c r="E160" s="13">
        <v>43037.234131944446</v>
      </c>
      <c r="F160" s="13">
        <v>43037.238344907404</v>
      </c>
      <c r="G160" s="7">
        <v>42</v>
      </c>
      <c r="H160" s="21" t="s">
        <v>623</v>
      </c>
      <c r="I160" s="13">
        <v>43037.248124999998</v>
      </c>
      <c r="J160" s="7">
        <v>0</v>
      </c>
      <c r="K160" s="76" t="str">
        <f t="shared" si="72"/>
        <v>4049/4050</v>
      </c>
      <c r="L160" s="164" t="str">
        <f>VLOOKUP(A160,'Trips&amp;Operators'!$C$1:$G$99911,5,FALSE)</f>
        <v>MACDONALD THOMAS</v>
      </c>
      <c r="M160" s="6">
        <f t="shared" si="73"/>
        <v>9.7800925941555761E-3</v>
      </c>
      <c r="N160" s="7">
        <f t="shared" si="87"/>
        <v>14.08333333558403</v>
      </c>
      <c r="O160" s="7"/>
      <c r="P160" s="7"/>
      <c r="Q160" s="22"/>
      <c r="R160" s="157"/>
      <c r="S160" s="215">
        <f t="shared" si="88"/>
        <v>1</v>
      </c>
      <c r="T160" s="216" t="str">
        <f t="shared" si="74"/>
        <v>Southbound</v>
      </c>
      <c r="U160" s="216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7" t="str">
        <f t="shared" si="75"/>
        <v>https://d0f6bd738d7f1b3e5a7ca70fe4ff75f0.us-east-1.aws.found.io/app/kibana#/discover/Steve-Slow-Train-Analysis-(2080s-and-2083s)?_g=(refreshInterval:(display:Off,pause:!f,section:0,value:0),time:(from:'2017-10-29T04:37:09-0600',mode:absolute,to:'2017-10-29T06:57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0" s="218" t="str">
        <f>IF(AA160&lt;VLOOKUP(AG160,Variables!$AC$3:$AD$8,2,FALSE),"Y","N")</f>
        <v>N</v>
      </c>
      <c r="X160" s="218">
        <f t="shared" ref="X160:X162" si="90">VALUE(LEFT(AD160,4))-VALUE(LEFT(AD159,4))</f>
        <v>1556</v>
      </c>
      <c r="Y160" s="218">
        <f t="shared" si="69"/>
        <v>5.8301999999999996</v>
      </c>
      <c r="Z160" s="218">
        <f t="shared" si="70"/>
        <v>8.2000000000000003E-2</v>
      </c>
      <c r="AA160" s="218">
        <f t="shared" si="77"/>
        <v>5.7481999999999998</v>
      </c>
      <c r="AB160" s="219" t="e">
        <f>VLOOKUP(A160,Enforcements!$C$7:$K$11,8,0)</f>
        <v>#N/A</v>
      </c>
      <c r="AC160" s="219" t="e">
        <f>VLOOKUP(A160,Enforcements!$C$7:$E$11,3,0)</f>
        <v>#N/A</v>
      </c>
      <c r="AD160" s="186">
        <f t="shared" si="78"/>
        <v>1800</v>
      </c>
      <c r="AE160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60" s="221" t="str">
        <f t="shared" si="80"/>
        <v>"C:\Program Files (x86)\AstroGrep\AstroGrep.exe" /e /r /s /spath="%USERPROFILE%\AppData\Local\Temp\OnboardLogs" /stypes="app*4049*20171029*" /stext=" 11:.+((SYSTEM_STATE.+slice.+state.+changed )|(ment ac)|(multiple cpu faults)|(system.+state.+changed )|(\[timeout)|(PRM\|1\|D)|(kpr)|(kdp)|(train st.+moving)|(\|lc)|(penalty))"</v>
      </c>
      <c r="AG160" s="185" t="str">
        <f t="shared" si="81"/>
        <v>NW</v>
      </c>
      <c r="AH160" s="222" t="str">
        <f t="shared" si="82"/>
        <v>"%USERPROFILE%\Documents\GitHub\eaglep3\Utilities\RefineRTDCRunTimes.py" --tripid 1800-29 --locoid 4049 --swversion DE.1.0.9.0 --startMP 300:58302 --initTime 2017-10-29T05:37:09 --startdatetime 2017-10-29T05:43:13 --delay 42 --endMP 204:820 --enddatetime 2017-10-29T05:57:18 --enforcementcount 0 &gt;&gt;%USERPROFILE%\Documents\GitHub\eaglep3-reporting\EC\2017-10-29-refined-times.txt</v>
      </c>
      <c r="AI160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{"issue":{"subject":"","project_id":79,"tracker_id":40,"status_id":1,"priority_id":2,"assigned_to_id":338,"start_date":"2017-10-29","description":"","custom_fields":[{"id":1,"name":"Subdivision","value":"NW"},{"id":4,"name":"Milepost","value":"0.082"},{"id":17,"name":"Train ID","value":"1800-29"},{"id":16,"name":"Locomotive ID","value":"4049"},{"id":130,"name":"Impact","value":""},{"id":150,"name":"Time of Event (Mountain Time)","value":"05:57:18"},{"id":151,"name":"Denver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0" s="182"/>
      <c r="AK160" s="186"/>
      <c r="AL160" s="186"/>
      <c r="AM160" s="187" t="str">
        <f t="shared" si="84"/>
        <v>start /low /b %USERPROFILE%\Documents\GitHub\eaglep3\Utilities\DownloadLogsFromS3.py --loco 4049 --day 2017-10-29</v>
      </c>
      <c r="AN160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11:57:18"},{"id":29,"name":"Sharepoint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82" t="str">
        <f t="shared" si="86"/>
        <v>https://d0f6bd738d7f1b3e5a7ca70fe4ff75f0.us-east-1.aws.found.io/app/kibana#/discover/Steve-Slow-Train-Analysis-(2080s-and-2083s)?_g=(refreshInterval:(display:Off,pause:!f,section:0,value:0),time:(from:'2017-10-29T04:37:09-0600',mode:absolute,to:'2017-10-29T06:57:18-0600'))&amp;_a=(columns:!('Message%20ID',Summary),filters:!(),index:'emp_*',interval:auto,query:(query_string:(analyze_wildcard:!t,query:'%22rtdc.l.rtdc.4049%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32" t="s">
        <v>701</v>
      </c>
      <c r="B161" s="7">
        <v>4050</v>
      </c>
      <c r="C161" s="21" t="s">
        <v>194</v>
      </c>
      <c r="D161" s="21" t="s">
        <v>948</v>
      </c>
      <c r="E161" s="13">
        <v>43037.248993055553</v>
      </c>
      <c r="F161" s="13">
        <v>43037.256527777776</v>
      </c>
      <c r="G161" s="7">
        <v>114</v>
      </c>
      <c r="H161" s="21" t="s">
        <v>949</v>
      </c>
      <c r="I161" s="13">
        <v>43037.265775462962</v>
      </c>
      <c r="J161" s="7">
        <v>0</v>
      </c>
      <c r="K161" s="76" t="str">
        <f t="shared" si="72"/>
        <v>4049/4050</v>
      </c>
      <c r="L161" s="164" t="str">
        <f>VLOOKUP(A161,'Trips&amp;Operators'!$C$1:$G$99911,5,FALSE)</f>
        <v>MACDONALD THOMAS</v>
      </c>
      <c r="M161" s="6">
        <f t="shared" si="73"/>
        <v>9.2476851859828457E-3</v>
      </c>
      <c r="N161" s="7">
        <f t="shared" si="87"/>
        <v>13.316666667815298</v>
      </c>
      <c r="O161" s="7"/>
      <c r="P161" s="7"/>
      <c r="Q161" s="22"/>
      <c r="R161" s="157"/>
      <c r="S161" s="215">
        <f t="shared" si="88"/>
        <v>1</v>
      </c>
      <c r="T161" s="216" t="str">
        <f t="shared" si="74"/>
        <v>NorthBound</v>
      </c>
      <c r="U161" s="216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7" t="str">
        <f t="shared" si="75"/>
        <v>https://d0f6bd738d7f1b3e5a7ca70fe4ff75f0.us-east-1.aws.found.io/app/kibana#/discover/Steve-Slow-Train-Analysis-(2080s-and-2083s)?_g=(refreshInterval:(display:Off,pause:!f,section:0,value:0),time:(from:'2017-10-29T04:58:33-0600',mode:absolute,to:'2017-10-29T07:22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1" s="218" t="str">
        <f>IF(AA161&lt;VLOOKUP(AG161,Variables!$AC$3:$AD$8,2,FALSE),"Y","N")</f>
        <v>N</v>
      </c>
      <c r="X161" s="218">
        <f t="shared" si="90"/>
        <v>1</v>
      </c>
      <c r="Y161" s="218">
        <f t="shared" si="69"/>
        <v>0.1123</v>
      </c>
      <c r="Z161" s="218">
        <f t="shared" si="70"/>
        <v>5.8940999999999999</v>
      </c>
      <c r="AA161" s="218">
        <f t="shared" si="77"/>
        <v>5.7817999999999996</v>
      </c>
      <c r="AB161" s="219" t="e">
        <f>VLOOKUP(A161,Enforcements!$C$7:$K$11,8,0)</f>
        <v>#N/A</v>
      </c>
      <c r="AC161" s="219" t="e">
        <f>VLOOKUP(A161,Enforcements!$C$7:$E$11,3,0)</f>
        <v>#N/A</v>
      </c>
      <c r="AD161" s="186">
        <f t="shared" si="78"/>
        <v>1801</v>
      </c>
      <c r="AE161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61" s="221" t="str">
        <f t="shared" si="80"/>
        <v>"C:\Program Files (x86)\AstroGrep\AstroGrep.exe" /e /r /s /spath="%USERPROFILE%\AppData\Local\Temp\OnboardLogs" /stypes="app*4050*20171029*" /stext=" 12:.+((SYSTEM_STATE.+slice.+state.+changed )|(ment ac)|(multiple cpu faults)|(system.+state.+changed )|(\[timeout)|(PRM\|1\|D)|(kpr)|(kdp)|(train st.+moving)|(\|lc)|(penalty))"</v>
      </c>
      <c r="AG161" s="185" t="str">
        <f t="shared" si="81"/>
        <v>NW</v>
      </c>
      <c r="AH161" s="222" t="str">
        <f t="shared" si="82"/>
        <v>"%USERPROFILE%\Documents\GitHub\eaglep3\Utilities\RefineRTDCRunTimes.py" --tripid 1801-29 --locoid 4050 --swversion DE.1.0.9.0 --startMP 204:1123 --initTime 2017-10-29T05:58:33 --startdatetime 2017-10-29T06:09:24 --delay 114 --endMP 300:58941 --enddatetime 2017-10-29T06:22:43 --enforcementcount 0 &gt;&gt;%USERPROFILE%\Documents\GitHub\eaglep3-reporting\EC\2017-10-29-refined-times.txt</v>
      </c>
      <c r="AI161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{"issue":{"subject":"","project_id":79,"tracker_id":40,"status_id":1,"priority_id":2,"assigned_to_id":338,"start_date":"2017-10-29","description":"","custom_fields":[{"id":1,"name":"Subdivision","value":"NW"},{"id":4,"name":"Milepost","value":"5.8941"},{"id":17,"name":"Train ID","value":"1801-29"},{"id":16,"name":"Locomotive ID","value":"4050"},{"id":130,"name":"Impact","value":""},{"id":150,"name":"Time of Event (Mountain Time)","value":"06:22:43"},{"id":151,"name":"Denver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182"/>
      <c r="AK161" s="186"/>
      <c r="AL161" s="186"/>
      <c r="AM161" s="187" t="str">
        <f t="shared" si="84"/>
        <v>start /low /b %USERPROFILE%\Documents\GitHub\eaglep3\Utilities\DownloadLogsFromS3.py --loco 4050 --day 2017-10-29</v>
      </c>
      <c r="AN161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12:22:43"},{"id":29,"name":"Sharepoint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82" t="str">
        <f t="shared" si="86"/>
        <v>https://d0f6bd738d7f1b3e5a7ca70fe4ff75f0.us-east-1.aws.found.io/app/kibana#/discover/Steve-Slow-Train-Analysis-(2080s-and-2083s)?_g=(refreshInterval:(display:Off,pause:!f,section:0,value:0),time:(from:'2017-10-29T04:58:33-0600',mode:absolute,to:'2017-10-29T07:22:43-0600'))&amp;_a=(columns:!('Message%20ID',Summary),filters:!(),index:'emp_*',interval:auto,query:(query_string:(analyze_wildcard:!t,query:'%22rtdc.l.rtdc.4050%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32" t="s">
        <v>706</v>
      </c>
      <c r="B162" s="7">
        <v>4049</v>
      </c>
      <c r="C162" s="21" t="s">
        <v>194</v>
      </c>
      <c r="D162" s="21" t="s">
        <v>950</v>
      </c>
      <c r="E162" s="13">
        <v>43037.266724537039</v>
      </c>
      <c r="F162" s="13">
        <v>43037.280023148145</v>
      </c>
      <c r="G162" s="7">
        <v>44</v>
      </c>
      <c r="H162" s="21" t="s">
        <v>951</v>
      </c>
      <c r="I162" s="13">
        <v>43037.28806712963</v>
      </c>
      <c r="J162" s="7">
        <v>0</v>
      </c>
      <c r="K162" s="76" t="str">
        <f t="shared" si="72"/>
        <v>4049/4050</v>
      </c>
      <c r="L162" s="164" t="str">
        <f>VLOOKUP(A162,'Trips&amp;Operators'!$C$1:$G$99911,5,FALSE)</f>
        <v>MACDONALD THOMAS</v>
      </c>
      <c r="M162" s="6">
        <f t="shared" si="73"/>
        <v>8.0439814846613444E-3</v>
      </c>
      <c r="N162" s="7">
        <f t="shared" si="87"/>
        <v>11.583333337912336</v>
      </c>
      <c r="O162" s="7"/>
      <c r="P162" s="7"/>
      <c r="Q162" s="22"/>
      <c r="R162" s="157"/>
      <c r="S162" s="215">
        <f t="shared" si="88"/>
        <v>1</v>
      </c>
      <c r="T162" s="216" t="str">
        <f t="shared" si="74"/>
        <v>Southbound</v>
      </c>
      <c r="U162" s="216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7" t="str">
        <f t="shared" si="75"/>
        <v>https://d0f6bd738d7f1b3e5a7ca70fe4ff75f0.us-east-1.aws.found.io/app/kibana#/discover/Steve-Slow-Train-Analysis-(2080s-and-2083s)?_g=(refreshInterval:(display:Off,pause:!f,section:0,value:0),time:(from:'2017-10-29T05:24:05-0600',mode:absolute,to:'2017-10-29T07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2" s="218" t="str">
        <f>IF(AA162&lt;VLOOKUP(AG162,Variables!$AC$3:$AD$8,2,FALSE),"Y","N")</f>
        <v>N</v>
      </c>
      <c r="X162" s="218">
        <f t="shared" si="90"/>
        <v>1</v>
      </c>
      <c r="Y162" s="218">
        <f t="shared" si="69"/>
        <v>5.8634000000000004</v>
      </c>
      <c r="Z162" s="218">
        <f t="shared" si="70"/>
        <v>8.5699999999999998E-2</v>
      </c>
      <c r="AA162" s="218">
        <f t="shared" si="77"/>
        <v>5.7777000000000003</v>
      </c>
      <c r="AB162" s="219" t="e">
        <f>VLOOKUP(A162,Enforcements!$C$7:$K$11,8,0)</f>
        <v>#N/A</v>
      </c>
      <c r="AC162" s="219" t="e">
        <f>VLOOKUP(A162,Enforcements!$C$7:$E$11,3,0)</f>
        <v>#N/A</v>
      </c>
      <c r="AD162" s="186">
        <f t="shared" si="78"/>
        <v>1802</v>
      </c>
      <c r="AE162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62" s="221" t="str">
        <f t="shared" si="80"/>
        <v>"C:\Program Files (x86)\AstroGrep\AstroGrep.exe" /e /r /s /spath="%USERPROFILE%\AppData\Local\Temp\OnboardLogs" /stypes="app*4049*20171029*" /stext=" 12:.+((SYSTEM_STATE.+slice.+state.+changed )|(ment ac)|(multiple cpu faults)|(system.+state.+changed )|(\[timeout)|(PRM\|1\|D)|(kpr)|(kdp)|(train st.+moving)|(\|lc)|(penalty))"</v>
      </c>
      <c r="AG162" s="185" t="str">
        <f t="shared" si="81"/>
        <v>NW</v>
      </c>
      <c r="AH162" s="222" t="str">
        <f t="shared" si="82"/>
        <v>"%USERPROFILE%\Documents\GitHub\eaglep3\Utilities\RefineRTDCRunTimes.py" --tripid 1802-29 --locoid 4049 --swversion DE.1.0.9.0 --startMP 300:58634 --initTime 2017-10-29T06:24:05 --startdatetime 2017-10-29T06:43:14 --delay 44 --endMP 204:857 --enddatetime 2017-10-29T06:54:49 --enforcementcount 0 &gt;&gt;%USERPROFILE%\Documents\GitHub\eaglep3-reporting\EC\2017-10-29-refined-times.txt</v>
      </c>
      <c r="AI162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{"issue":{"subject":"","project_id":79,"tracker_id":40,"status_id":1,"priority_id":2,"assigned_to_id":338,"start_date":"2017-10-29","description":"","custom_fields":[{"id":1,"name":"Subdivision","value":"NW"},{"id":4,"name":"Milepost","value":"0.0857"},{"id":17,"name":"Train ID","value":"1802-29"},{"id":16,"name":"Locomotive ID","value":"4049"},{"id":130,"name":"Impact","value":""},{"id":150,"name":"Time of Event (Mountain Time)","value":"06:54:49"},{"id":151,"name":"Denver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182"/>
      <c r="AK162" s="186"/>
      <c r="AL162" s="186"/>
      <c r="AM162" s="187" t="str">
        <f t="shared" si="84"/>
        <v>start /low /b %USERPROFILE%\Documents\GitHub\eaglep3\Utilities\DownloadLogsFromS3.py --loco 4049 --day 2017-10-29</v>
      </c>
      <c r="AN162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12:54:49"},{"id":29,"name":"Sharepoint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82" t="str">
        <f t="shared" si="86"/>
        <v>https://d0f6bd738d7f1b3e5a7ca70fe4ff75f0.us-east-1.aws.found.io/app/kibana#/discover/Steve-Slow-Train-Analysis-(2080s-and-2083s)?_g=(refreshInterval:(display:Off,pause:!f,section:0,value:0),time:(from:'2017-10-29T05:24:05-0600',mode:absolute,to:'2017-10-29T07:54:49-0600'))&amp;_a=(columns:!('Message%20ID',Summary),filters:!(),index:'emp_*',interval:auto,query:(query_string:(analyze_wildcard:!t,query:'%22rtdc.l.rtdc.4049%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32" t="s">
        <v>709</v>
      </c>
      <c r="B163" s="7">
        <v>4050</v>
      </c>
      <c r="C163" s="21" t="s">
        <v>194</v>
      </c>
      <c r="D163" s="21" t="s">
        <v>952</v>
      </c>
      <c r="E163" s="13">
        <v>43037.289409722223</v>
      </c>
      <c r="F163" s="13">
        <v>43037.298229166663</v>
      </c>
      <c r="G163" s="7">
        <v>54</v>
      </c>
      <c r="H163" s="21" t="s">
        <v>953</v>
      </c>
      <c r="I163" s="13">
        <v>43037.307615740741</v>
      </c>
      <c r="J163" s="7">
        <v>0</v>
      </c>
      <c r="K163" s="76" t="str">
        <f t="shared" si="72"/>
        <v>4049/4050</v>
      </c>
      <c r="L163" s="164" t="str">
        <f>VLOOKUP(A163,'Trips&amp;Operators'!$C$1:$G$99911,5,FALSE)</f>
        <v>MACDONALD THOMAS</v>
      </c>
      <c r="M163" s="6">
        <f t="shared" si="73"/>
        <v>9.3865740782348439E-3</v>
      </c>
      <c r="N163" s="7">
        <f t="shared" si="87"/>
        <v>13.516666672658175</v>
      </c>
      <c r="O163" s="7"/>
      <c r="P163" s="7"/>
      <c r="Q163" s="22"/>
      <c r="R163" s="157"/>
      <c r="S163" s="215">
        <f t="shared" si="88"/>
        <v>1</v>
      </c>
      <c r="T163" s="216" t="str">
        <f t="shared" si="74"/>
        <v>NorthBound</v>
      </c>
      <c r="U163" s="216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17" t="str">
        <f t="shared" si="75"/>
        <v>https://d0f6bd738d7f1b3e5a7ca70fe4ff75f0.us-east-1.aws.found.io/app/kibana#/discover/Steve-Slow-Train-Analysis-(2080s-and-2083s)?_g=(refreshInterval:(display:Off,pause:!f,section:0,value:0),time:(from:'2017-10-29T05:56:45-0600',mode:absolute,to:'2017-10-29T08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3" s="218" t="str">
        <f>IF(AA163&lt;VLOOKUP(AG163,Variables!$AC$3:$AD$8,2,FALSE),"Y","N")</f>
        <v>N</v>
      </c>
      <c r="X163" s="218">
        <f t="shared" ref="X163:X173" si="91">VALUE(LEFT(AD163,4))-VALUE(LEFT(AD162,4))</f>
        <v>1</v>
      </c>
      <c r="Y163" s="218">
        <f t="shared" si="69"/>
        <v>0.1119</v>
      </c>
      <c r="Z163" s="218">
        <f t="shared" si="70"/>
        <v>5.8930999999999996</v>
      </c>
      <c r="AA163" s="218">
        <f t="shared" si="77"/>
        <v>5.7811999999999992</v>
      </c>
      <c r="AB163" s="219" t="e">
        <f>VLOOKUP(A163,Enforcements!$C$7:$K$11,8,0)</f>
        <v>#N/A</v>
      </c>
      <c r="AC163" s="219" t="e">
        <f>VLOOKUP(A163,Enforcements!$C$7:$E$11,3,0)</f>
        <v>#N/A</v>
      </c>
      <c r="AD163" s="186">
        <f t="shared" si="78"/>
        <v>1803</v>
      </c>
      <c r="AE163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63" s="221" t="str">
        <f t="shared" si="80"/>
        <v>"C:\Program Files (x86)\AstroGrep\AstroGrep.exe" /e /r /s /spath="%USERPROFILE%\AppData\Local\Temp\OnboardLogs" /stypes="app*4050*20171029*" /stext=" 13:.+((SYSTEM_STATE.+slice.+state.+changed )|(ment ac)|(multiple cpu faults)|(system.+state.+changed )|(\[timeout)|(PRM\|1\|D)|(kpr)|(kdp)|(train st.+moving)|(\|lc)|(penalty))"</v>
      </c>
      <c r="AG163" s="185" t="str">
        <f t="shared" si="81"/>
        <v>NW</v>
      </c>
      <c r="AH163" s="222" t="str">
        <f t="shared" si="82"/>
        <v>"%USERPROFILE%\Documents\GitHub\eaglep3\Utilities\RefineRTDCRunTimes.py" --tripid 1803-29 --locoid 4050 --swversion DE.1.0.9.0 --startMP 204:1119 --initTime 2017-10-29T06:56:45 --startdatetime 2017-10-29T07:09:27 --delay 54 --endMP 300:58931 --enddatetime 2017-10-29T07:22:58 --enforcementcount 0 &gt;&gt;%USERPROFILE%\Documents\GitHub\eaglep3-reporting\EC\2017-10-29-refined-times.txt</v>
      </c>
      <c r="AI163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{"issue":{"subject":"","project_id":79,"tracker_id":40,"status_id":1,"priority_id":2,"assigned_to_id":338,"start_date":"2017-10-29","description":"","custom_fields":[{"id":1,"name":"Subdivision","value":"NW"},{"id":4,"name":"Milepost","value":"5.8931"},{"id":17,"name":"Train ID","value":"1803-29"},{"id":16,"name":"Locomotive ID","value":"4050"},{"id":130,"name":"Impact","value":""},{"id":150,"name":"Time of Event (Mountain Time)","value":"07:22:58"},{"id":151,"name":"Denver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182"/>
      <c r="AK163" s="186"/>
      <c r="AL163" s="186"/>
      <c r="AM163" s="187" t="str">
        <f t="shared" si="84"/>
        <v>start /low /b %USERPROFILE%\Documents\GitHub\eaglep3\Utilities\DownloadLogsFromS3.py --loco 4050 --day 2017-10-29</v>
      </c>
      <c r="AN163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13:22:58"},{"id":29,"name":"Sharepoint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82" t="str">
        <f t="shared" si="86"/>
        <v>https://d0f6bd738d7f1b3e5a7ca70fe4ff75f0.us-east-1.aws.found.io/app/kibana#/discover/Steve-Slow-Train-Analysis-(2080s-and-2083s)?_g=(refreshInterval:(display:Off,pause:!f,section:0,value:0),time:(from:'2017-10-29T05:56:45-0600',mode:absolute,to:'2017-10-29T08:22:58-0600'))&amp;_a=(columns:!('Message%20ID',Summary),filters:!(),index:'emp_*',interval:auto,query:(query_string:(analyze_wildcard:!t,query:'%22rtdc.l.rtdc.4050%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32" t="s">
        <v>714</v>
      </c>
      <c r="B164" s="7">
        <v>4049</v>
      </c>
      <c r="C164" s="21" t="s">
        <v>194</v>
      </c>
      <c r="D164" s="21" t="s">
        <v>622</v>
      </c>
      <c r="E164" s="13">
        <v>43037.30841435185</v>
      </c>
      <c r="F164" s="13">
        <v>43037.321655092594</v>
      </c>
      <c r="G164" s="7">
        <v>89</v>
      </c>
      <c r="H164" s="21" t="s">
        <v>954</v>
      </c>
      <c r="I164" s="13">
        <v>43037.330601851849</v>
      </c>
      <c r="J164" s="7">
        <v>0</v>
      </c>
      <c r="K164" s="76" t="str">
        <f t="shared" si="72"/>
        <v>4049/4050</v>
      </c>
      <c r="L164" s="164" t="str">
        <f>VLOOKUP(A164,'Trips&amp;Operators'!$C$1:$G$99911,5,FALSE)</f>
        <v>MACDONALD THOMAS</v>
      </c>
      <c r="M164" s="6">
        <f t="shared" si="73"/>
        <v>8.9467592551955022E-3</v>
      </c>
      <c r="N164" s="7">
        <f t="shared" si="87"/>
        <v>12.883333327481523</v>
      </c>
      <c r="O164" s="7"/>
      <c r="P164" s="7"/>
      <c r="Q164" s="22"/>
      <c r="R164" s="157"/>
      <c r="S164" s="215">
        <f t="shared" si="88"/>
        <v>1</v>
      </c>
      <c r="T164" s="216" t="str">
        <f t="shared" si="74"/>
        <v>Southbound</v>
      </c>
      <c r="U164" s="216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7" t="str">
        <f t="shared" si="75"/>
        <v>https://d0f6bd738d7f1b3e5a7ca70fe4ff75f0.us-east-1.aws.found.io/app/kibana#/discover/Steve-Slow-Train-Analysis-(2080s-and-2083s)?_g=(refreshInterval:(display:Off,pause:!f,section:0,value:0),time:(from:'2017-10-29T06:24:07-0600',mode:absolute,to:'2017-10-29T08:56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4" s="218" t="str">
        <f>IF(AA164&lt;VLOOKUP(AG164,Variables!$AC$3:$AD$8,2,FALSE),"Y","N")</f>
        <v>N</v>
      </c>
      <c r="X164" s="218">
        <f t="shared" si="91"/>
        <v>1</v>
      </c>
      <c r="Y164" s="218">
        <f t="shared" si="69"/>
        <v>5.8615000000000004</v>
      </c>
      <c r="Z164" s="218">
        <f t="shared" si="70"/>
        <v>9.0399999999999994E-2</v>
      </c>
      <c r="AA164" s="218">
        <f t="shared" si="77"/>
        <v>5.7711000000000006</v>
      </c>
      <c r="AB164" s="219" t="e">
        <f>VLOOKUP(A164,Enforcements!$C$7:$K$11,8,0)</f>
        <v>#N/A</v>
      </c>
      <c r="AC164" s="219" t="e">
        <f>VLOOKUP(A164,Enforcements!$C$7:$E$11,3,0)</f>
        <v>#N/A</v>
      </c>
      <c r="AD164" s="186">
        <f t="shared" si="78"/>
        <v>1804</v>
      </c>
      <c r="AE164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64" s="221" t="str">
        <f t="shared" si="80"/>
        <v>"C:\Program Files (x86)\AstroGrep\AstroGrep.exe" /e /r /s /spath="%USERPROFILE%\AppData\Local\Temp\OnboardLogs" /stypes="app*4049*20171029*" /stext=" 13:.+((SYSTEM_STATE.+slice.+state.+changed )|(ment ac)|(multiple cpu faults)|(system.+state.+changed )|(\[timeout)|(PRM\|1\|D)|(kpr)|(kdp)|(train st.+moving)|(\|lc)|(penalty))"</v>
      </c>
      <c r="AG164" s="185" t="str">
        <f t="shared" si="81"/>
        <v>NW</v>
      </c>
      <c r="AH164" s="222" t="str">
        <f t="shared" si="82"/>
        <v>"%USERPROFILE%\Documents\GitHub\eaglep3\Utilities\RefineRTDCRunTimes.py" --tripid 1804-29 --locoid 4049 --swversion DE.1.0.9.0 --startMP 300:58615 --initTime 2017-10-29T07:24:07 --startdatetime 2017-10-29T07:43:11 --delay 89 --endMP 204:904 --enddatetime 2017-10-29T07:56:04 --enforcementcount 0 &gt;&gt;%USERPROFILE%\Documents\GitHub\eaglep3-reporting\EC\2017-10-29-refined-times.txt</v>
      </c>
      <c r="AI164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{"issue":{"subject":"","project_id":79,"tracker_id":40,"status_id":1,"priority_id":2,"assigned_to_id":338,"start_date":"2017-10-29","description":"","custom_fields":[{"id":1,"name":"Subdivision","value":"NW"},{"id":4,"name":"Milepost","value":"0.0904"},{"id":17,"name":"Train ID","value":"1804-29"},{"id":16,"name":"Locomotive ID","value":"4049"},{"id":130,"name":"Impact","value":""},{"id":150,"name":"Time of Event (Mountain Time)","value":"07:56:04"},{"id":151,"name":"Denver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182"/>
      <c r="AK164" s="186"/>
      <c r="AL164" s="186"/>
      <c r="AM164" s="187" t="str">
        <f t="shared" si="84"/>
        <v>start /low /b %USERPROFILE%\Documents\GitHub\eaglep3\Utilities\DownloadLogsFromS3.py --loco 4049 --day 2017-10-29</v>
      </c>
      <c r="AN164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13:56:04"},{"id":29,"name":"Sharepoint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82" t="str">
        <f t="shared" si="86"/>
        <v>https://d0f6bd738d7f1b3e5a7ca70fe4ff75f0.us-east-1.aws.found.io/app/kibana#/discover/Steve-Slow-Train-Analysis-(2080s-and-2083s)?_g=(refreshInterval:(display:Off,pause:!f,section:0,value:0),time:(from:'2017-10-29T06:24:07-0600',mode:absolute,to:'2017-10-29T08:56:04-0600'))&amp;_a=(columns:!('Message%20ID',Summary),filters:!(),index:'emp_*',interval:auto,query:(query_string:(analyze_wildcard:!t,query:'%22rtdc.l.rtdc.4049%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3">
      <c r="A165" s="32" t="s">
        <v>720</v>
      </c>
      <c r="B165" s="7">
        <v>4050</v>
      </c>
      <c r="C165" s="21" t="s">
        <v>194</v>
      </c>
      <c r="D165" s="21" t="s">
        <v>955</v>
      </c>
      <c r="E165" s="13">
        <v>43037.338645833333</v>
      </c>
      <c r="F165" s="13">
        <v>43037.33997685185</v>
      </c>
      <c r="G165" s="7">
        <v>58</v>
      </c>
      <c r="H165" s="21" t="s">
        <v>956</v>
      </c>
      <c r="I165" s="13">
        <v>43037.349652777775</v>
      </c>
      <c r="J165" s="7">
        <v>0</v>
      </c>
      <c r="K165" s="76" t="str">
        <f t="shared" si="72"/>
        <v>4049/4050</v>
      </c>
      <c r="L165" s="164" t="str">
        <f>VLOOKUP(A165,'Trips&amp;Operators'!$C$1:$G$99911,5,FALSE)</f>
        <v>MACDONALD THOMAS</v>
      </c>
      <c r="M165" s="6">
        <f t="shared" si="73"/>
        <v>9.6759259249665774E-3</v>
      </c>
      <c r="N165" s="7">
        <f t="shared" si="87"/>
        <v>13.933333331951872</v>
      </c>
      <c r="O165" s="7"/>
      <c r="P165" s="7"/>
      <c r="Q165" s="22"/>
      <c r="R165" s="157"/>
      <c r="S165" s="215">
        <f t="shared" si="88"/>
        <v>1</v>
      </c>
      <c r="T165" s="216" t="str">
        <f t="shared" si="74"/>
        <v>NorthBound</v>
      </c>
      <c r="U165" s="216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7" t="str">
        <f t="shared" si="75"/>
        <v>https://d0f6bd738d7f1b3e5a7ca70fe4ff75f0.us-east-1.aws.found.io/app/kibana#/discover/Steve-Slow-Train-Analysis-(2080s-and-2083s)?_g=(refreshInterval:(display:Off,pause:!f,section:0,value:0),time:(from:'2017-10-29T07:07:39-0600',mode:absolute,to:'2017-10-29T09:23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5" s="218" t="str">
        <f>IF(AA165&lt;VLOOKUP(AG165,Variables!$AC$3:$AD$8,2,FALSE),"Y","N")</f>
        <v>N</v>
      </c>
      <c r="X165" s="218">
        <f t="shared" si="91"/>
        <v>1</v>
      </c>
      <c r="Y165" s="218">
        <f t="shared" si="69"/>
        <v>0.1193</v>
      </c>
      <c r="Z165" s="218">
        <f t="shared" si="70"/>
        <v>5.8952</v>
      </c>
      <c r="AA165" s="218">
        <f t="shared" si="77"/>
        <v>5.7759</v>
      </c>
      <c r="AB165" s="219" t="e">
        <f>VLOOKUP(A165,Enforcements!$C$7:$K$11,8,0)</f>
        <v>#N/A</v>
      </c>
      <c r="AC165" s="219" t="e">
        <f>VLOOKUP(A165,Enforcements!$C$7:$E$11,3,0)</f>
        <v>#N/A</v>
      </c>
      <c r="AD165" s="186">
        <f t="shared" si="78"/>
        <v>1805</v>
      </c>
      <c r="AE165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65" s="221" t="str">
        <f t="shared" si="80"/>
        <v>"C:\Program Files (x86)\AstroGrep\AstroGrep.exe" /e /r /s /spath="%USERPROFILE%\AppData\Local\Temp\OnboardLogs" /stypes="app*4050*20171029*" /stext=" 14:.+((SYSTEM_STATE.+slice.+state.+changed )|(ment ac)|(multiple cpu faults)|(system.+state.+changed )|(\[timeout)|(PRM\|1\|D)|(kpr)|(kdp)|(train st.+moving)|(\|lc)|(penalty))"</v>
      </c>
      <c r="AG165" s="185" t="str">
        <f t="shared" si="81"/>
        <v>NW</v>
      </c>
      <c r="AH165" s="222" t="str">
        <f t="shared" si="82"/>
        <v>"%USERPROFILE%\Documents\GitHub\eaglep3\Utilities\RefineRTDCRunTimes.py" --tripid 1805-29 --locoid 4050 --swversion DE.1.0.9.0 --startMP 204:1193 --initTime 2017-10-29T08:07:39 --startdatetime 2017-10-29T08:09:34 --delay 58 --endMP 300:58952 --enddatetime 2017-10-29T08:23:30 --enforcementcount 0 &gt;&gt;%USERPROFILE%\Documents\GitHub\eaglep3-reporting\EC\2017-10-29-refined-times.txt</v>
      </c>
      <c r="AI165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{"issue":{"subject":"","project_id":79,"tracker_id":40,"status_id":1,"priority_id":2,"assigned_to_id":338,"start_date":"2017-10-29","description":"","custom_fields":[{"id":1,"name":"Subdivision","value":"NW"},{"id":4,"name":"Milepost","value":"5.8952"},{"id":17,"name":"Train ID","value":"1805-29"},{"id":16,"name":"Locomotive ID","value":"4050"},{"id":130,"name":"Impact","value":""},{"id":150,"name":"Time of Event (Mountain Time)","value":"08:23:30"},{"id":151,"name":"Denver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5" s="182"/>
      <c r="AK165" s="186"/>
      <c r="AL165" s="186"/>
      <c r="AM165" s="187" t="str">
        <f t="shared" si="84"/>
        <v>start /low /b %USERPROFILE%\Documents\GitHub\eaglep3\Utilities\DownloadLogsFromS3.py --loco 4050 --day 2017-10-29</v>
      </c>
      <c r="AN165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14:23:30"},{"id":29,"name":"Sharepoint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82" t="str">
        <f t="shared" si="86"/>
        <v>https://d0f6bd738d7f1b3e5a7ca70fe4ff75f0.us-east-1.aws.found.io/app/kibana#/discover/Steve-Slow-Train-Analysis-(2080s-and-2083s)?_g=(refreshInterval:(display:Off,pause:!f,section:0,value:0),time:(from:'2017-10-29T07:07:39-0600',mode:absolute,to:'2017-10-29T09:23:30-0600'))&amp;_a=(columns:!('Message%20ID',Summary),filters:!(),index:'emp_*',interval:auto,query:(query_string:(analyze_wildcard:!t,query:'%22rtdc.l.rtdc.4050%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3">
      <c r="A166" s="32" t="s">
        <v>724</v>
      </c>
      <c r="B166" s="7">
        <v>4049</v>
      </c>
      <c r="C166" s="21" t="s">
        <v>194</v>
      </c>
      <c r="D166" s="21" t="s">
        <v>957</v>
      </c>
      <c r="E166" s="13">
        <v>43037.350335648145</v>
      </c>
      <c r="F166" s="13">
        <v>43037.363333333335</v>
      </c>
      <c r="G166" s="7">
        <v>121</v>
      </c>
      <c r="H166" s="21" t="s">
        <v>958</v>
      </c>
      <c r="I166" s="13">
        <v>43037.371574074074</v>
      </c>
      <c r="J166" s="7">
        <v>0</v>
      </c>
      <c r="K166" s="76" t="str">
        <f t="shared" si="72"/>
        <v>4049/4050</v>
      </c>
      <c r="L166" s="164" t="str">
        <f>VLOOKUP(A166,'Trips&amp;Operators'!$C$1:$G$99911,5,FALSE)</f>
        <v>MACDONALD THOMAS</v>
      </c>
      <c r="M166" s="6">
        <f t="shared" si="73"/>
        <v>8.2407407389837317E-3</v>
      </c>
      <c r="N166" s="7">
        <f t="shared" si="87"/>
        <v>11.866666664136574</v>
      </c>
      <c r="O166" s="7"/>
      <c r="P166" s="7"/>
      <c r="Q166" s="22"/>
      <c r="R166" s="157"/>
      <c r="S166" s="215">
        <f t="shared" si="88"/>
        <v>1</v>
      </c>
      <c r="T166" s="216" t="str">
        <f t="shared" si="74"/>
        <v>Southbound</v>
      </c>
      <c r="U166" s="216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7" t="str">
        <f t="shared" si="75"/>
        <v>https://d0f6bd738d7f1b3e5a7ca70fe4ff75f0.us-east-1.aws.found.io/app/kibana#/discover/Steve-Slow-Train-Analysis-(2080s-and-2083s)?_g=(refreshInterval:(display:Off,pause:!f,section:0,value:0),time:(from:'2017-10-29T07:24:29-0600',mode:absolute,to:'2017-10-29T09:55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6" s="218" t="str">
        <f>IF(AA166&lt;VLOOKUP(AG166,Variables!$AC$3:$AD$8,2,FALSE),"Y","N")</f>
        <v>N</v>
      </c>
      <c r="X166" s="218">
        <f t="shared" si="91"/>
        <v>1</v>
      </c>
      <c r="Y166" s="218">
        <f t="shared" si="69"/>
        <v>5.8628</v>
      </c>
      <c r="Z166" s="218">
        <f t="shared" si="70"/>
        <v>8.9399999999999993E-2</v>
      </c>
      <c r="AA166" s="218">
        <f t="shared" si="77"/>
        <v>5.7733999999999996</v>
      </c>
      <c r="AB166" s="219" t="e">
        <f>VLOOKUP(A166,Enforcements!$C$7:$K$11,8,0)</f>
        <v>#N/A</v>
      </c>
      <c r="AC166" s="219" t="e">
        <f>VLOOKUP(A166,Enforcements!$C$7:$E$11,3,0)</f>
        <v>#N/A</v>
      </c>
      <c r="AD166" s="186">
        <f t="shared" si="78"/>
        <v>1806</v>
      </c>
      <c r="AE166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66" s="221" t="str">
        <f t="shared" si="80"/>
        <v>"C:\Program Files (x86)\AstroGrep\AstroGrep.exe" /e /r /s /spath="%USERPROFILE%\AppData\Local\Temp\OnboardLogs" /stypes="app*4049*20171029*" /stext=" 14:.+((SYSTEM_STATE.+slice.+state.+changed )|(ment ac)|(multiple cpu faults)|(system.+state.+changed )|(\[timeout)|(PRM\|1\|D)|(kpr)|(kdp)|(train st.+moving)|(\|lc)|(penalty))"</v>
      </c>
      <c r="AG166" s="185" t="str">
        <f t="shared" si="81"/>
        <v>NW</v>
      </c>
      <c r="AH166" s="222" t="str">
        <f t="shared" si="82"/>
        <v>"%USERPROFILE%\Documents\GitHub\eaglep3\Utilities\RefineRTDCRunTimes.py" --tripid 1806-29 --locoid 4049 --swversion DE.1.0.9.0 --startMP 300:58628 --initTime 2017-10-29T08:24:29 --startdatetime 2017-10-29T08:43:12 --delay 121 --endMP 204:894 --enddatetime 2017-10-29T08:55:04 --enforcementcount 0 &gt;&gt;%USERPROFILE%\Documents\GitHub\eaglep3-reporting\EC\2017-10-29-refined-times.txt</v>
      </c>
      <c r="AI166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{"issue":{"subject":"","project_id":79,"tracker_id":40,"status_id":1,"priority_id":2,"assigned_to_id":338,"start_date":"2017-10-29","description":"","custom_fields":[{"id":1,"name":"Subdivision","value":"NW"},{"id":4,"name":"Milepost","value":"0.0894"},{"id":17,"name":"Train ID","value":"1806-29"},{"id":16,"name":"Locomotive ID","value":"4049"},{"id":130,"name":"Impact","value":""},{"id":150,"name":"Time of Event (Mountain Time)","value":"08:55:04"},{"id":151,"name":"Denver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6" s="182"/>
      <c r="AK166" s="186"/>
      <c r="AL166" s="186"/>
      <c r="AM166" s="187" t="str">
        <f t="shared" si="84"/>
        <v>start /low /b %USERPROFILE%\Documents\GitHub\eaglep3\Utilities\DownloadLogsFromS3.py --loco 4049 --day 2017-10-29</v>
      </c>
      <c r="AN166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14:55:04"},{"id":29,"name":"Sharepoint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82" t="str">
        <f t="shared" si="86"/>
        <v>https://d0f6bd738d7f1b3e5a7ca70fe4ff75f0.us-east-1.aws.found.io/app/kibana#/discover/Steve-Slow-Train-Analysis-(2080s-and-2083s)?_g=(refreshInterval:(display:Off,pause:!f,section:0,value:0),time:(from:'2017-10-29T07:24:29-0600',mode:absolute,to:'2017-10-29T09:55:04-0600'))&amp;_a=(columns:!('Message%20ID',Summary),filters:!(),index:'emp_*',interval:auto,query:(query_string:(analyze_wildcard:!t,query:'%22rtdc.l.rtdc.4049%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32" t="s">
        <v>731</v>
      </c>
      <c r="B167" s="7">
        <v>4050</v>
      </c>
      <c r="C167" s="21" t="s">
        <v>194</v>
      </c>
      <c r="D167" s="21" t="s">
        <v>959</v>
      </c>
      <c r="E167" s="13">
        <v>43037.379861111112</v>
      </c>
      <c r="F167" s="13">
        <v>43037.381481481483</v>
      </c>
      <c r="G167" s="7">
        <v>78</v>
      </c>
      <c r="H167" s="21" t="s">
        <v>960</v>
      </c>
      <c r="I167" s="13">
        <v>43037.390428240738</v>
      </c>
      <c r="J167" s="7">
        <v>0</v>
      </c>
      <c r="K167" s="76" t="str">
        <f t="shared" si="72"/>
        <v>4049/4050</v>
      </c>
      <c r="L167" s="164" t="str">
        <f>VLOOKUP(A167,'Trips&amp;Operators'!$C$1:$G$99911,5,FALSE)</f>
        <v>MACDONALD THOMAS</v>
      </c>
      <c r="M167" s="6">
        <f t="shared" si="73"/>
        <v>8.9467592551955022E-3</v>
      </c>
      <c r="N167" s="7">
        <f t="shared" si="87"/>
        <v>12.883333327481523</v>
      </c>
      <c r="O167" s="7"/>
      <c r="P167" s="7"/>
      <c r="Q167" s="22"/>
      <c r="R167" s="157"/>
      <c r="S167" s="215">
        <f t="shared" si="88"/>
        <v>1</v>
      </c>
      <c r="T167" s="216" t="str">
        <f t="shared" si="74"/>
        <v>NorthBound</v>
      </c>
      <c r="U167" s="216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7" t="str">
        <f t="shared" si="75"/>
        <v>https://d0f6bd738d7f1b3e5a7ca70fe4ff75f0.us-east-1.aws.found.io/app/kibana#/discover/Steve-Slow-Train-Analysis-(2080s-and-2083s)?_g=(refreshInterval:(display:Off,pause:!f,section:0,value:0),time:(from:'2017-10-29T08:07:00-0600',mode:absolute,to:'2017-10-29T10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7" s="218" t="str">
        <f>IF(AA167&lt;VLOOKUP(AG167,Variables!$AC$3:$AD$8,2,FALSE),"Y","N")</f>
        <v>N</v>
      </c>
      <c r="X167" s="218">
        <f t="shared" si="91"/>
        <v>1</v>
      </c>
      <c r="Y167" s="218">
        <f t="shared" si="69"/>
        <v>0.11840000000000001</v>
      </c>
      <c r="Z167" s="218">
        <f t="shared" si="70"/>
        <v>5.8944000000000001</v>
      </c>
      <c r="AA167" s="218">
        <f t="shared" si="77"/>
        <v>5.7759999999999998</v>
      </c>
      <c r="AB167" s="219" t="e">
        <f>VLOOKUP(A167,Enforcements!$C$7:$K$11,8,0)</f>
        <v>#N/A</v>
      </c>
      <c r="AC167" s="219" t="e">
        <f>VLOOKUP(A167,Enforcements!$C$7:$E$11,3,0)</f>
        <v>#N/A</v>
      </c>
      <c r="AD167" s="186">
        <f t="shared" si="78"/>
        <v>1807</v>
      </c>
      <c r="AE167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67" s="221" t="str">
        <f t="shared" si="80"/>
        <v>"C:\Program Files (x86)\AstroGrep\AstroGrep.exe" /e /r /s /spath="%USERPROFILE%\AppData\Local\Temp\OnboardLogs" /stypes="app*4050*20171029*" /stext=" 15:.+((SYSTEM_STATE.+slice.+state.+changed )|(ment ac)|(multiple cpu faults)|(system.+state.+changed )|(\[timeout)|(PRM\|1\|D)|(kpr)|(kdp)|(train st.+moving)|(\|lc)|(penalty))"</v>
      </c>
      <c r="AG167" s="185" t="str">
        <f t="shared" si="81"/>
        <v>NW</v>
      </c>
      <c r="AH167" s="222" t="str">
        <f t="shared" si="82"/>
        <v>"%USERPROFILE%\Documents\GitHub\eaglep3\Utilities\RefineRTDCRunTimes.py" --tripid 1807-29 --locoid 4050 --swversion DE.1.0.9.0 --startMP 204:1184 --initTime 2017-10-29T09:07:00 --startdatetime 2017-10-29T09:09:20 --delay 78 --endMP 300:58944 --enddatetime 2017-10-29T09:22:13 --enforcementcount 0 &gt;&gt;%USERPROFILE%\Documents\GitHub\eaglep3-reporting\EC\2017-10-29-refined-times.txt</v>
      </c>
      <c r="AI167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{"issue":{"subject":"","project_id":79,"tracker_id":40,"status_id":1,"priority_id":2,"assigned_to_id":338,"start_date":"2017-10-29","description":"","custom_fields":[{"id":1,"name":"Subdivision","value":"NW"},{"id":4,"name":"Milepost","value":"5.8944"},{"id":17,"name":"Train ID","value":"1807-29"},{"id":16,"name":"Locomotive ID","value":"4050"},{"id":130,"name":"Impact","value":""},{"id":150,"name":"Time of Event (Mountain Time)","value":"09:22:13"},{"id":151,"name":"Denver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182"/>
      <c r="AK167" s="186"/>
      <c r="AL167" s="186"/>
      <c r="AM167" s="187" t="str">
        <f t="shared" si="84"/>
        <v>start /low /b %USERPROFILE%\Documents\GitHub\eaglep3\Utilities\DownloadLogsFromS3.py --loco 4050 --day 2017-10-29</v>
      </c>
      <c r="AN167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15:22:13"},{"id":29,"name":"Sharepoint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82" t="str">
        <f t="shared" si="86"/>
        <v>https://d0f6bd738d7f1b3e5a7ca70fe4ff75f0.us-east-1.aws.found.io/app/kibana#/discover/Steve-Slow-Train-Analysis-(2080s-and-2083s)?_g=(refreshInterval:(display:Off,pause:!f,section:0,value:0),time:(from:'2017-10-29T08:07:00-0600',mode:absolute,to:'2017-10-29T10:22:13-0600'))&amp;_a=(columns:!('Message%20ID',Summary),filters:!(),index:'emp_*',interval:auto,query:(query_string:(analyze_wildcard:!t,query:'%22rtdc.l.rtdc.4050%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32" t="s">
        <v>734</v>
      </c>
      <c r="B168" s="7">
        <v>4049</v>
      </c>
      <c r="C168" s="21" t="s">
        <v>194</v>
      </c>
      <c r="D168" s="21" t="s">
        <v>627</v>
      </c>
      <c r="E168" s="13">
        <v>43037.391157407408</v>
      </c>
      <c r="F168" s="13">
        <v>43037.405046296299</v>
      </c>
      <c r="G168" s="7">
        <v>44</v>
      </c>
      <c r="H168" s="21" t="s">
        <v>961</v>
      </c>
      <c r="I168" s="13">
        <v>43037.413449074076</v>
      </c>
      <c r="J168" s="7">
        <v>0</v>
      </c>
      <c r="K168" s="76" t="str">
        <f t="shared" si="72"/>
        <v>4049/4050</v>
      </c>
      <c r="L168" s="164" t="str">
        <f>VLOOKUP(A168,'Trips&amp;Operators'!$C$1:$G$99911,5,FALSE)</f>
        <v>MACDONALD THOMAS</v>
      </c>
      <c r="M168" s="6">
        <f t="shared" si="73"/>
        <v>8.4027777775190771E-3</v>
      </c>
      <c r="N168" s="7">
        <f t="shared" si="87"/>
        <v>12.099999999627471</v>
      </c>
      <c r="O168" s="7"/>
      <c r="P168" s="7"/>
      <c r="Q168" s="22"/>
      <c r="R168" s="157"/>
      <c r="S168" s="215">
        <f t="shared" si="88"/>
        <v>1</v>
      </c>
      <c r="T168" s="216" t="str">
        <f t="shared" si="74"/>
        <v>Southbound</v>
      </c>
      <c r="U168" s="216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7" t="str">
        <f t="shared" si="75"/>
        <v>https://d0f6bd738d7f1b3e5a7ca70fe4ff75f0.us-east-1.aws.found.io/app/kibana#/discover/Steve-Slow-Train-Analysis-(2080s-and-2083s)?_g=(refreshInterval:(display:Off,pause:!f,section:0,value:0),time:(from:'2017-10-29T08:23:16-0600',mode:absolute,to:'2017-10-29T10:55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8" s="218" t="str">
        <f>IF(AA168&lt;VLOOKUP(AG168,Variables!$AC$3:$AD$8,2,FALSE),"Y","N")</f>
        <v>N</v>
      </c>
      <c r="X168" s="218">
        <f t="shared" si="91"/>
        <v>1</v>
      </c>
      <c r="Y168" s="218">
        <f t="shared" si="69"/>
        <v>5.8625999999999996</v>
      </c>
      <c r="Z168" s="218">
        <f t="shared" si="70"/>
        <v>8.7599999999999997E-2</v>
      </c>
      <c r="AA168" s="218">
        <f t="shared" si="77"/>
        <v>5.7749999999999995</v>
      </c>
      <c r="AB168" s="219" t="e">
        <f>VLOOKUP(A168,Enforcements!$C$7:$K$11,8,0)</f>
        <v>#N/A</v>
      </c>
      <c r="AC168" s="219" t="e">
        <f>VLOOKUP(A168,Enforcements!$C$7:$E$11,3,0)</f>
        <v>#N/A</v>
      </c>
      <c r="AD168" s="186">
        <f t="shared" si="78"/>
        <v>1808</v>
      </c>
      <c r="AE168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68" s="221" t="str">
        <f t="shared" si="80"/>
        <v>"C:\Program Files (x86)\AstroGrep\AstroGrep.exe" /e /r /s /spath="%USERPROFILE%\AppData\Local\Temp\OnboardLogs" /stypes="app*4049*20171029*" /stext=" 15:.+((SYSTEM_STATE.+slice.+state.+changed )|(ment ac)|(multiple cpu faults)|(system.+state.+changed )|(\[timeout)|(PRM\|1\|D)|(kpr)|(kdp)|(train st.+moving)|(\|lc)|(penalty))"</v>
      </c>
      <c r="AG168" s="185" t="str">
        <f t="shared" si="81"/>
        <v>NW</v>
      </c>
      <c r="AH168" s="222" t="str">
        <f t="shared" si="82"/>
        <v>"%USERPROFILE%\Documents\GitHub\eaglep3\Utilities\RefineRTDCRunTimes.py" --tripid 1808-29 --locoid 4049 --swversion DE.1.0.9.0 --startMP 300:58626 --initTime 2017-10-29T09:23:16 --startdatetime 2017-10-29T09:43:16 --delay 44 --endMP 204:876 --enddatetime 2017-10-29T09:55:22 --enforcementcount 0 &gt;&gt;%USERPROFILE%\Documents\GitHub\eaglep3-reporting\EC\2017-10-29-refined-times.txt</v>
      </c>
      <c r="AI168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{"issue":{"subject":"","project_id":79,"tracker_id":40,"status_id":1,"priority_id":2,"assigned_to_id":338,"start_date":"2017-10-29","description":"","custom_fields":[{"id":1,"name":"Subdivision","value":"NW"},{"id":4,"name":"Milepost","value":"0.0876"},{"id":17,"name":"Train ID","value":"1808-29"},{"id":16,"name":"Locomotive ID","value":"4049"},{"id":130,"name":"Impact","value":""},{"id":150,"name":"Time of Event (Mountain Time)","value":"09:55:22"},{"id":151,"name":"Denver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182"/>
      <c r="AK168" s="186"/>
      <c r="AL168" s="186"/>
      <c r="AM168" s="187" t="str">
        <f t="shared" si="84"/>
        <v>start /low /b %USERPROFILE%\Documents\GitHub\eaglep3\Utilities\DownloadLogsFromS3.py --loco 4049 --day 2017-10-29</v>
      </c>
      <c r="AN168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15:55:22"},{"id":29,"name":"Sharepoint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82" t="str">
        <f t="shared" si="86"/>
        <v>https://d0f6bd738d7f1b3e5a7ca70fe4ff75f0.us-east-1.aws.found.io/app/kibana#/discover/Steve-Slow-Train-Analysis-(2080s-and-2083s)?_g=(refreshInterval:(display:Off,pause:!f,section:0,value:0),time:(from:'2017-10-29T08:23:16-0600',mode:absolute,to:'2017-10-29T10:55:22-0600'))&amp;_a=(columns:!('Message%20ID',Summary),filters:!(),index:'emp_*',interval:auto,query:(query_string:(analyze_wildcard:!t,query:'%22rtdc.l.rtdc.4049%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32" t="s">
        <v>738</v>
      </c>
      <c r="B169" s="7">
        <v>4050</v>
      </c>
      <c r="C169" s="21" t="s">
        <v>194</v>
      </c>
      <c r="D169" s="21" t="s">
        <v>962</v>
      </c>
      <c r="E169" s="13">
        <v>43037.421168981484</v>
      </c>
      <c r="F169" s="13">
        <v>43037.423368055555</v>
      </c>
      <c r="G169" s="7">
        <v>63</v>
      </c>
      <c r="H169" s="21" t="s">
        <v>628</v>
      </c>
      <c r="I169" s="13">
        <v>43037.438055555554</v>
      </c>
      <c r="J169" s="7">
        <v>0</v>
      </c>
      <c r="K169" s="76" t="str">
        <f t="shared" si="72"/>
        <v>4049/4050</v>
      </c>
      <c r="L169" s="164" t="str">
        <f>VLOOKUP(A169,'Trips&amp;Operators'!$C$1:$G$99911,5,FALSE)</f>
        <v>MACDONALD THOMAS</v>
      </c>
      <c r="M169" s="6">
        <f t="shared" si="73"/>
        <v>1.4687499999126885E-2</v>
      </c>
      <c r="N169" s="7">
        <f t="shared" si="87"/>
        <v>21.149999998742715</v>
      </c>
      <c r="O169" s="7"/>
      <c r="P169" s="7"/>
      <c r="Q169" s="22"/>
      <c r="R169" s="157"/>
      <c r="S169" s="215">
        <f t="shared" si="88"/>
        <v>1</v>
      </c>
      <c r="T169" s="216" t="str">
        <f t="shared" si="74"/>
        <v>NorthBound</v>
      </c>
      <c r="U169" s="216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7" t="str">
        <f t="shared" si="75"/>
        <v>https://d0f6bd738d7f1b3e5a7ca70fe4ff75f0.us-east-1.aws.found.io/app/kibana#/discover/Steve-Slow-Train-Analysis-(2080s-and-2083s)?_g=(refreshInterval:(display:Off,pause:!f,section:0,value:0),time:(from:'2017-10-29T09:06:29-0600',mode:absolute,to:'2017-10-29T11:30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9" s="218" t="str">
        <f>IF(AA169&lt;VLOOKUP(AG169,Variables!$AC$3:$AD$8,2,FALSE),"Y","N")</f>
        <v>N</v>
      </c>
      <c r="X169" s="218">
        <f t="shared" si="91"/>
        <v>1</v>
      </c>
      <c r="Y169" s="218">
        <f t="shared" si="69"/>
        <v>0.1179</v>
      </c>
      <c r="Z169" s="218">
        <f t="shared" si="70"/>
        <v>5.8933</v>
      </c>
      <c r="AA169" s="218">
        <f t="shared" si="77"/>
        <v>5.7754000000000003</v>
      </c>
      <c r="AB169" s="219" t="e">
        <f>VLOOKUP(A169,Enforcements!$C$7:$K$11,8,0)</f>
        <v>#N/A</v>
      </c>
      <c r="AC169" s="219" t="e">
        <f>VLOOKUP(A169,Enforcements!$C$7:$E$11,3,0)</f>
        <v>#N/A</v>
      </c>
      <c r="AD169" s="186">
        <f t="shared" si="78"/>
        <v>1809</v>
      </c>
      <c r="AE169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69" s="221" t="str">
        <f t="shared" si="80"/>
        <v>"C:\Program Files (x86)\AstroGrep\AstroGrep.exe" /e /r /s /spath="%USERPROFILE%\AppData\Local\Temp\OnboardLogs" /stypes="app*4050*20171029*" /stext=" 16:.+((SYSTEM_STATE.+slice.+state.+changed )|(ment ac)|(multiple cpu faults)|(system.+state.+changed )|(\[timeout)|(PRM\|1\|D)|(kpr)|(kdp)|(train st.+moving)|(\|lc)|(penalty))"</v>
      </c>
      <c r="AG169" s="185" t="str">
        <f t="shared" si="81"/>
        <v>NW</v>
      </c>
      <c r="AH169" s="222" t="str">
        <f t="shared" si="82"/>
        <v>"%USERPROFILE%\Documents\GitHub\eaglep3\Utilities\RefineRTDCRunTimes.py" --tripid 1809-29 --locoid 4050 --swversion DE.1.0.9.0 --startMP 204:1179 --initTime 2017-10-29T10:06:29 --startdatetime 2017-10-29T10:09:39 --delay 63 --endMP 300:58933 --enddatetime 2017-10-29T10:30:48 --enforcementcount 0 &gt;&gt;%USERPROFILE%\Documents\GitHub\eaglep3-reporting\EC\2017-10-29-refined-times.txt</v>
      </c>
      <c r="AI169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{"issue":{"subject":"","project_id":79,"tracker_id":40,"status_id":1,"priority_id":2,"assigned_to_id":338,"start_date":"2017-10-29","description":"","custom_fields":[{"id":1,"name":"Subdivision","value":"NW"},{"id":4,"name":"Milepost","value":"5.8933"},{"id":17,"name":"Train ID","value":"1809-29"},{"id":16,"name":"Locomotive ID","value":"4050"},{"id":130,"name":"Impact","value":""},{"id":150,"name":"Time of Event (Mountain Time)","value":"10:30:48"},{"id":151,"name":"Denver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182"/>
      <c r="AK169" s="186"/>
      <c r="AL169" s="186"/>
      <c r="AM169" s="187" t="str">
        <f t="shared" si="84"/>
        <v>start /low /b %USERPROFILE%\Documents\GitHub\eaglep3\Utilities\DownloadLogsFromS3.py --loco 4050 --day 2017-10-29</v>
      </c>
      <c r="AN169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16:30:48"},{"id":29,"name":"Sharepoint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82" t="str">
        <f t="shared" si="86"/>
        <v>https://d0f6bd738d7f1b3e5a7ca70fe4ff75f0.us-east-1.aws.found.io/app/kibana#/discover/Steve-Slow-Train-Analysis-(2080s-and-2083s)?_g=(refreshInterval:(display:Off,pause:!f,section:0,value:0),time:(from:'2017-10-29T09:06:29-0600',mode:absolute,to:'2017-10-29T11:30:48-0600'))&amp;_a=(columns:!('Message%20ID',Summary),filters:!(),index:'emp_*',interval:auto,query:(query_string:(analyze_wildcard:!t,query:'%22rtdc.l.rtdc.4050%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32" t="s">
        <v>743</v>
      </c>
      <c r="B170" s="7">
        <v>4049</v>
      </c>
      <c r="C170" s="21" t="s">
        <v>194</v>
      </c>
      <c r="D170" s="21" t="s">
        <v>626</v>
      </c>
      <c r="E170" s="13">
        <v>43037.438738425924</v>
      </c>
      <c r="F170" s="13">
        <v>43037.446932870371</v>
      </c>
      <c r="G170" s="7">
        <v>55</v>
      </c>
      <c r="H170" s="21" t="s">
        <v>963</v>
      </c>
      <c r="I170" s="13">
        <v>43037.455208333333</v>
      </c>
      <c r="J170" s="7">
        <v>0</v>
      </c>
      <c r="K170" s="76" t="str">
        <f t="shared" si="72"/>
        <v>4049/4050</v>
      </c>
      <c r="L170" s="164" t="str">
        <f>VLOOKUP(A170,'Trips&amp;Operators'!$C$1:$G$99911,5,FALSE)</f>
        <v>MACDONALD THOMAS</v>
      </c>
      <c r="M170" s="6">
        <f t="shared" si="73"/>
        <v>8.2754629620467313E-3</v>
      </c>
      <c r="N170" s="7">
        <f t="shared" si="87"/>
        <v>11.916666665347293</v>
      </c>
      <c r="O170" s="7"/>
      <c r="P170" s="7"/>
      <c r="Q170" s="22"/>
      <c r="R170" s="157"/>
      <c r="S170" s="215">
        <f t="shared" si="88"/>
        <v>1</v>
      </c>
      <c r="T170" s="216" t="str">
        <f t="shared" si="74"/>
        <v>Southbound</v>
      </c>
      <c r="U170" s="216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7" t="str">
        <f t="shared" si="75"/>
        <v>https://d0f6bd738d7f1b3e5a7ca70fe4ff75f0.us-east-1.aws.found.io/app/kibana#/discover/Steve-Slow-Train-Analysis-(2080s-and-2083s)?_g=(refreshInterval:(display:Off,pause:!f,section:0,value:0),time:(from:'2017-10-29T09:31:47-0600',mode:absolute,to:'2017-10-29T11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0" s="218" t="str">
        <f>IF(AA170&lt;VLOOKUP(AG170,Variables!$AC$3:$AD$8,2,FALSE),"Y","N")</f>
        <v>N</v>
      </c>
      <c r="X170" s="218">
        <f t="shared" si="91"/>
        <v>1</v>
      </c>
      <c r="Y170" s="218">
        <f t="shared" si="69"/>
        <v>5.8619000000000003</v>
      </c>
      <c r="Z170" s="218">
        <f t="shared" si="70"/>
        <v>8.48E-2</v>
      </c>
      <c r="AA170" s="218">
        <f t="shared" si="77"/>
        <v>5.7770999999999999</v>
      </c>
      <c r="AB170" s="219" t="e">
        <f>VLOOKUP(A170,Enforcements!$C$7:$K$11,8,0)</f>
        <v>#N/A</v>
      </c>
      <c r="AC170" s="219" t="e">
        <f>VLOOKUP(A170,Enforcements!$C$7:$E$11,3,0)</f>
        <v>#N/A</v>
      </c>
      <c r="AD170" s="186">
        <f t="shared" si="78"/>
        <v>1810</v>
      </c>
      <c r="AE170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70" s="221" t="str">
        <f t="shared" si="80"/>
        <v>"C:\Program Files (x86)\AstroGrep\AstroGrep.exe" /e /r /s /spath="%USERPROFILE%\AppData\Local\Temp\OnboardLogs" /stypes="app*4049*20171029*" /stext=" 16:.+((SYSTEM_STATE.+slice.+state.+changed )|(ment ac)|(multiple cpu faults)|(system.+state.+changed )|(\[timeout)|(PRM\|1\|D)|(kpr)|(kdp)|(train st.+moving)|(\|lc)|(penalty))"</v>
      </c>
      <c r="AG170" s="185" t="str">
        <f t="shared" si="81"/>
        <v>NW</v>
      </c>
      <c r="AH170" s="222" t="str">
        <f t="shared" si="82"/>
        <v>"%USERPROFILE%\Documents\GitHub\eaglep3\Utilities\RefineRTDCRunTimes.py" --tripid 1810-29 --locoid 4049 --swversion DE.1.0.9.0 --startMP 300:58619 --initTime 2017-10-29T10:31:47 --startdatetime 2017-10-29T10:43:35 --delay 55 --endMP 204:848 --enddatetime 2017-10-29T10:55:30 --enforcementcount 0 &gt;&gt;%USERPROFILE%\Documents\GitHub\eaglep3-reporting\EC\2017-10-29-refined-times.txt</v>
      </c>
      <c r="AI170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{"issue":{"subject":"","project_id":79,"tracker_id":40,"status_id":1,"priority_id":2,"assigned_to_id":338,"start_date":"2017-10-29","description":"","custom_fields":[{"id":1,"name":"Subdivision","value":"NW"},{"id":4,"name":"Milepost","value":"0.0848"},{"id":17,"name":"Train ID","value":"1810-29"},{"id":16,"name":"Locomotive ID","value":"4049"},{"id":130,"name":"Impact","value":""},{"id":150,"name":"Time of Event (Mountain Time)","value":"10:55:30"},{"id":151,"name":"Denver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182"/>
      <c r="AK170" s="186"/>
      <c r="AL170" s="186"/>
      <c r="AM170" s="187" t="str">
        <f t="shared" si="84"/>
        <v>start /low /b %USERPROFILE%\Documents\GitHub\eaglep3\Utilities\DownloadLogsFromS3.py --loco 4049 --day 2017-10-29</v>
      </c>
      <c r="AN170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16:55:30"},{"id":29,"name":"Sharepoint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82" t="str">
        <f t="shared" si="86"/>
        <v>https://d0f6bd738d7f1b3e5a7ca70fe4ff75f0.us-east-1.aws.found.io/app/kibana#/discover/Steve-Slow-Train-Analysis-(2080s-and-2083s)?_g=(refreshInterval:(display:Off,pause:!f,section:0,value:0),time:(from:'2017-10-29T09:31:47-0600',mode:absolute,to:'2017-10-29T11:55:30-0600'))&amp;_a=(columns:!('Message%20ID',Summary),filters:!(),index:'emp_*',interval:auto,query:(query_string:(analyze_wildcard:!t,query:'%22rtdc.l.rtdc.4049%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32" t="s">
        <v>747</v>
      </c>
      <c r="B171" s="7">
        <v>4050</v>
      </c>
      <c r="C171" s="21" t="s">
        <v>194</v>
      </c>
      <c r="D171" s="21" t="s">
        <v>964</v>
      </c>
      <c r="E171" s="13">
        <v>43037.457499999997</v>
      </c>
      <c r="F171" s="13">
        <v>43037.464780092596</v>
      </c>
      <c r="G171" s="7">
        <v>69</v>
      </c>
      <c r="H171" s="21" t="s">
        <v>949</v>
      </c>
      <c r="I171" s="13">
        <v>43037.474594907406</v>
      </c>
      <c r="J171" s="7">
        <v>0</v>
      </c>
      <c r="K171" s="76" t="str">
        <f t="shared" si="72"/>
        <v>4049/4050</v>
      </c>
      <c r="L171" s="164" t="str">
        <f>VLOOKUP(A171,'Trips&amp;Operators'!$C$1:$G$99911,5,FALSE)</f>
        <v>DAVIDSON DAVID</v>
      </c>
      <c r="M171" s="6">
        <f t="shared" si="73"/>
        <v>9.814814809942618E-3</v>
      </c>
      <c r="N171" s="7">
        <f t="shared" si="87"/>
        <v>14.13333332631737</v>
      </c>
      <c r="O171" s="7"/>
      <c r="P171" s="7"/>
      <c r="Q171" s="22"/>
      <c r="R171" s="157"/>
      <c r="S171" s="215">
        <f t="shared" si="88"/>
        <v>1</v>
      </c>
      <c r="T171" s="216" t="str">
        <f t="shared" si="74"/>
        <v>NorthBound</v>
      </c>
      <c r="U171" s="216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7" t="str">
        <f t="shared" si="75"/>
        <v>https://d0f6bd738d7f1b3e5a7ca70fe4ff75f0.us-east-1.aws.found.io/app/kibana#/discover/Steve-Slow-Train-Analysis-(2080s-and-2083s)?_g=(refreshInterval:(display:Off,pause:!f,section:0,value:0),time:(from:'2017-10-29T09:58:48-0600',mode:absolute,to:'2017-10-29T12:23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1" s="218" t="str">
        <f>IF(AA171&lt;VLOOKUP(AG171,Variables!$AC$3:$AD$8,2,FALSE),"Y","N")</f>
        <v>N</v>
      </c>
      <c r="X171" s="218">
        <f t="shared" si="91"/>
        <v>1</v>
      </c>
      <c r="Y171" s="218">
        <f t="shared" si="69"/>
        <v>0.11509999999999999</v>
      </c>
      <c r="Z171" s="218">
        <f t="shared" si="70"/>
        <v>5.8940999999999999</v>
      </c>
      <c r="AA171" s="218">
        <f t="shared" si="77"/>
        <v>5.7789999999999999</v>
      </c>
      <c r="AB171" s="219" t="e">
        <f>VLOOKUP(A171,Enforcements!$C$7:$K$11,8,0)</f>
        <v>#N/A</v>
      </c>
      <c r="AC171" s="219" t="e">
        <f>VLOOKUP(A171,Enforcements!$C$7:$E$11,3,0)</f>
        <v>#N/A</v>
      </c>
      <c r="AD171" s="186">
        <f t="shared" si="78"/>
        <v>1811</v>
      </c>
      <c r="AE171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71" s="221" t="str">
        <f t="shared" si="80"/>
        <v>"C:\Program Files (x86)\AstroGrep\AstroGrep.exe" /e /r /s /spath="%USERPROFILE%\AppData\Local\Temp\OnboardLogs" /stypes="app*4050*20171029*" /stext=" 17:.+((SYSTEM_STATE.+slice.+state.+changed )|(ment ac)|(multiple cpu faults)|(system.+state.+changed )|(\[timeout)|(PRM\|1\|D)|(kpr)|(kdp)|(train st.+moving)|(\|lc)|(penalty))"</v>
      </c>
      <c r="AG171" s="185" t="str">
        <f t="shared" si="81"/>
        <v>NW</v>
      </c>
      <c r="AH171" s="222" t="str">
        <f t="shared" si="82"/>
        <v>"%USERPROFILE%\Documents\GitHub\eaglep3\Utilities\RefineRTDCRunTimes.py" --tripid 1811-29 --locoid 4050 --swversion DE.1.0.9.0 --startMP 204:1151 --initTime 2017-10-29T10:58:48 --startdatetime 2017-10-29T11:09:17 --delay 69 --endMP 300:58941 --enddatetime 2017-10-29T11:23:25 --enforcementcount 0 &gt;&gt;%USERPROFILE%\Documents\GitHub\eaglep3-reporting\EC\2017-10-29-refined-times.txt</v>
      </c>
      <c r="AI171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{"issue":{"subject":"","project_id":79,"tracker_id":40,"status_id":1,"priority_id":2,"assigned_to_id":338,"start_date":"2017-10-29","description":"","custom_fields":[{"id":1,"name":"Subdivision","value":"NW"},{"id":4,"name":"Milepost","value":"5.8941"},{"id":17,"name":"Train ID","value":"1811-29"},{"id":16,"name":"Locomotive ID","value":"4050"},{"id":130,"name":"Impact","value":""},{"id":150,"name":"Time of Event (Mountain Time)","value":"11:23:25"},{"id":151,"name":"Denver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182"/>
      <c r="AK171" s="186"/>
      <c r="AL171" s="186"/>
      <c r="AM171" s="187" t="str">
        <f t="shared" si="84"/>
        <v>start /low /b %USERPROFILE%\Documents\GitHub\eaglep3\Utilities\DownloadLogsFromS3.py --loco 4050 --day 2017-10-29</v>
      </c>
      <c r="AN171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17:23:25"},{"id":29,"name":"Sharepoint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82" t="str">
        <f t="shared" si="86"/>
        <v>https://d0f6bd738d7f1b3e5a7ca70fe4ff75f0.us-east-1.aws.found.io/app/kibana#/discover/Steve-Slow-Train-Analysis-(2080s-and-2083s)?_g=(refreshInterval:(display:Off,pause:!f,section:0,value:0),time:(from:'2017-10-29T09:58:48-0600',mode:absolute,to:'2017-10-29T12:23:25-0600'))&amp;_a=(columns:!('Message%20ID',Summary),filters:!(),index:'emp_*',interval:auto,query:(query_string:(analyze_wildcard:!t,query:'%22rtdc.l.rtdc.4050%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32" t="s">
        <v>751</v>
      </c>
      <c r="B172" s="7">
        <v>4049</v>
      </c>
      <c r="C172" s="21" t="s">
        <v>194</v>
      </c>
      <c r="D172" s="21" t="s">
        <v>493</v>
      </c>
      <c r="E172" s="13">
        <v>43037.475682870368</v>
      </c>
      <c r="F172" s="13">
        <v>43037.487881944442</v>
      </c>
      <c r="G172" s="7">
        <v>81</v>
      </c>
      <c r="H172" s="21" t="s">
        <v>965</v>
      </c>
      <c r="I172" s="13">
        <v>43037.497106481482</v>
      </c>
      <c r="J172" s="7">
        <v>0</v>
      </c>
      <c r="K172" s="76" t="str">
        <f t="shared" si="72"/>
        <v>4049/4050</v>
      </c>
      <c r="L172" s="164" t="str">
        <f>VLOOKUP(A172,'Trips&amp;Operators'!$C$1:$G$99911,5,FALSE)</f>
        <v>DAVIDSON DAVID</v>
      </c>
      <c r="M172" s="6">
        <f t="shared" si="73"/>
        <v>9.2245370396994986E-3</v>
      </c>
      <c r="N172" s="7">
        <f t="shared" si="87"/>
        <v>13.283333337167278</v>
      </c>
      <c r="O172" s="7"/>
      <c r="P172" s="7"/>
      <c r="Q172" s="22"/>
      <c r="R172" s="157"/>
      <c r="S172" s="215">
        <f t="shared" si="88"/>
        <v>1</v>
      </c>
      <c r="T172" s="216" t="str">
        <f t="shared" si="74"/>
        <v>Southbound</v>
      </c>
      <c r="U172" s="216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7" t="str">
        <f t="shared" si="75"/>
        <v>https://d0f6bd738d7f1b3e5a7ca70fe4ff75f0.us-east-1.aws.found.io/app/kibana#/discover/Steve-Slow-Train-Analysis-(2080s-and-2083s)?_g=(refreshInterval:(display:Off,pause:!f,section:0,value:0),time:(from:'2017-10-29T10:24:59-0600',mode:absolute,to:'2017-10-29T12:55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2" s="218" t="str">
        <f>IF(AA172&lt;VLOOKUP(AG172,Variables!$AC$3:$AD$8,2,FALSE),"Y","N")</f>
        <v>N</v>
      </c>
      <c r="X172" s="218">
        <f t="shared" si="91"/>
        <v>1</v>
      </c>
      <c r="Y172" s="218">
        <f t="shared" si="69"/>
        <v>5.8630000000000004</v>
      </c>
      <c r="Z172" s="218">
        <f t="shared" si="70"/>
        <v>8.2199999999999995E-2</v>
      </c>
      <c r="AA172" s="218">
        <f t="shared" si="77"/>
        <v>5.7808000000000002</v>
      </c>
      <c r="AB172" s="219" t="e">
        <f>VLOOKUP(A172,Enforcements!$C$7:$K$11,8,0)</f>
        <v>#N/A</v>
      </c>
      <c r="AC172" s="219" t="e">
        <f>VLOOKUP(A172,Enforcements!$C$7:$E$11,3,0)</f>
        <v>#N/A</v>
      </c>
      <c r="AD172" s="186">
        <f t="shared" si="78"/>
        <v>1812</v>
      </c>
      <c r="AE172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72" s="221" t="str">
        <f t="shared" si="80"/>
        <v>"C:\Program Files (x86)\AstroGrep\AstroGrep.exe" /e /r /s /spath="%USERPROFILE%\AppData\Local\Temp\OnboardLogs" /stypes="app*4049*20171029*" /stext=" 17:.+((SYSTEM_STATE.+slice.+state.+changed )|(ment ac)|(multiple cpu faults)|(system.+state.+changed )|(\[timeout)|(PRM\|1\|D)|(kpr)|(kdp)|(train st.+moving)|(\|lc)|(penalty))"</v>
      </c>
      <c r="AG172" s="185" t="str">
        <f t="shared" si="81"/>
        <v>NW</v>
      </c>
      <c r="AH172" s="222" t="str">
        <f t="shared" si="82"/>
        <v>"%USERPROFILE%\Documents\GitHub\eaglep3\Utilities\RefineRTDCRunTimes.py" --tripid 1812-29 --locoid 4049 --swversion DE.1.0.9.0 --startMP 300:58630 --initTime 2017-10-29T11:24:59 --startdatetime 2017-10-29T11:42:33 --delay 81 --endMP 204:822 --enddatetime 2017-10-29T11:55:50 --enforcementcount 0 &gt;&gt;%USERPROFILE%\Documents\GitHub\eaglep3-reporting\EC\2017-10-29-refined-times.txt</v>
      </c>
      <c r="AI172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{"issue":{"subject":"","project_id":79,"tracker_id":40,"status_id":1,"priority_id":2,"assigned_to_id":338,"start_date":"2017-10-29","description":"","custom_fields":[{"id":1,"name":"Subdivision","value":"NW"},{"id":4,"name":"Milepost","value":"0.0822"},{"id":17,"name":"Train ID","value":"1812-29"},{"id":16,"name":"Locomotive ID","value":"4049"},{"id":130,"name":"Impact","value":""},{"id":150,"name":"Time of Event (Mountain Time)","value":"11:55:50"},{"id":151,"name":"Denver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182"/>
      <c r="AK172" s="186"/>
      <c r="AL172" s="186"/>
      <c r="AM172" s="187" t="str">
        <f t="shared" si="84"/>
        <v>start /low /b %USERPROFILE%\Documents\GitHub\eaglep3\Utilities\DownloadLogsFromS3.py --loco 4049 --day 2017-10-29</v>
      </c>
      <c r="AN172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17:55:50"},{"id":29,"name":"Sharepoint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82" t="str">
        <f t="shared" si="86"/>
        <v>https://d0f6bd738d7f1b3e5a7ca70fe4ff75f0.us-east-1.aws.found.io/app/kibana#/discover/Steve-Slow-Train-Analysis-(2080s-and-2083s)?_g=(refreshInterval:(display:Off,pause:!f,section:0,value:0),time:(from:'2017-10-29T10:24:59-0600',mode:absolute,to:'2017-10-29T12:55:50-0600'))&amp;_a=(columns:!('Message%20ID',Summary),filters:!(),index:'emp_*',interval:auto,query:(query_string:(analyze_wildcard:!t,query:'%22rtdc.l.rtdc.4049%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32" t="s">
        <v>761</v>
      </c>
      <c r="B173" s="7">
        <v>4050</v>
      </c>
      <c r="C173" s="21" t="s">
        <v>194</v>
      </c>
      <c r="D173" s="21" t="s">
        <v>948</v>
      </c>
      <c r="E173" s="13">
        <v>43037.501967592594</v>
      </c>
      <c r="F173" s="13">
        <v>43037.506412037037</v>
      </c>
      <c r="G173" s="7">
        <v>56</v>
      </c>
      <c r="H173" s="21" t="s">
        <v>966</v>
      </c>
      <c r="I173" s="13">
        <v>43037.516296296293</v>
      </c>
      <c r="J173" s="7">
        <v>0</v>
      </c>
      <c r="K173" s="76" t="str">
        <f t="shared" si="72"/>
        <v>4049/4050</v>
      </c>
      <c r="L173" s="164" t="str">
        <f>VLOOKUP(A173,'Trips&amp;Operators'!$C$1:$G$99911,5,FALSE)</f>
        <v>GONZALEZ ARMANDO</v>
      </c>
      <c r="M173" s="6">
        <f t="shared" si="73"/>
        <v>9.8842592560686171E-3</v>
      </c>
      <c r="N173" s="7">
        <f t="shared" si="87"/>
        <v>14.233333328738809</v>
      </c>
      <c r="O173" s="7"/>
      <c r="P173" s="7"/>
      <c r="Q173" s="22"/>
      <c r="R173" s="157"/>
      <c r="S173" s="215">
        <f t="shared" si="88"/>
        <v>1</v>
      </c>
      <c r="T173" s="216" t="str">
        <f t="shared" si="74"/>
        <v>NorthBound</v>
      </c>
      <c r="U173" s="216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7" t="str">
        <f t="shared" si="75"/>
        <v>https://d0f6bd738d7f1b3e5a7ca70fe4ff75f0.us-east-1.aws.found.io/app/kibana#/discover/Steve-Slow-Train-Analysis-(2080s-and-2083s)?_g=(refreshInterval:(display:Off,pause:!f,section:0,value:0),time:(from:'2017-10-29T11:02:50-0600',mode:absolute,to:'2017-10-29T13:23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3" s="218" t="str">
        <f>IF(AA173&lt;VLOOKUP(AG173,Variables!$AC$3:$AD$8,2,FALSE),"Y","N")</f>
        <v>N</v>
      </c>
      <c r="X173" s="218">
        <f t="shared" si="91"/>
        <v>1</v>
      </c>
      <c r="Y173" s="218">
        <f t="shared" si="69"/>
        <v>0.1123</v>
      </c>
      <c r="Z173" s="218">
        <f t="shared" si="70"/>
        <v>5.8975999999999997</v>
      </c>
      <c r="AA173" s="218">
        <f t="shared" si="77"/>
        <v>5.7852999999999994</v>
      </c>
      <c r="AB173" s="219" t="e">
        <f>VLOOKUP(A173,Enforcements!$C$7:$K$11,8,0)</f>
        <v>#N/A</v>
      </c>
      <c r="AC173" s="219" t="e">
        <f>VLOOKUP(A173,Enforcements!$C$7:$E$11,3,0)</f>
        <v>#N/A</v>
      </c>
      <c r="AD173" s="186">
        <f t="shared" si="78"/>
        <v>1813</v>
      </c>
      <c r="AE173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73" s="221" t="str">
        <f t="shared" si="80"/>
        <v>"C:\Program Files (x86)\AstroGrep\AstroGrep.exe" /e /r /s /spath="%USERPROFILE%\AppData\Local\Temp\OnboardLogs" /stypes="app*4050*20171029*" /stext=" 18:.+((SYSTEM_STATE.+slice.+state.+changed )|(ment ac)|(multiple cpu faults)|(system.+state.+changed )|(\[timeout)|(PRM\|1\|D)|(kpr)|(kdp)|(train st.+moving)|(\|lc)|(penalty))"</v>
      </c>
      <c r="AG173" s="185" t="str">
        <f t="shared" si="81"/>
        <v>NW</v>
      </c>
      <c r="AH173" s="222" t="str">
        <f t="shared" si="82"/>
        <v>"%USERPROFILE%\Documents\GitHub\eaglep3\Utilities\RefineRTDCRunTimes.py" --tripid 1813-29 --locoid 4050 --swversion DE.1.0.9.0 --startMP 204:1123 --initTime 2017-10-29T12:02:50 --startdatetime 2017-10-29T12:09:14 --delay 56 --endMP 300:58976 --enddatetime 2017-10-29T12:23:28 --enforcementcount 0 &gt;&gt;%USERPROFILE%\Documents\GitHub\eaglep3-reporting\EC\2017-10-29-refined-times.txt</v>
      </c>
      <c r="AI173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{"issue":{"subject":"","project_id":79,"tracker_id":40,"status_id":1,"priority_id":2,"assigned_to_id":338,"start_date":"2017-10-29","description":"","custom_fields":[{"id":1,"name":"Subdivision","value":"NW"},{"id":4,"name":"Milepost","value":"5.8976"},{"id":17,"name":"Train ID","value":"1813-29"},{"id":16,"name":"Locomotive ID","value":"4050"},{"id":130,"name":"Impact","value":""},{"id":150,"name":"Time of Event (Mountain Time)","value":"12:23:28"},{"id":151,"name":"Denver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182"/>
      <c r="AK173" s="186"/>
      <c r="AL173" s="186"/>
      <c r="AM173" s="187" t="str">
        <f t="shared" si="84"/>
        <v>start /low /b %USERPROFILE%\Documents\GitHub\eaglep3\Utilities\DownloadLogsFromS3.py --loco 4050 --day 2017-10-29</v>
      </c>
      <c r="AN173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18:23:28"},{"id":29,"name":"Sharepoint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82" t="str">
        <f t="shared" si="86"/>
        <v>https://d0f6bd738d7f1b3e5a7ca70fe4ff75f0.us-east-1.aws.found.io/app/kibana#/discover/Steve-Slow-Train-Analysis-(2080s-and-2083s)?_g=(refreshInterval:(display:Off,pause:!f,section:0,value:0),time:(from:'2017-10-29T11:02:50-0600',mode:absolute,to:'2017-10-29T13:23:28-0600'))&amp;_a=(columns:!('Message%20ID',Summary),filters:!(),index:'emp_*',interval:auto,query:(query_string:(analyze_wildcard:!t,query:'%22rtdc.l.rtdc.4050%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32" t="s">
        <v>768</v>
      </c>
      <c r="B174" s="7">
        <v>4049</v>
      </c>
      <c r="C174" s="21" t="s">
        <v>194</v>
      </c>
      <c r="D174" s="21" t="s">
        <v>967</v>
      </c>
      <c r="E174" s="13">
        <v>43037.518206018518</v>
      </c>
      <c r="F174" s="13">
        <v>43037.529965277776</v>
      </c>
      <c r="G174" s="7">
        <v>78</v>
      </c>
      <c r="H174" s="21" t="s">
        <v>968</v>
      </c>
      <c r="I174" s="13">
        <v>43037.538715277777</v>
      </c>
      <c r="J174" s="7">
        <v>0</v>
      </c>
      <c r="K174" s="76" t="str">
        <f t="shared" si="72"/>
        <v>4049/4050</v>
      </c>
      <c r="L174" s="164" t="str">
        <f>VLOOKUP(A174,'Trips&amp;Operators'!$C$1:$G$99911,5,FALSE)</f>
        <v>GONZALEZ ARMANDO</v>
      </c>
      <c r="M174" s="6">
        <f t="shared" si="73"/>
        <v>8.7500000008731149E-3</v>
      </c>
      <c r="N174" s="7">
        <f t="shared" si="87"/>
        <v>12.600000001257285</v>
      </c>
      <c r="O174" s="7"/>
      <c r="P174" s="7"/>
      <c r="Q174" s="22"/>
      <c r="R174" s="157"/>
      <c r="S174" s="215">
        <f t="shared" si="88"/>
        <v>1</v>
      </c>
      <c r="T174" s="216" t="str">
        <f t="shared" si="74"/>
        <v>Southbound</v>
      </c>
      <c r="U174" s="216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7" t="str">
        <f t="shared" si="75"/>
        <v>https://d0f6bd738d7f1b3e5a7ca70fe4ff75f0.us-east-1.aws.found.io/app/kibana#/discover/Steve-Slow-Train-Analysis-(2080s-and-2083s)?_g=(refreshInterval:(display:Off,pause:!f,section:0,value:0),time:(from:'2017-10-29T11:26:13-0600',mode:absolute,to:'2017-10-29T13:55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4" s="218" t="str">
        <f>IF(AA174&lt;VLOOKUP(AG174,Variables!$AC$3:$AD$8,2,FALSE),"Y","N")</f>
        <v>N</v>
      </c>
      <c r="X174" s="218">
        <f t="shared" ref="X174:X175" si="92">VALUE(LEFT(AD174,4))-VALUE(LEFT(AD173,4))</f>
        <v>1</v>
      </c>
      <c r="Y174" s="218">
        <f t="shared" si="69"/>
        <v>5.8655999999999997</v>
      </c>
      <c r="Z174" s="218">
        <f t="shared" si="70"/>
        <v>7.22E-2</v>
      </c>
      <c r="AA174" s="218">
        <f t="shared" si="77"/>
        <v>5.7934000000000001</v>
      </c>
      <c r="AB174" s="219" t="e">
        <f>VLOOKUP(A174,Enforcements!$C$7:$K$11,8,0)</f>
        <v>#N/A</v>
      </c>
      <c r="AC174" s="219" t="e">
        <f>VLOOKUP(A174,Enforcements!$C$7:$E$11,3,0)</f>
        <v>#N/A</v>
      </c>
      <c r="AD174" s="186">
        <f t="shared" si="78"/>
        <v>1814</v>
      </c>
      <c r="AE174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74" s="221" t="str">
        <f t="shared" si="80"/>
        <v>"C:\Program Files (x86)\AstroGrep\AstroGrep.exe" /e /r /s /spath="%USERPROFILE%\AppData\Local\Temp\OnboardLogs" /stypes="app*4049*20171029*" /stext=" 18:.+((SYSTEM_STATE.+slice.+state.+changed )|(ment ac)|(multiple cpu faults)|(system.+state.+changed )|(\[timeout)|(PRM\|1\|D)|(kpr)|(kdp)|(train st.+moving)|(\|lc)|(penalty))"</v>
      </c>
      <c r="AG174" s="185" t="str">
        <f t="shared" si="81"/>
        <v>NW</v>
      </c>
      <c r="AH174" s="222" t="str">
        <f t="shared" si="82"/>
        <v>"%USERPROFILE%\Documents\GitHub\eaglep3\Utilities\RefineRTDCRunTimes.py" --tripid 1814-29 --locoid 4049 --swversion DE.1.0.9.0 --startMP 300:58656 --initTime 2017-10-29T12:26:13 --startdatetime 2017-10-29T12:43:09 --delay 78 --endMP 204:722 --enddatetime 2017-10-29T12:55:45 --enforcementcount 0 &gt;&gt;%USERPROFILE%\Documents\GitHub\eaglep3-reporting\EC\2017-10-29-refined-times.txt</v>
      </c>
      <c r="AI174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{"issue":{"subject":"","project_id":79,"tracker_id":40,"status_id":1,"priority_id":2,"assigned_to_id":338,"start_date":"2017-10-29","description":"","custom_fields":[{"id":1,"name":"Subdivision","value":"NW"},{"id":4,"name":"Milepost","value":"0.0722"},{"id":17,"name":"Train ID","value":"1814-29"},{"id":16,"name":"Locomotive ID","value":"4049"},{"id":130,"name":"Impact","value":""},{"id":150,"name":"Time of Event (Mountain Time)","value":"12:55:45"},{"id":151,"name":"Denver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182"/>
      <c r="AK174" s="186"/>
      <c r="AL174" s="186"/>
      <c r="AM174" s="187" t="str">
        <f t="shared" si="84"/>
        <v>start /low /b %USERPROFILE%\Documents\GitHub\eaglep3\Utilities\DownloadLogsFromS3.py --loco 4049 --day 2017-10-29</v>
      </c>
      <c r="AN174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18:55:45"},{"id":29,"name":"Sharepoint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82" t="str">
        <f t="shared" si="86"/>
        <v>https://d0f6bd738d7f1b3e5a7ca70fe4ff75f0.us-east-1.aws.found.io/app/kibana#/discover/Steve-Slow-Train-Analysis-(2080s-and-2083s)?_g=(refreshInterval:(display:Off,pause:!f,section:0,value:0),time:(from:'2017-10-29T11:26:13-0600',mode:absolute,to:'2017-10-29T13:55:45-0600'))&amp;_a=(columns:!('Message%20ID',Summary),filters:!(),index:'emp_*',interval:auto,query:(query_string:(analyze_wildcard:!t,query:'%22rtdc.l.rtdc.4049%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32" t="s">
        <v>639</v>
      </c>
      <c r="B175" s="7">
        <v>4050</v>
      </c>
      <c r="C175" s="21" t="s">
        <v>194</v>
      </c>
      <c r="D175" s="21" t="s">
        <v>969</v>
      </c>
      <c r="E175" s="13">
        <v>43037.549710648149</v>
      </c>
      <c r="F175" s="13">
        <v>43037.550555555557</v>
      </c>
      <c r="G175" s="7">
        <v>44</v>
      </c>
      <c r="H175" s="21" t="s">
        <v>970</v>
      </c>
      <c r="I175" s="13">
        <v>43037.550729166665</v>
      </c>
      <c r="J175" s="7">
        <v>0</v>
      </c>
      <c r="K175" s="76" t="str">
        <f t="shared" si="72"/>
        <v>4049/4050</v>
      </c>
      <c r="L175" s="164" t="str">
        <f>VLOOKUP(A175,'Trips&amp;Operators'!$C$1:$G$99911,5,FALSE)</f>
        <v>MACDONALD THOMAS</v>
      </c>
      <c r="M175" s="6">
        <f t="shared" si="73"/>
        <v>1.7361110803904012E-4</v>
      </c>
      <c r="N175" s="7"/>
      <c r="O175" s="7"/>
      <c r="P175" s="7">
        <f>24*60*SUM($M175:$M175)</f>
        <v>0.24999999557621777</v>
      </c>
      <c r="Q175" s="22"/>
      <c r="R175" s="157" t="s">
        <v>1104</v>
      </c>
      <c r="S175" s="215">
        <f t="shared" ref="S175:S206" si="93">1/IF(AG175="EC",12,1)*SUM(U175:U175)</f>
        <v>0</v>
      </c>
      <c r="T175" s="216" t="str">
        <f t="shared" si="74"/>
        <v>NorthBound</v>
      </c>
      <c r="U175" s="216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0</v>
      </c>
      <c r="V175" s="217" t="str">
        <f t="shared" si="75"/>
        <v>https://d0f6bd738d7f1b3e5a7ca70fe4ff75f0.us-east-1.aws.found.io/app/kibana#/discover/Steve-Slow-Train-Analysis-(2080s-and-2083s)?_g=(refreshInterval:(display:Off,pause:!f,section:0,value:0),time:(from:'2017-10-29T12:11:35-0600',mode:absolute,to:'2017-10-29T14:13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5" s="218" t="str">
        <f>IF(AA175&lt;VLOOKUP(AG175,Variables!$AC$3:$AD$8,2,FALSE),"Y","N")</f>
        <v>Y</v>
      </c>
      <c r="X175" s="218">
        <f t="shared" si="92"/>
        <v>1</v>
      </c>
      <c r="Y175" s="218">
        <f t="shared" si="69"/>
        <v>0.2044</v>
      </c>
      <c r="Z175" s="218">
        <f t="shared" si="70"/>
        <v>0.2712</v>
      </c>
      <c r="AA175" s="218">
        <f t="shared" si="77"/>
        <v>6.6799999999999998E-2</v>
      </c>
      <c r="AB175" s="219" t="e">
        <f>VLOOKUP(A175,Enforcements!$C$7:$K$11,8,0)</f>
        <v>#N/A</v>
      </c>
      <c r="AC175" s="219" t="e">
        <f>VLOOKUP(A175,Enforcements!$C$7:$E$11,3,0)</f>
        <v>#N/A</v>
      </c>
      <c r="AD175" s="186">
        <f t="shared" si="78"/>
        <v>1815</v>
      </c>
      <c r="AE175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75" s="221" t="str">
        <f t="shared" si="80"/>
        <v>"C:\Program Files (x86)\AstroGrep\AstroGrep.exe" /e /r /s /spath="%USERPROFILE%\AppData\Local\Temp\OnboardLogs" /stypes="app*4050*20171029*" /stext=" 19:.+((SYSTEM_STATE.+slice.+state.+changed )|(ment ac)|(multiple cpu faults)|(system.+state.+changed )|(\[timeout)|(PRM\|1\|D)|(kpr)|(kdp)|(train st.+moving)|(\|lc)|(penalty))"</v>
      </c>
      <c r="AG175" s="185" t="str">
        <f t="shared" si="81"/>
        <v>NW</v>
      </c>
      <c r="AH175" s="222" t="str">
        <f t="shared" si="82"/>
        <v>"%USERPROFILE%\Documents\GitHub\eaglep3\Utilities\RefineRTDCRunTimes.py" --tripid 1815-29 --locoid 4050 --swversion DE.1.0.9.0 --startMP 204:2044 --initTime 2017-10-29T13:11:35 --startdatetime 2017-10-29T13:12:48 --delay 44 --endMP 204:2712 --enddatetime 2017-10-29T13:13:03 --enforcementcount 0 &gt;&gt;%USERPROFILE%\Documents\GitHub\eaglep3-reporting\EC\2017-10-29-refined-times.txt</v>
      </c>
      <c r="AI175" s="223" t="str">
        <f t="shared" si="83"/>
        <v>echo {"issue":{"subject":"Poor GPS at DUS","project_id":79,"tracker_id":40,"status_id":1,"priority_id":2,"assigned_to_id":338,"start_date":"2017-10-29","description":"","custom_fields":[{"id":1,"name":"Subdivision","value":"NW"},{"id":4,"name":"Milepost","value":"0.2712"},{"id":17,"name":"Train ID","value":"1815-29"},{"id":16,"name":"Locomotive ID","value":"4050"},{"id":130,"name":"Impact","value":""},{"id":150,"name":"Time of Event (Mountain Time)","value":"13:13:03"},{"id":151,"name":"Denver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182"/>
      <c r="AK175" s="186"/>
      <c r="AL175" s="186"/>
      <c r="AM175" s="187" t="str">
        <f t="shared" si="84"/>
        <v>start /low /b %USERPROFILE%\Documents\GitHub\eaglep3\Utilities\DownloadLogsFromS3.py --loco 4050 --day 2017-10-29</v>
      </c>
      <c r="AN175" s="224" t="str">
        <f t="shared" si="85"/>
        <v>echo {"issue":{"subject":"Poor GPS at DUS","project_id":30,"tracker_id":4,"status_id":1,"priority_id":1,"assigned_to_id":10,"start_date":"2017-10-29","description":"","custom_fields":[{"id":30,"name":"Category","value":"Issue"},{"id":3,"name":"Functional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19:13:03"},{"id":29,"name":"Sharepoint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82" t="str">
        <f t="shared" si="86"/>
        <v>https://d0f6bd738d7f1b3e5a7ca70fe4ff75f0.us-east-1.aws.found.io/app/kibana#/discover/Steve-Slow-Train-Analysis-(2080s-and-2083s)?_g=(refreshInterval:(display:Off,pause:!f,section:0,value:0),time:(from:'2017-10-29T12:11:35-0600',mode:absolute,to:'2017-10-29T14:13:03-0600'))&amp;_a=(columns:!('Message%20ID',Summary),filters:!(),index:'emp_*',interval:auto,query:(query_string:(analyze_wildcard:!t,query:'%22rtdc.l.rtdc.4050%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32" t="s">
        <v>641</v>
      </c>
      <c r="B176" s="7">
        <v>4049</v>
      </c>
      <c r="C176" s="21" t="s">
        <v>194</v>
      </c>
      <c r="D176" s="21" t="s">
        <v>624</v>
      </c>
      <c r="E176" s="13">
        <v>43037.560798611114</v>
      </c>
      <c r="F176" s="13">
        <v>43037.572025462963</v>
      </c>
      <c r="G176" s="7">
        <v>63</v>
      </c>
      <c r="H176" s="21" t="s">
        <v>971</v>
      </c>
      <c r="I176" s="13">
        <v>43037.58085648148</v>
      </c>
      <c r="J176" s="7">
        <v>0</v>
      </c>
      <c r="K176" s="76" t="str">
        <f t="shared" si="72"/>
        <v>4049/4050</v>
      </c>
      <c r="L176" s="164" t="str">
        <f>VLOOKUP(A176,'Trips&amp;Operators'!$C$1:$G$99911,5,FALSE)</f>
        <v>MACDONALD THOMAS</v>
      </c>
      <c r="M176" s="6">
        <f t="shared" si="73"/>
        <v>8.8310185165028088E-3</v>
      </c>
      <c r="N176" s="7">
        <f t="shared" ref="N176:N203" si="94">24*60*SUM($M176:$M176)</f>
        <v>12.716666663764045</v>
      </c>
      <c r="O176" s="7"/>
      <c r="P176" s="7"/>
      <c r="Q176" s="22"/>
      <c r="R176" s="157"/>
      <c r="S176" s="215">
        <f t="shared" si="93"/>
        <v>1</v>
      </c>
      <c r="T176" s="216" t="str">
        <f t="shared" si="74"/>
        <v>Southbound</v>
      </c>
      <c r="U176" s="216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7" t="str">
        <f t="shared" si="75"/>
        <v>https://d0f6bd738d7f1b3e5a7ca70fe4ff75f0.us-east-1.aws.found.io/app/kibana#/discover/Steve-Slow-Train-Analysis-(2080s-and-2083s)?_g=(refreshInterval:(display:Off,pause:!f,section:0,value:0),time:(from:'2017-10-29T12:27:33-0600',mode:absolute,to:'2017-10-29T14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6" s="218" t="str">
        <f>IF(AA176&lt;VLOOKUP(AG176,Variables!$AC$3:$AD$8,2,FALSE),"Y","N")</f>
        <v>N</v>
      </c>
      <c r="X176" s="218">
        <f t="shared" ref="X176:X185" si="95">VALUE(LEFT(AD176,4))-VALUE(LEFT(AD175,4))</f>
        <v>1</v>
      </c>
      <c r="Y176" s="218">
        <f t="shared" si="69"/>
        <v>5.8658000000000001</v>
      </c>
      <c r="Z176" s="218">
        <f t="shared" si="70"/>
        <v>8.8499999999999995E-2</v>
      </c>
      <c r="AA176" s="218">
        <f t="shared" si="77"/>
        <v>5.7773000000000003</v>
      </c>
      <c r="AB176" s="219" t="e">
        <f>VLOOKUP(A176,Enforcements!$C$7:$K$11,8,0)</f>
        <v>#N/A</v>
      </c>
      <c r="AC176" s="219" t="e">
        <f>VLOOKUP(A176,Enforcements!$C$7:$E$11,3,0)</f>
        <v>#N/A</v>
      </c>
      <c r="AD176" s="186">
        <f t="shared" si="78"/>
        <v>1816</v>
      </c>
      <c r="AE176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76" s="221" t="str">
        <f t="shared" si="80"/>
        <v>"C:\Program Files (x86)\AstroGrep\AstroGrep.exe" /e /r /s /spath="%USERPROFILE%\AppData\Local\Temp\OnboardLogs" /stypes="app*4049*20171029*" /stext=" 19:.+((SYSTEM_STATE.+slice.+state.+changed )|(ment ac)|(multiple cpu faults)|(system.+state.+changed )|(\[timeout)|(PRM\|1\|D)|(kpr)|(kdp)|(train st.+moving)|(\|lc)|(penalty))"</v>
      </c>
      <c r="AG176" s="185" t="str">
        <f t="shared" si="81"/>
        <v>NW</v>
      </c>
      <c r="AH176" s="222" t="str">
        <f t="shared" si="82"/>
        <v>"%USERPROFILE%\Documents\GitHub\eaglep3\Utilities\RefineRTDCRunTimes.py" --tripid 1816-29 --locoid 4049 --swversion DE.1.0.9.0 --startMP 300:58658 --initTime 2017-10-29T13:27:33 --startdatetime 2017-10-29T13:43:43 --delay 63 --endMP 204:885 --enddatetime 2017-10-29T13:56:26 --enforcementcount 0 &gt;&gt;%USERPROFILE%\Documents\GitHub\eaglep3-reporting\EC\2017-10-29-refined-times.txt</v>
      </c>
      <c r="AI176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{"issue":{"subject":"","project_id":79,"tracker_id":40,"status_id":1,"priority_id":2,"assigned_to_id":338,"start_date":"2017-10-29","description":"","custom_fields":[{"id":1,"name":"Subdivision","value":"NW"},{"id":4,"name":"Milepost","value":"0.0885"},{"id":17,"name":"Train ID","value":"1816-29"},{"id":16,"name":"Locomotive ID","value":"4049"},{"id":130,"name":"Impact","value":""},{"id":150,"name":"Time of Event (Mountain Time)","value":"13:56:26"},{"id":151,"name":"Denver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182"/>
      <c r="AK176" s="186"/>
      <c r="AL176" s="186"/>
      <c r="AM176" s="187" t="str">
        <f t="shared" si="84"/>
        <v>start /low /b %USERPROFILE%\Documents\GitHub\eaglep3\Utilities\DownloadLogsFromS3.py --loco 4049 --day 2017-10-29</v>
      </c>
      <c r="AN176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19:56:26"},{"id":29,"name":"Sharepoint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82" t="str">
        <f t="shared" si="86"/>
        <v>https://d0f6bd738d7f1b3e5a7ca70fe4ff75f0.us-east-1.aws.found.io/app/kibana#/discover/Steve-Slow-Train-Analysis-(2080s-and-2083s)?_g=(refreshInterval:(display:Off,pause:!f,section:0,value:0),time:(from:'2017-10-29T12:27:33-0600',mode:absolute,to:'2017-10-29T14:56:26-0600'))&amp;_a=(columns:!('Message%20ID',Summary),filters:!(),index:'emp_*',interval:auto,query:(query_string:(analyze_wildcard:!t,query:'%22rtdc.l.rtdc.4049%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32" t="s">
        <v>642</v>
      </c>
      <c r="B177" s="7">
        <v>4050</v>
      </c>
      <c r="C177" s="21" t="s">
        <v>194</v>
      </c>
      <c r="D177" s="21" t="s">
        <v>624</v>
      </c>
      <c r="E177" s="13">
        <v>43037.560798611114</v>
      </c>
      <c r="F177" s="13">
        <v>43037.589803240742</v>
      </c>
      <c r="G177" s="7">
        <v>63</v>
      </c>
      <c r="H177" s="21" t="s">
        <v>971</v>
      </c>
      <c r="I177" s="13">
        <v>43037.600451388891</v>
      </c>
      <c r="J177" s="7">
        <v>0</v>
      </c>
      <c r="K177" s="76" t="str">
        <f t="shared" si="72"/>
        <v>4049/4050</v>
      </c>
      <c r="L177" s="164" t="str">
        <f>VLOOKUP(A177,'Trips&amp;Operators'!$C$1:$G$99911,5,FALSE)</f>
        <v>HOLCOMB KAMDEN</v>
      </c>
      <c r="M177" s="6">
        <f t="shared" si="73"/>
        <v>1.0648148148902692E-2</v>
      </c>
      <c r="N177" s="7">
        <f t="shared" si="94"/>
        <v>15.333333334419876</v>
      </c>
      <c r="O177" s="7"/>
      <c r="P177" s="7"/>
      <c r="Q177" s="22"/>
      <c r="R177" s="157"/>
      <c r="S177" s="215">
        <f t="shared" si="93"/>
        <v>1</v>
      </c>
      <c r="T177" s="216" t="str">
        <f t="shared" si="74"/>
        <v>NorthBound</v>
      </c>
      <c r="U177" s="216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7" t="str">
        <f t="shared" si="75"/>
        <v>https://d0f6bd738d7f1b3e5a7ca70fe4ff75f0.us-east-1.aws.found.io/app/kibana#/discover/Steve-Slow-Train-Analysis-(2080s-and-2083s)?_g=(refreshInterval:(display:Off,pause:!f,section:0,value:0),time:(from:'2017-10-29T12:27:33-0600',mode:absolute,to:'2017-10-29T15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7" s="218" t="str">
        <f>IF(AA177&lt;VLOOKUP(AG177,Variables!$AC$3:$AD$8,2,FALSE),"Y","N")</f>
        <v>N</v>
      </c>
      <c r="X177" s="218">
        <f t="shared" si="95"/>
        <v>1</v>
      </c>
      <c r="Y177" s="218">
        <v>0.1123</v>
      </c>
      <c r="Z177" s="218">
        <v>5.8975999999999997</v>
      </c>
      <c r="AA177" s="218">
        <f t="shared" si="77"/>
        <v>5.7852999999999994</v>
      </c>
      <c r="AB177" s="219" t="e">
        <f>VLOOKUP(A177,Enforcements!$C$7:$K$11,8,0)</f>
        <v>#N/A</v>
      </c>
      <c r="AC177" s="219" t="e">
        <f>VLOOKUP(A177,Enforcements!$C$7:$E$11,3,0)</f>
        <v>#N/A</v>
      </c>
      <c r="AD177" s="186">
        <f t="shared" si="78"/>
        <v>1817</v>
      </c>
      <c r="AE177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77" s="221" t="str">
        <f t="shared" si="80"/>
        <v>"C:\Program Files (x86)\AstroGrep\AstroGrep.exe" /e /r /s /spath="%USERPROFILE%\AppData\Local\Temp\OnboardLogs" /stypes="app*4050*20171029*" /stext=" 20:.+((SYSTEM_STATE.+slice.+state.+changed )|(ment ac)|(multiple cpu faults)|(system.+state.+changed )|(\[timeout)|(PRM\|1\|D)|(kpr)|(kdp)|(train st.+moving)|(\|lc)|(penalty))"</v>
      </c>
      <c r="AG177" s="185" t="str">
        <f t="shared" si="81"/>
        <v>NW</v>
      </c>
      <c r="AH177" s="222" t="str">
        <f t="shared" ref="AH177" si="96">refinertdcruntimes&amp;" --tripid "&amp;A177&amp;" --locoid "&amp;B177&amp;" --swversion "&amp;C177&amp;" --startMP "&amp;D177&amp;" --initTime "&amp;TEXT(E177,"yyyy-mm-ddTHH:MM:SS")&amp;" --startdatetime "&amp;TEXT(F177,"yyyy-mm-ddTHH:MM:SS")&amp;" --delay "&amp;G177&amp;" --endMP "&amp;H177&amp;" --enddatetime "&amp;TEXT(I177,"yyyy-mm-ddTHH:MM:SS")&amp;" --enforcementcount "&amp;J177&amp;IF(outputrefinedruntimes," &gt;&gt;"&amp;RefinedRTDCRunTimesOutputFile,"")</f>
        <v>"%USERPROFILE%\Documents\GitHub\eaglep3\Utilities\RefineRTDCRunTimes.py" --tripid 1817-29 --locoid 4050 --swversion DE.1.0.9.0 --startMP 300:58658 --initTime 2017-10-29T13:27:33 --startdatetime 2017-10-29T14:09:19 --delay 63 --endMP 204:885 --enddatetime 2017-10-29T14:24:39 --enforcementcount 0 &gt;&gt;%USERPROFILE%\Documents\GitHub\eaglep3-reporting\EC\2017-10-29-refined-times.txt</v>
      </c>
      <c r="AI177" s="223" t="str">
        <f t="shared" ref="AI177" si="97">"echo {""issue"":{""subject"":"""&amp;R177&amp;""",""project_id"":79,""tracker_id"":40,""status_id"":"&amp;redmine_status&amp;",""priority_id"":"&amp;redmine_priority&amp;",""assigned_to_id"":"&amp;redmine_assignee&amp;",""start_date"":"""&amp;TEXT(I177,"YYYY-mm-dd")&amp;""",""description"":"""&amp;AJ177&amp;""",""custom_fields"":[{""id"":1,""name"":""Subdivision"",""value"":"""&amp;AG177&amp;"""},{""id"":4,""name"":""Milepost"",""value"":"""&amp;Z177&amp;"""},{""id"":17,""name"":""Train ID"",""value"":"""&amp;A177&amp;"""},{""id"":16,""name"":""Locomotive ID"",""value"":"""&amp;B177&amp;"""},{""id"":130,""name"":""Impact"",""value"":"""&amp;AK177&amp;"""},{""id"":150,""name"":""Time of Event (Mountain Time)"",""value"":"""&amp;TEXT(I177,"hh:mm:ss")&amp;"""},{""id"":151,""name"":""Denver Issue ID"",""value"":"""&amp;"""},{""id"":178,""name"":""Operational Impact"",""value"":"""&amp;redmine_op_impact&amp;"""},{""id"":179,""name"":""Denver Segment Assigned"",""value"":"""&amp;AL177&amp;"""}]}}"&amp;"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{"issue":{"subject":"","project_id":79,"tracker_id":40,"status_id":1,"priority_id":2,"assigned_to_id":338,"start_date":"2017-10-29","description":"","custom_fields":[{"id":1,"name":"Subdivision","value":"NW"},{"id":4,"name":"Milepost","value":"5.8976"},{"id":17,"name":"Train ID","value":"1817-29"},{"id":16,"name":"Locomotive ID","value":"4050"},{"id":130,"name":"Impact","value":""},{"id":150,"name":"Time of Event (Mountain Time)","value":"14:24:39"},{"id":151,"name":"Denver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182"/>
      <c r="AK177" s="186"/>
      <c r="AL177" s="186"/>
      <c r="AM177" s="187" t="str">
        <f t="shared" ref="AM177" si="98">"start /low /b "&amp;dls3logs&amp;" --loco "&amp;B177&amp;" --day "&amp;TEXT(F177,"YYYY-MM-DD")</f>
        <v>start /low /b %USERPROFILE%\Documents\GitHub\eaglep3\Utilities\DownloadLogsFromS3.py --loco 4050 --day 2017-10-29</v>
      </c>
      <c r="AN177" s="224" t="str">
        <f t="shared" ref="AN177" si="99">"echo {""issue"":{""subject"":"""&amp;R177&amp;""",""project_id"":30,""tracker_id"":4,""status_id"":"&amp;redmine_status_wcr&amp;",""priority_id"":"&amp;redmine_priority_wcr&amp;",""assigned_to_id"":"&amp;redmine_assignee_wcr&amp;",""start_date"":"""&amp;TEXT(I177-utc_offset/24,"YYYY-mm-dd")&amp;""",""description"":"""&amp;AJ177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20:24:39"},{"id":29,"name":"Sharepoint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82" t="str">
        <f t="shared" ref="AO177" si="100"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Message%20ID',Summary),filters:!(),index:'emp_*',interval:auto,query:"&amp;"(query_string:(analyze_wildcard:!t,query:'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-10-29T12:27:33-0600',mode:absolute,to:'2017-10-29T15:24:39-0600'))&amp;_a=(columns:!('Message%20ID',Summary),filters:!(),index:'emp_*',interval:auto,query:(query_string:(analyze_wildcard:!t,query:'%22rtdc.l.rtdc.4050%22')),sort:!(Time.ISO8601,asc))</v>
      </c>
    </row>
    <row r="178" spans="1:91" s="20" customFormat="1" x14ac:dyDescent="0.3">
      <c r="A178" s="32" t="s">
        <v>787</v>
      </c>
      <c r="B178" s="7">
        <v>4049</v>
      </c>
      <c r="C178" s="21" t="s">
        <v>194</v>
      </c>
      <c r="D178" s="21" t="s">
        <v>972</v>
      </c>
      <c r="E178" s="13">
        <v>43037.601527777777</v>
      </c>
      <c r="F178" s="13">
        <v>43037.613263888888</v>
      </c>
      <c r="G178" s="7">
        <v>70</v>
      </c>
      <c r="H178" s="21" t="s">
        <v>973</v>
      </c>
      <c r="I178" s="13">
        <v>43037.62158564815</v>
      </c>
      <c r="J178" s="7">
        <v>0</v>
      </c>
      <c r="K178" s="76" t="str">
        <f t="shared" si="72"/>
        <v>4049/4050</v>
      </c>
      <c r="L178" s="164" t="str">
        <f>VLOOKUP(A178,'Trips&amp;Operators'!$C$1:$G$99911,5,FALSE)</f>
        <v>HOLCOMB KAMDEN</v>
      </c>
      <c r="M178" s="6">
        <f t="shared" si="73"/>
        <v>8.3217592618893832E-3</v>
      </c>
      <c r="N178" s="7">
        <f t="shared" si="94"/>
        <v>11.983333337120712</v>
      </c>
      <c r="O178" s="7"/>
      <c r="P178" s="7"/>
      <c r="Q178" s="22"/>
      <c r="R178" s="157"/>
      <c r="S178" s="215">
        <f t="shared" si="93"/>
        <v>1</v>
      </c>
      <c r="T178" s="216" t="str">
        <f t="shared" si="74"/>
        <v>Southbound</v>
      </c>
      <c r="U178" s="216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7" t="str">
        <f t="shared" si="75"/>
        <v>https://d0f6bd738d7f1b3e5a7ca70fe4ff75f0.us-east-1.aws.found.io/app/kibana#/discover/Steve-Slow-Train-Analysis-(2080s-and-2083s)?_g=(refreshInterval:(display:Off,pause:!f,section:0,value:0),time:(from:'2017-10-29T13:26:12-0600',mode:absolute,to:'2017-10-29T15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8" s="218" t="str">
        <f>IF(AA178&lt;VLOOKUP(AG178,Variables!$AC$3:$AD$8,2,FALSE),"Y","N")</f>
        <v>N</v>
      </c>
      <c r="X178" s="218">
        <f t="shared" si="95"/>
        <v>1</v>
      </c>
      <c r="Y178" s="218">
        <f>RIGHT(D178,LEN(D178)-4)/10000</f>
        <v>5.8677000000000001</v>
      </c>
      <c r="Z178" s="218">
        <f>RIGHT(H178,LEN(H178)-4)/10000</f>
        <v>9.3600000000000003E-2</v>
      </c>
      <c r="AA178" s="218">
        <f t="shared" si="77"/>
        <v>5.7740999999999998</v>
      </c>
      <c r="AB178" s="219" t="e">
        <f>VLOOKUP(A178,Enforcements!$C$7:$K$11,8,0)</f>
        <v>#N/A</v>
      </c>
      <c r="AC178" s="219" t="e">
        <f>VLOOKUP(A178,Enforcements!$C$7:$E$11,3,0)</f>
        <v>#N/A</v>
      </c>
      <c r="AD178" s="186">
        <f t="shared" si="78"/>
        <v>1818</v>
      </c>
      <c r="AE178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78" s="221" t="str">
        <f t="shared" si="80"/>
        <v>"C:\Program Files (x86)\AstroGrep\AstroGrep.exe" /e /r /s /spath="%USERPROFILE%\AppData\Local\Temp\OnboardLogs" /stypes="app*4049*20171029*" /stext=" 20:.+((SYSTEM_STATE.+slice.+state.+changed )|(ment ac)|(multiple cpu faults)|(system.+state.+changed )|(\[timeout)|(PRM\|1\|D)|(kpr)|(kdp)|(train st.+moving)|(\|lc)|(penalty))"</v>
      </c>
      <c r="AG178" s="185" t="str">
        <f t="shared" si="81"/>
        <v>NW</v>
      </c>
      <c r="AH178" s="222" t="str">
        <f t="shared" si="82"/>
        <v>"%USERPROFILE%\Documents\GitHub\eaglep3\Utilities\RefineRTDCRunTimes.py" --tripid 1818-29 --locoid 4049 --swversion DE.1.0.9.0 --startMP 300:58677 --initTime 2017-10-29T14:26:12 --startdatetime 2017-10-29T14:43:06 --delay 70 --endMP 204:936 --enddatetime 2017-10-29T14:55:05 --enforcementcount 0 &gt;&gt;%USERPROFILE%\Documents\GitHub\eaglep3-reporting\EC\2017-10-29-refined-times.txt</v>
      </c>
      <c r="AI178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{"issue":{"subject":"","project_id":79,"tracker_id":40,"status_id":1,"priority_id":2,"assigned_to_id":338,"start_date":"2017-10-29","description":"","custom_fields":[{"id":1,"name":"Subdivision","value":"NW"},{"id":4,"name":"Milepost","value":"0.0936"},{"id":17,"name":"Train ID","value":"1818-29"},{"id":16,"name":"Locomotive ID","value":"4049"},{"id":130,"name":"Impact","value":""},{"id":150,"name":"Time of Event (Mountain Time)","value":"14:55:05"},{"id":151,"name":"Denver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182"/>
      <c r="AK178" s="186"/>
      <c r="AL178" s="186"/>
      <c r="AM178" s="187" t="str">
        <f t="shared" si="84"/>
        <v>start /low /b %USERPROFILE%\Documents\GitHub\eaglep3\Utilities\DownloadLogsFromS3.py --loco 4049 --day 2017-10-29</v>
      </c>
      <c r="AN178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20:55:05"},{"id":29,"name":"Sharepoint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82" t="str">
        <f t="shared" si="86"/>
        <v>https://d0f6bd738d7f1b3e5a7ca70fe4ff75f0.us-east-1.aws.found.io/app/kibana#/discover/Steve-Slow-Train-Analysis-(2080s-and-2083s)?_g=(refreshInterval:(display:Off,pause:!f,section:0,value:0),time:(from:'2017-10-29T13:26:12-0600',mode:absolute,to:'2017-10-29T15:55:05-0600'))&amp;_a=(columns:!('Message%20ID',Summary),filters:!(),index:'emp_*',interval:auto,query:(query_string:(analyze_wildcard:!t,query:'%22rtdc.l.rtdc.4049%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32" t="s">
        <v>793</v>
      </c>
      <c r="B179" s="7">
        <v>4050</v>
      </c>
      <c r="C179" s="21" t="s">
        <v>194</v>
      </c>
      <c r="D179" s="21" t="s">
        <v>974</v>
      </c>
      <c r="E179" s="13">
        <v>43037.629976851851</v>
      </c>
      <c r="F179" s="13">
        <v>43037.631435185183</v>
      </c>
      <c r="G179" s="7">
        <v>48</v>
      </c>
      <c r="H179" s="21" t="s">
        <v>966</v>
      </c>
      <c r="I179" s="13">
        <v>43037.640856481485</v>
      </c>
      <c r="J179" s="7">
        <v>0</v>
      </c>
      <c r="K179" s="76" t="str">
        <f t="shared" si="72"/>
        <v>4049/4050</v>
      </c>
      <c r="L179" s="164" t="str">
        <f>VLOOKUP(A179,'Trips&amp;Operators'!$C$1:$G$99911,5,FALSE)</f>
        <v>HOLCOMB KAMDEN</v>
      </c>
      <c r="M179" s="6">
        <f t="shared" si="73"/>
        <v>9.4212963012978435E-3</v>
      </c>
      <c r="N179" s="7">
        <f t="shared" si="94"/>
        <v>13.566666673868895</v>
      </c>
      <c r="O179" s="7"/>
      <c r="P179" s="7"/>
      <c r="Q179" s="22"/>
      <c r="R179" s="157"/>
      <c r="S179" s="215">
        <f t="shared" si="93"/>
        <v>1</v>
      </c>
      <c r="T179" s="216" t="str">
        <f t="shared" si="74"/>
        <v>NorthBound</v>
      </c>
      <c r="U179" s="216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7" t="str">
        <f t="shared" si="75"/>
        <v>https://d0f6bd738d7f1b3e5a7ca70fe4ff75f0.us-east-1.aws.found.io/app/kibana#/discover/Steve-Slow-Train-Analysis-(2080s-and-2083s)?_g=(refreshInterval:(display:Off,pause:!f,section:0,value:0),time:(from:'2017-10-29T14:07:10-0600',mode:absolute,to:'2017-10-29T16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9" s="218" t="str">
        <f>IF(AA179&lt;VLOOKUP(AG179,Variables!$AC$3:$AD$8,2,FALSE),"Y","N")</f>
        <v>N</v>
      </c>
      <c r="X179" s="218">
        <f t="shared" si="95"/>
        <v>1</v>
      </c>
      <c r="Y179" s="218">
        <f>RIGHT(D179,LEN(D179)-4)/10000</f>
        <v>0.12330000000000001</v>
      </c>
      <c r="Z179" s="218">
        <f>RIGHT(H179,LEN(H179)-4)/10000</f>
        <v>5.8975999999999997</v>
      </c>
      <c r="AA179" s="218">
        <f t="shared" si="77"/>
        <v>5.7742999999999993</v>
      </c>
      <c r="AB179" s="219" t="e">
        <f>VLOOKUP(A179,Enforcements!$C$7:$K$11,8,0)</f>
        <v>#N/A</v>
      </c>
      <c r="AC179" s="219" t="e">
        <f>VLOOKUP(A179,Enforcements!$C$7:$E$11,3,0)</f>
        <v>#N/A</v>
      </c>
      <c r="AD179" s="186">
        <f t="shared" si="78"/>
        <v>1819</v>
      </c>
      <c r="AE179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79" s="221" t="str">
        <f t="shared" si="80"/>
        <v>"C:\Program Files (x86)\AstroGrep\AstroGrep.exe" /e /r /s /spath="%USERPROFILE%\AppData\Local\Temp\OnboardLogs" /stypes="app*4050*20171029*" /stext=" 21:.+((SYSTEM_STATE.+slice.+state.+changed )|(ment ac)|(multiple cpu faults)|(system.+state.+changed )|(\[timeout)|(PRM\|1\|D)|(kpr)|(kdp)|(train st.+moving)|(\|lc)|(penalty))"</v>
      </c>
      <c r="AG179" s="185" t="str">
        <f t="shared" si="81"/>
        <v>NW</v>
      </c>
      <c r="AH179" s="222" t="str">
        <f t="shared" si="82"/>
        <v>"%USERPROFILE%\Documents\GitHub\eaglep3\Utilities\RefineRTDCRunTimes.py" --tripid 1819-29 --locoid 4050 --swversion DE.1.0.9.0 --startMP 204:1233 --initTime 2017-10-29T15:07:10 --startdatetime 2017-10-29T15:09:16 --delay 48 --endMP 300:58976 --enddatetime 2017-10-29T15:22:50 --enforcementcount 0 &gt;&gt;%USERPROFILE%\Documents\GitHub\eaglep3-reporting\EC\2017-10-29-refined-times.txt</v>
      </c>
      <c r="AI179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{"issue":{"subject":"","project_id":79,"tracker_id":40,"status_id":1,"priority_id":2,"assigned_to_id":338,"start_date":"2017-10-29","description":"","custom_fields":[{"id":1,"name":"Subdivision","value":"NW"},{"id":4,"name":"Milepost","value":"5.8976"},{"id":17,"name":"Train ID","value":"1819-29"},{"id":16,"name":"Locomotive ID","value":"4050"},{"id":130,"name":"Impact","value":""},{"id":150,"name":"Time of Event (Mountain Time)","value":"15:22:50"},{"id":151,"name":"Denver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182"/>
      <c r="AK179" s="186"/>
      <c r="AL179" s="186"/>
      <c r="AM179" s="187" t="str">
        <f t="shared" si="84"/>
        <v>start /low /b %USERPROFILE%\Documents\GitHub\eaglep3\Utilities\DownloadLogsFromS3.py --loco 4050 --day 2017-10-29</v>
      </c>
      <c r="AN179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21:22:50"},{"id":29,"name":"Sharepoint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82" t="str">
        <f t="shared" si="86"/>
        <v>https://d0f6bd738d7f1b3e5a7ca70fe4ff75f0.us-east-1.aws.found.io/app/kibana#/discover/Steve-Slow-Train-Analysis-(2080s-and-2083s)?_g=(refreshInterval:(display:Off,pause:!f,section:0,value:0),time:(from:'2017-10-29T14:07:10-0600',mode:absolute,to:'2017-10-29T16:22:50-0600'))&amp;_a=(columns:!('Message%20ID',Summary),filters:!(),index:'emp_*',interval:auto,query:(query_string:(analyze_wildcard:!t,query:'%22rtdc.l.rtdc.4050%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32" t="s">
        <v>643</v>
      </c>
      <c r="B180" s="7">
        <v>4049</v>
      </c>
      <c r="C180" s="21" t="s">
        <v>194</v>
      </c>
      <c r="D180" s="21" t="s">
        <v>975</v>
      </c>
      <c r="E180" s="13">
        <v>43037.641944444447</v>
      </c>
      <c r="F180" s="13">
        <v>43037.654942129629</v>
      </c>
      <c r="G180" s="7">
        <v>45</v>
      </c>
      <c r="H180" s="21" t="s">
        <v>976</v>
      </c>
      <c r="I180" s="13">
        <v>43037.662766203706</v>
      </c>
      <c r="J180" s="7">
        <v>0</v>
      </c>
      <c r="K180" s="76" t="str">
        <f t="shared" si="72"/>
        <v>4049/4050</v>
      </c>
      <c r="L180" s="164" t="str">
        <f>VLOOKUP(A180,'Trips&amp;Operators'!$C$1:$G$99911,5,FALSE)</f>
        <v>HOLCOMB KAMDEN</v>
      </c>
      <c r="M180" s="6">
        <f t="shared" si="73"/>
        <v>7.8240740767796524E-3</v>
      </c>
      <c r="N180" s="7">
        <f t="shared" si="94"/>
        <v>11.266666670562699</v>
      </c>
      <c r="O180" s="7"/>
      <c r="P180" s="7"/>
      <c r="Q180" s="22"/>
      <c r="R180" s="157"/>
      <c r="S180" s="215">
        <f t="shared" si="93"/>
        <v>1</v>
      </c>
      <c r="T180" s="216" t="str">
        <f t="shared" si="74"/>
        <v>Southbound</v>
      </c>
      <c r="U180" s="216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7" t="str">
        <f t="shared" si="75"/>
        <v>https://d0f6bd738d7f1b3e5a7ca70fe4ff75f0.us-east-1.aws.found.io/app/kibana#/discover/Steve-Slow-Train-Analysis-(2080s-and-2083s)?_g=(refreshInterval:(display:Off,pause:!f,section:0,value:0),time:(from:'2017-10-29T14:24:24-0600',mode:absolute,to:'2017-10-29T16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0" s="218" t="str">
        <f>IF(AA180&lt;VLOOKUP(AG180,Variables!$AC$3:$AD$8,2,FALSE),"Y","N")</f>
        <v>N</v>
      </c>
      <c r="X180" s="218">
        <f t="shared" si="95"/>
        <v>1</v>
      </c>
      <c r="Y180" s="218">
        <f>RIGHT(D180,LEN(D180)-4)/10000</f>
        <v>5.8654999999999999</v>
      </c>
      <c r="Z180" s="218">
        <f>RIGHT(H180,LEN(H180)-4)/10000</f>
        <v>9.2700000000000005E-2</v>
      </c>
      <c r="AA180" s="218">
        <f t="shared" si="77"/>
        <v>5.7728000000000002</v>
      </c>
      <c r="AB180" s="219" t="e">
        <f>VLOOKUP(A180,Enforcements!$C$7:$K$11,8,0)</f>
        <v>#N/A</v>
      </c>
      <c r="AC180" s="219" t="e">
        <f>VLOOKUP(A180,Enforcements!$C$7:$E$11,3,0)</f>
        <v>#N/A</v>
      </c>
      <c r="AD180" s="186">
        <f t="shared" si="78"/>
        <v>1820</v>
      </c>
      <c r="AE180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80" s="221" t="str">
        <f t="shared" si="80"/>
        <v>"C:\Program Files (x86)\AstroGrep\AstroGrep.exe" /e /r /s /spath="%USERPROFILE%\AppData\Local\Temp\OnboardLogs" /stypes="app*4049*20171029*" /stext=" 21:.+((SYSTEM_STATE.+slice.+state.+changed )|(ment ac)|(multiple cpu faults)|(system.+state.+changed )|(\[timeout)|(PRM\|1\|D)|(kpr)|(kdp)|(train st.+moving)|(\|lc)|(penalty))"</v>
      </c>
      <c r="AG180" s="185" t="str">
        <f t="shared" si="81"/>
        <v>NW</v>
      </c>
      <c r="AH180" s="222" t="str">
        <f t="shared" si="82"/>
        <v>"%USERPROFILE%\Documents\GitHub\eaglep3\Utilities\RefineRTDCRunTimes.py" --tripid 1820-29 --locoid 4049 --swversion DE.1.0.9.0 --startMP 300:58655 --initTime 2017-10-29T15:24:24 --startdatetime 2017-10-29T15:43:07 --delay 45 --endMP 204:927 --enddatetime 2017-10-29T15:54:23 --enforcementcount 0 &gt;&gt;%USERPROFILE%\Documents\GitHub\eaglep3-reporting\EC\2017-10-29-refined-times.txt</v>
      </c>
      <c r="AI180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{"issue":{"subject":"","project_id":79,"tracker_id":40,"status_id":1,"priority_id":2,"assigned_to_id":338,"start_date":"2017-10-29","description":"","custom_fields":[{"id":1,"name":"Subdivision","value":"NW"},{"id":4,"name":"Milepost","value":"0.0927"},{"id":17,"name":"Train ID","value":"1820-29"},{"id":16,"name":"Locomotive ID","value":"4049"},{"id":130,"name":"Impact","value":""},{"id":150,"name":"Time of Event (Mountain Time)","value":"15:54:23"},{"id":151,"name":"Denver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182"/>
      <c r="AK180" s="186"/>
      <c r="AL180" s="186"/>
      <c r="AM180" s="187" t="str">
        <f t="shared" si="84"/>
        <v>start /low /b %USERPROFILE%\Documents\GitHub\eaglep3\Utilities\DownloadLogsFromS3.py --loco 4049 --day 2017-10-29</v>
      </c>
      <c r="AN180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21:54:23"},{"id":29,"name":"Sharepoint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82" t="str">
        <f t="shared" si="86"/>
        <v>https://d0f6bd738d7f1b3e5a7ca70fe4ff75f0.us-east-1.aws.found.io/app/kibana#/discover/Steve-Slow-Train-Analysis-(2080s-and-2083s)?_g=(refreshInterval:(display:Off,pause:!f,section:0,value:0),time:(from:'2017-10-29T14:24:24-0600',mode:absolute,to:'2017-10-29T16:54:23-0600'))&amp;_a=(columns:!('Message%20ID',Summary),filters:!(),index:'emp_*',interval:auto,query:(query_string:(analyze_wildcard:!t,query:'%22rtdc.l.rtdc.4049%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32" t="s">
        <v>644</v>
      </c>
      <c r="B181" s="7">
        <v>4050</v>
      </c>
      <c r="C181" s="21" t="s">
        <v>194</v>
      </c>
      <c r="D181" s="21" t="s">
        <v>975</v>
      </c>
      <c r="E181" s="13">
        <v>43037.641944444447</v>
      </c>
      <c r="F181" s="13">
        <v>43037.673101851855</v>
      </c>
      <c r="G181" s="7">
        <v>45</v>
      </c>
      <c r="H181" s="21" t="s">
        <v>976</v>
      </c>
      <c r="I181" s="13">
        <v>43037.682303240741</v>
      </c>
      <c r="J181" s="7">
        <v>0</v>
      </c>
      <c r="K181" s="76" t="str">
        <f t="shared" si="72"/>
        <v>4049/4050</v>
      </c>
      <c r="L181" s="164" t="str">
        <f>VLOOKUP(A181,'Trips&amp;Operators'!$C$1:$G$99911,5,FALSE)</f>
        <v>HOLCOMB KAMDEN</v>
      </c>
      <c r="M181" s="6">
        <f t="shared" si="73"/>
        <v>9.2013888861401938E-3</v>
      </c>
      <c r="N181" s="7">
        <f t="shared" si="94"/>
        <v>13.249999996041879</v>
      </c>
      <c r="O181" s="7"/>
      <c r="P181" s="7"/>
      <c r="Q181" s="22"/>
      <c r="R181" s="157"/>
      <c r="S181" s="215">
        <f t="shared" si="93"/>
        <v>1</v>
      </c>
      <c r="T181" s="216" t="str">
        <f t="shared" si="74"/>
        <v>NorthBound</v>
      </c>
      <c r="U181" s="216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7" t="str">
        <f t="shared" si="75"/>
        <v>https://d0f6bd738d7f1b3e5a7ca70fe4ff75f0.us-east-1.aws.found.io/app/kibana#/discover/Steve-Slow-Train-Analysis-(2080s-and-2083s)?_g=(refreshInterval:(display:Off,pause:!f,section:0,value:0),time:(from:'2017-10-29T14:24:24-0600',mode:absolute,to:'2017-10-29T17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1" s="218" t="str">
        <f>IF(AA181&lt;VLOOKUP(AG181,Variables!$AC$3:$AD$8,2,FALSE),"Y","N")</f>
        <v>N</v>
      </c>
      <c r="X181" s="218">
        <f t="shared" si="95"/>
        <v>1</v>
      </c>
      <c r="Y181" s="218">
        <v>0.12330000000000001</v>
      </c>
      <c r="Z181" s="218">
        <v>5.8975999999999997</v>
      </c>
      <c r="AA181" s="218">
        <f t="shared" si="77"/>
        <v>5.7742999999999993</v>
      </c>
      <c r="AB181" s="219" t="e">
        <f>VLOOKUP(A181,Enforcements!$C$7:$K$11,8,0)</f>
        <v>#N/A</v>
      </c>
      <c r="AC181" s="219" t="e">
        <f>VLOOKUP(A181,Enforcements!$C$7:$E$11,3,0)</f>
        <v>#N/A</v>
      </c>
      <c r="AD181" s="186">
        <f t="shared" si="78"/>
        <v>1821</v>
      </c>
      <c r="AE181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81" s="221" t="str">
        <f t="shared" si="80"/>
        <v>"C:\Program Files (x86)\AstroGrep\AstroGrep.exe" /e /r /s /spath="%USERPROFILE%\AppData\Local\Temp\OnboardLogs" /stypes="app*4050*20171029*" /stext=" 22:.+((SYSTEM_STATE.+slice.+state.+changed )|(ment ac)|(multiple cpu faults)|(system.+state.+changed )|(\[timeout)|(PRM\|1\|D)|(kpr)|(kdp)|(train st.+moving)|(\|lc)|(penalty))"</v>
      </c>
      <c r="AG181" s="185" t="str">
        <f t="shared" si="81"/>
        <v>NW</v>
      </c>
      <c r="AH181" s="222" t="str">
        <f t="shared" ref="AH181" si="101">refinertdcruntimes&amp;" --tripid "&amp;A181&amp;" --locoid "&amp;B181&amp;" --swversion "&amp;C181&amp;" --startMP "&amp;D181&amp;" --initTime "&amp;TEXT(E181,"yyyy-mm-ddTHH:MM:SS")&amp;" --startdatetime "&amp;TEXT(F181,"yyyy-mm-ddTHH:MM:SS")&amp;" --delay "&amp;G181&amp;" --endMP "&amp;H181&amp;" --enddatetime "&amp;TEXT(I181,"yyyy-mm-ddTHH:MM:SS")&amp;" --enforcementcount "&amp;J181&amp;IF(outputrefinedruntimes," &gt;&gt;"&amp;RefinedRTDCRunTimesOutputFile,"")</f>
        <v>"%USERPROFILE%\Documents\GitHub\eaglep3\Utilities\RefineRTDCRunTimes.py" --tripid 1821-29 --locoid 4050 --swversion DE.1.0.9.0 --startMP 300:58655 --initTime 2017-10-29T15:24:24 --startdatetime 2017-10-29T16:09:16 --delay 45 --endMP 204:927 --enddatetime 2017-10-29T16:22:31 --enforcementcount 0 &gt;&gt;%USERPROFILE%\Documents\GitHub\eaglep3-reporting\EC\2017-10-29-refined-times.txt</v>
      </c>
      <c r="AI181" s="223" t="str">
        <f t="shared" ref="AI181" si="102">"echo {""issue"":{""subject"":"""&amp;R181&amp;""",""project_id"":79,""tracker_id"":40,""status_id"":"&amp;redmine_status&amp;",""priority_id"":"&amp;redmine_priority&amp;",""assigned_to_id"":"&amp;redmine_assignee&amp;",""start_date"":"""&amp;TEXT(I181,"YYYY-mm-dd")&amp;""",""description"":"""&amp;AJ181&amp;""",""custom_fields"":[{""id"":1,""name"":""Subdivision"",""value"":"""&amp;AG181&amp;"""},{""id"":4,""name"":""Milepost"",""value"":"""&amp;Z181&amp;"""},{""id"":17,""name"":""Train ID"",""value"":"""&amp;A181&amp;"""},{""id"":16,""name"":""Locomotive ID"",""value"":"""&amp;B181&amp;"""},{""id"":130,""name"":""Impact"",""value"":"""&amp;AK181&amp;"""},{""id"":150,""name"":""Time of Event (Mountain Time)"",""value"":"""&amp;TEXT(I181,"hh:mm:ss")&amp;"""},{""id"":151,""name"":""Denver Issue ID"",""value"":"""&amp;"""},{""id"":178,""name"":""Operational Impact"",""value"":"""&amp;redmine_op_impact&amp;"""},{""id"":179,""name"":""Denver Segment Assigned"",""value"":"""&amp;AL181&amp;"""}]}}"&amp;"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{"issue":{"subject":"","project_id":79,"tracker_id":40,"status_id":1,"priority_id":2,"assigned_to_id":338,"start_date":"2017-10-29","description":"","custom_fields":[{"id":1,"name":"Subdivision","value":"NW"},{"id":4,"name":"Milepost","value":"5.8976"},{"id":17,"name":"Train ID","value":"1821-29"},{"id":16,"name":"Locomotive ID","value":"4050"},{"id":130,"name":"Impact","value":""},{"id":150,"name":"Time of Event (Mountain Time)","value":"16:22:31"},{"id":151,"name":"Denver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182"/>
      <c r="AK181" s="186"/>
      <c r="AL181" s="186"/>
      <c r="AM181" s="187" t="str">
        <f t="shared" ref="AM181" si="103">"start /low /b "&amp;dls3logs&amp;" --loco "&amp;B181&amp;" --day "&amp;TEXT(F181,"YYYY-MM-DD")</f>
        <v>start /low /b %USERPROFILE%\Documents\GitHub\eaglep3\Utilities\DownloadLogsFromS3.py --loco 4050 --day 2017-10-29</v>
      </c>
      <c r="AN181" s="224" t="str">
        <f t="shared" ref="AN181" si="104">"echo {""issue"":{""subject"":"""&amp;R181&amp;""",""project_id"":30,""tracker_id"":4,""status_id"":"&amp;redmine_status_wcr&amp;",""priority_id"":"&amp;redmine_priority_wcr&amp;",""assigned_to_id"":"&amp;redmine_assignee_wcr&amp;",""start_date"":"""&amp;TEXT(I181-utc_offset/24,"YYYY-mm-dd")&amp;""",""description"":"""&amp;AJ181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22:22:31"},{"id":29,"name":"Sharepoint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82" t="str">
        <f t="shared" ref="AO181" si="105"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Message%20ID',Summary),filters:!(),index:'emp_*',interval:auto,query:"&amp;"(query_string:(analyze_wildcard:!t,query:'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-10-29T14:24:24-0600',mode:absolute,to:'2017-10-29T17:22:31-0600'))&amp;_a=(columns:!('Message%20ID',Summary),filters:!(),index:'emp_*',interval:auto,query:(query_string:(analyze_wildcard:!t,query:'%22rtdc.l.rtdc.4050%22')),sort:!(Time.ISO8601,asc))</v>
      </c>
    </row>
    <row r="182" spans="1:91" s="20" customFormat="1" x14ac:dyDescent="0.3">
      <c r="A182" s="32" t="s">
        <v>804</v>
      </c>
      <c r="B182" s="7">
        <v>4049</v>
      </c>
      <c r="C182" s="21" t="s">
        <v>194</v>
      </c>
      <c r="D182" s="21" t="s">
        <v>977</v>
      </c>
      <c r="E182" s="13">
        <v>43037.683136574073</v>
      </c>
      <c r="F182" s="13">
        <v>43037.696574074071</v>
      </c>
      <c r="G182" s="7">
        <v>50</v>
      </c>
      <c r="H182" s="21" t="s">
        <v>978</v>
      </c>
      <c r="I182" s="13">
        <v>43037.705208333333</v>
      </c>
      <c r="J182" s="7">
        <v>0</v>
      </c>
      <c r="K182" s="76" t="str">
        <f t="shared" si="72"/>
        <v>4049/4050</v>
      </c>
      <c r="L182" s="164" t="str">
        <f>VLOOKUP(A182,'Trips&amp;Operators'!$C$1:$G$99911,5,FALSE)</f>
        <v>HOLCOMB KAMDEN</v>
      </c>
      <c r="M182" s="6">
        <f t="shared" si="73"/>
        <v>8.6342592621804215E-3</v>
      </c>
      <c r="N182" s="7">
        <f t="shared" si="94"/>
        <v>12.433333337539807</v>
      </c>
      <c r="O182" s="7"/>
      <c r="P182" s="7"/>
      <c r="Q182" s="22"/>
      <c r="R182" s="157"/>
      <c r="S182" s="215">
        <f t="shared" si="93"/>
        <v>1</v>
      </c>
      <c r="T182" s="216" t="str">
        <f t="shared" si="74"/>
        <v>Southbound</v>
      </c>
      <c r="U182" s="216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7" t="str">
        <f t="shared" si="75"/>
        <v>https://d0f6bd738d7f1b3e5a7ca70fe4ff75f0.us-east-1.aws.found.io/app/kibana#/discover/Steve-Slow-Train-Analysis-(2080s-and-2083s)?_g=(refreshInterval:(display:Off,pause:!f,section:0,value:0),time:(from:'2017-10-29T15:23:43-0600',mode:absolute,to:'2017-10-29T17:55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2" s="218" t="str">
        <f>IF(AA182&lt;VLOOKUP(AG182,Variables!$AC$3:$AD$8,2,FALSE),"Y","N")</f>
        <v>N</v>
      </c>
      <c r="X182" s="218">
        <f t="shared" si="95"/>
        <v>1</v>
      </c>
      <c r="Y182" s="218">
        <f>RIGHT(D182,LEN(D182)-4)/10000</f>
        <v>5.8659999999999997</v>
      </c>
      <c r="Z182" s="218">
        <f>RIGHT(H182,LEN(H182)-4)/10000</f>
        <v>9.1800000000000007E-2</v>
      </c>
      <c r="AA182" s="218">
        <f t="shared" si="77"/>
        <v>5.7741999999999996</v>
      </c>
      <c r="AB182" s="219" t="e">
        <f>VLOOKUP(A182,Enforcements!$C$7:$K$11,8,0)</f>
        <v>#N/A</v>
      </c>
      <c r="AC182" s="219" t="e">
        <f>VLOOKUP(A182,Enforcements!$C$7:$E$11,3,0)</f>
        <v>#N/A</v>
      </c>
      <c r="AD182" s="186">
        <f t="shared" si="78"/>
        <v>1822</v>
      </c>
      <c r="AE182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82" s="221" t="str">
        <f t="shared" si="80"/>
        <v>"C:\Program Files (x86)\AstroGrep\AstroGrep.exe" /e /r /s /spath="%USERPROFILE%\AppData\Local\Temp\OnboardLogs" /stypes="app*4049*20171029*" /stext=" 22:.+((SYSTEM_STATE.+slice.+state.+changed )|(ment ac)|(multiple cpu faults)|(system.+state.+changed )|(\[timeout)|(PRM\|1\|D)|(kpr)|(kdp)|(train st.+moving)|(\|lc)|(penalty))"</v>
      </c>
      <c r="AG182" s="185" t="str">
        <f t="shared" si="81"/>
        <v>NW</v>
      </c>
      <c r="AH182" s="222" t="str">
        <f t="shared" si="82"/>
        <v>"%USERPROFILE%\Documents\GitHub\eaglep3\Utilities\RefineRTDCRunTimes.py" --tripid 1822-29 --locoid 4049 --swversion DE.1.0.9.0 --startMP 300:58660 --initTime 2017-10-29T16:23:43 --startdatetime 2017-10-29T16:43:04 --delay 50 --endMP 204:918 --enddatetime 2017-10-29T16:55:30 --enforcementcount 0 &gt;&gt;%USERPROFILE%\Documents\GitHub\eaglep3-reporting\EC\2017-10-29-refined-times.txt</v>
      </c>
      <c r="AI182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{"issue":{"subject":"","project_id":79,"tracker_id":40,"status_id":1,"priority_id":2,"assigned_to_id":338,"start_date":"2017-10-29","description":"","custom_fields":[{"id":1,"name":"Subdivision","value":"NW"},{"id":4,"name":"Milepost","value":"0.0918"},{"id":17,"name":"Train ID","value":"1822-29"},{"id":16,"name":"Locomotive ID","value":"4049"},{"id":130,"name":"Impact","value":""},{"id":150,"name":"Time of Event (Mountain Time)","value":"16:55:30"},{"id":151,"name":"Denver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182"/>
      <c r="AK182" s="186"/>
      <c r="AL182" s="186"/>
      <c r="AM182" s="187" t="str">
        <f t="shared" si="84"/>
        <v>start /low /b %USERPROFILE%\Documents\GitHub\eaglep3\Utilities\DownloadLogsFromS3.py --loco 4049 --day 2017-10-29</v>
      </c>
      <c r="AN182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22:55:30"},{"id":29,"name":"Sharepoint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82" t="str">
        <f t="shared" si="86"/>
        <v>https://d0f6bd738d7f1b3e5a7ca70fe4ff75f0.us-east-1.aws.found.io/app/kibana#/discover/Steve-Slow-Train-Analysis-(2080s-and-2083s)?_g=(refreshInterval:(display:Off,pause:!f,section:0,value:0),time:(from:'2017-10-29T15:23:43-0600',mode:absolute,to:'2017-10-29T17:55:30-0600'))&amp;_a=(columns:!('Message%20ID',Summary),filters:!(),index:'emp_*',interval:auto,query:(query_string:(analyze_wildcard:!t,query:'%22rtdc.l.rtdc.4049%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32" t="s">
        <v>810</v>
      </c>
      <c r="B183" s="7">
        <v>4050</v>
      </c>
      <c r="C183" s="21" t="s">
        <v>194</v>
      </c>
      <c r="D183" s="21" t="s">
        <v>979</v>
      </c>
      <c r="E183" s="13">
        <v>43037.710196759261</v>
      </c>
      <c r="F183" s="13">
        <v>43037.715011574073</v>
      </c>
      <c r="G183" s="7">
        <v>126</v>
      </c>
      <c r="H183" s="21" t="s">
        <v>980</v>
      </c>
      <c r="I183" s="13">
        <v>43037.724560185183</v>
      </c>
      <c r="J183" s="7">
        <v>0</v>
      </c>
      <c r="K183" s="76" t="str">
        <f t="shared" si="72"/>
        <v>4049/4050</v>
      </c>
      <c r="L183" s="164" t="str">
        <f>VLOOKUP(A183,'Trips&amp;Operators'!$C$1:$G$99911,5,FALSE)</f>
        <v>HOLCOMB KAMDEN</v>
      </c>
      <c r="M183" s="6">
        <f t="shared" si="73"/>
        <v>9.5486111094942316E-3</v>
      </c>
      <c r="N183" s="7">
        <f t="shared" si="94"/>
        <v>13.749999997671694</v>
      </c>
      <c r="O183" s="7"/>
      <c r="P183" s="7"/>
      <c r="Q183" s="22"/>
      <c r="R183" s="157"/>
      <c r="S183" s="215">
        <f t="shared" si="93"/>
        <v>1</v>
      </c>
      <c r="T183" s="216" t="str">
        <f t="shared" si="74"/>
        <v>NorthBound</v>
      </c>
      <c r="U183" s="216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7" t="str">
        <f t="shared" si="75"/>
        <v>https://d0f6bd738d7f1b3e5a7ca70fe4ff75f0.us-east-1.aws.found.io/app/kibana#/discover/Steve-Slow-Train-Analysis-(2080s-and-2083s)?_g=(refreshInterval:(display:Off,pause:!f,section:0,value:0),time:(from:'2017-10-29T16:02:41-0600',mode:absolute,to:'2017-10-29T18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3" s="218" t="str">
        <f>IF(AA183&lt;VLOOKUP(AG183,Variables!$AC$3:$AD$8,2,FALSE),"Y","N")</f>
        <v>N</v>
      </c>
      <c r="X183" s="218">
        <f t="shared" si="95"/>
        <v>1</v>
      </c>
      <c r="Y183" s="218">
        <f>RIGHT(D183,LEN(D183)-4)/10000</f>
        <v>0.12189999999999999</v>
      </c>
      <c r="Z183" s="218">
        <f>RIGHT(H183,LEN(H183)-4)/10000</f>
        <v>5.8973000000000004</v>
      </c>
      <c r="AA183" s="218">
        <f t="shared" si="77"/>
        <v>5.7754000000000003</v>
      </c>
      <c r="AB183" s="219" t="e">
        <f>VLOOKUP(A183,Enforcements!$C$7:$K$11,8,0)</f>
        <v>#N/A</v>
      </c>
      <c r="AC183" s="219" t="e">
        <f>VLOOKUP(A183,Enforcements!$C$7:$E$11,3,0)</f>
        <v>#N/A</v>
      </c>
      <c r="AD183" s="186">
        <f t="shared" si="78"/>
        <v>1823</v>
      </c>
      <c r="AE183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83" s="221" t="str">
        <f t="shared" si="80"/>
        <v>"C:\Program Files (x86)\AstroGrep\AstroGrep.exe" /e /r /s /spath="%USERPROFILE%\AppData\Local\Temp\OnboardLogs" /stypes="app*4050*20171029*" /stext=" 23:.+((SYSTEM_STATE.+slice.+state.+changed )|(ment ac)|(multiple cpu faults)|(system.+state.+changed )|(\[timeout)|(PRM\|1\|D)|(kpr)|(kdp)|(train st.+moving)|(\|lc)|(penalty))"</v>
      </c>
      <c r="AG183" s="185" t="str">
        <f t="shared" si="81"/>
        <v>NW</v>
      </c>
      <c r="AH183" s="222" t="str">
        <f t="shared" si="82"/>
        <v>"%USERPROFILE%\Documents\GitHub\eaglep3\Utilities\RefineRTDCRunTimes.py" --tripid 1823-29 --locoid 4050 --swversion DE.1.0.9.0 --startMP 204:1219 --initTime 2017-10-29T17:02:41 --startdatetime 2017-10-29T17:09:37 --delay 126 --endMP 300:58973 --enddatetime 2017-10-29T17:23:22 --enforcementcount 0 &gt;&gt;%USERPROFILE%\Documents\GitHub\eaglep3-reporting\EC\2017-10-29-refined-times.txt</v>
      </c>
      <c r="AI183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{"issue":{"subject":"","project_id":79,"tracker_id":40,"status_id":1,"priority_id":2,"assigned_to_id":338,"start_date":"2017-10-29","description":"","custom_fields":[{"id":1,"name":"Subdivision","value":"NW"},{"id":4,"name":"Milepost","value":"5.8973"},{"id":17,"name":"Train ID","value":"1823-29"},{"id":16,"name":"Locomotive ID","value":"4050"},{"id":130,"name":"Impact","value":""},{"id":150,"name":"Time of Event (Mountain Time)","value":"17:23:22"},{"id":151,"name":"Denver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182"/>
      <c r="AK183" s="186"/>
      <c r="AL183" s="186"/>
      <c r="AM183" s="187" t="str">
        <f t="shared" si="84"/>
        <v>start /low /b %USERPROFILE%\Documents\GitHub\eaglep3\Utilities\DownloadLogsFromS3.py --loco 4050 --day 2017-10-29</v>
      </c>
      <c r="AN183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23:23:22"},{"id":29,"name":"Sharepoint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82" t="str">
        <f t="shared" si="86"/>
        <v>https://d0f6bd738d7f1b3e5a7ca70fe4ff75f0.us-east-1.aws.found.io/app/kibana#/discover/Steve-Slow-Train-Analysis-(2080s-and-2083s)?_g=(refreshInterval:(display:Off,pause:!f,section:0,value:0),time:(from:'2017-10-29T16:02:41-0600',mode:absolute,to:'2017-10-29T18:23:22-0600'))&amp;_a=(columns:!('Message%20ID',Summary),filters:!(),index:'emp_*',interval:auto,query:(query_string:(analyze_wildcard:!t,query:'%22rtdc.l.rtdc.4050%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3">
      <c r="A184" s="32" t="s">
        <v>815</v>
      </c>
      <c r="B184" s="7">
        <v>4049</v>
      </c>
      <c r="C184" s="21" t="s">
        <v>194</v>
      </c>
      <c r="D184" s="21" t="s">
        <v>624</v>
      </c>
      <c r="E184" s="13">
        <v>43037.726030092592</v>
      </c>
      <c r="F184" s="13">
        <v>43037.738240740742</v>
      </c>
      <c r="G184" s="7">
        <v>122</v>
      </c>
      <c r="H184" s="21" t="s">
        <v>981</v>
      </c>
      <c r="I184" s="13">
        <v>43037.746770833335</v>
      </c>
      <c r="J184" s="7">
        <v>0</v>
      </c>
      <c r="K184" s="76" t="str">
        <f t="shared" si="72"/>
        <v>4049/4050</v>
      </c>
      <c r="L184" s="164" t="str">
        <f>VLOOKUP(A184,'Trips&amp;Operators'!$C$1:$G$99911,5,FALSE)</f>
        <v>HOLCOMB KAMDEN</v>
      </c>
      <c r="M184" s="6">
        <f t="shared" si="73"/>
        <v>8.5300925929914229E-3</v>
      </c>
      <c r="N184" s="7">
        <f t="shared" si="94"/>
        <v>12.283333333907649</v>
      </c>
      <c r="O184" s="7"/>
      <c r="P184" s="7"/>
      <c r="Q184" s="22"/>
      <c r="R184" s="157"/>
      <c r="S184" s="215">
        <f t="shared" si="93"/>
        <v>1</v>
      </c>
      <c r="T184" s="216" t="str">
        <f t="shared" si="74"/>
        <v>Southbound</v>
      </c>
      <c r="U184" s="216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7" t="str">
        <f t="shared" si="75"/>
        <v>https://d0f6bd738d7f1b3e5a7ca70fe4ff75f0.us-east-1.aws.found.io/app/kibana#/discover/Steve-Slow-Train-Analysis-(2080s-and-2083s)?_g=(refreshInterval:(display:Off,pause:!f,section:0,value:0),time:(from:'2017-10-29T16:25:29-0600',mode:absolute,to:'2017-10-29T18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4" s="218" t="str">
        <f>IF(AA184&lt;VLOOKUP(AG184,Variables!$AC$3:$AD$8,2,FALSE),"Y","N")</f>
        <v>N</v>
      </c>
      <c r="X184" s="218">
        <f t="shared" si="95"/>
        <v>1</v>
      </c>
      <c r="Y184" s="218">
        <f>RIGHT(D184,LEN(D184)-4)/10000</f>
        <v>5.8658000000000001</v>
      </c>
      <c r="Z184" s="218">
        <f>RIGHT(H184,LEN(H184)-4)/10000</f>
        <v>9.6000000000000002E-2</v>
      </c>
      <c r="AA184" s="218">
        <f t="shared" si="77"/>
        <v>5.7698</v>
      </c>
      <c r="AB184" s="219" t="e">
        <f>VLOOKUP(A184,Enforcements!$C$7:$K$11,8,0)</f>
        <v>#N/A</v>
      </c>
      <c r="AC184" s="219" t="e">
        <f>VLOOKUP(A184,Enforcements!$C$7:$E$11,3,0)</f>
        <v>#N/A</v>
      </c>
      <c r="AD184" s="186">
        <f t="shared" si="78"/>
        <v>1824</v>
      </c>
      <c r="AE184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84" s="221" t="str">
        <f t="shared" si="80"/>
        <v>"C:\Program Files (x86)\AstroGrep\AstroGrep.exe" /e /r /s /spath="%USERPROFILE%\AppData\Local\Temp\OnboardLogs" /stypes="app*4049*20171029*" /stext=" 23:.+((SYSTEM_STATE.+slice.+state.+changed )|(ment ac)|(multiple cpu faults)|(system.+state.+changed )|(\[timeout)|(PRM\|1\|D)|(kpr)|(kdp)|(train st.+moving)|(\|lc)|(penalty))"</v>
      </c>
      <c r="AG184" s="185" t="str">
        <f t="shared" si="81"/>
        <v>NW</v>
      </c>
      <c r="AH184" s="222" t="str">
        <f t="shared" si="82"/>
        <v>"%USERPROFILE%\Documents\GitHub\eaglep3\Utilities\RefineRTDCRunTimes.py" --tripid 1824-29 --locoid 4049 --swversion DE.1.0.9.0 --startMP 300:58658 --initTime 2017-10-29T17:25:29 --startdatetime 2017-10-29T17:43:04 --delay 122 --endMP 204:960 --enddatetime 2017-10-29T17:55:21 --enforcementcount 0 &gt;&gt;%USERPROFILE%\Documents\GitHub\eaglep3-reporting\EC\2017-10-29-refined-times.txt</v>
      </c>
      <c r="AI184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{"issue":{"subject":"","project_id":79,"tracker_id":40,"status_id":1,"priority_id":2,"assigned_to_id":338,"start_date":"2017-10-29","description":"","custom_fields":[{"id":1,"name":"Subdivision","value":"NW"},{"id":4,"name":"Milepost","value":"0.096"},{"id":17,"name":"Train ID","value":"1824-29"},{"id":16,"name":"Locomotive ID","value":"4049"},{"id":130,"name":"Impact","value":""},{"id":150,"name":"Time of Event (Mountain Time)","value":"17:55:21"},{"id":151,"name":"Denver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4" s="182"/>
      <c r="AK184" s="186"/>
      <c r="AL184" s="186"/>
      <c r="AM184" s="187" t="str">
        <f t="shared" si="84"/>
        <v>start /low /b %USERPROFILE%\Documents\GitHub\eaglep3\Utilities\DownloadLogsFromS3.py --loco 4049 --day 2017-10-29</v>
      </c>
      <c r="AN184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23:55:21"},{"id":29,"name":"Sharepoint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82" t="str">
        <f t="shared" si="86"/>
        <v>https://d0f6bd738d7f1b3e5a7ca70fe4ff75f0.us-east-1.aws.found.io/app/kibana#/discover/Steve-Slow-Train-Analysis-(2080s-and-2083s)?_g=(refreshInterval:(display:Off,pause:!f,section:0,value:0),time:(from:'2017-10-29T16:25:29-0600',mode:absolute,to:'2017-10-29T18:55:21-0600'))&amp;_a=(columns:!('Message%20ID',Summary),filters:!(),index:'emp_*',interval:auto,query:(query_string:(analyze_wildcard:!t,query:'%22rtdc.l.rtdc.4049%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32" t="s">
        <v>821</v>
      </c>
      <c r="B185" s="7">
        <v>4050</v>
      </c>
      <c r="C185" s="21" t="s">
        <v>194</v>
      </c>
      <c r="D185" s="21" t="s">
        <v>624</v>
      </c>
      <c r="E185" s="13">
        <v>43037.726030092592</v>
      </c>
      <c r="F185" s="13">
        <v>43037.756597222222</v>
      </c>
      <c r="G185" s="7">
        <v>122</v>
      </c>
      <c r="H185" s="21" t="s">
        <v>981</v>
      </c>
      <c r="I185" s="13">
        <v>43037.765821759262</v>
      </c>
      <c r="J185" s="7">
        <v>0</v>
      </c>
      <c r="K185" s="76" t="str">
        <f t="shared" si="72"/>
        <v>4049/4050</v>
      </c>
      <c r="L185" s="164" t="str">
        <f>VLOOKUP(A185,'Trips&amp;Operators'!$C$1:$G$99911,5,FALSE)</f>
        <v>HOLCOMB KAMDEN</v>
      </c>
      <c r="M185" s="6">
        <f t="shared" si="73"/>
        <v>9.2245370396994986E-3</v>
      </c>
      <c r="N185" s="7">
        <f t="shared" si="94"/>
        <v>13.283333337167278</v>
      </c>
      <c r="O185" s="7"/>
      <c r="P185" s="7"/>
      <c r="Q185" s="22"/>
      <c r="R185" s="157"/>
      <c r="S185" s="215">
        <f t="shared" si="93"/>
        <v>1</v>
      </c>
      <c r="T185" s="216" t="str">
        <f t="shared" si="74"/>
        <v>NorthBound</v>
      </c>
      <c r="U185" s="216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7" t="str">
        <f t="shared" si="75"/>
        <v>https://d0f6bd738d7f1b3e5a7ca70fe4ff75f0.us-east-1.aws.found.io/app/kibana#/discover/Steve-Slow-Train-Analysis-(2080s-and-2083s)?_g=(refreshInterval:(display:Off,pause:!f,section:0,value:0),time:(from:'2017-10-29T16:25:29-0600',mode:absolute,to:'2017-10-29T19:22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5" s="218" t="str">
        <f>IF(AA185&lt;VLOOKUP(AG185,Variables!$AC$3:$AD$8,2,FALSE),"Y","N")</f>
        <v>N</v>
      </c>
      <c r="X185" s="218">
        <f t="shared" si="95"/>
        <v>1</v>
      </c>
      <c r="Y185" s="218">
        <v>0.12189999999999999</v>
      </c>
      <c r="Z185" s="218">
        <v>5.8973000000000004</v>
      </c>
      <c r="AA185" s="218">
        <f t="shared" si="77"/>
        <v>5.7754000000000003</v>
      </c>
      <c r="AB185" s="219" t="e">
        <f>VLOOKUP(A185,Enforcements!$C$7:$K$11,8,0)</f>
        <v>#N/A</v>
      </c>
      <c r="AC185" s="219" t="e">
        <f>VLOOKUP(A185,Enforcements!$C$7:$E$11,3,0)</f>
        <v>#N/A</v>
      </c>
      <c r="AD185" s="186">
        <f t="shared" si="78"/>
        <v>1825</v>
      </c>
      <c r="AE185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85" s="221" t="str">
        <f t="shared" si="80"/>
        <v>"C:\Program Files (x86)\AstroGrep\AstroGrep.exe" /e /r /s /spath="%USERPROFILE%\AppData\Local\Temp\OnboardLogs" /stypes="app*4050*20171030*" /stext=" 00:.+((SYSTEM_STATE.+slice.+state.+changed )|(ment ac)|(multiple cpu faults)|(system.+state.+changed )|(\[timeout)|(PRM\|1\|D)|(kpr)|(kdp)|(train st.+moving)|(\|lc)|(penalty))"</v>
      </c>
      <c r="AG185" s="185" t="str">
        <f t="shared" si="81"/>
        <v>NW</v>
      </c>
      <c r="AH185" s="222" t="str">
        <f t="shared" ref="AH185" si="106"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1825-29 --locoid 4050 --swversion DE.1.0.9.0 --startMP 300:58658 --initTime 2017-10-29T17:25:29 --startdatetime 2017-10-29T18:09:30 --delay 122 --endMP 204:960 --enddatetime 2017-10-29T18:22:47 --enforcementcount 0 &gt;&gt;%USERPROFILE%\Documents\GitHub\eaglep3-reporting\EC\2017-10-29-refined-times.txt</v>
      </c>
      <c r="AI185" s="223" t="str">
        <f t="shared" ref="AI185" si="107"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{"issue":{"subject":"","project_id":79,"tracker_id":40,"status_id":1,"priority_id":2,"assigned_to_id":338,"start_date":"2017-10-29","description":"","custom_fields":[{"id":1,"name":"Subdivision","value":"NW"},{"id":4,"name":"Milepost","value":"5.8973"},{"id":17,"name":"Train ID","value":"1825-29"},{"id":16,"name":"Locomotive ID","value":"4050"},{"id":130,"name":"Impact","value":""},{"id":150,"name":"Time of Event (Mountain Time)","value":"18:22:47"},{"id":151,"name":"Denver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182"/>
      <c r="AK185" s="186"/>
      <c r="AL185" s="186"/>
      <c r="AM185" s="187" t="str">
        <f t="shared" ref="AM185" si="108">"start /low /b "&amp;dls3logs&amp;" --loco "&amp;B185&amp;" --day "&amp;TEXT(F185,"YYYY-MM-DD")</f>
        <v>start /low /b %USERPROFILE%\Documents\GitHub\eaglep3\Utilities\DownloadLogsFromS3.py --loco 4050 --day 2017-10-29</v>
      </c>
      <c r="AN185" s="224" t="str">
        <f t="shared" ref="AN185" si="109"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00:22:47"},{"id":29,"name":"Sharepoint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82" t="str">
        <f t="shared" ref="AO185" si="110"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Message%20ID',Summary),filters:!(),index:'emp_*',interval:auto,query:"&amp;"(query_string:(analyze_wildcard:!t,query:'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-10-29T16:25:29-0600',mode:absolute,to:'2017-10-29T19:22:47-0600'))&amp;_a=(columns:!('Message%20ID',Summary),filters:!(),index:'emp_*',interval:auto,query:(query_string:(analyze_wildcard:!t,query:'%22rtdc.l.rtdc.4050%22')),sort:!(Time.ISO8601,asc))</v>
      </c>
    </row>
    <row r="186" spans="1:91" s="20" customFormat="1" x14ac:dyDescent="0.3">
      <c r="A186" s="32" t="s">
        <v>827</v>
      </c>
      <c r="B186" s="7">
        <v>4049</v>
      </c>
      <c r="C186" s="21" t="s">
        <v>194</v>
      </c>
      <c r="D186" s="21" t="s">
        <v>982</v>
      </c>
      <c r="E186" s="13">
        <v>43037.766701388886</v>
      </c>
      <c r="F186" s="13">
        <v>43037.780011574076</v>
      </c>
      <c r="G186" s="7">
        <v>52</v>
      </c>
      <c r="H186" s="21" t="s">
        <v>983</v>
      </c>
      <c r="I186" s="13">
        <v>43037.788530092592</v>
      </c>
      <c r="J186" s="7">
        <v>0</v>
      </c>
      <c r="K186" s="76" t="str">
        <f t="shared" si="72"/>
        <v>4049/4050</v>
      </c>
      <c r="L186" s="164" t="str">
        <f>VLOOKUP(A186,'Trips&amp;Operators'!$C$1:$G$99911,5,FALSE)</f>
        <v>HOLCOMB KAMDEN</v>
      </c>
      <c r="M186" s="6">
        <f t="shared" si="73"/>
        <v>8.5185185162117705E-3</v>
      </c>
      <c r="N186" s="7">
        <f t="shared" si="94"/>
        <v>12.266666663344949</v>
      </c>
      <c r="O186" s="7"/>
      <c r="P186" s="7"/>
      <c r="Q186" s="22"/>
      <c r="R186" s="157"/>
      <c r="S186" s="215">
        <f t="shared" si="93"/>
        <v>1</v>
      </c>
      <c r="T186" s="216" t="str">
        <f t="shared" si="74"/>
        <v>Southbound</v>
      </c>
      <c r="U186" s="216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7" t="str">
        <f t="shared" si="75"/>
        <v>https://d0f6bd738d7f1b3e5a7ca70fe4ff75f0.us-east-1.aws.found.io/app/kibana#/discover/Steve-Slow-Train-Analysis-(2080s-and-2083s)?_g=(refreshInterval:(display:Off,pause:!f,section:0,value:0),time:(from:'2017-10-29T17:24:03-0600',mode:absolute,to:'2017-10-29T19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6" s="218" t="str">
        <f>IF(AA186&lt;VLOOKUP(AG186,Variables!$AC$3:$AD$8,2,FALSE),"Y","N")</f>
        <v>N</v>
      </c>
      <c r="X186" s="218">
        <f t="shared" ref="X186:X187" si="111">VALUE(LEFT(AD186,4))-VALUE(LEFT(AD185,4))</f>
        <v>1</v>
      </c>
      <c r="Y186" s="218">
        <f>RIGHT(D186,LEN(D186)-4)/10000</f>
        <v>5.8673000000000002</v>
      </c>
      <c r="Z186" s="218">
        <f>RIGHT(H186,LEN(H186)-4)/10000</f>
        <v>9.4100000000000003E-2</v>
      </c>
      <c r="AA186" s="218">
        <f t="shared" si="77"/>
        <v>5.7732000000000001</v>
      </c>
      <c r="AB186" s="219" t="e">
        <f>VLOOKUP(A186,Enforcements!$C$7:$K$11,8,0)</f>
        <v>#N/A</v>
      </c>
      <c r="AC186" s="219" t="e">
        <f>VLOOKUP(A186,Enforcements!$C$7:$E$11,3,0)</f>
        <v>#N/A</v>
      </c>
      <c r="AD186" s="186">
        <f t="shared" si="78"/>
        <v>1826</v>
      </c>
      <c r="AE186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86" s="221" t="str">
        <f t="shared" si="80"/>
        <v>"C:\Program Files (x86)\AstroGrep\AstroGrep.exe" /e /r /s /spath="%USERPROFILE%\AppData\Local\Temp\OnboardLogs" /stypes="app*4049*20171030*" /stext=" 00:.+((SYSTEM_STATE.+slice.+state.+changed )|(ment ac)|(multiple cpu faults)|(system.+state.+changed )|(\[timeout)|(PRM\|1\|D)|(kpr)|(kdp)|(train st.+moving)|(\|lc)|(penalty))"</v>
      </c>
      <c r="AG186" s="185" t="str">
        <f t="shared" si="81"/>
        <v>NW</v>
      </c>
      <c r="AH186" s="222" t="str">
        <f t="shared" si="82"/>
        <v>"%USERPROFILE%\Documents\GitHub\eaglep3\Utilities\RefineRTDCRunTimes.py" --tripid 1826-29 --locoid 4049 --swversion DE.1.0.9.0 --startMP 300:58673 --initTime 2017-10-29T18:24:03 --startdatetime 2017-10-29T18:43:13 --delay 52 --endMP 204:941 --enddatetime 2017-10-29T18:55:29 --enforcementcount 0 &gt;&gt;%USERPROFILE%\Documents\GitHub\eaglep3-reporting\EC\2017-10-29-refined-times.txt</v>
      </c>
      <c r="AI186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{"issue":{"subject":"","project_id":79,"tracker_id":40,"status_id":1,"priority_id":2,"assigned_to_id":338,"start_date":"2017-10-29","description":"","custom_fields":[{"id":1,"name":"Subdivision","value":"NW"},{"id":4,"name":"Milepost","value":"0.0941"},{"id":17,"name":"Train ID","value":"1826-29"},{"id":16,"name":"Locomotive ID","value":"4049"},{"id":130,"name":"Impact","value":""},{"id":150,"name":"Time of Event (Mountain Time)","value":"18:55:29"},{"id":151,"name":"Denver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6" s="182"/>
      <c r="AK186" s="186"/>
      <c r="AL186" s="186"/>
      <c r="AM186" s="187" t="str">
        <f t="shared" si="84"/>
        <v>start /low /b %USERPROFILE%\Documents\GitHub\eaglep3\Utilities\DownloadLogsFromS3.py --loco 4049 --day 2017-10-29</v>
      </c>
      <c r="AN186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00:55:29"},{"id":29,"name":"Sharepoint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82" t="str">
        <f t="shared" si="86"/>
        <v>https://d0f6bd738d7f1b3e5a7ca70fe4ff75f0.us-east-1.aws.found.io/app/kibana#/discover/Steve-Slow-Train-Analysis-(2080s-and-2083s)?_g=(refreshInterval:(display:Off,pause:!f,section:0,value:0),time:(from:'2017-10-29T17:24:03-0600',mode:absolute,to:'2017-10-29T19:55:29-0600'))&amp;_a=(columns:!('Message%20ID',Summary),filters:!(),index:'emp_*',interval:auto,query:(query_string:(analyze_wildcard:!t,query:'%22rtdc.l.rtdc.4049%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3">
      <c r="A187" s="32" t="s">
        <v>832</v>
      </c>
      <c r="B187" s="7">
        <v>4050</v>
      </c>
      <c r="C187" s="21" t="s">
        <v>194</v>
      </c>
      <c r="D187" s="21" t="s">
        <v>984</v>
      </c>
      <c r="E187" s="13">
        <v>43037.796469907407</v>
      </c>
      <c r="F187" s="13">
        <v>43037.798263888886</v>
      </c>
      <c r="G187" s="7">
        <v>47</v>
      </c>
      <c r="H187" s="21" t="s">
        <v>985</v>
      </c>
      <c r="I187" s="13">
        <v>43037.808321759258</v>
      </c>
      <c r="J187" s="7">
        <v>0</v>
      </c>
      <c r="K187" s="76" t="str">
        <f t="shared" si="72"/>
        <v>4049/4050</v>
      </c>
      <c r="L187" s="164" t="str">
        <f>VLOOKUP(A187,'Trips&amp;Operators'!$C$1:$G$99911,5,FALSE)</f>
        <v>HOLCOMB KAMDEN</v>
      </c>
      <c r="M187" s="6">
        <f t="shared" si="73"/>
        <v>1.0057870371383615E-2</v>
      </c>
      <c r="N187" s="7">
        <f t="shared" si="94"/>
        <v>14.483333334792405</v>
      </c>
      <c r="O187" s="7"/>
      <c r="P187" s="7"/>
      <c r="Q187" s="22"/>
      <c r="R187" s="157"/>
      <c r="S187" s="215">
        <f t="shared" si="93"/>
        <v>1</v>
      </c>
      <c r="T187" s="216" t="str">
        <f t="shared" si="74"/>
        <v>NorthBound</v>
      </c>
      <c r="U187" s="216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7" t="str">
        <f t="shared" si="75"/>
        <v>https://d0f6bd738d7f1b3e5a7ca70fe4ff75f0.us-east-1.aws.found.io/app/kibana#/discover/Steve-Slow-Train-Analysis-(2080s-and-2083s)?_g=(refreshInterval:(display:Off,pause:!f,section:0,value:0),time:(from:'2017-10-29T18:06:55-0600',mode:absolute,to:'2017-10-29T20:23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7" s="218" t="str">
        <f>IF(AA187&lt;VLOOKUP(AG187,Variables!$AC$3:$AD$8,2,FALSE),"Y","N")</f>
        <v>N</v>
      </c>
      <c r="X187" s="218">
        <f t="shared" si="111"/>
        <v>1</v>
      </c>
      <c r="Y187" s="218">
        <f>RIGHT(D187,LEN(D187)-4)/10000</f>
        <v>0.1226</v>
      </c>
      <c r="Z187" s="218">
        <f>RIGHT(H187,LEN(H187)-4)/10000</f>
        <v>5.8975</v>
      </c>
      <c r="AA187" s="218">
        <f t="shared" si="77"/>
        <v>5.7748999999999997</v>
      </c>
      <c r="AB187" s="219" t="e">
        <f>VLOOKUP(A187,Enforcements!$C$7:$K$11,8,0)</f>
        <v>#N/A</v>
      </c>
      <c r="AC187" s="219" t="e">
        <f>VLOOKUP(A187,Enforcements!$C$7:$E$11,3,0)</f>
        <v>#N/A</v>
      </c>
      <c r="AD187" s="186">
        <f t="shared" si="78"/>
        <v>1827</v>
      </c>
      <c r="AE187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87" s="221" t="str">
        <f t="shared" si="80"/>
        <v>"C:\Program Files (x86)\AstroGrep\AstroGrep.exe" /e /r /s /spath="%USERPROFILE%\AppData\Local\Temp\OnboardLogs" /stypes="app*4050*20171030*" /stext=" 01:.+((SYSTEM_STATE.+slice.+state.+changed )|(ment ac)|(multiple cpu faults)|(system.+state.+changed )|(\[timeout)|(PRM\|1\|D)|(kpr)|(kdp)|(train st.+moving)|(\|lc)|(penalty))"</v>
      </c>
      <c r="AG187" s="185" t="str">
        <f t="shared" si="81"/>
        <v>NW</v>
      </c>
      <c r="AH187" s="222" t="str">
        <f t="shared" si="82"/>
        <v>"%USERPROFILE%\Documents\GitHub\eaglep3\Utilities\RefineRTDCRunTimes.py" --tripid 1827-29 --locoid 4050 --swversion DE.1.0.9.0 --startMP 204:1226 --initTime 2017-10-29T19:06:55 --startdatetime 2017-10-29T19:09:30 --delay 47 --endMP 300:58975 --enddatetime 2017-10-29T19:23:59 --enforcementcount 0 &gt;&gt;%USERPROFILE%\Documents\GitHub\eaglep3-reporting\EC\2017-10-29-refined-times.txt</v>
      </c>
      <c r="AI187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{"issue":{"subject":"","project_id":79,"tracker_id":40,"status_id":1,"priority_id":2,"assigned_to_id":338,"start_date":"2017-10-29","description":"","custom_fields":[{"id":1,"name":"Subdivision","value":"NW"},{"id":4,"name":"Milepost","value":"5.8975"},{"id":17,"name":"Train ID","value":"1827-29"},{"id":16,"name":"Locomotive ID","value":"4050"},{"id":130,"name":"Impact","value":""},{"id":150,"name":"Time of Event (Mountain Time)","value":"19:23:59"},{"id":151,"name":"Denver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182"/>
      <c r="AK187" s="186"/>
      <c r="AL187" s="186"/>
      <c r="AM187" s="187" t="str">
        <f t="shared" si="84"/>
        <v>start /low /b %USERPROFILE%\Documents\GitHub\eaglep3\Utilities\DownloadLogsFromS3.py --loco 4050 --day 2017-10-29</v>
      </c>
      <c r="AN187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01:23:59"},{"id":29,"name":"Sharepoint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82" t="str">
        <f t="shared" si="86"/>
        <v>https://d0f6bd738d7f1b3e5a7ca70fe4ff75f0.us-east-1.aws.found.io/app/kibana#/discover/Steve-Slow-Train-Analysis-(2080s-and-2083s)?_g=(refreshInterval:(display:Off,pause:!f,section:0,value:0),time:(from:'2017-10-29T18:06:55-0600',mode:absolute,to:'2017-10-29T20:23:59-0600'))&amp;_a=(columns:!('Message%20ID',Summary),filters:!(),index:'emp_*',interval:auto,query:(query_string:(analyze_wildcard:!t,query:'%22rtdc.l.rtdc.4050%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32" t="s">
        <v>835</v>
      </c>
      <c r="B188" s="7">
        <v>4049</v>
      </c>
      <c r="C188" s="21" t="s">
        <v>194</v>
      </c>
      <c r="D188" s="21" t="s">
        <v>986</v>
      </c>
      <c r="E188" s="13">
        <v>43037.809305555558</v>
      </c>
      <c r="F188" s="13">
        <v>43037.821608796294</v>
      </c>
      <c r="G188" s="7">
        <v>49</v>
      </c>
      <c r="H188" s="21" t="s">
        <v>987</v>
      </c>
      <c r="I188" s="13">
        <v>43037.830104166664</v>
      </c>
      <c r="J188" s="7">
        <v>0</v>
      </c>
      <c r="K188" s="76" t="str">
        <f t="shared" si="72"/>
        <v>4049/4050</v>
      </c>
      <c r="L188" s="164" t="str">
        <f>VLOOKUP(A188,'Trips&amp;Operators'!$C$1:$G$99911,5,FALSE)</f>
        <v>HOLCOMB KAMDEN</v>
      </c>
      <c r="M188" s="6">
        <f t="shared" si="73"/>
        <v>8.4953703699284233E-3</v>
      </c>
      <c r="N188" s="7">
        <f t="shared" si="94"/>
        <v>12.23333333269693</v>
      </c>
      <c r="O188" s="7"/>
      <c r="P188" s="7"/>
      <c r="Q188" s="22"/>
      <c r="R188" s="157"/>
      <c r="S188" s="215">
        <f t="shared" si="93"/>
        <v>1</v>
      </c>
      <c r="T188" s="216" t="str">
        <f t="shared" si="74"/>
        <v>Southbound</v>
      </c>
      <c r="U188" s="216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7" t="str">
        <f t="shared" si="75"/>
        <v>https://d0f6bd738d7f1b3e5a7ca70fe4ff75f0.us-east-1.aws.found.io/app/kibana#/discover/Steve-Slow-Train-Analysis-(2080s-and-2083s)?_g=(refreshInterval:(display:Off,pause:!f,section:0,value:0),time:(from:'2017-10-29T18:25:24-0600',mode:absolute,to:'2017-10-29T20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8" s="218" t="str">
        <f>IF(AA188&lt;VLOOKUP(AG188,Variables!$AC$3:$AD$8,2,FALSE),"Y","N")</f>
        <v>N</v>
      </c>
      <c r="X188" s="218">
        <f>VALUE(LEFT(AD188,4))-VALUE(LEFT(AD187,4))</f>
        <v>1</v>
      </c>
      <c r="Y188" s="218">
        <f>RIGHT(D188,LEN(D188)-4)/10000</f>
        <v>5.8653000000000004</v>
      </c>
      <c r="Z188" s="218">
        <f>RIGHT(H188,LEN(H188)-4)/10000</f>
        <v>9.1300000000000006E-2</v>
      </c>
      <c r="AA188" s="218">
        <f t="shared" si="77"/>
        <v>5.774</v>
      </c>
      <c r="AB188" s="219" t="e">
        <f>VLOOKUP(A188,Enforcements!$C$7:$K$11,8,0)</f>
        <v>#N/A</v>
      </c>
      <c r="AC188" s="219" t="e">
        <f>VLOOKUP(A188,Enforcements!$C$7:$E$11,3,0)</f>
        <v>#N/A</v>
      </c>
      <c r="AD188" s="186">
        <f t="shared" si="78"/>
        <v>1828</v>
      </c>
      <c r="AE188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88" s="221" t="str">
        <f t="shared" si="80"/>
        <v>"C:\Program Files (x86)\AstroGrep\AstroGrep.exe" /e /r /s /spath="%USERPROFILE%\AppData\Local\Temp\OnboardLogs" /stypes="app*4049*20171030*" /stext=" 01:.+((SYSTEM_STATE.+slice.+state.+changed )|(ment ac)|(multiple cpu faults)|(system.+state.+changed )|(\[timeout)|(PRM\|1\|D)|(kpr)|(kdp)|(train st.+moving)|(\|lc)|(penalty))"</v>
      </c>
      <c r="AG188" s="185" t="str">
        <f t="shared" si="81"/>
        <v>NW</v>
      </c>
      <c r="AH188" s="222" t="str">
        <f t="shared" si="82"/>
        <v>"%USERPROFILE%\Documents\GitHub\eaglep3\Utilities\RefineRTDCRunTimes.py" --tripid 1828-29 --locoid 4049 --swversion DE.1.0.9.0 --startMP 300:58653 --initTime 2017-10-29T19:25:24 --startdatetime 2017-10-29T19:43:07 --delay 49 --endMP 204:913 --enddatetime 2017-10-29T19:55:21 --enforcementcount 0 &gt;&gt;%USERPROFILE%\Documents\GitHub\eaglep3-reporting\EC\2017-10-29-refined-times.txt</v>
      </c>
      <c r="AI188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{"issue":{"subject":"","project_id":79,"tracker_id":40,"status_id":1,"priority_id":2,"assigned_to_id":338,"start_date":"2017-10-29","description":"","custom_fields":[{"id":1,"name":"Subdivision","value":"NW"},{"id":4,"name":"Milepost","value":"0.0913"},{"id":17,"name":"Train ID","value":"1828-29"},{"id":16,"name":"Locomotive ID","value":"4049"},{"id":130,"name":"Impact","value":""},{"id":150,"name":"Time of Event (Mountain Time)","value":"19:55:21"},{"id":151,"name":"Denver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182"/>
      <c r="AK188" s="186"/>
      <c r="AL188" s="186"/>
      <c r="AM188" s="187" t="str">
        <f t="shared" si="84"/>
        <v>start /low /b %USERPROFILE%\Documents\GitHub\eaglep3\Utilities\DownloadLogsFromS3.py --loco 4049 --day 2017-10-29</v>
      </c>
      <c r="AN188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01:55:21"},{"id":29,"name":"Sharepoint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82" t="str">
        <f t="shared" si="86"/>
        <v>https://d0f6bd738d7f1b3e5a7ca70fe4ff75f0.us-east-1.aws.found.io/app/kibana#/discover/Steve-Slow-Train-Analysis-(2080s-and-2083s)?_g=(refreshInterval:(display:Off,pause:!f,section:0,value:0),time:(from:'2017-10-29T18:25:24-0600',mode:absolute,to:'2017-10-29T20:55:21-0600'))&amp;_a=(columns:!('Message%20ID',Summary),filters:!(),index:'emp_*',interval:auto,query:(query_string:(analyze_wildcard:!t,query:'%22rtdc.l.rtdc.4049%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32" t="s">
        <v>840</v>
      </c>
      <c r="B189" s="7">
        <v>4050</v>
      </c>
      <c r="C189" s="21" t="s">
        <v>194</v>
      </c>
      <c r="D189" s="21" t="s">
        <v>986</v>
      </c>
      <c r="E189" s="13">
        <v>43037.809305555558</v>
      </c>
      <c r="F189" s="13">
        <v>43037.839895833335</v>
      </c>
      <c r="G189" s="7">
        <v>49</v>
      </c>
      <c r="H189" s="21" t="s">
        <v>987</v>
      </c>
      <c r="I189" s="13">
        <v>43037.849548611113</v>
      </c>
      <c r="J189" s="7">
        <v>0</v>
      </c>
      <c r="K189" s="76" t="str">
        <f t="shared" si="72"/>
        <v>4049/4050</v>
      </c>
      <c r="L189" s="164" t="str">
        <f>VLOOKUP(A189,'Trips&amp;Operators'!$C$1:$G$99911,5,FALSE)</f>
        <v>HOLCOMB KAMDEN</v>
      </c>
      <c r="M189" s="6">
        <f t="shared" si="73"/>
        <v>9.6527777786832303E-3</v>
      </c>
      <c r="N189" s="7">
        <f t="shared" si="94"/>
        <v>13.900000001303852</v>
      </c>
      <c r="O189" s="7"/>
      <c r="P189" s="7"/>
      <c r="Q189" s="22"/>
      <c r="R189" s="157"/>
      <c r="S189" s="215">
        <f t="shared" si="93"/>
        <v>1</v>
      </c>
      <c r="T189" s="216" t="str">
        <f t="shared" si="74"/>
        <v>NorthBound</v>
      </c>
      <c r="U189" s="216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17" t="str">
        <f t="shared" si="75"/>
        <v>https://d0f6bd738d7f1b3e5a7ca70fe4ff75f0.us-east-1.aws.found.io/app/kibana#/discover/Steve-Slow-Train-Analysis-(2080s-and-2083s)?_g=(refreshInterval:(display:Off,pause:!f,section:0,value:0),time:(from:'2017-10-29T18:25:24-0600',mode:absolute,to:'2017-10-29T21:23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9" s="218" t="str">
        <f>IF(AA189&lt;VLOOKUP(AG189,Variables!$AC$3:$AD$8,2,FALSE),"Y","N")</f>
        <v>N</v>
      </c>
      <c r="X189" s="218">
        <f>VALUE(LEFT(AD189,4))-VALUE(LEFT(AD188,4))</f>
        <v>1</v>
      </c>
      <c r="Y189" s="218">
        <v>0.1226</v>
      </c>
      <c r="Z189" s="218">
        <v>5.8975</v>
      </c>
      <c r="AA189" s="218">
        <f t="shared" si="77"/>
        <v>5.7748999999999997</v>
      </c>
      <c r="AB189" s="219" t="e">
        <f>VLOOKUP(A189,Enforcements!$C$7:$K$11,8,0)</f>
        <v>#N/A</v>
      </c>
      <c r="AC189" s="219" t="e">
        <f>VLOOKUP(A189,Enforcements!$C$7:$E$11,3,0)</f>
        <v>#N/A</v>
      </c>
      <c r="AD189" s="186">
        <f t="shared" si="78"/>
        <v>1829</v>
      </c>
      <c r="AE189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89" s="221" t="str">
        <f t="shared" si="80"/>
        <v>"C:\Program Files (x86)\AstroGrep\AstroGrep.exe" /e /r /s /spath="%USERPROFILE%\AppData\Local\Temp\OnboardLogs" /stypes="app*4050*20171030*" /stext=" 02:.+((SYSTEM_STATE.+slice.+state.+changed )|(ment ac)|(multiple cpu faults)|(system.+state.+changed )|(\[timeout)|(PRM\|1\|D)|(kpr)|(kdp)|(train st.+moving)|(\|lc)|(penalty))"</v>
      </c>
      <c r="AG189" s="185" t="str">
        <f t="shared" si="81"/>
        <v>NW</v>
      </c>
      <c r="AH189" s="222" t="str">
        <f t="shared" ref="AH189" si="112">refinertdcruntimes&amp;" --tripid "&amp;A189&amp;" --locoid "&amp;B189&amp;" --swversion "&amp;C189&amp;" --startMP "&amp;D189&amp;" --initTime "&amp;TEXT(E189,"yyyy-mm-ddTHH:MM:SS")&amp;" --startdatetime "&amp;TEXT(F189,"yyyy-mm-ddTHH:MM:SS")&amp;" --delay "&amp;G189&amp;" --endMP "&amp;H189&amp;" --enddatetime "&amp;TEXT(I189,"yyyy-mm-ddTHH:MM:SS")&amp;" --enforcementcount "&amp;J189&amp;IF(outputrefinedruntimes," &gt;&gt;"&amp;RefinedRTDCRunTimesOutputFile,"")</f>
        <v>"%USERPROFILE%\Documents\GitHub\eaglep3\Utilities\RefineRTDCRunTimes.py" --tripid 1829-29 --locoid 4050 --swversion DE.1.0.9.0 --startMP 300:58653 --initTime 2017-10-29T19:25:24 --startdatetime 2017-10-29T20:09:27 --delay 49 --endMP 204:913 --enddatetime 2017-10-29T20:23:21 --enforcementcount 0 &gt;&gt;%USERPROFILE%\Documents\GitHub\eaglep3-reporting\EC\2017-10-29-refined-times.txt</v>
      </c>
      <c r="AI189" s="223" t="str">
        <f t="shared" ref="AI189" si="113">"echo {""issue"":{""subject"":"""&amp;R189&amp;""",""project_id"":79,""tracker_id"":40,""status_id"":"&amp;redmine_status&amp;",""priority_id"":"&amp;redmine_priority&amp;",""assigned_to_id"":"&amp;redmine_assignee&amp;",""start_date"":"""&amp;TEXT(I189,"YYYY-mm-dd")&amp;""",""description"":"""&amp;AJ189&amp;""",""custom_fields"":[{""id"":1,""name"":""Subdivision"",""value"":"""&amp;AG189&amp;"""},{""id"":4,""name"":""Milepost"",""value"":"""&amp;Z189&amp;"""},{""id"":17,""name"":""Train ID"",""value"":"""&amp;A189&amp;"""},{""id"":16,""name"":""Locomotive ID"",""value"":"""&amp;B189&amp;"""},{""id"":130,""name"":""Impact"",""value"":"""&amp;AK189&amp;"""},{""id"":150,""name"":""Time of Event (Mountain Time)"",""value"":"""&amp;TEXT(I189,"hh:mm:ss")&amp;"""},{""id"":151,""name"":""Denver Issue ID"",""value"":"""&amp;"""},{""id"":178,""name"":""Operational Impact"",""value"":"""&amp;redmine_op_impact&amp;"""},{""id"":179,""name"":""Denver Segment Assigned"",""value"":"""&amp;AL189&amp;"""}]}}"&amp;"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{"issue":{"subject":"","project_id":79,"tracker_id":40,"status_id":1,"priority_id":2,"assigned_to_id":338,"start_date":"2017-10-29","description":"","custom_fields":[{"id":1,"name":"Subdivision","value":"NW"},{"id":4,"name":"Milepost","value":"5.8975"},{"id":17,"name":"Train ID","value":"1829-29"},{"id":16,"name":"Locomotive ID","value":"4050"},{"id":130,"name":"Impact","value":""},{"id":150,"name":"Time of Event (Mountain Time)","value":"20:23:21"},{"id":151,"name":"Denver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182"/>
      <c r="AK189" s="186"/>
      <c r="AL189" s="186"/>
      <c r="AM189" s="187" t="str">
        <f t="shared" ref="AM189" si="114">"start /low /b "&amp;dls3logs&amp;" --loco "&amp;B189&amp;" --day "&amp;TEXT(F189,"YYYY-MM-DD")</f>
        <v>start /low /b %USERPROFILE%\Documents\GitHub\eaglep3\Utilities\DownloadLogsFromS3.py --loco 4050 --day 2017-10-29</v>
      </c>
      <c r="AN189" s="224" t="str">
        <f t="shared" ref="AN189" si="115">"echo {""issue"":{""subject"":"""&amp;R189&amp;""",""project_id"":30,""tracker_id"":4,""status_id"":"&amp;redmine_status_wcr&amp;",""priority_id"":"&amp;redmine_priority_wcr&amp;",""assigned_to_id"":"&amp;redmine_assignee_wcr&amp;",""start_date"":"""&amp;TEXT(I189-utc_offset/24,"YYYY-mm-dd")&amp;""",""description"":"""&amp;AJ189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02:23:21"},{"id":29,"name":"Sharepoint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82" t="str">
        <f t="shared" ref="AO189" si="116"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Message%20ID',Summary),filters:!(),index:'emp_*',interval:auto,query:"&amp;"(query_string:(analyze_wildcard:!t,query:'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-10-29T18:25:24-0600',mode:absolute,to:'2017-10-29T21:23:21-0600'))&amp;_a=(columns:!('Message%20ID',Summary),filters:!(),index:'emp_*',interval:auto,query:(query_string:(analyze_wildcard:!t,query:'%22rtdc.l.rtdc.4050%22')),sort:!(Time.ISO8601,asc))</v>
      </c>
    </row>
    <row r="190" spans="1:91" s="20" customFormat="1" x14ac:dyDescent="0.3">
      <c r="A190" s="32" t="s">
        <v>843</v>
      </c>
      <c r="B190" s="7">
        <v>4049</v>
      </c>
      <c r="C190" s="21" t="s">
        <v>194</v>
      </c>
      <c r="D190" s="21" t="s">
        <v>988</v>
      </c>
      <c r="E190" s="13">
        <v>43037.850451388891</v>
      </c>
      <c r="F190" s="13">
        <v>43037.863287037035</v>
      </c>
      <c r="G190" s="7">
        <v>98</v>
      </c>
      <c r="H190" s="21" t="s">
        <v>989</v>
      </c>
      <c r="I190" s="13">
        <v>43037.871817129628</v>
      </c>
      <c r="J190" s="7">
        <v>0</v>
      </c>
      <c r="K190" s="76" t="str">
        <f t="shared" si="72"/>
        <v>4049/4050</v>
      </c>
      <c r="L190" s="164" t="str">
        <f>VLOOKUP(A190,'Trips&amp;Operators'!$C$1:$G$99911,5,FALSE)</f>
        <v>HOLCOMB KAMDEN</v>
      </c>
      <c r="M190" s="6">
        <f t="shared" si="73"/>
        <v>8.5300925929914229E-3</v>
      </c>
      <c r="N190" s="7">
        <f t="shared" si="94"/>
        <v>12.283333333907649</v>
      </c>
      <c r="O190" s="7"/>
      <c r="P190" s="7"/>
      <c r="Q190" s="22"/>
      <c r="R190" s="157"/>
      <c r="S190" s="215">
        <f t="shared" si="93"/>
        <v>1</v>
      </c>
      <c r="T190" s="216" t="str">
        <f t="shared" si="74"/>
        <v>Southbound</v>
      </c>
      <c r="U190" s="216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17" t="str">
        <f t="shared" si="75"/>
        <v>https://d0f6bd738d7f1b3e5a7ca70fe4ff75f0.us-east-1.aws.found.io/app/kibana#/discover/Steve-Slow-Train-Analysis-(2080s-and-2083s)?_g=(refreshInterval:(display:Off,pause:!f,section:0,value:0),time:(from:'2017-10-29T19:24:39-0600',mode:absolute,to:'2017-10-29T21:55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0" s="218" t="str">
        <f>IF(AA190&lt;VLOOKUP(AG190,Variables!$AC$3:$AD$8,2,FALSE),"Y","N")</f>
        <v>N</v>
      </c>
      <c r="X190" s="218">
        <f t="shared" ref="X190:X191" si="117">VALUE(LEFT(AD190,4))-VALUE(LEFT(AD189,4))</f>
        <v>1</v>
      </c>
      <c r="Y190" s="218">
        <f>RIGHT(D190,LEN(D190)-4)/10000</f>
        <v>5.8666</v>
      </c>
      <c r="Z190" s="218">
        <f>RIGHT(H190,LEN(H190)-4)/10000</f>
        <v>9.4399999999999998E-2</v>
      </c>
      <c r="AA190" s="218">
        <f t="shared" si="77"/>
        <v>5.7721999999999998</v>
      </c>
      <c r="AB190" s="219" t="e">
        <f>VLOOKUP(A190,Enforcements!$C$7:$K$11,8,0)</f>
        <v>#N/A</v>
      </c>
      <c r="AC190" s="219" t="e">
        <f>VLOOKUP(A190,Enforcements!$C$7:$E$11,3,0)</f>
        <v>#N/A</v>
      </c>
      <c r="AD190" s="186">
        <f t="shared" si="78"/>
        <v>1830</v>
      </c>
      <c r="AE190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90" s="221" t="str">
        <f t="shared" si="80"/>
        <v>"C:\Program Files (x86)\AstroGrep\AstroGrep.exe" /e /r /s /spath="%USERPROFILE%\AppData\Local\Temp\OnboardLogs" /stypes="app*4049*20171030*" /stext=" 02:.+((SYSTEM_STATE.+slice.+state.+changed )|(ment ac)|(multiple cpu faults)|(system.+state.+changed )|(\[timeout)|(PRM\|1\|D)|(kpr)|(kdp)|(train st.+moving)|(\|lc)|(penalty))"</v>
      </c>
      <c r="AG190" s="185" t="str">
        <f t="shared" si="81"/>
        <v>NW</v>
      </c>
      <c r="AH190" s="222" t="str">
        <f t="shared" si="82"/>
        <v>"%USERPROFILE%\Documents\GitHub\eaglep3\Utilities\RefineRTDCRunTimes.py" --tripid 1830-29 --locoid 4049 --swversion DE.1.0.9.0 --startMP 300:58666 --initTime 2017-10-29T20:24:39 --startdatetime 2017-10-29T20:43:08 --delay 98 --endMP 204:944 --enddatetime 2017-10-29T20:55:25 --enforcementcount 0 &gt;&gt;%USERPROFILE%\Documents\GitHub\eaglep3-reporting\EC\2017-10-29-refined-times.txt</v>
      </c>
      <c r="AI190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{"issue":{"subject":"","project_id":79,"tracker_id":40,"status_id":1,"priority_id":2,"assigned_to_id":338,"start_date":"2017-10-29","description":"","custom_fields":[{"id":1,"name":"Subdivision","value":"NW"},{"id":4,"name":"Milepost","value":"0.0944"},{"id":17,"name":"Train ID","value":"1830-29"},{"id":16,"name":"Locomotive ID","value":"4049"},{"id":130,"name":"Impact","value":""},{"id":150,"name":"Time of Event (Mountain Time)","value":"20:55:25"},{"id":151,"name":"Denver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182"/>
      <c r="AK190" s="186"/>
      <c r="AL190" s="186"/>
      <c r="AM190" s="187" t="str">
        <f t="shared" si="84"/>
        <v>start /low /b %USERPROFILE%\Documents\GitHub\eaglep3\Utilities\DownloadLogsFromS3.py --loco 4049 --day 2017-10-29</v>
      </c>
      <c r="AN190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02:55:25"},{"id":29,"name":"Sharepoint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82" t="str">
        <f t="shared" si="86"/>
        <v>https://d0f6bd738d7f1b3e5a7ca70fe4ff75f0.us-east-1.aws.found.io/app/kibana#/discover/Steve-Slow-Train-Analysis-(2080s-and-2083s)?_g=(refreshInterval:(display:Off,pause:!f,section:0,value:0),time:(from:'2017-10-29T19:24:39-0600',mode:absolute,to:'2017-10-29T21:55:25-0600'))&amp;_a=(columns:!('Message%20ID',Summary),filters:!(),index:'emp_*',interval:auto,query:(query_string:(analyze_wildcard:!t,query:'%22rtdc.l.rtdc.4049%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32" t="s">
        <v>845</v>
      </c>
      <c r="B191" s="7">
        <v>4050</v>
      </c>
      <c r="C191" s="21" t="s">
        <v>194</v>
      </c>
      <c r="D191" s="21" t="s">
        <v>990</v>
      </c>
      <c r="E191" s="13">
        <v>43037.879502314812</v>
      </c>
      <c r="F191" s="13">
        <v>43037.881550925929</v>
      </c>
      <c r="G191" s="7">
        <v>46</v>
      </c>
      <c r="H191" s="21" t="s">
        <v>991</v>
      </c>
      <c r="I191" s="13">
        <v>43037.891226851854</v>
      </c>
      <c r="J191" s="7">
        <v>0</v>
      </c>
      <c r="K191" s="76" t="str">
        <f t="shared" si="72"/>
        <v>4049/4050</v>
      </c>
      <c r="L191" s="164" t="str">
        <f>VLOOKUP(A191,'Trips&amp;Operators'!$C$1:$G$99911,5,FALSE)</f>
        <v>HOLCOMB KAMDEN</v>
      </c>
      <c r="M191" s="6">
        <f t="shared" si="73"/>
        <v>9.6759259249665774E-3</v>
      </c>
      <c r="N191" s="7">
        <f t="shared" si="94"/>
        <v>13.933333331951872</v>
      </c>
      <c r="O191" s="7"/>
      <c r="P191" s="7"/>
      <c r="Q191" s="22"/>
      <c r="R191" s="157"/>
      <c r="S191" s="215">
        <f t="shared" si="93"/>
        <v>1</v>
      </c>
      <c r="T191" s="216" t="str">
        <f t="shared" si="74"/>
        <v>NorthBound</v>
      </c>
      <c r="U191" s="216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7" t="str">
        <f t="shared" si="75"/>
        <v>https://d0f6bd738d7f1b3e5a7ca70fe4ff75f0.us-east-1.aws.found.io/app/kibana#/discover/Steve-Slow-Train-Analysis-(2080s-and-2083s)?_g=(refreshInterval:(display:Off,pause:!f,section:0,value:0),time:(from:'2017-10-29T20:06:29-0600',mode:absolute,to:'2017-10-29T22:23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1" s="218" t="str">
        <f>IF(AA191&lt;VLOOKUP(AG191,Variables!$AC$3:$AD$8,2,FALSE),"Y","N")</f>
        <v>N</v>
      </c>
      <c r="X191" s="218">
        <f t="shared" si="117"/>
        <v>1</v>
      </c>
      <c r="Y191" s="218">
        <f>RIGHT(D191,LEN(D191)-4)/10000</f>
        <v>0.12470000000000001</v>
      </c>
      <c r="Z191" s="218">
        <f>RIGHT(H191,LEN(H191)-4)/10000</f>
        <v>5.8967000000000001</v>
      </c>
      <c r="AA191" s="218">
        <f t="shared" si="77"/>
        <v>5.7720000000000002</v>
      </c>
      <c r="AB191" s="219" t="e">
        <f>VLOOKUP(A191,Enforcements!$C$7:$K$11,8,0)</f>
        <v>#N/A</v>
      </c>
      <c r="AC191" s="219" t="e">
        <f>VLOOKUP(A191,Enforcements!$C$7:$E$11,3,0)</f>
        <v>#N/A</v>
      </c>
      <c r="AD191" s="186">
        <f t="shared" si="78"/>
        <v>1831</v>
      </c>
      <c r="AE191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91" s="221" t="str">
        <f t="shared" si="80"/>
        <v>"C:\Program Files (x86)\AstroGrep\AstroGrep.exe" /e /r /s /spath="%USERPROFILE%\AppData\Local\Temp\OnboardLogs" /stypes="app*4050*20171030*" /stext=" 03:.+((SYSTEM_STATE.+slice.+state.+changed )|(ment ac)|(multiple cpu faults)|(system.+state.+changed )|(\[timeout)|(PRM\|1\|D)|(kpr)|(kdp)|(train st.+moving)|(\|lc)|(penalty))"</v>
      </c>
      <c r="AG191" s="185" t="str">
        <f t="shared" si="81"/>
        <v>NW</v>
      </c>
      <c r="AH191" s="222" t="str">
        <f t="shared" si="82"/>
        <v>"%USERPROFILE%\Documents\GitHub\eaglep3\Utilities\RefineRTDCRunTimes.py" --tripid 1831-29 --locoid 4050 --swversion DE.1.0.9.0 --startMP 204:1247 --initTime 2017-10-29T21:06:29 --startdatetime 2017-10-29T21:09:26 --delay 46 --endMP 300:58967 --enddatetime 2017-10-29T21:23:22 --enforcementcount 0 &gt;&gt;%USERPROFILE%\Documents\GitHub\eaglep3-reporting\EC\2017-10-29-refined-times.txt</v>
      </c>
      <c r="AI191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{"issue":{"subject":"","project_id":79,"tracker_id":40,"status_id":1,"priority_id":2,"assigned_to_id":338,"start_date":"2017-10-29","description":"","custom_fields":[{"id":1,"name":"Subdivision","value":"NW"},{"id":4,"name":"Milepost","value":"5.8967"},{"id":17,"name":"Train ID","value":"1831-29"},{"id":16,"name":"Locomotive ID","value":"4050"},{"id":130,"name":"Impact","value":""},{"id":150,"name":"Time of Event (Mountain Time)","value":"21:23:22"},{"id":151,"name":"Denver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182"/>
      <c r="AK191" s="186"/>
      <c r="AL191" s="186"/>
      <c r="AM191" s="187" t="str">
        <f t="shared" si="84"/>
        <v>start /low /b %USERPROFILE%\Documents\GitHub\eaglep3\Utilities\DownloadLogsFromS3.py --loco 4050 --day 2017-10-29</v>
      </c>
      <c r="AN191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03:23:22"},{"id":29,"name":"Sharepoint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82" t="str">
        <f t="shared" si="86"/>
        <v>https://d0f6bd738d7f1b3e5a7ca70fe4ff75f0.us-east-1.aws.found.io/app/kibana#/discover/Steve-Slow-Train-Analysis-(2080s-and-2083s)?_g=(refreshInterval:(display:Off,pause:!f,section:0,value:0),time:(from:'2017-10-29T20:06:29-0600',mode:absolute,to:'2017-10-29T22:23:22-0600'))&amp;_a=(columns:!('Message%20ID',Summary),filters:!(),index:'emp_*',interval:auto,query:(query_string:(analyze_wildcard:!t,query:'%22rtdc.l.rtdc.4050%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32" t="s">
        <v>848</v>
      </c>
      <c r="B192" s="7">
        <v>4049</v>
      </c>
      <c r="C192" s="21" t="s">
        <v>194</v>
      </c>
      <c r="D192" s="21" t="s">
        <v>992</v>
      </c>
      <c r="E192" s="13">
        <v>43037.892372685186</v>
      </c>
      <c r="F192" s="13">
        <v>43037.904942129629</v>
      </c>
      <c r="G192" s="7">
        <v>54</v>
      </c>
      <c r="H192" s="21" t="s">
        <v>993</v>
      </c>
      <c r="I192" s="13">
        <v>43037.913819444446</v>
      </c>
      <c r="J192" s="7">
        <v>0</v>
      </c>
      <c r="K192" s="76" t="str">
        <f t="shared" si="72"/>
        <v>4049/4050</v>
      </c>
      <c r="L192" s="164" t="str">
        <f>VLOOKUP(A192,'Trips&amp;Operators'!$C$1:$G$99911,5,FALSE)</f>
        <v>HOLCOMB KAMDEN</v>
      </c>
      <c r="M192" s="6">
        <f t="shared" si="73"/>
        <v>8.8773148163454607E-3</v>
      </c>
      <c r="N192" s="7">
        <f t="shared" si="94"/>
        <v>12.783333335537463</v>
      </c>
      <c r="O192" s="7"/>
      <c r="P192" s="7"/>
      <c r="Q192" s="22"/>
      <c r="R192" s="157"/>
      <c r="S192" s="215">
        <f t="shared" si="93"/>
        <v>1</v>
      </c>
      <c r="T192" s="216" t="str">
        <f t="shared" si="74"/>
        <v>Southbound</v>
      </c>
      <c r="U192" s="216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17" t="str">
        <f t="shared" si="75"/>
        <v>https://d0f6bd738d7f1b3e5a7ca70fe4ff75f0.us-east-1.aws.found.io/app/kibana#/discover/Steve-Slow-Train-Analysis-(2080s-and-2083s)?_g=(refreshInterval:(display:Off,pause:!f,section:0,value:0),time:(from:'2017-10-29T20:25:01-0600',mode:absolute,to:'2017-10-29T22:55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2" s="218" t="str">
        <f>IF(AA192&lt;VLOOKUP(AG192,Variables!$AC$3:$AD$8,2,FALSE),"Y","N")</f>
        <v>N</v>
      </c>
      <c r="X192" s="218">
        <f t="shared" ref="X192:X227" si="118">VALUE(LEFT(AD192,4))-VALUE(LEFT(AD191,4))</f>
        <v>1</v>
      </c>
      <c r="Y192" s="218">
        <f>RIGHT(D192,LEN(D192)-4)/10000</f>
        <v>5.8648999999999996</v>
      </c>
      <c r="Z192" s="218">
        <f>RIGHT(H192,LEN(H192)-4)/10000</f>
        <v>9.4299999999999995E-2</v>
      </c>
      <c r="AA192" s="218">
        <f t="shared" si="77"/>
        <v>5.7706</v>
      </c>
      <c r="AB192" s="219" t="e">
        <f>VLOOKUP(A192,Enforcements!$C$7:$K$11,8,0)</f>
        <v>#N/A</v>
      </c>
      <c r="AC192" s="219" t="e">
        <f>VLOOKUP(A192,Enforcements!$C$7:$E$11,3,0)</f>
        <v>#N/A</v>
      </c>
      <c r="AD192" s="186">
        <f t="shared" si="78"/>
        <v>1832</v>
      </c>
      <c r="AE192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92" s="221" t="str">
        <f t="shared" si="80"/>
        <v>"C:\Program Files (x86)\AstroGrep\AstroGrep.exe" /e /r /s /spath="%USERPROFILE%\AppData\Local\Temp\OnboardLogs" /stypes="app*4049*20171030*" /stext=" 03:.+((SYSTEM_STATE.+slice.+state.+changed )|(ment ac)|(multiple cpu faults)|(system.+state.+changed )|(\[timeout)|(PRM\|1\|D)|(kpr)|(kdp)|(train st.+moving)|(\|lc)|(penalty))"</v>
      </c>
      <c r="AG192" s="185" t="str">
        <f t="shared" si="81"/>
        <v>NW</v>
      </c>
      <c r="AH192" s="222" t="str">
        <f t="shared" si="82"/>
        <v>"%USERPROFILE%\Documents\GitHub\eaglep3\Utilities\RefineRTDCRunTimes.py" --tripid 1832-29 --locoid 4049 --swversion DE.1.0.9.0 --startMP 300:58649 --initTime 2017-10-29T21:25:01 --startdatetime 2017-10-29T21:43:07 --delay 54 --endMP 204:943 --enddatetime 2017-10-29T21:55:54 --enforcementcount 0 &gt;&gt;%USERPROFILE%\Documents\GitHub\eaglep3-reporting\EC\2017-10-29-refined-times.txt</v>
      </c>
      <c r="AI192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{"issue":{"subject":"","project_id":79,"tracker_id":40,"status_id":1,"priority_id":2,"assigned_to_id":338,"start_date":"2017-10-29","description":"","custom_fields":[{"id":1,"name":"Subdivision","value":"NW"},{"id":4,"name":"Milepost","value":"0.0943"},{"id":17,"name":"Train ID","value":"1832-29"},{"id":16,"name":"Locomotive ID","value":"4049"},{"id":130,"name":"Impact","value":""},{"id":150,"name":"Time of Event (Mountain Time)","value":"21:55:54"},{"id":151,"name":"Denver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182"/>
      <c r="AK192" s="186"/>
      <c r="AL192" s="186"/>
      <c r="AM192" s="187" t="str">
        <f t="shared" si="84"/>
        <v>start /low /b %USERPROFILE%\Documents\GitHub\eaglep3\Utilities\DownloadLogsFromS3.py --loco 4049 --day 2017-10-29</v>
      </c>
      <c r="AN192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03:55:54"},{"id":29,"name":"Sharepoint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82" t="str">
        <f t="shared" si="86"/>
        <v>https://d0f6bd738d7f1b3e5a7ca70fe4ff75f0.us-east-1.aws.found.io/app/kibana#/discover/Steve-Slow-Train-Analysis-(2080s-and-2083s)?_g=(refreshInterval:(display:Off,pause:!f,section:0,value:0),time:(from:'2017-10-29T20:25:01-0600',mode:absolute,to:'2017-10-29T22:55:54-0600'))&amp;_a=(columns:!('Message%20ID',Summary),filters:!(),index:'emp_*',interval:auto,query:(query_string:(analyze_wildcard:!t,query:'%22rtdc.l.rtdc.4049%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32" t="s">
        <v>649</v>
      </c>
      <c r="B193" s="7">
        <v>4050</v>
      </c>
      <c r="C193" s="21" t="s">
        <v>194</v>
      </c>
      <c r="D193" s="21" t="s">
        <v>992</v>
      </c>
      <c r="E193" s="13">
        <v>43037.892372685186</v>
      </c>
      <c r="F193" s="13">
        <v>43037.923344907409</v>
      </c>
      <c r="G193" s="7">
        <v>54</v>
      </c>
      <c r="H193" s="21" t="s">
        <v>993</v>
      </c>
      <c r="I193" s="13">
        <v>43037.935925925929</v>
      </c>
      <c r="J193" s="7">
        <v>0</v>
      </c>
      <c r="K193" s="76" t="str">
        <f t="shared" si="72"/>
        <v>4049/4050</v>
      </c>
      <c r="L193" s="164" t="str">
        <f>VLOOKUP(A193,'Trips&amp;Operators'!$C$1:$G$99911,5,FALSE)</f>
        <v>HOLCOMB KAMDEN</v>
      </c>
      <c r="M193" s="6">
        <f t="shared" si="73"/>
        <v>1.2581018519995268E-2</v>
      </c>
      <c r="N193" s="7">
        <f t="shared" si="94"/>
        <v>18.116666668793187</v>
      </c>
      <c r="O193" s="7"/>
      <c r="P193" s="7"/>
      <c r="Q193" s="22"/>
      <c r="R193" s="157"/>
      <c r="S193" s="215">
        <f t="shared" si="93"/>
        <v>1</v>
      </c>
      <c r="T193" s="216" t="str">
        <f t="shared" si="74"/>
        <v>NorthBound</v>
      </c>
      <c r="U193" s="216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7" t="str">
        <f t="shared" si="75"/>
        <v>https://d0f6bd738d7f1b3e5a7ca70fe4ff75f0.us-east-1.aws.found.io/app/kibana#/discover/Steve-Slow-Train-Analysis-(2080s-and-2083s)?_g=(refreshInterval:(display:Off,pause:!f,section:0,value:0),time:(from:'2017-10-29T20:25:01-0600',mode:absolute,to:'2017-10-29T23:27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3" s="218" t="str">
        <f>IF(AA193&lt;VLOOKUP(AG193,Variables!$AC$3:$AD$8,2,FALSE),"Y","N")</f>
        <v>N</v>
      </c>
      <c r="X193" s="218">
        <f t="shared" si="118"/>
        <v>1</v>
      </c>
      <c r="Y193" s="218">
        <v>0.12470000000000001</v>
      </c>
      <c r="Z193" s="218">
        <v>5.8967000000000001</v>
      </c>
      <c r="AA193" s="218">
        <f t="shared" si="77"/>
        <v>5.7720000000000002</v>
      </c>
      <c r="AB193" s="219" t="e">
        <f>VLOOKUP(A193,Enforcements!$C$7:$K$11,8,0)</f>
        <v>#N/A</v>
      </c>
      <c r="AC193" s="219" t="e">
        <f>VLOOKUP(A193,Enforcements!$C$7:$E$11,3,0)</f>
        <v>#N/A</v>
      </c>
      <c r="AD193" s="186">
        <f t="shared" si="78"/>
        <v>1833</v>
      </c>
      <c r="AE193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93" s="221" t="str">
        <f t="shared" si="80"/>
        <v>"C:\Program Files (x86)\AstroGrep\AstroGrep.exe" /e /r /s /spath="%USERPROFILE%\AppData\Local\Temp\OnboardLogs" /stypes="app*4050*20171030*" /stext=" 04:.+((SYSTEM_STATE.+slice.+state.+changed )|(ment ac)|(multiple cpu faults)|(system.+state.+changed )|(\[timeout)|(PRM\|1\|D)|(kpr)|(kdp)|(train st.+moving)|(\|lc)|(penalty))"</v>
      </c>
      <c r="AG193" s="185" t="str">
        <f t="shared" si="81"/>
        <v>NW</v>
      </c>
      <c r="AH193" s="222" t="str">
        <f t="shared" ref="AH193" si="119">refinertdcruntimes&amp;" --tripid "&amp;A193&amp;" --locoid "&amp;B193&amp;" --swversion "&amp;C193&amp;" --startMP "&amp;D193&amp;" --initTime "&amp;TEXT(E193,"yyyy-mm-ddTHH:MM:SS")&amp;" --startdatetime "&amp;TEXT(F193,"yyyy-mm-ddTHH:MM:SS")&amp;" --delay "&amp;G193&amp;" --endMP "&amp;H193&amp;" --enddatetime "&amp;TEXT(I193,"yyyy-mm-ddTHH:MM:SS")&amp;" --enforcementcount "&amp;J193&amp;IF(outputrefinedruntimes," &gt;&gt;"&amp;RefinedRTDCRunTimesOutputFile,"")</f>
        <v>"%USERPROFILE%\Documents\GitHub\eaglep3\Utilities\RefineRTDCRunTimes.py" --tripid 1833-29 --locoid 4050 --swversion DE.1.0.9.0 --startMP 300:58649 --initTime 2017-10-29T21:25:01 --startdatetime 2017-10-29T22:09:37 --delay 54 --endMP 204:943 --enddatetime 2017-10-29T22:27:44 --enforcementcount 0 &gt;&gt;%USERPROFILE%\Documents\GitHub\eaglep3-reporting\EC\2017-10-29-refined-times.txt</v>
      </c>
      <c r="AI193" s="223" t="str">
        <f t="shared" ref="AI193" si="120">"echo {""issue"":{""subject"":"""&amp;R193&amp;""",""project_id"":79,""tracker_id"":40,""status_id"":"&amp;redmine_status&amp;",""priority_id"":"&amp;redmine_priority&amp;",""assigned_to_id"":"&amp;redmine_assignee&amp;",""start_date"":"""&amp;TEXT(I193,"YYYY-mm-dd")&amp;""",""description"":"""&amp;AJ193&amp;""",""custom_fields"":[{""id"":1,""name"":""Subdivision"",""value"":"""&amp;AG193&amp;"""},{""id"":4,""name"":""Milepost"",""value"":"""&amp;Z193&amp;"""},{""id"":17,""name"":""Train ID"",""value"":"""&amp;A193&amp;"""},{""id"":16,""name"":""Locomotive ID"",""value"":"""&amp;B193&amp;"""},{""id"":130,""name"":""Impact"",""value"":"""&amp;AK193&amp;"""},{""id"":150,""name"":""Time of Event (Mountain Time)"",""value"":"""&amp;TEXT(I193,"hh:mm:ss")&amp;"""},{""id"":151,""name"":""Denver Issue ID"",""value"":"""&amp;"""},{""id"":178,""name"":""Operational Impact"",""value"":"""&amp;redmine_op_impact&amp;"""},{""id"":179,""name"":""Denver Segment Assigned"",""value"":"""&amp;AL193&amp;"""}]}}"&amp;"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{"issue":{"subject":"","project_id":79,"tracker_id":40,"status_id":1,"priority_id":2,"assigned_to_id":338,"start_date":"2017-10-29","description":"","custom_fields":[{"id":1,"name":"Subdivision","value":"NW"},{"id":4,"name":"Milepost","value":"5.8967"},{"id":17,"name":"Train ID","value":"1833-29"},{"id":16,"name":"Locomotive ID","value":"4050"},{"id":130,"name":"Impact","value":""},{"id":150,"name":"Time of Event (Mountain Time)","value":"22:27:44"},{"id":151,"name":"Denver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182"/>
      <c r="AK193" s="186"/>
      <c r="AL193" s="186"/>
      <c r="AM193" s="187" t="str">
        <f t="shared" ref="AM193" si="121">"start /low /b "&amp;dls3logs&amp;" --loco "&amp;B193&amp;" --day "&amp;TEXT(F193,"YYYY-MM-DD")</f>
        <v>start /low /b %USERPROFILE%\Documents\GitHub\eaglep3\Utilities\DownloadLogsFromS3.py --loco 4050 --day 2017-10-29</v>
      </c>
      <c r="AN193" s="224" t="str">
        <f t="shared" ref="AN193" si="122">"echo {""issue"":{""subject"":"""&amp;R193&amp;""",""project_id"":30,""tracker_id"":4,""status_id"":"&amp;redmine_status_wcr&amp;",""priority_id"":"&amp;redmine_priority_wcr&amp;",""assigned_to_id"":"&amp;redmine_assignee_wcr&amp;",""start_date"":"""&amp;TEXT(I193-utc_offset/24,"YYYY-mm-dd")&amp;""",""description"":"""&amp;AJ193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04:27:44"},{"id":29,"name":"Sharepoint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82" t="str">
        <f t="shared" ref="AO193" si="123"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Message%20ID',Summary),filters:!(),index:'emp_*',interval:auto,query:"&amp;"(query_string:(analyze_wildcard:!t,query:'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-10-29T20:25:01-0600',mode:absolute,to:'2017-10-29T23:27:44-0600'))&amp;_a=(columns:!('Message%20ID',Summary),filters:!(),index:'emp_*',interval:auto,query:(query_string:(analyze_wildcard:!t,query:'%22rtdc.l.rtdc.4050%22')),sort:!(Time.ISO8601,asc))</v>
      </c>
    </row>
    <row r="194" spans="1:91" s="20" customFormat="1" x14ac:dyDescent="0.3">
      <c r="A194" s="32" t="s">
        <v>853</v>
      </c>
      <c r="B194" s="7">
        <v>4049</v>
      </c>
      <c r="C194" s="21" t="s">
        <v>194</v>
      </c>
      <c r="D194" s="21" t="s">
        <v>992</v>
      </c>
      <c r="E194" s="13">
        <v>43037.892372685186</v>
      </c>
      <c r="F194" s="13">
        <v>43037.94630787037</v>
      </c>
      <c r="G194" s="7">
        <v>54</v>
      </c>
      <c r="H194" s="21" t="s">
        <v>993</v>
      </c>
      <c r="I194" s="13">
        <v>43037.954432870371</v>
      </c>
      <c r="J194" s="7">
        <v>0</v>
      </c>
      <c r="K194" s="76" t="str">
        <f t="shared" si="72"/>
        <v>4049/4050</v>
      </c>
      <c r="L194" s="164" t="str">
        <f>VLOOKUP(A194,'Trips&amp;Operators'!$C$1:$G$99911,5,FALSE)</f>
        <v>HOLCOMB KAMDEN</v>
      </c>
      <c r="M194" s="6">
        <f t="shared" si="73"/>
        <v>8.1250000002910383E-3</v>
      </c>
      <c r="N194" s="7">
        <f t="shared" si="94"/>
        <v>11.700000000419095</v>
      </c>
      <c r="O194" s="7"/>
      <c r="P194" s="7"/>
      <c r="Q194" s="22"/>
      <c r="R194" s="157"/>
      <c r="S194" s="215">
        <f t="shared" si="93"/>
        <v>1</v>
      </c>
      <c r="T194" s="216" t="str">
        <f t="shared" si="74"/>
        <v>Southbound</v>
      </c>
      <c r="U194" s="216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7" t="str">
        <f t="shared" si="75"/>
        <v>https://d0f6bd738d7f1b3e5a7ca70fe4ff75f0.us-east-1.aws.found.io/app/kibana#/discover/Steve-Slow-Train-Analysis-(2080s-and-2083s)?_g=(refreshInterval:(display:Off,pause:!f,section:0,value:0),time:(from:'2017-10-29T20:25:01-0600',mode:absolute,to:'2017-10-29T23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4" s="218" t="str">
        <f>IF(AA194&lt;VLOOKUP(AG194,Variables!$AC$3:$AD$8,2,FALSE),"Y","N")</f>
        <v>N</v>
      </c>
      <c r="X194" s="218">
        <f t="shared" si="118"/>
        <v>1</v>
      </c>
      <c r="Y194" s="218">
        <v>5.8648999999999996</v>
      </c>
      <c r="Z194" s="218">
        <v>9.4299999999999995E-2</v>
      </c>
      <c r="AA194" s="218">
        <f t="shared" si="77"/>
        <v>5.7706</v>
      </c>
      <c r="AB194" s="219" t="e">
        <f>VLOOKUP(A194,Enforcements!$C$7:$K$11,8,0)</f>
        <v>#N/A</v>
      </c>
      <c r="AC194" s="219" t="e">
        <f>VLOOKUP(A194,Enforcements!$C$7:$E$11,3,0)</f>
        <v>#N/A</v>
      </c>
      <c r="AD194" s="186">
        <f t="shared" si="78"/>
        <v>1834</v>
      </c>
      <c r="AE194" s="220" t="str">
        <f t="shared" si="79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194" s="221" t="str">
        <f t="shared" si="80"/>
        <v>"C:\Program Files (x86)\AstroGrep\AstroGrep.exe" /e /r /s /spath="%USERPROFILE%\AppData\Local\Temp\OnboardLogs" /stypes="app*4049*20171030*" /stext=" 04:.+((SYSTEM_STATE.+slice.+state.+changed )|(ment ac)|(multiple cpu faults)|(system.+state.+changed )|(\[timeout)|(PRM\|1\|D)|(kpr)|(kdp)|(train st.+moving)|(\|lc)|(penalty))"</v>
      </c>
      <c r="AG194" s="185" t="str">
        <f t="shared" si="81"/>
        <v>NW</v>
      </c>
      <c r="AH194" s="222" t="str">
        <f t="shared" ref="AH194" si="124">refinertdcruntimes&amp;" --tripid "&amp;A194&amp;" --locoid "&amp;B194&amp;" --swversion "&amp;C194&amp;" --startMP "&amp;D194&amp;" --initTime "&amp;TEXT(E194,"yyyy-mm-ddTHH:MM:SS")&amp;" --startdatetime "&amp;TEXT(F194,"yyyy-mm-ddTHH:MM:SS")&amp;" --delay "&amp;G194&amp;" --endMP "&amp;H194&amp;" --enddatetime "&amp;TEXT(I194,"yyyy-mm-ddTHH:MM:SS")&amp;" --enforcementcount "&amp;J194&amp;IF(outputrefinedruntimes," &gt;&gt;"&amp;RefinedRTDCRunTimesOutputFile,"")</f>
        <v>"%USERPROFILE%\Documents\GitHub\eaglep3\Utilities\RefineRTDCRunTimes.py" --tripid 1834-29 --locoid 4049 --swversion DE.1.0.9.0 --startMP 300:58649 --initTime 2017-10-29T21:25:01 --startdatetime 2017-10-29T22:42:41 --delay 54 --endMP 204:943 --enddatetime 2017-10-29T22:54:23 --enforcementcount 0 &gt;&gt;%USERPROFILE%\Documents\GitHub\eaglep3-reporting\EC\2017-10-29-refined-times.txt</v>
      </c>
      <c r="AI194" s="223" t="str">
        <f t="shared" ref="AI194" si="125">"echo {""issue"":{""subject"":"""&amp;R194&amp;""",""project_id"":79,""tracker_id"":40,""status_id"":"&amp;redmine_status&amp;",""priority_id"":"&amp;redmine_priority&amp;",""assigned_to_id"":"&amp;redmine_assignee&amp;",""start_date"":"""&amp;TEXT(I194,"YYYY-mm-dd")&amp;""",""description"":"""&amp;AJ194&amp;""",""custom_fields"":[{""id"":1,""name"":""Subdivision"",""value"":"""&amp;AG194&amp;"""},{""id"":4,""name"":""Milepost"",""value"":"""&amp;Z194&amp;"""},{""id"":17,""name"":""Train ID"",""value"":"""&amp;A194&amp;"""},{""id"":16,""name"":""Locomotive ID"",""value"":"""&amp;B194&amp;"""},{""id"":130,""name"":""Impact"",""value"":"""&amp;AK194&amp;"""},{""id"":150,""name"":""Time of Event (Mountain Time)"",""value"":"""&amp;TEXT(I194,"hh:mm:ss")&amp;"""},{""id"":151,""name"":""Denver Issue ID"",""value"":"""&amp;"""},{""id"":178,""name"":""Operational Impact"",""value"":"""&amp;redmine_op_impact&amp;"""},{""id"":179,""name"":""Denver Segment Assigned"",""value"":"""&amp;AL194&amp;"""}]}}"&amp;"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{"issue":{"subject":"","project_id":79,"tracker_id":40,"status_id":1,"priority_id":2,"assigned_to_id":338,"start_date":"2017-10-29","description":"","custom_fields":[{"id":1,"name":"Subdivision","value":"NW"},{"id":4,"name":"Milepost","value":"0.0943"},{"id":17,"name":"Train ID","value":"1834-29"},{"id":16,"name":"Locomotive ID","value":"4049"},{"id":130,"name":"Impact","value":""},{"id":150,"name":"Time of Event (Mountain Time)","value":"22:54:23"},{"id":151,"name":"Denver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182"/>
      <c r="AK194" s="186"/>
      <c r="AL194" s="186"/>
      <c r="AM194" s="187" t="str">
        <f t="shared" ref="AM194" si="126">"start /low /b "&amp;dls3logs&amp;" --loco "&amp;B194&amp;" --day "&amp;TEXT(F194,"YYYY-MM-DD")</f>
        <v>start /low /b %USERPROFILE%\Documents\GitHub\eaglep3\Utilities\DownloadLogsFromS3.py --loco 4049 --day 2017-10-29</v>
      </c>
      <c r="AN194" s="224" t="str">
        <f t="shared" ref="AN194" si="127">"echo {""issue"":{""subject"":"""&amp;R194&amp;""",""project_id"":30,""tracker_id"":4,""status_id"":"&amp;redmine_status_wcr&amp;",""priority_id"":"&amp;redmine_priority_wcr&amp;",""assigned_to_id"":"&amp;redmine_assignee_wcr&amp;",""start_date"":"""&amp;TEXT(I194-utc_offset/24,"YYYY-mm-dd")&amp;""",""description"":"""&amp;AJ194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04:54:23"},{"id":29,"name":"Sharepoint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82" t="str">
        <f t="shared" ref="AO194" si="128"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-10-29T20:25:01-0600',mode:absolute,to:'2017-10-29T23:54:23-0600'))&amp;_a=(columns:!('Message%20ID',Summary),filters:!(),index:'emp_*',interval:auto,query:(query_string:(analyze_wildcard:!t,query:'%22rtdc.l.rtdc.4049%22')),sort:!(Time.ISO8601,asc))</v>
      </c>
    </row>
    <row r="195" spans="1:91" s="20" customFormat="1" x14ac:dyDescent="0.3">
      <c r="A195" s="32" t="s">
        <v>856</v>
      </c>
      <c r="B195" s="7">
        <v>4050</v>
      </c>
      <c r="C195" s="21" t="s">
        <v>194</v>
      </c>
      <c r="D195" s="21" t="s">
        <v>994</v>
      </c>
      <c r="E195" s="13">
        <v>43037.957615740743</v>
      </c>
      <c r="F195" s="13">
        <v>43037.964791666665</v>
      </c>
      <c r="G195" s="7">
        <v>48</v>
      </c>
      <c r="H195" s="21" t="s">
        <v>995</v>
      </c>
      <c r="I195" s="13">
        <v>43037.974351851852</v>
      </c>
      <c r="J195" s="7">
        <v>0</v>
      </c>
      <c r="K195" s="76" t="str">
        <f t="shared" si="72"/>
        <v>4049/4050</v>
      </c>
      <c r="L195" s="164" t="str">
        <f>VLOOKUP(A195,'Trips&amp;Operators'!$C$1:$G$99911,5,FALSE)</f>
        <v>HOLCOMB KAMDEN</v>
      </c>
      <c r="M195" s="6">
        <f t="shared" si="73"/>
        <v>9.560185186273884E-3</v>
      </c>
      <c r="N195" s="7">
        <f t="shared" si="94"/>
        <v>13.766666668234393</v>
      </c>
      <c r="O195" s="7"/>
      <c r="P195" s="7"/>
      <c r="Q195" s="22"/>
      <c r="R195" s="157"/>
      <c r="S195" s="215">
        <f t="shared" si="93"/>
        <v>1</v>
      </c>
      <c r="T195" s="216" t="str">
        <f t="shared" si="74"/>
        <v>NorthBound</v>
      </c>
      <c r="U195" s="216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7" t="str">
        <f t="shared" si="75"/>
        <v>https://d0f6bd738d7f1b3e5a7ca70fe4ff75f0.us-east-1.aws.found.io/app/kibana#/discover/Steve-Slow-Train-Analysis-(2080s-and-2083s)?_g=(refreshInterval:(display:Off,pause:!f,section:0,value:0),time:(from:'2017-10-29T21:58:58-0600',mode:absolute,to:'2017-10-30T00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5" s="218" t="str">
        <f>IF(AA195&lt;VLOOKUP(AG195,Variables!$AC$3:$AD$8,2,FALSE),"Y","N")</f>
        <v>N</v>
      </c>
      <c r="X195" s="218">
        <f t="shared" si="118"/>
        <v>1</v>
      </c>
      <c r="Y195" s="218">
        <f t="shared" ref="Y195:Y227" si="129">RIGHT(D195,LEN(D195)-4)/10000</f>
        <v>0.12280000000000001</v>
      </c>
      <c r="Z195" s="218">
        <f t="shared" ref="Z195:Z227" si="130">RIGHT(H195,LEN(H195)-4)/10000</f>
        <v>5.8964999999999996</v>
      </c>
      <c r="AA195" s="218">
        <f t="shared" si="77"/>
        <v>5.7736999999999998</v>
      </c>
      <c r="AB195" s="219" t="e">
        <f>VLOOKUP(A195,Enforcements!$C$7:$K$11,8,0)</f>
        <v>#N/A</v>
      </c>
      <c r="AC195" s="219" t="e">
        <f>VLOOKUP(A195,Enforcements!$C$7:$E$11,3,0)</f>
        <v>#N/A</v>
      </c>
      <c r="AD195" s="186">
        <f t="shared" si="78"/>
        <v>1835</v>
      </c>
      <c r="AE195" s="220" t="str">
        <f t="shared" si="79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195" s="221" t="str">
        <f t="shared" si="80"/>
        <v>"C:\Program Files (x86)\AstroGrep\AstroGrep.exe" /e /r /s /spath="%USERPROFILE%\AppData\Local\Temp\OnboardLogs" /stypes="app*4050*20171030*" /stext=" 05:.+((SYSTEM_STATE.+slice.+state.+changed )|(ment ac)|(multiple cpu faults)|(system.+state.+changed )|(\[timeout)|(PRM\|1\|D)|(kpr)|(kdp)|(train st.+moving)|(\|lc)|(penalty))"</v>
      </c>
      <c r="AG195" s="185" t="str">
        <f t="shared" si="81"/>
        <v>NW</v>
      </c>
      <c r="AH195" s="222" t="str">
        <f t="shared" si="82"/>
        <v>"%USERPROFILE%\Documents\GitHub\eaglep3\Utilities\RefineRTDCRunTimes.py" --tripid 1835-29 --locoid 4050 --swversion DE.1.0.9.0 --startMP 204:1228 --initTime 2017-10-29T22:58:58 --startdatetime 2017-10-29T23:09:18 --delay 48 --endMP 300:58965 --enddatetime 2017-10-29T23:23:04 --enforcementcount 0 &gt;&gt;%USERPROFILE%\Documents\GitHub\eaglep3-reporting\EC\2017-10-29-refined-times.txt</v>
      </c>
      <c r="AI195" s="223" t="str">
        <f t="shared" si="83"/>
        <v>echo {"issue":{"subject":"","project_id":79,"tracker_id":40,"status_id":1,"priority_id":2,"assigned_to_id":338,"start_date":"2017-10-29","description":"","custom_fields":[{"id":1,"name":"Subdivision","value":"NW"},{"id":4,"name":"Milepost","value":"5.8965"},{"id":17,"name":"Train ID","value":"1835-29"},{"id":16,"name":"Locomotive ID","value":"4050"},{"id":130,"name":"Impact","value":""},{"id":150,"name":"Time of Event (Mountain Time)","value":"23:23:04"},{"id":151,"name":"Denver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182"/>
      <c r="AK195" s="186"/>
      <c r="AL195" s="186"/>
      <c r="AM195" s="187" t="str">
        <f t="shared" si="84"/>
        <v>start /low /b %USERPROFILE%\Documents\GitHub\eaglep3\Utilities\DownloadLogsFromS3.py --loco 4050 --day 2017-10-29</v>
      </c>
      <c r="AN195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05:23:04"},{"id":29,"name":"Sharepoint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82" t="str">
        <f t="shared" si="86"/>
        <v>https://d0f6bd738d7f1b3e5a7ca70fe4ff75f0.us-east-1.aws.found.io/app/kibana#/discover/Steve-Slow-Train-Analysis-(2080s-and-2083s)?_g=(refreshInterval:(display:Off,pause:!f,section:0,value:0),time:(from:'2017-10-29T21:58:58-0600',mode:absolute,to:'2017-10-30T00:23:04-0600'))&amp;_a=(columns:!('Message%20ID',Summary),filters:!(),index:'emp_*',interval:auto,query:(query_string:(analyze_wildcard:!t,query:'%22rtdc.l.rtdc.4050%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32" t="s">
        <v>629</v>
      </c>
      <c r="B196" s="7">
        <v>4015</v>
      </c>
      <c r="C196" s="21" t="s">
        <v>194</v>
      </c>
      <c r="D196" s="21" t="s">
        <v>1051</v>
      </c>
      <c r="E196" s="13">
        <v>43037.114618055559</v>
      </c>
      <c r="F196" s="13">
        <v>43037.118831018517</v>
      </c>
      <c r="G196" s="7">
        <v>62</v>
      </c>
      <c r="H196" s="21" t="s">
        <v>334</v>
      </c>
      <c r="I196" s="13">
        <v>43037.126122685186</v>
      </c>
      <c r="J196" s="7">
        <v>0</v>
      </c>
      <c r="K196" s="76" t="str">
        <f t="shared" si="72"/>
        <v>4015/4016</v>
      </c>
      <c r="L196" s="164" t="str">
        <f>VLOOKUP(A196,'Trips&amp;Operators'!$C$1:$G$99911,5,FALSE)</f>
        <v>THOMPSON LESTER</v>
      </c>
      <c r="M196" s="6">
        <f t="shared" si="73"/>
        <v>7.291666668606922E-3</v>
      </c>
      <c r="N196" s="7">
        <f t="shared" si="94"/>
        <v>10.500000002793968</v>
      </c>
      <c r="O196" s="7"/>
      <c r="P196" s="7"/>
      <c r="Q196" s="22"/>
      <c r="R196" s="157"/>
      <c r="S196" s="215">
        <f t="shared" si="93"/>
        <v>1</v>
      </c>
      <c r="T196" s="216" t="str">
        <f t="shared" si="74"/>
        <v>Southbound</v>
      </c>
      <c r="U196" s="216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7" t="str">
        <f t="shared" si="75"/>
        <v>https://d0f6bd738d7f1b3e5a7ca70fe4ff75f0.us-east-1.aws.found.io/app/kibana#/discover/Steve-Slow-Train-Analysis-(2080s-and-2083s)?_g=(refreshInterval:(display:Off,pause:!f,section:0,value:0),time:(from:'2017-10-29T01:45:03-0600',mode:absolute,to:'2017-10-29T04:01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6" s="218" t="str">
        <f>IF(AA196&lt;VLOOKUP(AG196,Variables!$AC$3:$AD$8,2,FALSE),"Y","N")</f>
        <v>Y</v>
      </c>
      <c r="X196" s="218">
        <f t="shared" si="118"/>
        <v>-1535</v>
      </c>
      <c r="Y196" s="218">
        <f t="shared" si="129"/>
        <v>2.3534999999999999</v>
      </c>
      <c r="Z196" s="218">
        <f t="shared" si="130"/>
        <v>1.4999999999999999E-2</v>
      </c>
      <c r="AA196" s="218">
        <f t="shared" si="77"/>
        <v>2.3384999999999998</v>
      </c>
      <c r="AB196" s="219" t="e">
        <f>VLOOKUP(A196,Enforcements!$C$7:$K$11,8,0)</f>
        <v>#N/A</v>
      </c>
      <c r="AC196" s="219" t="e">
        <f>VLOOKUP(A196,Enforcements!$C$7:$E$11,3,0)</f>
        <v>#N/A</v>
      </c>
      <c r="AD196" s="186">
        <f t="shared" si="78"/>
        <v>300</v>
      </c>
      <c r="AE196" s="220" t="str">
        <f t="shared" si="79"/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196" s="221" t="str">
        <f t="shared" si="80"/>
        <v>"C:\Program Files (x86)\AstroGrep\AstroGrep.exe" /e /r /s /spath="%USERPROFILE%\AppData\Local\Temp\OnboardLogs" /stypes="app*4015*20171029*" /stext=" 09:.+((SYSTEM_STATE.+slice.+state.+changed )|(ment ac)|(multiple cpu faults)|(system.+state.+changed )|(\[timeout)|(PRM\|1\|D)|(kpr)|(kdp)|(train st.+moving)|(\|lc)|(penalty))"</v>
      </c>
      <c r="AG196" s="185" t="str">
        <f t="shared" si="81"/>
        <v>Other</v>
      </c>
      <c r="AH196" s="222" t="str">
        <f t="shared" si="82"/>
        <v>"%USERPROFILE%\Documents\GitHub\eaglep3\Utilities\RefineRTDCRunTimes.py" --tripid 300-29 --locoid 4015 --swversion DE.1.0.9.0 --startMP 300:23535 --initTime 2017-10-29T02:45:03 --startdatetime 2017-10-29T02:51:07 --delay 62 --endMP 204:150 --enddatetime 2017-10-29T03:01:37 --enforcementcount 0 &gt;&gt;%USERPROFILE%\Documents\GitHub\eaglep3-reporting\EC\2017-10-29-refined-times.txt</v>
      </c>
      <c r="AI196" s="223" t="str">
        <f t="shared" si="83"/>
        <v>echo {"issue":{"subject":"","project_id":79,"tracker_id":40,"status_id":1,"priority_id":2,"assigned_to_id":338,"start_date":"2017-10-29","description":"","custom_fields":[{"id":1,"name":"Subdivision","value":"Other"},{"id":4,"name":"Milepost","value":"0.015"},{"id":17,"name":"Train ID","value":"300-29"},{"id":16,"name":"Locomotive ID","value":"4015"},{"id":130,"name":"Impact","value":""},{"id":150,"name":"Time of Event (Mountain Time)","value":"03:01:37"},{"id":151,"name":"Denver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182"/>
      <c r="AK196" s="186"/>
      <c r="AL196" s="186"/>
      <c r="AM196" s="187" t="str">
        <f t="shared" si="84"/>
        <v>start /low /b %USERPROFILE%\Documents\GitHub\eaglep3\Utilities\DownloadLogsFromS3.py --loco 4015 --day 2017-10-29</v>
      </c>
      <c r="AN196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09:01:37"},{"id":29,"name":"Sharepoint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82" t="str">
        <f t="shared" si="86"/>
        <v>https://d0f6bd738d7f1b3e5a7ca70fe4ff75f0.us-east-1.aws.found.io/app/kibana#/discover/Steve-Slow-Train-Analysis-(2080s-and-2083s)?_g=(refreshInterval:(display:Off,pause:!f,section:0,value:0),time:(from:'2017-10-29T01:45:03-0600',mode:absolute,to:'2017-10-29T04:01:37-0600'))&amp;_a=(columns:!('Message%20ID',Summary),filters:!(),index:'emp_*',interval:auto,query:(query_string:(analyze_wildcard:!t,query:'%22rtdc.l.rtdc.4015%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32" t="s">
        <v>629</v>
      </c>
      <c r="B197" s="7">
        <v>4015</v>
      </c>
      <c r="C197" s="21" t="s">
        <v>194</v>
      </c>
      <c r="D197" s="21" t="s">
        <v>1051</v>
      </c>
      <c r="E197" s="13">
        <v>43037.11582175926</v>
      </c>
      <c r="F197" s="13">
        <v>43037.118831018517</v>
      </c>
      <c r="G197" s="7">
        <v>57</v>
      </c>
      <c r="H197" s="21" t="s">
        <v>334</v>
      </c>
      <c r="I197" s="13">
        <v>43037.126122685186</v>
      </c>
      <c r="J197" s="7">
        <v>0</v>
      </c>
      <c r="K197" s="76" t="str">
        <f t="shared" si="72"/>
        <v>4015/4016</v>
      </c>
      <c r="L197" s="164" t="str">
        <f>VLOOKUP(A197,'Trips&amp;Operators'!$C$1:$G$99911,5,FALSE)</f>
        <v>THOMPSON LESTER</v>
      </c>
      <c r="M197" s="6">
        <f t="shared" si="73"/>
        <v>7.291666668606922E-3</v>
      </c>
      <c r="N197" s="7">
        <f t="shared" si="94"/>
        <v>10.500000002793968</v>
      </c>
      <c r="O197" s="7"/>
      <c r="P197" s="7"/>
      <c r="Q197" s="22"/>
      <c r="R197" s="157"/>
      <c r="S197" s="215">
        <f t="shared" si="93"/>
        <v>1</v>
      </c>
      <c r="T197" s="216" t="str">
        <f t="shared" si="74"/>
        <v>Southbound</v>
      </c>
      <c r="U197" s="216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7" t="str">
        <f t="shared" si="75"/>
        <v>https://d0f6bd738d7f1b3e5a7ca70fe4ff75f0.us-east-1.aws.found.io/app/kibana#/discover/Steve-Slow-Train-Analysis-(2080s-and-2083s)?_g=(refreshInterval:(display:Off,pause:!f,section:0,value:0),time:(from:'2017-10-29T01:46:47-0600',mode:absolute,to:'2017-10-29T04:01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97" s="218" t="str">
        <f>IF(AA197&lt;VLOOKUP(AG197,Variables!$AC$3:$AD$8,2,FALSE),"Y","N")</f>
        <v>Y</v>
      </c>
      <c r="X197" s="218">
        <f t="shared" si="118"/>
        <v>0</v>
      </c>
      <c r="Y197" s="218">
        <f t="shared" si="129"/>
        <v>2.3534999999999999</v>
      </c>
      <c r="Z197" s="218">
        <f t="shared" si="130"/>
        <v>1.4999999999999999E-2</v>
      </c>
      <c r="AA197" s="218">
        <f t="shared" si="77"/>
        <v>2.3384999999999998</v>
      </c>
      <c r="AB197" s="219" t="e">
        <f>VLOOKUP(A197,Enforcements!$C$7:$K$11,8,0)</f>
        <v>#N/A</v>
      </c>
      <c r="AC197" s="219" t="e">
        <f>VLOOKUP(A197,Enforcements!$C$7:$E$11,3,0)</f>
        <v>#N/A</v>
      </c>
      <c r="AD197" s="186">
        <f t="shared" si="78"/>
        <v>300</v>
      </c>
      <c r="AE197" s="220" t="str">
        <f t="shared" si="79"/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197" s="221" t="str">
        <f t="shared" si="80"/>
        <v>"C:\Program Files (x86)\AstroGrep\AstroGrep.exe" /e /r /s /spath="%USERPROFILE%\AppData\Local\Temp\OnboardLogs" /stypes="app*4015*20171029*" /stext=" 09:.+((SYSTEM_STATE.+slice.+state.+changed )|(ment ac)|(multiple cpu faults)|(system.+state.+changed )|(\[timeout)|(PRM\|1\|D)|(kpr)|(kdp)|(train st.+moving)|(\|lc)|(penalty))"</v>
      </c>
      <c r="AG197" s="185" t="str">
        <f t="shared" si="81"/>
        <v>Other</v>
      </c>
      <c r="AH197" s="222" t="str">
        <f t="shared" si="82"/>
        <v>"%USERPROFILE%\Documents\GitHub\eaglep3\Utilities\RefineRTDCRunTimes.py" --tripid 300-29 --locoid 4015 --swversion DE.1.0.9.0 --startMP 300:23535 --initTime 2017-10-29T02:46:47 --startdatetime 2017-10-29T02:51:07 --delay 57 --endMP 204:150 --enddatetime 2017-10-29T03:01:37 --enforcementcount 0 &gt;&gt;%USERPROFILE%\Documents\GitHub\eaglep3-reporting\EC\2017-10-29-refined-times.txt</v>
      </c>
      <c r="AI197" s="223" t="str">
        <f t="shared" si="83"/>
        <v>echo {"issue":{"subject":"","project_id":79,"tracker_id":40,"status_id":1,"priority_id":2,"assigned_to_id":338,"start_date":"2017-10-29","description":"","custom_fields":[{"id":1,"name":"Subdivision","value":"Other"},{"id":4,"name":"Milepost","value":"0.015"},{"id":17,"name":"Train ID","value":"300-29"},{"id":16,"name":"Locomotive ID","value":"4015"},{"id":130,"name":"Impact","value":""},{"id":150,"name":"Time of Event (Mountain Time)","value":"03:01:37"},{"id":151,"name":"Denver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182"/>
      <c r="AK197" s="186"/>
      <c r="AL197" s="186"/>
      <c r="AM197" s="187" t="str">
        <f t="shared" si="84"/>
        <v>start /low /b %USERPROFILE%\Documents\GitHub\eaglep3\Utilities\DownloadLogsFromS3.py --loco 4015 --day 2017-10-29</v>
      </c>
      <c r="AN197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09:01:37"},{"id":29,"name":"Sharepoint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82" t="str">
        <f t="shared" si="86"/>
        <v>https://d0f6bd738d7f1b3e5a7ca70fe4ff75f0.us-east-1.aws.found.io/app/kibana#/discover/Steve-Slow-Train-Analysis-(2080s-and-2083s)?_g=(refreshInterval:(display:Off,pause:!f,section:0,value:0),time:(from:'2017-10-29T01:46:47-0600',mode:absolute,to:'2017-10-29T04:01:37-0600'))&amp;_a=(columns:!('Message%20ID',Summary),filters:!(),index:'emp_*',interval:auto,query:(query_string:(analyze_wildcard:!t,query:'%22rtdc.l.rtdc.4015%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32" t="s">
        <v>829</v>
      </c>
      <c r="B198" s="7">
        <v>4006</v>
      </c>
      <c r="C198" s="21" t="s">
        <v>194</v>
      </c>
      <c r="D198" s="21" t="s">
        <v>934</v>
      </c>
      <c r="E198" s="13">
        <v>43037.775983796295</v>
      </c>
      <c r="F198" s="13">
        <v>43037.777453703704</v>
      </c>
      <c r="G198" s="7">
        <v>55</v>
      </c>
      <c r="H198" s="21" t="s">
        <v>1052</v>
      </c>
      <c r="I198" s="13">
        <v>43037.784502314818</v>
      </c>
      <c r="J198" s="7">
        <v>0</v>
      </c>
      <c r="K198" s="76" t="str">
        <f t="shared" si="72"/>
        <v>4005/4006</v>
      </c>
      <c r="L198" s="164" t="str">
        <f>VLOOKUP(A198,'Trips&amp;Operators'!$C$1:$G$99911,5,FALSE)</f>
        <v>GUZMAN DANNY</v>
      </c>
      <c r="M198" s="6">
        <f t="shared" si="73"/>
        <v>7.0486111144418828E-3</v>
      </c>
      <c r="N198" s="7">
        <f t="shared" si="94"/>
        <v>10.150000004796311</v>
      </c>
      <c r="O198" s="7"/>
      <c r="P198" s="7"/>
      <c r="Q198" s="22"/>
      <c r="R198" s="157"/>
      <c r="S198" s="215">
        <f t="shared" si="93"/>
        <v>1</v>
      </c>
      <c r="T198" s="216" t="str">
        <f t="shared" si="74"/>
        <v>NorthBound</v>
      </c>
      <c r="U198" s="216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7" t="str">
        <f t="shared" si="75"/>
        <v>https://d0f6bd738d7f1b3e5a7ca70fe4ff75f0.us-east-1.aws.found.io/app/kibana#/discover/Steve-Slow-Train-Analysis-(2080s-and-2083s)?_g=(refreshInterval:(display:Off,pause:!f,section:0,value:0),time:(from:'2017-10-29T17:37:25-0600',mode:absolute,to:'2017-10-29T19:49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98" s="218" t="str">
        <f>IF(AA198&lt;VLOOKUP(AG198,Variables!$AC$3:$AD$8,2,FALSE),"Y","N")</f>
        <v>Y</v>
      </c>
      <c r="X198" s="218">
        <f t="shared" si="118"/>
        <v>1</v>
      </c>
      <c r="Y198" s="218">
        <f t="shared" si="129"/>
        <v>5.57E-2</v>
      </c>
      <c r="Z198" s="218">
        <f t="shared" si="130"/>
        <v>2.3311999999999999</v>
      </c>
      <c r="AA198" s="218">
        <f t="shared" si="77"/>
        <v>2.2755000000000001</v>
      </c>
      <c r="AB198" s="219" t="e">
        <f>VLOOKUP(A198,Enforcements!$C$7:$K$11,8,0)</f>
        <v>#N/A</v>
      </c>
      <c r="AC198" s="219" t="e">
        <f>VLOOKUP(A198,Enforcements!$C$7:$E$11,3,0)</f>
        <v>#N/A</v>
      </c>
      <c r="AD198" s="186">
        <f t="shared" si="78"/>
        <v>301</v>
      </c>
      <c r="AE198" s="220" t="str">
        <f t="shared" si="79"/>
        <v>aws s3 cp s3://rtdc.mdm.uploadarchive.raw/RTDC4006/ "%USERPROFILE%\AppData\Local\Temp\OnboardLogs"\RTDC4006\2017-10-29 --exclude "*" --recursive --include "*20171029*" &amp; "%USERPROFILE%\Documents\GitHub\mrs-test-scripts\Headless Mode &amp; Sideloading\WalkAndUnGZ.bat" "%USERPROFILE%\AppData\Local\Temp\OnboardLogs"\RTDC4006\2017-10-29 &amp; aws s3 cp s3://rtdc.mdm.uploadarchive.raw/RTDC4006/ "%USERPROFILE%\AppData\Local\Temp\OnboardLogs"\RTDC4006\2017-10-30 --exclude "*" --recursive --include "*20171030*" &amp; "%USERPROFILE%\Documents\GitHub\mrs-test-scripts\Headless Mode &amp; Sideloading\WalkAndUnGZ.bat" "%USERPROFILE%\AppData\Local\Temp\OnboardLogs"\RTDC4006\2017-10-30</v>
      </c>
      <c r="AF198" s="221" t="str">
        <f t="shared" si="80"/>
        <v>"C:\Program Files (x86)\AstroGrep\AstroGrep.exe" /e /r /s /spath="%USERPROFILE%\AppData\Local\Temp\OnboardLogs" /stypes="app*4006*20171030*" /stext=" 00:.+((SYSTEM_STATE.+slice.+state.+changed )|(ment ac)|(multiple cpu faults)|(system.+state.+changed )|(\[timeout)|(PRM\|1\|D)|(kpr)|(kdp)|(train st.+moving)|(\|lc)|(penalty))"</v>
      </c>
      <c r="AG198" s="185" t="str">
        <f t="shared" si="81"/>
        <v>Other</v>
      </c>
      <c r="AH198" s="222" t="str">
        <f t="shared" si="82"/>
        <v>"%USERPROFILE%\Documents\GitHub\eaglep3\Utilities\RefineRTDCRunTimes.py" --tripid 301-29 --locoid 4006 --swversion DE.1.0.9.0 --startMP 204:557 --initTime 2017-10-29T18:37:25 --startdatetime 2017-10-29T18:39:32 --delay 55 --endMP 300:23312 --enddatetime 2017-10-29T18:49:41 --enforcementcount 0 &gt;&gt;%USERPROFILE%\Documents\GitHub\eaglep3-reporting\EC\2017-10-29-refined-times.txt</v>
      </c>
      <c r="AI198" s="223" t="str">
        <f t="shared" si="83"/>
        <v>echo {"issue":{"subject":"","project_id":79,"tracker_id":40,"status_id":1,"priority_id":2,"assigned_to_id":338,"start_date":"2017-10-29","description":"","custom_fields":[{"id":1,"name":"Subdivision","value":"Other"},{"id":4,"name":"Milepost","value":"2.3312"},{"id":17,"name":"Train ID","value":"301-29"},{"id":16,"name":"Locomotive ID","value":"4006"},{"id":130,"name":"Impact","value":""},{"id":150,"name":"Time of Event (Mountain Time)","value":"18:49:41"},{"id":151,"name":"Denver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182"/>
      <c r="AK198" s="186"/>
      <c r="AL198" s="186"/>
      <c r="AM198" s="187" t="str">
        <f t="shared" si="84"/>
        <v>start /low /b %USERPROFILE%\Documents\GitHub\eaglep3\Utilities\DownloadLogsFromS3.py --loco 4006 --day 2017-10-29</v>
      </c>
      <c r="AN198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ID","value":"4006"},{"id":20,"name":"RR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00:49:41"},{"id":29,"name":"Sharepoint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82" t="str">
        <f t="shared" si="86"/>
        <v>https://d0f6bd738d7f1b3e5a7ca70fe4ff75f0.us-east-1.aws.found.io/app/kibana#/discover/Steve-Slow-Train-Analysis-(2080s-and-2083s)?_g=(refreshInterval:(display:Off,pause:!f,section:0,value:0),time:(from:'2017-10-29T17:37:25-0600',mode:absolute,to:'2017-10-29T19:49:41-0600'))&amp;_a=(columns:!('Message%20ID',Summary),filters:!(),index:'emp_*',interval:auto,query:(query_string:(analyze_wildcard:!t,query:'%22rtdc.l.rtdc.4006%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32" t="s">
        <v>670</v>
      </c>
      <c r="B199" s="7">
        <v>4017</v>
      </c>
      <c r="C199" s="21" t="s">
        <v>194</v>
      </c>
      <c r="D199" s="21" t="s">
        <v>1053</v>
      </c>
      <c r="E199" s="13">
        <v>43037.138784722221</v>
      </c>
      <c r="F199" s="13">
        <v>43037.143819444442</v>
      </c>
      <c r="G199" s="7">
        <v>164</v>
      </c>
      <c r="H199" s="21" t="s">
        <v>877</v>
      </c>
      <c r="I199" s="13">
        <v>43037.1484375</v>
      </c>
      <c r="J199" s="7">
        <v>0</v>
      </c>
      <c r="K199" s="76" t="str">
        <f t="shared" si="72"/>
        <v>4017/4018</v>
      </c>
      <c r="L199" s="164" t="str">
        <f>VLOOKUP(A199,'Trips&amp;Operators'!$C$1:$G$99911,5,FALSE)</f>
        <v>MAELZER KURT</v>
      </c>
      <c r="M199" s="6">
        <f t="shared" si="73"/>
        <v>4.6180555582395755E-3</v>
      </c>
      <c r="N199" s="7">
        <f t="shared" si="94"/>
        <v>6.6500000038649887</v>
      </c>
      <c r="O199" s="7"/>
      <c r="P199" s="7"/>
      <c r="Q199" s="22"/>
      <c r="R199" s="157"/>
      <c r="S199" s="215">
        <f t="shared" si="93"/>
        <v>1</v>
      </c>
      <c r="T199" s="216" t="str">
        <f t="shared" si="74"/>
        <v>Southbound</v>
      </c>
      <c r="U199" s="216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7" t="str">
        <f t="shared" si="75"/>
        <v>https://d0f6bd738d7f1b3e5a7ca70fe4ff75f0.us-east-1.aws.found.io/app/kibana#/discover/Steve-Slow-Train-Analysis-(2080s-and-2083s)?_g=(refreshInterval:(display:Off,pause:!f,section:0,value:0),time:(from:'2017-10-29T02:19:51-0600',mode:absolute,to:'2017-10-29T04:33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99" s="218" t="str">
        <f>IF(AA199&lt;VLOOKUP(AG199,Variables!$AC$3:$AD$8,2,FALSE),"Y","N")</f>
        <v>Y</v>
      </c>
      <c r="X199" s="218">
        <f t="shared" si="118"/>
        <v>1</v>
      </c>
      <c r="Y199" s="218">
        <f t="shared" si="129"/>
        <v>1.9470000000000001</v>
      </c>
      <c r="Z199" s="218">
        <f t="shared" si="130"/>
        <v>1.3599999999999999E-2</v>
      </c>
      <c r="AA199" s="218">
        <f t="shared" si="77"/>
        <v>1.9334</v>
      </c>
      <c r="AB199" s="219" t="e">
        <f>VLOOKUP(A199,Enforcements!$C$7:$K$11,8,0)</f>
        <v>#N/A</v>
      </c>
      <c r="AC199" s="219" t="e">
        <f>VLOOKUP(A199,Enforcements!$C$7:$E$11,3,0)</f>
        <v>#N/A</v>
      </c>
      <c r="AD199" s="186">
        <f t="shared" si="78"/>
        <v>302</v>
      </c>
      <c r="AE199" s="220" t="str">
        <f t="shared" si="79"/>
        <v>aws s3 cp s3://rtdc.mdm.uploadarchive.raw/RTDC4017/ "%USERPROFILE%\AppData\Local\Temp\OnboardLogs"\RTDC4017\2017-10-29 --exclude "*" --recursive --include "*20171029*" &amp; "%USERPROFILE%\Documents\GitHub\mrs-test-scripts\Headless Mode &amp; Sideloading\WalkAndUnGZ.bat" "%USERPROFILE%\AppData\Local\Temp\OnboardLogs"\RTDC4017\2017-10-29 &amp; aws s3 cp s3://rtdc.mdm.uploadarchive.raw/RTDC4017/ "%USERPROFILE%\AppData\Local\Temp\OnboardLogs"\RTDC4017\2017-10-30 --exclude "*" --recursive --include "*20171030*" &amp; "%USERPROFILE%\Documents\GitHub\mrs-test-scripts\Headless Mode &amp; Sideloading\WalkAndUnGZ.bat" "%USERPROFILE%\AppData\Local\Temp\OnboardLogs"\RTDC4017\2017-10-30</v>
      </c>
      <c r="AF199" s="221" t="str">
        <f t="shared" si="80"/>
        <v>"C:\Program Files (x86)\AstroGrep\AstroGrep.exe" /e /r /s /spath="%USERPROFILE%\AppData\Local\Temp\OnboardLogs" /stypes="app*4017*20171029*" /stext=" 09:.+((SYSTEM_STATE.+slice.+state.+changed )|(ment ac)|(multiple cpu faults)|(system.+state.+changed )|(\[timeout)|(PRM\|1\|D)|(kpr)|(kdp)|(train st.+moving)|(\|lc)|(penalty))"</v>
      </c>
      <c r="AG199" s="185" t="str">
        <f t="shared" si="81"/>
        <v>Other</v>
      </c>
      <c r="AH199" s="222" t="str">
        <f t="shared" si="82"/>
        <v>"%USERPROFILE%\Documents\GitHub\eaglep3\Utilities\RefineRTDCRunTimes.py" --tripid 302-29 --locoid 4017 --swversion DE.1.0.9.0 --startMP 300:19470 --initTime 2017-10-29T03:19:51 --startdatetime 2017-10-29T03:27:06 --delay 164 --endMP 204:136 --enddatetime 2017-10-29T03:33:45 --enforcementcount 0 &gt;&gt;%USERPROFILE%\Documents\GitHub\eaglep3-reporting\EC\2017-10-29-refined-times.txt</v>
      </c>
      <c r="AI199" s="223" t="str">
        <f t="shared" si="83"/>
        <v>echo {"issue":{"subject":"","project_id":79,"tracker_id":40,"status_id":1,"priority_id":2,"assigned_to_id":338,"start_date":"2017-10-29","description":"","custom_fields":[{"id":1,"name":"Subdivision","value":"Other"},{"id":4,"name":"Milepost","value":"0.0136"},{"id":17,"name":"Train ID","value":"302-29"},{"id":16,"name":"Locomotive ID","value":"4017"},{"id":130,"name":"Impact","value":""},{"id":150,"name":"Time of Event (Mountain Time)","value":"03:33:45"},{"id":151,"name":"Denver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182"/>
      <c r="AK199" s="186"/>
      <c r="AL199" s="186"/>
      <c r="AM199" s="187" t="str">
        <f t="shared" si="84"/>
        <v>start /low /b %USERPROFILE%\Documents\GitHub\eaglep3\Utilities\DownloadLogsFromS3.py --loco 4017 --day 2017-10-29</v>
      </c>
      <c r="AN199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09:33:45"},{"id":29,"name":"Sharepoint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82" t="str">
        <f t="shared" si="86"/>
        <v>https://d0f6bd738d7f1b3e5a7ca70fe4ff75f0.us-east-1.aws.found.io/app/kibana#/discover/Steve-Slow-Train-Analysis-(2080s-and-2083s)?_g=(refreshInterval:(display:Off,pause:!f,section:0,value:0),time:(from:'2017-10-29T02:19:51-0600',mode:absolute,to:'2017-10-29T04:33:45-0600'))&amp;_a=(columns:!('Message%20ID',Summary),filters:!(),index:'emp_*',interval:auto,query:(query_string:(analyze_wildcard:!t,query:'%22rtdc.l.rtdc.4017%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32" t="s">
        <v>834</v>
      </c>
      <c r="B200" s="7">
        <v>4046</v>
      </c>
      <c r="C200" s="21" t="s">
        <v>194</v>
      </c>
      <c r="D200" s="21" t="s">
        <v>1054</v>
      </c>
      <c r="E200" s="13">
        <v>43037.807997685188</v>
      </c>
      <c r="F200" s="13">
        <v>43037.809432870374</v>
      </c>
      <c r="G200" s="7">
        <v>56</v>
      </c>
      <c r="H200" s="21" t="s">
        <v>618</v>
      </c>
      <c r="I200" s="13">
        <v>43037.819641203707</v>
      </c>
      <c r="J200" s="7">
        <v>0</v>
      </c>
      <c r="K200" s="76" t="str">
        <f t="shared" si="72"/>
        <v>4045/4046</v>
      </c>
      <c r="L200" s="164" t="str">
        <f>VLOOKUP(A200,'Trips&amp;Operators'!$C$1:$G$99911,5,FALSE)</f>
        <v>BERLING GARY</v>
      </c>
      <c r="M200" s="6">
        <f t="shared" si="73"/>
        <v>1.0208333333139308E-2</v>
      </c>
      <c r="N200" s="7">
        <f t="shared" si="94"/>
        <v>14.699999999720603</v>
      </c>
      <c r="O200" s="7"/>
      <c r="P200" s="7"/>
      <c r="Q200" s="22"/>
      <c r="R200" s="157"/>
      <c r="S200" s="215">
        <f t="shared" si="93"/>
        <v>1</v>
      </c>
      <c r="T200" s="216" t="str">
        <f t="shared" si="74"/>
        <v>NorthBound</v>
      </c>
      <c r="U200" s="216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7" t="str">
        <f t="shared" si="75"/>
        <v>https://d0f6bd738d7f1b3e5a7ca70fe4ff75f0.us-east-1.aws.found.io/app/kibana#/discover/Steve-Slow-Train-Analysis-(2080s-and-2083s)?_g=(refreshInterval:(display:Off,pause:!f,section:0,value:0),time:(from:'2017-10-29T18:23:31-0600',mode:absolute,to:'2017-10-29T20:40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0" s="218" t="str">
        <f>IF(AA200&lt;VLOOKUP(AG200,Variables!$AC$3:$AD$8,2,FALSE),"Y","N")</f>
        <v>Y</v>
      </c>
      <c r="X200" s="218">
        <f t="shared" si="118"/>
        <v>1</v>
      </c>
      <c r="Y200" s="218">
        <f t="shared" si="129"/>
        <v>6.4199999999999993E-2</v>
      </c>
      <c r="Z200" s="218">
        <f t="shared" si="130"/>
        <v>2.331</v>
      </c>
      <c r="AA200" s="218">
        <f t="shared" si="77"/>
        <v>2.2667999999999999</v>
      </c>
      <c r="AB200" s="219" t="e">
        <f>VLOOKUP(A200,Enforcements!$C$7:$K$11,8,0)</f>
        <v>#N/A</v>
      </c>
      <c r="AC200" s="219" t="e">
        <f>VLOOKUP(A200,Enforcements!$C$7:$E$11,3,0)</f>
        <v>#N/A</v>
      </c>
      <c r="AD200" s="186">
        <f t="shared" si="78"/>
        <v>303</v>
      </c>
      <c r="AE200" s="220" t="str">
        <f t="shared" si="79"/>
        <v>aws s3 cp s3://rtdc.mdm.uploadarchive.raw/RTDC4046/ "%USERPROFILE%\AppData\Local\Temp\OnboardLogs"\RTDC4046\2017-10-29 --exclude "*" --recursive --include "*20171029*" &amp; "%USERPROFILE%\Documents\GitHub\mrs-test-scripts\Headless Mode &amp; Sideloading\WalkAndUnGZ.bat" "%USERPROFILE%\AppData\Local\Temp\OnboardLogs"\RTDC4046\2017-10-29 &amp; aws s3 cp s3://rtdc.mdm.uploadarchive.raw/RTDC4046/ "%USERPROFILE%\AppData\Local\Temp\OnboardLogs"\RTDC4046\2017-10-30 --exclude "*" --recursive --include "*20171030*" &amp; "%USERPROFILE%\Documents\GitHub\mrs-test-scripts\Headless Mode &amp; Sideloading\WalkAndUnGZ.bat" "%USERPROFILE%\AppData\Local\Temp\OnboardLogs"\RTDC4046\2017-10-30</v>
      </c>
      <c r="AF200" s="221" t="str">
        <f t="shared" si="80"/>
        <v>"C:\Program Files (x86)\AstroGrep\AstroGrep.exe" /e /r /s /spath="%USERPROFILE%\AppData\Local\Temp\OnboardLogs" /stypes="app*4046*20171030*" /stext=" 01:.+((SYSTEM_STATE.+slice.+state.+changed )|(ment ac)|(multiple cpu faults)|(system.+state.+changed )|(\[timeout)|(PRM\|1\|D)|(kpr)|(kdp)|(train st.+moving)|(\|lc)|(penalty))"</v>
      </c>
      <c r="AG200" s="185" t="str">
        <f t="shared" si="81"/>
        <v>Other</v>
      </c>
      <c r="AH200" s="222" t="str">
        <f t="shared" si="82"/>
        <v>"%USERPROFILE%\Documents\GitHub\eaglep3\Utilities\RefineRTDCRunTimes.py" --tripid 303-29 --locoid 4046 --swversion DE.1.0.9.0 --startMP 204:642 --initTime 2017-10-29T19:23:31 --startdatetime 2017-10-29T19:25:35 --delay 56 --endMP 300:23310 --enddatetime 2017-10-29T19:40:17 --enforcementcount 0 &gt;&gt;%USERPROFILE%\Documents\GitHub\eaglep3-reporting\EC\2017-10-29-refined-times.txt</v>
      </c>
      <c r="AI200" s="223" t="str">
        <f t="shared" si="83"/>
        <v>echo {"issue":{"subject":"","project_id":79,"tracker_id":40,"status_id":1,"priority_id":2,"assigned_to_id":338,"start_date":"2017-10-29","description":"","custom_fields":[{"id":1,"name":"Subdivision","value":"Other"},{"id":4,"name":"Milepost","value":"2.331"},{"id":17,"name":"Train ID","value":"303-29"},{"id":16,"name":"Locomotive ID","value":"4046"},{"id":130,"name":"Impact","value":""},{"id":150,"name":"Time of Event (Mountain Time)","value":"19:40:17"},{"id":151,"name":"Denver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182"/>
      <c r="AK200" s="186"/>
      <c r="AL200" s="186"/>
      <c r="AM200" s="187" t="str">
        <f t="shared" si="84"/>
        <v>start /low /b %USERPROFILE%\Documents\GitHub\eaglep3\Utilities\DownloadLogsFromS3.py --loco 4046 --day 2017-10-29</v>
      </c>
      <c r="AN200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01:40:17"},{"id":29,"name":"Sharepoint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82" t="str">
        <f t="shared" si="86"/>
        <v>https://d0f6bd738d7f1b3e5a7ca70fe4ff75f0.us-east-1.aws.found.io/app/kibana#/discover/Steve-Slow-Train-Analysis-(2080s-and-2083s)?_g=(refreshInterval:(display:Off,pause:!f,section:0,value:0),time:(from:'2017-10-29T18:23:31-0600',mode:absolute,to:'2017-10-29T20:40:17-0600'))&amp;_a=(columns:!('Message%20ID',Summary),filters:!(),index:'emp_*',interval:auto,query:(query_string:(analyze_wildcard:!t,query:'%22rtdc.l.rtdc.4046%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32" t="s">
        <v>673</v>
      </c>
      <c r="B201" s="7">
        <v>4059</v>
      </c>
      <c r="C201" s="21" t="s">
        <v>194</v>
      </c>
      <c r="D201" s="21" t="s">
        <v>1055</v>
      </c>
      <c r="E201" s="13">
        <v>43037.16097222222</v>
      </c>
      <c r="F201" s="13">
        <v>43037.164560185185</v>
      </c>
      <c r="G201" s="7">
        <v>55</v>
      </c>
      <c r="H201" s="21" t="s">
        <v>354</v>
      </c>
      <c r="I201" s="13">
        <v>43037.170162037037</v>
      </c>
      <c r="J201" s="7">
        <v>0</v>
      </c>
      <c r="K201" s="76" t="str">
        <f t="shared" si="72"/>
        <v>4059/4060</v>
      </c>
      <c r="L201" s="164" t="str">
        <f>VLOOKUP(A201,'Trips&amp;Operators'!$C$1:$G$99911,5,FALSE)</f>
        <v>LANGERAK WILLIAM</v>
      </c>
      <c r="M201" s="6">
        <f t="shared" si="73"/>
        <v>5.6018518516793847E-3</v>
      </c>
      <c r="N201" s="7">
        <f t="shared" si="94"/>
        <v>8.066666666418314</v>
      </c>
      <c r="O201" s="7"/>
      <c r="P201" s="7"/>
      <c r="Q201" s="22"/>
      <c r="R201" s="157"/>
      <c r="S201" s="215">
        <f t="shared" si="93"/>
        <v>1</v>
      </c>
      <c r="T201" s="216" t="str">
        <f t="shared" si="74"/>
        <v>Southbound</v>
      </c>
      <c r="U201" s="216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7" t="str">
        <f t="shared" si="75"/>
        <v>https://d0f6bd738d7f1b3e5a7ca70fe4ff75f0.us-east-1.aws.found.io/app/kibana#/discover/Steve-Slow-Train-Analysis-(2080s-and-2083s)?_g=(refreshInterval:(display:Off,pause:!f,section:0,value:0),time:(from:'2017-10-29T02:51:48-0600',mode:absolute,to:'2017-10-29T05:05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1" s="218" t="str">
        <f>IF(AA201&lt;VLOOKUP(AG201,Variables!$AC$3:$AD$8,2,FALSE),"Y","N")</f>
        <v>Y</v>
      </c>
      <c r="X201" s="218">
        <f t="shared" si="118"/>
        <v>1</v>
      </c>
      <c r="Y201" s="218">
        <f t="shared" si="129"/>
        <v>2.3214000000000001</v>
      </c>
      <c r="Z201" s="218">
        <f t="shared" si="130"/>
        <v>1.5800000000000002E-2</v>
      </c>
      <c r="AA201" s="218">
        <f t="shared" si="77"/>
        <v>2.3056000000000001</v>
      </c>
      <c r="AB201" s="219" t="e">
        <f>VLOOKUP(A201,Enforcements!$C$7:$K$11,8,0)</f>
        <v>#N/A</v>
      </c>
      <c r="AC201" s="219" t="e">
        <f>VLOOKUP(A201,Enforcements!$C$7:$E$11,3,0)</f>
        <v>#N/A</v>
      </c>
      <c r="AD201" s="186">
        <f t="shared" si="78"/>
        <v>304</v>
      </c>
      <c r="AE201" s="220" t="str">
        <f t="shared" si="79"/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AF201" s="221" t="str">
        <f t="shared" si="80"/>
        <v>"C:\Program Files (x86)\AstroGrep\AstroGrep.exe" /e /r /s /spath="%USERPROFILE%\AppData\Local\Temp\OnboardLogs" /stypes="app*4059*20171029*" /stext=" 10:.+((SYSTEM_STATE.+slice.+state.+changed )|(ment ac)|(multiple cpu faults)|(system.+state.+changed )|(\[timeout)|(PRM\|1\|D)|(kpr)|(kdp)|(train st.+moving)|(\|lc)|(penalty))"</v>
      </c>
      <c r="AG201" s="185" t="str">
        <f t="shared" si="81"/>
        <v>Other</v>
      </c>
      <c r="AH201" s="222" t="str">
        <f t="shared" si="82"/>
        <v>"%USERPROFILE%\Documents\GitHub\eaglep3\Utilities\RefineRTDCRunTimes.py" --tripid 304-29 --locoid 4059 --swversion DE.1.0.9.0 --startMP 300:23214 --initTime 2017-10-29T03:51:48 --startdatetime 2017-10-29T03:56:58 --delay 55 --endMP 204:158 --enddatetime 2017-10-29T04:05:02 --enforcementcount 0 &gt;&gt;%USERPROFILE%\Documents\GitHub\eaglep3-reporting\EC\2017-10-29-refined-times.txt</v>
      </c>
      <c r="AI201" s="223" t="str">
        <f t="shared" si="83"/>
        <v>echo {"issue":{"subject":"","project_id":79,"tracker_id":40,"status_id":1,"priority_id":2,"assigned_to_id":338,"start_date":"2017-10-29","description":"","custom_fields":[{"id":1,"name":"Subdivision","value":"Other"},{"id":4,"name":"Milepost","value":"0.0158"},{"id":17,"name":"Train ID","value":"304-29"},{"id":16,"name":"Locomotive ID","value":"4059"},{"id":130,"name":"Impact","value":""},{"id":150,"name":"Time of Event (Mountain Time)","value":"04:05:02"},{"id":151,"name":"Denver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182"/>
      <c r="AK201" s="186"/>
      <c r="AL201" s="186"/>
      <c r="AM201" s="187" t="str">
        <f t="shared" si="84"/>
        <v>start /low /b %USERPROFILE%\Documents\GitHub\eaglep3\Utilities\DownloadLogsFromS3.py --loco 4059 --day 2017-10-29</v>
      </c>
      <c r="AN201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10:05:02"},{"id":29,"name":"Sharepoint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82" t="str">
        <f t="shared" si="86"/>
        <v>https://d0f6bd738d7f1b3e5a7ca70fe4ff75f0.us-east-1.aws.found.io/app/kibana#/discover/Steve-Slow-Train-Analysis-(2080s-and-2083s)?_g=(refreshInterval:(display:Off,pause:!f,section:0,value:0),time:(from:'2017-10-29T02:51:48-0600',mode:absolute,to:'2017-10-29T05:05:02-0600'))&amp;_a=(columns:!('Message%20ID',Summary),filters:!(),index:'emp_*',interval:auto,query:(query_string:(analyze_wildcard:!t,query:'%22rtdc.l.rtdc.4059%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32" t="s">
        <v>837</v>
      </c>
      <c r="B202" s="7">
        <v>4056</v>
      </c>
      <c r="C202" s="21" t="s">
        <v>194</v>
      </c>
      <c r="D202" s="21" t="s">
        <v>414</v>
      </c>
      <c r="E202" s="13">
        <v>43037.819768518515</v>
      </c>
      <c r="F202" s="13">
        <v>43037.821516203701</v>
      </c>
      <c r="G202" s="7">
        <v>60</v>
      </c>
      <c r="H202" s="21" t="s">
        <v>382</v>
      </c>
      <c r="I202" s="13">
        <v>43037.829976851855</v>
      </c>
      <c r="J202" s="7">
        <v>0</v>
      </c>
      <c r="K202" s="76" t="str">
        <f t="shared" si="72"/>
        <v>4055/4056</v>
      </c>
      <c r="L202" s="164" t="str">
        <f>VLOOKUP(A202,'Trips&amp;Operators'!$C$1:$G$99911,5,FALSE)</f>
        <v>STRICKLAND EVAN</v>
      </c>
      <c r="M202" s="6">
        <f t="shared" si="73"/>
        <v>8.4606481541413814E-3</v>
      </c>
      <c r="N202" s="7">
        <f t="shared" si="94"/>
        <v>12.183333341963589</v>
      </c>
      <c r="O202" s="7"/>
      <c r="P202" s="7"/>
      <c r="Q202" s="22"/>
      <c r="R202" s="157"/>
      <c r="S202" s="215">
        <f t="shared" si="93"/>
        <v>1</v>
      </c>
      <c r="T202" s="216" t="str">
        <f t="shared" si="74"/>
        <v>NorthBound</v>
      </c>
      <c r="U202" s="216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7" t="str">
        <f t="shared" si="75"/>
        <v>https://d0f6bd738d7f1b3e5a7ca70fe4ff75f0.us-east-1.aws.found.io/app/kibana#/discover/Steve-Slow-Train-Analysis-(2080s-and-2083s)?_g=(refreshInterval:(display:Off,pause:!f,section:0,value:0),time:(from:'2017-10-29T18:40:28-0600',mode:absolute,to:'2017-10-29T20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02" s="218" t="str">
        <f>IF(AA202&lt;VLOOKUP(AG202,Variables!$AC$3:$AD$8,2,FALSE),"Y","N")</f>
        <v>Y</v>
      </c>
      <c r="X202" s="218">
        <f t="shared" si="118"/>
        <v>1</v>
      </c>
      <c r="Y202" s="218">
        <f t="shared" si="129"/>
        <v>4.6600000000000003E-2</v>
      </c>
      <c r="Z202" s="218">
        <f t="shared" si="130"/>
        <v>2.3346</v>
      </c>
      <c r="AA202" s="218">
        <f t="shared" si="77"/>
        <v>2.2879999999999998</v>
      </c>
      <c r="AB202" s="219" t="e">
        <f>VLOOKUP(A202,Enforcements!$C$7:$K$11,8,0)</f>
        <v>#N/A</v>
      </c>
      <c r="AC202" s="219" t="e">
        <f>VLOOKUP(A202,Enforcements!$C$7:$E$11,3,0)</f>
        <v>#N/A</v>
      </c>
      <c r="AD202" s="186">
        <f t="shared" si="78"/>
        <v>305</v>
      </c>
      <c r="AE202" s="220" t="str">
        <f t="shared" si="79"/>
        <v>aws s3 cp s3://rtdc.mdm.uploadarchive.raw/RTDC4056/ "%USERPROFILE%\AppData\Local\Temp\OnboardLogs"\RTDC4056\2017-10-29 --exclude "*" --recursive --include "*20171029*" &amp; "%USERPROFILE%\Documents\GitHub\mrs-test-scripts\Headless Mode &amp; Sideloading\WalkAndUnGZ.bat" "%USERPROFILE%\AppData\Local\Temp\OnboardLogs"\RTDC4056\2017-10-29 &amp; aws s3 cp s3://rtdc.mdm.uploadarchive.raw/RTDC4056/ "%USERPROFILE%\AppData\Local\Temp\OnboardLogs"\RTDC4056\2017-10-30 --exclude "*" --recursive --include "*20171030*" &amp; "%USERPROFILE%\Documents\GitHub\mrs-test-scripts\Headless Mode &amp; Sideloading\WalkAndUnGZ.bat" "%USERPROFILE%\AppData\Local\Temp\OnboardLogs"\RTDC4056\2017-10-30</v>
      </c>
      <c r="AF202" s="221" t="str">
        <f t="shared" si="80"/>
        <v>"C:\Program Files (x86)\AstroGrep\AstroGrep.exe" /e /r /s /spath="%USERPROFILE%\AppData\Local\Temp\OnboardLogs" /stypes="app*4056*20171030*" /stext=" 01:.+((SYSTEM_STATE.+slice.+state.+changed )|(ment ac)|(multiple cpu faults)|(system.+state.+changed )|(\[timeout)|(PRM\|1\|D)|(kpr)|(kdp)|(train st.+moving)|(\|lc)|(penalty))"</v>
      </c>
      <c r="AG202" s="185" t="str">
        <f t="shared" si="81"/>
        <v>Other</v>
      </c>
      <c r="AH202" s="222" t="str">
        <f t="shared" si="82"/>
        <v>"%USERPROFILE%\Documents\GitHub\eaglep3\Utilities\RefineRTDCRunTimes.py" --tripid 305-29 --locoid 4056 --swversion DE.1.0.9.0 --startMP 204:466 --initTime 2017-10-29T19:40:28 --startdatetime 2017-10-29T19:42:59 --delay 60 --endMP 300:23346 --enddatetime 2017-10-29T19:55:10 --enforcementcount 0 &gt;&gt;%USERPROFILE%\Documents\GitHub\eaglep3-reporting\EC\2017-10-29-refined-times.txt</v>
      </c>
      <c r="AI202" s="223" t="str">
        <f t="shared" si="83"/>
        <v>echo {"issue":{"subject":"","project_id":79,"tracker_id":40,"status_id":1,"priority_id":2,"assigned_to_id":338,"start_date":"2017-10-29","description":"","custom_fields":[{"id":1,"name":"Subdivision","value":"Other"},{"id":4,"name":"Milepost","value":"2.3346"},{"id":17,"name":"Train ID","value":"305-29"},{"id":16,"name":"Locomotive ID","value":"4056"},{"id":130,"name":"Impact","value":""},{"id":150,"name":"Time of Event (Mountain Time)","value":"19:55:10"},{"id":151,"name":"Denver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182"/>
      <c r="AK202" s="186"/>
      <c r="AL202" s="186"/>
      <c r="AM202" s="187" t="str">
        <f t="shared" si="84"/>
        <v>start /low /b %USERPROFILE%\Documents\GitHub\eaglep3\Utilities\DownloadLogsFromS3.py --loco 4056 --day 2017-10-29</v>
      </c>
      <c r="AN202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01:55:10"},{"id":29,"name":"Sharepoint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82" t="str">
        <f t="shared" si="86"/>
        <v>https://d0f6bd738d7f1b3e5a7ca70fe4ff75f0.us-east-1.aws.found.io/app/kibana#/discover/Steve-Slow-Train-Analysis-(2080s-and-2083s)?_g=(refreshInterval:(display:Off,pause:!f,section:0,value:0),time:(from:'2017-10-29T18:40:28-0600',mode:absolute,to:'2017-10-29T20:55:10-0600'))&amp;_a=(columns:!('Message%20ID',Summary),filters:!(),index:'emp_*',interval:auto,query:(query_string:(analyze_wildcard:!t,query:'%22rtdc.l.rtdc.4056%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32" t="s">
        <v>678</v>
      </c>
      <c r="B203" s="7">
        <v>4025</v>
      </c>
      <c r="C203" s="21" t="s">
        <v>194</v>
      </c>
      <c r="D203" s="21" t="s">
        <v>1056</v>
      </c>
      <c r="E203" s="13">
        <v>43037.176585648151</v>
      </c>
      <c r="F203" s="13">
        <v>43037.180289351854</v>
      </c>
      <c r="G203" s="7">
        <v>66</v>
      </c>
      <c r="H203" s="21" t="s">
        <v>1057</v>
      </c>
      <c r="I203" s="13">
        <v>43037.190775462965</v>
      </c>
      <c r="J203" s="7">
        <v>0</v>
      </c>
      <c r="K203" s="76" t="str">
        <f t="shared" si="72"/>
        <v>4025/4026</v>
      </c>
      <c r="L203" s="164" t="str">
        <f>VLOOKUP(A203,'Trips&amp;Operators'!$C$1:$G$99911,5,FALSE)</f>
        <v>PAGE MARCUS</v>
      </c>
      <c r="M203" s="6">
        <f t="shared" si="73"/>
        <v>1.0486111110367347E-2</v>
      </c>
      <c r="N203" s="7">
        <f t="shared" si="94"/>
        <v>15.099999998928979</v>
      </c>
      <c r="O203" s="7"/>
      <c r="P203" s="7"/>
      <c r="Q203" s="22"/>
      <c r="R203" s="157"/>
      <c r="S203" s="215">
        <f t="shared" si="93"/>
        <v>1</v>
      </c>
      <c r="T203" s="216" t="str">
        <f t="shared" si="74"/>
        <v>Southbound</v>
      </c>
      <c r="U203" s="216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7" t="str">
        <f t="shared" si="75"/>
        <v>https://d0f6bd738d7f1b3e5a7ca70fe4ff75f0.us-east-1.aws.found.io/app/kibana#/discover/Steve-Slow-Train-Analysis-(2080s-and-2083s)?_g=(refreshInterval:(display:Off,pause:!f,section:0,value:0),time:(from:'2017-10-29T03:14:17-0600',mode:absolute,to:'2017-10-29T05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3" s="218" t="str">
        <f>IF(AA203&lt;VLOOKUP(AG203,Variables!$AC$3:$AD$8,2,FALSE),"Y","N")</f>
        <v>Y</v>
      </c>
      <c r="X203" s="218">
        <f t="shared" si="118"/>
        <v>1</v>
      </c>
      <c r="Y203" s="218">
        <f t="shared" si="129"/>
        <v>2.3332000000000002</v>
      </c>
      <c r="Z203" s="218">
        <f t="shared" si="130"/>
        <v>0.1162</v>
      </c>
      <c r="AA203" s="218">
        <f t="shared" si="77"/>
        <v>2.2170000000000001</v>
      </c>
      <c r="AB203" s="219" t="e">
        <f>VLOOKUP(A203,Enforcements!$C$7:$K$11,8,0)</f>
        <v>#N/A</v>
      </c>
      <c r="AC203" s="219" t="e">
        <f>VLOOKUP(A203,Enforcements!$C$7:$E$11,3,0)</f>
        <v>#N/A</v>
      </c>
      <c r="AD203" s="186">
        <f t="shared" si="78"/>
        <v>306</v>
      </c>
      <c r="AE203" s="220" t="str">
        <f t="shared" si="79"/>
        <v>aws s3 cp s3://rtdc.mdm.uploadarchive.raw/RTDC4025/ "%USERPROFILE%\AppData\Local\Temp\OnboardLogs"\RTDC4025\2017-10-29 --exclude "*" --recursive --include "*20171029*" &amp; "%USERPROFILE%\Documents\GitHub\mrs-test-scripts\Headless Mode &amp; Sideloading\WalkAndUnGZ.bat" "%USERPROFILE%\AppData\Local\Temp\OnboardLogs"\RTDC4025\2017-10-29 &amp; aws s3 cp s3://rtdc.mdm.uploadarchive.raw/RTDC4025/ "%USERPROFILE%\AppData\Local\Temp\OnboardLogs"\RTDC4025\2017-10-30 --exclude "*" --recursive --include "*20171030*" &amp; "%USERPROFILE%\Documents\GitHub\mrs-test-scripts\Headless Mode &amp; Sideloading\WalkAndUnGZ.bat" "%USERPROFILE%\AppData\Local\Temp\OnboardLogs"\RTDC4025\2017-10-30</v>
      </c>
      <c r="AF203" s="221" t="str">
        <f t="shared" si="80"/>
        <v>"C:\Program Files (x86)\AstroGrep\AstroGrep.exe" /e /r /s /spath="%USERPROFILE%\AppData\Local\Temp\OnboardLogs" /stypes="app*4025*20171029*" /stext=" 10:.+((SYSTEM_STATE.+slice.+state.+changed )|(ment ac)|(multiple cpu faults)|(system.+state.+changed )|(\[timeout)|(PRM\|1\|D)|(kpr)|(kdp)|(train st.+moving)|(\|lc)|(penalty))"</v>
      </c>
      <c r="AG203" s="185" t="str">
        <f t="shared" si="81"/>
        <v>Other</v>
      </c>
      <c r="AH203" s="222" t="str">
        <f t="shared" si="82"/>
        <v>"%USERPROFILE%\Documents\GitHub\eaglep3\Utilities\RefineRTDCRunTimes.py" --tripid 306-29 --locoid 4025 --swversion DE.1.0.9.0 --startMP 300:23332 --initTime 2017-10-29T04:14:17 --startdatetime 2017-10-29T04:19:37 --delay 66 --endMP 204:1162 --enddatetime 2017-10-29T04:34:43 --enforcementcount 0 &gt;&gt;%USERPROFILE%\Documents\GitHub\eaglep3-reporting\EC\2017-10-29-refined-times.txt</v>
      </c>
      <c r="AI203" s="223" t="str">
        <f t="shared" si="83"/>
        <v>echo {"issue":{"subject":"","project_id":79,"tracker_id":40,"status_id":1,"priority_id":2,"assigned_to_id":338,"start_date":"2017-10-29","description":"","custom_fields":[{"id":1,"name":"Subdivision","value":"Other"},{"id":4,"name":"Milepost","value":"0.1162"},{"id":17,"name":"Train ID","value":"306-29"},{"id":16,"name":"Locomotive ID","value":"4025"},{"id":130,"name":"Impact","value":""},{"id":150,"name":"Time of Event (Mountain Time)","value":"04:34:43"},{"id":151,"name":"Denver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182"/>
      <c r="AK203" s="186"/>
      <c r="AL203" s="186"/>
      <c r="AM203" s="187" t="str">
        <f t="shared" si="84"/>
        <v>start /low /b %USERPROFILE%\Documents\GitHub\eaglep3\Utilities\DownloadLogsFromS3.py --loco 4025 --day 2017-10-29</v>
      </c>
      <c r="AN203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10:34:43"},{"id":29,"name":"Sharepoint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82" t="str">
        <f t="shared" si="86"/>
        <v>https://d0f6bd738d7f1b3e5a7ca70fe4ff75f0.us-east-1.aws.found.io/app/kibana#/discover/Steve-Slow-Train-Analysis-(2080s-and-2083s)?_g=(refreshInterval:(display:Off,pause:!f,section:0,value:0),time:(from:'2017-10-29T03:14:17-0600',mode:absolute,to:'2017-10-29T05:34:43-0600'))&amp;_a=(columns:!('Message%20ID',Summary),filters:!(),index:'emp_*',interval:auto,query:(query_string:(analyze_wildcard:!t,query:'%22rtdc.l.rtdc.4025%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32" t="s">
        <v>866</v>
      </c>
      <c r="B204" s="7">
        <v>4018</v>
      </c>
      <c r="C204" s="21" t="s">
        <v>194</v>
      </c>
      <c r="D204" s="21" t="s">
        <v>921</v>
      </c>
      <c r="E204" s="13">
        <v>43038.046678240738</v>
      </c>
      <c r="F204" s="13">
        <v>43038.048564814817</v>
      </c>
      <c r="G204" s="7">
        <v>65</v>
      </c>
      <c r="H204" s="21" t="s">
        <v>615</v>
      </c>
      <c r="I204" s="13">
        <v>43038.048796296294</v>
      </c>
      <c r="J204" s="7">
        <v>0</v>
      </c>
      <c r="K204" s="76" t="str">
        <f t="shared" si="72"/>
        <v>4017/4018</v>
      </c>
      <c r="L204" s="164" t="str">
        <f>VLOOKUP(A204,'Trips&amp;Operators'!$C$1:$G$99911,5,FALSE)</f>
        <v>LOZA FIDEL</v>
      </c>
      <c r="M204" s="6">
        <f t="shared" si="73"/>
        <v>2.3148147738538682E-4</v>
      </c>
      <c r="N204" s="7"/>
      <c r="O204" s="7"/>
      <c r="P204" s="7">
        <f>24*60*SUM($M204:$M204)</f>
        <v>0.33333332743495703</v>
      </c>
      <c r="Q204" s="22"/>
      <c r="R204" s="157" t="s">
        <v>1103</v>
      </c>
      <c r="S204" s="215">
        <f t="shared" si="93"/>
        <v>0</v>
      </c>
      <c r="T204" s="216" t="str">
        <f t="shared" si="74"/>
        <v>NorthBound</v>
      </c>
      <c r="U204" s="216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0</v>
      </c>
      <c r="V204" s="217" t="str">
        <f t="shared" si="75"/>
        <v>https://d0f6bd738d7f1b3e5a7ca70fe4ff75f0.us-east-1.aws.found.io/app/kibana#/discover/Steve-Slow-Train-Analysis-(2080s-and-2083s)?_g=(refreshInterval:(display:Off,pause:!f,section:0,value:0),time:(from:'2017-10-30T00:07:13-0600',mode:absolute,to:'2017-10-30T02:10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4" s="218" t="str">
        <f>IF(AA204&lt;VLOOKUP(AG204,Variables!$AC$3:$AD$8,2,FALSE),"Y","N")</f>
        <v>Y</v>
      </c>
      <c r="X204" s="218">
        <f t="shared" si="118"/>
        <v>1</v>
      </c>
      <c r="Y204" s="218">
        <f t="shared" si="129"/>
        <v>5.1299999999999998E-2</v>
      </c>
      <c r="Z204" s="218">
        <f t="shared" si="130"/>
        <v>5.1499999999999997E-2</v>
      </c>
      <c r="AA204" s="218">
        <f t="shared" si="77"/>
        <v>1.9999999999999879E-4</v>
      </c>
      <c r="AB204" s="219" t="e">
        <f>VLOOKUP(A204,Enforcements!$C$7:$K$11,8,0)</f>
        <v>#N/A</v>
      </c>
      <c r="AC204" s="219" t="e">
        <f>VLOOKUP(A204,Enforcements!$C$7:$E$11,3,0)</f>
        <v>#N/A</v>
      </c>
      <c r="AD204" s="186">
        <f t="shared" si="78"/>
        <v>307</v>
      </c>
      <c r="AE204" s="220" t="str">
        <f t="shared" si="79"/>
        <v>aws s3 cp s3://rtdc.mdm.uploadarchive.raw/RTDC4018/ "%USERPROFILE%\AppData\Local\Temp\OnboardLogs"\RTDC4018\2017-10-30 --exclude "*" --recursive --include "*20171030*" &amp; "%USERPROFILE%\Documents\GitHub\mrs-test-scripts\Headless Mode &amp; Sideloading\WalkAndUnGZ.bat" "%USERPROFILE%\AppData\Local\Temp\OnboardLogs"\RTDC4018\2017-10-30 &amp; aws s3 cp s3://rtdc.mdm.uploadarchive.raw/RTDC4018/ "%USERPROFILE%\AppData\Local\Temp\OnboardLogs"\RTDC4018\2017-10-31 --exclude "*" --recursive --include "*20171031*" &amp; "%USERPROFILE%\Documents\GitHub\mrs-test-scripts\Headless Mode &amp; Sideloading\WalkAndUnGZ.bat" "%USERPROFILE%\AppData\Local\Temp\OnboardLogs"\RTDC4018\2017-10-31</v>
      </c>
      <c r="AF204" s="221" t="str">
        <f t="shared" si="80"/>
        <v>"C:\Program Files (x86)\AstroGrep\AstroGrep.exe" /e /r /s /spath="%USERPROFILE%\AppData\Local\Temp\OnboardLogs" /stypes="app*4018*20171030*" /stext=" 07:.+((SYSTEM_STATE.+slice.+state.+changed )|(ment ac)|(multiple cpu faults)|(system.+state.+changed )|(\[timeout)|(PRM\|1\|D)|(kpr)|(kdp)|(train st.+moving)|(\|lc)|(penalty))"</v>
      </c>
      <c r="AG204" s="185" t="str">
        <f t="shared" si="81"/>
        <v>Other</v>
      </c>
      <c r="AH204" s="222" t="str">
        <f t="shared" si="82"/>
        <v>"%USERPROFILE%\Documents\GitHub\eaglep3\Utilities\RefineRTDCRunTimes.py" --tripid 307-29 --locoid 4018 --swversion DE.1.0.9.0 --startMP 204:513 --initTime 2017-10-30T01:07:13 --startdatetime 2017-10-30T01:09:56 --delay 65 --endMP 204:515 --enddatetime 2017-10-30T01:10:16 --enforcementcount 0 &gt;&gt;%USERPROFILE%\Documents\GitHub\eaglep3-reporting\EC\2017-10-29-refined-times.txt</v>
      </c>
      <c r="AI204" s="223" t="str">
        <f t="shared" si="83"/>
        <v>echo {"issue":{"subject":"Onboard enroute failure","project_id":79,"tracker_id":40,"status_id":1,"priority_id":2,"assigned_to_id":338,"start_date":"2017-10-30","description":"","custom_fields":[{"id":1,"name":"Subdivision","value":"Other"},{"id":4,"name":"Milepost","value":"0.0515"},{"id":17,"name":"Train ID","value":"307-29"},{"id":16,"name":"Locomotive ID","value":"4018"},{"id":130,"name":"Impact","value":""},{"id":150,"name":"Time of Event (Mountain Time)","value":"01:10:16"},{"id":151,"name":"Denver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182"/>
      <c r="AK204" s="186"/>
      <c r="AL204" s="186"/>
      <c r="AM204" s="187" t="str">
        <f t="shared" si="84"/>
        <v>start /low /b %USERPROFILE%\Documents\GitHub\eaglep3\Utilities\DownloadLogsFromS3.py --loco 4018 --day 2017-10-30</v>
      </c>
      <c r="AN204" s="224" t="str">
        <f t="shared" si="85"/>
        <v>echo {"issue":{"subject":"Onboard enroute failure","project_id":30,"tracker_id":4,"status_id":1,"priority_id":1,"assigned_to_id":10,"start_date":"2017-10-30","description":"","custom_fields":[{"id":30,"name":"Category","value":"Issue"},{"id":3,"name":"Functional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07:10:16"},{"id":29,"name":"Sharepoint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82" t="str">
        <f t="shared" si="86"/>
        <v>https://d0f6bd738d7f1b3e5a7ca70fe4ff75f0.us-east-1.aws.found.io/app/kibana#/discover/Steve-Slow-Train-Analysis-(2080s-and-2083s)?_g=(refreshInterval:(display:Off,pause:!f,section:0,value:0),time:(from:'2017-10-30T00:07:13-0600',mode:absolute,to:'2017-10-30T02:10:16-0600'))&amp;_a=(columns:!('Message%20ID',Summary),filters:!(),index:'emp_*',interval:auto,query:(query_string:(analyze_wildcard:!t,query:'%22rtdc.l.rtdc.4018%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32" t="s">
        <v>681</v>
      </c>
      <c r="B205" s="7">
        <v>4005</v>
      </c>
      <c r="C205" s="21" t="s">
        <v>194</v>
      </c>
      <c r="D205" s="21" t="s">
        <v>1058</v>
      </c>
      <c r="E205" s="13">
        <v>43037.177928240744</v>
      </c>
      <c r="F205" s="13">
        <v>43037.183692129627</v>
      </c>
      <c r="G205" s="7">
        <v>105</v>
      </c>
      <c r="H205" s="21" t="s">
        <v>354</v>
      </c>
      <c r="I205" s="13">
        <v>43037.193020833336</v>
      </c>
      <c r="J205" s="7">
        <v>0</v>
      </c>
      <c r="K205" s="76" t="str">
        <f t="shared" ref="K205:K227" si="131">IF(ISEVEN(B205),(B205-1)&amp;"/"&amp;B205,B205&amp;"/"&amp;(B205+1))</f>
        <v>4005/4006</v>
      </c>
      <c r="L205" s="164" t="str">
        <f>VLOOKUP(A205,'Trips&amp;Operators'!$C$1:$G$99911,5,FALSE)</f>
        <v>GEBRETEKLE DAGNEW</v>
      </c>
      <c r="M205" s="6">
        <f t="shared" ref="M205:M227" si="132">I205-F205</f>
        <v>9.3287037088884972E-3</v>
      </c>
      <c r="N205" s="7">
        <f t="shared" ref="N205:N227" si="133">24*60*SUM($M205:$M205)</f>
        <v>13.433333340799436</v>
      </c>
      <c r="O205" s="7"/>
      <c r="P205" s="7"/>
      <c r="Q205" s="22"/>
      <c r="R205" s="157"/>
      <c r="S205" s="215">
        <f t="shared" si="93"/>
        <v>1</v>
      </c>
      <c r="T205" s="216" t="str">
        <f t="shared" ref="T205:T227" si="134">IF(ISEVEN(LEFT(AD205,4)),"Southbound","NorthBound")</f>
        <v>Southbound</v>
      </c>
      <c r="U205" s="216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7" t="str">
        <f t="shared" ref="V205:V227" si="135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-10-29T03:16:13-0600',mode:absolute,to:'2017-10-29T05:37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205" s="218" t="str">
        <f>IF(AA205&lt;VLOOKUP(AG205,Variables!$AC$3:$AD$8,2,FALSE),"Y","N")</f>
        <v>Y</v>
      </c>
      <c r="X205" s="218">
        <f t="shared" si="118"/>
        <v>1</v>
      </c>
      <c r="Y205" s="218">
        <f t="shared" si="129"/>
        <v>2.3660000000000001</v>
      </c>
      <c r="Z205" s="218">
        <f t="shared" si="130"/>
        <v>1.5800000000000002E-2</v>
      </c>
      <c r="AA205" s="218">
        <f t="shared" ref="AA205:AA227" si="136">ABS(Z205-Y205)</f>
        <v>2.3502000000000001</v>
      </c>
      <c r="AB205" s="219" t="e">
        <f>VLOOKUP(A205,Enforcements!$C$7:$K$11,8,0)</f>
        <v>#N/A</v>
      </c>
      <c r="AC205" s="219" t="e">
        <f>VLOOKUP(A205,Enforcements!$C$7:$E$11,3,0)</f>
        <v>#N/A</v>
      </c>
      <c r="AD205" s="186">
        <f t="shared" ref="AD205:AD227" si="137">VALUE(LEFT(A205,LEN(A205)-3))</f>
        <v>308</v>
      </c>
      <c r="AE205" s="220" t="str">
        <f t="shared" ref="AE205:AE227" si="138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s3://rtdc.mdm.uploadarchive.raw/RTDC4005/ "%USERPROFILE%\AppData\Local\Temp\OnboardLogs"\RTDC4005\2017-10-29 --exclude "*" --recursive --include "*20171029*" &amp; "%USERPROFILE%\Documents\GitHub\mrs-test-scripts\Headless Mode &amp; Sideloading\WalkAndUnGZ.bat" "%USERPROFILE%\AppData\Local\Temp\OnboardLogs"\RTDC4005\2017-10-29 &amp; aws s3 cp s3://rtdc.mdm.uploadarchive.raw/RTDC4005/ "%USERPROFILE%\AppData\Local\Temp\OnboardLogs"\RTDC4005\2017-10-30 --exclude "*" --recursive --include "*20171030*" &amp; "%USERPROFILE%\Documents\GitHub\mrs-test-scripts\Headless Mode &amp; Sideloading\WalkAndUnGZ.bat" "%USERPROFILE%\AppData\Local\Temp\OnboardLogs"\RTDC4005\2017-10-30</v>
      </c>
      <c r="AF205" s="221" t="str">
        <f t="shared" ref="AF205:AF227" si="139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/stypes="app*4005*20171029*" /stext=" 10:.+((SYSTEM_STATE.+slice.+state.+changed )|(ment ac)|(multiple cpu faults)|(system.+state.+changed )|(\[timeout)|(PRM\|1\|D)|(kpr)|(kdp)|(train st.+moving)|(\|lc)|(penalty))"</v>
      </c>
      <c r="AG205" s="185" t="str">
        <f t="shared" ref="AG205:AG227" si="140">DetSubdiv(A205)</f>
        <v>Other</v>
      </c>
      <c r="AH205" s="222" t="str">
        <f t="shared" si="82"/>
        <v>"%USERPROFILE%\Documents\GitHub\eaglep3\Utilities\RefineRTDCRunTimes.py" --tripid 308-29 --locoid 4005 --swversion DE.1.0.9.0 --startMP 300:23660 --initTime 2017-10-29T04:16:13 --startdatetime 2017-10-29T04:24:31 --delay 105 --endMP 204:158 --enddatetime 2017-10-29T04:37:57 --enforcementcount 0 &gt;&gt;%USERPROFILE%\Documents\GitHub\eaglep3-reporting\EC\2017-10-29-refined-times.txt</v>
      </c>
      <c r="AI205" s="223" t="str">
        <f t="shared" si="83"/>
        <v>echo {"issue":{"subject":"","project_id":79,"tracker_id":40,"status_id":1,"priority_id":2,"assigned_to_id":338,"start_date":"2017-10-29","description":"","custom_fields":[{"id":1,"name":"Subdivision","value":"Other"},{"id":4,"name":"Milepost","value":"0.0158"},{"id":17,"name":"Train ID","value":"308-29"},{"id":16,"name":"Locomotive ID","value":"4005"},{"id":130,"name":"Impact","value":""},{"id":150,"name":"Time of Event (Mountain Time)","value":"04:37:57"},{"id":151,"name":"Denver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182"/>
      <c r="AK205" s="186"/>
      <c r="AL205" s="186"/>
      <c r="AM205" s="187" t="str">
        <f t="shared" si="84"/>
        <v>start /low /b %USERPROFILE%\Documents\GitHub\eaglep3\Utilities\DownloadLogsFromS3.py --loco 4005 --day 2017-10-29</v>
      </c>
      <c r="AN205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10:37:57"},{"id":29,"name":"Sharepoint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82" t="str">
        <f t="shared" si="86"/>
        <v>https://d0f6bd738d7f1b3e5a7ca70fe4ff75f0.us-east-1.aws.found.io/app/kibana#/discover/Steve-Slow-Train-Analysis-(2080s-and-2083s)?_g=(refreshInterval:(display:Off,pause:!f,section:0,value:0),time:(from:'2017-10-29T03:16:13-0600',mode:absolute,to:'2017-10-29T05:37:57-0600'))&amp;_a=(columns:!('Message%20ID',Summary),filters:!(),index:'emp_*',interval:auto,query:(query_string:(analyze_wildcard:!t,query:'%22rtdc.l.rtdc.4005%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32" t="s">
        <v>870</v>
      </c>
      <c r="B206" s="7">
        <v>4060</v>
      </c>
      <c r="C206" s="21" t="s">
        <v>194</v>
      </c>
      <c r="D206" s="21" t="s">
        <v>1059</v>
      </c>
      <c r="E206" s="13">
        <v>43038.065775462965</v>
      </c>
      <c r="F206" s="13">
        <v>43038.067175925928</v>
      </c>
      <c r="G206" s="7">
        <v>60</v>
      </c>
      <c r="H206" s="21" t="s">
        <v>533</v>
      </c>
      <c r="I206" s="13">
        <v>43038.076261574075</v>
      </c>
      <c r="J206" s="7">
        <v>0</v>
      </c>
      <c r="K206" s="76" t="str">
        <f t="shared" si="131"/>
        <v>4059/4060</v>
      </c>
      <c r="L206" s="164" t="str">
        <f>VLOOKUP(A206,'Trips&amp;Operators'!$C$1:$G$99911,5,FALSE)</f>
        <v>ELBAUM MIKE</v>
      </c>
      <c r="M206" s="6">
        <f t="shared" si="132"/>
        <v>9.0856481474475004E-3</v>
      </c>
      <c r="N206" s="7">
        <f t="shared" si="133"/>
        <v>13.083333332324401</v>
      </c>
      <c r="O206" s="7"/>
      <c r="P206" s="7"/>
      <c r="Q206" s="22"/>
      <c r="R206" s="157"/>
      <c r="S206" s="215">
        <f t="shared" si="93"/>
        <v>1</v>
      </c>
      <c r="T206" s="216" t="str">
        <f t="shared" si="134"/>
        <v>NorthBound</v>
      </c>
      <c r="U206" s="216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217" t="str">
        <f t="shared" si="135"/>
        <v>https://d0f6bd738d7f1b3e5a7ca70fe4ff75f0.us-east-1.aws.found.io/app/kibana#/discover/Steve-Slow-Train-Analysis-(2080s-and-2083s)?_g=(refreshInterval:(display:Off,pause:!f,section:0,value:0),time:(from:'2017-10-30T00:34:43-0600',mode:absolute,to:'2017-10-30T02:49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6" s="218" t="str">
        <f>IF(AA206&lt;VLOOKUP(AG206,Variables!$AC$3:$AD$8,2,FALSE),"Y","N")</f>
        <v>Y</v>
      </c>
      <c r="X206" s="218">
        <f t="shared" si="118"/>
        <v>1</v>
      </c>
      <c r="Y206" s="218">
        <f t="shared" si="129"/>
        <v>5.9499999999999997E-2</v>
      </c>
      <c r="Z206" s="218">
        <f t="shared" si="130"/>
        <v>2.3304</v>
      </c>
      <c r="AA206" s="218">
        <f t="shared" si="136"/>
        <v>2.2709000000000001</v>
      </c>
      <c r="AB206" s="219" t="e">
        <f>VLOOKUP(A206,Enforcements!$C$7:$K$11,8,0)</f>
        <v>#N/A</v>
      </c>
      <c r="AC206" s="219" t="e">
        <f>VLOOKUP(A206,Enforcements!$C$7:$E$11,3,0)</f>
        <v>#N/A</v>
      </c>
      <c r="AD206" s="186">
        <f t="shared" si="137"/>
        <v>309</v>
      </c>
      <c r="AE206" s="220" t="str">
        <f t="shared" si="138"/>
        <v>aws s3 cp s3://rtdc.mdm.uploadarchive.raw/RTDC4060/ "%USERPROFILE%\AppData\Local\Temp\OnboardLogs"\RTDC4060\2017-10-30 --exclude "*" --recursive --include "*20171030*" &amp; "%USERPROFILE%\Documents\GitHub\mrs-test-scripts\Headless Mode &amp; Sideloading\WalkAndUnGZ.bat" "%USERPROFILE%\AppData\Local\Temp\OnboardLogs"\RTDC4060\2017-10-30 &amp; aws s3 cp s3://rtdc.mdm.uploadarchive.raw/RTDC4060/ "%USERPROFILE%\AppData\Local\Temp\OnboardLogs"\RTDC4060\2017-10-31 --exclude "*" --recursive --include "*20171031*" &amp; "%USERPROFILE%\Documents\GitHub\mrs-test-scripts\Headless Mode &amp; Sideloading\WalkAndUnGZ.bat" "%USERPROFILE%\AppData\Local\Temp\OnboardLogs"\RTDC4060\2017-10-31</v>
      </c>
      <c r="AF206" s="221" t="str">
        <f t="shared" si="139"/>
        <v>"C:\Program Files (x86)\AstroGrep\AstroGrep.exe" /e /r /s /spath="%USERPROFILE%\AppData\Local\Temp\OnboardLogs" /stypes="app*4060*20171030*" /stext=" 07:.+((SYSTEM_STATE.+slice.+state.+changed )|(ment ac)|(multiple cpu faults)|(system.+state.+changed )|(\[timeout)|(PRM\|1\|D)|(kpr)|(kdp)|(train st.+moving)|(\|lc)|(penalty))"</v>
      </c>
      <c r="AG206" s="185" t="str">
        <f t="shared" si="140"/>
        <v>Other</v>
      </c>
      <c r="AH206" s="222" t="str">
        <f t="shared" si="82"/>
        <v>"%USERPROFILE%\Documents\GitHub\eaglep3\Utilities\RefineRTDCRunTimes.py" --tripid 309-29 --locoid 4060 --swversion DE.1.0.9.0 --startMP 204:595 --initTime 2017-10-30T01:34:43 --startdatetime 2017-10-30T01:36:44 --delay 60 --endMP 300:23304 --enddatetime 2017-10-30T01:49:49 --enforcementcount 0 &gt;&gt;%USERPROFILE%\Documents\GitHub\eaglep3-reporting\EC\2017-10-29-refined-times.txt</v>
      </c>
      <c r="AI206" s="223" t="str">
        <f t="shared" si="83"/>
        <v>echo {"issue":{"subject":"","project_id":79,"tracker_id":40,"status_id":1,"priority_id":2,"assigned_to_id":338,"start_date":"2017-10-30","description":"","custom_fields":[{"id":1,"name":"Subdivision","value":"Other"},{"id":4,"name":"Milepost","value":"2.3304"},{"id":17,"name":"Train ID","value":"309-29"},{"id":16,"name":"Locomotive ID","value":"4060"},{"id":130,"name":"Impact","value":""},{"id":150,"name":"Time of Event (Mountain Time)","value":"01:49:49"},{"id":151,"name":"Denver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182"/>
      <c r="AK206" s="186"/>
      <c r="AL206" s="186"/>
      <c r="AM206" s="187" t="str">
        <f t="shared" si="84"/>
        <v>start /low /b %USERPROFILE%\Documents\GitHub\eaglep3\Utilities\DownloadLogsFromS3.py --loco 4060 --day 2017-10-30</v>
      </c>
      <c r="AN206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07:49:49"},{"id":29,"name":"Sharepoint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82" t="str">
        <f t="shared" si="86"/>
        <v>https://d0f6bd738d7f1b3e5a7ca70fe4ff75f0.us-east-1.aws.found.io/app/kibana#/discover/Steve-Slow-Train-Analysis-(2080s-and-2083s)?_g=(refreshInterval:(display:Off,pause:!f,section:0,value:0),time:(from:'2017-10-30T00:34:43-0600',mode:absolute,to:'2017-10-30T02:49:49-0600'))&amp;_a=(columns:!('Message%20ID',Summary),filters:!(),index:'emp_*',interval:auto,query:(query_string:(analyze_wildcard:!t,query:'%22rtdc.l.rtdc.4060%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32" t="s">
        <v>685</v>
      </c>
      <c r="B207" s="7">
        <v>4007</v>
      </c>
      <c r="C207" s="21" t="s">
        <v>194</v>
      </c>
      <c r="D207" s="21" t="s">
        <v>1060</v>
      </c>
      <c r="E207" s="13">
        <v>43037.199247685188</v>
      </c>
      <c r="F207" s="13">
        <v>43037.202627314815</v>
      </c>
      <c r="G207" s="7">
        <v>94</v>
      </c>
      <c r="H207" s="21" t="s">
        <v>884</v>
      </c>
      <c r="I207" s="13">
        <v>43037.211875000001</v>
      </c>
      <c r="J207" s="7">
        <v>0</v>
      </c>
      <c r="K207" s="76" t="str">
        <f t="shared" si="131"/>
        <v>4007/4008</v>
      </c>
      <c r="L207" s="164" t="str">
        <f>VLOOKUP(A207,'Trips&amp;Operators'!$C$1:$G$99911,5,FALSE)</f>
        <v>WILLIAMS DONTE</v>
      </c>
      <c r="M207" s="6">
        <f t="shared" si="132"/>
        <v>9.2476851859828457E-3</v>
      </c>
      <c r="N207" s="7">
        <f t="shared" si="133"/>
        <v>13.316666667815298</v>
      </c>
      <c r="O207" s="7"/>
      <c r="P207" s="7"/>
      <c r="Q207" s="22"/>
      <c r="R207" s="157"/>
      <c r="S207" s="215">
        <f t="shared" ref="S207:S227" si="141">1/IF(AG207="EC",12,1)*SUM(U207:U207)</f>
        <v>1</v>
      </c>
      <c r="T207" s="216" t="str">
        <f t="shared" si="134"/>
        <v>Southbound</v>
      </c>
      <c r="U207" s="216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7" t="str">
        <f t="shared" si="135"/>
        <v>https://d0f6bd738d7f1b3e5a7ca70fe4ff75f0.us-east-1.aws.found.io/app/kibana#/discover/Steve-Slow-Train-Analysis-(2080s-and-2083s)?_g=(refreshInterval:(display:Off,pause:!f,section:0,value:0),time:(from:'2017-10-29T03:46:55-0600',mode:absolute,to:'2017-10-29T06:05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7" s="218" t="str">
        <f>IF(AA207&lt;VLOOKUP(AG207,Variables!$AC$3:$AD$8,2,FALSE),"Y","N")</f>
        <v>Y</v>
      </c>
      <c r="X207" s="218">
        <f t="shared" si="118"/>
        <v>1</v>
      </c>
      <c r="Y207" s="218">
        <f t="shared" si="129"/>
        <v>2.3643999999999998</v>
      </c>
      <c r="Z207" s="218">
        <f t="shared" si="130"/>
        <v>2.07E-2</v>
      </c>
      <c r="AA207" s="218">
        <f t="shared" si="136"/>
        <v>2.3436999999999997</v>
      </c>
      <c r="AB207" s="219" t="e">
        <f>VLOOKUP(A207,Enforcements!$C$7:$K$11,8,0)</f>
        <v>#N/A</v>
      </c>
      <c r="AC207" s="219" t="e">
        <f>VLOOKUP(A207,Enforcements!$C$7:$E$11,3,0)</f>
        <v>#N/A</v>
      </c>
      <c r="AD207" s="186">
        <f t="shared" si="137"/>
        <v>310</v>
      </c>
      <c r="AE207" s="220" t="str">
        <f t="shared" si="138"/>
        <v>aws s3 cp s3://rtdc.mdm.uploadarchive.raw/RTDC4007/ "%USERPROFILE%\AppData\Local\Temp\OnboardLogs"\RTDC4007\2017-10-29 --exclude "*" --recursive --include "*20171029*" &amp; "%USERPROFILE%\Documents\GitHub\mrs-test-scripts\Headless Mode &amp; Sideloading\WalkAndUnGZ.bat" "%USERPROFILE%\AppData\Local\Temp\OnboardLogs"\RTDC4007\2017-10-29 &amp; aws s3 cp s3://rtdc.mdm.uploadarchive.raw/RTDC4007/ "%USERPROFILE%\AppData\Local\Temp\OnboardLogs"\RTDC4007\2017-10-30 --exclude "*" --recursive --include "*20171030*" &amp; "%USERPROFILE%\Documents\GitHub\mrs-test-scripts\Headless Mode &amp; Sideloading\WalkAndUnGZ.bat" "%USERPROFILE%\AppData\Local\Temp\OnboardLogs"\RTDC4007\2017-10-30</v>
      </c>
      <c r="AF207" s="221" t="str">
        <f t="shared" si="139"/>
        <v>"C:\Program Files (x86)\AstroGrep\AstroGrep.exe" /e /r /s /spath="%USERPROFILE%\AppData\Local\Temp\OnboardLogs" /stypes="app*4007*20171029*" /stext=" 11:.+((SYSTEM_STATE.+slice.+state.+changed )|(ment ac)|(multiple cpu faults)|(system.+state.+changed )|(\[timeout)|(PRM\|1\|D)|(kpr)|(kdp)|(train st.+moving)|(\|lc)|(penalty))"</v>
      </c>
      <c r="AG207" s="185" t="str">
        <f t="shared" si="140"/>
        <v>Other</v>
      </c>
      <c r="AH207" s="222" t="str">
        <f t="shared" si="82"/>
        <v>"%USERPROFILE%\Documents\GitHub\eaglep3\Utilities\RefineRTDCRunTimes.py" --tripid 310-29 --locoid 4007 --swversion DE.1.0.9.0 --startMP 300:23644 --initTime 2017-10-29T04:46:55 --startdatetime 2017-10-29T04:51:47 --delay 94 --endMP 204:207 --enddatetime 2017-10-29T05:05:06 --enforcementcount 0 &gt;&gt;%USERPROFILE%\Documents\GitHub\eaglep3-reporting\EC\2017-10-29-refined-times.txt</v>
      </c>
      <c r="AI207" s="223" t="str">
        <f t="shared" si="83"/>
        <v>echo {"issue":{"subject":"","project_id":79,"tracker_id":40,"status_id":1,"priority_id":2,"assigned_to_id":338,"start_date":"2017-10-29","description":"","custom_fields":[{"id":1,"name":"Subdivision","value":"Other"},{"id":4,"name":"Milepost","value":"0.0207"},{"id":17,"name":"Train ID","value":"310-29"},{"id":16,"name":"Locomotive ID","value":"4007"},{"id":130,"name":"Impact","value":""},{"id":150,"name":"Time of Event (Mountain Time)","value":"05:05:06"},{"id":151,"name":"Denver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182"/>
      <c r="AK207" s="186"/>
      <c r="AL207" s="186"/>
      <c r="AM207" s="187" t="str">
        <f t="shared" si="84"/>
        <v>start /low /b %USERPROFILE%\Documents\GitHub\eaglep3\Utilities\DownloadLogsFromS3.py --loco 4007 --day 2017-10-29</v>
      </c>
      <c r="AN207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11:05:06"},{"id":29,"name":"Sharepoint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82" t="str">
        <f t="shared" si="86"/>
        <v>https://d0f6bd738d7f1b3e5a7ca70fe4ff75f0.us-east-1.aws.found.io/app/kibana#/discover/Steve-Slow-Train-Analysis-(2080s-and-2083s)?_g=(refreshInterval:(display:Off,pause:!f,section:0,value:0),time:(from:'2017-10-29T03:46:55-0600',mode:absolute,to:'2017-10-29T06:05:06-0600'))&amp;_a=(columns:!('Message%20ID',Summary),filters:!(),index:'emp_*',interval:auto,query:(query_string:(analyze_wildcard:!t,query:'%22rtdc.l.rtdc.4007%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32" t="s">
        <v>871</v>
      </c>
      <c r="B208" s="7">
        <v>4016</v>
      </c>
      <c r="C208" s="21" t="s">
        <v>194</v>
      </c>
      <c r="D208" s="21" t="s">
        <v>625</v>
      </c>
      <c r="E208" s="13">
        <v>43038.088136574072</v>
      </c>
      <c r="F208" s="13">
        <v>43038.089629629627</v>
      </c>
      <c r="G208" s="7">
        <v>52</v>
      </c>
      <c r="H208" s="21" t="s">
        <v>382</v>
      </c>
      <c r="I208" s="13">
        <v>43038.104837962965</v>
      </c>
      <c r="J208" s="7">
        <v>0</v>
      </c>
      <c r="K208" s="76" t="str">
        <f t="shared" si="131"/>
        <v>4015/4016</v>
      </c>
      <c r="L208" s="164" t="str">
        <f>VLOOKUP(A208,'Trips&amp;Operators'!$C$1:$G$99911,5,FALSE)</f>
        <v>DUNCAN SHEILA</v>
      </c>
      <c r="M208" s="6">
        <f t="shared" si="132"/>
        <v>1.5208333337795921E-2</v>
      </c>
      <c r="N208" s="7">
        <f t="shared" si="133"/>
        <v>21.900000006426126</v>
      </c>
      <c r="O208" s="7"/>
      <c r="P208" s="7"/>
      <c r="Q208" s="22"/>
      <c r="R208" s="157"/>
      <c r="S208" s="215">
        <f t="shared" si="141"/>
        <v>1</v>
      </c>
      <c r="T208" s="216" t="str">
        <f t="shared" si="134"/>
        <v>NorthBound</v>
      </c>
      <c r="U208" s="216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7" t="str">
        <f t="shared" si="135"/>
        <v>https://d0f6bd738d7f1b3e5a7ca70fe4ff75f0.us-east-1.aws.found.io/app/kibana#/discover/Steve-Slow-Train-Analysis-(2080s-and-2083s)?_g=(refreshInterval:(display:Off,pause:!f,section:0,value:0),time:(from:'2017-10-30T01:06:55-0600',mode:absolute,to:'2017-10-30T03:30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08" s="218" t="str">
        <f>IF(AA208&lt;VLOOKUP(AG208,Variables!$AC$3:$AD$8,2,FALSE),"Y","N")</f>
        <v>Y</v>
      </c>
      <c r="X208" s="218">
        <f t="shared" si="118"/>
        <v>1</v>
      </c>
      <c r="Y208" s="218">
        <f t="shared" si="129"/>
        <v>6.6799999999999998E-2</v>
      </c>
      <c r="Z208" s="218">
        <f t="shared" si="130"/>
        <v>2.3346</v>
      </c>
      <c r="AA208" s="218">
        <f t="shared" si="136"/>
        <v>2.2677999999999998</v>
      </c>
      <c r="AB208" s="219" t="e">
        <f>VLOOKUP(A208,Enforcements!$C$7:$K$11,8,0)</f>
        <v>#N/A</v>
      </c>
      <c r="AC208" s="219" t="e">
        <f>VLOOKUP(A208,Enforcements!$C$7:$E$11,3,0)</f>
        <v>#N/A</v>
      </c>
      <c r="AD208" s="186">
        <f t="shared" si="137"/>
        <v>311</v>
      </c>
      <c r="AE208" s="220" t="str">
        <f t="shared" si="138"/>
        <v>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 &amp; aws s3 cp s3://rtdc.mdm.uploadarchive.raw/RTDC4016/ "%USERPROFILE%\AppData\Local\Temp\OnboardLogs"\RTDC4016\2017-10-31 --exclude "*" --recursive --include "*20171031*" &amp; "%USERPROFILE%\Documents\GitHub\mrs-test-scripts\Headless Mode &amp; Sideloading\WalkAndUnGZ.bat" "%USERPROFILE%\AppData\Local\Temp\OnboardLogs"\RTDC4016\2017-10-31</v>
      </c>
      <c r="AF208" s="221" t="str">
        <f t="shared" si="139"/>
        <v>"C:\Program Files (x86)\AstroGrep\AstroGrep.exe" /e /r /s /spath="%USERPROFILE%\AppData\Local\Temp\OnboardLogs" /stypes="app*4016*20171030*" /stext=" 08:.+((SYSTEM_STATE.+slice.+state.+changed )|(ment ac)|(multiple cpu faults)|(system.+state.+changed )|(\[timeout)|(PRM\|1\|D)|(kpr)|(kdp)|(train st.+moving)|(\|lc)|(penalty))"</v>
      </c>
      <c r="AG208" s="185" t="str">
        <f t="shared" si="140"/>
        <v>Other</v>
      </c>
      <c r="AH208" s="222" t="str">
        <f t="shared" si="82"/>
        <v>"%USERPROFILE%\Documents\GitHub\eaglep3\Utilities\RefineRTDCRunTimes.py" --tripid 311-29 --locoid 4016 --swversion DE.1.0.9.0 --startMP 204:668 --initTime 2017-10-30T02:06:55 --startdatetime 2017-10-30T02:09:04 --delay 52 --endMP 300:23346 --enddatetime 2017-10-30T02:30:58 --enforcementcount 0 &gt;&gt;%USERPROFILE%\Documents\GitHub\eaglep3-reporting\EC\2017-10-29-refined-times.txt</v>
      </c>
      <c r="AI208" s="223" t="str">
        <f t="shared" si="83"/>
        <v>echo {"issue":{"subject":"","project_id":79,"tracker_id":40,"status_id":1,"priority_id":2,"assigned_to_id":338,"start_date":"2017-10-30","description":"","custom_fields":[{"id":1,"name":"Subdivision","value":"Other"},{"id":4,"name":"Milepost","value":"2.3346"},{"id":17,"name":"Train ID","value":"311-29"},{"id":16,"name":"Locomotive ID","value":"4016"},{"id":130,"name":"Impact","value":""},{"id":150,"name":"Time of Event (Mountain Time)","value":"02:30:58"},{"id":151,"name":"Denver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182"/>
      <c r="AK208" s="186"/>
      <c r="AL208" s="186"/>
      <c r="AM208" s="187" t="str">
        <f t="shared" si="84"/>
        <v>start /low /b %USERPROFILE%\Documents\GitHub\eaglep3\Utilities\DownloadLogsFromS3.py --loco 4016 --day 2017-10-30</v>
      </c>
      <c r="AN208" s="224" t="str">
        <f t="shared" si="8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08:30:58"},{"id":29,"name":"Sharepoint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82" t="str">
        <f t="shared" si="86"/>
        <v>https://d0f6bd738d7f1b3e5a7ca70fe4ff75f0.us-east-1.aws.found.io/app/kibana#/discover/Steve-Slow-Train-Analysis-(2080s-and-2083s)?_g=(refreshInterval:(display:Off,pause:!f,section:0,value:0),time:(from:'2017-10-30T01:06:55-0600',mode:absolute,to:'2017-10-30T03:30:58-0600'))&amp;_a=(columns:!('Message%20ID',Summary),filters:!(),index:'emp_*',interval:auto,query:(query_string:(analyze_wildcard:!t,query:'%22rtdc.l.rtdc.4016%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32" t="s">
        <v>692</v>
      </c>
      <c r="B209" s="7">
        <v>4051</v>
      </c>
      <c r="C209" s="21" t="s">
        <v>194</v>
      </c>
      <c r="D209" s="21" t="s">
        <v>1061</v>
      </c>
      <c r="E209" s="13">
        <v>43037.224189814813</v>
      </c>
      <c r="F209" s="13">
        <v>43037.228067129632</v>
      </c>
      <c r="G209" s="7">
        <v>90</v>
      </c>
      <c r="H209" s="21" t="s">
        <v>349</v>
      </c>
      <c r="I209" s="13">
        <v>43037.233252314814</v>
      </c>
      <c r="J209" s="7">
        <v>0</v>
      </c>
      <c r="K209" s="76" t="str">
        <f t="shared" si="131"/>
        <v>4051/4052</v>
      </c>
      <c r="L209" s="164" t="str">
        <f>VLOOKUP(A209,'Trips&amp;Operators'!$C$1:$G$99911,5,FALSE)</f>
        <v>LAMAR NEKESHA</v>
      </c>
      <c r="M209" s="6">
        <f t="shared" si="132"/>
        <v>5.1851851821993478E-3</v>
      </c>
      <c r="N209" s="7">
        <f t="shared" si="133"/>
        <v>7.4666666623670608</v>
      </c>
      <c r="O209" s="7"/>
      <c r="P209" s="7"/>
      <c r="Q209" s="22"/>
      <c r="R209" s="157"/>
      <c r="S209" s="215">
        <f t="shared" si="141"/>
        <v>1</v>
      </c>
      <c r="T209" s="216" t="str">
        <f t="shared" si="134"/>
        <v>Southbound</v>
      </c>
      <c r="U209" s="216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7" t="str">
        <f t="shared" si="135"/>
        <v>https://d0f6bd738d7f1b3e5a7ca70fe4ff75f0.us-east-1.aws.found.io/app/kibana#/discover/Steve-Slow-Train-Analysis-(2080s-and-2083s)?_g=(refreshInterval:(display:Off,pause:!f,section:0,value:0),time:(from:'2017-10-29T04:22:50-0600',mode:absolute,to:'2017-10-29T06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09" s="218" t="str">
        <f>IF(AA209&lt;VLOOKUP(AG209,Variables!$AC$3:$AD$8,2,FALSE),"Y","N")</f>
        <v>Y</v>
      </c>
      <c r="X209" s="218">
        <f t="shared" si="118"/>
        <v>1</v>
      </c>
      <c r="Y209" s="218">
        <f t="shared" si="129"/>
        <v>2.2639</v>
      </c>
      <c r="Z209" s="218">
        <f t="shared" si="130"/>
        <v>1.52E-2</v>
      </c>
      <c r="AA209" s="218">
        <f t="shared" si="136"/>
        <v>2.2486999999999999</v>
      </c>
      <c r="AB209" s="219" t="e">
        <f>VLOOKUP(A209,Enforcements!$C$7:$K$11,8,0)</f>
        <v>#N/A</v>
      </c>
      <c r="AC209" s="219" t="e">
        <f>VLOOKUP(A209,Enforcements!$C$7:$E$11,3,0)</f>
        <v>#N/A</v>
      </c>
      <c r="AD209" s="186">
        <f t="shared" si="137"/>
        <v>312</v>
      </c>
      <c r="AE209" s="220" t="str">
        <f t="shared" si="138"/>
        <v>aws s3 cp s3://rtdc.mdm.uploadarchive.raw/RTDC4051/ "%USERPROFILE%\AppData\Local\Temp\OnboardLogs"\RTDC4051\2017-10-29 --exclude "*" --recursive --include "*20171029*" &amp; "%USERPROFILE%\Documents\GitHub\mrs-test-scripts\Headless Mode &amp; Sideloading\WalkAndUnGZ.bat" "%USERPROFILE%\AppData\Local\Temp\OnboardLogs"\RTDC4051\2017-10-29 &amp; aws s3 cp s3://rtdc.mdm.uploadarchive.raw/RTDC4051/ "%USERPROFILE%\AppData\Local\Temp\OnboardLogs"\RTDC4051\2017-10-30 --exclude "*" --recursive --include "*20171030*" &amp; "%USERPROFILE%\Documents\GitHub\mrs-test-scripts\Headless Mode &amp; Sideloading\WalkAndUnGZ.bat" "%USERPROFILE%\AppData\Local\Temp\OnboardLogs"\RTDC4051\2017-10-30</v>
      </c>
      <c r="AF209" s="221" t="str">
        <f t="shared" si="139"/>
        <v>"C:\Program Files (x86)\AstroGrep\AstroGrep.exe" /e /r /s /spath="%USERPROFILE%\AppData\Local\Temp\OnboardLogs" /stypes="app*4051*20171029*" /stext=" 11:.+((SYSTEM_STATE.+slice.+state.+changed )|(ment ac)|(multiple cpu faults)|(system.+state.+changed )|(\[timeout)|(PRM\|1\|D)|(kpr)|(kdp)|(train st.+moving)|(\|lc)|(penalty))"</v>
      </c>
      <c r="AG209" s="185" t="str">
        <f t="shared" si="140"/>
        <v>Other</v>
      </c>
      <c r="AH209" s="222" t="str">
        <f t="shared" si="82"/>
        <v>"%USERPROFILE%\Documents\GitHub\eaglep3\Utilities\RefineRTDCRunTimes.py" --tripid 312-29 --locoid 4051 --swversion DE.1.0.9.0 --startMP 300:22639 --initTime 2017-10-29T05:22:50 --startdatetime 2017-10-29T05:28:25 --delay 90 --endMP 204:152 --enddatetime 2017-10-29T05:35:53 --enforcementcount 0 &gt;&gt;%USERPROFILE%\Documents\GitHub\eaglep3-reporting\EC\2017-10-29-refined-times.txt</v>
      </c>
      <c r="AI209" s="223" t="str">
        <f t="shared" si="83"/>
        <v>echo {"issue":{"subject":"","project_id":79,"tracker_id":40,"status_id":1,"priority_id":2,"assigned_to_id":338,"start_date":"2017-10-29","description":"","custom_fields":[{"id":1,"name":"Subdivision","value":"Other"},{"id":4,"name":"Milepost","value":"0.0152"},{"id":17,"name":"Train ID","value":"312-29"},{"id":16,"name":"Locomotive ID","value":"4051"},{"id":130,"name":"Impact","value":""},{"id":150,"name":"Time of Event (Mountain Time)","value":"05:35:53"},{"id":151,"name":"Denver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182"/>
      <c r="AK209" s="186"/>
      <c r="AL209" s="186"/>
      <c r="AM209" s="187" t="str">
        <f t="shared" si="84"/>
        <v>start /low /b %USERPROFILE%\Documents\GitHub\eaglep3\Utilities\DownloadLogsFromS3.py --loco 4051 --day 2017-10-29</v>
      </c>
      <c r="AN209" s="224" t="str">
        <f t="shared" si="8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11:35:53"},{"id":29,"name":"Sharepoint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82" t="str">
        <f t="shared" si="86"/>
        <v>https://d0f6bd738d7f1b3e5a7ca70fe4ff75f0.us-east-1.aws.found.io/app/kibana#/discover/Steve-Slow-Train-Analysis-(2080s-and-2083s)?_g=(refreshInterval:(display:Off,pause:!f,section:0,value:0),time:(from:'2017-10-29T04:22:50-0600',mode:absolute,to:'2017-10-29T06:35:53-0600'))&amp;_a=(columns:!('Message%20ID',Summary),filters:!(),index:'emp_*',interval:auto,query:(query_string:(analyze_wildcard:!t,query:'%22rtdc.l.rtdc.4051%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32" t="s">
        <v>865</v>
      </c>
      <c r="B210" s="7">
        <v>4062</v>
      </c>
      <c r="C210" s="21" t="s">
        <v>194</v>
      </c>
      <c r="D210" s="21" t="s">
        <v>604</v>
      </c>
      <c r="E210" s="13">
        <v>43038.026932870373</v>
      </c>
      <c r="F210" s="13">
        <v>43038.028460648151</v>
      </c>
      <c r="G210" s="7">
        <v>56</v>
      </c>
      <c r="H210" s="21" t="s">
        <v>382</v>
      </c>
      <c r="I210" s="13">
        <v>43038.037314814814</v>
      </c>
      <c r="J210" s="7">
        <v>0</v>
      </c>
      <c r="K210" s="76" t="str">
        <f t="shared" si="131"/>
        <v>4061/4062</v>
      </c>
      <c r="L210" s="164" t="str">
        <f>VLOOKUP(A210,'Trips&amp;Operators'!$C$1:$G$99911,5,FALSE)</f>
        <v>CASSIDY BRANDON</v>
      </c>
      <c r="M210" s="6">
        <f t="shared" si="132"/>
        <v>8.8541666627861559E-3</v>
      </c>
      <c r="N210" s="7">
        <f t="shared" si="133"/>
        <v>12.749999994412065</v>
      </c>
      <c r="O210" s="7"/>
      <c r="P210" s="7"/>
      <c r="Q210" s="22"/>
      <c r="R210" s="157"/>
      <c r="S210" s="215">
        <f t="shared" si="141"/>
        <v>1</v>
      </c>
      <c r="T210" s="216" t="str">
        <f t="shared" si="134"/>
        <v>NorthBound</v>
      </c>
      <c r="U210" s="216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7" t="str">
        <f t="shared" si="135"/>
        <v>https://d0f6bd738d7f1b3e5a7ca70fe4ff75f0.us-east-1.aws.found.io/app/kibana#/discover/Steve-Slow-Train-Analysis-(2080s-and-2083s)?_g=(refreshInterval:(display:Off,pause:!f,section:0,value:0),time:(from:'2017-10-29T23:38:47-0600',mode:absolute,to:'2017-10-30T01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0" s="218" t="str">
        <f>IF(AA210&lt;VLOOKUP(AG210,Variables!$AC$3:$AD$8,2,FALSE),"Y","N")</f>
        <v>Y</v>
      </c>
      <c r="X210" s="218">
        <f t="shared" si="118"/>
        <v>1</v>
      </c>
      <c r="Y210" s="218">
        <f t="shared" si="129"/>
        <v>5.1999999999999998E-2</v>
      </c>
      <c r="Z210" s="218">
        <f t="shared" si="130"/>
        <v>2.3346</v>
      </c>
      <c r="AA210" s="218">
        <f t="shared" si="136"/>
        <v>2.2826</v>
      </c>
      <c r="AB210" s="219" t="e">
        <f>VLOOKUP(A210,Enforcements!$C$7:$K$11,8,0)</f>
        <v>#N/A</v>
      </c>
      <c r="AC210" s="219" t="e">
        <f>VLOOKUP(A210,Enforcements!$C$7:$E$11,3,0)</f>
        <v>#N/A</v>
      </c>
      <c r="AD210" s="186">
        <f t="shared" si="137"/>
        <v>313</v>
      </c>
      <c r="AE210" s="220" t="str">
        <f t="shared" si="138"/>
        <v>aws s3 cp s3://rtdc.mdm.uploadarchive.raw/RTDC4062/ "%USERPROFILE%\AppData\Local\Temp\OnboardLogs"\RTDC4062\2017-10-30 --exclude "*" --recursive --include "*20171030*" &amp; "%USERPROFILE%\Documents\GitHub\mrs-test-scripts\Headless Mode &amp; Sideloading\WalkAndUnGZ.bat" "%USERPROFILE%\AppData\Local\Temp\OnboardLogs"\RTDC4062\2017-10-30 &amp; aws s3 cp s3://rtdc.mdm.uploadarchive.raw/RTDC4062/ "%USERPROFILE%\AppData\Local\Temp\OnboardLogs"\RTDC4062\2017-10-31 --exclude "*" --recursive --include "*20171031*" &amp; "%USERPROFILE%\Documents\GitHub\mrs-test-scripts\Headless Mode &amp; Sideloading\WalkAndUnGZ.bat" "%USERPROFILE%\AppData\Local\Temp\OnboardLogs"\RTDC4062\2017-10-31</v>
      </c>
      <c r="AF210" s="221" t="str">
        <f t="shared" si="139"/>
        <v>"C:\Program Files (x86)\AstroGrep\AstroGrep.exe" /e /r /s /spath="%USERPROFILE%\AppData\Local\Temp\OnboardLogs" /stypes="app*4062*20171030*" /stext=" 06:.+((SYSTEM_STATE.+slice.+state.+changed )|(ment ac)|(multiple cpu faults)|(system.+state.+changed )|(\[timeout)|(PRM\|1\|D)|(kpr)|(kdp)|(train st.+moving)|(\|lc)|(penalty))"</v>
      </c>
      <c r="AG210" s="185" t="str">
        <f t="shared" si="140"/>
        <v>Other</v>
      </c>
      <c r="AH210" s="222" t="str">
        <f t="shared" ref="AH210:AH227" si="142">refinertdcruntimes&amp;" --tripid "&amp;A210&amp;" --locoid "&amp;B210&amp;" --swversion "&amp;C210&amp;" --startMP "&amp;D210&amp;" --initTime "&amp;TEXT(E210,"yyyy-mm-ddTHH:MM:SS")&amp;" --startdatetime "&amp;TEXT(F210,"yyyy-mm-ddTHH:MM:SS")&amp;" --delay "&amp;G210&amp;" --endMP "&amp;H210&amp;" --enddatetime "&amp;TEXT(I210,"yyyy-mm-ddTHH:MM:SS")&amp;" --enforcementcount "&amp;J210&amp;IF(outputrefinedruntimes," &gt;&gt;"&amp;RefinedRTDCRunTimesOutputFile,"")</f>
        <v>"%USERPROFILE%\Documents\GitHub\eaglep3\Utilities\RefineRTDCRunTimes.py" --tripid 313-29 --locoid 4062 --swversion DE.1.0.9.0 --startMP 204:520 --initTime 2017-10-30T00:38:47 --startdatetime 2017-10-30T00:40:59 --delay 56 --endMP 300:23346 --enddatetime 2017-10-30T00:53:44 --enforcementcount 0 &gt;&gt;%USERPROFILE%\Documents\GitHub\eaglep3-reporting\EC\2017-10-29-refined-times.txt</v>
      </c>
      <c r="AI210" s="223" t="str">
        <f t="shared" ref="AI210:AI227" si="143">"echo {""issue"":{""subject"":"""&amp;R210&amp;""",""project_id"":79,""tracker_id"":40,""status_id"":"&amp;redmine_status&amp;",""priority_id"":"&amp;redmine_priority&amp;",""assigned_to_id"":"&amp;redmine_assignee&amp;",""start_date"":"""&amp;TEXT(I210,"YYYY-mm-dd")&amp;""",""description"":"""&amp;AJ210&amp;""",""custom_fields"":[{""id"":1,""name"":""Subdivision"",""value"":"""&amp;AG210&amp;"""},{""id"":4,""name"":""Milepost"",""value"":"""&amp;Z210&amp;"""},{""id"":17,""name"":""Train ID"",""value"":"""&amp;A210&amp;"""},{""id"":16,""name"":""Locomotive ID"",""value"":"""&amp;B210&amp;"""},{""id"":130,""name"":""Impact"",""value"":"""&amp;AK210&amp;"""},{""id"":150,""name"":""Time of Event (Mountain Time)"",""value"":"""&amp;TEXT(I210,"hh:mm:ss")&amp;"""},{""id"":151,""name"":""Denver Issue ID"",""value"":"""&amp;"""},{""id"":178,""name"":""Operational Impact"",""value"":"""&amp;redmine_op_impact&amp;"""},{""id"":179,""name"":""Denver Segment Assigned"",""value"":"""&amp;AL210&amp;"""}]}}"&amp;"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{"issue":{"subject":"","project_id":79,"tracker_id":40,"status_id":1,"priority_id":2,"assigned_to_id":338,"start_date":"2017-10-30","description":"","custom_fields":[{"id":1,"name":"Subdivision","value":"Other"},{"id":4,"name":"Milepost","value":"2.3346"},{"id":17,"name":"Train ID","value":"313-29"},{"id":16,"name":"Locomotive ID","value":"4062"},{"id":130,"name":"Impact","value":""},{"id":150,"name":"Time of Event (Mountain Time)","value":"00:53:44"},{"id":151,"name":"Denver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182"/>
      <c r="AK210" s="186"/>
      <c r="AL210" s="186"/>
      <c r="AM210" s="187" t="str">
        <f t="shared" ref="AM210:AM227" si="144">"start /low /b "&amp;dls3logs&amp;" --loco "&amp;B210&amp;" --day "&amp;TEXT(F210,"YYYY-MM-DD")</f>
        <v>start /low /b %USERPROFILE%\Documents\GitHub\eaglep3\Utilities\DownloadLogsFromS3.py --loco 4062 --day 2017-10-30</v>
      </c>
      <c r="AN210" s="224" t="str">
        <f t="shared" ref="AN210:AN227" si="145">"echo {""issue"":{""subject"":"""&amp;R210&amp;""",""project_id"":30,""tracker_id"":4,""status_id"":"&amp;redmine_status_wcr&amp;",""priority_id"":"&amp;redmine_priority_wcr&amp;",""assigned_to_id"":"&amp;redmine_assignee_wcr&amp;",""start_date"":"""&amp;TEXT(I210-utc_offset/24,"YYYY-mm-dd")&amp;""",""description"":"""&amp;AJ210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ID"",""value"":"""&amp;B210&amp;"""},{""id"":20,""name"":""RR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UTC"",""value"":"""&amp;TEXT(I210-utc_offset/24,"YYYY-MM-DD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06:53:44"},{"id":29,"name":"Sharepoint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82" t="str">
        <f t="shared" ref="AO210:AO227" si="146"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-10-29T23:38:47-0600',mode:absolute,to:'2017-10-30T01:53:44-0600'))&amp;_a=(columns:!('Message%20ID',Summary),filters:!(),index:'emp_*',interval:auto,query:(query_string:(analyze_wildcard:!t,query:'%22rtdc.l.rtdc.4062%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32" t="s">
        <v>690</v>
      </c>
      <c r="B211" s="7">
        <v>4050</v>
      </c>
      <c r="C211" s="21" t="s">
        <v>194</v>
      </c>
      <c r="D211" s="21" t="s">
        <v>1004</v>
      </c>
      <c r="E211" s="13">
        <v>43037.222407407404</v>
      </c>
      <c r="F211" s="13">
        <v>43037.225752314815</v>
      </c>
      <c r="G211" s="7">
        <v>67</v>
      </c>
      <c r="H211" s="21" t="s">
        <v>1005</v>
      </c>
      <c r="I211" s="13">
        <v>43037.231030092589</v>
      </c>
      <c r="J211" s="7">
        <v>0</v>
      </c>
      <c r="K211" s="76" t="str">
        <f t="shared" si="131"/>
        <v>4049/4050</v>
      </c>
      <c r="L211" s="164" t="str">
        <f>VLOOKUP(A211,'Trips&amp;Operators'!$C$1:$G$99911,5,FALSE)</f>
        <v>MACDONALD THOMAS</v>
      </c>
      <c r="M211" s="6">
        <f t="shared" si="132"/>
        <v>5.277777774608694E-3</v>
      </c>
      <c r="N211" s="7">
        <f t="shared" si="133"/>
        <v>7.5999999954365194</v>
      </c>
      <c r="O211" s="7"/>
      <c r="P211" s="7"/>
      <c r="Q211" s="22"/>
      <c r="R211" s="157"/>
      <c r="S211" s="215">
        <f t="shared" si="141"/>
        <v>0</v>
      </c>
      <c r="T211" s="216" t="str">
        <f t="shared" si="134"/>
        <v>NorthBound</v>
      </c>
      <c r="U211" s="216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7" t="str">
        <f t="shared" si="135"/>
        <v>https://d0f6bd738d7f1b3e5a7ca70fe4ff75f0.us-east-1.aws.found.io/app/kibana#/discover/Steve-Slow-Train-Analysis-(2080s-and-2083s)?_g=(refreshInterval:(display:Off,pause:!f,section:0,value:0),time:(from:'2017-10-29T04:20:16-0600',mode:absolute,to:'2017-10-29T06:32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1" s="218" t="str">
        <f>IF(AA211&lt;VLOOKUP(AG211,Variables!$AC$3:$AD$8,2,FALSE),"Y","N")</f>
        <v>Y</v>
      </c>
      <c r="X211" s="218">
        <f t="shared" si="118"/>
        <v>1588</v>
      </c>
      <c r="Y211" s="218">
        <f t="shared" si="129"/>
        <v>2.9666999999999999</v>
      </c>
      <c r="Z211" s="218">
        <f t="shared" si="130"/>
        <v>5.8929</v>
      </c>
      <c r="AA211" s="218">
        <f t="shared" si="136"/>
        <v>2.9262000000000001</v>
      </c>
      <c r="AB211" s="219" t="e">
        <f>VLOOKUP(A211,Enforcements!$C$7:$K$11,8,0)</f>
        <v>#N/A</v>
      </c>
      <c r="AC211" s="219" t="e">
        <f>VLOOKUP(A211,Enforcements!$C$7:$E$11,3,0)</f>
        <v>#N/A</v>
      </c>
      <c r="AD211" s="186">
        <f t="shared" si="137"/>
        <v>1901</v>
      </c>
      <c r="AE211" s="220" t="str">
        <f t="shared" si="138"/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AF211" s="221" t="str">
        <f t="shared" si="139"/>
        <v>"C:\Program Files (x86)\AstroGrep\AstroGrep.exe" /e /r /s /spath="%USERPROFILE%\AppData\Local\Temp\OnboardLogs" /stypes="app*4050*20171029*" /stext=" 11:.+((SYSTEM_STATE.+slice.+state.+changed )|(ment ac)|(multiple cpu faults)|(system.+state.+changed )|(\[timeout)|(PRM\|1\|D)|(kpr)|(kdp)|(train st.+moving)|(\|lc)|(penalty))"</v>
      </c>
      <c r="AG211" s="185" t="str">
        <f t="shared" si="140"/>
        <v>Other</v>
      </c>
      <c r="AH211" s="222" t="str">
        <f t="shared" si="142"/>
        <v>"%USERPROFILE%\Documents\GitHub\eaglep3\Utilities\RefineRTDCRunTimes.py" --tripid 1901-29 --locoid 4050 --swversion DE.1.0.9.0 --startMP 300:29667 --initTime 2017-10-29T05:20:16 --startdatetime 2017-10-29T05:25:05 --delay 67 --endMP 300:58929 --enddatetime 2017-10-29T05:32:41 --enforcementcount 0 &gt;&gt;%USERPROFILE%\Documents\GitHub\eaglep3-reporting\EC\2017-10-29-refined-times.txt</v>
      </c>
      <c r="AI211" s="223" t="str">
        <f t="shared" si="143"/>
        <v>echo {"issue":{"subject":"","project_id":79,"tracker_id":40,"status_id":1,"priority_id":2,"assigned_to_id":338,"start_date":"2017-10-29","description":"","custom_fields":[{"id":1,"name":"Subdivision","value":"Other"},{"id":4,"name":"Milepost","value":"5.8929"},{"id":17,"name":"Train ID","value":"1901-29"},{"id":16,"name":"Locomotive ID","value":"4050"},{"id":130,"name":"Impact","value":""},{"id":150,"name":"Time of Event (Mountain Time)","value":"05:32:41"},{"id":151,"name":"Denver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182"/>
      <c r="AK211" s="186"/>
      <c r="AL211" s="186"/>
      <c r="AM211" s="187" t="str">
        <f t="shared" si="144"/>
        <v>start /low /b %USERPROFILE%\Documents\GitHub\eaglep3\Utilities\DownloadLogsFromS3.py --loco 4050 --day 2017-10-29</v>
      </c>
      <c r="AN211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11:32:41"},{"id":29,"name":"Sharepoint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82" t="str">
        <f t="shared" si="146"/>
        <v>https://d0f6bd738d7f1b3e5a7ca70fe4ff75f0.us-east-1.aws.found.io/app/kibana#/discover/Steve-Slow-Train-Analysis-(2080s-and-2083s)?_g=(refreshInterval:(display:Off,pause:!f,section:0,value:0),time:(from:'2017-10-29T04:20:16-0600',mode:absolute,to:'2017-10-29T06:32:41-0600'))&amp;_a=(columns:!('Message%20ID',Summary),filters:!(),index:'emp_*',interval:auto,query:(query_string:(analyze_wildcard:!t,query:'%22rtdc.l.rtdc.4050%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32" t="s">
        <v>858</v>
      </c>
      <c r="B212" s="7">
        <v>4049</v>
      </c>
      <c r="C212" s="21" t="s">
        <v>194</v>
      </c>
      <c r="D212" s="21" t="s">
        <v>1006</v>
      </c>
      <c r="E212" s="13">
        <v>43037.975127314814</v>
      </c>
      <c r="F212" s="13">
        <v>43037.976388888892</v>
      </c>
      <c r="G212" s="7">
        <v>46</v>
      </c>
      <c r="H212" s="21" t="s">
        <v>1007</v>
      </c>
      <c r="I212" s="13">
        <v>43037.985150462962</v>
      </c>
      <c r="J212" s="7">
        <v>0</v>
      </c>
      <c r="K212" s="76" t="str">
        <f t="shared" si="131"/>
        <v>4049/4050</v>
      </c>
      <c r="L212" s="164" t="str">
        <f>VLOOKUP(A212,'Trips&amp;Operators'!$C$1:$G$99911,5,FALSE)</f>
        <v>HOLCOMB KAMDEN</v>
      </c>
      <c r="M212" s="6">
        <f t="shared" si="132"/>
        <v>8.7615740703768097E-3</v>
      </c>
      <c r="N212" s="7">
        <f t="shared" si="133"/>
        <v>12.616666661342606</v>
      </c>
      <c r="O212" s="7"/>
      <c r="P212" s="7"/>
      <c r="Q212" s="22"/>
      <c r="R212" s="157"/>
      <c r="S212" s="215">
        <f t="shared" si="141"/>
        <v>0</v>
      </c>
      <c r="T212" s="216" t="str">
        <f t="shared" si="134"/>
        <v>Southbound</v>
      </c>
      <c r="U212" s="216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7" t="str">
        <f t="shared" si="135"/>
        <v>https://d0f6bd738d7f1b3e5a7ca70fe4ff75f0.us-east-1.aws.found.io/app/kibana#/discover/Steve-Slow-Train-Analysis-(2080s-and-2083s)?_g=(refreshInterval:(display:Off,pause:!f,section:0,value:0),time:(from:'2017-10-29T22:24:11-0600',mode:absolute,to:'2017-10-30T00:38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2" s="218" t="str">
        <f>IF(AA212&lt;VLOOKUP(AG212,Variables!$AC$3:$AD$8,2,FALSE),"Y","N")</f>
        <v>Y</v>
      </c>
      <c r="X212" s="218">
        <f t="shared" si="118"/>
        <v>1</v>
      </c>
      <c r="Y212" s="218">
        <f t="shared" si="129"/>
        <v>5.8647</v>
      </c>
      <c r="Z212" s="218">
        <f t="shared" si="130"/>
        <v>2.871</v>
      </c>
      <c r="AA212" s="218">
        <f t="shared" si="136"/>
        <v>2.9937</v>
      </c>
      <c r="AB212" s="219" t="e">
        <f>VLOOKUP(A212,Enforcements!$C$7:$K$11,8,0)</f>
        <v>#N/A</v>
      </c>
      <c r="AC212" s="219" t="e">
        <f>VLOOKUP(A212,Enforcements!$C$7:$E$11,3,0)</f>
        <v>#N/A</v>
      </c>
      <c r="AD212" s="186">
        <f t="shared" si="137"/>
        <v>1902</v>
      </c>
      <c r="AE212" s="220" t="str">
        <f t="shared" si="138"/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AF212" s="221" t="str">
        <f t="shared" si="139"/>
        <v>"C:\Program Files (x86)\AstroGrep\AstroGrep.exe" /e /r /s /spath="%USERPROFILE%\AppData\Local\Temp\OnboardLogs" /stypes="app*4049*20171030*" /stext=" 05:.+((SYSTEM_STATE.+slice.+state.+changed )|(ment ac)|(multiple cpu faults)|(system.+state.+changed )|(\[timeout)|(PRM\|1\|D)|(kpr)|(kdp)|(train st.+moving)|(\|lc)|(penalty))"</v>
      </c>
      <c r="AG212" s="185" t="str">
        <f t="shared" si="140"/>
        <v>Other</v>
      </c>
      <c r="AH212" s="222" t="str">
        <f t="shared" si="142"/>
        <v>"%USERPROFILE%\Documents\GitHub\eaglep3\Utilities\RefineRTDCRunTimes.py" --tripid 1902-29 --locoid 4049 --swversion DE.1.0.9.0 --startMP 300:58647 --initTime 2017-10-29T23:24:11 --startdatetime 2017-10-29T23:26:00 --delay 46 --endMP 300:28710 --enddatetime 2017-10-29T23:38:37 --enforcementcount 0 &gt;&gt;%USERPROFILE%\Documents\GitHub\eaglep3-reporting\EC\2017-10-29-refined-times.txt</v>
      </c>
      <c r="AI212" s="223" t="str">
        <f t="shared" si="143"/>
        <v>echo {"issue":{"subject":"","project_id":79,"tracker_id":40,"status_id":1,"priority_id":2,"assigned_to_id":338,"start_date":"2017-10-29","description":"","custom_fields":[{"id":1,"name":"Subdivision","value":"Other"},{"id":4,"name":"Milepost","value":"2.871"},{"id":17,"name":"Train ID","value":"1902-29"},{"id":16,"name":"Locomotive ID","value":"4049"},{"id":130,"name":"Impact","value":""},{"id":150,"name":"Time of Event (Mountain Time)","value":"23:38:37"},{"id":151,"name":"Denver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182"/>
      <c r="AK212" s="186"/>
      <c r="AL212" s="186"/>
      <c r="AM212" s="187" t="str">
        <f t="shared" si="144"/>
        <v>start /low /b %USERPROFILE%\Documents\GitHub\eaglep3\Utilities\DownloadLogsFromS3.py --loco 4049 --day 2017-10-29</v>
      </c>
      <c r="AN212" s="224" t="str">
        <f t="shared" si="14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05:38:37"},{"id":29,"name":"Sharepoint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82" t="str">
        <f t="shared" si="146"/>
        <v>https://d0f6bd738d7f1b3e5a7ca70fe4ff75f0.us-east-1.aws.found.io/app/kibana#/discover/Steve-Slow-Train-Analysis-(2080s-and-2083s)?_g=(refreshInterval:(display:Off,pause:!f,section:0,value:0),time:(from:'2017-10-29T22:24:11-0600',mode:absolute,to:'2017-10-30T00:38:37-0600'))&amp;_a=(columns:!('Message%20ID',Summary),filters:!(),index:'emp_*',interval:auto,query:(query_string:(analyze_wildcard:!t,query:'%22rtdc.l.rtdc.4049%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 s="32" t="s">
        <v>669</v>
      </c>
      <c r="B213" s="7">
        <v>4016</v>
      </c>
      <c r="C213" s="21" t="s">
        <v>194</v>
      </c>
      <c r="D213" s="21" t="s">
        <v>886</v>
      </c>
      <c r="E213" s="13">
        <v>43037.127650462964</v>
      </c>
      <c r="F213" s="13">
        <v>43037.139097222222</v>
      </c>
      <c r="G213" s="7">
        <v>102</v>
      </c>
      <c r="H213" s="21" t="s">
        <v>1062</v>
      </c>
      <c r="I213" s="13">
        <v>43037.140023148146</v>
      </c>
      <c r="J213" s="7">
        <v>0</v>
      </c>
      <c r="K213" s="76" t="str">
        <f t="shared" si="131"/>
        <v>4015/4016</v>
      </c>
      <c r="L213" s="164" t="str">
        <f>VLOOKUP(A213,'Trips&amp;Operators'!$C$1:$G$99911,5,FALSE)</f>
        <v>MCREYNOLDS KYLE</v>
      </c>
      <c r="M213" s="6">
        <f t="shared" si="132"/>
        <v>9.2592592409346253E-4</v>
      </c>
      <c r="N213" s="7">
        <f t="shared" si="133"/>
        <v>1.333333330694586</v>
      </c>
      <c r="O213" s="7"/>
      <c r="P213" s="7"/>
      <c r="Q213" s="22"/>
      <c r="R213" s="157"/>
      <c r="S213" s="215">
        <f t="shared" si="141"/>
        <v>0</v>
      </c>
      <c r="T213" s="216" t="str">
        <f t="shared" si="134"/>
        <v>NorthBound</v>
      </c>
      <c r="U213" s="216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17" t="str">
        <f t="shared" si="135"/>
        <v>https://d0f6bd738d7f1b3e5a7ca70fe4ff75f0.us-east-1.aws.found.io/app/kibana#/discover/Steve-Slow-Train-Analysis-(2080s-and-2083s)?_g=(refreshInterval:(display:Off,pause:!f,section:0,value:0),time:(from:'2017-10-29T02:03:49-0600',mode:absolute,to:'2017-10-29T04:21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13" s="218" t="str">
        <f>IF(AA213&lt;VLOOKUP(AG213,Variables!$AC$3:$AD$8,2,FALSE),"Y","N")</f>
        <v>Y</v>
      </c>
      <c r="X213" s="218">
        <f t="shared" si="118"/>
        <v>-1851</v>
      </c>
      <c r="Y213" s="218">
        <f t="shared" si="129"/>
        <v>4.5499999999999999E-2</v>
      </c>
      <c r="Z213" s="218">
        <f t="shared" si="130"/>
        <v>0.33200000000000002</v>
      </c>
      <c r="AA213" s="218">
        <f t="shared" si="136"/>
        <v>0.28650000000000003</v>
      </c>
      <c r="AB213" s="219" t="e">
        <f>VLOOKUP(A213,Enforcements!$C$7:$K$11,8,0)</f>
        <v>#N/A</v>
      </c>
      <c r="AC213" s="219" t="e">
        <f>VLOOKUP(A213,Enforcements!$C$7:$E$11,3,0)</f>
        <v>#N/A</v>
      </c>
      <c r="AD213" s="186">
        <f t="shared" si="137"/>
        <v>51</v>
      </c>
      <c r="AE213" s="220" t="str">
        <f t="shared" si="138"/>
        <v>aws s3 cp s3://rtdc.mdm.uploadarchive.raw/RTDC4016/ "%USERPROFILE%\AppData\Local\Temp\OnboardLogs"\RTDC4016\2017-10-29 --exclude "*" --recursive --include "*20171029*" &amp; "%USERPROFILE%\Documents\GitHub\mrs-test-scripts\Headless Mode &amp; Sideloading\WalkAndUnGZ.bat" "%USERPROFILE%\AppData\Local\Temp\OnboardLogs"\RTDC4016\2017-10-29 &amp; aws s3 cp s3://rtdc.mdm.uploadarchive.raw/RTDC4016/ "%USERPROFILE%\AppData\Local\Temp\OnboardLogs"\RTDC4016\2017-10-30 --exclude "*" --recursive --include "*20171030*" &amp; "%USERPROFILE%\Documents\GitHub\mrs-test-scripts\Headless Mode &amp; Sideloading\WalkAndUnGZ.bat" "%USERPROFILE%\AppData\Local\Temp\OnboardLogs"\RTDC4016\2017-10-30</v>
      </c>
      <c r="AF213" s="221" t="str">
        <f t="shared" si="139"/>
        <v>"C:\Program Files (x86)\AstroGrep\AstroGrep.exe" /e /r /s /spath="%USERPROFILE%\AppData\Local\Temp\OnboardLogs" /stypes="app*4016*20171029*" /stext=" 09:.+((SYSTEM_STATE.+slice.+state.+changed )|(ment ac)|(multiple cpu faults)|(system.+state.+changed )|(\[timeout)|(PRM\|1\|D)|(kpr)|(kdp)|(train st.+moving)|(\|lc)|(penalty))"</v>
      </c>
      <c r="AG213" s="185" t="str">
        <f t="shared" si="140"/>
        <v>Shuttle/Test</v>
      </c>
      <c r="AH213" s="222" t="str">
        <f t="shared" si="142"/>
        <v>"%USERPROFILE%\Documents\GitHub\eaglep3\Utilities\RefineRTDCRunTimes.py" --tripid 51-29 --locoid 4016 --swversion DE.1.0.9.0 --startMP 204:455 --initTime 2017-10-29T03:03:49 --startdatetime 2017-10-29T03:20:18 --delay 102 --endMP 204:3320 --enddatetime 2017-10-29T03:21:38 --enforcementcount 0 &gt;&gt;%USERPROFILE%\Documents\GitHub\eaglep3-reporting\EC\2017-10-29-refined-times.txt</v>
      </c>
      <c r="AI213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0.332"},{"id":17,"name":"Train ID","value":"51-29"},{"id":16,"name":"Locomotive ID","value":"4016"},{"id":130,"name":"Impact","value":""},{"id":150,"name":"Time of Event (Mountain Time)","value":"03:21:38"},{"id":151,"name":"Denver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3" s="182"/>
      <c r="AK213" s="186"/>
      <c r="AL213" s="186"/>
      <c r="AM213" s="187" t="str">
        <f t="shared" si="144"/>
        <v>start /low /b %USERPROFILE%\Documents\GitHub\eaglep3\Utilities\DownloadLogsFromS3.py --loco 4016 --day 2017-10-29</v>
      </c>
      <c r="AN213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09:21:38"},{"id":29,"name":"Sharepoint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82" t="str">
        <f t="shared" si="146"/>
        <v>https://d0f6bd738d7f1b3e5a7ca70fe4ff75f0.us-east-1.aws.found.io/app/kibana#/discover/Steve-Slow-Train-Analysis-(2080s-and-2083s)?_g=(refreshInterval:(display:Off,pause:!f,section:0,value:0),time:(from:'2017-10-29T02:03:49-0600',mode:absolute,to:'2017-10-29T04:21:38-0600'))&amp;_a=(columns:!('Message%20ID',Summary),filters:!(),index:'emp_*',interval:auto,query:(query_string:(analyze_wildcard:!t,query:'%22rtdc.l.rtdc.4016%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 s="32" t="s">
        <v>669</v>
      </c>
      <c r="B214" s="7">
        <v>4061</v>
      </c>
      <c r="C214" s="21" t="s">
        <v>194</v>
      </c>
      <c r="D214" s="21" t="s">
        <v>1063</v>
      </c>
      <c r="E214" s="13">
        <v>43037.354259259257</v>
      </c>
      <c r="F214" s="13">
        <v>43037.357638888891</v>
      </c>
      <c r="G214" s="7">
        <v>61</v>
      </c>
      <c r="H214" s="21" t="s">
        <v>1064</v>
      </c>
      <c r="I214" s="13">
        <v>43037.363136574073</v>
      </c>
      <c r="J214" s="7">
        <v>0</v>
      </c>
      <c r="K214" s="76" t="str">
        <f t="shared" si="131"/>
        <v>4061/4062</v>
      </c>
      <c r="L214" s="164" t="str">
        <f>VLOOKUP(A214,'Trips&amp;Operators'!$C$1:$G$99911,5,FALSE)</f>
        <v>MCREYNOLDS KYLE</v>
      </c>
      <c r="M214" s="6">
        <f t="shared" si="132"/>
        <v>5.4976851824903861E-3</v>
      </c>
      <c r="N214" s="7">
        <f t="shared" si="133"/>
        <v>7.9166666627861559</v>
      </c>
      <c r="O214" s="7"/>
      <c r="P214" s="7"/>
      <c r="Q214" s="22"/>
      <c r="R214" s="157"/>
      <c r="S214" s="215">
        <f t="shared" si="141"/>
        <v>0</v>
      </c>
      <c r="T214" s="216" t="str">
        <f t="shared" si="134"/>
        <v>NorthBound</v>
      </c>
      <c r="U214" s="216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7" t="str">
        <f t="shared" si="135"/>
        <v>https://d0f6bd738d7f1b3e5a7ca70fe4ff75f0.us-east-1.aws.found.io/app/kibana#/discover/Steve-Slow-Train-Analysis-(2080s-and-2083s)?_g=(refreshInterval:(display:Off,pause:!f,section:0,value:0),time:(from:'2017-10-29T07:30:08-0600',mode:absolute,to:'2017-10-29T09:42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14" s="218" t="str">
        <f>IF(AA214&lt;VLOOKUP(AG214,Variables!$AC$3:$AD$8,2,FALSE),"Y","N")</f>
        <v>Y</v>
      </c>
      <c r="X214" s="218">
        <f t="shared" si="118"/>
        <v>0</v>
      </c>
      <c r="Y214" s="218">
        <f t="shared" si="129"/>
        <v>2.3207</v>
      </c>
      <c r="Z214" s="218">
        <f t="shared" si="130"/>
        <v>0.1152</v>
      </c>
      <c r="AA214" s="218">
        <f t="shared" si="136"/>
        <v>2.2054999999999998</v>
      </c>
      <c r="AB214" s="219" t="e">
        <f>VLOOKUP(A214,Enforcements!$C$7:$K$11,8,0)</f>
        <v>#N/A</v>
      </c>
      <c r="AC214" s="219" t="e">
        <f>VLOOKUP(A214,Enforcements!$C$7:$E$11,3,0)</f>
        <v>#N/A</v>
      </c>
      <c r="AD214" s="186">
        <f t="shared" si="137"/>
        <v>51</v>
      </c>
      <c r="AE214" s="220" t="str">
        <f t="shared" si="138"/>
        <v>aws s3 cp s3://rtdc.mdm.uploadarchive.raw/RTDC4061/ "%USERPROFILE%\AppData\Local\Temp\OnboardLogs"\RTDC4061\2017-10-29 --exclude "*" --recursive --include "*20171029*" &amp; "%USERPROFILE%\Documents\GitHub\mrs-test-scripts\Headless Mode &amp; Sideloading\WalkAndUnGZ.bat" "%USERPROFILE%\AppData\Local\Temp\OnboardLogs"\RTDC4061\2017-10-29 &amp; aws s3 cp s3://rtdc.mdm.uploadarchive.raw/RTDC4061/ "%USERPROFILE%\AppData\Local\Temp\OnboardLogs"\RTDC4061\2017-10-30 --exclude "*" --recursive --include "*20171030*" &amp; "%USERPROFILE%\Documents\GitHub\mrs-test-scripts\Headless Mode &amp; Sideloading\WalkAndUnGZ.bat" "%USERPROFILE%\AppData\Local\Temp\OnboardLogs"\RTDC4061\2017-10-30</v>
      </c>
      <c r="AF214" s="221" t="str">
        <f t="shared" si="139"/>
        <v>"C:\Program Files (x86)\AstroGrep\AstroGrep.exe" /e /r /s /spath="%USERPROFILE%\AppData\Local\Temp\OnboardLogs" /stypes="app*4061*20171029*" /stext=" 14:.+((SYSTEM_STATE.+slice.+state.+changed )|(ment ac)|(multiple cpu faults)|(system.+state.+changed )|(\[timeout)|(PRM\|1\|D)|(kpr)|(kdp)|(train st.+moving)|(\|lc)|(penalty))"</v>
      </c>
      <c r="AG214" s="185" t="str">
        <f t="shared" si="140"/>
        <v>Shuttle/Test</v>
      </c>
      <c r="AH214" s="222" t="str">
        <f t="shared" si="142"/>
        <v>"%USERPROFILE%\Documents\GitHub\eaglep3\Utilities\RefineRTDCRunTimes.py" --tripid 51-29 --locoid 4061 --swversion DE.1.0.9.0 --startMP 300:23207 --initTime 2017-10-29T08:30:08 --startdatetime 2017-10-29T08:35:00 --delay 61 --endMP 204:1152 --enddatetime 2017-10-29T08:42:55 --enforcementcount 0 &gt;&gt;%USERPROFILE%\Documents\GitHub\eaglep3-reporting\EC\2017-10-29-refined-times.txt</v>
      </c>
      <c r="AI214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0.1152"},{"id":17,"name":"Train ID","value":"51-29"},{"id":16,"name":"Locomotive ID","value":"4061"},{"id":130,"name":"Impact","value":""},{"id":150,"name":"Time of Event (Mountain Time)","value":"08:42:55"},{"id":151,"name":"Denver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4" s="182"/>
      <c r="AK214" s="186"/>
      <c r="AL214" s="186"/>
      <c r="AM214" s="187" t="str">
        <f t="shared" si="144"/>
        <v>start /low /b %USERPROFILE%\Documents\GitHub\eaglep3\Utilities\DownloadLogsFromS3.py --loco 4061 --day 2017-10-29</v>
      </c>
      <c r="AN214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14:42:55"},{"id":29,"name":"Sharepoint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82" t="str">
        <f t="shared" si="146"/>
        <v>https://d0f6bd738d7f1b3e5a7ca70fe4ff75f0.us-east-1.aws.found.io/app/kibana#/discover/Steve-Slow-Train-Analysis-(2080s-and-2083s)?_g=(refreshInterval:(display:Off,pause:!f,section:0,value:0),time:(from:'2017-10-29T07:30:08-0600',mode:absolute,to:'2017-10-29T09:42:55-0600'))&amp;_a=(columns:!('Message%20ID',Summary),filters:!(),index:'emp_*',interval:auto,query:(query_string:(analyze_wildcard:!t,query:'%22rtdc.l.rtdc.4061%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 s="32" t="s">
        <v>669</v>
      </c>
      <c r="B215" s="7">
        <v>4052</v>
      </c>
      <c r="C215" s="21" t="s">
        <v>194</v>
      </c>
      <c r="D215" s="21" t="s">
        <v>586</v>
      </c>
      <c r="E215" s="13">
        <v>43037.335879629631</v>
      </c>
      <c r="F215" s="13">
        <v>43037.357638888891</v>
      </c>
      <c r="G215" s="7">
        <v>58</v>
      </c>
      <c r="H215" s="21" t="s">
        <v>382</v>
      </c>
      <c r="I215" s="13">
        <v>43037.363136574073</v>
      </c>
      <c r="J215" s="7">
        <v>0</v>
      </c>
      <c r="K215" s="76" t="str">
        <f t="shared" si="131"/>
        <v>4051/4052</v>
      </c>
      <c r="L215" s="164" t="str">
        <f>VLOOKUP(A215,'Trips&amp;Operators'!$C$1:$G$99911,5,FALSE)</f>
        <v>MCREYNOLDS KYLE</v>
      </c>
      <c r="M215" s="6">
        <f t="shared" si="132"/>
        <v>5.4976851824903861E-3</v>
      </c>
      <c r="N215" s="7">
        <f t="shared" si="133"/>
        <v>7.9166666627861559</v>
      </c>
      <c r="O215" s="7"/>
      <c r="P215" s="7"/>
      <c r="Q215" s="22"/>
      <c r="R215" s="157"/>
      <c r="S215" s="215">
        <f t="shared" si="141"/>
        <v>1</v>
      </c>
      <c r="T215" s="216" t="str">
        <f t="shared" si="134"/>
        <v>NorthBound</v>
      </c>
      <c r="U215" s="216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217" t="str">
        <f t="shared" si="135"/>
        <v>https://d0f6bd738d7f1b3e5a7ca70fe4ff75f0.us-east-1.aws.found.io/app/kibana#/discover/Steve-Slow-Train-Analysis-(2080s-and-2083s)?_g=(refreshInterval:(display:Off,pause:!f,section:0,value:0),time:(from:'2017-10-29T07:03:40-0600',mode:absolute,to:'2017-10-29T09:42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5" s="218" t="str">
        <f>IF(AA215&lt;VLOOKUP(AG215,Variables!$AC$3:$AD$8,2,FALSE),"Y","N")</f>
        <v>Y</v>
      </c>
      <c r="X215" s="218">
        <f t="shared" si="118"/>
        <v>0</v>
      </c>
      <c r="Y215" s="218">
        <f t="shared" si="129"/>
        <v>3.1099999999999999E-2</v>
      </c>
      <c r="Z215" s="218">
        <f t="shared" si="130"/>
        <v>2.3346</v>
      </c>
      <c r="AA215" s="218">
        <f t="shared" si="136"/>
        <v>2.3035000000000001</v>
      </c>
      <c r="AB215" s="219" t="e">
        <f>VLOOKUP(A215,Enforcements!$C$7:$K$11,8,0)</f>
        <v>#N/A</v>
      </c>
      <c r="AC215" s="219" t="e">
        <f>VLOOKUP(A215,Enforcements!$C$7:$E$11,3,0)</f>
        <v>#N/A</v>
      </c>
      <c r="AD215" s="186">
        <f t="shared" si="137"/>
        <v>51</v>
      </c>
      <c r="AE215" s="220" t="str">
        <f t="shared" si="138"/>
        <v>aws s3 cp s3://rtdc.mdm.uploadarchive.raw/RTDC4052/ "%USERPROFILE%\AppData\Local\Temp\OnboardLogs"\RTDC4052\2017-10-29 --exclude "*" --recursive --include "*20171029*" &amp; "%USERPROFILE%\Documents\GitHub\mrs-test-scripts\Headless Mode &amp; Sideloading\WalkAndUnGZ.bat" "%USERPROFILE%\AppData\Local\Temp\OnboardLogs"\RTDC4052\2017-10-29 &amp; aws s3 cp s3://rtdc.mdm.uploadarchive.raw/RTDC4052/ "%USERPROFILE%\AppData\Local\Temp\OnboardLogs"\RTDC4052\2017-10-30 --exclude "*" --recursive --include "*20171030*" &amp; "%USERPROFILE%\Documents\GitHub\mrs-test-scripts\Headless Mode &amp; Sideloading\WalkAndUnGZ.bat" "%USERPROFILE%\AppData\Local\Temp\OnboardLogs"\RTDC4052\2017-10-30</v>
      </c>
      <c r="AF215" s="221" t="str">
        <f t="shared" si="139"/>
        <v>"C:\Program Files (x86)\AstroGrep\AstroGrep.exe" /e /r /s /spath="%USERPROFILE%\AppData\Local\Temp\OnboardLogs" /stypes="app*4052*20171029*" /stext=" 14:.+((SYSTEM_STATE.+slice.+state.+changed )|(ment ac)|(multiple cpu faults)|(system.+state.+changed )|(\[timeout)|(PRM\|1\|D)|(kpr)|(kdp)|(train st.+moving)|(\|lc)|(penalty))"</v>
      </c>
      <c r="AG215" s="185" t="str">
        <f t="shared" si="140"/>
        <v>Shuttle/Test</v>
      </c>
      <c r="AH215" s="222" t="str">
        <f t="shared" si="142"/>
        <v>"%USERPROFILE%\Documents\GitHub\eaglep3\Utilities\RefineRTDCRunTimes.py" --tripid 51-29 --locoid 4052 --swversion DE.1.0.9.0 --startMP 204:311 --initTime 2017-10-29T08:03:40 --startdatetime 2017-10-29T08:35:00 --delay 58 --endMP 300:23346 --enddatetime 2017-10-29T08:42:55 --enforcementcount 0 &gt;&gt;%USERPROFILE%\Documents\GitHub\eaglep3-reporting\EC\2017-10-29-refined-times.txt</v>
      </c>
      <c r="AI215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2.3346"},{"id":17,"name":"Train ID","value":"51-29"},{"id":16,"name":"Locomotive ID","value":"4052"},{"id":130,"name":"Impact","value":""},{"id":150,"name":"Time of Event (Mountain Time)","value":"08:42:55"},{"id":151,"name":"Denver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5" s="182"/>
      <c r="AK215" s="186"/>
      <c r="AL215" s="186"/>
      <c r="AM215" s="187" t="str">
        <f t="shared" si="144"/>
        <v>start /low /b %USERPROFILE%\Documents\GitHub\eaglep3\Utilities\DownloadLogsFromS3.py --loco 4052 --day 2017-10-29</v>
      </c>
      <c r="AN215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14:42:55"},{"id":29,"name":"Sharepoint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82" t="str">
        <f t="shared" si="146"/>
        <v>https://d0f6bd738d7f1b3e5a7ca70fe4ff75f0.us-east-1.aws.found.io/app/kibana#/discover/Steve-Slow-Train-Analysis-(2080s-and-2083s)?_g=(refreshInterval:(display:Off,pause:!f,section:0,value:0),time:(from:'2017-10-29T07:03:40-0600',mode:absolute,to:'2017-10-29T09:42:55-0600'))&amp;_a=(columns:!('Message%20ID',Summary),filters:!(),index:'emp_*',interval:auto,query:(query_string:(analyze_wildcard:!t,query:'%22rtdc.l.rtdc.4052%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0" customFormat="1" x14ac:dyDescent="0.3">
      <c r="A216" s="32" t="s">
        <v>671</v>
      </c>
      <c r="B216" s="7">
        <v>4015</v>
      </c>
      <c r="C216" s="21" t="s">
        <v>194</v>
      </c>
      <c r="D216" s="21" t="s">
        <v>1065</v>
      </c>
      <c r="E216" s="13">
        <v>43037.140902777777</v>
      </c>
      <c r="F216" s="13">
        <v>43037.142314814817</v>
      </c>
      <c r="G216" s="7">
        <v>72</v>
      </c>
      <c r="H216" s="21" t="s">
        <v>1066</v>
      </c>
      <c r="I216" s="13">
        <v>43037.143414351849</v>
      </c>
      <c r="J216" s="7">
        <v>0</v>
      </c>
      <c r="K216" s="76" t="str">
        <f t="shared" si="131"/>
        <v>4015/4016</v>
      </c>
      <c r="L216" s="164" t="str">
        <f>VLOOKUP(A216,'Trips&amp;Operators'!$C$1:$G$99911,5,FALSE)</f>
        <v>MCREYNOLDS KYLE</v>
      </c>
      <c r="M216" s="6">
        <f t="shared" si="132"/>
        <v>1.0995370321325026E-3</v>
      </c>
      <c r="N216" s="7">
        <f t="shared" si="133"/>
        <v>1.5833333262708038</v>
      </c>
      <c r="O216" s="7"/>
      <c r="P216" s="7"/>
      <c r="Q216" s="22"/>
      <c r="R216" s="157"/>
      <c r="S216" s="215">
        <f t="shared" si="141"/>
        <v>0</v>
      </c>
      <c r="T216" s="216" t="str">
        <f t="shared" si="134"/>
        <v>Southbound</v>
      </c>
      <c r="U216" s="216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217" t="str">
        <f t="shared" si="135"/>
        <v>https://d0f6bd738d7f1b3e5a7ca70fe4ff75f0.us-east-1.aws.found.io/app/kibana#/discover/Steve-Slow-Train-Analysis-(2080s-and-2083s)?_g=(refreshInterval:(display:Off,pause:!f,section:0,value:0),time:(from:'2017-10-29T02:22:54-0600',mode:absolute,to:'2017-10-29T04:26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16" s="218" t="str">
        <f>IF(AA216&lt;VLOOKUP(AG216,Variables!$AC$3:$AD$8,2,FALSE),"Y","N")</f>
        <v>Y</v>
      </c>
      <c r="X216" s="218">
        <f t="shared" si="118"/>
        <v>1</v>
      </c>
      <c r="Y216" s="218">
        <f t="shared" si="129"/>
        <v>0.2979</v>
      </c>
      <c r="Z216" s="218">
        <f t="shared" si="130"/>
        <v>0.1164</v>
      </c>
      <c r="AA216" s="218">
        <f t="shared" si="136"/>
        <v>0.18149999999999999</v>
      </c>
      <c r="AB216" s="219" t="e">
        <f>VLOOKUP(A216,Enforcements!$C$7:$K$11,8,0)</f>
        <v>#N/A</v>
      </c>
      <c r="AC216" s="219" t="e">
        <f>VLOOKUP(A216,Enforcements!$C$7:$E$11,3,0)</f>
        <v>#N/A</v>
      </c>
      <c r="AD216" s="186">
        <f t="shared" si="137"/>
        <v>52</v>
      </c>
      <c r="AE216" s="220" t="str">
        <f t="shared" si="138"/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AF216" s="221" t="str">
        <f t="shared" si="139"/>
        <v>"C:\Program Files (x86)\AstroGrep\AstroGrep.exe" /e /r /s /spath="%USERPROFILE%\AppData\Local\Temp\OnboardLogs" /stypes="app*4015*20171029*" /stext=" 09:.+((SYSTEM_STATE.+slice.+state.+changed )|(ment ac)|(multiple cpu faults)|(system.+state.+changed )|(\[timeout)|(PRM\|1\|D)|(kpr)|(kdp)|(train st.+moving)|(\|lc)|(penalty))"</v>
      </c>
      <c r="AG216" s="185" t="str">
        <f t="shared" si="140"/>
        <v>Shuttle/Test</v>
      </c>
      <c r="AH216" s="222" t="str">
        <f t="shared" si="142"/>
        <v>"%USERPROFILE%\Documents\GitHub\eaglep3\Utilities\RefineRTDCRunTimes.py" --tripid 52-29 --locoid 4015 --swversion DE.1.0.9.0 --startMP 204:2979 --initTime 2017-10-29T03:22:54 --startdatetime 2017-10-29T03:24:56 --delay 72 --endMP 204:1164 --enddatetime 2017-10-29T03:26:31 --enforcementcount 0 &gt;&gt;%USERPROFILE%\Documents\GitHub\eaglep3-reporting\EC\2017-10-29-refined-times.txt</v>
      </c>
      <c r="AI216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0.1164"},{"id":17,"name":"Train ID","value":"52-29"},{"id":16,"name":"Locomotive ID","value":"4015"},{"id":130,"name":"Impact","value":""},{"id":150,"name":"Time of Event (Mountain Time)","value":"03:26:31"},{"id":151,"name":"Denver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6" s="182"/>
      <c r="AK216" s="186"/>
      <c r="AL216" s="186"/>
      <c r="AM216" s="187" t="str">
        <f t="shared" si="144"/>
        <v>start /low /b %USERPROFILE%\Documents\GitHub\eaglep3\Utilities\DownloadLogsFromS3.py --loco 4015 --day 2017-10-29</v>
      </c>
      <c r="AN216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09:26:31"},{"id":29,"name":"Sharepoint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82" t="str">
        <f t="shared" si="146"/>
        <v>https://d0f6bd738d7f1b3e5a7ca70fe4ff75f0.us-east-1.aws.found.io/app/kibana#/discover/Steve-Slow-Train-Analysis-(2080s-and-2083s)?_g=(refreshInterval:(display:Off,pause:!f,section:0,value:0),time:(from:'2017-10-29T02:22:54-0600',mode:absolute,to:'2017-10-29T04:26:31-0600'))&amp;_a=(columns:!('Message%20ID',Summary),filters:!(),index:'emp_*',interval:auto,query:(query_string:(analyze_wildcard:!t,query:'%22rtdc.l.rtdc.4015%22')),sort:!(Time.ISO8601,asc))</v>
      </c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 s="32" t="s">
        <v>741</v>
      </c>
      <c r="B217" s="7">
        <v>4046</v>
      </c>
      <c r="C217" s="21" t="s">
        <v>194</v>
      </c>
      <c r="D217" s="21" t="s">
        <v>361</v>
      </c>
      <c r="E217" s="13">
        <v>43037.429583333331</v>
      </c>
      <c r="F217" s="13">
        <v>43037.435868055552</v>
      </c>
      <c r="G217" s="7">
        <v>59</v>
      </c>
      <c r="H217" s="21" t="s">
        <v>1067</v>
      </c>
      <c r="I217" s="13">
        <v>43037.436631944445</v>
      </c>
      <c r="J217" s="7">
        <v>0</v>
      </c>
      <c r="K217" s="76" t="str">
        <f t="shared" si="131"/>
        <v>4045/4046</v>
      </c>
      <c r="L217" s="164" t="str">
        <f>VLOOKUP(A217,'Trips&amp;Operators'!$C$1:$G$99911,5,FALSE)</f>
        <v>LOPES KIMBERLY</v>
      </c>
      <c r="M217" s="6">
        <f t="shared" si="132"/>
        <v>7.638888928340748E-4</v>
      </c>
      <c r="N217" s="7">
        <f t="shared" si="133"/>
        <v>1.1000000056810677</v>
      </c>
      <c r="O217" s="7"/>
      <c r="P217" s="7"/>
      <c r="Q217" s="22"/>
      <c r="R217" s="157"/>
      <c r="S217" s="215">
        <f t="shared" si="141"/>
        <v>0</v>
      </c>
      <c r="T217" s="216" t="str">
        <f t="shared" si="134"/>
        <v>NorthBound</v>
      </c>
      <c r="U217" s="216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217" t="str">
        <f t="shared" si="135"/>
        <v>https://d0f6bd738d7f1b3e5a7ca70fe4ff75f0.us-east-1.aws.found.io/app/kibana#/discover/Steve-Slow-Train-Analysis-(2080s-and-2083s)?_g=(refreshInterval:(display:Off,pause:!f,section:0,value:0),time:(from:'2017-10-29T09:18:36-0600',mode:absolute,to:'2017-10-29T11:28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7" s="218" t="str">
        <f>IF(AA217&lt;VLOOKUP(AG217,Variables!$AC$3:$AD$8,2,FALSE),"Y","N")</f>
        <v>Y</v>
      </c>
      <c r="X217" s="218">
        <f t="shared" si="118"/>
        <v>3</v>
      </c>
      <c r="Y217" s="218">
        <f t="shared" si="129"/>
        <v>4.4699999999999997E-2</v>
      </c>
      <c r="Z217" s="218">
        <f t="shared" si="130"/>
        <v>0.34620000000000001</v>
      </c>
      <c r="AA217" s="218">
        <f t="shared" si="136"/>
        <v>0.30149999999999999</v>
      </c>
      <c r="AB217" s="219" t="e">
        <f>VLOOKUP(A217,Enforcements!$C$7:$K$11,8,0)</f>
        <v>#N/A</v>
      </c>
      <c r="AC217" s="219" t="e">
        <f>VLOOKUP(A217,Enforcements!$C$7:$E$11,3,0)</f>
        <v>#N/A</v>
      </c>
      <c r="AD217" s="186">
        <f t="shared" si="137"/>
        <v>55</v>
      </c>
      <c r="AE217" s="220" t="str">
        <f t="shared" si="138"/>
        <v>aws s3 cp s3://rtdc.mdm.uploadarchive.raw/RTDC4046/ "%USERPROFILE%\AppData\Local\Temp\OnboardLogs"\RTDC4046\2017-10-29 --exclude "*" --recursive --include "*20171029*" &amp; "%USERPROFILE%\Documents\GitHub\mrs-test-scripts\Headless Mode &amp; Sideloading\WalkAndUnGZ.bat" "%USERPROFILE%\AppData\Local\Temp\OnboardLogs"\RTDC4046\2017-10-29 &amp; aws s3 cp s3://rtdc.mdm.uploadarchive.raw/RTDC4046/ "%USERPROFILE%\AppData\Local\Temp\OnboardLogs"\RTDC4046\2017-10-30 --exclude "*" --recursive --include "*20171030*" &amp; "%USERPROFILE%\Documents\GitHub\mrs-test-scripts\Headless Mode &amp; Sideloading\WalkAndUnGZ.bat" "%USERPROFILE%\AppData\Local\Temp\OnboardLogs"\RTDC4046\2017-10-30</v>
      </c>
      <c r="AF217" s="221" t="str">
        <f t="shared" si="139"/>
        <v>"C:\Program Files (x86)\AstroGrep\AstroGrep.exe" /e /r /s /spath="%USERPROFILE%\AppData\Local\Temp\OnboardLogs" /stypes="app*4046*20171029*" /stext=" 16:.+((SYSTEM_STATE.+slice.+state.+changed )|(ment ac)|(multiple cpu faults)|(system.+state.+changed )|(\[timeout)|(PRM\|1\|D)|(kpr)|(kdp)|(train st.+moving)|(\|lc)|(penalty))"</v>
      </c>
      <c r="AG217" s="185" t="str">
        <f t="shared" si="140"/>
        <v>Shuttle/Test</v>
      </c>
      <c r="AH217" s="222" t="str">
        <f t="shared" si="142"/>
        <v>"%USERPROFILE%\Documents\GitHub\eaglep3\Utilities\RefineRTDCRunTimes.py" --tripid 55-29 --locoid 4046 --swversion DE.1.0.9.0 --startMP 204:447 --initTime 2017-10-29T10:18:36 --startdatetime 2017-10-29T10:27:39 --delay 59 --endMP 204:3462 --enddatetime 2017-10-29T10:28:45 --enforcementcount 0 &gt;&gt;%USERPROFILE%\Documents\GitHub\eaglep3-reporting\EC\2017-10-29-refined-times.txt</v>
      </c>
      <c r="AI217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0.3462"},{"id":17,"name":"Train ID","value":"55-29"},{"id":16,"name":"Locomotive ID","value":"4046"},{"id":130,"name":"Impact","value":""},{"id":150,"name":"Time of Event (Mountain Time)","value":"10:28:45"},{"id":151,"name":"Denver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7" s="182"/>
      <c r="AK217" s="186"/>
      <c r="AL217" s="186"/>
      <c r="AM217" s="187" t="str">
        <f t="shared" si="144"/>
        <v>start /low /b %USERPROFILE%\Documents\GitHub\eaglep3\Utilities\DownloadLogsFromS3.py --loco 4046 --day 2017-10-29</v>
      </c>
      <c r="AN217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16:28:45"},{"id":29,"name":"Sharepoint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82" t="str">
        <f t="shared" si="146"/>
        <v>https://d0f6bd738d7f1b3e5a7ca70fe4ff75f0.us-east-1.aws.found.io/app/kibana#/discover/Steve-Slow-Train-Analysis-(2080s-and-2083s)?_g=(refreshInterval:(display:Off,pause:!f,section:0,value:0),time:(from:'2017-10-29T09:18:36-0600',mode:absolute,to:'2017-10-29T11:28:45-0600'))&amp;_a=(columns:!('Message%20ID',Summary),filters:!(),index:'emp_*',interval:auto,query:(query_string:(analyze_wildcard:!t,query:'%22rtdc.l.rtdc.4046%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 s="32" t="s">
        <v>741</v>
      </c>
      <c r="B218" s="7">
        <v>4045</v>
      </c>
      <c r="C218" s="21" t="s">
        <v>194</v>
      </c>
      <c r="D218" s="21" t="s">
        <v>1068</v>
      </c>
      <c r="E218" s="13">
        <v>43037.434525462966</v>
      </c>
      <c r="F218" s="13">
        <v>43037.435868055552</v>
      </c>
      <c r="G218" s="7">
        <v>55</v>
      </c>
      <c r="H218" s="21" t="s">
        <v>621</v>
      </c>
      <c r="I218" s="13">
        <v>43037.436631944445</v>
      </c>
      <c r="J218" s="7">
        <v>0</v>
      </c>
      <c r="K218" s="76" t="str">
        <f t="shared" si="131"/>
        <v>4045/4046</v>
      </c>
      <c r="L218" s="164" t="str">
        <f>VLOOKUP(A218,'Trips&amp;Operators'!$C$1:$G$99911,5,FALSE)</f>
        <v>LOPES KIMBERLY</v>
      </c>
      <c r="M218" s="6">
        <f t="shared" si="132"/>
        <v>7.638888928340748E-4</v>
      </c>
      <c r="N218" s="7">
        <f t="shared" si="133"/>
        <v>1.1000000056810677</v>
      </c>
      <c r="O218" s="7"/>
      <c r="P218" s="7"/>
      <c r="Q218" s="22"/>
      <c r="R218" s="157"/>
      <c r="S218" s="215">
        <f t="shared" si="141"/>
        <v>0</v>
      </c>
      <c r="T218" s="216" t="str">
        <f t="shared" si="134"/>
        <v>NorthBound</v>
      </c>
      <c r="U218" s="216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217" t="str">
        <f t="shared" si="135"/>
        <v>https://d0f6bd738d7f1b3e5a7ca70fe4ff75f0.us-east-1.aws.found.io/app/kibana#/discover/Steve-Slow-Train-Analysis-(2080s-and-2083s)?_g=(refreshInterval:(display:Off,pause:!f,section:0,value:0),time:(from:'2017-10-29T09:25:43-0600',mode:absolute,to:'2017-10-29T11:28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8" s="218" t="str">
        <f>IF(AA218&lt;VLOOKUP(AG218,Variables!$AC$3:$AD$8,2,FALSE),"Y","N")</f>
        <v>Y</v>
      </c>
      <c r="X218" s="218">
        <f t="shared" si="118"/>
        <v>0</v>
      </c>
      <c r="Y218" s="218">
        <f t="shared" si="129"/>
        <v>0.31640000000000001</v>
      </c>
      <c r="Z218" s="218">
        <f t="shared" si="130"/>
        <v>0.1158</v>
      </c>
      <c r="AA218" s="218">
        <f t="shared" si="136"/>
        <v>0.2006</v>
      </c>
      <c r="AB218" s="219" t="e">
        <f>VLOOKUP(A218,Enforcements!$C$7:$K$11,8,0)</f>
        <v>#N/A</v>
      </c>
      <c r="AC218" s="219" t="e">
        <f>VLOOKUP(A218,Enforcements!$C$7:$E$11,3,0)</f>
        <v>#N/A</v>
      </c>
      <c r="AD218" s="186">
        <f t="shared" si="137"/>
        <v>55</v>
      </c>
      <c r="AE218" s="220" t="str">
        <f t="shared" si="138"/>
        <v>aws s3 cp s3://rtdc.mdm.uploadarchive.raw/RTDC4045/ "%USERPROFILE%\AppData\Local\Temp\OnboardLogs"\RTDC4045\2017-10-29 --exclude "*" --recursive --include "*20171029*" &amp; "%USERPROFILE%\Documents\GitHub\mrs-test-scripts\Headless Mode &amp; Sideloading\WalkAndUnGZ.bat" "%USERPROFILE%\AppData\Local\Temp\OnboardLogs"\RTDC4045\2017-10-29 &amp; aws s3 cp s3://rtdc.mdm.uploadarchive.raw/RTDC4045/ "%USERPROFILE%\AppData\Local\Temp\OnboardLogs"\RTDC4045\2017-10-30 --exclude "*" --recursive --include "*20171030*" &amp; "%USERPROFILE%\Documents\GitHub\mrs-test-scripts\Headless Mode &amp; Sideloading\WalkAndUnGZ.bat" "%USERPROFILE%\AppData\Local\Temp\OnboardLogs"\RTDC4045\2017-10-30</v>
      </c>
      <c r="AF218" s="221" t="str">
        <f t="shared" si="139"/>
        <v>"C:\Program Files (x86)\AstroGrep\AstroGrep.exe" /e /r /s /spath="%USERPROFILE%\AppData\Local\Temp\OnboardLogs" /stypes="app*4045*20171029*" /stext=" 16:.+((SYSTEM_STATE.+slice.+state.+changed )|(ment ac)|(multiple cpu faults)|(system.+state.+changed )|(\[timeout)|(PRM\|1\|D)|(kpr)|(kdp)|(train st.+moving)|(\|lc)|(penalty))"</v>
      </c>
      <c r="AG218" s="185" t="str">
        <f t="shared" si="140"/>
        <v>Shuttle/Test</v>
      </c>
      <c r="AH218" s="222" t="str">
        <f t="shared" si="142"/>
        <v>"%USERPROFILE%\Documents\GitHub\eaglep3\Utilities\RefineRTDCRunTimes.py" --tripid 55-29 --locoid 4045 --swversion DE.1.0.9.0 --startMP 204:3164 --initTime 2017-10-29T10:25:43 --startdatetime 2017-10-29T10:27:39 --delay 55 --endMP 204:1158 --enddatetime 2017-10-29T10:28:45 --enforcementcount 0 &gt;&gt;%USERPROFILE%\Documents\GitHub\eaglep3-reporting\EC\2017-10-29-refined-times.txt</v>
      </c>
      <c r="AI218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0.1158"},{"id":17,"name":"Train ID","value":"55-29"},{"id":16,"name":"Locomotive ID","value":"4045"},{"id":130,"name":"Impact","value":""},{"id":150,"name":"Time of Event (Mountain Time)","value":"10:28:45"},{"id":151,"name":"Denver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8" s="182"/>
      <c r="AK218" s="186"/>
      <c r="AL218" s="186"/>
      <c r="AM218" s="187" t="str">
        <f t="shared" si="144"/>
        <v>start /low /b %USERPROFILE%\Documents\GitHub\eaglep3\Utilities\DownloadLogsFromS3.py --loco 4045 --day 2017-10-29</v>
      </c>
      <c r="AN218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16:28:45"},{"id":29,"name":"Sharepoint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82" t="str">
        <f t="shared" si="146"/>
        <v>https://d0f6bd738d7f1b3e5a7ca70fe4ff75f0.us-east-1.aws.found.io/app/kibana#/discover/Steve-Slow-Train-Analysis-(2080s-and-2083s)?_g=(refreshInterval:(display:Off,pause:!f,section:0,value:0),time:(from:'2017-10-29T09:25:43-0600',mode:absolute,to:'2017-10-29T11:28:45-0600'))&amp;_a=(columns:!('Message%20ID',Summary),filters:!(),index:'emp_*',interval:auto,query:(query_string:(analyze_wildcard:!t,query:'%22rtdc.l.rtdc.4045%22')),sort:!(Time.ISO8601,asc))</v>
      </c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 s="32" t="s">
        <v>640</v>
      </c>
      <c r="B219" s="7">
        <v>4008</v>
      </c>
      <c r="C219" s="21" t="s">
        <v>194</v>
      </c>
      <c r="D219" s="21" t="s">
        <v>482</v>
      </c>
      <c r="E219" s="13">
        <v>43037.584791666668</v>
      </c>
      <c r="F219" s="13">
        <v>43037.585879629631</v>
      </c>
      <c r="G219" s="7">
        <v>47</v>
      </c>
      <c r="H219" s="21" t="s">
        <v>382</v>
      </c>
      <c r="I219" s="13">
        <v>43037.592627314814</v>
      </c>
      <c r="J219" s="7">
        <v>0</v>
      </c>
      <c r="K219" s="76" t="str">
        <f t="shared" si="131"/>
        <v>4007/4008</v>
      </c>
      <c r="L219" s="164" t="str">
        <f>VLOOKUP(A219,'Trips&amp;Operators'!$C$1:$G$99911,5,FALSE)</f>
        <v>KILLION DAVID</v>
      </c>
      <c r="M219" s="6">
        <f t="shared" si="132"/>
        <v>6.7476851836545393E-3</v>
      </c>
      <c r="N219" s="7">
        <f t="shared" si="133"/>
        <v>9.7166666644625366</v>
      </c>
      <c r="O219" s="7"/>
      <c r="P219" s="7"/>
      <c r="Q219" s="22"/>
      <c r="R219" s="157"/>
      <c r="S219" s="215">
        <f t="shared" si="141"/>
        <v>0</v>
      </c>
      <c r="T219" s="216" t="str">
        <f t="shared" si="134"/>
        <v>Southbound</v>
      </c>
      <c r="U219" s="216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217" t="str">
        <f t="shared" si="135"/>
        <v>https://d0f6bd738d7f1b3e5a7ca70fe4ff75f0.us-east-1.aws.found.io/app/kibana#/discover/Steve-Slow-Train-Analysis-(2080s-and-2083s)?_g=(refreshInterval:(display:Off,pause:!f,section:0,value:0),time:(from:'2017-10-29T13:02:06-0600',mode:absolute,to:'2017-10-29T15:13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218" t="str">
        <f>IF(AA219&lt;VLOOKUP(AG219,Variables!$AC$3:$AD$8,2,FALSE),"Y","N")</f>
        <v>Y</v>
      </c>
      <c r="X219" s="218">
        <f t="shared" si="118"/>
        <v>1</v>
      </c>
      <c r="Y219" s="218">
        <f t="shared" si="129"/>
        <v>4.3499999999999997E-2</v>
      </c>
      <c r="Z219" s="218">
        <f t="shared" si="130"/>
        <v>2.3346</v>
      </c>
      <c r="AA219" s="218">
        <f t="shared" si="136"/>
        <v>2.2911000000000001</v>
      </c>
      <c r="AB219" s="219" t="e">
        <f>VLOOKUP(A219,Enforcements!$C$7:$K$11,8,0)</f>
        <v>#N/A</v>
      </c>
      <c r="AC219" s="219" t="e">
        <f>VLOOKUP(A219,Enforcements!$C$7:$E$11,3,0)</f>
        <v>#N/A</v>
      </c>
      <c r="AD219" s="186">
        <f t="shared" si="137"/>
        <v>56</v>
      </c>
      <c r="AE219" s="220" t="str">
        <f t="shared" si="138"/>
        <v>aws s3 cp s3://rtdc.mdm.uploadarchive.raw/RTDC4008/ "%USERPROFILE%\AppData\Local\Temp\OnboardLogs"\RTDC4008\2017-10-29 --exclude "*" --recursive --include "*20171029*" &amp; "%USERPROFILE%\Documents\GitHub\mrs-test-scripts\Headless Mode &amp; Sideloading\WalkAndUnGZ.bat" "%USERPROFILE%\AppData\Local\Temp\OnboardLogs"\RTDC4008\2017-10-29 &amp; aws s3 cp s3://rtdc.mdm.uploadarchive.raw/RTDC4008/ "%USERPROFILE%\AppData\Local\Temp\OnboardLogs"\RTDC4008\2017-10-30 --exclude "*" --recursive --include "*20171030*" &amp; "%USERPROFILE%\Documents\GitHub\mrs-test-scripts\Headless Mode &amp; Sideloading\WalkAndUnGZ.bat" "%USERPROFILE%\AppData\Local\Temp\OnboardLogs"\RTDC4008\2017-10-30</v>
      </c>
      <c r="AF219" s="221" t="str">
        <f t="shared" si="139"/>
        <v>"C:\Program Files (x86)\AstroGrep\AstroGrep.exe" /e /r /s /spath="%USERPROFILE%\AppData\Local\Temp\OnboardLogs" /stypes="app*4008*20171029*" /stext=" 20:.+((SYSTEM_STATE.+slice.+state.+changed )|(ment ac)|(multiple cpu faults)|(system.+state.+changed )|(\[timeout)|(PRM\|1\|D)|(kpr)|(kdp)|(train st.+moving)|(\|lc)|(penalty))"</v>
      </c>
      <c r="AG219" s="185" t="str">
        <f t="shared" si="140"/>
        <v>Shuttle/Test</v>
      </c>
      <c r="AH219" s="222" t="str">
        <f t="shared" si="142"/>
        <v>"%USERPROFILE%\Documents\GitHub\eaglep3\Utilities\RefineRTDCRunTimes.py" --tripid 56-29 --locoid 4008 --swversion DE.1.0.9.0 --startMP 204:435 --initTime 2017-10-29T14:02:06 --startdatetime 2017-10-29T14:03:40 --delay 47 --endMP 300:23346 --enddatetime 2017-10-29T14:13:23 --enforcementcount 0 &gt;&gt;%USERPROFILE%\Documents\GitHub\eaglep3-reporting\EC\2017-10-29-refined-times.txt</v>
      </c>
      <c r="AI219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2.3346"},{"id":17,"name":"Train ID","value":"56-29"},{"id":16,"name":"Locomotive ID","value":"4008"},{"id":130,"name":"Impact","value":""},{"id":150,"name":"Time of Event (Mountain Time)","value":"14:13:23"},{"id":151,"name":"Denver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9" s="182"/>
      <c r="AK219" s="186"/>
      <c r="AL219" s="186"/>
      <c r="AM219" s="187" t="str">
        <f t="shared" si="144"/>
        <v>start /low /b %USERPROFILE%\Documents\GitHub\eaglep3\Utilities\DownloadLogsFromS3.py --loco 4008 --day 2017-10-29</v>
      </c>
      <c r="AN219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20:13:23"},{"id":29,"name":"Sharepoint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82" t="str">
        <f t="shared" si="146"/>
        <v>https://d0f6bd738d7f1b3e5a7ca70fe4ff75f0.us-east-1.aws.found.io/app/kibana#/discover/Steve-Slow-Train-Analysis-(2080s-and-2083s)?_g=(refreshInterval:(display:Off,pause:!f,section:0,value:0),time:(from:'2017-10-29T13:02:06-0600',mode:absolute,to:'2017-10-29T15:13:23-0600'))&amp;_a=(columns:!('Message%20ID',Summary),filters:!(),index:'emp_*',interval:auto,query:(query_string:(analyze_wildcard:!t,query:'%22rtdc.l.rtdc.4008%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 s="32" t="s">
        <v>640</v>
      </c>
      <c r="B220" s="7">
        <v>4057</v>
      </c>
      <c r="C220" s="21" t="s">
        <v>194</v>
      </c>
      <c r="D220" s="21" t="s">
        <v>1069</v>
      </c>
      <c r="E220" s="13">
        <v>43037.569050925929</v>
      </c>
      <c r="F220" s="13">
        <v>43037.585879629631</v>
      </c>
      <c r="G220" s="7">
        <v>103</v>
      </c>
      <c r="H220" s="21" t="s">
        <v>1070</v>
      </c>
      <c r="I220" s="13">
        <v>43037.592627314814</v>
      </c>
      <c r="J220" s="7">
        <v>0</v>
      </c>
      <c r="K220" s="76" t="str">
        <f t="shared" si="131"/>
        <v>4057/4058</v>
      </c>
      <c r="L220" s="164" t="str">
        <f>VLOOKUP(A220,'Trips&amp;Operators'!$C$1:$G$99911,5,FALSE)</f>
        <v>KILLION DAVID</v>
      </c>
      <c r="M220" s="6">
        <f t="shared" si="132"/>
        <v>6.7476851836545393E-3</v>
      </c>
      <c r="N220" s="7">
        <f t="shared" si="133"/>
        <v>9.7166666644625366</v>
      </c>
      <c r="O220" s="7"/>
      <c r="P220" s="7"/>
      <c r="Q220" s="22"/>
      <c r="R220" s="157"/>
      <c r="S220" s="215">
        <f t="shared" si="141"/>
        <v>0</v>
      </c>
      <c r="T220" s="216" t="str">
        <f t="shared" si="134"/>
        <v>Southbound</v>
      </c>
      <c r="U220" s="216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217" t="str">
        <f t="shared" si="135"/>
        <v>https://d0f6bd738d7f1b3e5a7ca70fe4ff75f0.us-east-1.aws.found.io/app/kibana#/discover/Steve-Slow-Train-Analysis-(2080s-and-2083s)?_g=(refreshInterval:(display:Off,pause:!f,section:0,value:0),time:(from:'2017-10-29T12:39:26-0600',mode:absolute,to:'2017-10-29T15:13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4057%22')),sort:!(Time.ISO8601,asc))</v>
      </c>
      <c r="W220" s="218" t="str">
        <f>IF(AA220&lt;VLOOKUP(AG220,Variables!$AC$3:$AD$8,2,FALSE),"Y","N")</f>
        <v>Y</v>
      </c>
      <c r="X220" s="218">
        <f t="shared" si="118"/>
        <v>0</v>
      </c>
      <c r="Y220" s="218">
        <f t="shared" si="129"/>
        <v>2.4641000000000002</v>
      </c>
      <c r="Z220" s="218">
        <f t="shared" si="130"/>
        <v>2.4262999999999999</v>
      </c>
      <c r="AA220" s="218">
        <f t="shared" si="136"/>
        <v>3.7800000000000278E-2</v>
      </c>
      <c r="AB220" s="219" t="e">
        <f>VLOOKUP(A220,Enforcements!$C$7:$K$11,8,0)</f>
        <v>#N/A</v>
      </c>
      <c r="AC220" s="219" t="e">
        <f>VLOOKUP(A220,Enforcements!$C$7:$E$11,3,0)</f>
        <v>#N/A</v>
      </c>
      <c r="AD220" s="186">
        <f t="shared" si="137"/>
        <v>56</v>
      </c>
      <c r="AE220" s="220" t="str">
        <f t="shared" si="138"/>
        <v>aws s3 cp s3://rtdc.mdm.uploadarchive.raw/RTDC4057/ "%USERPROFILE%\AppData\Local\Temp\OnboardLogs"\RTDC4057\2017-10-29 --exclude "*" --recursive --include "*20171029*" &amp; "%USERPROFILE%\Documents\GitHub\mrs-test-scripts\Headless Mode &amp; Sideloading\WalkAndUnGZ.bat" "%USERPROFILE%\AppData\Local\Temp\OnboardLogs"\RTDC4057\2017-10-29 &amp; aws s3 cp s3://rtdc.mdm.uploadarchive.raw/RTDC4057/ "%USERPROFILE%\AppData\Local\Temp\OnboardLogs"\RTDC4057\2017-10-30 --exclude "*" --recursive --include "*20171030*" &amp; "%USERPROFILE%\Documents\GitHub\mrs-test-scripts\Headless Mode &amp; Sideloading\WalkAndUnGZ.bat" "%USERPROFILE%\AppData\Local\Temp\OnboardLogs"\RTDC4057\2017-10-30</v>
      </c>
      <c r="AF220" s="221" t="str">
        <f t="shared" si="139"/>
        <v>"C:\Program Files (x86)\AstroGrep\AstroGrep.exe" /e /r /s /spath="%USERPROFILE%\AppData\Local\Temp\OnboardLogs" /stypes="app*4057*20171029*" /stext=" 20:.+((SYSTEM_STATE.+slice.+state.+changed )|(ment ac)|(multiple cpu faults)|(system.+state.+changed )|(\[timeout)|(PRM\|1\|D)|(kpr)|(kdp)|(train st.+moving)|(\|lc)|(penalty))"</v>
      </c>
      <c r="AG220" s="185" t="str">
        <f t="shared" si="140"/>
        <v>Shuttle/Test</v>
      </c>
      <c r="AH220" s="222" t="str">
        <f t="shared" si="142"/>
        <v>"%USERPROFILE%\Documents\GitHub\eaglep3\Utilities\RefineRTDCRunTimes.py" --tripid 56-29 --locoid 4057 --swversion DE.1.0.9.0 --startMP 300:24641 --initTime 2017-10-29T13:39:26 --startdatetime 2017-10-29T14:03:40 --delay 103 --endMP 300:24263 --enddatetime 2017-10-29T14:13:23 --enforcementcount 0 &gt;&gt;%USERPROFILE%\Documents\GitHub\eaglep3-reporting\EC\2017-10-29-refined-times.txt</v>
      </c>
      <c r="AI220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2.4263"},{"id":17,"name":"Train ID","value":"56-29"},{"id":16,"name":"Locomotive ID","value":"4057"},{"id":130,"name":"Impact","value":""},{"id":150,"name":"Time of Event (Mountain Time)","value":"14:13:23"},{"id":151,"name":"Denver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0" s="182"/>
      <c r="AK220" s="186"/>
      <c r="AL220" s="186"/>
      <c r="AM220" s="187" t="str">
        <f t="shared" si="144"/>
        <v>start /low /b %USERPROFILE%\Documents\GitHub\eaglep3\Utilities\DownloadLogsFromS3.py --loco 4057 --day 2017-10-29</v>
      </c>
      <c r="AN220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20:13:23"},{"id":29,"name":"Sharepoint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0" s="182" t="str">
        <f t="shared" si="146"/>
        <v>https://d0f6bd738d7f1b3e5a7ca70fe4ff75f0.us-east-1.aws.found.io/app/kibana#/discover/Steve-Slow-Train-Analysis-(2080s-and-2083s)?_g=(refreshInterval:(display:Off,pause:!f,section:0,value:0),time:(from:'2017-10-29T12:39:26-0600',mode:absolute,to:'2017-10-29T15:13:23-0600'))&amp;_a=(columns:!('Message%20ID',Summary),filters:!(),index:'emp_*',interval:auto,query:(query_string:(analyze_wildcard:!t,query:'%22rtdc.l.rtdc.4057%22')),sort:!(Time.ISO8601,asc))</v>
      </c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0" customFormat="1" x14ac:dyDescent="0.3">
      <c r="A221" s="32" t="s">
        <v>776</v>
      </c>
      <c r="B221" s="7">
        <v>4045</v>
      </c>
      <c r="C221" s="21" t="s">
        <v>194</v>
      </c>
      <c r="D221" s="21" t="s">
        <v>1071</v>
      </c>
      <c r="E221" s="13">
        <v>43037.568657407406</v>
      </c>
      <c r="F221" s="13">
        <v>43037.570162037038</v>
      </c>
      <c r="G221" s="7">
        <v>66</v>
      </c>
      <c r="H221" s="21" t="s">
        <v>945</v>
      </c>
      <c r="I221" s="13">
        <v>43037.571412037039</v>
      </c>
      <c r="J221" s="7">
        <v>0</v>
      </c>
      <c r="K221" s="76" t="str">
        <f t="shared" si="131"/>
        <v>4045/4046</v>
      </c>
      <c r="L221" s="164" t="str">
        <f>VLOOKUP(A221,'Trips&amp;Operators'!$C$1:$G$99911,5,FALSE)</f>
        <v>MAGEE KENYA</v>
      </c>
      <c r="M221" s="6">
        <f t="shared" si="132"/>
        <v>1.2500000011641532E-3</v>
      </c>
      <c r="N221" s="7">
        <f t="shared" si="133"/>
        <v>1.8000000016763806</v>
      </c>
      <c r="O221" s="7"/>
      <c r="P221" s="7"/>
      <c r="Q221" s="22"/>
      <c r="R221" s="157"/>
      <c r="S221" s="215">
        <f t="shared" si="141"/>
        <v>0</v>
      </c>
      <c r="T221" s="216" t="str">
        <f t="shared" si="134"/>
        <v>NorthBound</v>
      </c>
      <c r="U221" s="216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217" t="str">
        <f t="shared" si="135"/>
        <v>https://d0f6bd738d7f1b3e5a7ca70fe4ff75f0.us-east-1.aws.found.io/app/kibana#/discover/Steve-Slow-Train-Analysis-(2080s-and-2083s)?_g=(refreshInterval:(display:Off,pause:!f,section:0,value:0),time:(from:'2017-10-29T12:38:52-0600',mode:absolute,to:'2017-10-29T14:42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21" s="218" t="str">
        <f>IF(AA221&lt;VLOOKUP(AG221,Variables!$AC$3:$AD$8,2,FALSE),"Y","N")</f>
        <v>Y</v>
      </c>
      <c r="X221" s="218">
        <f t="shared" si="118"/>
        <v>1</v>
      </c>
      <c r="Y221" s="218">
        <f t="shared" si="129"/>
        <v>0.30859999999999999</v>
      </c>
      <c r="Z221" s="218">
        <f t="shared" si="130"/>
        <v>2.01E-2</v>
      </c>
      <c r="AA221" s="218">
        <f t="shared" si="136"/>
        <v>0.28849999999999998</v>
      </c>
      <c r="AB221" s="219" t="e">
        <f>VLOOKUP(A221,Enforcements!$C$7:$K$11,8,0)</f>
        <v>#N/A</v>
      </c>
      <c r="AC221" s="219" t="e">
        <f>VLOOKUP(A221,Enforcements!$C$7:$E$11,3,0)</f>
        <v>#N/A</v>
      </c>
      <c r="AD221" s="186">
        <f t="shared" si="137"/>
        <v>57</v>
      </c>
      <c r="AE221" s="220" t="str">
        <f t="shared" si="138"/>
        <v>aws s3 cp s3://rtdc.mdm.uploadarchive.raw/RTDC4045/ "%USERPROFILE%\AppData\Local\Temp\OnboardLogs"\RTDC4045\2017-10-29 --exclude "*" --recursive --include "*20171029*" &amp; "%USERPROFILE%\Documents\GitHub\mrs-test-scripts\Headless Mode &amp; Sideloading\WalkAndUnGZ.bat" "%USERPROFILE%\AppData\Local\Temp\OnboardLogs"\RTDC4045\2017-10-29 &amp; aws s3 cp s3://rtdc.mdm.uploadarchive.raw/RTDC4045/ "%USERPROFILE%\AppData\Local\Temp\OnboardLogs"\RTDC4045\2017-10-30 --exclude "*" --recursive --include "*20171030*" &amp; "%USERPROFILE%\Documents\GitHub\mrs-test-scripts\Headless Mode &amp; Sideloading\WalkAndUnGZ.bat" "%USERPROFILE%\AppData\Local\Temp\OnboardLogs"\RTDC4045\2017-10-30</v>
      </c>
      <c r="AF221" s="221" t="str">
        <f t="shared" si="139"/>
        <v>"C:\Program Files (x86)\AstroGrep\AstroGrep.exe" /e /r /s /spath="%USERPROFILE%\AppData\Local\Temp\OnboardLogs" /stypes="app*4045*20171029*" /stext=" 19:.+((SYSTEM_STATE.+slice.+state.+changed )|(ment ac)|(multiple cpu faults)|(system.+state.+changed )|(\[timeout)|(PRM\|1\|D)|(kpr)|(kdp)|(train st.+moving)|(\|lc)|(penalty))"</v>
      </c>
      <c r="AG221" s="185" t="str">
        <f t="shared" si="140"/>
        <v>Shuttle/Test</v>
      </c>
      <c r="AH221" s="222" t="str">
        <f t="shared" si="142"/>
        <v>"%USERPROFILE%\Documents\GitHub\eaglep3\Utilities\RefineRTDCRunTimes.py" --tripid 57-29 --locoid 4045 --swversion DE.1.0.9.0 --startMP 204:3086 --initTime 2017-10-29T13:38:52 --startdatetime 2017-10-29T13:41:02 --delay 66 --endMP 204:201 --enddatetime 2017-10-29T13:42:50 --enforcementcount 0 &gt;&gt;%USERPROFILE%\Documents\GitHub\eaglep3-reporting\EC\2017-10-29-refined-times.txt</v>
      </c>
      <c r="AI221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0.0201"},{"id":17,"name":"Train ID","value":"57-29"},{"id":16,"name":"Locomotive ID","value":"4045"},{"id":130,"name":"Impact","value":""},{"id":150,"name":"Time of Event (Mountain Time)","value":"13:42:50"},{"id":151,"name":"Denver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1" s="182"/>
      <c r="AK221" s="186"/>
      <c r="AL221" s="186"/>
      <c r="AM221" s="187" t="str">
        <f t="shared" si="144"/>
        <v>start /low /b %USERPROFILE%\Documents\GitHub\eaglep3\Utilities\DownloadLogsFromS3.py --loco 4045 --day 2017-10-29</v>
      </c>
      <c r="AN221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19:42:50"},{"id":29,"name":"Sharepoint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1" s="182" t="str">
        <f t="shared" si="146"/>
        <v>https://d0f6bd738d7f1b3e5a7ca70fe4ff75f0.us-east-1.aws.found.io/app/kibana#/discover/Steve-Slow-Train-Analysis-(2080s-and-2083s)?_g=(refreshInterval:(display:Off,pause:!f,section:0,value:0),time:(from:'2017-10-29T12:38:52-0600',mode:absolute,to:'2017-10-29T14:42:50-0600'))&amp;_a=(columns:!('Message%20ID',Summary),filters:!(),index:'emp_*',interval:auto,query:(query_string:(analyze_wildcard:!t,query:'%22rtdc.l.rtdc.4045%22')),sort:!(Time.ISO8601,asc))</v>
      </c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 s="32" t="s">
        <v>776</v>
      </c>
      <c r="B222" s="7">
        <v>4046</v>
      </c>
      <c r="C222" s="21" t="s">
        <v>194</v>
      </c>
      <c r="D222" s="21" t="s">
        <v>583</v>
      </c>
      <c r="E222" s="13">
        <v>43037.564236111109</v>
      </c>
      <c r="F222" s="13">
        <v>43037.570162037038</v>
      </c>
      <c r="G222" s="7">
        <v>62</v>
      </c>
      <c r="H222" s="21" t="s">
        <v>1072</v>
      </c>
      <c r="I222" s="13">
        <v>43037.571412037039</v>
      </c>
      <c r="J222" s="7">
        <v>0</v>
      </c>
      <c r="K222" s="76" t="str">
        <f t="shared" si="131"/>
        <v>4045/4046</v>
      </c>
      <c r="L222" s="164" t="str">
        <f>VLOOKUP(A222,'Trips&amp;Operators'!$C$1:$G$99911,5,FALSE)</f>
        <v>MAGEE KENYA</v>
      </c>
      <c r="M222" s="6">
        <f t="shared" si="132"/>
        <v>1.2500000011641532E-3</v>
      </c>
      <c r="N222" s="7">
        <f t="shared" si="133"/>
        <v>1.8000000016763806</v>
      </c>
      <c r="O222" s="7"/>
      <c r="P222" s="7"/>
      <c r="Q222" s="22"/>
      <c r="R222" s="157"/>
      <c r="S222" s="215">
        <f t="shared" si="141"/>
        <v>0</v>
      </c>
      <c r="T222" s="216" t="str">
        <f t="shared" si="134"/>
        <v>NorthBound</v>
      </c>
      <c r="U222" s="216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217" t="str">
        <f t="shared" si="135"/>
        <v>https://d0f6bd738d7f1b3e5a7ca70fe4ff75f0.us-east-1.aws.found.io/app/kibana#/discover/Steve-Slow-Train-Analysis-(2080s-and-2083s)?_g=(refreshInterval:(display:Off,pause:!f,section:0,value:0),time:(from:'2017-10-29T12:32:30-0600',mode:absolute,to:'2017-10-29T14:42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22" s="218" t="str">
        <f>IF(AA222&lt;VLOOKUP(AG222,Variables!$AC$3:$AD$8,2,FALSE),"Y","N")</f>
        <v>Y</v>
      </c>
      <c r="X222" s="218">
        <f t="shared" si="118"/>
        <v>0</v>
      </c>
      <c r="Y222" s="218">
        <f t="shared" si="129"/>
        <v>0.14810000000000001</v>
      </c>
      <c r="Z222" s="218">
        <f t="shared" si="130"/>
        <v>0.3417</v>
      </c>
      <c r="AA222" s="218">
        <f t="shared" si="136"/>
        <v>0.19359999999999999</v>
      </c>
      <c r="AB222" s="219" t="e">
        <f>VLOOKUP(A222,Enforcements!$C$7:$K$11,8,0)</f>
        <v>#N/A</v>
      </c>
      <c r="AC222" s="219" t="e">
        <f>VLOOKUP(A222,Enforcements!$C$7:$E$11,3,0)</f>
        <v>#N/A</v>
      </c>
      <c r="AD222" s="186">
        <f t="shared" si="137"/>
        <v>57</v>
      </c>
      <c r="AE222" s="220" t="str">
        <f t="shared" si="138"/>
        <v>aws s3 cp s3://rtdc.mdm.uploadarchive.raw/RTDC4046/ "%USERPROFILE%\AppData\Local\Temp\OnboardLogs"\RTDC4046\2017-10-29 --exclude "*" --recursive --include "*20171029*" &amp; "%USERPROFILE%\Documents\GitHub\mrs-test-scripts\Headless Mode &amp; Sideloading\WalkAndUnGZ.bat" "%USERPROFILE%\AppData\Local\Temp\OnboardLogs"\RTDC4046\2017-10-29 &amp; aws s3 cp s3://rtdc.mdm.uploadarchive.raw/RTDC4046/ "%USERPROFILE%\AppData\Local\Temp\OnboardLogs"\RTDC4046\2017-10-30 --exclude "*" --recursive --include "*20171030*" &amp; "%USERPROFILE%\Documents\GitHub\mrs-test-scripts\Headless Mode &amp; Sideloading\WalkAndUnGZ.bat" "%USERPROFILE%\AppData\Local\Temp\OnboardLogs"\RTDC4046\2017-10-30</v>
      </c>
      <c r="AF222" s="221" t="str">
        <f t="shared" si="139"/>
        <v>"C:\Program Files (x86)\AstroGrep\AstroGrep.exe" /e /r /s /spath="%USERPROFILE%\AppData\Local\Temp\OnboardLogs" /stypes="app*4046*20171029*" /stext=" 19:.+((SYSTEM_STATE.+slice.+state.+changed )|(ment ac)|(multiple cpu faults)|(system.+state.+changed )|(\[timeout)|(PRM\|1\|D)|(kpr)|(kdp)|(train st.+moving)|(\|lc)|(penalty))"</v>
      </c>
      <c r="AG222" s="185" t="str">
        <f t="shared" si="140"/>
        <v>Shuttle/Test</v>
      </c>
      <c r="AH222" s="222" t="str">
        <f t="shared" si="142"/>
        <v>"%USERPROFILE%\Documents\GitHub\eaglep3\Utilities\RefineRTDCRunTimes.py" --tripid 57-29 --locoid 4046 --swversion DE.1.0.9.0 --startMP 204:1481 --initTime 2017-10-29T13:32:30 --startdatetime 2017-10-29T13:41:02 --delay 62 --endMP 204:3417 --enddatetime 2017-10-29T13:42:50 --enforcementcount 0 &gt;&gt;%USERPROFILE%\Documents\GitHub\eaglep3-reporting\EC\2017-10-29-refined-times.txt</v>
      </c>
      <c r="AI222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0.3417"},{"id":17,"name":"Train ID","value":"57-29"},{"id":16,"name":"Locomotive ID","value":"4046"},{"id":130,"name":"Impact","value":""},{"id":150,"name":"Time of Event (Mountain Time)","value":"13:42:50"},{"id":151,"name":"Denver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2" s="182"/>
      <c r="AK222" s="186"/>
      <c r="AL222" s="186"/>
      <c r="AM222" s="187" t="str">
        <f t="shared" si="144"/>
        <v>start /low /b %USERPROFILE%\Documents\GitHub\eaglep3\Utilities\DownloadLogsFromS3.py --loco 4046 --day 2017-10-29</v>
      </c>
      <c r="AN222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19:42:50"},{"id":29,"name":"Sharepoint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2" s="182" t="str">
        <f t="shared" si="146"/>
        <v>https://d0f6bd738d7f1b3e5a7ca70fe4ff75f0.us-east-1.aws.found.io/app/kibana#/discover/Steve-Slow-Train-Analysis-(2080s-and-2083s)?_g=(refreshInterval:(display:Off,pause:!f,section:0,value:0),time:(from:'2017-10-29T12:32:30-0600',mode:absolute,to:'2017-10-29T14:42:50-0600'))&amp;_a=(columns:!('Message%20ID',Summary),filters:!(),index:'emp_*',interval:auto,query:(query_string:(analyze_wildcard:!t,query:'%22rtdc.l.rtdc.4046%22')),sort:!(Time.ISO8601,asc))</v>
      </c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 s="32" t="s">
        <v>820</v>
      </c>
      <c r="B223" s="7">
        <v>4026</v>
      </c>
      <c r="C223" s="21" t="s">
        <v>194</v>
      </c>
      <c r="D223" s="21" t="s">
        <v>886</v>
      </c>
      <c r="E223" s="13">
        <v>43037.751851851855</v>
      </c>
      <c r="F223" s="13">
        <v>43037.758726851855</v>
      </c>
      <c r="G223" s="7">
        <v>145</v>
      </c>
      <c r="H223" s="21" t="s">
        <v>1073</v>
      </c>
      <c r="I223" s="13">
        <v>43037.765960648147</v>
      </c>
      <c r="J223" s="7">
        <v>0</v>
      </c>
      <c r="K223" s="76" t="str">
        <f t="shared" si="131"/>
        <v>4025/4026</v>
      </c>
      <c r="L223" s="164" t="str">
        <f>VLOOKUP(A223,'Trips&amp;Operators'!$C$1:$G$99911,5,FALSE)</f>
        <v>GONZALEZ ARMANDO</v>
      </c>
      <c r="M223" s="6">
        <f t="shared" si="132"/>
        <v>7.2337962919846177E-3</v>
      </c>
      <c r="N223" s="7">
        <f t="shared" si="133"/>
        <v>10.41666666045785</v>
      </c>
      <c r="O223" s="7"/>
      <c r="P223" s="7"/>
      <c r="Q223" s="22"/>
      <c r="R223" s="157"/>
      <c r="S223" s="215">
        <f t="shared" si="141"/>
        <v>1</v>
      </c>
      <c r="T223" s="216" t="str">
        <f t="shared" si="134"/>
        <v>NorthBound</v>
      </c>
      <c r="U223" s="216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1</v>
      </c>
      <c r="V223" s="217" t="str">
        <f t="shared" si="135"/>
        <v>https://d0f6bd738d7f1b3e5a7ca70fe4ff75f0.us-east-1.aws.found.io/app/kibana#/discover/Steve-Slow-Train-Analysis-(2080s-and-2083s)?_g=(refreshInterval:(display:Off,pause:!f,section:0,value:0),time:(from:'2017-10-29T17:02:40-0600',mode:absolute,to:'2017-10-29T19:22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3" s="218" t="str">
        <f>IF(AA223&lt;VLOOKUP(AG223,Variables!$AC$3:$AD$8,2,FALSE),"Y","N")</f>
        <v>Y</v>
      </c>
      <c r="X223" s="218">
        <f t="shared" si="118"/>
        <v>10</v>
      </c>
      <c r="Y223" s="218">
        <f t="shared" si="129"/>
        <v>4.5499999999999999E-2</v>
      </c>
      <c r="Z223" s="218">
        <f t="shared" si="130"/>
        <v>2.3300999999999998</v>
      </c>
      <c r="AA223" s="218">
        <f t="shared" si="136"/>
        <v>2.2845999999999997</v>
      </c>
      <c r="AB223" s="219" t="e">
        <f>VLOOKUP(A223,Enforcements!$C$7:$K$11,8,0)</f>
        <v>#N/A</v>
      </c>
      <c r="AC223" s="219" t="e">
        <f>VLOOKUP(A223,Enforcements!$C$7:$E$11,3,0)</f>
        <v>#N/A</v>
      </c>
      <c r="AD223" s="186">
        <f t="shared" si="137"/>
        <v>67</v>
      </c>
      <c r="AE223" s="220" t="str">
        <f t="shared" si="138"/>
        <v>aws s3 cp s3://rtdc.mdm.uploadarchive.raw/RTDC4026/ "%USERPROFILE%\AppData\Local\Temp\OnboardLogs"\RTDC4026\2017-10-29 --exclude "*" --recursive --include "*20171029*" &amp; "%USERPROFILE%\Documents\GitHub\mrs-test-scripts\Headless Mode &amp; Sideloading\WalkAndUnGZ.bat" "%USERPROFILE%\AppData\Local\Temp\OnboardLogs"\RTDC4026\2017-10-29 &amp; aws s3 cp s3://rtdc.mdm.uploadarchive.raw/RTDC4026/ "%USERPROFILE%\AppData\Local\Temp\OnboardLogs"\RTDC4026\2017-10-30 --exclude "*" --recursive --include "*20171030*" &amp; "%USERPROFILE%\Documents\GitHub\mrs-test-scripts\Headless Mode &amp; Sideloading\WalkAndUnGZ.bat" "%USERPROFILE%\AppData\Local\Temp\OnboardLogs"\RTDC4026\2017-10-30</v>
      </c>
      <c r="AF223" s="221" t="str">
        <f t="shared" si="139"/>
        <v>"C:\Program Files (x86)\AstroGrep\AstroGrep.exe" /e /r /s /spath="%USERPROFILE%\AppData\Local\Temp\OnboardLogs" /stypes="app*4026*20171030*" /stext=" 00:.+((SYSTEM_STATE.+slice.+state.+changed )|(ment ac)|(multiple cpu faults)|(system.+state.+changed )|(\[timeout)|(PRM\|1\|D)|(kpr)|(kdp)|(train st.+moving)|(\|lc)|(penalty))"</v>
      </c>
      <c r="AG223" s="185" t="str">
        <f t="shared" si="140"/>
        <v>Shuttle/Test</v>
      </c>
      <c r="AH223" s="222" t="str">
        <f t="shared" si="142"/>
        <v>"%USERPROFILE%\Documents\GitHub\eaglep3\Utilities\RefineRTDCRunTimes.py" --tripid 67-29 --locoid 4026 --swversion DE.1.0.9.0 --startMP 204:455 --initTime 2017-10-29T18:02:40 --startdatetime 2017-10-29T18:12:34 --delay 145 --endMP 300:23301 --enddatetime 2017-10-29T18:22:59 --enforcementcount 0 &gt;&gt;%USERPROFILE%\Documents\GitHub\eaglep3-reporting\EC\2017-10-29-refined-times.txt</v>
      </c>
      <c r="AI223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2.3301"},{"id":17,"name":"Train ID","value":"67-29"},{"id":16,"name":"Locomotive ID","value":"4026"},{"id":130,"name":"Impact","value":""},{"id":150,"name":"Time of Event (Mountain Time)","value":"18:22:59"},{"id":151,"name":"Denver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3" s="182"/>
      <c r="AK223" s="186"/>
      <c r="AL223" s="186"/>
      <c r="AM223" s="187" t="str">
        <f t="shared" si="144"/>
        <v>start /low /b %USERPROFILE%\Documents\GitHub\eaglep3\Utilities\DownloadLogsFromS3.py --loco 4026 --day 2017-10-29</v>
      </c>
      <c r="AN223" s="224" t="str">
        <f t="shared" si="14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00:22:59"},{"id":29,"name":"Sharepoint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3" s="182" t="str">
        <f t="shared" si="146"/>
        <v>https://d0f6bd738d7f1b3e5a7ca70fe4ff75f0.us-east-1.aws.found.io/app/kibana#/discover/Steve-Slow-Train-Analysis-(2080s-and-2083s)?_g=(refreshInterval:(display:Off,pause:!f,section:0,value:0),time:(from:'2017-10-29T17:02:40-0600',mode:absolute,to:'2017-10-29T19:22:59-0600'))&amp;_a=(columns:!('Message%20ID',Summary),filters:!(),index:'emp_*',interval:auto,query:(query_string:(analyze_wildcard:!t,query:'%22rtdc.l.rtdc.4026%22')),sort:!(Time.ISO8601,asc))</v>
      </c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 s="32" t="s">
        <v>824</v>
      </c>
      <c r="B224" s="7">
        <v>4058</v>
      </c>
      <c r="C224" s="21" t="s">
        <v>194</v>
      </c>
      <c r="D224" s="21" t="s">
        <v>1074</v>
      </c>
      <c r="E224" s="13">
        <v>43037.761331018519</v>
      </c>
      <c r="F224" s="13">
        <v>43037.767395833333</v>
      </c>
      <c r="G224" s="7">
        <v>74</v>
      </c>
      <c r="H224" s="21" t="s">
        <v>1075</v>
      </c>
      <c r="I224" s="13">
        <v>43037.768460648149</v>
      </c>
      <c r="J224" s="7">
        <v>0</v>
      </c>
      <c r="K224" s="76" t="str">
        <f t="shared" si="131"/>
        <v>4057/4058</v>
      </c>
      <c r="L224" s="164" t="str">
        <f>VLOOKUP(A224,'Trips&amp;Operators'!$C$1:$G$99911,5,FALSE)</f>
        <v>WEST BRYAN</v>
      </c>
      <c r="M224" s="6">
        <f t="shared" si="132"/>
        <v>1.0648148163454607E-3</v>
      </c>
      <c r="N224" s="7">
        <f t="shared" si="133"/>
        <v>1.5333333355374634</v>
      </c>
      <c r="O224" s="7"/>
      <c r="P224" s="7"/>
      <c r="Q224" s="22"/>
      <c r="R224" s="157"/>
      <c r="S224" s="215">
        <f t="shared" si="141"/>
        <v>0</v>
      </c>
      <c r="T224" s="216" t="str">
        <f t="shared" si="134"/>
        <v>NorthBound</v>
      </c>
      <c r="U224" s="216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217" t="str">
        <f t="shared" si="135"/>
        <v>https://d0f6bd738d7f1b3e5a7ca70fe4ff75f0.us-east-1.aws.found.io/app/kibana#/discover/Steve-Slow-Train-Analysis-(2080s-and-2083s)?_g=(refreshInterval:(display:Off,pause:!f,section:0,value:0),time:(from:'2017-10-29T17:16:19-0600',mode:absolute,to:'2017-10-29T19:26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4058%22')),sort:!(Time.ISO8601,asc))</v>
      </c>
      <c r="W224" s="218" t="str">
        <f>IF(AA224&lt;VLOOKUP(AG224,Variables!$AC$3:$AD$8,2,FALSE),"Y","N")</f>
        <v>Y</v>
      </c>
      <c r="X224" s="218">
        <f t="shared" si="118"/>
        <v>6</v>
      </c>
      <c r="Y224" s="218">
        <f t="shared" si="129"/>
        <v>0.124</v>
      </c>
      <c r="Z224" s="218">
        <f t="shared" si="130"/>
        <v>0.55159999999999998</v>
      </c>
      <c r="AA224" s="218">
        <f t="shared" si="136"/>
        <v>0.42759999999999998</v>
      </c>
      <c r="AB224" s="219" t="e">
        <f>VLOOKUP(A224,Enforcements!$C$7:$K$11,8,0)</f>
        <v>#N/A</v>
      </c>
      <c r="AC224" s="219" t="e">
        <f>VLOOKUP(A224,Enforcements!$C$7:$E$11,3,0)</f>
        <v>#N/A</v>
      </c>
      <c r="AD224" s="186">
        <f t="shared" si="137"/>
        <v>73</v>
      </c>
      <c r="AE224" s="220" t="str">
        <f t="shared" si="138"/>
        <v>aws s3 cp s3://rtdc.mdm.uploadarchive.raw/RTDC4058/ "%USERPROFILE%\AppData\Local\Temp\OnboardLogs"\RTDC4058\2017-10-29 --exclude "*" --recursive --include "*20171029*" &amp; "%USERPROFILE%\Documents\GitHub\mrs-test-scripts\Headless Mode &amp; Sideloading\WalkAndUnGZ.bat" "%USERPROFILE%\AppData\Local\Temp\OnboardLogs"\RTDC4058\2017-10-29 &amp; aws s3 cp s3://rtdc.mdm.uploadarchive.raw/RTDC4058/ "%USERPROFILE%\AppData\Local\Temp\OnboardLogs"\RTDC4058\2017-10-30 --exclude "*" --recursive --include "*20171030*" &amp; "%USERPROFILE%\Documents\GitHub\mrs-test-scripts\Headless Mode &amp; Sideloading\WalkAndUnGZ.bat" "%USERPROFILE%\AppData\Local\Temp\OnboardLogs"\RTDC4058\2017-10-30</v>
      </c>
      <c r="AF224" s="221" t="str">
        <f t="shared" si="139"/>
        <v>"C:\Program Files (x86)\AstroGrep\AstroGrep.exe" /e /r /s /spath="%USERPROFILE%\AppData\Local\Temp\OnboardLogs" /stypes="app*4058*20171030*" /stext=" 00:.+((SYSTEM_STATE.+slice.+state.+changed )|(ment ac)|(multiple cpu faults)|(system.+state.+changed )|(\[timeout)|(PRM\|1\|D)|(kpr)|(kdp)|(train st.+moving)|(\|lc)|(penalty))"</v>
      </c>
      <c r="AG224" s="185" t="str">
        <f t="shared" si="140"/>
        <v>Shuttle/Test</v>
      </c>
      <c r="AH224" s="222" t="str">
        <f t="shared" si="142"/>
        <v>"%USERPROFILE%\Documents\GitHub\eaglep3\Utilities\RefineRTDCRunTimes.py" --tripid 73-29 --locoid 4058 --swversion DE.1.0.9.0 --startMP 204:1240 --initTime 2017-10-29T18:16:19 --startdatetime 2017-10-29T18:25:03 --delay 74 --endMP 300:5516 --enddatetime 2017-10-29T18:26:35 --enforcementcount 0 &gt;&gt;%USERPROFILE%\Documents\GitHub\eaglep3-reporting\EC\2017-10-29-refined-times.txt</v>
      </c>
      <c r="AI224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0.5516"},{"id":17,"name":"Train ID","value":"73-29"},{"id":16,"name":"Locomotive ID","value":"4058"},{"id":130,"name":"Impact","value":""},{"id":150,"name":"Time of Event (Mountain Time)","value":"18:26:35"},{"id":151,"name":"Denver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4" s="182"/>
      <c r="AK224" s="186"/>
      <c r="AL224" s="186"/>
      <c r="AM224" s="187" t="str">
        <f t="shared" si="144"/>
        <v>start /low /b %USERPROFILE%\Documents\GitHub\eaglep3\Utilities\DownloadLogsFromS3.py --loco 4058 --day 2017-10-29</v>
      </c>
      <c r="AN224" s="224" t="str">
        <f t="shared" si="145"/>
        <v>echo {"issue":{"subject":"","project_id":30,"tracker_id":4,"status_id":1,"priority_id":1,"assigned_to_id":10,"start_date":"2017-10-30","description":"","custom_fields":[{"id":30,"name":"Category","value":"Issue"},{"id":3,"name":"Functional Component","value":"Onboard"},{"id":31,"name":"Version","value":"N/A"},{"id":8,"name":"Reporting RR","value":"WABTEC"},{"id":27,"name":"Locomotive ID","value":"4058"},{"id":20,"name":"RR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UTC","value":"2017-10-30 00:26:35"},{"id":29,"name":"Sharepoint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4" s="182" t="str">
        <f t="shared" si="146"/>
        <v>https://d0f6bd738d7f1b3e5a7ca70fe4ff75f0.us-east-1.aws.found.io/app/kibana#/discover/Steve-Slow-Train-Analysis-(2080s-and-2083s)?_g=(refreshInterval:(display:Off,pause:!f,section:0,value:0),time:(from:'2017-10-29T17:16:19-0600',mode:absolute,to:'2017-10-29T19:26:35-0600'))&amp;_a=(columns:!('Message%20ID',Summary),filters:!(),index:'emp_*',interval:auto,query:(query_string:(analyze_wildcard:!t,query:'%22rtdc.l.rtdc.4058%22')),sort:!(Time.ISO8601,asc))</v>
      </c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 s="32" t="s">
        <v>816</v>
      </c>
      <c r="B225" s="7">
        <v>4056</v>
      </c>
      <c r="C225" s="21" t="s">
        <v>194</v>
      </c>
      <c r="D225" s="21" t="s">
        <v>1076</v>
      </c>
      <c r="E225" s="13">
        <v>43037.728715277779</v>
      </c>
      <c r="F225" s="13">
        <v>43037.737939814811</v>
      </c>
      <c r="G225" s="7">
        <v>98</v>
      </c>
      <c r="H225" s="21" t="s">
        <v>1077</v>
      </c>
      <c r="I225" s="13">
        <v>43037.739363425928</v>
      </c>
      <c r="J225" s="7">
        <v>0</v>
      </c>
      <c r="K225" s="76" t="str">
        <f t="shared" si="131"/>
        <v>4055/4056</v>
      </c>
      <c r="L225" s="164" t="str">
        <f>VLOOKUP(A225,'Trips&amp;Operators'!$C$1:$G$99911,5,FALSE)</f>
        <v>GONZALEZ ARMANDO</v>
      </c>
      <c r="M225" s="6">
        <f t="shared" si="132"/>
        <v>1.423611116479151E-3</v>
      </c>
      <c r="N225" s="7">
        <f t="shared" si="133"/>
        <v>2.0500000077299774</v>
      </c>
      <c r="O225" s="7"/>
      <c r="P225" s="7"/>
      <c r="Q225" s="22"/>
      <c r="R225" s="157"/>
      <c r="S225" s="215">
        <f t="shared" si="141"/>
        <v>0</v>
      </c>
      <c r="T225" s="216" t="str">
        <f t="shared" si="134"/>
        <v>NorthBound</v>
      </c>
      <c r="U225" s="216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217" t="str">
        <f t="shared" si="135"/>
        <v>https://d0f6bd738d7f1b3e5a7ca70fe4ff75f0.us-east-1.aws.found.io/app/kibana#/discover/Steve-Slow-Train-Analysis-(2080s-and-2083s)?_g=(refreshInterval:(display:Off,pause:!f,section:0,value:0),time:(from:'2017-10-29T16:29:21-0600',mode:absolute,to:'2017-10-29T18:44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5" s="218" t="str">
        <f>IF(AA225&lt;VLOOKUP(AG225,Variables!$AC$3:$AD$8,2,FALSE),"Y","N")</f>
        <v>Y</v>
      </c>
      <c r="X225" s="218">
        <f t="shared" si="118"/>
        <v>2</v>
      </c>
      <c r="Y225" s="218">
        <f t="shared" si="129"/>
        <v>0.11559999999999999</v>
      </c>
      <c r="Z225" s="218">
        <f t="shared" si="130"/>
        <v>0.33539999999999998</v>
      </c>
      <c r="AA225" s="218">
        <f t="shared" si="136"/>
        <v>0.2198</v>
      </c>
      <c r="AB225" s="219" t="e">
        <f>VLOOKUP(A225,Enforcements!$C$7:$K$11,8,0)</f>
        <v>#N/A</v>
      </c>
      <c r="AC225" s="219" t="e">
        <f>VLOOKUP(A225,Enforcements!$C$7:$E$11,3,0)</f>
        <v>#N/A</v>
      </c>
      <c r="AD225" s="186">
        <f t="shared" si="137"/>
        <v>75</v>
      </c>
      <c r="AE225" s="220" t="str">
        <f t="shared" si="138"/>
        <v>aws s3 cp s3://rtdc.mdm.uploadarchive.raw/RTDC4056/ "%USERPROFILE%\AppData\Local\Temp\OnboardLogs"\RTDC4056\2017-10-29 --exclude "*" --recursive --include "*20171029*" &amp; "%USERPROFILE%\Documents\GitHub\mrs-test-scripts\Headless Mode &amp; Sideloading\WalkAndUnGZ.bat" "%USERPROFILE%\AppData\Local\Temp\OnboardLogs"\RTDC4056\2017-10-29 &amp; aws s3 cp s3://rtdc.mdm.uploadarchive.raw/RTDC4056/ "%USERPROFILE%\AppData\Local\Temp\OnboardLogs"\RTDC4056\2017-10-30 --exclude "*" --recursive --include "*20171030*" &amp; "%USERPROFILE%\Documents\GitHub\mrs-test-scripts\Headless Mode &amp; Sideloading\WalkAndUnGZ.bat" "%USERPROFILE%\AppData\Local\Temp\OnboardLogs"\RTDC4056\2017-10-30</v>
      </c>
      <c r="AF225" s="221" t="str">
        <f t="shared" si="139"/>
        <v>"C:\Program Files (x86)\AstroGrep\AstroGrep.exe" /e /r /s /spath="%USERPROFILE%\AppData\Local\Temp\OnboardLogs" /stypes="app*4056*20171029*" /stext=" 23:.+((SYSTEM_STATE.+slice.+state.+changed )|(ment ac)|(multiple cpu faults)|(system.+state.+changed )|(\[timeout)|(PRM\|1\|D)|(kpr)|(kdp)|(train st.+moving)|(\|lc)|(penalty))"</v>
      </c>
      <c r="AG225" s="185" t="str">
        <f t="shared" si="140"/>
        <v>Shuttle/Test</v>
      </c>
      <c r="AH225" s="222" t="str">
        <f t="shared" si="142"/>
        <v>"%USERPROFILE%\Documents\GitHub\eaglep3\Utilities\RefineRTDCRunTimes.py" --tripid 75-29 --locoid 4056 --swversion DE.1.0.9.0 --startMP 204:1156 --initTime 2017-10-29T17:29:21 --startdatetime 2017-10-29T17:42:38 --delay 98 --endMP 204:3354 --enddatetime 2017-10-29T17:44:41 --enforcementcount 0 &gt;&gt;%USERPROFILE%\Documents\GitHub\eaglep3-reporting\EC\2017-10-29-refined-times.txt</v>
      </c>
      <c r="AI225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0.3354"},{"id":17,"name":"Train ID","value":"75-29"},{"id":16,"name":"Locomotive ID","value":"4056"},{"id":130,"name":"Impact","value":""},{"id":150,"name":"Time of Event (Mountain Time)","value":"17:44:41"},{"id":151,"name":"Denver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5" s="182"/>
      <c r="AK225" s="186"/>
      <c r="AL225" s="186"/>
      <c r="AM225" s="187" t="str">
        <f t="shared" si="144"/>
        <v>start /low /b %USERPROFILE%\Documents\GitHub\eaglep3\Utilities\DownloadLogsFromS3.py --loco 4056 --day 2017-10-29</v>
      </c>
      <c r="AN225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23:44:41"},{"id":29,"name":"Sharepoint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5" s="182" t="str">
        <f t="shared" si="146"/>
        <v>https://d0f6bd738d7f1b3e5a7ca70fe4ff75f0.us-east-1.aws.found.io/app/kibana#/discover/Steve-Slow-Train-Analysis-(2080s-and-2083s)?_g=(refreshInterval:(display:Off,pause:!f,section:0,value:0),time:(from:'2017-10-29T16:29:21-0600',mode:absolute,to:'2017-10-29T18:44:41-0600'))&amp;_a=(columns:!('Message%20ID',Summary),filters:!(),index:'emp_*',interval:auto,query:(query_string:(analyze_wildcard:!t,query:'%22rtdc.l.rtdc.4056%22')),sort:!(Time.ISO8601,asc))</v>
      </c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 s="32" t="s">
        <v>816</v>
      </c>
      <c r="B226" s="7">
        <v>4055</v>
      </c>
      <c r="C226" s="21" t="s">
        <v>194</v>
      </c>
      <c r="D226" s="21" t="s">
        <v>1078</v>
      </c>
      <c r="E226" s="13">
        <v>43037.736145833333</v>
      </c>
      <c r="F226" s="13">
        <v>43037.737939814811</v>
      </c>
      <c r="G226" s="7">
        <v>78</v>
      </c>
      <c r="H226" s="21" t="s">
        <v>606</v>
      </c>
      <c r="I226" s="13">
        <v>43037.739363425928</v>
      </c>
      <c r="J226" s="7">
        <v>0</v>
      </c>
      <c r="K226" s="76" t="str">
        <f t="shared" si="131"/>
        <v>4055/4056</v>
      </c>
      <c r="L226" s="164" t="str">
        <f>VLOOKUP(A226,'Trips&amp;Operators'!$C$1:$G$99911,5,FALSE)</f>
        <v>GONZALEZ ARMANDO</v>
      </c>
      <c r="M226" s="6">
        <f t="shared" si="132"/>
        <v>1.423611116479151E-3</v>
      </c>
      <c r="N226" s="7">
        <f t="shared" si="133"/>
        <v>2.0500000077299774</v>
      </c>
      <c r="O226" s="7"/>
      <c r="P226" s="7"/>
      <c r="Q226" s="22"/>
      <c r="R226" s="157"/>
      <c r="S226" s="215">
        <f t="shared" si="141"/>
        <v>0</v>
      </c>
      <c r="T226" s="216" t="str">
        <f t="shared" si="134"/>
        <v>NorthBound</v>
      </c>
      <c r="U226" s="216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217" t="str">
        <f t="shared" si="135"/>
        <v>https://d0f6bd738d7f1b3e5a7ca70fe4ff75f0.us-east-1.aws.found.io/app/kibana#/discover/Steve-Slow-Train-Analysis-(2080s-and-2083s)?_g=(refreshInterval:(display:Off,pause:!f,section:0,value:0),time:(from:'2017-10-29T16:40:03-0600',mode:absolute,to:'2017-10-29T18:44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6" s="218" t="str">
        <f>IF(AA226&lt;VLOOKUP(AG226,Variables!$AC$3:$AD$8,2,FALSE),"Y","N")</f>
        <v>Y</v>
      </c>
      <c r="X226" s="218">
        <f t="shared" si="118"/>
        <v>0</v>
      </c>
      <c r="Y226" s="218">
        <f t="shared" si="129"/>
        <v>0.30049999999999999</v>
      </c>
      <c r="Z226" s="218">
        <f t="shared" si="130"/>
        <v>2.2700000000000001E-2</v>
      </c>
      <c r="AA226" s="218">
        <f t="shared" si="136"/>
        <v>0.27779999999999999</v>
      </c>
      <c r="AB226" s="219" t="e">
        <f>VLOOKUP(A226,Enforcements!$C$7:$K$11,8,0)</f>
        <v>#N/A</v>
      </c>
      <c r="AC226" s="219" t="e">
        <f>VLOOKUP(A226,Enforcements!$C$7:$E$11,3,0)</f>
        <v>#N/A</v>
      </c>
      <c r="AD226" s="186">
        <f t="shared" si="137"/>
        <v>75</v>
      </c>
      <c r="AE226" s="220" t="str">
        <f t="shared" si="138"/>
        <v>aws s3 cp s3://rtdc.mdm.uploadarchive.raw/RTDC4055/ "%USERPROFILE%\AppData\Local\Temp\OnboardLogs"\RTDC4055\2017-10-29 --exclude "*" --recursive --include "*20171029*" &amp; "%USERPROFILE%\Documents\GitHub\mrs-test-scripts\Headless Mode &amp; Sideloading\WalkAndUnGZ.bat" "%USERPROFILE%\AppData\Local\Temp\OnboardLogs"\RTDC4055\2017-10-29 &amp; aws s3 cp s3://rtdc.mdm.uploadarchive.raw/RTDC4055/ "%USERPROFILE%\AppData\Local\Temp\OnboardLogs"\RTDC4055\2017-10-30 --exclude "*" --recursive --include "*20171030*" &amp; "%USERPROFILE%\Documents\GitHub\mrs-test-scripts\Headless Mode &amp; Sideloading\WalkAndUnGZ.bat" "%USERPROFILE%\AppData\Local\Temp\OnboardLogs"\RTDC4055\2017-10-30</v>
      </c>
      <c r="AF226" s="221" t="str">
        <f t="shared" si="139"/>
        <v>"C:\Program Files (x86)\AstroGrep\AstroGrep.exe" /e /r /s /spath="%USERPROFILE%\AppData\Local\Temp\OnboardLogs" /stypes="app*4055*20171029*" /stext=" 23:.+((SYSTEM_STATE.+slice.+state.+changed )|(ment ac)|(multiple cpu faults)|(system.+state.+changed )|(\[timeout)|(PRM\|1\|D)|(kpr)|(kdp)|(train st.+moving)|(\|lc)|(penalty))"</v>
      </c>
      <c r="AG226" s="185" t="str">
        <f t="shared" si="140"/>
        <v>Shuttle/Test</v>
      </c>
      <c r="AH226" s="222" t="str">
        <f t="shared" si="142"/>
        <v>"%USERPROFILE%\Documents\GitHub\eaglep3\Utilities\RefineRTDCRunTimes.py" --tripid 75-29 --locoid 4055 --swversion DE.1.0.9.0 --startMP 204:3005 --initTime 2017-10-29T17:40:03 --startdatetime 2017-10-29T17:42:38 --delay 78 --endMP 204:227 --enddatetime 2017-10-29T17:44:41 --enforcementcount 0 &gt;&gt;%USERPROFILE%\Documents\GitHub\eaglep3-reporting\EC\2017-10-29-refined-times.txt</v>
      </c>
      <c r="AI226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0.0227"},{"id":17,"name":"Train ID","value":"75-29"},{"id":16,"name":"Locomotive ID","value":"4055"},{"id":130,"name":"Impact","value":""},{"id":150,"name":"Time of Event (Mountain Time)","value":"17:44:41"},{"id":151,"name":"Denver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6" s="182"/>
      <c r="AK226" s="186"/>
      <c r="AL226" s="186"/>
      <c r="AM226" s="187" t="str">
        <f t="shared" si="144"/>
        <v>start /low /b %USERPROFILE%\Documents\GitHub\eaglep3\Utilities\DownloadLogsFromS3.py --loco 4055 --day 2017-10-29</v>
      </c>
      <c r="AN226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23:44:41"},{"id":29,"name":"Sharepoint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6" s="182" t="str">
        <f t="shared" si="146"/>
        <v>https://d0f6bd738d7f1b3e5a7ca70fe4ff75f0.us-east-1.aws.found.io/app/kibana#/discover/Steve-Slow-Train-Analysis-(2080s-and-2083s)?_g=(refreshInterval:(display:Off,pause:!f,section:0,value:0),time:(from:'2017-10-29T16:40:03-0600',mode:absolute,to:'2017-10-29T18:44:41-0600'))&amp;_a=(columns:!('Message%20ID',Summary),filters:!(),index:'emp_*',interval:auto,query:(query_string:(analyze_wildcard:!t,query:'%22rtdc.l.rtdc.4055%22')),sort:!(Time.ISO8601,asc))</v>
      </c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 s="32" t="s">
        <v>659</v>
      </c>
      <c r="B227" s="7">
        <v>4048</v>
      </c>
      <c r="C227" s="21" t="s">
        <v>194</v>
      </c>
      <c r="D227" s="21" t="s">
        <v>414</v>
      </c>
      <c r="E227" s="13">
        <v>43037.115335648145</v>
      </c>
      <c r="F227" s="13">
        <v>43037.116886574076</v>
      </c>
      <c r="G227" s="7">
        <v>79</v>
      </c>
      <c r="H227" s="21" t="s">
        <v>382</v>
      </c>
      <c r="I227" s="13">
        <v>43037.123437499999</v>
      </c>
      <c r="J227" s="7">
        <v>0</v>
      </c>
      <c r="K227" s="76" t="str">
        <f t="shared" si="131"/>
        <v>4047/4048</v>
      </c>
      <c r="L227" s="164" t="str">
        <f>VLOOKUP(A227,'Trips&amp;Operators'!$C$1:$G$99911,5,FALSE)</f>
        <v>WEST BRYAN</v>
      </c>
      <c r="M227" s="6">
        <f t="shared" si="132"/>
        <v>6.5509259220561944E-3</v>
      </c>
      <c r="N227" s="7">
        <f t="shared" si="133"/>
        <v>9.4333333277609199</v>
      </c>
      <c r="O227" s="7"/>
      <c r="P227" s="7"/>
      <c r="Q227" s="22"/>
      <c r="R227" s="157"/>
      <c r="S227" s="215">
        <f t="shared" si="141"/>
        <v>0</v>
      </c>
      <c r="T227" s="216" t="str">
        <f t="shared" si="134"/>
        <v>Southbound</v>
      </c>
      <c r="U227" s="216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217" t="str">
        <f t="shared" si="135"/>
        <v>https://d0f6bd738d7f1b3e5a7ca70fe4ff75f0.us-east-1.aws.found.io/app/kibana#/discover/Steve-Slow-Train-Analysis-(2080s-and-2083s)?_g=(refreshInterval:(display:Off,pause:!f,section:0,value:0),time:(from:'2017-10-29T01:46:05-0600',mode:absolute,to:'2017-10-29T03:57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4048%22')),sort:!(Time.ISO8601,asc))</v>
      </c>
      <c r="W227" s="218" t="str">
        <f>IF(AA227&lt;VLOOKUP(AG227,Variables!$AC$3:$AD$8,2,FALSE),"Y","N")</f>
        <v>Y</v>
      </c>
      <c r="X227" s="218">
        <f t="shared" si="118"/>
        <v>3</v>
      </c>
      <c r="Y227" s="218">
        <f t="shared" si="129"/>
        <v>4.6600000000000003E-2</v>
      </c>
      <c r="Z227" s="218">
        <f t="shared" si="130"/>
        <v>2.3346</v>
      </c>
      <c r="AA227" s="218">
        <f t="shared" si="136"/>
        <v>2.2879999999999998</v>
      </c>
      <c r="AB227" s="219" t="e">
        <f>VLOOKUP(A227,Enforcements!$C$7:$K$11,8,0)</f>
        <v>#N/A</v>
      </c>
      <c r="AC227" s="219" t="e">
        <f>VLOOKUP(A227,Enforcements!$C$7:$E$11,3,0)</f>
        <v>#N/A</v>
      </c>
      <c r="AD227" s="186">
        <f t="shared" si="137"/>
        <v>78</v>
      </c>
      <c r="AE227" s="220" t="str">
        <f t="shared" si="138"/>
        <v>aws s3 cp s3://rtdc.mdm.uploadarchive.raw/RTDC4048/ "%USERPROFILE%\AppData\Local\Temp\OnboardLogs"\RTDC4048\2017-10-29 --exclude "*" --recursive --include "*20171029*" &amp; "%USERPROFILE%\Documents\GitHub\mrs-test-scripts\Headless Mode &amp; Sideloading\WalkAndUnGZ.bat" "%USERPROFILE%\AppData\Local\Temp\OnboardLogs"\RTDC4048\2017-10-29 &amp; aws s3 cp s3://rtdc.mdm.uploadarchive.raw/RTDC4048/ "%USERPROFILE%\AppData\Local\Temp\OnboardLogs"\RTDC4048\2017-10-30 --exclude "*" --recursive --include "*20171030*" &amp; "%USERPROFILE%\Documents\GitHub\mrs-test-scripts\Headless Mode &amp; Sideloading\WalkAndUnGZ.bat" "%USERPROFILE%\AppData\Local\Temp\OnboardLogs"\RTDC4048\2017-10-30</v>
      </c>
      <c r="AF227" s="221" t="str">
        <f t="shared" si="139"/>
        <v>"C:\Program Files (x86)\AstroGrep\AstroGrep.exe" /e /r /s /spath="%USERPROFILE%\AppData\Local\Temp\OnboardLogs" /stypes="app*4048*20171029*" /stext=" 08:.+((SYSTEM_STATE.+slice.+state.+changed )|(ment ac)|(multiple cpu faults)|(system.+state.+changed )|(\[timeout)|(PRM\|1\|D)|(kpr)|(kdp)|(train st.+moving)|(\|lc)|(penalty))"</v>
      </c>
      <c r="AG227" s="185" t="str">
        <f t="shared" si="140"/>
        <v>Shuttle/Test</v>
      </c>
      <c r="AH227" s="222" t="str">
        <f t="shared" si="142"/>
        <v>"%USERPROFILE%\Documents\GitHub\eaglep3\Utilities\RefineRTDCRunTimes.py" --tripid 78-28 --locoid 4048 --swversion DE.1.0.9.0 --startMP 204:466 --initTime 2017-10-29T02:46:05 --startdatetime 2017-10-29T02:48:19 --delay 79 --endMP 300:23346 --enddatetime 2017-10-29T02:57:45 --enforcementcount 0 &gt;&gt;%USERPROFILE%\Documents\GitHub\eaglep3-reporting\EC\2017-10-29-refined-times.txt</v>
      </c>
      <c r="AI227" s="223" t="str">
        <f t="shared" si="143"/>
        <v>echo {"issue":{"subject":"","project_id":79,"tracker_id":40,"status_id":1,"priority_id":2,"assigned_to_id":338,"start_date":"2017-10-29","description":"","custom_fields":[{"id":1,"name":"Subdivision","value":"Shuttle/Test"},{"id":4,"name":"Milepost","value":"2.3346"},{"id":17,"name":"Train ID","value":"78-28"},{"id":16,"name":"Locomotive ID","value":"4048"},{"id":130,"name":"Impact","value":""},{"id":150,"name":"Time of Event (Mountain Time)","value":"02:57:45"},{"id":151,"name":"Denver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7" s="182"/>
      <c r="AK227" s="186"/>
      <c r="AL227" s="186"/>
      <c r="AM227" s="187" t="str">
        <f t="shared" si="144"/>
        <v>start /low /b %USERPROFILE%\Documents\GitHub\eaglep3\Utilities\DownloadLogsFromS3.py --loco 4048 --day 2017-10-29</v>
      </c>
      <c r="AN227" s="224" t="str">
        <f t="shared" si="145"/>
        <v>echo {"issue":{"subject":"","project_id":30,"tracker_id":4,"status_id":1,"priority_id":1,"assigned_to_id":10,"start_date":"2017-10-29","description":"","custom_fields":[{"id":30,"name":"Category","value":"Issue"},{"id":3,"name":"Functional Component","value":"Onboard"},{"id":31,"name":"Version","value":"N/A"},{"id":8,"name":"Reporting RR","value":"WABTEC"},{"id":27,"name":"Locomotive ID","value":"4048"},{"id":20,"name":"RR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UTC","value":"2017-10-29 08:57:45"},{"id":29,"name":"Sharepoint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7" s="182" t="str">
        <f t="shared" si="146"/>
        <v>https://d0f6bd738d7f1b3e5a7ca70fe4ff75f0.us-east-1.aws.found.io/app/kibana#/discover/Steve-Slow-Train-Analysis-(2080s-and-2083s)?_g=(refreshInterval:(display:Off,pause:!f,section:0,value:0),time:(from:'2017-10-29T01:46:05-0600',mode:absolute,to:'2017-10-29T03:57:45-0600'))&amp;_a=(columns:!('Message%20ID',Summary),filters:!(),index:'emp_*',interval:auto,query:(query_string:(analyze_wildcard:!t,query:'%22rtdc.l.rtdc.4048%22')),sort:!(Time.ISO8601,asc))</v>
      </c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 s="182"/>
      <c r="T228" s="182"/>
      <c r="U228" s="182"/>
      <c r="V228" s="182"/>
      <c r="W228" s="182"/>
      <c r="X228" s="182"/>
      <c r="Y228" s="182"/>
      <c r="Z228" s="182"/>
      <c r="AA228" s="182"/>
      <c r="AB228" s="182"/>
      <c r="AC228" s="182"/>
      <c r="AD228" s="182"/>
      <c r="AE228" s="182"/>
      <c r="AF228" s="182"/>
      <c r="AG228" s="182"/>
      <c r="AH228" s="182"/>
      <c r="AI228" s="182"/>
      <c r="AJ228" s="182"/>
      <c r="AK228" s="182"/>
      <c r="AL228" s="182"/>
      <c r="AM228" s="182"/>
      <c r="AN228" s="182"/>
      <c r="AO228" s="182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 s="182"/>
      <c r="T229" s="182"/>
      <c r="U229" s="182"/>
      <c r="V229" s="182"/>
      <c r="W229" s="182"/>
      <c r="X229" s="182"/>
      <c r="Y229" s="182"/>
      <c r="Z229" s="182"/>
      <c r="AA229" s="182"/>
      <c r="AB229" s="182"/>
      <c r="AC229" s="182"/>
      <c r="AD229" s="182"/>
      <c r="AE229" s="182"/>
      <c r="AF229" s="182"/>
      <c r="AG229" s="182"/>
      <c r="AH229" s="182"/>
      <c r="AI229" s="182"/>
      <c r="AJ229" s="182"/>
      <c r="AK229" s="182"/>
      <c r="AL229" s="182"/>
      <c r="AM229" s="182"/>
      <c r="AN229" s="182"/>
      <c r="AO229" s="182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 s="182"/>
      <c r="T230" s="182"/>
      <c r="U230" s="182"/>
      <c r="V230" s="182"/>
      <c r="W230" s="182"/>
      <c r="X230" s="182"/>
      <c r="Y230" s="182"/>
      <c r="Z230" s="182"/>
      <c r="AA230" s="182"/>
      <c r="AB230" s="182"/>
      <c r="AC230" s="182"/>
      <c r="AD230" s="182"/>
      <c r="AE230" s="182"/>
      <c r="AF230" s="182"/>
      <c r="AG230" s="182"/>
      <c r="AH230" s="182"/>
      <c r="AI230" s="182"/>
      <c r="AJ230" s="182"/>
      <c r="AK230" s="182"/>
      <c r="AL230" s="182"/>
      <c r="AM230" s="182"/>
      <c r="AN230" s="182"/>
      <c r="AO230" s="182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 s="182"/>
      <c r="T231" s="182"/>
      <c r="U231" s="182"/>
      <c r="V231" s="182"/>
      <c r="W231" s="182"/>
      <c r="X231" s="182"/>
      <c r="Y231" s="182"/>
      <c r="Z231" s="182"/>
      <c r="AA231" s="182"/>
      <c r="AB231" s="182"/>
      <c r="AC231" s="182"/>
      <c r="AD231" s="182"/>
      <c r="AE231" s="182"/>
      <c r="AF231" s="182"/>
      <c r="AG231" s="182"/>
      <c r="AH231" s="182"/>
      <c r="AI231" s="182"/>
      <c r="AJ231" s="182"/>
      <c r="AK231" s="182"/>
      <c r="AL231" s="182"/>
      <c r="AM231" s="182"/>
      <c r="AN231" s="182"/>
      <c r="AO231" s="182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 s="182"/>
      <c r="T232" s="182"/>
      <c r="U232" s="182"/>
      <c r="V232" s="182"/>
      <c r="W232" s="182"/>
      <c r="X232" s="182"/>
      <c r="Y232" s="182"/>
      <c r="Z232" s="182"/>
      <c r="AA232" s="182"/>
      <c r="AB232" s="182"/>
      <c r="AC232" s="182"/>
      <c r="AD232" s="182"/>
      <c r="AE232" s="182"/>
      <c r="AF232" s="182"/>
      <c r="AG232" s="182"/>
      <c r="AH232" s="182"/>
      <c r="AI232" s="182"/>
      <c r="AJ232" s="182"/>
      <c r="AK232" s="182"/>
      <c r="AL232" s="182"/>
      <c r="AM232" s="182"/>
      <c r="AN232" s="182"/>
      <c r="AO232" s="18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 s="182"/>
      <c r="T233" s="182"/>
      <c r="U233" s="182"/>
      <c r="V233" s="182"/>
      <c r="W233" s="182"/>
      <c r="X233" s="182"/>
      <c r="Y233" s="182"/>
      <c r="Z233" s="182"/>
      <c r="AA233" s="182"/>
      <c r="AB233" s="182"/>
      <c r="AC233" s="182"/>
      <c r="AD233" s="182"/>
      <c r="AE233" s="182"/>
      <c r="AF233" s="182"/>
      <c r="AG233" s="182"/>
      <c r="AH233" s="182"/>
      <c r="AI233" s="182"/>
      <c r="AJ233" s="182"/>
      <c r="AK233" s="182"/>
      <c r="AL233" s="182"/>
      <c r="AM233" s="182"/>
      <c r="AN233" s="182"/>
      <c r="AO233" s="182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 s="182"/>
      <c r="T234" s="182"/>
      <c r="U234" s="182"/>
      <c r="V234" s="182"/>
      <c r="W234" s="182"/>
      <c r="X234" s="182"/>
      <c r="Y234" s="182"/>
      <c r="Z234" s="182"/>
      <c r="AA234" s="182"/>
      <c r="AB234" s="182"/>
      <c r="AC234" s="182"/>
      <c r="AD234" s="182"/>
      <c r="AE234" s="182"/>
      <c r="AF234" s="182"/>
      <c r="AG234" s="182"/>
      <c r="AH234" s="182"/>
      <c r="AI234" s="182"/>
      <c r="AJ234" s="182"/>
      <c r="AK234" s="182"/>
      <c r="AL234" s="182"/>
      <c r="AM234" s="182"/>
      <c r="AN234" s="182"/>
      <c r="AO234" s="182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 s="182"/>
      <c r="T235" s="182"/>
      <c r="U235" s="182"/>
      <c r="V235" s="182"/>
      <c r="W235" s="182"/>
      <c r="X235" s="182"/>
      <c r="Y235" s="182"/>
      <c r="Z235" s="182"/>
      <c r="AA235" s="182"/>
      <c r="AB235" s="182"/>
      <c r="AC235" s="182"/>
      <c r="AD235" s="182"/>
      <c r="AE235" s="182"/>
      <c r="AF235" s="182"/>
      <c r="AG235" s="182"/>
      <c r="AH235" s="182"/>
      <c r="AI235" s="182"/>
      <c r="AJ235" s="182"/>
      <c r="AK235" s="182"/>
      <c r="AL235" s="182"/>
      <c r="AM235" s="182"/>
      <c r="AN235" s="182"/>
      <c r="AO235" s="182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 s="182"/>
      <c r="T236" s="182"/>
      <c r="U236" s="182"/>
      <c r="V236" s="182"/>
      <c r="W236" s="182"/>
      <c r="X236" s="182"/>
      <c r="Y236" s="182"/>
      <c r="Z236" s="182"/>
      <c r="AA236" s="182"/>
      <c r="AB236" s="182"/>
      <c r="AC236" s="182"/>
      <c r="AD236" s="182"/>
      <c r="AE236" s="182"/>
      <c r="AF236" s="182"/>
      <c r="AG236" s="182"/>
      <c r="AH236" s="182"/>
      <c r="AI236" s="182"/>
      <c r="AJ236" s="182"/>
      <c r="AK236" s="182"/>
      <c r="AL236" s="182"/>
      <c r="AM236" s="182"/>
      <c r="AN236" s="182"/>
      <c r="AO236" s="182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 s="182"/>
      <c r="T237" s="182"/>
      <c r="U237" s="182"/>
      <c r="V237" s="182"/>
      <c r="W237" s="182"/>
      <c r="X237" s="182"/>
      <c r="Y237" s="182"/>
      <c r="Z237" s="182"/>
      <c r="AA237" s="182"/>
      <c r="AB237" s="182"/>
      <c r="AC237" s="182"/>
      <c r="AD237" s="182"/>
      <c r="AE237" s="182"/>
      <c r="AF237" s="182"/>
      <c r="AG237" s="182"/>
      <c r="AH237" s="182"/>
      <c r="AI237" s="182"/>
      <c r="AJ237" s="182"/>
      <c r="AK237" s="182"/>
      <c r="AL237" s="182"/>
      <c r="AM237" s="182"/>
      <c r="AN237" s="182"/>
      <c r="AO237" s="182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 s="182"/>
      <c r="T238" s="182"/>
      <c r="U238" s="182"/>
      <c r="V238" s="182"/>
      <c r="W238" s="182"/>
      <c r="X238" s="182"/>
      <c r="Y238" s="182"/>
      <c r="Z238" s="182"/>
      <c r="AA238" s="182"/>
      <c r="AB238" s="182"/>
      <c r="AC238" s="182"/>
      <c r="AD238" s="182"/>
      <c r="AE238" s="182"/>
      <c r="AF238" s="182"/>
      <c r="AG238" s="182"/>
      <c r="AH238" s="182"/>
      <c r="AI238" s="182"/>
      <c r="AJ238" s="182"/>
      <c r="AK238" s="182"/>
      <c r="AL238" s="182"/>
      <c r="AM238" s="182"/>
      <c r="AN238" s="182"/>
      <c r="AO238" s="182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 s="182"/>
      <c r="T239" s="182"/>
      <c r="U239" s="182"/>
      <c r="V239" s="182"/>
      <c r="W239" s="182"/>
      <c r="X239" s="182"/>
      <c r="Y239" s="182"/>
      <c r="Z239" s="182"/>
      <c r="AA239" s="182"/>
      <c r="AB239" s="182"/>
      <c r="AC239" s="182"/>
      <c r="AD239" s="182"/>
      <c r="AE239" s="182"/>
      <c r="AF239" s="182"/>
      <c r="AG239" s="182"/>
      <c r="AH239" s="182"/>
      <c r="AI239" s="182"/>
      <c r="AJ239" s="182"/>
      <c r="AK239" s="182"/>
      <c r="AL239" s="182"/>
      <c r="AM239" s="182"/>
      <c r="AN239" s="182"/>
      <c r="AO239" s="182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 s="182"/>
      <c r="T240" s="182"/>
      <c r="U240" s="182"/>
      <c r="V240" s="182"/>
      <c r="W240" s="182"/>
      <c r="X240" s="182"/>
      <c r="Y240" s="182"/>
      <c r="Z240" s="182"/>
      <c r="AA240" s="182"/>
      <c r="AB240" s="182"/>
      <c r="AC240" s="182"/>
      <c r="AD240" s="182"/>
      <c r="AE240" s="182"/>
      <c r="AF240" s="182"/>
      <c r="AG240" s="182"/>
      <c r="AH240" s="182"/>
      <c r="AI240" s="182"/>
      <c r="AJ240" s="182"/>
      <c r="AK240" s="182"/>
      <c r="AL240" s="182"/>
      <c r="AM240" s="182"/>
      <c r="AN240" s="182"/>
      <c r="AO240" s="182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 s="182"/>
      <c r="T241" s="182"/>
      <c r="U241" s="182"/>
      <c r="V241" s="182"/>
      <c r="W241" s="182"/>
      <c r="X241" s="182"/>
      <c r="Y241" s="182"/>
      <c r="Z241" s="182"/>
      <c r="AA241" s="182"/>
      <c r="AB241" s="182"/>
      <c r="AC241" s="182"/>
      <c r="AD241" s="182"/>
      <c r="AE241" s="182"/>
      <c r="AF241" s="182"/>
      <c r="AG241" s="182"/>
      <c r="AH241" s="182"/>
      <c r="AI241" s="182"/>
      <c r="AJ241" s="182"/>
      <c r="AK241" s="182"/>
      <c r="AL241" s="182"/>
      <c r="AM241" s="182"/>
      <c r="AN241" s="182"/>
      <c r="AO241" s="182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 s="182"/>
      <c r="T242" s="182"/>
      <c r="U242" s="182"/>
      <c r="V242" s="182"/>
      <c r="W242" s="182"/>
      <c r="X242" s="182"/>
      <c r="Y242" s="182"/>
      <c r="Z242" s="182"/>
      <c r="AA242" s="182"/>
      <c r="AB242" s="182"/>
      <c r="AC242" s="182"/>
      <c r="AD242" s="182"/>
      <c r="AE242" s="182"/>
      <c r="AF242" s="182"/>
      <c r="AG242" s="182"/>
      <c r="AH242" s="182"/>
      <c r="AI242" s="182"/>
      <c r="AJ242" s="182"/>
      <c r="AK242" s="182"/>
      <c r="AL242" s="182"/>
      <c r="AM242" s="182"/>
      <c r="AN242" s="182"/>
      <c r="AO242" s="18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 s="182"/>
      <c r="T243" s="182"/>
      <c r="U243" s="182"/>
      <c r="V243" s="182"/>
      <c r="W243" s="182"/>
      <c r="X243" s="182"/>
      <c r="Y243" s="182"/>
      <c r="Z243" s="182"/>
      <c r="AA243" s="182"/>
      <c r="AB243" s="182"/>
      <c r="AC243" s="182"/>
      <c r="AD243" s="182"/>
      <c r="AE243" s="182"/>
      <c r="AF243" s="182"/>
      <c r="AG243" s="182"/>
      <c r="AH243" s="182"/>
      <c r="AI243" s="182"/>
      <c r="AJ243" s="182"/>
      <c r="AK243" s="182"/>
      <c r="AL243" s="182"/>
      <c r="AM243" s="182"/>
      <c r="AN243" s="182"/>
      <c r="AO243" s="182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 s="182"/>
      <c r="T244" s="182"/>
      <c r="U244" s="182"/>
      <c r="V244" s="182"/>
      <c r="W244" s="182"/>
      <c r="X244" s="182"/>
      <c r="Y244" s="182"/>
      <c r="Z244" s="182"/>
      <c r="AA244" s="182"/>
      <c r="AB244" s="182"/>
      <c r="AC244" s="182"/>
      <c r="AD244" s="182"/>
      <c r="AE244" s="182"/>
      <c r="AF244" s="182"/>
      <c r="AG244" s="182"/>
      <c r="AH244" s="182"/>
      <c r="AI244" s="182"/>
      <c r="AJ244" s="182"/>
      <c r="AK244" s="182"/>
      <c r="AL244" s="182"/>
      <c r="AM244" s="182"/>
      <c r="AN244" s="182"/>
      <c r="AO244" s="182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 s="182"/>
      <c r="T245" s="182"/>
      <c r="U245" s="182"/>
      <c r="V245" s="182"/>
      <c r="W245" s="182"/>
      <c r="X245" s="182"/>
      <c r="Y245" s="182"/>
      <c r="Z245" s="182"/>
      <c r="AA245" s="182"/>
      <c r="AB245" s="182"/>
      <c r="AC245" s="182"/>
      <c r="AD245" s="182"/>
      <c r="AE245" s="182"/>
      <c r="AF245" s="182"/>
      <c r="AG245" s="182"/>
      <c r="AH245" s="182"/>
      <c r="AI245" s="182"/>
      <c r="AJ245" s="182"/>
      <c r="AK245" s="182"/>
      <c r="AL245" s="182"/>
      <c r="AM245" s="182"/>
      <c r="AN245" s="182"/>
      <c r="AO245" s="182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 s="182"/>
      <c r="T246" s="182"/>
      <c r="U246" s="182"/>
      <c r="V246" s="182"/>
      <c r="W246" s="182"/>
      <c r="X246" s="182"/>
      <c r="Y246" s="182"/>
      <c r="Z246" s="182"/>
      <c r="AA246" s="182"/>
      <c r="AB246" s="182"/>
      <c r="AC246" s="182"/>
      <c r="AD246" s="182"/>
      <c r="AE246" s="182"/>
      <c r="AF246" s="182"/>
      <c r="AG246" s="182"/>
      <c r="AH246" s="182"/>
      <c r="AI246" s="182"/>
      <c r="AJ246" s="182"/>
      <c r="AK246" s="182"/>
      <c r="AL246" s="182"/>
      <c r="AM246" s="182"/>
      <c r="AN246" s="182"/>
      <c r="AO246" s="182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 s="182"/>
      <c r="T247" s="182"/>
      <c r="U247" s="182"/>
      <c r="V247" s="182"/>
      <c r="W247" s="182"/>
      <c r="X247" s="182"/>
      <c r="Y247" s="182"/>
      <c r="Z247" s="182"/>
      <c r="AA247" s="182"/>
      <c r="AB247" s="182"/>
      <c r="AC247" s="182"/>
      <c r="AD247" s="182"/>
      <c r="AE247" s="182"/>
      <c r="AF247" s="182"/>
      <c r="AG247" s="182"/>
      <c r="AH247" s="182"/>
      <c r="AI247" s="182"/>
      <c r="AJ247" s="182"/>
      <c r="AK247" s="182"/>
      <c r="AL247" s="182"/>
      <c r="AM247" s="182"/>
      <c r="AN247" s="182"/>
      <c r="AO247" s="182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 s="182"/>
      <c r="T248" s="182"/>
      <c r="U248" s="182"/>
      <c r="V248" s="182"/>
      <c r="W248" s="182"/>
      <c r="X248" s="182"/>
      <c r="Y248" s="182"/>
      <c r="Z248" s="182"/>
      <c r="AA248" s="182"/>
      <c r="AB248" s="182"/>
      <c r="AC248" s="182"/>
      <c r="AD248" s="182"/>
      <c r="AE248" s="182"/>
      <c r="AF248" s="182"/>
      <c r="AG248" s="182"/>
      <c r="AH248" s="182"/>
      <c r="AI248" s="182"/>
      <c r="AJ248" s="182"/>
      <c r="AK248" s="182"/>
      <c r="AL248" s="182"/>
      <c r="AM248" s="182"/>
      <c r="AN248" s="182"/>
      <c r="AO248" s="182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 s="182"/>
      <c r="T249" s="182"/>
      <c r="U249" s="182"/>
      <c r="V249" s="182"/>
      <c r="W249" s="182"/>
      <c r="X249" s="182"/>
      <c r="Y249" s="182"/>
      <c r="Z249" s="182"/>
      <c r="AA249" s="182"/>
      <c r="AB249" s="182"/>
      <c r="AC249" s="182"/>
      <c r="AD249" s="182"/>
      <c r="AE249" s="182"/>
      <c r="AF249" s="182"/>
      <c r="AG249" s="182"/>
      <c r="AH249" s="182"/>
      <c r="AI249" s="182"/>
      <c r="AJ249" s="182"/>
      <c r="AK249" s="182"/>
      <c r="AL249" s="182"/>
      <c r="AM249" s="182"/>
      <c r="AN249" s="182"/>
      <c r="AO249" s="182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 s="182"/>
      <c r="T250" s="182"/>
      <c r="U250" s="182"/>
      <c r="V250" s="182"/>
      <c r="W250" s="182"/>
      <c r="X250" s="182"/>
      <c r="Y250" s="182"/>
      <c r="Z250" s="182"/>
      <c r="AA250" s="182"/>
      <c r="AB250" s="182"/>
      <c r="AC250" s="182"/>
      <c r="AD250" s="182"/>
      <c r="AE250" s="182"/>
      <c r="AF250" s="182"/>
      <c r="AG250" s="182"/>
      <c r="AH250" s="182"/>
      <c r="AI250" s="182"/>
      <c r="AJ250" s="182"/>
      <c r="AK250" s="182"/>
      <c r="AL250" s="182"/>
      <c r="AM250" s="182"/>
      <c r="AN250" s="182"/>
      <c r="AO250" s="182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 s="182"/>
      <c r="T251" s="182"/>
      <c r="U251" s="182"/>
      <c r="V251" s="182"/>
      <c r="W251" s="182"/>
      <c r="X251" s="182"/>
      <c r="Y251" s="182"/>
      <c r="Z251" s="182"/>
      <c r="AA251" s="182"/>
      <c r="AB251" s="182"/>
      <c r="AC251" s="182"/>
      <c r="AD251" s="182"/>
      <c r="AE251" s="182"/>
      <c r="AF251" s="182"/>
      <c r="AG251" s="182"/>
      <c r="AH251" s="182"/>
      <c r="AI251" s="182"/>
      <c r="AJ251" s="182"/>
      <c r="AK251" s="182"/>
      <c r="AL251" s="182"/>
      <c r="AM251" s="182"/>
      <c r="AN251" s="182"/>
      <c r="AO251" s="182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 s="182"/>
      <c r="T252" s="182"/>
      <c r="U252" s="182"/>
      <c r="V252" s="182"/>
      <c r="W252" s="182"/>
      <c r="X252" s="182"/>
      <c r="Y252" s="182"/>
      <c r="Z252" s="182"/>
      <c r="AA252" s="182"/>
      <c r="AB252" s="182"/>
      <c r="AC252" s="182"/>
      <c r="AD252" s="182"/>
      <c r="AE252" s="182"/>
      <c r="AF252" s="182"/>
      <c r="AG252" s="182"/>
      <c r="AH252" s="182"/>
      <c r="AI252" s="182"/>
      <c r="AJ252" s="182"/>
      <c r="AK252" s="182"/>
      <c r="AL252" s="182"/>
      <c r="AM252" s="182"/>
      <c r="AN252" s="182"/>
      <c r="AO252" s="18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 s="182"/>
      <c r="T253" s="182"/>
      <c r="U253" s="182"/>
      <c r="V253" s="182"/>
      <c r="W253" s="182"/>
      <c r="X253" s="182"/>
      <c r="Y253" s="182"/>
      <c r="Z253" s="182"/>
      <c r="AA253" s="182"/>
      <c r="AB253" s="182"/>
      <c r="AC253" s="182"/>
      <c r="AD253" s="182"/>
      <c r="AE253" s="182"/>
      <c r="AF253" s="182"/>
      <c r="AG253" s="182"/>
      <c r="AH253" s="182"/>
      <c r="AI253" s="182"/>
      <c r="AJ253" s="182"/>
      <c r="AK253" s="182"/>
      <c r="AL253" s="182"/>
      <c r="AM253" s="182"/>
      <c r="AN253" s="182"/>
      <c r="AO253" s="182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 s="182"/>
      <c r="T254" s="182"/>
      <c r="U254" s="182"/>
      <c r="V254" s="182"/>
      <c r="W254" s="182"/>
      <c r="X254" s="182"/>
      <c r="Y254" s="182"/>
      <c r="Z254" s="182"/>
      <c r="AA254" s="182"/>
      <c r="AB254" s="182"/>
      <c r="AC254" s="182"/>
      <c r="AD254" s="182"/>
      <c r="AE254" s="182"/>
      <c r="AF254" s="182"/>
      <c r="AG254" s="182"/>
      <c r="AH254" s="182"/>
      <c r="AI254" s="182"/>
      <c r="AJ254" s="182"/>
      <c r="AK254" s="182"/>
      <c r="AL254" s="182"/>
      <c r="AM254" s="182"/>
      <c r="AN254" s="182"/>
      <c r="AO254" s="182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 s="182"/>
      <c r="T255" s="182"/>
      <c r="U255" s="182"/>
      <c r="V255" s="182"/>
      <c r="W255" s="182"/>
      <c r="X255" s="182"/>
      <c r="Y255" s="182"/>
      <c r="Z255" s="182"/>
      <c r="AA255" s="182"/>
      <c r="AB255" s="182"/>
      <c r="AC255" s="182"/>
      <c r="AD255" s="182"/>
      <c r="AE255" s="182"/>
      <c r="AF255" s="182"/>
      <c r="AG255" s="182"/>
      <c r="AH255" s="182"/>
      <c r="AI255" s="182"/>
      <c r="AJ255" s="182"/>
      <c r="AK255" s="182"/>
      <c r="AL255" s="182"/>
      <c r="AM255" s="182"/>
      <c r="AN255" s="182"/>
      <c r="AO255" s="182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 s="182"/>
      <c r="T256" s="182"/>
      <c r="U256" s="182"/>
      <c r="V256" s="182"/>
      <c r="W256" s="182"/>
      <c r="X256" s="182"/>
      <c r="Y256" s="182"/>
      <c r="Z256" s="182"/>
      <c r="AA256" s="182"/>
      <c r="AB256" s="182"/>
      <c r="AC256" s="182"/>
      <c r="AD256" s="182"/>
      <c r="AE256" s="182"/>
      <c r="AF256" s="182"/>
      <c r="AG256" s="182"/>
      <c r="AH256" s="182"/>
      <c r="AI256" s="182"/>
      <c r="AJ256" s="182"/>
      <c r="AK256" s="182"/>
      <c r="AL256" s="182"/>
      <c r="AM256" s="182"/>
      <c r="AN256" s="182"/>
      <c r="AO256" s="182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 s="182"/>
      <c r="T257" s="182"/>
      <c r="U257" s="182"/>
      <c r="V257" s="182"/>
      <c r="W257" s="182"/>
      <c r="X257" s="182"/>
      <c r="Y257" s="182"/>
      <c r="Z257" s="182"/>
      <c r="AA257" s="182"/>
      <c r="AB257" s="182"/>
      <c r="AC257" s="182"/>
      <c r="AD257" s="182"/>
      <c r="AE257" s="182"/>
      <c r="AF257" s="182"/>
      <c r="AG257" s="182"/>
      <c r="AH257" s="182"/>
      <c r="AI257" s="182"/>
      <c r="AJ257" s="182"/>
      <c r="AK257" s="182"/>
      <c r="AL257" s="182"/>
      <c r="AM257" s="182"/>
      <c r="AN257" s="182"/>
      <c r="AO257" s="182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 s="182"/>
      <c r="T258" s="182"/>
      <c r="U258" s="182"/>
      <c r="V258" s="182"/>
      <c r="W258" s="182"/>
      <c r="X258" s="182"/>
      <c r="Y258" s="182"/>
      <c r="Z258" s="182"/>
      <c r="AA258" s="182"/>
      <c r="AB258" s="182"/>
      <c r="AC258" s="182"/>
      <c r="AD258" s="182"/>
      <c r="AE258" s="182"/>
      <c r="AF258" s="182"/>
      <c r="AG258" s="182"/>
      <c r="AH258" s="182"/>
      <c r="AI258" s="182"/>
      <c r="AJ258" s="182"/>
      <c r="AK258" s="182"/>
      <c r="AL258" s="182"/>
      <c r="AM258" s="182"/>
      <c r="AN258" s="182"/>
      <c r="AO258" s="182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 s="182"/>
      <c r="T259" s="182"/>
      <c r="U259" s="182"/>
      <c r="V259" s="182"/>
      <c r="W259" s="182"/>
      <c r="X259" s="182"/>
      <c r="Y259" s="182"/>
      <c r="Z259" s="182"/>
      <c r="AA259" s="182"/>
      <c r="AB259" s="182"/>
      <c r="AC259" s="182"/>
      <c r="AD259" s="182"/>
      <c r="AE259" s="182"/>
      <c r="AF259" s="182"/>
      <c r="AG259" s="182"/>
      <c r="AH259" s="182"/>
      <c r="AI259" s="182"/>
      <c r="AJ259" s="182"/>
      <c r="AK259" s="182"/>
      <c r="AL259" s="182"/>
      <c r="AM259" s="182"/>
      <c r="AN259" s="182"/>
      <c r="AO259" s="182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 s="182"/>
      <c r="T260" s="182"/>
      <c r="U260" s="182"/>
      <c r="V260" s="182"/>
      <c r="W260" s="182"/>
      <c r="X260" s="182"/>
      <c r="Y260" s="182"/>
      <c r="Z260" s="182"/>
      <c r="AA260" s="182"/>
      <c r="AB260" s="182"/>
      <c r="AC260" s="182"/>
      <c r="AD260" s="182"/>
      <c r="AE260" s="182"/>
      <c r="AF260" s="182"/>
      <c r="AG260" s="182"/>
      <c r="AH260" s="182"/>
      <c r="AI260" s="182"/>
      <c r="AJ260" s="182"/>
      <c r="AK260" s="182"/>
      <c r="AL260" s="182"/>
      <c r="AM260" s="182"/>
      <c r="AN260" s="182"/>
      <c r="AO260" s="182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 s="182"/>
      <c r="T261" s="182"/>
      <c r="U261" s="182"/>
      <c r="V261" s="182"/>
      <c r="W261" s="182"/>
      <c r="X261" s="182"/>
      <c r="Y261" s="182"/>
      <c r="Z261" s="182"/>
      <c r="AA261" s="182"/>
      <c r="AB261" s="182"/>
      <c r="AC261" s="182"/>
      <c r="AD261" s="182"/>
      <c r="AE261" s="182"/>
      <c r="AF261" s="182"/>
      <c r="AG261" s="182"/>
      <c r="AH261" s="182"/>
      <c r="AI261" s="182"/>
      <c r="AJ261" s="182"/>
      <c r="AK261" s="182"/>
      <c r="AL261" s="182"/>
      <c r="AM261" s="182"/>
      <c r="AN261" s="182"/>
      <c r="AO261" s="182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 s="182"/>
      <c r="T262" s="182"/>
      <c r="U262" s="182"/>
      <c r="V262" s="182"/>
      <c r="W262" s="182"/>
      <c r="X262" s="182"/>
      <c r="Y262" s="182"/>
      <c r="Z262" s="182"/>
      <c r="AA262" s="182"/>
      <c r="AB262" s="182"/>
      <c r="AC262" s="182"/>
      <c r="AD262" s="182"/>
      <c r="AE262" s="182"/>
      <c r="AF262" s="182"/>
      <c r="AG262" s="182"/>
      <c r="AH262" s="182"/>
      <c r="AI262" s="182"/>
      <c r="AJ262" s="182"/>
      <c r="AK262" s="182"/>
      <c r="AL262" s="182"/>
      <c r="AM262" s="182"/>
      <c r="AN262" s="182"/>
      <c r="AO262" s="18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 s="182"/>
      <c r="T263" s="182"/>
      <c r="U263" s="182"/>
      <c r="V263" s="182"/>
      <c r="W263" s="182"/>
      <c r="X263" s="182"/>
      <c r="Y263" s="182"/>
      <c r="Z263" s="182"/>
      <c r="AA263" s="182"/>
      <c r="AB263" s="182"/>
      <c r="AC263" s="182"/>
      <c r="AD263" s="182"/>
      <c r="AE263" s="182"/>
      <c r="AF263" s="182"/>
      <c r="AG263" s="182"/>
      <c r="AH263" s="182"/>
      <c r="AI263" s="182"/>
      <c r="AJ263" s="182"/>
      <c r="AK263" s="182"/>
      <c r="AL263" s="182"/>
      <c r="AM263" s="182"/>
      <c r="AN263" s="182"/>
      <c r="AO263" s="182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 s="182"/>
      <c r="T264" s="182"/>
      <c r="U264" s="182"/>
      <c r="V264" s="182"/>
      <c r="W264" s="182"/>
      <c r="X264" s="182"/>
      <c r="Y264" s="182"/>
      <c r="Z264" s="182"/>
      <c r="AA264" s="182"/>
      <c r="AB264" s="182"/>
      <c r="AC264" s="182"/>
      <c r="AD264" s="182"/>
      <c r="AE264" s="182"/>
      <c r="AF264" s="182"/>
      <c r="AG264" s="182"/>
      <c r="AH264" s="182"/>
      <c r="AI264" s="182"/>
      <c r="AJ264" s="182"/>
      <c r="AK264" s="182"/>
      <c r="AL264" s="182"/>
      <c r="AM264" s="182"/>
      <c r="AN264" s="182"/>
      <c r="AO264" s="182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 s="182"/>
      <c r="T265" s="182"/>
      <c r="U265" s="182"/>
      <c r="V265" s="182"/>
      <c r="W265" s="182"/>
      <c r="X265" s="182"/>
      <c r="Y265" s="182"/>
      <c r="Z265" s="182"/>
      <c r="AA265" s="182"/>
      <c r="AB265" s="182"/>
      <c r="AC265" s="182"/>
      <c r="AD265" s="182"/>
      <c r="AE265" s="182"/>
      <c r="AF265" s="182"/>
      <c r="AG265" s="182"/>
      <c r="AH265" s="182"/>
      <c r="AI265" s="182"/>
      <c r="AJ265" s="182"/>
      <c r="AK265" s="182"/>
      <c r="AL265" s="182"/>
      <c r="AM265" s="182"/>
      <c r="AN265" s="182"/>
      <c r="AO265" s="182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 s="182"/>
      <c r="T266" s="182"/>
      <c r="U266" s="182"/>
      <c r="V266" s="182"/>
      <c r="W266" s="182"/>
      <c r="X266" s="182"/>
      <c r="Y266" s="182"/>
      <c r="Z266" s="182"/>
      <c r="AA266" s="182"/>
      <c r="AB266" s="182"/>
      <c r="AC266" s="182"/>
      <c r="AD266" s="182"/>
      <c r="AE266" s="182"/>
      <c r="AF266" s="182"/>
      <c r="AG266" s="182"/>
      <c r="AH266" s="182"/>
      <c r="AI266" s="182"/>
      <c r="AJ266" s="182"/>
      <c r="AK266" s="182"/>
      <c r="AL266" s="182"/>
      <c r="AM266" s="182"/>
      <c r="AN266" s="182"/>
      <c r="AO266" s="182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 s="182"/>
      <c r="T267" s="182"/>
      <c r="U267" s="182"/>
      <c r="V267" s="182"/>
      <c r="W267" s="182"/>
      <c r="X267" s="182"/>
      <c r="Y267" s="182"/>
      <c r="Z267" s="182"/>
      <c r="AA267" s="182"/>
      <c r="AB267" s="182"/>
      <c r="AC267" s="182"/>
      <c r="AD267" s="182"/>
      <c r="AE267" s="182"/>
      <c r="AF267" s="182"/>
      <c r="AG267" s="182"/>
      <c r="AH267" s="182"/>
      <c r="AI267" s="182"/>
      <c r="AJ267" s="182"/>
      <c r="AK267" s="182"/>
      <c r="AL267" s="182"/>
      <c r="AM267" s="182"/>
      <c r="AN267" s="182"/>
      <c r="AO267" s="182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 s="182"/>
      <c r="T268" s="182"/>
      <c r="U268" s="182"/>
      <c r="V268" s="182"/>
      <c r="W268" s="182"/>
      <c r="X268" s="182"/>
      <c r="Y268" s="182"/>
      <c r="Z268" s="182"/>
      <c r="AA268" s="182"/>
      <c r="AB268" s="182"/>
      <c r="AC268" s="182"/>
      <c r="AD268" s="182"/>
      <c r="AE268" s="182"/>
      <c r="AF268" s="182"/>
      <c r="AG268" s="182"/>
      <c r="AH268" s="182"/>
      <c r="AI268" s="182"/>
      <c r="AJ268" s="182"/>
      <c r="AK268" s="182"/>
      <c r="AL268" s="182"/>
      <c r="AM268" s="182"/>
      <c r="AN268" s="182"/>
      <c r="AO268" s="182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 s="182"/>
      <c r="T269" s="182"/>
      <c r="U269" s="182"/>
      <c r="V269" s="182"/>
      <c r="W269" s="182"/>
      <c r="X269" s="182"/>
      <c r="Y269" s="182"/>
      <c r="Z269" s="182"/>
      <c r="AA269" s="182"/>
      <c r="AB269" s="182"/>
      <c r="AC269" s="182"/>
      <c r="AD269" s="182"/>
      <c r="AE269" s="182"/>
      <c r="AF269" s="182"/>
      <c r="AG269" s="182"/>
      <c r="AH269" s="182"/>
      <c r="AI269" s="182"/>
      <c r="AJ269" s="182"/>
      <c r="AK269" s="182"/>
      <c r="AL269" s="182"/>
      <c r="AM269" s="182"/>
      <c r="AN269" s="182"/>
      <c r="AO269" s="182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 s="182"/>
      <c r="T270" s="182"/>
      <c r="U270" s="182"/>
      <c r="V270" s="182"/>
      <c r="W270" s="182"/>
      <c r="X270" s="182"/>
      <c r="Y270" s="182"/>
      <c r="Z270" s="182"/>
      <c r="AA270" s="182"/>
      <c r="AB270" s="182"/>
      <c r="AC270" s="182"/>
      <c r="AD270" s="182"/>
      <c r="AE270" s="182"/>
      <c r="AF270" s="182"/>
      <c r="AG270" s="182"/>
      <c r="AH270" s="182"/>
      <c r="AI270" s="182"/>
      <c r="AJ270" s="182"/>
      <c r="AK270" s="182"/>
      <c r="AL270" s="182"/>
      <c r="AM270" s="182"/>
      <c r="AN270" s="182"/>
      <c r="AO270" s="182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 s="182"/>
      <c r="T271" s="182"/>
      <c r="U271" s="182"/>
      <c r="V271" s="182"/>
      <c r="W271" s="182"/>
      <c r="X271" s="182"/>
      <c r="Y271" s="182"/>
      <c r="Z271" s="182"/>
      <c r="AA271" s="182"/>
      <c r="AB271" s="182"/>
      <c r="AC271" s="182"/>
      <c r="AD271" s="182"/>
      <c r="AE271" s="182"/>
      <c r="AF271" s="182"/>
      <c r="AG271" s="182"/>
      <c r="AH271" s="182"/>
      <c r="AI271" s="182"/>
      <c r="AJ271" s="182"/>
      <c r="AK271" s="182"/>
      <c r="AL271" s="182"/>
      <c r="AM271" s="182"/>
      <c r="AN271" s="182"/>
      <c r="AO271" s="182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 s="182"/>
      <c r="T272" s="182"/>
      <c r="U272" s="182"/>
      <c r="V272" s="182"/>
      <c r="W272" s="182"/>
      <c r="X272" s="182"/>
      <c r="Y272" s="182"/>
      <c r="Z272" s="182"/>
      <c r="AA272" s="182"/>
      <c r="AB272" s="182"/>
      <c r="AC272" s="182"/>
      <c r="AD272" s="182"/>
      <c r="AE272" s="182"/>
      <c r="AF272" s="182"/>
      <c r="AG272" s="182"/>
      <c r="AH272" s="182"/>
      <c r="AI272" s="182"/>
      <c r="AJ272" s="182"/>
      <c r="AK272" s="182"/>
      <c r="AL272" s="182"/>
      <c r="AM272" s="182"/>
      <c r="AN272" s="182"/>
      <c r="AO272" s="18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 s="182"/>
      <c r="T273" s="182"/>
      <c r="U273" s="182"/>
      <c r="V273" s="182"/>
      <c r="W273" s="182"/>
      <c r="X273" s="182"/>
      <c r="Y273" s="182"/>
      <c r="Z273" s="182"/>
      <c r="AA273" s="182"/>
      <c r="AB273" s="182"/>
      <c r="AC273" s="182"/>
      <c r="AD273" s="182"/>
      <c r="AE273" s="182"/>
      <c r="AF273" s="182"/>
      <c r="AG273" s="182"/>
      <c r="AH273" s="182"/>
      <c r="AI273" s="182"/>
      <c r="AJ273" s="182"/>
      <c r="AK273" s="182"/>
      <c r="AL273" s="182"/>
      <c r="AM273" s="182"/>
      <c r="AN273" s="182"/>
      <c r="AO273" s="182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 s="182"/>
      <c r="T274" s="182"/>
      <c r="U274" s="182"/>
      <c r="V274" s="182"/>
      <c r="W274" s="182"/>
      <c r="X274" s="182"/>
      <c r="Y274" s="182"/>
      <c r="Z274" s="182"/>
      <c r="AA274" s="182"/>
      <c r="AB274" s="182"/>
      <c r="AC274" s="182"/>
      <c r="AD274" s="182"/>
      <c r="AE274" s="182"/>
      <c r="AF274" s="182"/>
      <c r="AG274" s="182"/>
      <c r="AH274" s="182"/>
      <c r="AI274" s="182"/>
      <c r="AJ274" s="182"/>
      <c r="AK274" s="182"/>
      <c r="AL274" s="182"/>
      <c r="AM274" s="182"/>
      <c r="AN274" s="182"/>
      <c r="AO274" s="182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 s="182"/>
      <c r="T275" s="182"/>
      <c r="U275" s="182"/>
      <c r="V275" s="182"/>
      <c r="W275" s="182"/>
      <c r="X275" s="182"/>
      <c r="Y275" s="182"/>
      <c r="Z275" s="182"/>
      <c r="AA275" s="182"/>
      <c r="AB275" s="182"/>
      <c r="AC275" s="182"/>
      <c r="AD275" s="182"/>
      <c r="AE275" s="182"/>
      <c r="AF275" s="182"/>
      <c r="AG275" s="182"/>
      <c r="AH275" s="182"/>
      <c r="AI275" s="182"/>
      <c r="AJ275" s="182"/>
      <c r="AK275" s="182"/>
      <c r="AL275" s="182"/>
      <c r="AM275" s="182"/>
      <c r="AN275" s="182"/>
      <c r="AO275" s="182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 s="182"/>
      <c r="T276" s="182"/>
      <c r="U276" s="182"/>
      <c r="V276" s="182"/>
      <c r="W276" s="182"/>
      <c r="X276" s="182"/>
      <c r="Y276" s="182"/>
      <c r="Z276" s="182"/>
      <c r="AA276" s="182"/>
      <c r="AB276" s="182"/>
      <c r="AC276" s="182"/>
      <c r="AD276" s="182"/>
      <c r="AE276" s="182"/>
      <c r="AF276" s="182"/>
      <c r="AG276" s="182"/>
      <c r="AH276" s="182"/>
      <c r="AI276" s="182"/>
      <c r="AJ276" s="182"/>
      <c r="AK276" s="182"/>
      <c r="AL276" s="182"/>
      <c r="AM276" s="182"/>
      <c r="AN276" s="182"/>
      <c r="AO276" s="182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 s="182"/>
      <c r="T277" s="182"/>
      <c r="U277" s="182"/>
      <c r="V277" s="182"/>
      <c r="W277" s="182"/>
      <c r="X277" s="182"/>
      <c r="Y277" s="182"/>
      <c r="Z277" s="182"/>
      <c r="AA277" s="182"/>
      <c r="AB277" s="182"/>
      <c r="AC277" s="182"/>
      <c r="AD277" s="182"/>
      <c r="AE277" s="182"/>
      <c r="AF277" s="182"/>
      <c r="AG277" s="182"/>
      <c r="AH277" s="182"/>
      <c r="AI277" s="182"/>
      <c r="AJ277" s="182"/>
      <c r="AK277" s="182"/>
      <c r="AL277" s="182"/>
      <c r="AM277" s="182"/>
      <c r="AN277" s="182"/>
      <c r="AO277" s="182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 s="182"/>
      <c r="T278" s="182"/>
      <c r="U278" s="182"/>
      <c r="V278" s="182"/>
      <c r="W278" s="182"/>
      <c r="X278" s="182"/>
      <c r="Y278" s="182"/>
      <c r="Z278" s="182"/>
      <c r="AA278" s="182"/>
      <c r="AB278" s="182"/>
      <c r="AC278" s="182"/>
      <c r="AD278" s="182"/>
      <c r="AE278" s="182"/>
      <c r="AF278" s="182"/>
      <c r="AG278" s="182"/>
      <c r="AH278" s="182"/>
      <c r="AI278" s="182"/>
      <c r="AJ278" s="182"/>
      <c r="AK278" s="182"/>
      <c r="AL278" s="182"/>
      <c r="AM278" s="182"/>
      <c r="AN278" s="182"/>
      <c r="AO278" s="182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 s="182"/>
      <c r="T279" s="182"/>
      <c r="U279" s="182"/>
      <c r="V279" s="182"/>
      <c r="W279" s="182"/>
      <c r="X279" s="182"/>
      <c r="Y279" s="182"/>
      <c r="Z279" s="182"/>
      <c r="AA279" s="182"/>
      <c r="AB279" s="182"/>
      <c r="AC279" s="182"/>
      <c r="AD279" s="182"/>
      <c r="AE279" s="182"/>
      <c r="AF279" s="182"/>
      <c r="AG279" s="182"/>
      <c r="AH279" s="182"/>
      <c r="AI279" s="182"/>
      <c r="AJ279" s="182"/>
      <c r="AK279" s="182"/>
      <c r="AL279" s="182"/>
      <c r="AM279" s="182"/>
      <c r="AN279" s="182"/>
      <c r="AO279" s="182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 s="182"/>
      <c r="T280" s="182"/>
      <c r="U280" s="182"/>
      <c r="V280" s="182"/>
      <c r="W280" s="182"/>
      <c r="X280" s="182"/>
      <c r="Y280" s="182"/>
      <c r="Z280" s="182"/>
      <c r="AA280" s="182"/>
      <c r="AB280" s="182"/>
      <c r="AC280" s="182"/>
      <c r="AD280" s="182"/>
      <c r="AE280" s="182"/>
      <c r="AF280" s="182"/>
      <c r="AG280" s="182"/>
      <c r="AH280" s="182"/>
      <c r="AI280" s="182"/>
      <c r="AJ280" s="182"/>
      <c r="AK280" s="182"/>
      <c r="AL280" s="182"/>
      <c r="AM280" s="182"/>
      <c r="AN280" s="182"/>
      <c r="AO280" s="182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 s="182"/>
      <c r="T281" s="182"/>
      <c r="U281" s="182"/>
      <c r="V281" s="182"/>
      <c r="W281" s="182"/>
      <c r="X281" s="182"/>
      <c r="Y281" s="182"/>
      <c r="Z281" s="182"/>
      <c r="AA281" s="182"/>
      <c r="AB281" s="182"/>
      <c r="AC281" s="182"/>
      <c r="AD281" s="182"/>
      <c r="AE281" s="182"/>
      <c r="AF281" s="182"/>
      <c r="AG281" s="182"/>
      <c r="AH281" s="182"/>
      <c r="AI281" s="182"/>
      <c r="AJ281" s="182"/>
      <c r="AK281" s="182"/>
      <c r="AL281" s="182"/>
      <c r="AM281" s="182"/>
      <c r="AN281" s="182"/>
      <c r="AO281" s="182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 s="182"/>
      <c r="T282" s="182"/>
      <c r="U282" s="182"/>
      <c r="V282" s="182"/>
      <c r="W282" s="182"/>
      <c r="X282" s="182"/>
      <c r="Y282" s="182"/>
      <c r="Z282" s="182"/>
      <c r="AA282" s="182"/>
      <c r="AB282" s="182"/>
      <c r="AC282" s="182"/>
      <c r="AD282" s="182"/>
      <c r="AE282" s="182"/>
      <c r="AF282" s="182"/>
      <c r="AG282" s="182"/>
      <c r="AH282" s="182"/>
      <c r="AI282" s="182"/>
      <c r="AJ282" s="182"/>
      <c r="AK282" s="182"/>
      <c r="AL282" s="182"/>
      <c r="AM282" s="182"/>
      <c r="AN282" s="182"/>
      <c r="AO282" s="1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 s="182"/>
      <c r="T283" s="182"/>
      <c r="U283" s="182"/>
      <c r="V283" s="182"/>
      <c r="W283" s="182"/>
      <c r="X283" s="182"/>
      <c r="Y283" s="182"/>
      <c r="Z283" s="182"/>
      <c r="AA283" s="182"/>
      <c r="AB283" s="182"/>
      <c r="AC283" s="182"/>
      <c r="AD283" s="182"/>
      <c r="AE283" s="182"/>
      <c r="AF283" s="182"/>
      <c r="AG283" s="182"/>
      <c r="AH283" s="182"/>
      <c r="AI283" s="182"/>
      <c r="AJ283" s="182"/>
      <c r="AK283" s="182"/>
      <c r="AL283" s="182"/>
      <c r="AM283" s="182"/>
      <c r="AN283" s="182"/>
      <c r="AO283" s="182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 s="182"/>
      <c r="T284" s="182"/>
      <c r="U284" s="182"/>
      <c r="V284" s="182"/>
      <c r="W284" s="182"/>
      <c r="X284" s="182"/>
      <c r="Y284" s="182"/>
      <c r="Z284" s="182"/>
      <c r="AA284" s="182"/>
      <c r="AB284" s="182"/>
      <c r="AC284" s="182"/>
      <c r="AD284" s="182"/>
      <c r="AE284" s="182"/>
      <c r="AF284" s="182"/>
      <c r="AG284" s="182"/>
      <c r="AH284" s="182"/>
      <c r="AI284" s="182"/>
      <c r="AJ284" s="182"/>
      <c r="AK284" s="182"/>
      <c r="AL284" s="182"/>
      <c r="AM284" s="182"/>
      <c r="AN284" s="182"/>
      <c r="AO284" s="182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 s="182"/>
      <c r="T285" s="182"/>
      <c r="U285" s="182"/>
      <c r="V285" s="182"/>
      <c r="W285" s="182"/>
      <c r="X285" s="182"/>
      <c r="Y285" s="182"/>
      <c r="Z285" s="182"/>
      <c r="AA285" s="182"/>
      <c r="AB285" s="182"/>
      <c r="AC285" s="182"/>
      <c r="AD285" s="182"/>
      <c r="AE285" s="182"/>
      <c r="AF285" s="182"/>
      <c r="AG285" s="182"/>
      <c r="AH285" s="182"/>
      <c r="AI285" s="182"/>
      <c r="AJ285" s="182"/>
      <c r="AK285" s="182"/>
      <c r="AL285" s="182"/>
      <c r="AM285" s="182"/>
      <c r="AN285" s="182"/>
      <c r="AO285" s="182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 s="182"/>
      <c r="T286" s="182"/>
      <c r="U286" s="182"/>
      <c r="V286" s="182"/>
      <c r="W286" s="182"/>
      <c r="X286" s="182"/>
      <c r="Y286" s="182"/>
      <c r="Z286" s="182"/>
      <c r="AA286" s="182"/>
      <c r="AB286" s="182"/>
      <c r="AC286" s="182"/>
      <c r="AD286" s="182"/>
      <c r="AE286" s="182"/>
      <c r="AF286" s="182"/>
      <c r="AG286" s="182"/>
      <c r="AH286" s="182"/>
      <c r="AI286" s="182"/>
      <c r="AJ286" s="182"/>
      <c r="AK286" s="182"/>
      <c r="AL286" s="182"/>
      <c r="AM286" s="182"/>
      <c r="AN286" s="182"/>
      <c r="AO286" s="182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 s="182"/>
      <c r="T287" s="182"/>
      <c r="U287" s="182"/>
      <c r="V287" s="182"/>
      <c r="W287" s="182"/>
      <c r="X287" s="182"/>
      <c r="Y287" s="182"/>
      <c r="Z287" s="182"/>
      <c r="AA287" s="182"/>
      <c r="AB287" s="182"/>
      <c r="AC287" s="182"/>
      <c r="AD287" s="182"/>
      <c r="AE287" s="182"/>
      <c r="AF287" s="182"/>
      <c r="AG287" s="182"/>
      <c r="AH287" s="182"/>
      <c r="AI287" s="182"/>
      <c r="AJ287" s="182"/>
      <c r="AK287" s="182"/>
      <c r="AL287" s="182"/>
      <c r="AM287" s="182"/>
      <c r="AN287" s="182"/>
      <c r="AO287" s="182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 s="182"/>
      <c r="T288" s="182"/>
      <c r="U288" s="182"/>
      <c r="V288" s="182"/>
      <c r="W288" s="182"/>
      <c r="X288" s="182"/>
      <c r="Y288" s="182"/>
      <c r="Z288" s="182"/>
      <c r="AA288" s="182"/>
      <c r="AB288" s="182"/>
      <c r="AC288" s="182"/>
      <c r="AD288" s="182"/>
      <c r="AE288" s="182"/>
      <c r="AF288" s="182"/>
      <c r="AG288" s="182"/>
      <c r="AH288" s="182"/>
      <c r="AI288" s="182"/>
      <c r="AJ288" s="182"/>
      <c r="AK288" s="182"/>
      <c r="AL288" s="182"/>
      <c r="AM288" s="182"/>
      <c r="AN288" s="182"/>
      <c r="AO288" s="182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 s="182"/>
      <c r="T289" s="182"/>
      <c r="U289" s="182"/>
      <c r="V289" s="182"/>
      <c r="W289" s="182"/>
      <c r="X289" s="182"/>
      <c r="Y289" s="182"/>
      <c r="Z289" s="182"/>
      <c r="AA289" s="182"/>
      <c r="AB289" s="182"/>
      <c r="AC289" s="182"/>
      <c r="AD289" s="182"/>
      <c r="AE289" s="182"/>
      <c r="AF289" s="182"/>
      <c r="AG289" s="182"/>
      <c r="AH289" s="182"/>
      <c r="AI289" s="182"/>
      <c r="AJ289" s="182"/>
      <c r="AK289" s="182"/>
      <c r="AL289" s="182"/>
      <c r="AM289" s="182"/>
      <c r="AN289" s="182"/>
      <c r="AO289" s="182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 s="182"/>
      <c r="T290" s="182"/>
      <c r="U290" s="182"/>
      <c r="V290" s="182"/>
      <c r="W290" s="182"/>
      <c r="X290" s="182"/>
      <c r="Y290" s="182"/>
      <c r="Z290" s="182"/>
      <c r="AA290" s="182"/>
      <c r="AB290" s="182"/>
      <c r="AC290" s="182"/>
      <c r="AD290" s="182"/>
      <c r="AE290" s="182"/>
      <c r="AF290" s="182"/>
      <c r="AG290" s="182"/>
      <c r="AH290" s="182"/>
      <c r="AI290" s="182"/>
      <c r="AJ290" s="182"/>
      <c r="AK290" s="182"/>
      <c r="AL290" s="182"/>
      <c r="AM290" s="182"/>
      <c r="AN290" s="182"/>
      <c r="AO290" s="182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 s="182"/>
      <c r="T291" s="182"/>
      <c r="U291" s="182"/>
      <c r="V291" s="182"/>
      <c r="W291" s="182"/>
      <c r="X291" s="182"/>
      <c r="Y291" s="182"/>
      <c r="Z291" s="182"/>
      <c r="AA291" s="182"/>
      <c r="AB291" s="182"/>
      <c r="AC291" s="182"/>
      <c r="AD291" s="182"/>
      <c r="AE291" s="182"/>
      <c r="AF291" s="182"/>
      <c r="AG291" s="182"/>
      <c r="AH291" s="182"/>
      <c r="AI291" s="182"/>
      <c r="AJ291" s="182"/>
      <c r="AK291" s="182"/>
      <c r="AL291" s="182"/>
      <c r="AM291" s="182"/>
      <c r="AN291" s="182"/>
      <c r="AO291" s="182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 s="182"/>
      <c r="T292" s="182"/>
      <c r="U292" s="182"/>
      <c r="V292" s="182"/>
      <c r="W292" s="182"/>
      <c r="X292" s="182"/>
      <c r="Y292" s="182"/>
      <c r="Z292" s="182"/>
      <c r="AA292" s="182"/>
      <c r="AB292" s="182"/>
      <c r="AC292" s="182"/>
      <c r="AD292" s="182"/>
      <c r="AE292" s="182"/>
      <c r="AF292" s="182"/>
      <c r="AG292" s="182"/>
      <c r="AH292" s="182"/>
      <c r="AI292" s="182"/>
      <c r="AJ292" s="182"/>
      <c r="AK292" s="182"/>
      <c r="AL292" s="182"/>
      <c r="AM292" s="182"/>
      <c r="AN292" s="182"/>
      <c r="AO292" s="18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 s="182"/>
      <c r="T293" s="182"/>
      <c r="U293" s="182"/>
      <c r="V293" s="182"/>
      <c r="W293" s="182"/>
      <c r="X293" s="182"/>
      <c r="Y293" s="182"/>
      <c r="Z293" s="182"/>
      <c r="AA293" s="182"/>
      <c r="AB293" s="182"/>
      <c r="AC293" s="182"/>
      <c r="AD293" s="182"/>
      <c r="AE293" s="182"/>
      <c r="AF293" s="182"/>
      <c r="AG293" s="182"/>
      <c r="AH293" s="182"/>
      <c r="AI293" s="182"/>
      <c r="AJ293" s="182"/>
      <c r="AK293" s="182"/>
      <c r="AL293" s="182"/>
      <c r="AM293" s="182"/>
      <c r="AN293" s="182"/>
      <c r="AO293" s="182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 s="182"/>
      <c r="T294" s="182"/>
      <c r="U294" s="182"/>
      <c r="V294" s="182"/>
      <c r="W294" s="182"/>
      <c r="X294" s="182"/>
      <c r="Y294" s="182"/>
      <c r="Z294" s="182"/>
      <c r="AA294" s="182"/>
      <c r="AB294" s="182"/>
      <c r="AC294" s="182"/>
      <c r="AD294" s="182"/>
      <c r="AE294" s="182"/>
      <c r="AF294" s="182"/>
      <c r="AG294" s="182"/>
      <c r="AH294" s="182"/>
      <c r="AI294" s="182"/>
      <c r="AJ294" s="182"/>
      <c r="AK294" s="182"/>
      <c r="AL294" s="182"/>
      <c r="AM294" s="182"/>
      <c r="AN294" s="182"/>
      <c r="AO294" s="182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 s="182"/>
      <c r="T295" s="182"/>
      <c r="U295" s="182"/>
      <c r="V295" s="182"/>
      <c r="W295" s="182"/>
      <c r="X295" s="182"/>
      <c r="Y295" s="182"/>
      <c r="Z295" s="182"/>
      <c r="AA295" s="182"/>
      <c r="AB295" s="182"/>
      <c r="AC295" s="182"/>
      <c r="AD295" s="182"/>
      <c r="AE295" s="182"/>
      <c r="AF295" s="182"/>
      <c r="AG295" s="182"/>
      <c r="AH295" s="182"/>
      <c r="AI295" s="182"/>
      <c r="AJ295" s="182"/>
      <c r="AK295" s="182"/>
      <c r="AL295" s="182"/>
      <c r="AM295" s="182"/>
      <c r="AN295" s="182"/>
      <c r="AO295" s="182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 s="182"/>
      <c r="T296" s="182"/>
      <c r="U296" s="182"/>
      <c r="V296" s="182"/>
      <c r="W296" s="182"/>
      <c r="X296" s="182"/>
      <c r="Y296" s="182"/>
      <c r="Z296" s="182"/>
      <c r="AA296" s="182"/>
      <c r="AB296" s="182"/>
      <c r="AC296" s="182"/>
      <c r="AD296" s="182"/>
      <c r="AE296" s="182"/>
      <c r="AF296" s="182"/>
      <c r="AG296" s="182"/>
      <c r="AH296" s="182"/>
      <c r="AI296" s="182"/>
      <c r="AJ296" s="182"/>
      <c r="AK296" s="182"/>
      <c r="AL296" s="182"/>
      <c r="AM296" s="182"/>
      <c r="AN296" s="182"/>
      <c r="AO296" s="182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 s="182"/>
      <c r="T297" s="182"/>
      <c r="U297" s="182"/>
      <c r="V297" s="182"/>
      <c r="W297" s="182"/>
      <c r="X297" s="182"/>
      <c r="Y297" s="182"/>
      <c r="Z297" s="182"/>
      <c r="AA297" s="182"/>
      <c r="AB297" s="182"/>
      <c r="AC297" s="182"/>
      <c r="AD297" s="182"/>
      <c r="AE297" s="182"/>
      <c r="AF297" s="182"/>
      <c r="AG297" s="182"/>
      <c r="AH297" s="182"/>
      <c r="AI297" s="182"/>
      <c r="AJ297" s="182"/>
      <c r="AK297" s="182"/>
      <c r="AL297" s="182"/>
      <c r="AM297" s="182"/>
      <c r="AN297" s="182"/>
      <c r="AO297" s="182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 s="182"/>
      <c r="T298" s="182"/>
      <c r="U298" s="182"/>
      <c r="V298" s="182"/>
      <c r="W298" s="182"/>
      <c r="X298" s="182"/>
      <c r="Y298" s="182"/>
      <c r="Z298" s="182"/>
      <c r="AA298" s="182"/>
      <c r="AB298" s="182"/>
      <c r="AC298" s="182"/>
      <c r="AD298" s="182"/>
      <c r="AE298" s="182"/>
      <c r="AF298" s="182"/>
      <c r="AG298" s="182"/>
      <c r="AH298" s="182"/>
      <c r="AI298" s="182"/>
      <c r="AJ298" s="182"/>
      <c r="AK298" s="182"/>
      <c r="AL298" s="182"/>
      <c r="AM298" s="182"/>
      <c r="AN298" s="182"/>
      <c r="AO298" s="182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 s="182"/>
      <c r="T299" s="182"/>
      <c r="U299" s="182"/>
      <c r="V299" s="182"/>
      <c r="W299" s="182"/>
      <c r="X299" s="182"/>
      <c r="Y299" s="182"/>
      <c r="Z299" s="182"/>
      <c r="AA299" s="182"/>
      <c r="AB299" s="182"/>
      <c r="AC299" s="182"/>
      <c r="AD299" s="182"/>
      <c r="AE299" s="182"/>
      <c r="AF299" s="182"/>
      <c r="AG299" s="182"/>
      <c r="AH299" s="182"/>
      <c r="AI299" s="182"/>
      <c r="AJ299" s="182"/>
      <c r="AK299" s="182"/>
      <c r="AL299" s="182"/>
      <c r="AM299" s="182"/>
      <c r="AN299" s="182"/>
      <c r="AO299" s="182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 s="182"/>
      <c r="T300" s="182"/>
      <c r="U300" s="182"/>
      <c r="V300" s="182"/>
      <c r="W300" s="182"/>
      <c r="X300" s="182"/>
      <c r="Y300" s="182"/>
      <c r="Z300" s="182"/>
      <c r="AA300" s="182"/>
      <c r="AB300" s="182"/>
      <c r="AC300" s="182"/>
      <c r="AD300" s="182"/>
      <c r="AE300" s="182"/>
      <c r="AF300" s="182"/>
      <c r="AG300" s="182"/>
      <c r="AH300" s="182"/>
      <c r="AI300" s="182"/>
      <c r="AJ300" s="182"/>
      <c r="AK300" s="182"/>
      <c r="AL300" s="182"/>
      <c r="AM300" s="182"/>
      <c r="AN300" s="182"/>
      <c r="AO300" s="182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 s="182"/>
      <c r="T301" s="182"/>
      <c r="U301" s="182"/>
      <c r="V301" s="182"/>
      <c r="W301" s="182"/>
      <c r="X301" s="182"/>
      <c r="Y301" s="182"/>
      <c r="Z301" s="182"/>
      <c r="AA301" s="182"/>
      <c r="AB301" s="182"/>
      <c r="AC301" s="182"/>
      <c r="AD301" s="182"/>
      <c r="AE301" s="182"/>
      <c r="AF301" s="182"/>
      <c r="AG301" s="182"/>
      <c r="AH301" s="182"/>
      <c r="AI301" s="182"/>
      <c r="AJ301" s="182"/>
      <c r="AK301" s="182"/>
      <c r="AL301" s="182"/>
      <c r="AM301" s="182"/>
      <c r="AN301" s="182"/>
      <c r="AO301" s="182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 s="182"/>
      <c r="T302" s="182"/>
      <c r="U302" s="182"/>
      <c r="V302" s="182"/>
      <c r="W302" s="182"/>
      <c r="X302" s="182"/>
      <c r="Y302" s="182"/>
      <c r="Z302" s="182"/>
      <c r="AA302" s="182"/>
      <c r="AB302" s="182"/>
      <c r="AC302" s="182"/>
      <c r="AD302" s="182"/>
      <c r="AE302" s="182"/>
      <c r="AF302" s="182"/>
      <c r="AG302" s="182"/>
      <c r="AH302" s="182"/>
      <c r="AI302" s="182"/>
      <c r="AJ302" s="182"/>
      <c r="AK302" s="182"/>
      <c r="AL302" s="182"/>
      <c r="AM302" s="182"/>
      <c r="AN302" s="182"/>
      <c r="AO302" s="18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 s="182"/>
      <c r="T303" s="182"/>
      <c r="U303" s="182"/>
      <c r="V303" s="182"/>
      <c r="W303" s="182"/>
      <c r="X303" s="182"/>
      <c r="Y303" s="182"/>
      <c r="Z303" s="182"/>
      <c r="AA303" s="182"/>
      <c r="AB303" s="182"/>
      <c r="AC303" s="182"/>
      <c r="AD303" s="182"/>
      <c r="AE303" s="182"/>
      <c r="AF303" s="182"/>
      <c r="AG303" s="182"/>
      <c r="AH303" s="182"/>
      <c r="AI303" s="182"/>
      <c r="AJ303" s="182"/>
      <c r="AK303" s="182"/>
      <c r="AL303" s="182"/>
      <c r="AM303" s="182"/>
      <c r="AN303" s="182"/>
      <c r="AO303" s="182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 s="182"/>
      <c r="T304" s="182"/>
      <c r="U304" s="182"/>
      <c r="V304" s="182"/>
      <c r="W304" s="182"/>
      <c r="X304" s="182"/>
      <c r="Y304" s="182"/>
      <c r="Z304" s="182"/>
      <c r="AA304" s="182"/>
      <c r="AB304" s="182"/>
      <c r="AC304" s="182"/>
      <c r="AD304" s="182"/>
      <c r="AE304" s="182"/>
      <c r="AF304" s="182"/>
      <c r="AG304" s="182"/>
      <c r="AH304" s="182"/>
      <c r="AI304" s="182"/>
      <c r="AJ304" s="182"/>
      <c r="AK304" s="182"/>
      <c r="AL304" s="182"/>
      <c r="AM304" s="182"/>
      <c r="AN304" s="182"/>
      <c r="AO304" s="182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 s="182"/>
      <c r="T305" s="182"/>
      <c r="U305" s="182"/>
      <c r="V305" s="182"/>
      <c r="W305" s="182"/>
      <c r="X305" s="182"/>
      <c r="Y305" s="182"/>
      <c r="Z305" s="182"/>
      <c r="AA305" s="182"/>
      <c r="AB305" s="182"/>
      <c r="AC305" s="182"/>
      <c r="AD305" s="182"/>
      <c r="AE305" s="182"/>
      <c r="AF305" s="182"/>
      <c r="AG305" s="182"/>
      <c r="AH305" s="182"/>
      <c r="AI305" s="182"/>
      <c r="AJ305" s="182"/>
      <c r="AK305" s="182"/>
      <c r="AL305" s="182"/>
      <c r="AM305" s="182"/>
      <c r="AN305" s="182"/>
      <c r="AO305" s="182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 s="182"/>
      <c r="T306" s="182"/>
      <c r="U306" s="182"/>
      <c r="V306" s="182"/>
      <c r="W306" s="182"/>
      <c r="X306" s="182"/>
      <c r="Y306" s="182"/>
      <c r="Z306" s="182"/>
      <c r="AA306" s="182"/>
      <c r="AB306" s="182"/>
      <c r="AC306" s="182"/>
      <c r="AD306" s="182"/>
      <c r="AE306" s="182"/>
      <c r="AF306" s="182"/>
      <c r="AG306" s="182"/>
      <c r="AH306" s="182"/>
      <c r="AI306" s="182"/>
      <c r="AJ306" s="182"/>
      <c r="AK306" s="182"/>
      <c r="AL306" s="182"/>
      <c r="AM306" s="182"/>
      <c r="AN306" s="182"/>
      <c r="AO306" s="182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 s="182"/>
      <c r="T307" s="182"/>
      <c r="U307" s="182"/>
      <c r="V307" s="182"/>
      <c r="W307" s="182"/>
      <c r="X307" s="182"/>
      <c r="Y307" s="182"/>
      <c r="Z307" s="182"/>
      <c r="AA307" s="182"/>
      <c r="AB307" s="182"/>
      <c r="AC307" s="182"/>
      <c r="AD307" s="182"/>
      <c r="AE307" s="182"/>
      <c r="AF307" s="182"/>
      <c r="AG307" s="182"/>
      <c r="AH307" s="182"/>
      <c r="AI307" s="182"/>
      <c r="AJ307" s="182"/>
      <c r="AK307" s="182"/>
      <c r="AL307" s="182"/>
      <c r="AM307" s="182"/>
      <c r="AN307" s="182"/>
      <c r="AO307" s="182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 s="182"/>
      <c r="T308" s="182"/>
      <c r="U308" s="182"/>
      <c r="V308" s="182"/>
      <c r="W308" s="182"/>
      <c r="X308" s="182"/>
      <c r="Y308" s="182"/>
      <c r="Z308" s="182"/>
      <c r="AA308" s="182"/>
      <c r="AB308" s="182"/>
      <c r="AC308" s="182"/>
      <c r="AD308" s="182"/>
      <c r="AE308" s="182"/>
      <c r="AF308" s="182"/>
      <c r="AG308" s="182"/>
      <c r="AH308" s="182"/>
      <c r="AI308" s="182"/>
      <c r="AJ308" s="182"/>
      <c r="AK308" s="182"/>
      <c r="AL308" s="182"/>
      <c r="AM308" s="182"/>
      <c r="AN308" s="182"/>
      <c r="AO308" s="182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 s="182"/>
      <c r="T309" s="182"/>
      <c r="U309" s="182"/>
      <c r="V309" s="182"/>
      <c r="W309" s="182"/>
      <c r="X309" s="182"/>
      <c r="Y309" s="182"/>
      <c r="Z309" s="182"/>
      <c r="AA309" s="182"/>
      <c r="AB309" s="182"/>
      <c r="AC309" s="182"/>
      <c r="AD309" s="182"/>
      <c r="AE309" s="182"/>
      <c r="AF309" s="182"/>
      <c r="AG309" s="182"/>
      <c r="AH309" s="182"/>
      <c r="AI309" s="182"/>
      <c r="AJ309" s="182"/>
      <c r="AK309" s="182"/>
      <c r="AL309" s="182"/>
      <c r="AM309" s="182"/>
      <c r="AN309" s="182"/>
      <c r="AO309" s="182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 s="182"/>
      <c r="T310" s="182"/>
      <c r="U310" s="182"/>
      <c r="V310" s="182"/>
      <c r="W310" s="182"/>
      <c r="X310" s="182"/>
      <c r="Y310" s="182"/>
      <c r="Z310" s="182"/>
      <c r="AA310" s="182"/>
      <c r="AB310" s="182"/>
      <c r="AC310" s="182"/>
      <c r="AD310" s="182"/>
      <c r="AE310" s="182"/>
      <c r="AF310" s="182"/>
      <c r="AG310" s="182"/>
      <c r="AH310" s="182"/>
      <c r="AI310" s="182"/>
      <c r="AJ310" s="182"/>
      <c r="AK310" s="182"/>
      <c r="AL310" s="182"/>
      <c r="AM310" s="182"/>
      <c r="AN310" s="182"/>
      <c r="AO310" s="182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 s="182"/>
      <c r="T311" s="182"/>
      <c r="U311" s="182"/>
      <c r="V311" s="182"/>
      <c r="W311" s="182"/>
      <c r="X311" s="182"/>
      <c r="Y311" s="182"/>
      <c r="Z311" s="182"/>
      <c r="AA311" s="182"/>
      <c r="AB311" s="182"/>
      <c r="AC311" s="182"/>
      <c r="AD311" s="182"/>
      <c r="AE311" s="182"/>
      <c r="AF311" s="182"/>
      <c r="AG311" s="182"/>
      <c r="AH311" s="182"/>
      <c r="AI311" s="182"/>
      <c r="AJ311" s="182"/>
      <c r="AK311" s="182"/>
      <c r="AL311" s="182"/>
      <c r="AM311" s="182"/>
      <c r="AN311" s="182"/>
      <c r="AO311" s="182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 s="182"/>
      <c r="T312" s="182"/>
      <c r="U312" s="182"/>
      <c r="V312" s="182"/>
      <c r="W312" s="182"/>
      <c r="X312" s="182"/>
      <c r="Y312" s="182"/>
      <c r="Z312" s="182"/>
      <c r="AA312" s="182"/>
      <c r="AB312" s="182"/>
      <c r="AC312" s="182"/>
      <c r="AD312" s="182"/>
      <c r="AE312" s="182"/>
      <c r="AF312" s="182"/>
      <c r="AG312" s="182"/>
      <c r="AH312" s="182"/>
      <c r="AI312" s="182"/>
      <c r="AJ312" s="182"/>
      <c r="AK312" s="182"/>
      <c r="AL312" s="182"/>
      <c r="AM312" s="182"/>
      <c r="AN312" s="182"/>
      <c r="AO312" s="18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 s="182"/>
      <c r="V313" s="182"/>
      <c r="W313" s="182"/>
      <c r="X313" s="182"/>
      <c r="Y313" s="182"/>
      <c r="Z313" s="182"/>
      <c r="AA313" s="182"/>
      <c r="AB313" s="182"/>
      <c r="AC313" s="182"/>
      <c r="AE313" s="182"/>
      <c r="AF313" s="182"/>
      <c r="AH313" s="182"/>
      <c r="AI313" s="182"/>
      <c r="AM313" s="182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 s="182"/>
      <c r="T314" s="182"/>
      <c r="U314" s="182"/>
      <c r="V314" s="182"/>
      <c r="W314" s="182"/>
      <c r="X314" s="182"/>
      <c r="Y314" s="182"/>
      <c r="Z314" s="182"/>
      <c r="AA314" s="182"/>
      <c r="AB314" s="182"/>
      <c r="AC314" s="182"/>
      <c r="AD314" s="182"/>
      <c r="AE314" s="182"/>
      <c r="AF314" s="182"/>
      <c r="AG314" s="182"/>
      <c r="AH314" s="182"/>
      <c r="AI314" s="182"/>
      <c r="AJ314" s="182"/>
      <c r="AK314" s="182"/>
      <c r="AL314" s="182"/>
      <c r="AM314" s="182"/>
      <c r="AN314" s="182"/>
      <c r="AO314" s="182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 s="182"/>
      <c r="T315" s="182"/>
      <c r="U315" s="182"/>
      <c r="V315" s="182"/>
      <c r="W315" s="182"/>
      <c r="X315" s="182"/>
      <c r="Y315" s="182"/>
      <c r="Z315" s="182"/>
      <c r="AA315" s="182"/>
      <c r="AB315" s="182"/>
      <c r="AC315" s="182"/>
      <c r="AD315" s="182"/>
      <c r="AE315" s="182"/>
      <c r="AF315" s="182"/>
      <c r="AG315" s="182"/>
      <c r="AH315" s="182"/>
      <c r="AI315" s="182"/>
      <c r="AJ315" s="182"/>
      <c r="AK315" s="182"/>
      <c r="AL315" s="182"/>
      <c r="AM315" s="182"/>
      <c r="AN315" s="182"/>
      <c r="AO315" s="182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 s="182"/>
      <c r="T316" s="182"/>
      <c r="U316" s="182"/>
      <c r="V316" s="182"/>
      <c r="W316" s="182"/>
      <c r="X316" s="182"/>
      <c r="Y316" s="182"/>
      <c r="Z316" s="182"/>
      <c r="AA316" s="182"/>
      <c r="AB316" s="182"/>
      <c r="AC316" s="182"/>
      <c r="AD316" s="182"/>
      <c r="AE316" s="182"/>
      <c r="AF316" s="182"/>
      <c r="AG316" s="182"/>
      <c r="AH316" s="182"/>
      <c r="AI316" s="182"/>
      <c r="AJ316" s="182"/>
      <c r="AK316" s="182"/>
      <c r="AL316" s="182"/>
      <c r="AM316" s="182"/>
      <c r="AN316" s="182"/>
      <c r="AO316" s="182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 s="182"/>
      <c r="T317" s="182"/>
      <c r="U317" s="182"/>
      <c r="V317" s="182"/>
      <c r="W317" s="182"/>
      <c r="X317" s="182"/>
      <c r="Y317" s="182"/>
      <c r="Z317" s="182"/>
      <c r="AA317" s="182"/>
      <c r="AB317" s="182"/>
      <c r="AC317" s="182"/>
      <c r="AD317" s="182"/>
      <c r="AE317" s="182"/>
      <c r="AF317" s="182"/>
      <c r="AG317" s="182"/>
      <c r="AH317" s="182"/>
      <c r="AI317" s="182"/>
      <c r="AJ317" s="182"/>
      <c r="AK317" s="182"/>
      <c r="AL317" s="182"/>
      <c r="AM317" s="182"/>
      <c r="AN317" s="182"/>
      <c r="AO317" s="182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 s="182"/>
      <c r="T318" s="182"/>
      <c r="U318" s="182"/>
      <c r="V318" s="182"/>
      <c r="W318" s="182"/>
      <c r="X318" s="182"/>
      <c r="Y318" s="182"/>
      <c r="Z318" s="182"/>
      <c r="AA318" s="182"/>
      <c r="AB318" s="182"/>
      <c r="AC318" s="182"/>
      <c r="AD318" s="182"/>
      <c r="AE318" s="182"/>
      <c r="AF318" s="182"/>
      <c r="AG318" s="182"/>
      <c r="AH318" s="182"/>
      <c r="AI318" s="182"/>
      <c r="AJ318" s="182"/>
      <c r="AK318" s="182"/>
      <c r="AL318" s="182"/>
      <c r="AM318" s="182"/>
      <c r="AN318" s="182"/>
      <c r="AO318" s="182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 s="182"/>
      <c r="V319" s="182"/>
      <c r="W319" s="182"/>
      <c r="X319" s="182"/>
      <c r="Y319" s="182"/>
      <c r="Z319" s="182"/>
      <c r="AA319" s="182"/>
      <c r="AB319" s="182"/>
      <c r="AC319" s="182"/>
      <c r="AE319" s="182"/>
      <c r="AF319" s="182"/>
      <c r="AH319" s="182"/>
      <c r="AI319" s="182"/>
      <c r="AM319" s="182"/>
    </row>
    <row r="320" spans="1:9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R320"/>
      <c r="S320" s="182"/>
      <c r="V320" s="182"/>
      <c r="W320" s="182"/>
      <c r="X320" s="182"/>
      <c r="Y320" s="182"/>
      <c r="Z320" s="182"/>
      <c r="AA320" s="182"/>
      <c r="AB320" s="182"/>
      <c r="AC320" s="182"/>
      <c r="AE320" s="182"/>
      <c r="AF320" s="182"/>
      <c r="AH320" s="182"/>
      <c r="AI320" s="182"/>
      <c r="AM320" s="182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 s="182"/>
      <c r="T321" s="182"/>
      <c r="U321" s="182"/>
      <c r="V321" s="182"/>
      <c r="W321" s="182"/>
      <c r="X321" s="182"/>
      <c r="Y321" s="182"/>
      <c r="Z321" s="182"/>
      <c r="AA321" s="182"/>
      <c r="AB321" s="182"/>
      <c r="AC321" s="182"/>
      <c r="AD321" s="182"/>
      <c r="AE321" s="182"/>
      <c r="AF321" s="182"/>
      <c r="AG321" s="182"/>
      <c r="AH321" s="182"/>
      <c r="AI321" s="182"/>
      <c r="AJ321" s="182"/>
      <c r="AK321" s="182"/>
      <c r="AL321" s="182"/>
      <c r="AM321" s="182"/>
      <c r="AN321" s="182"/>
      <c r="AO321" s="182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 s="182"/>
      <c r="T322" s="182"/>
      <c r="U322" s="182"/>
      <c r="V322" s="182"/>
      <c r="W322" s="182"/>
      <c r="X322" s="182"/>
      <c r="Y322" s="182"/>
      <c r="Z322" s="182"/>
      <c r="AA322" s="182"/>
      <c r="AB322" s="182"/>
      <c r="AC322" s="182"/>
      <c r="AD322" s="182"/>
      <c r="AE322" s="182"/>
      <c r="AF322" s="182"/>
      <c r="AG322" s="182"/>
      <c r="AH322" s="182"/>
      <c r="AI322" s="182"/>
      <c r="AJ322" s="182"/>
      <c r="AK322" s="182"/>
      <c r="AL322" s="182"/>
      <c r="AM322" s="182"/>
      <c r="AN322" s="182"/>
      <c r="AO322" s="18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 s="182"/>
      <c r="T323" s="182"/>
      <c r="U323" s="182"/>
      <c r="V323" s="182"/>
      <c r="W323" s="182"/>
      <c r="X323" s="182"/>
      <c r="Y323" s="182"/>
      <c r="Z323" s="182"/>
      <c r="AA323" s="182"/>
      <c r="AB323" s="182"/>
      <c r="AC323" s="182"/>
      <c r="AD323" s="182"/>
      <c r="AE323" s="182"/>
      <c r="AF323" s="182"/>
      <c r="AG323" s="182"/>
      <c r="AH323" s="182"/>
      <c r="AI323" s="182"/>
      <c r="AJ323" s="182"/>
      <c r="AK323" s="182"/>
      <c r="AL323" s="182"/>
      <c r="AM323" s="182"/>
      <c r="AN323" s="182"/>
      <c r="AO323" s="182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 s="182"/>
      <c r="T324" s="182"/>
      <c r="U324" s="182"/>
      <c r="V324" s="182"/>
      <c r="W324" s="182"/>
      <c r="X324" s="182"/>
      <c r="Y324" s="182"/>
      <c r="Z324" s="182"/>
      <c r="AA324" s="182"/>
      <c r="AB324" s="182"/>
      <c r="AC324" s="182"/>
      <c r="AD324" s="182"/>
      <c r="AE324" s="182"/>
      <c r="AF324" s="182"/>
      <c r="AG324" s="182"/>
      <c r="AH324" s="182"/>
      <c r="AI324" s="182"/>
      <c r="AJ324" s="182"/>
      <c r="AK324" s="182"/>
      <c r="AL324" s="182"/>
      <c r="AM324" s="182"/>
      <c r="AN324" s="182"/>
      <c r="AO324" s="182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 s="182"/>
      <c r="T325" s="182"/>
      <c r="U325" s="182"/>
      <c r="V325" s="182"/>
      <c r="W325" s="182"/>
      <c r="X325" s="182"/>
      <c r="Y325" s="182"/>
      <c r="Z325" s="182"/>
      <c r="AA325" s="182"/>
      <c r="AB325" s="182"/>
      <c r="AC325" s="182"/>
      <c r="AD325" s="182"/>
      <c r="AE325" s="182"/>
      <c r="AF325" s="182"/>
      <c r="AG325" s="182"/>
      <c r="AH325" s="182"/>
      <c r="AI325" s="182"/>
      <c r="AJ325" s="182"/>
      <c r="AK325" s="182"/>
      <c r="AL325" s="182"/>
      <c r="AM325" s="182"/>
      <c r="AN325" s="182"/>
      <c r="AO325" s="182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 s="182"/>
      <c r="T326" s="182"/>
      <c r="U326" s="182"/>
      <c r="V326" s="182"/>
      <c r="W326" s="182"/>
      <c r="X326" s="182"/>
      <c r="Y326" s="182"/>
      <c r="Z326" s="182"/>
      <c r="AA326" s="182"/>
      <c r="AB326" s="182"/>
      <c r="AC326" s="182"/>
      <c r="AD326" s="182"/>
      <c r="AE326" s="182"/>
      <c r="AF326" s="182"/>
      <c r="AG326" s="182"/>
      <c r="AH326" s="182"/>
      <c r="AI326" s="182"/>
      <c r="AJ326" s="182"/>
      <c r="AK326" s="182"/>
      <c r="AL326" s="182"/>
      <c r="AM326" s="182"/>
      <c r="AN326" s="182"/>
      <c r="AO326" s="182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R327"/>
      <c r="S327" s="182"/>
      <c r="V327" s="182"/>
      <c r="W327" s="182"/>
      <c r="X327" s="182"/>
      <c r="Y327" s="182"/>
      <c r="Z327" s="182"/>
      <c r="AA327" s="182"/>
      <c r="AB327" s="182"/>
      <c r="AC327" s="182"/>
      <c r="AE327" s="182"/>
      <c r="AF327" s="182"/>
      <c r="AH327" s="182"/>
      <c r="AI327" s="182"/>
      <c r="AM327" s="182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 s="182"/>
      <c r="T328" s="182"/>
      <c r="U328" s="182"/>
      <c r="V328" s="182"/>
      <c r="W328" s="182"/>
      <c r="X328" s="182"/>
      <c r="Y328" s="182"/>
      <c r="Z328" s="182"/>
      <c r="AA328" s="182"/>
      <c r="AB328" s="182"/>
      <c r="AC328" s="182"/>
      <c r="AD328" s="182"/>
      <c r="AE328" s="182"/>
      <c r="AF328" s="182"/>
      <c r="AG328" s="182"/>
      <c r="AH328" s="182"/>
      <c r="AI328" s="182"/>
      <c r="AJ328" s="182"/>
      <c r="AK328" s="182"/>
      <c r="AL328" s="182"/>
      <c r="AM328" s="182"/>
      <c r="AN328" s="182"/>
      <c r="AO328" s="182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R329"/>
      <c r="S329" s="182"/>
      <c r="V329" s="182"/>
      <c r="W329" s="182"/>
      <c r="X329" s="182"/>
      <c r="Y329" s="182"/>
      <c r="Z329" s="182"/>
      <c r="AA329" s="182"/>
      <c r="AB329" s="182"/>
      <c r="AC329" s="182"/>
      <c r="AE329" s="182"/>
      <c r="AF329" s="182"/>
      <c r="AH329" s="182"/>
      <c r="AI329" s="182"/>
      <c r="AM329" s="182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 s="182"/>
      <c r="T330" s="182"/>
      <c r="U330" s="182"/>
      <c r="V330" s="182"/>
      <c r="W330" s="182"/>
      <c r="X330" s="182"/>
      <c r="Y330" s="182"/>
      <c r="Z330" s="182"/>
      <c r="AA330" s="182"/>
      <c r="AB330" s="182"/>
      <c r="AC330" s="182"/>
      <c r="AD330" s="182"/>
      <c r="AE330" s="182"/>
      <c r="AF330" s="182"/>
      <c r="AG330" s="182"/>
      <c r="AH330" s="182"/>
      <c r="AI330" s="182"/>
      <c r="AJ330" s="182"/>
      <c r="AK330" s="182"/>
      <c r="AL330" s="182"/>
      <c r="AM330" s="182"/>
      <c r="AN330" s="182"/>
      <c r="AO330" s="182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R331"/>
      <c r="S331" s="182"/>
      <c r="V331" s="182"/>
      <c r="W331" s="182"/>
      <c r="X331" s="182"/>
      <c r="Y331" s="182"/>
      <c r="Z331" s="182"/>
      <c r="AA331" s="182"/>
      <c r="AB331" s="182"/>
      <c r="AC331" s="182"/>
      <c r="AE331" s="182"/>
      <c r="AF331" s="182"/>
      <c r="AH331" s="182"/>
      <c r="AI331" s="182"/>
      <c r="AM331" s="182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 s="182"/>
      <c r="T332" s="182"/>
      <c r="U332" s="182"/>
      <c r="V332" s="182"/>
      <c r="W332" s="182"/>
      <c r="X332" s="182"/>
      <c r="Y332" s="182"/>
      <c r="Z332" s="182"/>
      <c r="AA332" s="182"/>
      <c r="AB332" s="182"/>
      <c r="AC332" s="182"/>
      <c r="AD332" s="182"/>
      <c r="AE332" s="182"/>
      <c r="AF332" s="182"/>
      <c r="AG332" s="182"/>
      <c r="AH332" s="182"/>
      <c r="AI332" s="182"/>
      <c r="AJ332" s="182"/>
      <c r="AK332" s="182"/>
      <c r="AL332" s="182"/>
      <c r="AM332" s="182"/>
      <c r="AN332" s="182"/>
      <c r="AO332" s="18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R333"/>
      <c r="S333" s="182"/>
      <c r="V333" s="182"/>
      <c r="W333" s="182"/>
      <c r="X333" s="182"/>
      <c r="Y333" s="182"/>
      <c r="Z333" s="182"/>
      <c r="AA333" s="182"/>
      <c r="AB333" s="182"/>
      <c r="AC333" s="182"/>
      <c r="AE333" s="182"/>
      <c r="AF333" s="182"/>
      <c r="AH333" s="182"/>
      <c r="AI333" s="182"/>
      <c r="AM333" s="182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 s="182"/>
      <c r="T334" s="182"/>
      <c r="U334" s="182"/>
      <c r="V334" s="182"/>
      <c r="W334" s="182"/>
      <c r="X334" s="182"/>
      <c r="Y334" s="182"/>
      <c r="Z334" s="182"/>
      <c r="AA334" s="182"/>
      <c r="AB334" s="182"/>
      <c r="AC334" s="182"/>
      <c r="AD334" s="182"/>
      <c r="AE334" s="182"/>
      <c r="AF334" s="182"/>
      <c r="AG334" s="182"/>
      <c r="AH334" s="182"/>
      <c r="AI334" s="182"/>
      <c r="AJ334" s="182"/>
      <c r="AK334" s="182"/>
      <c r="AL334" s="182"/>
      <c r="AM334" s="182"/>
      <c r="AN334" s="182"/>
      <c r="AO334" s="182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 s="182"/>
      <c r="T335" s="182"/>
      <c r="U335" s="182"/>
      <c r="V335" s="182"/>
      <c r="W335" s="182"/>
      <c r="X335" s="182"/>
      <c r="Y335" s="182"/>
      <c r="Z335" s="182"/>
      <c r="AA335" s="182"/>
      <c r="AB335" s="182"/>
      <c r="AC335" s="182"/>
      <c r="AD335" s="182"/>
      <c r="AE335" s="182"/>
      <c r="AF335" s="182"/>
      <c r="AG335" s="182"/>
      <c r="AH335" s="182"/>
      <c r="AI335" s="182"/>
      <c r="AJ335" s="182"/>
      <c r="AK335" s="182"/>
      <c r="AL335" s="182"/>
      <c r="AM335" s="182"/>
      <c r="AN335" s="182"/>
      <c r="AO335" s="182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R336"/>
      <c r="S336" s="182"/>
      <c r="V336" s="182"/>
      <c r="W336" s="182"/>
      <c r="X336" s="182"/>
      <c r="Y336" s="182"/>
      <c r="Z336" s="182"/>
      <c r="AA336" s="182"/>
      <c r="AB336" s="182"/>
      <c r="AC336" s="182"/>
      <c r="AE336" s="182"/>
      <c r="AF336" s="182"/>
      <c r="AH336" s="182"/>
      <c r="AI336" s="182"/>
      <c r="AM336" s="182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 s="182"/>
      <c r="T337" s="182"/>
      <c r="U337" s="182"/>
      <c r="V337" s="182"/>
      <c r="W337" s="182"/>
      <c r="X337" s="182"/>
      <c r="Y337" s="182"/>
      <c r="Z337" s="182"/>
      <c r="AA337" s="182"/>
      <c r="AB337" s="182"/>
      <c r="AC337" s="182"/>
      <c r="AD337" s="182"/>
      <c r="AE337" s="182"/>
      <c r="AF337" s="182"/>
      <c r="AG337" s="182"/>
      <c r="AH337" s="182"/>
      <c r="AI337" s="182"/>
      <c r="AJ337" s="182"/>
      <c r="AK337" s="182"/>
      <c r="AL337" s="182"/>
      <c r="AM337" s="182"/>
      <c r="AN337" s="182"/>
      <c r="AO337" s="182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R338"/>
      <c r="S338" s="182"/>
      <c r="V338" s="182"/>
      <c r="W338" s="182"/>
      <c r="X338" s="182"/>
      <c r="Y338" s="182"/>
      <c r="Z338" s="182"/>
      <c r="AA338" s="182"/>
      <c r="AB338" s="182"/>
      <c r="AC338" s="182"/>
      <c r="AE338" s="182"/>
      <c r="AF338" s="182"/>
      <c r="AH338" s="182"/>
      <c r="AI338" s="182"/>
      <c r="AM338" s="182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 s="182"/>
      <c r="T339" s="182"/>
      <c r="U339" s="182"/>
      <c r="V339" s="182"/>
      <c r="W339" s="182"/>
      <c r="X339" s="182"/>
      <c r="Y339" s="182"/>
      <c r="Z339" s="182"/>
      <c r="AA339" s="182"/>
      <c r="AB339" s="182"/>
      <c r="AC339" s="182"/>
      <c r="AD339" s="182"/>
      <c r="AE339" s="182"/>
      <c r="AF339" s="182"/>
      <c r="AG339" s="182"/>
      <c r="AH339" s="182"/>
      <c r="AI339" s="182"/>
      <c r="AJ339" s="182"/>
      <c r="AK339" s="182"/>
      <c r="AL339" s="182"/>
      <c r="AM339" s="182"/>
      <c r="AN339" s="182"/>
      <c r="AO339" s="182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 s="182"/>
      <c r="T340" s="182"/>
      <c r="U340" s="182"/>
      <c r="V340" s="182"/>
      <c r="W340" s="182"/>
      <c r="X340" s="182"/>
      <c r="Y340" s="182"/>
      <c r="Z340" s="182"/>
      <c r="AA340" s="182"/>
      <c r="AB340" s="182"/>
      <c r="AC340" s="182"/>
      <c r="AD340" s="182"/>
      <c r="AE340" s="182"/>
      <c r="AF340" s="182"/>
      <c r="AG340" s="182"/>
      <c r="AH340" s="182"/>
      <c r="AI340" s="182"/>
      <c r="AJ340" s="182"/>
      <c r="AK340" s="182"/>
      <c r="AL340" s="182"/>
      <c r="AM340" s="182"/>
      <c r="AN340" s="182"/>
      <c r="AO340" s="182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 s="182"/>
      <c r="T341" s="182"/>
      <c r="U341" s="182"/>
      <c r="V341" s="182"/>
      <c r="W341" s="182"/>
      <c r="X341" s="182"/>
      <c r="Y341" s="182"/>
      <c r="Z341" s="182"/>
      <c r="AA341" s="182"/>
      <c r="AB341" s="182"/>
      <c r="AC341" s="182"/>
      <c r="AD341" s="182"/>
      <c r="AE341" s="182"/>
      <c r="AF341" s="182"/>
      <c r="AG341" s="182"/>
      <c r="AH341" s="182"/>
      <c r="AI341" s="182"/>
      <c r="AJ341" s="182"/>
      <c r="AK341" s="182"/>
      <c r="AL341" s="182"/>
      <c r="AM341" s="182"/>
      <c r="AN341" s="182"/>
      <c r="AO341" s="182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R342"/>
      <c r="S342" s="182"/>
      <c r="V342" s="182"/>
      <c r="W342" s="182"/>
      <c r="X342" s="182"/>
      <c r="Y342" s="182"/>
      <c r="Z342" s="182"/>
      <c r="AA342" s="182"/>
      <c r="AB342" s="182"/>
      <c r="AC342" s="182"/>
      <c r="AE342" s="182"/>
      <c r="AF342" s="182"/>
      <c r="AH342" s="182"/>
      <c r="AI342" s="182"/>
      <c r="AM342" s="18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 s="182"/>
      <c r="T343" s="182"/>
      <c r="U343" s="182"/>
      <c r="V343" s="182"/>
      <c r="W343" s="182"/>
      <c r="X343" s="182"/>
      <c r="Y343" s="182"/>
      <c r="Z343" s="182"/>
      <c r="AA343" s="182"/>
      <c r="AB343" s="182"/>
      <c r="AC343" s="182"/>
      <c r="AD343" s="182"/>
      <c r="AE343" s="182"/>
      <c r="AF343" s="182"/>
      <c r="AG343" s="182"/>
      <c r="AH343" s="182"/>
      <c r="AI343" s="182"/>
      <c r="AJ343" s="182"/>
      <c r="AK343" s="182"/>
      <c r="AL343" s="182"/>
      <c r="AM343" s="182"/>
      <c r="AN343" s="182"/>
      <c r="AO343" s="182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 s="182"/>
      <c r="T344" s="182"/>
      <c r="U344" s="182"/>
      <c r="V344" s="182"/>
      <c r="W344" s="182"/>
      <c r="X344" s="182"/>
      <c r="Y344" s="182"/>
      <c r="Z344" s="182"/>
      <c r="AA344" s="182"/>
      <c r="AB344" s="182"/>
      <c r="AC344" s="182"/>
      <c r="AD344" s="182"/>
      <c r="AE344" s="182"/>
      <c r="AF344" s="182"/>
      <c r="AG344" s="182"/>
      <c r="AH344" s="182"/>
      <c r="AI344" s="182"/>
      <c r="AJ344" s="182"/>
      <c r="AK344" s="182"/>
      <c r="AL344" s="182"/>
      <c r="AM344" s="182"/>
      <c r="AN344" s="182"/>
      <c r="AO344" s="182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 s="182"/>
      <c r="T345" s="182"/>
      <c r="U345" s="182"/>
      <c r="V345" s="182"/>
      <c r="W345" s="182"/>
      <c r="X345" s="182"/>
      <c r="Y345" s="182"/>
      <c r="Z345" s="182"/>
      <c r="AA345" s="182"/>
      <c r="AB345" s="182"/>
      <c r="AC345" s="182"/>
      <c r="AD345" s="182"/>
      <c r="AE345" s="182"/>
      <c r="AF345" s="182"/>
      <c r="AG345" s="182"/>
      <c r="AH345" s="182"/>
      <c r="AI345" s="182"/>
      <c r="AJ345" s="182"/>
      <c r="AK345" s="182"/>
      <c r="AL345" s="182"/>
      <c r="AM345" s="182"/>
      <c r="AN345" s="182"/>
      <c r="AO345" s="182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R346"/>
      <c r="S346" s="182"/>
      <c r="V346" s="182"/>
      <c r="W346" s="182"/>
      <c r="X346" s="182"/>
      <c r="Y346" s="182"/>
      <c r="Z346" s="182"/>
      <c r="AA346" s="182"/>
      <c r="AB346" s="182"/>
      <c r="AC346" s="182"/>
      <c r="AE346" s="182"/>
      <c r="AF346" s="182"/>
      <c r="AH346" s="182"/>
      <c r="AI346" s="182"/>
      <c r="AM346" s="182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 s="182"/>
      <c r="T347" s="182"/>
      <c r="U347" s="182"/>
      <c r="V347" s="182"/>
      <c r="W347" s="182"/>
      <c r="X347" s="182"/>
      <c r="Y347" s="182"/>
      <c r="Z347" s="182"/>
      <c r="AA347" s="182"/>
      <c r="AB347" s="182"/>
      <c r="AC347" s="182"/>
      <c r="AD347" s="182"/>
      <c r="AE347" s="182"/>
      <c r="AF347" s="182"/>
      <c r="AG347" s="182"/>
      <c r="AH347" s="182"/>
      <c r="AI347" s="182"/>
      <c r="AJ347" s="182"/>
      <c r="AK347" s="182"/>
      <c r="AL347" s="182"/>
      <c r="AM347" s="182"/>
      <c r="AN347" s="182"/>
      <c r="AO347" s="182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 s="182"/>
      <c r="T348" s="182"/>
      <c r="U348" s="182"/>
      <c r="V348" s="182"/>
      <c r="W348" s="182"/>
      <c r="X348" s="182"/>
      <c r="Y348" s="182"/>
      <c r="Z348" s="182"/>
      <c r="AA348" s="182"/>
      <c r="AB348" s="182"/>
      <c r="AC348" s="182"/>
      <c r="AD348" s="182"/>
      <c r="AE348" s="182"/>
      <c r="AF348" s="182"/>
      <c r="AG348" s="182"/>
      <c r="AH348" s="182"/>
      <c r="AI348" s="182"/>
      <c r="AJ348" s="182"/>
      <c r="AK348" s="182"/>
      <c r="AL348" s="182"/>
      <c r="AM348" s="182"/>
      <c r="AN348" s="182"/>
      <c r="AO348" s="182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 s="182"/>
      <c r="T349" s="182"/>
      <c r="U349" s="182"/>
      <c r="V349" s="182"/>
      <c r="W349" s="182"/>
      <c r="X349" s="182"/>
      <c r="Y349" s="182"/>
      <c r="Z349" s="182"/>
      <c r="AA349" s="182"/>
      <c r="AB349" s="182"/>
      <c r="AC349" s="182"/>
      <c r="AD349" s="182"/>
      <c r="AE349" s="182"/>
      <c r="AF349" s="182"/>
      <c r="AG349" s="182"/>
      <c r="AH349" s="182"/>
      <c r="AI349" s="182"/>
      <c r="AJ349" s="182"/>
      <c r="AK349" s="182"/>
      <c r="AL349" s="182"/>
      <c r="AM349" s="182"/>
      <c r="AN349" s="182"/>
      <c r="AO349" s="182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 s="182"/>
      <c r="T350" s="182"/>
      <c r="U350" s="182"/>
      <c r="V350" s="182"/>
      <c r="W350" s="182"/>
      <c r="X350" s="182"/>
      <c r="Y350" s="182"/>
      <c r="Z350" s="182"/>
      <c r="AA350" s="182"/>
      <c r="AB350" s="182"/>
      <c r="AC350" s="182"/>
      <c r="AD350" s="182"/>
      <c r="AE350" s="182"/>
      <c r="AF350" s="182"/>
      <c r="AG350" s="182"/>
      <c r="AH350" s="182"/>
      <c r="AI350" s="182"/>
      <c r="AJ350" s="182"/>
      <c r="AK350" s="182"/>
      <c r="AL350" s="182"/>
      <c r="AM350" s="182"/>
      <c r="AN350" s="182"/>
      <c r="AO350" s="182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R351"/>
      <c r="S351" s="182"/>
      <c r="V351" s="182"/>
      <c r="W351" s="182"/>
      <c r="X351" s="182"/>
      <c r="Y351" s="182"/>
      <c r="Z351" s="182"/>
      <c r="AA351" s="182"/>
      <c r="AB351" s="182"/>
      <c r="AC351" s="182"/>
      <c r="AE351" s="182"/>
      <c r="AF351" s="182"/>
      <c r="AH351" s="182"/>
      <c r="AI351" s="182"/>
      <c r="AM351" s="182"/>
    </row>
    <row r="352" spans="1:9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R352"/>
      <c r="S352" s="182"/>
      <c r="V352" s="182"/>
      <c r="W352" s="182"/>
      <c r="X352" s="182"/>
      <c r="Y352" s="182"/>
      <c r="Z352" s="182"/>
      <c r="AA352" s="182"/>
      <c r="AB352" s="182"/>
      <c r="AC352" s="182"/>
      <c r="AE352" s="182"/>
      <c r="AF352" s="182"/>
      <c r="AH352" s="182"/>
      <c r="AI352" s="182"/>
      <c r="AM352" s="18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 s="182"/>
      <c r="T353" s="182"/>
      <c r="U353" s="182"/>
      <c r="V353" s="182"/>
      <c r="W353" s="182"/>
      <c r="X353" s="182"/>
      <c r="Y353" s="182"/>
      <c r="Z353" s="182"/>
      <c r="AA353" s="182"/>
      <c r="AB353" s="182"/>
      <c r="AC353" s="182"/>
      <c r="AD353" s="182"/>
      <c r="AE353" s="182"/>
      <c r="AF353" s="182"/>
      <c r="AG353" s="182"/>
      <c r="AH353" s="182"/>
      <c r="AI353" s="182"/>
      <c r="AJ353" s="182"/>
      <c r="AK353" s="182"/>
      <c r="AL353" s="182"/>
      <c r="AM353" s="182"/>
      <c r="AN353" s="182"/>
      <c r="AO353" s="182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R354"/>
      <c r="S354" s="182"/>
      <c r="V354" s="182"/>
      <c r="W354" s="182"/>
      <c r="X354" s="182"/>
      <c r="Y354" s="182"/>
      <c r="Z354" s="182"/>
      <c r="AA354" s="182"/>
      <c r="AB354" s="182"/>
      <c r="AC354" s="182"/>
      <c r="AE354" s="182"/>
      <c r="AF354" s="182"/>
      <c r="AH354" s="182"/>
      <c r="AI354" s="182"/>
      <c r="AM354" s="182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 s="182"/>
      <c r="T355" s="182"/>
      <c r="U355" s="182"/>
      <c r="V355" s="182"/>
      <c r="W355" s="182"/>
      <c r="X355" s="182"/>
      <c r="Y355" s="182"/>
      <c r="Z355" s="182"/>
      <c r="AA355" s="182"/>
      <c r="AB355" s="182"/>
      <c r="AC355" s="182"/>
      <c r="AD355" s="182"/>
      <c r="AE355" s="182"/>
      <c r="AF355" s="182"/>
      <c r="AG355" s="182"/>
      <c r="AH355" s="182"/>
      <c r="AI355" s="182"/>
      <c r="AJ355" s="182"/>
      <c r="AK355" s="182"/>
      <c r="AL355" s="182"/>
      <c r="AM355" s="182"/>
      <c r="AN355" s="182"/>
      <c r="AO355" s="182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 s="182"/>
      <c r="T356" s="182"/>
      <c r="U356" s="182"/>
      <c r="V356" s="182"/>
      <c r="W356" s="182"/>
      <c r="X356" s="182"/>
      <c r="Y356" s="182"/>
      <c r="Z356" s="182"/>
      <c r="AA356" s="182"/>
      <c r="AB356" s="182"/>
      <c r="AC356" s="182"/>
      <c r="AD356" s="182"/>
      <c r="AE356" s="182"/>
      <c r="AF356" s="182"/>
      <c r="AG356" s="182"/>
      <c r="AH356" s="182"/>
      <c r="AI356" s="182"/>
      <c r="AJ356" s="182"/>
      <c r="AK356" s="182"/>
      <c r="AL356" s="182"/>
      <c r="AM356" s="182"/>
      <c r="AN356" s="182"/>
      <c r="AO356" s="182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 s="182"/>
      <c r="T357" s="182"/>
      <c r="U357" s="182"/>
      <c r="V357" s="182"/>
      <c r="W357" s="182"/>
      <c r="X357" s="182"/>
      <c r="Y357" s="182"/>
      <c r="Z357" s="182"/>
      <c r="AA357" s="182"/>
      <c r="AB357" s="182"/>
      <c r="AC357" s="182"/>
      <c r="AD357" s="182"/>
      <c r="AE357" s="182"/>
      <c r="AF357" s="182"/>
      <c r="AG357" s="182"/>
      <c r="AH357" s="182"/>
      <c r="AI357" s="182"/>
      <c r="AJ357" s="182"/>
      <c r="AK357" s="182"/>
      <c r="AL357" s="182"/>
      <c r="AM357" s="182"/>
      <c r="AN357" s="182"/>
      <c r="AO357" s="182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R358"/>
      <c r="S358" s="182"/>
      <c r="V358" s="182"/>
      <c r="W358" s="182"/>
      <c r="X358" s="182"/>
      <c r="Y358" s="182"/>
      <c r="Z358" s="182"/>
      <c r="AA358" s="182"/>
      <c r="AB358" s="182"/>
      <c r="AC358" s="182"/>
      <c r="AE358" s="182"/>
      <c r="AF358" s="182"/>
      <c r="AH358" s="182"/>
      <c r="AI358" s="182"/>
      <c r="AM358" s="182"/>
    </row>
    <row r="359" spans="1:9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R359"/>
      <c r="S359" s="182"/>
      <c r="V359" s="182"/>
      <c r="W359" s="182"/>
      <c r="X359" s="182"/>
      <c r="Y359" s="182"/>
      <c r="Z359" s="182"/>
      <c r="AA359" s="182"/>
      <c r="AB359" s="182"/>
      <c r="AC359" s="182"/>
      <c r="AE359" s="182"/>
      <c r="AF359" s="182"/>
      <c r="AH359" s="182"/>
      <c r="AI359" s="182"/>
      <c r="AM359" s="182"/>
    </row>
    <row r="360" spans="1:9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R360"/>
      <c r="S360" s="182"/>
      <c r="V360" s="182"/>
      <c r="W360" s="182"/>
      <c r="X360" s="182"/>
      <c r="Y360" s="182"/>
      <c r="Z360" s="182"/>
      <c r="AA360" s="182"/>
      <c r="AB360" s="182"/>
      <c r="AC360" s="182"/>
      <c r="AE360" s="182"/>
      <c r="AF360" s="182"/>
      <c r="AH360" s="182"/>
      <c r="AI360" s="182"/>
      <c r="AM360" s="182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 s="182"/>
      <c r="T361" s="182"/>
      <c r="U361" s="182"/>
      <c r="V361" s="182"/>
      <c r="W361" s="182"/>
      <c r="X361" s="182"/>
      <c r="Y361" s="182"/>
      <c r="Z361" s="182"/>
      <c r="AA361" s="182"/>
      <c r="AB361" s="182"/>
      <c r="AC361" s="182"/>
      <c r="AD361" s="182"/>
      <c r="AE361" s="182"/>
      <c r="AF361" s="182"/>
      <c r="AG361" s="182"/>
      <c r="AH361" s="182"/>
      <c r="AI361" s="182"/>
      <c r="AJ361" s="182"/>
      <c r="AK361" s="182"/>
      <c r="AL361" s="182"/>
      <c r="AM361" s="182"/>
      <c r="AN361" s="182"/>
      <c r="AO361" s="182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R362"/>
      <c r="S362" s="182"/>
      <c r="V362" s="182"/>
      <c r="W362" s="182"/>
      <c r="X362" s="182"/>
      <c r="Y362" s="182"/>
      <c r="Z362" s="182"/>
      <c r="AA362" s="182"/>
      <c r="AB362" s="182"/>
      <c r="AC362" s="182"/>
      <c r="AE362" s="182"/>
      <c r="AF362" s="182"/>
      <c r="AH362" s="182"/>
      <c r="AI362" s="182"/>
      <c r="AM362" s="182"/>
    </row>
    <row r="363" spans="1:9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R363"/>
      <c r="S363" s="182"/>
      <c r="V363" s="182"/>
      <c r="W363" s="182"/>
      <c r="X363" s="182"/>
      <c r="Y363" s="182"/>
      <c r="Z363" s="182"/>
      <c r="AA363" s="182"/>
      <c r="AB363" s="182"/>
      <c r="AC363" s="182"/>
      <c r="AE363" s="182"/>
      <c r="AF363" s="182"/>
      <c r="AH363" s="182"/>
      <c r="AI363" s="182"/>
      <c r="AM363" s="182"/>
    </row>
    <row r="364" spans="1:9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R364"/>
      <c r="S364" s="182"/>
      <c r="V364" s="182"/>
      <c r="W364" s="182"/>
      <c r="X364" s="182"/>
      <c r="Y364" s="182"/>
      <c r="Z364" s="182"/>
      <c r="AA364" s="182"/>
      <c r="AB364" s="182"/>
      <c r="AC364" s="182"/>
      <c r="AE364" s="182"/>
      <c r="AF364" s="182"/>
      <c r="AH364" s="182"/>
      <c r="AI364" s="182"/>
      <c r="AM364" s="182"/>
    </row>
    <row r="365" spans="1:9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R365"/>
      <c r="S365" s="182"/>
      <c r="V365" s="182"/>
      <c r="W365" s="182"/>
      <c r="X365" s="182"/>
      <c r="Y365" s="182"/>
      <c r="Z365" s="182"/>
      <c r="AA365" s="182"/>
      <c r="AB365" s="182"/>
      <c r="AC365" s="182"/>
      <c r="AE365" s="182"/>
      <c r="AF365" s="182"/>
      <c r="AH365" s="182"/>
      <c r="AI365" s="182"/>
      <c r="AM365" s="182"/>
    </row>
    <row r="366" spans="1:9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R366"/>
      <c r="S366" s="182"/>
      <c r="V366" s="182"/>
      <c r="W366" s="182"/>
      <c r="X366" s="182"/>
      <c r="Y366" s="182"/>
      <c r="Z366" s="182"/>
      <c r="AA366" s="182"/>
      <c r="AB366" s="182"/>
      <c r="AC366" s="182"/>
      <c r="AE366" s="182"/>
      <c r="AF366" s="182"/>
      <c r="AH366" s="182"/>
      <c r="AI366" s="182"/>
      <c r="AM366" s="182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 s="182"/>
      <c r="T367" s="182"/>
      <c r="U367" s="182"/>
      <c r="V367" s="182"/>
      <c r="W367" s="182"/>
      <c r="X367" s="182"/>
      <c r="Y367" s="182"/>
      <c r="Z367" s="182"/>
      <c r="AA367" s="182"/>
      <c r="AB367" s="182"/>
      <c r="AC367" s="182"/>
      <c r="AD367" s="182"/>
      <c r="AE367" s="182"/>
      <c r="AF367" s="182"/>
      <c r="AG367" s="182"/>
      <c r="AH367" s="182"/>
      <c r="AI367" s="182"/>
      <c r="AJ367" s="182"/>
      <c r="AK367" s="182"/>
      <c r="AL367" s="182"/>
      <c r="AM367" s="182"/>
      <c r="AN367" s="182"/>
      <c r="AO367" s="182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 s="182"/>
      <c r="T368" s="182"/>
      <c r="U368" s="182"/>
      <c r="V368" s="182"/>
      <c r="W368" s="182"/>
      <c r="X368" s="182"/>
      <c r="Y368" s="182"/>
      <c r="Z368" s="182"/>
      <c r="AA368" s="182"/>
      <c r="AB368" s="182"/>
      <c r="AC368" s="182"/>
      <c r="AD368" s="182"/>
      <c r="AE368" s="182"/>
      <c r="AF368" s="182"/>
      <c r="AG368" s="182"/>
      <c r="AH368" s="182"/>
      <c r="AI368" s="182"/>
      <c r="AJ368" s="182"/>
      <c r="AK368" s="182"/>
      <c r="AL368" s="182"/>
      <c r="AM368" s="182"/>
      <c r="AN368" s="182"/>
      <c r="AO368" s="182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R369"/>
      <c r="S369" s="182"/>
      <c r="V369" s="182"/>
      <c r="W369" s="182"/>
      <c r="X369" s="182"/>
      <c r="Y369" s="182"/>
      <c r="Z369" s="182"/>
      <c r="AA369" s="182"/>
      <c r="AB369" s="182"/>
      <c r="AC369" s="182"/>
      <c r="AE369" s="182"/>
      <c r="AF369" s="182"/>
      <c r="AH369" s="182"/>
      <c r="AI369" s="182"/>
      <c r="AM369" s="182"/>
    </row>
    <row r="370" spans="1:9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R370"/>
      <c r="S370" s="182"/>
      <c r="V370" s="182"/>
      <c r="W370" s="182"/>
      <c r="X370" s="182"/>
      <c r="Y370" s="182"/>
      <c r="Z370" s="182"/>
      <c r="AA370" s="182"/>
      <c r="AB370" s="182"/>
      <c r="AC370" s="182"/>
      <c r="AE370" s="182"/>
      <c r="AF370" s="182"/>
      <c r="AH370" s="182"/>
      <c r="AI370" s="182"/>
      <c r="AM370" s="182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 s="182"/>
      <c r="T371" s="182"/>
      <c r="U371" s="182"/>
      <c r="V371" s="182"/>
      <c r="W371" s="182"/>
      <c r="X371" s="182"/>
      <c r="Y371" s="182"/>
      <c r="Z371" s="182"/>
      <c r="AA371" s="182"/>
      <c r="AB371" s="182"/>
      <c r="AC371" s="182"/>
      <c r="AD371" s="182"/>
      <c r="AE371" s="182"/>
      <c r="AF371" s="182"/>
      <c r="AG371" s="182"/>
      <c r="AH371" s="182"/>
      <c r="AI371" s="182"/>
      <c r="AJ371" s="182"/>
      <c r="AK371" s="182"/>
      <c r="AL371" s="182"/>
      <c r="AM371" s="182"/>
      <c r="AN371" s="182"/>
      <c r="AO371" s="182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R372"/>
      <c r="S372" s="182"/>
      <c r="V372" s="182"/>
      <c r="W372" s="182"/>
      <c r="X372" s="182"/>
      <c r="Y372" s="182"/>
      <c r="Z372" s="182"/>
      <c r="AA372" s="182"/>
      <c r="AB372" s="182"/>
      <c r="AC372" s="182"/>
      <c r="AE372" s="182"/>
      <c r="AF372" s="182"/>
      <c r="AH372" s="182"/>
      <c r="AI372" s="182"/>
      <c r="AM372" s="182"/>
    </row>
    <row r="373" spans="1:9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R373"/>
      <c r="S373" s="182"/>
      <c r="V373" s="182"/>
      <c r="W373" s="182"/>
      <c r="X373" s="182"/>
      <c r="Y373" s="182"/>
      <c r="Z373" s="182"/>
      <c r="AA373" s="182"/>
      <c r="AB373" s="182"/>
      <c r="AC373" s="182"/>
      <c r="AE373" s="182"/>
      <c r="AF373" s="182"/>
      <c r="AH373" s="182"/>
      <c r="AI373" s="182"/>
      <c r="AM373" s="182"/>
    </row>
    <row r="374" spans="1:9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R374"/>
      <c r="S374" s="182"/>
      <c r="V374" s="182"/>
      <c r="W374" s="182"/>
      <c r="X374" s="182"/>
      <c r="Y374" s="182"/>
      <c r="Z374" s="182"/>
      <c r="AA374" s="182"/>
      <c r="AB374" s="182"/>
      <c r="AC374" s="182"/>
      <c r="AE374" s="182"/>
      <c r="AF374" s="182"/>
      <c r="AH374" s="182"/>
      <c r="AI374" s="182"/>
      <c r="AM374" s="182"/>
    </row>
    <row r="375" spans="1:9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R375"/>
      <c r="S375" s="182"/>
      <c r="V375" s="182"/>
      <c r="W375" s="182"/>
      <c r="X375" s="182"/>
      <c r="Y375" s="182"/>
      <c r="Z375" s="182"/>
      <c r="AA375" s="182"/>
      <c r="AB375" s="182"/>
      <c r="AC375" s="182"/>
      <c r="AE375" s="182"/>
      <c r="AF375" s="182"/>
      <c r="AH375" s="182"/>
      <c r="AI375" s="182"/>
      <c r="AM375" s="182"/>
    </row>
    <row r="376" spans="1:9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R376"/>
      <c r="S376" s="182"/>
      <c r="V376" s="182"/>
      <c r="W376" s="182"/>
      <c r="X376" s="182"/>
      <c r="Y376" s="182"/>
      <c r="Z376" s="182"/>
      <c r="AA376" s="182"/>
      <c r="AB376" s="182"/>
      <c r="AC376" s="182"/>
      <c r="AE376" s="182"/>
      <c r="AF376" s="182"/>
      <c r="AH376" s="182"/>
      <c r="AI376" s="182"/>
      <c r="AM376" s="182"/>
    </row>
    <row r="377" spans="1:9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R377"/>
      <c r="S377" s="182"/>
      <c r="V377" s="182"/>
      <c r="W377" s="182"/>
      <c r="X377" s="182"/>
      <c r="Y377" s="182"/>
      <c r="Z377" s="182"/>
      <c r="AA377" s="182"/>
      <c r="AB377" s="182"/>
      <c r="AC377" s="182"/>
      <c r="AE377" s="182"/>
      <c r="AF377" s="182"/>
      <c r="AH377" s="182"/>
      <c r="AI377" s="182"/>
      <c r="AM377" s="182"/>
    </row>
    <row r="378" spans="1:9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R378"/>
      <c r="S378" s="182"/>
      <c r="V378" s="182"/>
      <c r="W378" s="182"/>
      <c r="X378" s="182"/>
      <c r="Y378" s="182"/>
      <c r="Z378" s="182"/>
      <c r="AA378" s="182"/>
      <c r="AB378" s="182"/>
      <c r="AC378" s="182"/>
      <c r="AE378" s="182"/>
      <c r="AF378" s="182"/>
      <c r="AH378" s="182"/>
      <c r="AI378" s="182"/>
      <c r="AM378" s="182"/>
    </row>
    <row r="379" spans="1:9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R379"/>
      <c r="S379" s="182"/>
      <c r="V379" s="182"/>
      <c r="W379" s="182"/>
      <c r="X379" s="182"/>
      <c r="Y379" s="182"/>
      <c r="Z379" s="182"/>
      <c r="AA379" s="182"/>
      <c r="AB379" s="182"/>
      <c r="AC379" s="182"/>
      <c r="AE379" s="182"/>
      <c r="AF379" s="182"/>
      <c r="AH379" s="182"/>
      <c r="AI379" s="182"/>
      <c r="AM379" s="182"/>
    </row>
    <row r="380" spans="1:9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R380"/>
      <c r="S380" s="182"/>
      <c r="V380" s="182"/>
      <c r="W380" s="182"/>
      <c r="X380" s="182"/>
      <c r="Y380" s="182"/>
      <c r="Z380" s="182"/>
      <c r="AA380" s="182"/>
      <c r="AB380" s="182"/>
      <c r="AC380" s="182"/>
      <c r="AE380" s="182"/>
      <c r="AF380" s="182"/>
      <c r="AH380" s="182"/>
      <c r="AI380" s="182"/>
      <c r="AM380" s="182"/>
    </row>
    <row r="381" spans="1:9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R381"/>
      <c r="S381" s="182"/>
      <c r="V381" s="182"/>
      <c r="W381" s="182"/>
      <c r="X381" s="182"/>
      <c r="Y381" s="182"/>
      <c r="Z381" s="182"/>
      <c r="AA381" s="182"/>
      <c r="AB381" s="182"/>
      <c r="AC381" s="182"/>
      <c r="AE381" s="182"/>
      <c r="AF381" s="182"/>
      <c r="AH381" s="182"/>
      <c r="AI381" s="182"/>
      <c r="AM381" s="182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 s="182"/>
      <c r="T382" s="182"/>
      <c r="U382" s="182"/>
      <c r="V382" s="182"/>
      <c r="W382" s="182"/>
      <c r="X382" s="182"/>
      <c r="Y382" s="182"/>
      <c r="Z382" s="182"/>
      <c r="AA382" s="182"/>
      <c r="AB382" s="182"/>
      <c r="AC382" s="182"/>
      <c r="AD382" s="182"/>
      <c r="AE382" s="182"/>
      <c r="AF382" s="182"/>
      <c r="AG382" s="182"/>
      <c r="AH382" s="182"/>
      <c r="AI382" s="182"/>
      <c r="AJ382" s="182"/>
      <c r="AK382" s="182"/>
      <c r="AL382" s="182"/>
      <c r="AM382" s="182"/>
      <c r="AN382" s="182"/>
      <c r="AO382" s="1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R383"/>
      <c r="S383" s="182"/>
      <c r="V383" s="182"/>
      <c r="W383" s="182"/>
      <c r="X383" s="182"/>
      <c r="Y383" s="182"/>
      <c r="Z383" s="182"/>
      <c r="AA383" s="182"/>
      <c r="AB383" s="182"/>
      <c r="AC383" s="182"/>
      <c r="AE383" s="182"/>
      <c r="AF383" s="182"/>
      <c r="AH383" s="182"/>
      <c r="AI383" s="182"/>
      <c r="AM383" s="182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 s="182"/>
      <c r="V384" s="182"/>
      <c r="W384" s="182"/>
      <c r="X384" s="182"/>
      <c r="Y384" s="182"/>
      <c r="Z384" s="182"/>
      <c r="AA384" s="182"/>
      <c r="AB384" s="182"/>
      <c r="AC384" s="182"/>
      <c r="AE384" s="182"/>
      <c r="AF384" s="182"/>
      <c r="AH384" s="182"/>
      <c r="AI384" s="182"/>
      <c r="AM384" s="182"/>
    </row>
    <row r="385" spans="1:9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R385"/>
      <c r="S385" s="182"/>
      <c r="V385" s="182"/>
      <c r="W385" s="182"/>
      <c r="X385" s="182"/>
      <c r="Y385" s="182"/>
      <c r="Z385" s="182"/>
      <c r="AA385" s="182"/>
      <c r="AB385" s="182"/>
      <c r="AC385" s="182"/>
      <c r="AE385" s="182"/>
      <c r="AF385" s="182"/>
      <c r="AH385" s="182"/>
      <c r="AI385" s="182"/>
      <c r="AM385" s="182"/>
    </row>
    <row r="386" spans="1:9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R386"/>
      <c r="S386" s="182"/>
      <c r="V386" s="182"/>
      <c r="W386" s="182"/>
      <c r="X386" s="182"/>
      <c r="Y386" s="182"/>
      <c r="Z386" s="182"/>
      <c r="AA386" s="182"/>
      <c r="AB386" s="182"/>
      <c r="AC386" s="182"/>
      <c r="AE386" s="182"/>
      <c r="AF386" s="182"/>
      <c r="AH386" s="182"/>
      <c r="AI386" s="182"/>
      <c r="AM386" s="182"/>
    </row>
    <row r="387" spans="1:9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R387"/>
      <c r="S387" s="182"/>
      <c r="V387" s="182"/>
      <c r="W387" s="182"/>
      <c r="X387" s="182"/>
      <c r="Y387" s="182"/>
      <c r="Z387" s="182"/>
      <c r="AA387" s="182"/>
      <c r="AB387" s="182"/>
      <c r="AC387" s="182"/>
      <c r="AE387" s="182"/>
      <c r="AF387" s="182"/>
      <c r="AH387" s="182"/>
      <c r="AI387" s="182"/>
      <c r="AM387" s="182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 s="182"/>
      <c r="T388" s="182"/>
      <c r="U388" s="182"/>
      <c r="V388" s="182"/>
      <c r="W388" s="182"/>
      <c r="X388" s="182"/>
      <c r="Y388" s="182"/>
      <c r="Z388" s="182"/>
      <c r="AA388" s="182"/>
      <c r="AB388" s="182"/>
      <c r="AC388" s="182"/>
      <c r="AD388" s="182"/>
      <c r="AE388" s="182"/>
      <c r="AF388" s="182"/>
      <c r="AG388" s="182"/>
      <c r="AH388" s="182"/>
      <c r="AI388" s="182"/>
      <c r="AJ388" s="182"/>
      <c r="AK388" s="182"/>
      <c r="AL388" s="182"/>
      <c r="AM388" s="182"/>
      <c r="AN388" s="182"/>
      <c r="AO388" s="182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R389"/>
      <c r="S389" s="182"/>
      <c r="V389" s="182"/>
      <c r="W389" s="182"/>
      <c r="X389" s="182"/>
      <c r="Y389" s="182"/>
      <c r="Z389" s="182"/>
      <c r="AA389" s="182"/>
      <c r="AB389" s="182"/>
      <c r="AC389" s="182"/>
      <c r="AE389" s="182"/>
      <c r="AF389" s="182"/>
      <c r="AH389" s="182"/>
      <c r="AI389" s="182"/>
      <c r="AM389" s="182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 s="182"/>
      <c r="V390" s="182"/>
      <c r="W390" s="182"/>
      <c r="X390" s="182"/>
      <c r="Y390" s="182"/>
      <c r="Z390" s="182"/>
      <c r="AA390" s="182"/>
      <c r="AB390" s="182"/>
      <c r="AC390" s="182"/>
      <c r="AE390" s="182"/>
      <c r="AF390" s="182"/>
      <c r="AH390" s="182"/>
      <c r="AI390" s="182"/>
      <c r="AM390" s="182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 s="182"/>
      <c r="V391" s="182"/>
      <c r="W391" s="182"/>
      <c r="X391" s="182"/>
      <c r="Y391" s="182"/>
      <c r="Z391" s="182"/>
      <c r="AA391" s="182"/>
      <c r="AB391" s="182"/>
      <c r="AC391" s="182"/>
      <c r="AE391" s="182"/>
      <c r="AF391" s="182"/>
      <c r="AH391" s="182"/>
      <c r="AI391" s="182"/>
      <c r="AM391" s="182"/>
    </row>
    <row r="392" spans="1:9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R392"/>
      <c r="S392" s="182"/>
      <c r="V392" s="182"/>
      <c r="W392" s="182"/>
      <c r="X392" s="182"/>
      <c r="Y392" s="182"/>
      <c r="Z392" s="182"/>
      <c r="AA392" s="182"/>
      <c r="AB392" s="182"/>
      <c r="AC392" s="182"/>
      <c r="AE392" s="182"/>
      <c r="AF392" s="182"/>
      <c r="AH392" s="182"/>
      <c r="AI392" s="182"/>
      <c r="AM392" s="182"/>
    </row>
    <row r="393" spans="1:9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R393"/>
      <c r="S393" s="182"/>
      <c r="V393" s="182"/>
      <c r="W393" s="182"/>
      <c r="X393" s="182"/>
      <c r="Y393" s="182"/>
      <c r="Z393" s="182"/>
      <c r="AA393" s="182"/>
      <c r="AB393" s="182"/>
      <c r="AC393" s="182"/>
      <c r="AE393" s="182"/>
      <c r="AF393" s="182"/>
      <c r="AH393" s="182"/>
      <c r="AI393" s="182"/>
      <c r="AM393" s="182"/>
    </row>
    <row r="394" spans="1:9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R394"/>
      <c r="S394" s="182"/>
      <c r="V394" s="182"/>
      <c r="W394" s="182"/>
      <c r="X394" s="182"/>
      <c r="Y394" s="182"/>
      <c r="Z394" s="182"/>
      <c r="AA394" s="182"/>
      <c r="AB394" s="182"/>
      <c r="AC394" s="182"/>
      <c r="AE394" s="182"/>
      <c r="AF394" s="182"/>
      <c r="AH394" s="182"/>
      <c r="AI394" s="182"/>
      <c r="AM394" s="182"/>
    </row>
    <row r="395" spans="1:9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R395"/>
      <c r="S395" s="182"/>
      <c r="V395" s="182"/>
      <c r="W395" s="182"/>
      <c r="X395" s="182"/>
      <c r="Y395" s="182"/>
      <c r="Z395" s="182"/>
      <c r="AA395" s="182"/>
      <c r="AB395" s="182"/>
      <c r="AC395" s="182"/>
      <c r="AE395" s="182"/>
      <c r="AF395" s="182"/>
      <c r="AH395" s="182"/>
      <c r="AI395" s="182"/>
      <c r="AM395" s="182"/>
    </row>
    <row r="396" spans="1:9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R396"/>
      <c r="S396" s="182"/>
      <c r="V396" s="182"/>
      <c r="W396" s="182"/>
      <c r="X396" s="182"/>
      <c r="Y396" s="182"/>
      <c r="Z396" s="182"/>
      <c r="AA396" s="182"/>
      <c r="AB396" s="182"/>
      <c r="AC396" s="182"/>
      <c r="AE396" s="182"/>
      <c r="AF396" s="182"/>
      <c r="AH396" s="182"/>
      <c r="AI396" s="182"/>
      <c r="AM396" s="182"/>
    </row>
    <row r="397" spans="1:9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R397"/>
      <c r="S397" s="182"/>
      <c r="V397" s="182"/>
      <c r="W397" s="182"/>
      <c r="X397" s="182"/>
      <c r="Y397" s="182"/>
      <c r="Z397" s="182"/>
      <c r="AA397" s="182"/>
      <c r="AB397" s="182"/>
      <c r="AC397" s="182"/>
      <c r="AE397" s="182"/>
      <c r="AF397" s="182"/>
      <c r="AH397" s="182"/>
      <c r="AI397" s="182"/>
      <c r="AM397" s="182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 s="182"/>
      <c r="V398" s="182"/>
      <c r="W398" s="182"/>
      <c r="X398" s="182"/>
      <c r="Y398" s="182"/>
      <c r="Z398" s="182"/>
      <c r="AA398" s="182"/>
      <c r="AB398" s="182"/>
      <c r="AC398" s="182"/>
      <c r="AE398" s="182"/>
      <c r="AF398" s="182"/>
      <c r="AH398" s="182"/>
      <c r="AI398" s="182"/>
      <c r="AM398" s="182"/>
    </row>
    <row r="399" spans="1:9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R399"/>
      <c r="S399" s="182"/>
      <c r="V399" s="182"/>
      <c r="W399" s="182"/>
      <c r="X399" s="182"/>
      <c r="Y399" s="182"/>
      <c r="Z399" s="182"/>
      <c r="AA399" s="182"/>
      <c r="AB399" s="182"/>
      <c r="AC399" s="182"/>
      <c r="AE399" s="182"/>
      <c r="AF399" s="182"/>
      <c r="AH399" s="182"/>
      <c r="AI399" s="182"/>
      <c r="AM399" s="182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 s="182"/>
      <c r="V400" s="182"/>
      <c r="W400" s="182"/>
      <c r="X400" s="182"/>
      <c r="Y400" s="182"/>
      <c r="Z400" s="182"/>
      <c r="AA400" s="182"/>
      <c r="AB400" s="182"/>
      <c r="AC400" s="182"/>
      <c r="AE400" s="182"/>
      <c r="AF400" s="182"/>
      <c r="AH400" s="182"/>
      <c r="AI400" s="182"/>
      <c r="AM400" s="182"/>
    </row>
    <row r="401" spans="1:9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R401"/>
      <c r="S401" s="182"/>
      <c r="V401" s="182"/>
      <c r="W401" s="182"/>
      <c r="X401" s="182"/>
      <c r="Y401" s="182"/>
      <c r="Z401" s="182"/>
      <c r="AA401" s="182"/>
      <c r="AB401" s="182"/>
      <c r="AC401" s="182"/>
      <c r="AE401" s="182"/>
      <c r="AF401" s="182"/>
      <c r="AH401" s="182"/>
      <c r="AI401" s="182"/>
      <c r="AM401" s="182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 s="182"/>
      <c r="V402" s="182"/>
      <c r="W402" s="182"/>
      <c r="X402" s="182"/>
      <c r="Y402" s="182"/>
      <c r="Z402" s="182"/>
      <c r="AA402" s="182"/>
      <c r="AB402" s="182"/>
      <c r="AC402" s="182"/>
      <c r="AE402" s="182"/>
      <c r="AF402" s="182"/>
      <c r="AH402" s="182"/>
      <c r="AI402" s="182"/>
      <c r="AM402" s="182"/>
    </row>
    <row r="403" spans="1:9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R403"/>
      <c r="S403" s="182"/>
      <c r="V403" s="182"/>
      <c r="W403" s="182"/>
      <c r="X403" s="182"/>
      <c r="Y403" s="182"/>
      <c r="Z403" s="182"/>
      <c r="AA403" s="182"/>
      <c r="AB403" s="182"/>
      <c r="AC403" s="182"/>
      <c r="AE403" s="182"/>
      <c r="AF403" s="182"/>
      <c r="AH403" s="182"/>
      <c r="AI403" s="182"/>
      <c r="AM403" s="182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 s="182"/>
      <c r="V404" s="182"/>
      <c r="W404" s="182"/>
      <c r="X404" s="182"/>
      <c r="Y404" s="182"/>
      <c r="Z404" s="182"/>
      <c r="AA404" s="182"/>
      <c r="AB404" s="182"/>
      <c r="AC404" s="182"/>
      <c r="AE404" s="182"/>
      <c r="AF404" s="182"/>
      <c r="AH404" s="182"/>
      <c r="AI404" s="182"/>
      <c r="AM404" s="182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 s="182"/>
      <c r="T405" s="182"/>
      <c r="U405" s="182"/>
      <c r="V405" s="182"/>
      <c r="W405" s="182"/>
      <c r="X405" s="182"/>
      <c r="Y405" s="182"/>
      <c r="Z405" s="182"/>
      <c r="AA405" s="182"/>
      <c r="AB405" s="182"/>
      <c r="AC405" s="182"/>
      <c r="AD405" s="182"/>
      <c r="AE405" s="182"/>
      <c r="AF405" s="182"/>
      <c r="AG405" s="182"/>
      <c r="AH405" s="182"/>
      <c r="AI405" s="182"/>
      <c r="AJ405" s="182"/>
      <c r="AK405" s="182"/>
      <c r="AL405" s="182"/>
      <c r="AM405" s="182"/>
      <c r="AN405" s="182"/>
      <c r="AO405" s="182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R406"/>
      <c r="S406" s="182"/>
      <c r="V406" s="182"/>
      <c r="W406" s="182"/>
      <c r="X406" s="182"/>
      <c r="Y406" s="182"/>
      <c r="Z406" s="182"/>
      <c r="AA406" s="182"/>
      <c r="AB406" s="182"/>
      <c r="AC406" s="182"/>
      <c r="AE406" s="182"/>
      <c r="AF406" s="182"/>
      <c r="AH406" s="182"/>
      <c r="AI406" s="182"/>
      <c r="AM406" s="182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 s="182"/>
      <c r="V407" s="182"/>
      <c r="W407" s="182"/>
      <c r="X407" s="182"/>
      <c r="Y407" s="182"/>
      <c r="Z407" s="182"/>
      <c r="AA407" s="182"/>
      <c r="AB407" s="182"/>
      <c r="AC407" s="182"/>
      <c r="AE407" s="182"/>
      <c r="AF407" s="182"/>
      <c r="AH407" s="182"/>
      <c r="AI407" s="182"/>
      <c r="AM407" s="182"/>
    </row>
    <row r="408" spans="1:9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R408"/>
      <c r="S408" s="182"/>
      <c r="V408" s="182"/>
      <c r="W408" s="182"/>
      <c r="X408" s="182"/>
      <c r="Y408" s="182"/>
      <c r="Z408" s="182"/>
      <c r="AA408" s="182"/>
      <c r="AB408" s="182"/>
      <c r="AC408" s="182"/>
      <c r="AE408" s="182"/>
      <c r="AF408" s="182"/>
      <c r="AH408" s="182"/>
      <c r="AI408" s="182"/>
      <c r="AM408" s="182"/>
    </row>
    <row r="409" spans="1:91" s="20" customFormat="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 s="182"/>
      <c r="T409" s="182"/>
      <c r="U409" s="182"/>
      <c r="V409" s="182"/>
      <c r="W409" s="182"/>
      <c r="X409" s="182"/>
      <c r="Y409" s="182"/>
      <c r="Z409" s="182"/>
      <c r="AA409" s="182"/>
      <c r="AB409" s="182"/>
      <c r="AC409" s="182"/>
      <c r="AD409" s="182"/>
      <c r="AE409" s="182"/>
      <c r="AF409" s="182"/>
      <c r="AG409" s="182"/>
      <c r="AH409" s="182"/>
      <c r="AI409" s="182"/>
      <c r="AJ409" s="182"/>
      <c r="AK409" s="182"/>
      <c r="AL409" s="182"/>
      <c r="AM409" s="182"/>
      <c r="AN409" s="182"/>
      <c r="AO409" s="182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</row>
    <row r="410" spans="1:9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R410"/>
      <c r="S410" s="182"/>
      <c r="V410" s="182"/>
      <c r="W410" s="182"/>
      <c r="X410" s="182"/>
      <c r="Y410" s="182"/>
      <c r="Z410" s="182"/>
      <c r="AA410" s="182"/>
      <c r="AB410" s="182"/>
      <c r="AC410" s="182"/>
      <c r="AE410" s="182"/>
      <c r="AF410" s="182"/>
      <c r="AH410" s="182"/>
      <c r="AI410" s="182"/>
      <c r="AM410" s="182"/>
    </row>
    <row r="411" spans="1:9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R411"/>
      <c r="S411" s="182"/>
      <c r="V411" s="182"/>
      <c r="W411" s="182"/>
      <c r="X411" s="182"/>
      <c r="Y411" s="182"/>
      <c r="Z411" s="182"/>
      <c r="AA411" s="182"/>
      <c r="AB411" s="182"/>
      <c r="AC411" s="182"/>
      <c r="AE411" s="182"/>
      <c r="AF411" s="182"/>
      <c r="AH411" s="182"/>
      <c r="AI411" s="182"/>
      <c r="AM411" s="182"/>
    </row>
    <row r="412" spans="1:9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R412"/>
      <c r="S412" s="182"/>
      <c r="V412" s="182"/>
      <c r="W412" s="182"/>
      <c r="X412" s="182"/>
      <c r="Y412" s="182"/>
      <c r="Z412" s="182"/>
      <c r="AA412" s="182"/>
      <c r="AB412" s="182"/>
      <c r="AC412" s="182"/>
      <c r="AE412" s="182"/>
      <c r="AF412" s="182"/>
      <c r="AH412" s="182"/>
      <c r="AI412" s="182"/>
      <c r="AM412" s="18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 s="182"/>
      <c r="V413" s="182"/>
      <c r="W413" s="182"/>
      <c r="X413" s="182"/>
      <c r="Y413" s="182"/>
      <c r="Z413" s="182"/>
      <c r="AA413" s="182"/>
      <c r="AB413" s="182"/>
      <c r="AC413" s="182"/>
      <c r="AE413" s="182"/>
      <c r="AF413" s="182"/>
      <c r="AH413" s="182"/>
      <c r="AI413" s="182"/>
      <c r="AM413" s="182"/>
    </row>
    <row r="414" spans="1:9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R414"/>
      <c r="S414" s="182"/>
      <c r="V414" s="182"/>
      <c r="W414" s="182"/>
      <c r="X414" s="182"/>
      <c r="Y414" s="182"/>
      <c r="Z414" s="182"/>
      <c r="AA414" s="182"/>
      <c r="AB414" s="182"/>
      <c r="AC414" s="182"/>
      <c r="AE414" s="182"/>
      <c r="AF414" s="182"/>
      <c r="AH414" s="182"/>
      <c r="AI414" s="182"/>
      <c r="AM414" s="182"/>
    </row>
    <row r="415" spans="1:9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R415"/>
      <c r="S415" s="182"/>
      <c r="V415" s="182"/>
      <c r="W415" s="182"/>
      <c r="X415" s="182"/>
      <c r="Y415" s="182"/>
      <c r="Z415" s="182"/>
      <c r="AA415" s="182"/>
      <c r="AB415" s="182"/>
      <c r="AC415" s="182"/>
      <c r="AE415" s="182"/>
      <c r="AF415" s="182"/>
      <c r="AH415" s="182"/>
      <c r="AI415" s="182"/>
      <c r="AM415" s="182"/>
    </row>
    <row r="416" spans="1:9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R416"/>
      <c r="S416" s="182"/>
      <c r="V416" s="182"/>
      <c r="W416" s="182"/>
      <c r="X416" s="182"/>
      <c r="Y416" s="182"/>
      <c r="Z416" s="182"/>
      <c r="AA416" s="182"/>
      <c r="AB416" s="182"/>
      <c r="AC416" s="182"/>
      <c r="AE416" s="182"/>
      <c r="AF416" s="182"/>
      <c r="AH416" s="182"/>
      <c r="AI416" s="182"/>
      <c r="AM416" s="182"/>
    </row>
    <row r="417" spans="1:39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 s="182"/>
      <c r="V417" s="182"/>
      <c r="W417" s="182"/>
      <c r="X417" s="182"/>
      <c r="Y417" s="182"/>
      <c r="Z417" s="182"/>
      <c r="AA417" s="182"/>
      <c r="AB417" s="182"/>
      <c r="AC417" s="182"/>
      <c r="AE417" s="182"/>
      <c r="AF417" s="182"/>
      <c r="AH417" s="182"/>
      <c r="AI417" s="182"/>
      <c r="AM417" s="182"/>
    </row>
    <row r="418" spans="1:39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R418"/>
      <c r="S418" s="182"/>
      <c r="V418" s="182"/>
      <c r="W418" s="182"/>
      <c r="X418" s="182"/>
      <c r="Y418" s="182"/>
      <c r="Z418" s="182"/>
      <c r="AA418" s="182"/>
      <c r="AB418" s="182"/>
      <c r="AC418" s="182"/>
      <c r="AE418" s="182"/>
      <c r="AF418" s="182"/>
      <c r="AH418" s="182"/>
      <c r="AI418" s="182"/>
      <c r="AM418" s="182"/>
    </row>
    <row r="419" spans="1:39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R419"/>
      <c r="S419" s="182"/>
      <c r="V419" s="182"/>
      <c r="W419" s="182"/>
      <c r="X419" s="182"/>
      <c r="Y419" s="182"/>
      <c r="Z419" s="182"/>
      <c r="AA419" s="182"/>
      <c r="AB419" s="182"/>
      <c r="AC419" s="182"/>
      <c r="AE419" s="182"/>
      <c r="AF419" s="182"/>
      <c r="AH419" s="182"/>
      <c r="AI419" s="182"/>
      <c r="AM419" s="182"/>
    </row>
    <row r="420" spans="1:39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R420"/>
      <c r="S420" s="182"/>
      <c r="V420" s="182"/>
      <c r="W420" s="182"/>
      <c r="X420" s="182"/>
      <c r="Y420" s="182"/>
      <c r="Z420" s="182"/>
      <c r="AA420" s="182"/>
      <c r="AB420" s="182"/>
      <c r="AC420" s="182"/>
      <c r="AE420" s="182"/>
      <c r="AF420" s="182"/>
      <c r="AH420" s="182"/>
      <c r="AI420" s="182"/>
      <c r="AM420" s="182"/>
    </row>
    <row r="421" spans="1:39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R421"/>
      <c r="S421" s="182"/>
      <c r="V421" s="182"/>
      <c r="W421" s="182"/>
      <c r="X421" s="182"/>
      <c r="Y421" s="182"/>
      <c r="Z421" s="182"/>
      <c r="AA421" s="182"/>
      <c r="AB421" s="182"/>
      <c r="AC421" s="182"/>
      <c r="AE421" s="182"/>
      <c r="AF421" s="182"/>
      <c r="AH421" s="182"/>
      <c r="AI421" s="182"/>
      <c r="AM421" s="182"/>
    </row>
    <row r="422" spans="1:39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 s="182"/>
      <c r="V422" s="182"/>
      <c r="W422" s="182"/>
      <c r="X422" s="182"/>
      <c r="Y422" s="182"/>
      <c r="Z422" s="182"/>
      <c r="AA422" s="182"/>
      <c r="AB422" s="182"/>
      <c r="AC422" s="182"/>
      <c r="AE422" s="182"/>
      <c r="AF422" s="182"/>
      <c r="AH422" s="182"/>
      <c r="AI422" s="182"/>
      <c r="AM422" s="182"/>
    </row>
    <row r="423" spans="1:39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 s="182"/>
      <c r="V423" s="182"/>
      <c r="W423" s="182"/>
      <c r="X423" s="182"/>
      <c r="Y423" s="182"/>
      <c r="Z423" s="182"/>
      <c r="AA423" s="182"/>
      <c r="AB423" s="182"/>
      <c r="AC423" s="182"/>
      <c r="AE423" s="182"/>
      <c r="AF423" s="182"/>
      <c r="AH423" s="182"/>
      <c r="AI423" s="182"/>
      <c r="AM423" s="182"/>
    </row>
    <row r="424" spans="1:39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R424"/>
      <c r="S424" s="182"/>
      <c r="V424" s="182"/>
      <c r="W424" s="182"/>
      <c r="X424" s="182"/>
      <c r="Y424" s="182"/>
      <c r="Z424" s="182"/>
      <c r="AA424" s="182"/>
      <c r="AB424" s="182"/>
      <c r="AC424" s="182"/>
      <c r="AE424" s="182"/>
      <c r="AF424" s="182"/>
      <c r="AH424" s="182"/>
      <c r="AI424" s="182"/>
      <c r="AM424" s="182"/>
    </row>
    <row r="425" spans="1:39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 s="182"/>
      <c r="V425" s="182"/>
      <c r="W425" s="182"/>
      <c r="X425" s="182"/>
      <c r="Y425" s="182"/>
      <c r="Z425" s="182"/>
      <c r="AA425" s="182"/>
      <c r="AB425" s="182"/>
      <c r="AC425" s="182"/>
      <c r="AE425" s="182"/>
      <c r="AF425" s="182"/>
      <c r="AH425" s="182"/>
      <c r="AI425" s="182"/>
      <c r="AM425" s="182"/>
    </row>
    <row r="426" spans="1:39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R426"/>
      <c r="S426" s="182"/>
      <c r="V426" s="182"/>
      <c r="W426" s="182"/>
      <c r="X426" s="182"/>
      <c r="Y426" s="182"/>
      <c r="Z426" s="182"/>
      <c r="AA426" s="182"/>
      <c r="AB426" s="182"/>
      <c r="AC426" s="182"/>
      <c r="AE426" s="182"/>
      <c r="AF426" s="182"/>
      <c r="AH426" s="182"/>
      <c r="AI426" s="182"/>
      <c r="AM426" s="182"/>
    </row>
    <row r="427" spans="1:39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R427"/>
      <c r="S427" s="182"/>
      <c r="V427" s="182"/>
      <c r="W427" s="182"/>
      <c r="X427" s="182"/>
      <c r="Y427" s="182"/>
      <c r="Z427" s="182"/>
      <c r="AA427" s="182"/>
      <c r="AB427" s="182"/>
      <c r="AC427" s="182"/>
      <c r="AE427" s="182"/>
      <c r="AF427" s="182"/>
      <c r="AH427" s="182"/>
      <c r="AI427" s="182"/>
      <c r="AM427" s="182"/>
    </row>
    <row r="428" spans="1:39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R428"/>
      <c r="S428" s="182"/>
      <c r="V428" s="182"/>
      <c r="W428" s="182"/>
      <c r="X428" s="182"/>
      <c r="Y428" s="182"/>
      <c r="Z428" s="182"/>
      <c r="AA428" s="182"/>
      <c r="AB428" s="182"/>
      <c r="AC428" s="182"/>
      <c r="AE428" s="182"/>
      <c r="AF428" s="182"/>
      <c r="AH428" s="182"/>
      <c r="AI428" s="182"/>
      <c r="AM428" s="182"/>
    </row>
    <row r="429" spans="1:39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 s="182"/>
      <c r="V429" s="182"/>
      <c r="W429" s="182"/>
      <c r="X429" s="182"/>
      <c r="Y429" s="182"/>
      <c r="Z429" s="182"/>
      <c r="AA429" s="182"/>
      <c r="AB429" s="182"/>
      <c r="AC429" s="182"/>
      <c r="AE429" s="182"/>
      <c r="AF429" s="182"/>
      <c r="AH429" s="182"/>
      <c r="AI429" s="182"/>
      <c r="AM429" s="182"/>
    </row>
    <row r="430" spans="1:39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 s="182"/>
      <c r="V430" s="182"/>
      <c r="W430" s="182"/>
      <c r="X430" s="182"/>
      <c r="Y430" s="182"/>
      <c r="Z430" s="182"/>
      <c r="AA430" s="182"/>
      <c r="AB430" s="182"/>
      <c r="AC430" s="182"/>
      <c r="AE430" s="182"/>
      <c r="AF430" s="182"/>
      <c r="AH430" s="182"/>
      <c r="AI430" s="182"/>
      <c r="AM430" s="182"/>
    </row>
  </sheetData>
  <autoFilter ref="A12:AG425">
    <sortState ref="A13:AG425">
      <sortCondition ref="AG13:AG227"/>
      <sortCondition ref="AD13:AD227"/>
    </sortState>
  </autoFilter>
  <sortState ref="A13:AN330">
    <sortCondition ref="AG13:AG330"/>
    <sortCondition ref="AD13:AD330"/>
  </sortState>
  <mergeCells count="1">
    <mergeCell ref="A11:P11"/>
  </mergeCells>
  <conditionalFormatting sqref="W11:W12 W431:X1048576 W13:X227">
    <cfRule type="cellIs" dxfId="10" priority="457" operator="equal">
      <formula>"Y"</formula>
    </cfRule>
  </conditionalFormatting>
  <conditionalFormatting sqref="X431:X1048576 X13:X227">
    <cfRule type="cellIs" dxfId="9" priority="440" operator="greaterThan">
      <formula>1</formula>
    </cfRule>
  </conditionalFormatting>
  <conditionalFormatting sqref="X431:X1048576 X12:X227">
    <cfRule type="cellIs" dxfId="8" priority="437" operator="equal">
      <formula>0</formula>
    </cfRule>
  </conditionalFormatting>
  <conditionalFormatting sqref="A13:S227">
    <cfRule type="expression" dxfId="7" priority="431" stopIfTrue="1">
      <formula>$P13&gt;0</formula>
    </cfRule>
    <cfRule type="expression" dxfId="6" priority="432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33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  <x14:conditionalFormatting xmlns:xm="http://schemas.microsoft.com/office/excel/2006/main">
          <x14:cfRule type="expression" priority="116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AK13:AK227</xm:sqref>
        </x14:dataValidation>
        <x14:dataValidation type="list" allowBlank="1" showInputMessage="1" showErrorMessage="1">
          <x14:formula1>
            <xm:f>'Redmine List Values'!$C$2:$C$15</xm:f>
          </x14:formula1>
          <xm:sqref>AL13:AL227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6"/>
  <sheetViews>
    <sheetView topLeftCell="A11" zoomScaleNormal="100" workbookViewId="0">
      <selection activeCell="P24" sqref="P24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98" customWidth="1"/>
    <col min="5" max="5" width="29.44140625" style="98" customWidth="1"/>
    <col min="6" max="6" width="5.6640625" style="98" customWidth="1"/>
    <col min="7" max="7" width="5.88671875" style="98" customWidth="1"/>
    <col min="8" max="8" width="7.88671875" style="98" customWidth="1"/>
    <col min="9" max="9" width="9" style="98" customWidth="1"/>
    <col min="10" max="10" width="11.5546875" style="98" hidden="1" customWidth="1"/>
    <col min="11" max="11" width="9.109375" style="98" customWidth="1"/>
    <col min="12" max="12" width="4.88671875" style="98" customWidth="1"/>
    <col min="13" max="13" width="7.88671875" style="2" customWidth="1"/>
    <col min="14" max="14" width="16" style="97" customWidth="1"/>
    <col min="15" max="15" width="4.44140625" style="152" customWidth="1"/>
    <col min="16" max="16" width="30.44140625" style="98" customWidth="1"/>
    <col min="17" max="17" width="5" hidden="1" customWidth="1"/>
    <col min="18" max="18" width="5.5546875" style="66" customWidth="1"/>
    <col min="19" max="19" width="5.5546875" style="69" customWidth="1"/>
    <col min="20" max="20" width="6" style="65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41" customWidth="1"/>
    <col min="27" max="27" width="5.33203125" customWidth="1"/>
    <col min="28" max="28" width="5.5546875" customWidth="1"/>
    <col min="29" max="29" width="5.33203125" style="100" customWidth="1"/>
    <col min="30" max="30" width="6.6640625" customWidth="1"/>
    <col min="31" max="31" width="9.109375" style="127"/>
  </cols>
  <sheetData>
    <row r="1" spans="1:32" s="20" customFormat="1" ht="15" hidden="1" thickBot="1" x14ac:dyDescent="0.35">
      <c r="A1" s="8"/>
      <c r="D1" s="98"/>
      <c r="E1" s="98"/>
      <c r="F1" s="98"/>
      <c r="G1" s="98"/>
      <c r="H1" s="98"/>
      <c r="I1" s="98"/>
      <c r="J1" s="98"/>
      <c r="K1" s="98"/>
      <c r="L1" s="98"/>
      <c r="M1" s="2"/>
      <c r="N1" s="97"/>
      <c r="O1" s="152"/>
      <c r="P1" s="98"/>
      <c r="R1" s="66"/>
      <c r="S1" s="69"/>
      <c r="T1" s="65"/>
      <c r="V1" s="43"/>
      <c r="X1" s="2"/>
      <c r="Z1" s="141"/>
      <c r="AC1" s="100"/>
      <c r="AE1" s="127"/>
    </row>
    <row r="2" spans="1:32" s="20" customFormat="1" x14ac:dyDescent="0.3">
      <c r="A2" s="8"/>
      <c r="D2" s="98"/>
      <c r="E2" s="98"/>
      <c r="F2" s="98"/>
      <c r="G2" s="98"/>
      <c r="H2" s="98"/>
      <c r="I2" s="98"/>
      <c r="J2" s="98"/>
      <c r="K2" s="98"/>
      <c r="L2" s="109" t="s">
        <v>80</v>
      </c>
      <c r="M2" s="93"/>
      <c r="N2" s="110"/>
      <c r="O2" s="175">
        <f>COUNTIF($O$7:$O$240,"=Y")</f>
        <v>7</v>
      </c>
      <c r="P2" s="95"/>
      <c r="R2" s="66"/>
      <c r="S2" s="69"/>
      <c r="T2" s="65"/>
      <c r="V2" s="43"/>
      <c r="X2" s="2"/>
      <c r="Z2" s="141"/>
      <c r="AC2" s="101"/>
      <c r="AE2" s="127"/>
    </row>
    <row r="3" spans="1:32" s="20" customFormat="1" ht="15" thickBot="1" x14ac:dyDescent="0.35">
      <c r="A3" s="8"/>
      <c r="D3" s="98"/>
      <c r="E3" s="98"/>
      <c r="F3" s="98"/>
      <c r="G3" s="98"/>
      <c r="H3" s="98"/>
      <c r="I3" s="98"/>
      <c r="J3" s="98"/>
      <c r="K3" s="98"/>
      <c r="L3" s="111" t="s">
        <v>81</v>
      </c>
      <c r="M3" s="94"/>
      <c r="N3" s="112"/>
      <c r="O3" s="176">
        <f>COUNTA($O$7:$O$240)-O2</f>
        <v>15</v>
      </c>
      <c r="P3" s="95"/>
      <c r="R3" s="66"/>
      <c r="S3" s="69"/>
      <c r="T3" s="65"/>
      <c r="V3" s="43"/>
      <c r="X3" s="2"/>
      <c r="Z3" s="141"/>
      <c r="AC3" s="101"/>
      <c r="AE3" s="127"/>
    </row>
    <row r="4" spans="1:32" s="20" customFormat="1" x14ac:dyDescent="0.3">
      <c r="A4" s="8"/>
      <c r="D4" s="98"/>
      <c r="E4" s="98"/>
      <c r="F4" s="98"/>
      <c r="G4" s="98"/>
      <c r="H4" s="98"/>
      <c r="I4" s="98"/>
      <c r="J4" s="98"/>
      <c r="K4" s="98"/>
      <c r="L4" s="98"/>
      <c r="M4" s="2"/>
      <c r="N4" s="97"/>
      <c r="O4" s="171"/>
      <c r="P4" s="98"/>
      <c r="R4" s="66"/>
      <c r="S4" s="69"/>
      <c r="T4" s="65"/>
      <c r="V4" s="43"/>
      <c r="X4" s="2"/>
      <c r="Z4" s="141"/>
      <c r="AC4" s="101"/>
      <c r="AE4" s="127"/>
    </row>
    <row r="5" spans="1:32" s="10" customFormat="1" ht="15" customHeight="1" x14ac:dyDescent="0.3">
      <c r="A5" s="229" t="str">
        <f>"Eagle P3 Braking Events - "&amp;TEXT(Variables!$A$2,"YYYY-mm-dd")</f>
        <v>Eagle P3 Braking Events - 2017-10-29</v>
      </c>
      <c r="B5" s="229"/>
      <c r="C5" s="229"/>
      <c r="D5" s="229"/>
      <c r="E5" s="229"/>
      <c r="F5" s="229"/>
      <c r="G5" s="229"/>
      <c r="H5" s="229"/>
      <c r="I5" s="229"/>
      <c r="J5" s="229"/>
      <c r="K5" s="229"/>
      <c r="L5" s="229"/>
      <c r="M5" s="229"/>
      <c r="N5" s="229"/>
      <c r="O5" s="229"/>
      <c r="P5" s="113"/>
      <c r="R5" s="67"/>
      <c r="S5" s="70"/>
      <c r="T5" s="72"/>
      <c r="V5" s="44"/>
      <c r="X5" s="160"/>
      <c r="AC5" s="102"/>
      <c r="AE5" s="129"/>
    </row>
    <row r="6" spans="1:32" s="92" customFormat="1" ht="69.75" customHeight="1" x14ac:dyDescent="0.25">
      <c r="A6" s="82" t="s">
        <v>38</v>
      </c>
      <c r="B6" s="83" t="s">
        <v>37</v>
      </c>
      <c r="C6" s="83" t="s">
        <v>36</v>
      </c>
      <c r="D6" s="99" t="s">
        <v>35</v>
      </c>
      <c r="E6" s="99" t="s">
        <v>34</v>
      </c>
      <c r="F6" s="99" t="s">
        <v>33</v>
      </c>
      <c r="G6" s="99" t="s">
        <v>32</v>
      </c>
      <c r="H6" s="99" t="s">
        <v>31</v>
      </c>
      <c r="I6" s="99" t="s">
        <v>147</v>
      </c>
      <c r="J6" s="99" t="s">
        <v>30</v>
      </c>
      <c r="K6" s="99" t="s">
        <v>29</v>
      </c>
      <c r="L6" s="99" t="s">
        <v>28</v>
      </c>
      <c r="M6" s="84" t="s">
        <v>148</v>
      </c>
      <c r="N6" s="114" t="s">
        <v>47</v>
      </c>
      <c r="O6" s="158" t="s">
        <v>27</v>
      </c>
      <c r="P6" s="99" t="s">
        <v>24</v>
      </c>
      <c r="Q6" s="85"/>
      <c r="R6" s="86" t="s">
        <v>89</v>
      </c>
      <c r="S6" s="87" t="s">
        <v>55</v>
      </c>
      <c r="T6" s="88" t="s">
        <v>88</v>
      </c>
      <c r="U6" s="83" t="s">
        <v>83</v>
      </c>
      <c r="V6" s="89" t="s">
        <v>84</v>
      </c>
      <c r="W6" s="85" t="s">
        <v>347</v>
      </c>
      <c r="X6" s="161" t="s">
        <v>340</v>
      </c>
      <c r="Y6" s="90" t="s">
        <v>141</v>
      </c>
      <c r="Z6" s="142" t="s">
        <v>142</v>
      </c>
      <c r="AA6" s="91" t="s">
        <v>115</v>
      </c>
      <c r="AB6" s="91" t="s">
        <v>143</v>
      </c>
      <c r="AC6" s="103" t="s">
        <v>167</v>
      </c>
      <c r="AD6" s="92" t="s">
        <v>184</v>
      </c>
      <c r="AE6" s="128" t="s">
        <v>189</v>
      </c>
    </row>
    <row r="7" spans="1:32" s="1" customFormat="1" x14ac:dyDescent="0.3">
      <c r="A7" s="31">
        <v>43037.819918981484</v>
      </c>
      <c r="B7" s="30" t="s">
        <v>389</v>
      </c>
      <c r="C7" s="30" t="s">
        <v>647</v>
      </c>
      <c r="D7" s="30" t="s">
        <v>49</v>
      </c>
      <c r="E7" s="30" t="s">
        <v>185</v>
      </c>
      <c r="F7" s="42">
        <v>0</v>
      </c>
      <c r="G7" s="42">
        <v>226</v>
      </c>
      <c r="H7" s="42">
        <v>31072</v>
      </c>
      <c r="I7" s="42">
        <v>30795</v>
      </c>
      <c r="J7" s="30" t="s">
        <v>186</v>
      </c>
      <c r="K7" s="42">
        <v>30970</v>
      </c>
      <c r="L7" s="116" t="s">
        <v>51</v>
      </c>
      <c r="M7" s="117">
        <f t="shared" ref="M7:M28" si="0">CONVERT((I7-K7)/10000,"mi","ft")*IF(L7="Increasing Mileposts (1)",-1,1)</f>
        <v>-92.4</v>
      </c>
      <c r="N7" s="118" t="str">
        <f>VLOOKUP(C7,'Trips&amp;Operators'!$C$1:$G$99911,5,FALSE)</f>
        <v>ELBAUM MIKE</v>
      </c>
      <c r="O7" s="159" t="s">
        <v>178</v>
      </c>
      <c r="P7" s="119" t="s">
        <v>350</v>
      </c>
      <c r="Q7" s="30"/>
      <c r="R7" s="68" t="str">
        <f>VLOOKUP(C7,'Train Runs'!$A$13:$AE$10084,31,0)</f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S7" s="71" t="str">
        <f>VLOOKUP(C7,'Train Runs'!$A$13:$AE$10084,22,0)</f>
        <v>https://d0f6bd738d7f1b3e5a7ca70fe4ff75f0.us-east-1.aws.found.io/app/kibana#/discover/Steve-Slow-Train-Analysis-(2080s-and-2083s)?_g=(refreshInterval:(display:Off,pause:!f,section:0,value:0),time:(from:'2017-10-29T17:53:42-0600',mode:absolute,to:'2017-10-29T20:48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7" s="73" t="str">
        <f t="shared" ref="T7:T28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/stypes="*4059*201710300*" /stext=" 01:.+((SYSTEM_STATE.+slice.+state.+changed )|(ment ac)|(multiple cpu faults)|(system.+state.+changed )|(\[timeout)|(PRM\|1\|D)|(kpr)|(kdp)|(train st.+moving)|(\|lc)|(penalty))"</v>
      </c>
      <c r="U7" s="9" t="str">
        <f t="shared" ref="U7:U28" si="2">MID(B7,13,4)</f>
        <v>4059</v>
      </c>
      <c r="V7" s="31">
        <f t="shared" ref="V7:V28" si="3">A7-utc_offset/24</f>
        <v>43038.069918981484</v>
      </c>
      <c r="W7" s="45" t="str">
        <f t="shared" ref="W7:W28" si="4">DetSubdiv(C7)</f>
        <v>EC</v>
      </c>
      <c r="X7" s="22">
        <f t="shared" ref="X7:X28" si="5">VALUE(LEFT(C7,LEN(C7)-3))</f>
        <v>218</v>
      </c>
      <c r="Y7" s="81" t="str">
        <f t="shared" ref="Y7:Y2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Arrival","project_id":79,"tracker_id":40,"status_id":1,"priority_id":2,"assigned_to_id":338,"start_date":"2017-10-29","description":"","custom_fields":[{"id":1,"name":"Subdivision","value":"EC"},{"id":4,"name":"Milepost","value":"3.097"},{"id":17,"name":"Train ID","value":"218-29"},{"id":16,"name":"Locomotive ID","value":"4059"},{"id":130,"name":"Impact","value":""},{"id":150,"name":"Time of Event (Mountain Time)","value":"19:40:41"},{"id":151,"name":"Denver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43"/>
      <c r="AA7" s="46"/>
      <c r="AB7" s="46"/>
      <c r="AC7" s="100" t="str">
        <f t="shared" ref="AC7:AC28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/c/Users/stu/AppData/Local/Temp/OnboardLogs/RTDC4059 --include="*4059*201710300*"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"%USERPROFILE%\AppData\Local\Temp\OnboardLogs"\RTDC4059\*4059*201710300* &gt;&gt; 2017-10-29-SliceDisagreementCheck.txt</v>
      </c>
      <c r="AE7" s="130" t="str">
        <f t="shared" ref="AE7" si="8">"start /low /b "&amp;dls3logs&amp;" --loco "&amp;U7&amp;" --day "&amp;TEXT(V7,"YYYY-MM-DD")</f>
        <v>start /low /b %USERPROFILE%\Documents\GitHub\eaglep3\Utilities\DownloadLogsFromS3.py --loco 4059 --day 2017-10-30</v>
      </c>
    </row>
    <row r="8" spans="1:32" s="1" customFormat="1" x14ac:dyDescent="0.3">
      <c r="A8" s="31">
        <v>43037.459317129629</v>
      </c>
      <c r="B8" s="30" t="s">
        <v>535</v>
      </c>
      <c r="C8" s="30" t="s">
        <v>637</v>
      </c>
      <c r="D8" s="30" t="s">
        <v>49</v>
      </c>
      <c r="E8" s="30" t="s">
        <v>185</v>
      </c>
      <c r="F8" s="42">
        <v>0</v>
      </c>
      <c r="G8" s="42">
        <v>343</v>
      </c>
      <c r="H8" s="42">
        <v>109499</v>
      </c>
      <c r="I8" s="42">
        <v>108974</v>
      </c>
      <c r="J8" s="30" t="s">
        <v>186</v>
      </c>
      <c r="K8" s="42">
        <v>109135</v>
      </c>
      <c r="L8" s="116" t="s">
        <v>51</v>
      </c>
      <c r="M8" s="117">
        <f t="shared" si="0"/>
        <v>-85.007999999999996</v>
      </c>
      <c r="N8" s="118" t="str">
        <f>VLOOKUP(C8,'Trips&amp;Operators'!$C$1:$G$99911,5,FALSE)</f>
        <v>PAGE MARCUS</v>
      </c>
      <c r="O8" s="119" t="s">
        <v>178</v>
      </c>
      <c r="P8" s="119" t="s">
        <v>350</v>
      </c>
      <c r="Q8" s="30"/>
      <c r="R8" s="68" t="str">
        <f>VLOOKUP(C8,'Train Runs'!$A$13:$AE$10084,31,0)</f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S8" s="71" t="str">
        <f>VLOOKUP(C8,'Train Runs'!$A$13:$AE$10084,22,0)</f>
        <v>https://d0f6bd738d7f1b3e5a7ca70fe4ff75f0.us-east-1.aws.found.io/app/kibana#/discover/Steve-Slow-Train-Analysis-(2080s-and-2083s)?_g=(refreshInterval:(display:Off,pause:!f,section:0,value:0),time:(from:'2017-10-29T09:36:16-0600',mode:absolute,to:'2017-10-29T12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8" s="73" t="str">
        <f t="shared" si="1"/>
        <v>"C:\Program Files (x86)\AstroGrep\AstroGrep.exe" /e /r /s /spath="%USERPROFILE%\AppData\Local\Temp\OnboardLogs" /stypes="*4015*201710291*" /stext=" 17:.+((SYSTEM_STATE.+slice.+state.+changed )|(ment ac)|(multiple cpu faults)|(system.+state.+changed )|(\[timeout)|(PRM\|1\|D)|(kpr)|(kdp)|(train st.+moving)|(\|lc)|(penalty))"</v>
      </c>
      <c r="U8" s="9" t="str">
        <f t="shared" si="2"/>
        <v>4015</v>
      </c>
      <c r="V8" s="31">
        <f t="shared" si="3"/>
        <v>43037.709317129629</v>
      </c>
      <c r="W8" s="45" t="str">
        <f t="shared" si="4"/>
        <v>EC</v>
      </c>
      <c r="X8" s="22">
        <f t="shared" si="5"/>
        <v>150</v>
      </c>
      <c r="Y8" s="81" t="str">
        <f t="shared" si="6"/>
        <v>echo {"issue":{"subject":"Early Arrival","project_id":79,"tracker_id":40,"status_id":1,"priority_id":2,"assigned_to_id":338,"start_date":"2017-10-29","description":"","custom_fields":[{"id":1,"name":"Subdivision","value":"EC"},{"id":4,"name":"Milepost","value":"10.9135"},{"id":17,"name":"Train ID","value":"150-29"},{"id":16,"name":"Locomotive ID","value":"4015"},{"id":130,"name":"Impact","value":""},{"id":150,"name":"Time of Event (Mountain Time)","value":"11:01:25"},{"id":151,"name":"Denver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43"/>
      <c r="AA8" s="46"/>
      <c r="AB8" s="46"/>
      <c r="AC8" s="100" t="str">
        <f t="shared" si="7"/>
        <v>grep -hrE -A400 "Enforcement Action" /c/Users/stu/AppData/Local/Temp/OnboardLogs/RTDC4015 --include="*4015*201710291*"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"%USERPROFILE%\AppData\Local\Temp\OnboardLogs"\RTDC4015\*4015*201710291* &gt;&gt; 2017-10-29-SliceDisagreementCheck.txt</v>
      </c>
      <c r="AE8" s="130" t="str">
        <f t="shared" ref="AE8:AE28" si="9">"start /low /b "&amp;dls3logs&amp;" --loco "&amp;U8&amp;" --day "&amp;TEXT(V8,"YYYY-MM-DD")</f>
        <v>start /low /b %USERPROFILE%\Documents\GitHub\eaglep3\Utilities\DownloadLogsFromS3.py --loco 4015 --day 2017-10-29</v>
      </c>
    </row>
    <row r="9" spans="1:32" s="1" customFormat="1" x14ac:dyDescent="0.3">
      <c r="A9" s="31">
        <v>43037.421932870369</v>
      </c>
      <c r="B9" s="30" t="s">
        <v>407</v>
      </c>
      <c r="C9" s="30" t="s">
        <v>634</v>
      </c>
      <c r="D9" s="30" t="s">
        <v>95</v>
      </c>
      <c r="E9" s="30" t="s">
        <v>192</v>
      </c>
      <c r="F9" s="42">
        <v>200</v>
      </c>
      <c r="G9" s="42">
        <v>258</v>
      </c>
      <c r="H9" s="42">
        <v>5442</v>
      </c>
      <c r="I9" s="42">
        <v>6168</v>
      </c>
      <c r="J9" s="30" t="s">
        <v>193</v>
      </c>
      <c r="K9" s="42">
        <v>4677</v>
      </c>
      <c r="L9" s="116" t="s">
        <v>50</v>
      </c>
      <c r="M9" s="117">
        <f t="shared" si="0"/>
        <v>-787.24800000000005</v>
      </c>
      <c r="N9" s="118" t="str">
        <f>VLOOKUP(C9,'Trips&amp;Operators'!$C$1:$G$99911,5,FALSE)</f>
        <v>GEBRETEKLE DAGNEW</v>
      </c>
      <c r="O9" s="159" t="s">
        <v>178</v>
      </c>
      <c r="P9" s="119"/>
      <c r="Q9" s="30"/>
      <c r="R9" s="68" t="str">
        <f>VLOOKUP(C9,'Train Runs'!$A$13:$AE$10084,31,0)</f>
        <v>aws s3 cp s3://rtdc.mdm.uploadarchive.raw/RTDC4006/ "%USERPROFILE%\AppData\Local\Temp\OnboardLogs"\RTDC4006\2017-10-29 --exclude "*" --recursive --include "*20171029*" &amp; "%USERPROFILE%\Documents\GitHub\mrs-test-scripts\Headless Mode &amp; Sideloading\WalkAndUnGZ.bat" "%USERPROFILE%\AppData\Local\Temp\OnboardLogs"\RTDC4006\2017-10-29 &amp; aws s3 cp s3://rtdc.mdm.uploadarchive.raw/RTDC4006/ "%USERPROFILE%\AppData\Local\Temp\OnboardLogs"\RTDC4006\2017-10-30 --exclude "*" --recursive --include "*20171030*" &amp; "%USERPROFILE%\Documents\GitHub\mrs-test-scripts\Headless Mode &amp; Sideloading\WalkAndUnGZ.bat" "%USERPROFILE%\AppData\Local\Temp\OnboardLogs"\RTDC4006\2017-10-30</v>
      </c>
      <c r="S9" s="71" t="str">
        <f>VLOOKUP(C9,'Train Runs'!$A$13:$AE$10084,22,0)</f>
        <v>https://d0f6bd738d7f1b3e5a7ca70fe4ff75f0.us-east-1.aws.found.io/app/kibana#/discover/Steve-Slow-Train-Analysis-(2080s-and-2083s)?_g=(refreshInterval:(display:Off,pause:!f,section:0,value:0),time:(from:'2017-10-29T08:54:43-0600',mode:absolute,to:'2017-10-29T11:40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T9" s="73" t="str">
        <f t="shared" si="1"/>
        <v>"C:\Program Files (x86)\AstroGrep\AstroGrep.exe" /e /r /s /spath="%USERPROFILE%\AppData\Local\Temp\OnboardLogs" /stypes="*4006*201710291*" /stext=" 16:.+((SYSTEM_STATE.+slice.+state.+changed )|(ment ac)|(multiple cpu faults)|(system.+state.+changed )|(\[timeout)|(PRM\|1\|D)|(kpr)|(kdp)|(train st.+moving)|(\|lc)|(penalty))"</v>
      </c>
      <c r="U9" s="9" t="str">
        <f t="shared" si="2"/>
        <v>4006</v>
      </c>
      <c r="V9" s="31">
        <f t="shared" si="3"/>
        <v>43037.671932870369</v>
      </c>
      <c r="W9" s="45" t="str">
        <f t="shared" si="4"/>
        <v>EC</v>
      </c>
      <c r="X9" s="22">
        <f t="shared" si="5"/>
        <v>151</v>
      </c>
      <c r="Y9" s="81" t="str">
        <f t="shared" si="6"/>
        <v>echo {"issue":{"subject":"","project_id":79,"tracker_id":40,"status_id":1,"priority_id":2,"assigned_to_id":338,"start_date":"2017-10-29","description":"","custom_fields":[{"id":1,"name":"Subdivision","value":"EC"},{"id":4,"name":"Milepost","value":"0.4677"},{"id":17,"name":"Train ID","value":"151-29"},{"id":16,"name":"Locomotive ID","value":"4006"},{"id":130,"name":"Impact","value":""},{"id":150,"name":"Time of Event (Mountain Time)","value":"10:07:35"},{"id":151,"name":"Denver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43"/>
      <c r="AA9" s="46"/>
      <c r="AB9" s="46"/>
      <c r="AC9" s="100" t="str">
        <f t="shared" si="7"/>
        <v>grep -hrE -A400 "Enforcement Action" /c/Users/stu/AppData/Local/Temp/OnboardLogs/RTDC4006 --include="*4006*201710291*"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"%USERPROFILE%\AppData\Local\Temp\OnboardLogs"\RTDC4006\*4006*201710291* &gt;&gt; 2017-10-29-SliceDisagreementCheck.txt</v>
      </c>
      <c r="AE9" s="130" t="str">
        <f t="shared" si="9"/>
        <v>start /low /b %USERPROFILE%\Documents\GitHub\eaglep3\Utilities\DownloadLogsFromS3.py --loco 4006 --day 2017-10-29</v>
      </c>
    </row>
    <row r="10" spans="1:32" s="1" customFormat="1" x14ac:dyDescent="0.3">
      <c r="A10" s="31">
        <v>43037.138402777775</v>
      </c>
      <c r="B10" s="30" t="s">
        <v>487</v>
      </c>
      <c r="C10" s="30" t="s">
        <v>630</v>
      </c>
      <c r="D10" s="30" t="s">
        <v>49</v>
      </c>
      <c r="E10" s="30" t="s">
        <v>192</v>
      </c>
      <c r="F10" s="42">
        <v>400</v>
      </c>
      <c r="G10" s="42">
        <v>464</v>
      </c>
      <c r="H10" s="42">
        <v>17612</v>
      </c>
      <c r="I10" s="42">
        <v>18250</v>
      </c>
      <c r="J10" s="30" t="s">
        <v>193</v>
      </c>
      <c r="K10" s="42">
        <v>17867</v>
      </c>
      <c r="L10" s="116" t="s">
        <v>50</v>
      </c>
      <c r="M10" s="117">
        <f t="shared" si="0"/>
        <v>-202.22399999999999</v>
      </c>
      <c r="N10" s="118" t="str">
        <f>VLOOKUP(C10,'Trips&amp;Operators'!$C$1:$G$99911,5,FALSE)</f>
        <v>THOMPSON LESTER</v>
      </c>
      <c r="O10" s="159" t="s">
        <v>178</v>
      </c>
      <c r="P10" s="119"/>
      <c r="Q10" s="30"/>
      <c r="R10" s="68" t="str">
        <f>VLOOKUP(C10,'Train Runs'!$A$13:$AE$10084,31,0)</f>
        <v>aws s3 cp s3://rtdc.mdm.uploadarchive.raw/RTDC4046/ "%USERPROFILE%\AppData\Local\Temp\OnboardLogs"\RTDC4046\2017-10-29 --exclude "*" --recursive --include "*20171029*" &amp; "%USERPROFILE%\Documents\GitHub\mrs-test-scripts\Headless Mode &amp; Sideloading\WalkAndUnGZ.bat" "%USERPROFILE%\AppData\Local\Temp\OnboardLogs"\RTDC4046\2017-10-29 &amp; aws s3 cp s3://rtdc.mdm.uploadarchive.raw/RTDC4046/ "%USERPROFILE%\AppData\Local\Temp\OnboardLogs"\RTDC4046\2017-10-30 --exclude "*" --recursive --include "*20171030*" &amp; "%USERPROFILE%\Documents\GitHub\mrs-test-scripts\Headless Mode &amp; Sideloading\WalkAndUnGZ.bat" "%USERPROFILE%\AppData\Local\Temp\OnboardLogs"\RTDC4046\2017-10-30</v>
      </c>
      <c r="S10" s="71" t="str">
        <f>VLOOKUP(C10,'Train Runs'!$A$13:$AE$10084,22,0)</f>
        <v>https://d0f6bd738d7f1b3e5a7ca70fe4ff75f0.us-east-1.aws.found.io/app/kibana#/discover/Steve-Slow-Train-Analysis-(2080s-and-2083s)?_g=(refreshInterval:(display:Off,pause:!f,section:0,value:0),time:(from:'2017-10-29T02:08:02-0600',mode:absolute,to:'2017-10-29T04:52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0" s="73" t="str">
        <f t="shared" si="1"/>
        <v>"C:\Program Files (x86)\AstroGrep\AstroGrep.exe" /e /r /s /spath="%USERPROFILE%\AppData\Local\Temp\OnboardLogs" /stypes="*4046*201710290*" /stext=" 09:.+((SYSTEM_STATE.+slice.+state.+changed )|(ment ac)|(multiple cpu faults)|(system.+state.+changed )|(\[timeout)|(PRM\|1\|D)|(kpr)|(kdp)|(train st.+moving)|(\|lc)|(penalty))"</v>
      </c>
      <c r="U10" s="9" t="str">
        <f t="shared" si="2"/>
        <v>4046</v>
      </c>
      <c r="V10" s="31">
        <f t="shared" si="3"/>
        <v>43037.388402777775</v>
      </c>
      <c r="W10" s="45" t="str">
        <f t="shared" si="4"/>
        <v>EC</v>
      </c>
      <c r="X10" s="22">
        <f t="shared" si="5"/>
        <v>101</v>
      </c>
      <c r="Y10" s="81" t="str">
        <f t="shared" si="6"/>
        <v>echo {"issue":{"subject":"","project_id":79,"tracker_id":40,"status_id":1,"priority_id":2,"assigned_to_id":338,"start_date":"2017-10-29","description":"","custom_fields":[{"id":1,"name":"Subdivision","value":"EC"},{"id":4,"name":"Milepost","value":"1.7867"},{"id":17,"name":"Train ID","value":"101-29"},{"id":16,"name":"Locomotive ID","value":"4046"},{"id":130,"name":"Impact","value":""},{"id":150,"name":"Time of Event (Mountain Time)","value":"03:19:18"},{"id":151,"name":"Denver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43"/>
      <c r="AA10" s="46"/>
      <c r="AB10" s="46"/>
      <c r="AC10" s="100" t="str">
        <f t="shared" si="7"/>
        <v>grep -hrE -A400 "Enforcement Action" /c/Users/stu/AppData/Local/Temp/OnboardLogs/RTDC4046 --include="*4046*201710290*"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"%USERPROFILE%\AppData\Local\Temp\OnboardLogs"\RTDC4046\*4046*201710290* &gt;&gt; 2017-10-29-SliceDisagreementCheck.txt</v>
      </c>
      <c r="AE10" s="130" t="str">
        <f t="shared" si="9"/>
        <v>start /low /b %USERPROFILE%\Documents\GitHub\eaglep3\Utilities\DownloadLogsFromS3.py --loco 4046 --day 2017-10-29</v>
      </c>
    </row>
    <row r="11" spans="1:32" s="1" customFormat="1" x14ac:dyDescent="0.3">
      <c r="A11" s="31">
        <v>43037.398472222223</v>
      </c>
      <c r="B11" s="30" t="s">
        <v>506</v>
      </c>
      <c r="C11" s="30" t="s">
        <v>633</v>
      </c>
      <c r="D11" s="30" t="s">
        <v>95</v>
      </c>
      <c r="E11" s="30" t="s">
        <v>192</v>
      </c>
      <c r="F11" s="42">
        <v>600</v>
      </c>
      <c r="G11" s="42">
        <v>653</v>
      </c>
      <c r="H11" s="42">
        <v>184152</v>
      </c>
      <c r="I11" s="42">
        <v>181193</v>
      </c>
      <c r="J11" s="30" t="s">
        <v>193</v>
      </c>
      <c r="K11" s="42">
        <v>190834</v>
      </c>
      <c r="L11" s="116" t="s">
        <v>51</v>
      </c>
      <c r="M11" s="117">
        <f t="shared" si="0"/>
        <v>-5090.4480000000003</v>
      </c>
      <c r="N11" s="118" t="str">
        <f>VLOOKUP(C11,'Trips&amp;Operators'!$C$1:$G$99911,5,FALSE)</f>
        <v>THOMPSON LESTER</v>
      </c>
      <c r="O11" s="159" t="s">
        <v>178</v>
      </c>
      <c r="P11" s="119"/>
      <c r="Q11" s="30"/>
      <c r="R11" s="68" t="str">
        <f>VLOOKUP(C11,'Train Runs'!$A$13:$AE$10084,31,0)</f>
        <v>aws s3 cp s3://rtdc.mdm.uploadarchive.raw/RTDC4045/ "%USERPROFILE%\AppData\Local\Temp\OnboardLogs"\RTDC4045\2017-10-29 --exclude "*" --recursive --include "*20171029*" &amp; "%USERPROFILE%\Documents\GitHub\mrs-test-scripts\Headless Mode &amp; Sideloading\WalkAndUnGZ.bat" "%USERPROFILE%\AppData\Local\Temp\OnboardLogs"\RTDC4045\2017-10-29 &amp; aws s3 cp s3://rtdc.mdm.uploadarchive.raw/RTDC4045/ "%USERPROFILE%\AppData\Local\Temp\OnboardLogs"\RTDC4045\2017-10-30 --exclude "*" --recursive --include "*20171030*" &amp; "%USERPROFILE%\Documents\GitHub\mrs-test-scripts\Headless Mode &amp; Sideloading\WalkAndUnGZ.bat" "%USERPROFILE%\AppData\Local\Temp\OnboardLogs"\RTDC4045\2017-10-30</v>
      </c>
      <c r="S11" s="71" t="str">
        <f>VLOOKUP(C11,'Train Runs'!$A$13:$AE$10084,22,0)</f>
        <v>https://d0f6bd738d7f1b3e5a7ca70fe4ff75f0.us-east-1.aws.found.io/app/kibana#/discover/Steve-Slow-Train-Analysis-(2080s-and-2083s)?_g=(refreshInterval:(display:Off,pause:!f,section:0,value:0),time:(from:'2017-10-29T08:24:15-0600',mode:absolute,to:'2017-10-29T11:16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1" s="73" t="str">
        <f t="shared" si="1"/>
        <v>"C:\Program Files (x86)\AstroGrep\AstroGrep.exe" /e /r /s /spath="%USERPROFILE%\AppData\Local\Temp\OnboardLogs" /stypes="*4045*201710291*" /stext=" 15:.+((SYSTEM_STATE.+slice.+state.+changed )|(ment ac)|(multiple cpu faults)|(system.+state.+changed )|(\[timeout)|(PRM\|1\|D)|(kpr)|(kdp)|(train st.+moving)|(\|lc)|(penalty))"</v>
      </c>
      <c r="U11" s="9" t="str">
        <f t="shared" si="2"/>
        <v>4045</v>
      </c>
      <c r="V11" s="31">
        <f t="shared" si="3"/>
        <v>43037.648472222223</v>
      </c>
      <c r="W11" s="45" t="str">
        <f t="shared" si="4"/>
        <v>EC</v>
      </c>
      <c r="X11" s="22">
        <f t="shared" si="5"/>
        <v>140</v>
      </c>
      <c r="Y11" s="81" t="str">
        <f t="shared" si="6"/>
        <v>echo {"issue":{"subject":"","project_id":79,"tracker_id":40,"status_id":1,"priority_id":2,"assigned_to_id":338,"start_date":"2017-10-29","description":"","custom_fields":[{"id":1,"name":"Subdivision","value":"EC"},{"id":4,"name":"Milepost","value":"19.0834"},{"id":17,"name":"Train ID","value":"140-29"},{"id":16,"name":"Locomotive ID","value":"4045"},{"id":130,"name":"Impact","value":""},{"id":150,"name":"Time of Event (Mountain Time)","value":"09:33:48"},{"id":151,"name":"Denver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43"/>
      <c r="AA11" s="46"/>
      <c r="AB11" s="46"/>
      <c r="AC11" s="100" t="str">
        <f t="shared" si="7"/>
        <v>grep -hrE -A400 "Enforcement Action" /c/Users/stu/AppData/Local/Temp/OnboardLogs/RTDC4045 --include="*4045*201710291*"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"%USERPROFILE%\AppData\Local\Temp\OnboardLogs"\RTDC4045\*4045*201710291* &gt;&gt; 2017-10-29-SliceDisagreementCheck.txt</v>
      </c>
      <c r="AE11" s="130" t="str">
        <f t="shared" si="9"/>
        <v>start /low /b %USERPROFILE%\Documents\GitHub\eaglep3\Utilities\DownloadLogsFromS3.py --loco 4045 --day 2017-10-29</v>
      </c>
    </row>
    <row r="12" spans="1:32" x14ac:dyDescent="0.3">
      <c r="A12" s="31">
        <v>43037.873229166667</v>
      </c>
      <c r="B12" s="30" t="s">
        <v>389</v>
      </c>
      <c r="C12" s="30" t="s">
        <v>648</v>
      </c>
      <c r="D12" s="30" t="s">
        <v>95</v>
      </c>
      <c r="E12" s="30" t="s">
        <v>192</v>
      </c>
      <c r="F12" s="42">
        <v>150</v>
      </c>
      <c r="G12" s="42">
        <v>220</v>
      </c>
      <c r="H12" s="42">
        <v>232407</v>
      </c>
      <c r="I12" s="42">
        <v>232165</v>
      </c>
      <c r="J12" s="30" t="s">
        <v>193</v>
      </c>
      <c r="K12" s="42">
        <v>233492</v>
      </c>
      <c r="L12" s="116" t="s">
        <v>51</v>
      </c>
      <c r="M12" s="117">
        <f t="shared" si="0"/>
        <v>-700.65600000000006</v>
      </c>
      <c r="N12" s="118" t="str">
        <f>VLOOKUP(C12,'Trips&amp;Operators'!$C$1:$G$99911,5,FALSE)</f>
        <v>ELBAUM MIKE</v>
      </c>
      <c r="O12" s="159" t="s">
        <v>178</v>
      </c>
      <c r="P12" s="119"/>
      <c r="Q12" s="30"/>
      <c r="R12" s="68" t="str">
        <f>VLOOKUP(C12,'Train Runs'!$A$13:$AE$10084,31,0)</f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S12" s="71" t="str">
        <f>VLOOKUP(C12,'Train Runs'!$A$13:$AE$10084,22,0)</f>
        <v>https://d0f6bd738d7f1b3e5a7ca70fe4ff75f0.us-east-1.aws.found.io/app/kibana#/discover/Steve-Slow-Train-Analysis-(2080s-and-2083s)?_g=(refreshInterval:(display:Off,pause:!f,section:0,value:0),time:(from:'2017-10-29T19:37:02-0600',mode:absolute,to:'2017-10-29T22:34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2" s="73" t="str">
        <f t="shared" si="1"/>
        <v>"C:\Program Files (x86)\AstroGrep\AstroGrep.exe" /e /r /s /spath="%USERPROFILE%\AppData\Local\Temp\OnboardLogs" /stypes="*4059*201710300*" /stext=" 02:.+((SYSTEM_STATE.+slice.+state.+changed )|(ment ac)|(multiple cpu faults)|(system.+state.+changed )|(\[timeout)|(PRM\|1\|D)|(kpr)|(kdp)|(train st.+moving)|(\|lc)|(penalty))"</v>
      </c>
      <c r="U12" s="9" t="str">
        <f t="shared" si="2"/>
        <v>4059</v>
      </c>
      <c r="V12" s="31">
        <f t="shared" si="3"/>
        <v>43038.123229166667</v>
      </c>
      <c r="W12" s="45" t="str">
        <f t="shared" si="4"/>
        <v>EC</v>
      </c>
      <c r="X12" s="22">
        <f t="shared" si="5"/>
        <v>226</v>
      </c>
      <c r="Y12" s="81" t="str">
        <f t="shared" si="6"/>
        <v>echo {"issue":{"subject":"","project_id":79,"tracker_id":40,"status_id":1,"priority_id":2,"assigned_to_id":338,"start_date":"2017-10-29","description":"","custom_fields":[{"id":1,"name":"Subdivision","value":"EC"},{"id":4,"name":"Milepost","value":"23.3492"},{"id":17,"name":"Train ID","value":"226-29"},{"id":16,"name":"Locomotive ID","value":"4059"},{"id":130,"name":"Impact","value":""},{"id":150,"name":"Time of Event (Mountain Time)","value":"20:57:27"},{"id":151,"name":"Denver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43"/>
      <c r="AA12" s="46"/>
      <c r="AB12" s="46"/>
      <c r="AC12" s="100" t="str">
        <f t="shared" si="7"/>
        <v>grep -hrE -A400 "Enforcement Action" /c/Users/stu/AppData/Local/Temp/OnboardLogs/RTDC4059 --include="*4059*201710300*"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"%USERPROFILE%\AppData\Local\Temp\OnboardLogs"\RTDC4059\*4059*201710300* &gt;&gt; 2017-10-29-SliceDisagreementCheck.txt</v>
      </c>
      <c r="AE12" s="130" t="str">
        <f t="shared" si="9"/>
        <v>start /low /b %USERPROFILE%\Documents\GitHub\eaglep3\Utilities\DownloadLogsFromS3.py --loco 4059 --day 2017-10-30</v>
      </c>
      <c r="AF12" s="1"/>
    </row>
    <row r="13" spans="1:32" x14ac:dyDescent="0.3">
      <c r="A13" s="31">
        <v>43037.428680555553</v>
      </c>
      <c r="B13" s="30" t="s">
        <v>635</v>
      </c>
      <c r="C13" s="30" t="s">
        <v>636</v>
      </c>
      <c r="D13" s="30" t="s">
        <v>95</v>
      </c>
      <c r="E13" s="30" t="s">
        <v>383</v>
      </c>
      <c r="F13" s="42">
        <v>0</v>
      </c>
      <c r="G13" s="42">
        <v>63</v>
      </c>
      <c r="H13" s="42">
        <v>1821</v>
      </c>
      <c r="I13" s="42">
        <v>1917</v>
      </c>
      <c r="J13" s="30" t="s">
        <v>384</v>
      </c>
      <c r="K13" s="42">
        <v>1692</v>
      </c>
      <c r="L13" s="116" t="s">
        <v>50</v>
      </c>
      <c r="M13" s="117">
        <f t="shared" si="0"/>
        <v>-118.8</v>
      </c>
      <c r="N13" s="118" t="str">
        <f>VLOOKUP(C13,'Trips&amp;Operators'!$C$1:$G$99911,5,FALSE)</f>
        <v>BADERTSCHER DIANE</v>
      </c>
      <c r="O13" s="159" t="s">
        <v>364</v>
      </c>
      <c r="P13" s="119" t="s">
        <v>1101</v>
      </c>
      <c r="Q13" s="30"/>
      <c r="R13" s="68" t="str">
        <f>VLOOKUP(C13,'Train Runs'!$A$13:$AE$10084,31,0)</f>
        <v>aws s3 cp s3://rtdc.mdm.uploadarchive.raw/RTDC4062/ "%USERPROFILE%\AppData\Local\Temp\OnboardLogs"\RTDC4062\2017-10-29 --exclude "*" --recursive --include "*20171029*" &amp; "%USERPROFILE%\Documents\GitHub\mrs-test-scripts\Headless Mode &amp; Sideloading\WalkAndUnGZ.bat" "%USERPROFILE%\AppData\Local\Temp\OnboardLogs"\RTDC4062\2017-10-29 &amp; aws s3 cp s3://rtdc.mdm.uploadarchive.raw/RTDC4062/ "%USERPROFILE%\AppData\Local\Temp\OnboardLogs"\RTDC4062\2017-10-30 --exclude "*" --recursive --include "*20171030*" &amp; "%USERPROFILE%\Documents\GitHub\mrs-test-scripts\Headless Mode &amp; Sideloading\WalkAndUnGZ.bat" "%USERPROFILE%\AppData\Local\Temp\OnboardLogs"\RTDC4062\2017-10-30</v>
      </c>
      <c r="S13" s="71" t="str">
        <f>VLOOKUP(C13,'Train Runs'!$A$13:$AE$10084,22,0)</f>
        <v>https://d0f6bd738d7f1b3e5a7ca70fe4ff75f0.us-east-1.aws.found.io/app/kibana#/discover/Steve-Slow-Train-Analysis-(2080s-and-2083s)?_g=(refreshInterval:(display:Off,pause:!f,section:0,value:0),time:(from:'2017-10-29T09:11:48-0600',mode:absolute,to:'2017-10-29T11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13" s="73" t="str">
        <f t="shared" si="1"/>
        <v>"C:\Program Files (x86)\AstroGrep\AstroGrep.exe" /e /r /s /spath="%USERPROFILE%\AppData\Local\Temp\OnboardLogs" /stypes="*4062*201710291*" /stext=" 16:.+((SYSTEM_STATE.+slice.+state.+changed )|(ment ac)|(multiple cpu faults)|(system.+state.+changed )|(\[timeout)|(PRM\|1\|D)|(kpr)|(kdp)|(train st.+moving)|(\|lc)|(penalty))"</v>
      </c>
      <c r="U13" s="9" t="str">
        <f t="shared" si="2"/>
        <v>4062</v>
      </c>
      <c r="V13" s="31">
        <f t="shared" si="3"/>
        <v>43037.678680555553</v>
      </c>
      <c r="W13" s="45" t="str">
        <f t="shared" si="4"/>
        <v>EC</v>
      </c>
      <c r="X13" s="22">
        <f t="shared" si="5"/>
        <v>153</v>
      </c>
      <c r="Y13" s="81" t="str">
        <f t="shared" si="6"/>
        <v>echo {"issue":{"subject":"Main 3 departure","project_id":79,"tracker_id":40,"status_id":1,"priority_id":2,"assigned_to_id":338,"start_date":"2017-10-29","description":"","custom_fields":[{"id":1,"name":"Subdivision","value":"EC"},{"id":4,"name":"Milepost","value":"0.1692"},{"id":17,"name":"Train ID","value":"153-29"},{"id":16,"name":"Locomotive ID","value":"4062"},{"id":130,"name":"Impact","value":""},{"id":150,"name":"Time of Event (Mountain Time)","value":"10:17:18"},{"id":151,"name":"Denver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43"/>
      <c r="AA13" s="46"/>
      <c r="AB13" s="46"/>
      <c r="AC13" s="100" t="str">
        <f t="shared" si="7"/>
        <v>grep -hrE -A400 "Enforcement Action" /c/Users/stu/AppData/Local/Temp/OnboardLogs/RTDC4062 --include="*4062*201710291*"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"%USERPROFILE%\AppData\Local\Temp\OnboardLogs"\RTDC4062\*4062*201710291* &gt;&gt; 2017-10-29-SliceDisagreementCheck.txt</v>
      </c>
      <c r="AE13" s="130" t="str">
        <f t="shared" si="9"/>
        <v>start /low /b %USERPROFILE%\Documents\GitHub\eaglep3\Utilities\DownloadLogsFromS3.py --loco 4062 --day 2017-10-29</v>
      </c>
      <c r="AF13" s="1"/>
    </row>
    <row r="14" spans="1:32" x14ac:dyDescent="0.3">
      <c r="A14" s="31">
        <v>43037.294456018521</v>
      </c>
      <c r="B14" s="30" t="s">
        <v>508</v>
      </c>
      <c r="C14" s="30" t="s">
        <v>631</v>
      </c>
      <c r="D14" s="30" t="s">
        <v>49</v>
      </c>
      <c r="E14" s="30" t="s">
        <v>383</v>
      </c>
      <c r="F14" s="42">
        <v>0</v>
      </c>
      <c r="G14" s="42">
        <v>463</v>
      </c>
      <c r="H14" s="42">
        <v>84447</v>
      </c>
      <c r="I14" s="42">
        <v>82515</v>
      </c>
      <c r="J14" s="30" t="s">
        <v>384</v>
      </c>
      <c r="K14" s="42">
        <v>81751</v>
      </c>
      <c r="L14" s="116" t="s">
        <v>51</v>
      </c>
      <c r="M14" s="117">
        <f t="shared" si="0"/>
        <v>403.392</v>
      </c>
      <c r="N14" s="118" t="str">
        <f>VLOOKUP(C14,'Trips&amp;Operators'!$C$1:$G$99911,5,FALSE)</f>
        <v>LAMAR NEKESHA</v>
      </c>
      <c r="O14" s="159" t="s">
        <v>364</v>
      </c>
      <c r="P14" s="119" t="s">
        <v>385</v>
      </c>
      <c r="Q14" s="30"/>
      <c r="R14" s="68" t="str">
        <f>VLOOKUP(C14,'Train Runs'!$A$13:$AE$10084,31,0)</f>
        <v>aws s3 cp s3://rtdc.mdm.uploadarchive.raw/RTDC4051/ "%USERPROFILE%\AppData\Local\Temp\OnboardLogs"\RTDC4051\2017-10-29 --exclude "*" --recursive --include "*20171029*" &amp; "%USERPROFILE%\Documents\GitHub\mrs-test-scripts\Headless Mode &amp; Sideloading\WalkAndUnGZ.bat" "%USERPROFILE%\AppData\Local\Temp\OnboardLogs"\RTDC4051\2017-10-29 &amp; aws s3 cp s3://rtdc.mdm.uploadarchive.raw/RTDC4051/ "%USERPROFILE%\AppData\Local\Temp\OnboardLogs"\RTDC4051\2017-10-30 --exclude "*" --recursive --include "*20171030*" &amp; "%USERPROFILE%\Documents\GitHub\mrs-test-scripts\Headless Mode &amp; Sideloading\WalkAndUnGZ.bat" "%USERPROFILE%\AppData\Local\Temp\OnboardLogs"\RTDC4051\2017-10-30</v>
      </c>
      <c r="S14" s="71" t="str">
        <f>VLOOKUP(C14,'Train Runs'!$A$13:$AE$10084,22,0)</f>
        <v>https://d0f6bd738d7f1b3e5a7ca70fe4ff75f0.us-east-1.aws.found.io/app/kibana#/discover/Steve-Slow-Train-Analysis-(2080s-and-2083s)?_g=(refreshInterval:(display:Off,pause:!f,section:0,value:0),time:(from:'2017-10-29T05:37:30-0600',mode:absolute,to:'2017-10-29T08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14" s="73" t="str">
        <f t="shared" si="1"/>
        <v>"C:\Program Files (x86)\AstroGrep\AstroGrep.exe" /e /r /s /spath="%USERPROFILE%\AppData\Local\Temp\OnboardLogs" /stypes="*4051*201710291*" /stext=" 13:.+((SYSTEM_STATE.+slice.+state.+changed )|(ment ac)|(multiple cpu faults)|(system.+state.+changed )|(\[timeout)|(PRM\|1\|D)|(kpr)|(kdp)|(train st.+moving)|(\|lc)|(penalty))"</v>
      </c>
      <c r="U14" s="9" t="str">
        <f t="shared" si="2"/>
        <v>4051</v>
      </c>
      <c r="V14" s="31">
        <f t="shared" si="3"/>
        <v>43037.544456018521</v>
      </c>
      <c r="W14" s="45" t="str">
        <f t="shared" si="4"/>
        <v>EC</v>
      </c>
      <c r="X14" s="22">
        <f t="shared" si="5"/>
        <v>118</v>
      </c>
      <c r="Y14" s="81" t="str">
        <f t="shared" si="6"/>
        <v>echo {"issue":{"subject":"Wi-MAX data drop","project_id":79,"tracker_id":40,"status_id":1,"priority_id":2,"assigned_to_id":338,"start_date":"2017-10-29","description":"","custom_fields":[{"id":1,"name":"Subdivision","value":"EC"},{"id":4,"name":"Milepost","value":"8.1751"},{"id":17,"name":"Train ID","value":"118-29"},{"id":16,"name":"Locomotive ID","value":"4051"},{"id":130,"name":"Impact","value":""},{"id":150,"name":"Time of Event (Mountain Time)","value":"07:04:01"},{"id":151,"name":"Denver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43"/>
      <c r="AA14" s="46"/>
      <c r="AB14" s="46"/>
      <c r="AC14" s="100" t="str">
        <f t="shared" si="7"/>
        <v>grep -hrE -A400 "Enforcement Action" /c/Users/stu/AppData/Local/Temp/OnboardLogs/RTDC4051 --include="*4051*201710291*"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"%USERPROFILE%\AppData\Local\Temp\OnboardLogs"\RTDC4051\*4051*201710291* &gt;&gt; 2017-10-29-SliceDisagreementCheck.txt</v>
      </c>
      <c r="AE14" s="130" t="str">
        <f t="shared" si="9"/>
        <v>start /low /b %USERPROFILE%\Documents\GitHub\eaglep3\Utilities\DownloadLogsFromS3.py --loco 4051 --day 2017-10-29</v>
      </c>
      <c r="AF14" s="1"/>
    </row>
    <row r="15" spans="1:32" x14ac:dyDescent="0.3">
      <c r="A15" s="31">
        <v>43037.30269675926</v>
      </c>
      <c r="B15" s="30" t="s">
        <v>389</v>
      </c>
      <c r="C15" s="30" t="s">
        <v>632</v>
      </c>
      <c r="D15" s="30" t="s">
        <v>49</v>
      </c>
      <c r="E15" s="30" t="s">
        <v>383</v>
      </c>
      <c r="F15" s="42">
        <v>0</v>
      </c>
      <c r="G15" s="42">
        <v>426</v>
      </c>
      <c r="H15" s="42">
        <v>120176</v>
      </c>
      <c r="I15" s="42">
        <v>118855</v>
      </c>
      <c r="J15" s="30" t="s">
        <v>384</v>
      </c>
      <c r="K15" s="42">
        <v>118741</v>
      </c>
      <c r="L15" s="116" t="s">
        <v>51</v>
      </c>
      <c r="M15" s="117">
        <f t="shared" si="0"/>
        <v>60.192</v>
      </c>
      <c r="N15" s="118" t="str">
        <f>VLOOKUP(C15,'Trips&amp;Operators'!$C$1:$G$99911,5,FALSE)</f>
        <v>LANGERAK WILLIAM</v>
      </c>
      <c r="O15" s="159" t="s">
        <v>364</v>
      </c>
      <c r="P15" s="119" t="s">
        <v>385</v>
      </c>
      <c r="Q15" s="30"/>
      <c r="R15" s="68" t="str">
        <f>VLOOKUP(C15,'Train Runs'!$A$13:$AE$10084,31,0)</f>
        <v>aws s3 cp s3://rtdc.mdm.uploadarchive.raw/RTDC4059/ "%USERPROFILE%\AppData\Local\Temp\OnboardLogs"\RTDC4059\2017-10-29 --exclude "*" --recursive --include "*20171029*" &amp; "%USERPROFILE%\Documents\GitHub\mrs-test-scripts\Headless Mode &amp; Sideloading\WalkAndUnGZ.bat" "%USERPROFILE%\AppData\Local\Temp\OnboardLogs"\RTDC4059\2017-10-29 &amp; aws s3 cp s3://rtdc.mdm.uploadarchive.raw/RTDC4059/ "%USERPROFILE%\AppData\Local\Temp\OnboardLogs"\RTDC4059\2017-10-30 --exclude "*" --recursive --include "*20171030*" &amp; "%USERPROFILE%\Documents\GitHub\mrs-test-scripts\Headless Mode &amp; Sideloading\WalkAndUnGZ.bat" "%USERPROFILE%\AppData\Local\Temp\OnboardLogs"\RTDC4059\2017-10-30</v>
      </c>
      <c r="S15" s="71" t="str">
        <f>VLOOKUP(C15,'Train Runs'!$A$13:$AE$10084,22,0)</f>
        <v>https://d0f6bd738d7f1b3e5a7ca70fe4ff75f0.us-east-1.aws.found.io/app/kibana#/discover/Steve-Slow-Train-Analysis-(2080s-and-2083s)?_g=(refreshInterval:(display:Off,pause:!f,section:0,value:0),time:(from:'2017-10-29T05:39:16-0600',mode:absolute,to:'2017-10-29T08:39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T15" s="73" t="str">
        <f t="shared" si="1"/>
        <v>"C:\Program Files (x86)\AstroGrep\AstroGrep.exe" /e /r /s /spath="%USERPROFILE%\AppData\Local\Temp\OnboardLogs" /stypes="*4059*201710291*" /stext=" 13:.+((SYSTEM_STATE.+slice.+state.+changed )|(ment ac)|(multiple cpu faults)|(system.+state.+changed )|(\[timeout)|(PRM\|1\|D)|(kpr)|(kdp)|(train st.+moving)|(\|lc)|(penalty))"</v>
      </c>
      <c r="U15" s="9" t="str">
        <f t="shared" si="2"/>
        <v>4059</v>
      </c>
      <c r="V15" s="31">
        <f t="shared" si="3"/>
        <v>43037.55269675926</v>
      </c>
      <c r="W15" s="45" t="str">
        <f t="shared" si="4"/>
        <v>EC</v>
      </c>
      <c r="X15" s="22">
        <f t="shared" si="5"/>
        <v>120</v>
      </c>
      <c r="Y15" s="81" t="str">
        <f t="shared" si="6"/>
        <v>echo {"issue":{"subject":"Wi-MAX data drop","project_id":79,"tracker_id":40,"status_id":1,"priority_id":2,"assigned_to_id":338,"start_date":"2017-10-29","description":"","custom_fields":[{"id":1,"name":"Subdivision","value":"EC"},{"id":4,"name":"Milepost","value":"11.8741"},{"id":17,"name":"Train ID","value":"120-29"},{"id":16,"name":"Locomotive ID","value":"4059"},{"id":130,"name":"Impact","value":""},{"id":150,"name":"Time of Event (Mountain Time)","value":"07:15:53"},{"id":151,"name":"Denver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43"/>
      <c r="AA15" s="46"/>
      <c r="AB15" s="46"/>
      <c r="AC15" s="100" t="str">
        <f t="shared" si="7"/>
        <v>grep -hrE -A400 "Enforcement Action" /c/Users/stu/AppData/Local/Temp/OnboardLogs/RTDC4059 --include="*4059*201710291*"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"%USERPROFILE%\AppData\Local\Temp\OnboardLogs"\RTDC4059\*4059*201710291* &gt;&gt; 2017-10-29-SliceDisagreementCheck.txt</v>
      </c>
      <c r="AE15" s="130" t="str">
        <f t="shared" si="9"/>
        <v>start /low /b %USERPROFILE%\Documents\GitHub\eaglep3\Utilities\DownloadLogsFromS3.py --loco 4059 --day 2017-10-29</v>
      </c>
      <c r="AF15" s="1"/>
    </row>
    <row r="16" spans="1:32" x14ac:dyDescent="0.3">
      <c r="A16" s="31">
        <v>43037.541145833333</v>
      </c>
      <c r="B16" s="30" t="s">
        <v>399</v>
      </c>
      <c r="C16" s="30" t="s">
        <v>638</v>
      </c>
      <c r="D16" s="30" t="s">
        <v>49</v>
      </c>
      <c r="E16" s="30" t="s">
        <v>403</v>
      </c>
      <c r="F16" s="42">
        <v>0</v>
      </c>
      <c r="G16" s="42">
        <v>285</v>
      </c>
      <c r="H16" s="42">
        <v>111310</v>
      </c>
      <c r="I16" s="42">
        <v>0</v>
      </c>
      <c r="J16" s="30" t="s">
        <v>401</v>
      </c>
      <c r="K16" s="42">
        <v>110617</v>
      </c>
      <c r="L16" s="116" t="s">
        <v>51</v>
      </c>
      <c r="M16" s="117">
        <f t="shared" si="0"/>
        <v>-58405.775999999998</v>
      </c>
      <c r="N16" s="118" t="str">
        <f>VLOOKUP(C16,'Trips&amp;Operators'!$C$1:$G$99911,5,FALSE)</f>
        <v>GUZMAN DANNY</v>
      </c>
      <c r="O16" s="159" t="s">
        <v>364</v>
      </c>
      <c r="P16" s="119" t="s">
        <v>385</v>
      </c>
      <c r="Q16" s="30"/>
      <c r="R16" s="68" t="str">
        <f>VLOOKUP(C16,'Train Runs'!$A$13:$AE$10084,31,0)</f>
        <v>aws s3 cp s3://rtdc.mdm.uploadarchive.raw/RTDC4005/ "%USERPROFILE%\AppData\Local\Temp\OnboardLogs"\RTDC4005\2017-10-29 --exclude "*" --recursive --include "*20171029*" &amp; "%USERPROFILE%\Documents\GitHub\mrs-test-scripts\Headless Mode &amp; Sideloading\WalkAndUnGZ.bat" "%USERPROFILE%\AppData\Local\Temp\OnboardLogs"\RTDC4005\2017-10-29 &amp; aws s3 cp s3://rtdc.mdm.uploadarchive.raw/RTDC4005/ "%USERPROFILE%\AppData\Local\Temp\OnboardLogs"\RTDC4005\2017-10-30 --exclude "*" --recursive --include "*20171030*" &amp; "%USERPROFILE%\Documents\GitHub\mrs-test-scripts\Headless Mode &amp; Sideloading\WalkAndUnGZ.bat" "%USERPROFILE%\AppData\Local\Temp\OnboardLogs"\RTDC4005\2017-10-30</v>
      </c>
      <c r="S16" s="71" t="str">
        <f>VLOOKUP(C16,'Train Runs'!$A$13:$AE$10084,22,0)</f>
        <v>https://d0f6bd738d7f1b3e5a7ca70fe4ff75f0.us-east-1.aws.found.io/app/kibana#/discover/Steve-Slow-Train-Analysis-(2080s-and-2083s)?_g=(refreshInterval:(display:Off,pause:!f,section:0,value:0),time:(from:'2017-10-29T12:01:43-0600',mode:absolute,to:'2017-10-29T14:25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T16" s="73" t="str">
        <f t="shared" si="1"/>
        <v>"C:\Program Files (x86)\AstroGrep\AstroGrep.exe" /e /r /s /spath="%USERPROFILE%\AppData\Local\Temp\OnboardLogs" /stypes="*4005*201710291*" /stext=" 18:.+((SYSTEM_STATE.+slice.+state.+changed )|(ment ac)|(multiple cpu faults)|(system.+state.+changed )|(\[timeout)|(PRM\|1\|D)|(kpr)|(kdp)|(train st.+moving)|(\|lc)|(penalty))"</v>
      </c>
      <c r="U16" s="9" t="str">
        <f t="shared" si="2"/>
        <v>4005</v>
      </c>
      <c r="V16" s="31">
        <f t="shared" si="3"/>
        <v>43037.791145833333</v>
      </c>
      <c r="W16" s="45" t="str">
        <f t="shared" si="4"/>
        <v>EC</v>
      </c>
      <c r="X16" s="22">
        <f t="shared" si="5"/>
        <v>166</v>
      </c>
      <c r="Y16" s="81" t="str">
        <f t="shared" si="6"/>
        <v>echo {"issue":{"subject":"Wi-MAX data drop","project_id":79,"tracker_id":40,"status_id":1,"priority_id":2,"assigned_to_id":338,"start_date":"2017-10-29","description":"","custom_fields":[{"id":1,"name":"Subdivision","value":"EC"},{"id":4,"name":"Milepost","value":"11.0617"},{"id":17,"name":"Train ID","value":"166-29"},{"id":16,"name":"Locomotive ID","value":"4005"},{"id":130,"name":"Impact","value":""},{"id":150,"name":"Time of Event (Mountain Time)","value":"12:59:15"},{"id":151,"name":"Denver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43"/>
      <c r="AA16" s="46"/>
      <c r="AB16" s="46"/>
      <c r="AC16" s="100" t="str">
        <f t="shared" si="7"/>
        <v>grep -hrE -A400 "Enforcement Action" /c/Users/stu/AppData/Local/Temp/OnboardLogs/RTDC4005 --include="*4005*201710291*"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"%USERPROFILE%\AppData\Local\Temp\OnboardLogs"\RTDC4005\*4005*201710291* &gt;&gt; 2017-10-29-SliceDisagreementCheck.txt</v>
      </c>
      <c r="AE16" s="130" t="str">
        <f t="shared" si="9"/>
        <v>start /low /b %USERPROFILE%\Documents\GitHub\eaglep3\Utilities\DownloadLogsFromS3.py --loco 4005 --day 2017-10-29</v>
      </c>
      <c r="AF16" s="1"/>
    </row>
    <row r="17" spans="1:32" x14ac:dyDescent="0.3">
      <c r="A17" s="31">
        <v>43037.765949074077</v>
      </c>
      <c r="B17" s="30" t="s">
        <v>645</v>
      </c>
      <c r="C17" s="30" t="s">
        <v>646</v>
      </c>
      <c r="D17" s="30" t="s">
        <v>49</v>
      </c>
      <c r="E17" s="30" t="s">
        <v>403</v>
      </c>
      <c r="F17" s="42">
        <v>0</v>
      </c>
      <c r="G17" s="42">
        <v>503</v>
      </c>
      <c r="H17" s="42">
        <v>124492</v>
      </c>
      <c r="I17" s="42">
        <v>126390</v>
      </c>
      <c r="J17" s="30" t="s">
        <v>401</v>
      </c>
      <c r="K17" s="42">
        <v>126678</v>
      </c>
      <c r="L17" s="116" t="s">
        <v>50</v>
      </c>
      <c r="M17" s="117">
        <f t="shared" si="0"/>
        <v>152.06399999999999</v>
      </c>
      <c r="N17" s="118" t="str">
        <f>VLOOKUP(C17,'Trips&amp;Operators'!$C$1:$G$99911,5,FALSE)</f>
        <v>STRICKLAND EVAN</v>
      </c>
      <c r="O17" s="159" t="s">
        <v>364</v>
      </c>
      <c r="P17" s="119" t="s">
        <v>385</v>
      </c>
      <c r="Q17" s="30"/>
      <c r="R17" s="68" t="str">
        <f>VLOOKUP(C17,'Train Runs'!$A$13:$AE$10084,31,0)</f>
        <v>aws s3 cp s3://rtdc.mdm.uploadarchive.raw/RTDC4056/ "%USERPROFILE%\AppData\Local\Temp\OnboardLogs"\RTDC4056\2017-10-29 --exclude "*" --recursive --include "*20171029*" &amp; "%USERPROFILE%\Documents\GitHub\mrs-test-scripts\Headless Mode &amp; Sideloading\WalkAndUnGZ.bat" "%USERPROFILE%\AppData\Local\Temp\OnboardLogs"\RTDC4056\2017-10-29 &amp; aws s3 cp s3://rtdc.mdm.uploadarchive.raw/RTDC4056/ "%USERPROFILE%\AppData\Local\Temp\OnboardLogs"\RTDC4056\2017-10-30 --exclude "*" --recursive --include "*20171030*" &amp; "%USERPROFILE%\Documents\GitHub\mrs-test-scripts\Headless Mode &amp; Sideloading\WalkAndUnGZ.bat" "%USERPROFILE%\AppData\Local\Temp\OnboardLogs"\RTDC4056\2017-10-30</v>
      </c>
      <c r="S17" s="71" t="str">
        <f>VLOOKUP(C17,'Train Runs'!$A$13:$AE$10084,22,0)</f>
        <v>https://d0f6bd738d7f1b3e5a7ca70fe4ff75f0.us-east-1.aws.found.io/app/kibana#/discover/Steve-Slow-Train-Analysis-(2080s-and-2083s)?_g=(refreshInterval:(display:Off,pause:!f,section:0,value:0),time:(from:'2017-10-29T17:35:22-0600',mode:absolute,to:'2017-10-29T19:38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7" s="73" t="str">
        <f t="shared" si="1"/>
        <v>"C:\Program Files (x86)\AstroGrep\AstroGrep.exe" /e /r /s /spath="%USERPROFILE%\AppData\Local\Temp\OnboardLogs" /stypes="*4056*201710300*" /stext=" 00:.+((SYSTEM_STATE.+slice.+state.+changed )|(ment ac)|(multiple cpu faults)|(system.+state.+changed )|(\[timeout)|(PRM\|1\|D)|(kpr)|(kdp)|(train st.+moving)|(\|lc)|(penalty))"</v>
      </c>
      <c r="U17" s="9" t="str">
        <f t="shared" si="2"/>
        <v>4056</v>
      </c>
      <c r="V17" s="31">
        <f t="shared" si="3"/>
        <v>43038.015949074077</v>
      </c>
      <c r="W17" s="45" t="str">
        <f t="shared" si="4"/>
        <v>EC</v>
      </c>
      <c r="X17" s="22">
        <f t="shared" si="5"/>
        <v>215</v>
      </c>
      <c r="Y17" s="81" t="str">
        <f t="shared" si="6"/>
        <v>echo {"issue":{"subject":"Wi-MAX data drop","project_id":79,"tracker_id":40,"status_id":1,"priority_id":2,"assigned_to_id":338,"start_date":"2017-10-29","description":"","custom_fields":[{"id":1,"name":"Subdivision","value":"EC"},{"id":4,"name":"Milepost","value":"12.6678"},{"id":17,"name":"Train ID","value":"215-29"},{"id":16,"name":"Locomotive ID","value":"4056"},{"id":130,"name":"Impact","value":""},{"id":150,"name":"Time of Event (Mountain Time)","value":"18:22:58"},{"id":151,"name":"Denver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43"/>
      <c r="AA17" s="46"/>
      <c r="AB17" s="46"/>
      <c r="AC17" s="100" t="str">
        <f t="shared" si="7"/>
        <v>grep -hrE -A400 "Enforcement Action" /c/Users/stu/AppData/Local/Temp/OnboardLogs/RTDC4056 --include="*4056*201710300*"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"%USERPROFILE%\AppData\Local\Temp\OnboardLogs"\RTDC4056\*4056*201710300* &gt;&gt; 2017-10-29-SliceDisagreementCheck.txt</v>
      </c>
      <c r="AE17" s="130" t="str">
        <f t="shared" si="9"/>
        <v>start /low /b %USERPROFILE%\Documents\GitHub\eaglep3\Utilities\DownloadLogsFromS3.py --loco 4056 --day 2017-10-30</v>
      </c>
      <c r="AF17" s="1"/>
    </row>
    <row r="18" spans="1:32" x14ac:dyDescent="0.3">
      <c r="A18" s="31">
        <v>43037.57744212963</v>
      </c>
      <c r="B18" s="30" t="s">
        <v>486</v>
      </c>
      <c r="C18" s="30" t="s">
        <v>641</v>
      </c>
      <c r="D18" s="30" t="s">
        <v>49</v>
      </c>
      <c r="E18" s="30" t="s">
        <v>185</v>
      </c>
      <c r="F18" s="42">
        <v>0</v>
      </c>
      <c r="G18" s="42">
        <v>272</v>
      </c>
      <c r="H18" s="42">
        <v>11213</v>
      </c>
      <c r="I18" s="42">
        <v>10526</v>
      </c>
      <c r="J18" s="30" t="s">
        <v>186</v>
      </c>
      <c r="K18" s="42">
        <v>10988</v>
      </c>
      <c r="L18" s="116" t="s">
        <v>51</v>
      </c>
      <c r="M18" s="117">
        <f t="shared" si="0"/>
        <v>-243.93600000000001</v>
      </c>
      <c r="N18" s="118" t="str">
        <f>VLOOKUP(C18,'Trips&amp;Operators'!$C$1:$G$99911,5,FALSE)</f>
        <v>MACDONALD THOMAS</v>
      </c>
      <c r="O18" s="159" t="s">
        <v>178</v>
      </c>
      <c r="P18" s="119" t="s">
        <v>350</v>
      </c>
      <c r="Q18" s="30"/>
      <c r="R18" s="68" t="str">
        <f>VLOOKUP(C18,'Train Runs'!$A$13:$AE$10084,31,0)</f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S18" s="71" t="str">
        <f>VLOOKUP(C18,'Train Runs'!$A$13:$AE$10084,22,0)</f>
        <v>https://d0f6bd738d7f1b3e5a7ca70fe4ff75f0.us-east-1.aws.found.io/app/kibana#/discover/Steve-Slow-Train-Analysis-(2080s-and-2083s)?_g=(refreshInterval:(display:Off,pause:!f,section:0,value:0),time:(from:'2017-10-29T12:27:33-0600',mode:absolute,to:'2017-10-29T14:56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18" s="73" t="str">
        <f t="shared" si="1"/>
        <v>"C:\Program Files (x86)\AstroGrep\AstroGrep.exe" /e /r /s /spath="%USERPROFILE%\AppData\Local\Temp\OnboardLogs" /stypes="*4049*201710291*" /stext=" 19:.+((SYSTEM_STATE.+slice.+state.+changed )|(ment ac)|(multiple cpu faults)|(system.+state.+changed )|(\[timeout)|(PRM\|1\|D)|(kpr)|(kdp)|(train st.+moving)|(\|lc)|(penalty))"</v>
      </c>
      <c r="U18" s="9" t="str">
        <f t="shared" si="2"/>
        <v>4049</v>
      </c>
      <c r="V18" s="31">
        <f t="shared" si="3"/>
        <v>43037.82744212963</v>
      </c>
      <c r="W18" s="45" t="str">
        <f t="shared" si="4"/>
        <v>NW</v>
      </c>
      <c r="X18" s="22">
        <f t="shared" si="5"/>
        <v>1816</v>
      </c>
      <c r="Y18" s="81" t="str">
        <f t="shared" si="6"/>
        <v>echo {"issue":{"subject":"Early Arrival","project_id":79,"tracker_id":40,"status_id":1,"priority_id":2,"assigned_to_id":338,"start_date":"2017-10-29","description":"","custom_fields":[{"id":1,"name":"Subdivision","value":"NW"},{"id":4,"name":"Milepost","value":"1.0988"},{"id":17,"name":"Train ID","value":"1816-29"},{"id":16,"name":"Locomotive ID","value":"4049"},{"id":130,"name":"Impact","value":""},{"id":150,"name":"Time of Event (Mountain Time)","value":"13:51:31"},{"id":151,"name":"Denver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43"/>
      <c r="AA18" s="46"/>
      <c r="AB18" s="46"/>
      <c r="AC18" s="100" t="str">
        <f t="shared" si="7"/>
        <v>grep -hrE -A400 "Enforcement Action" /c/Users/stu/AppData/Local/Temp/OnboardLogs/RTDC4049 --include="*4049*201710291*"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"%USERPROFILE%\AppData\Local\Temp\OnboardLogs"\RTDC4049\*4049*201710291* &gt;&gt; 2017-10-29-SliceDisagreementCheck.txt</v>
      </c>
      <c r="AE18" s="130" t="str">
        <f t="shared" si="9"/>
        <v>start /low /b %USERPROFILE%\Documents\GitHub\eaglep3\Utilities\DownloadLogsFromS3.py --loco 4049 --day 2017-10-29</v>
      </c>
      <c r="AF18" s="1"/>
    </row>
    <row r="19" spans="1:32" x14ac:dyDescent="0.3">
      <c r="A19" s="31">
        <v>43037.593217592592</v>
      </c>
      <c r="B19" s="30" t="s">
        <v>484</v>
      </c>
      <c r="C19" s="30" t="s">
        <v>642</v>
      </c>
      <c r="D19" s="30" t="s">
        <v>49</v>
      </c>
      <c r="E19" s="30" t="s">
        <v>192</v>
      </c>
      <c r="F19" s="42">
        <v>300</v>
      </c>
      <c r="G19" s="42">
        <v>352</v>
      </c>
      <c r="H19" s="42">
        <v>19803</v>
      </c>
      <c r="I19" s="42">
        <v>20875</v>
      </c>
      <c r="J19" s="30" t="s">
        <v>193</v>
      </c>
      <c r="K19" s="42">
        <v>21312</v>
      </c>
      <c r="L19" s="116" t="s">
        <v>50</v>
      </c>
      <c r="M19" s="117">
        <f t="shared" si="0"/>
        <v>230.73599999999999</v>
      </c>
      <c r="N19" s="118" t="str">
        <f>VLOOKUP(C19,'Trips&amp;Operators'!$C$1:$G$99911,5,FALSE)</f>
        <v>HOLCOMB KAMDEN</v>
      </c>
      <c r="O19" s="159" t="s">
        <v>178</v>
      </c>
      <c r="P19" s="119"/>
      <c r="Q19" s="30"/>
      <c r="R19" s="68" t="str">
        <f>VLOOKUP(C19,'Train Runs'!$A$13:$AE$10084,31,0)</f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S19" s="71" t="str">
        <f>VLOOKUP(C19,'Train Runs'!$A$13:$AE$10084,22,0)</f>
        <v>https://d0f6bd738d7f1b3e5a7ca70fe4ff75f0.us-east-1.aws.found.io/app/kibana#/discover/Steve-Slow-Train-Analysis-(2080s-and-2083s)?_g=(refreshInterval:(display:Off,pause:!f,section:0,value:0),time:(from:'2017-10-29T12:27:33-0600',mode:absolute,to:'2017-10-29T15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19" s="73" t="str">
        <f t="shared" si="1"/>
        <v>"C:\Program Files (x86)\AstroGrep\AstroGrep.exe" /e /r /s /spath="%USERPROFILE%\AppData\Local\Temp\OnboardLogs" /stypes="*4050*201710292*" /stext=" 20:.+((SYSTEM_STATE.+slice.+state.+changed )|(ment ac)|(multiple cpu faults)|(system.+state.+changed )|(\[timeout)|(PRM\|1\|D)|(kpr)|(kdp)|(train st.+moving)|(\|lc)|(penalty))"</v>
      </c>
      <c r="U19" s="9" t="str">
        <f t="shared" si="2"/>
        <v>4050</v>
      </c>
      <c r="V19" s="31">
        <f t="shared" si="3"/>
        <v>43037.843217592592</v>
      </c>
      <c r="W19" s="45" t="str">
        <f t="shared" si="4"/>
        <v>NW</v>
      </c>
      <c r="X19" s="22">
        <f t="shared" si="5"/>
        <v>1817</v>
      </c>
      <c r="Y19" s="81" t="str">
        <f t="shared" si="6"/>
        <v>echo {"issue":{"subject":"","project_id":79,"tracker_id":40,"status_id":1,"priority_id":2,"assigned_to_id":338,"start_date":"2017-10-29","description":"","custom_fields":[{"id":1,"name":"Subdivision","value":"NW"},{"id":4,"name":"Milepost","value":"2.1312"},{"id":17,"name":"Train ID","value":"1817-29"},{"id":16,"name":"Locomotive ID","value":"4050"},{"id":130,"name":"Impact","value":""},{"id":150,"name":"Time of Event (Mountain Time)","value":"14:14:14"},{"id":151,"name":"Denver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43"/>
      <c r="AA19" s="46"/>
      <c r="AB19" s="46"/>
      <c r="AC19" s="100" t="str">
        <f t="shared" si="7"/>
        <v>grep -hrE -A400 "Enforcement Action" /c/Users/stu/AppData/Local/Temp/OnboardLogs/RTDC4050 --include="*4050*201710292*"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"%USERPROFILE%\AppData\Local\Temp\OnboardLogs"\RTDC4050\*4050*201710292* &gt;&gt; 2017-10-29-SliceDisagreementCheck.txt</v>
      </c>
      <c r="AE19" s="130" t="str">
        <f t="shared" si="9"/>
        <v>start /low /b %USERPROFILE%\Documents\GitHub\eaglep3\Utilities\DownloadLogsFromS3.py --loco 4050 --day 2017-10-29</v>
      </c>
      <c r="AF19" s="1"/>
    </row>
    <row r="20" spans="1:32" x14ac:dyDescent="0.3">
      <c r="A20" s="31">
        <v>43037.595335648148</v>
      </c>
      <c r="B20" s="30" t="s">
        <v>484</v>
      </c>
      <c r="C20" s="30" t="s">
        <v>642</v>
      </c>
      <c r="D20" s="30" t="s">
        <v>49</v>
      </c>
      <c r="E20" s="30" t="s">
        <v>192</v>
      </c>
      <c r="F20" s="42">
        <v>400</v>
      </c>
      <c r="G20" s="42">
        <v>459</v>
      </c>
      <c r="H20" s="42">
        <v>34983</v>
      </c>
      <c r="I20" s="42">
        <v>36909</v>
      </c>
      <c r="J20" s="30" t="s">
        <v>193</v>
      </c>
      <c r="K20" s="42">
        <v>38172</v>
      </c>
      <c r="L20" s="116" t="s">
        <v>50</v>
      </c>
      <c r="M20" s="117">
        <f t="shared" si="0"/>
        <v>666.86400000000003</v>
      </c>
      <c r="N20" s="118" t="str">
        <f>VLOOKUP(C20,'Trips&amp;Operators'!$C$1:$G$99911,5,FALSE)</f>
        <v>HOLCOMB KAMDEN</v>
      </c>
      <c r="O20" s="159" t="s">
        <v>178</v>
      </c>
      <c r="P20" s="119"/>
      <c r="Q20" s="30"/>
      <c r="R20" s="68" t="str">
        <f>VLOOKUP(C20,'Train Runs'!$A$13:$AE$10084,31,0)</f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S20" s="71" t="str">
        <f>VLOOKUP(C20,'Train Runs'!$A$13:$AE$10084,22,0)</f>
        <v>https://d0f6bd738d7f1b3e5a7ca70fe4ff75f0.us-east-1.aws.found.io/app/kibana#/discover/Steve-Slow-Train-Analysis-(2080s-and-2083s)?_g=(refreshInterval:(display:Off,pause:!f,section:0,value:0),time:(from:'2017-10-29T12:27:33-0600',mode:absolute,to:'2017-10-29T15:24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0" s="73" t="str">
        <f t="shared" si="1"/>
        <v>"C:\Program Files (x86)\AstroGrep\AstroGrep.exe" /e /r /s /spath="%USERPROFILE%\AppData\Local\Temp\OnboardLogs" /stypes="*4050*201710292*" /stext=" 20:.+((SYSTEM_STATE.+slice.+state.+changed )|(ment ac)|(multiple cpu faults)|(system.+state.+changed )|(\[timeout)|(PRM\|1\|D)|(kpr)|(kdp)|(train st.+moving)|(\|lc)|(penalty))"</v>
      </c>
      <c r="U20" s="9" t="str">
        <f t="shared" si="2"/>
        <v>4050</v>
      </c>
      <c r="V20" s="31">
        <f t="shared" si="3"/>
        <v>43037.845335648148</v>
      </c>
      <c r="W20" s="45" t="str">
        <f t="shared" si="4"/>
        <v>NW</v>
      </c>
      <c r="X20" s="22">
        <f t="shared" si="5"/>
        <v>1817</v>
      </c>
      <c r="Y20" s="81" t="str">
        <f t="shared" si="6"/>
        <v>echo {"issue":{"subject":"","project_id":79,"tracker_id":40,"status_id":1,"priority_id":2,"assigned_to_id":338,"start_date":"2017-10-29","description":"","custom_fields":[{"id":1,"name":"Subdivision","value":"NW"},{"id":4,"name":"Milepost","value":"3.8172"},{"id":17,"name":"Train ID","value":"1817-29"},{"id":16,"name":"Locomotive ID","value":"4050"},{"id":130,"name":"Impact","value":""},{"id":150,"name":"Time of Event (Mountain Time)","value":"14:17:17"},{"id":151,"name":"Denver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43"/>
      <c r="AA20" s="46"/>
      <c r="AB20" s="46"/>
      <c r="AC20" s="100" t="str">
        <f t="shared" si="7"/>
        <v>grep -hrE -A400 "Enforcement Action" /c/Users/stu/AppData/Local/Temp/OnboardLogs/RTDC4050 --include="*4050*201710292*"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"%USERPROFILE%\AppData\Local\Temp\OnboardLogs"\RTDC4050\*4050*201710292* &gt;&gt; 2017-10-29-SliceDisagreementCheck.txt</v>
      </c>
      <c r="AE20" s="130" t="str">
        <f t="shared" si="9"/>
        <v>start /low /b %USERPROFILE%\Documents\GitHub\eaglep3\Utilities\DownloadLogsFromS3.py --loco 4050 --day 2017-10-29</v>
      </c>
      <c r="AF20" s="1"/>
    </row>
    <row r="21" spans="1:32" x14ac:dyDescent="0.3">
      <c r="A21" s="31">
        <v>43037.931562500002</v>
      </c>
      <c r="B21" s="30" t="s">
        <v>484</v>
      </c>
      <c r="C21" s="30" t="s">
        <v>649</v>
      </c>
      <c r="D21" s="30" t="s">
        <v>49</v>
      </c>
      <c r="E21" s="30" t="s">
        <v>192</v>
      </c>
      <c r="F21" s="42">
        <v>400</v>
      </c>
      <c r="G21" s="42">
        <v>462</v>
      </c>
      <c r="H21" s="42">
        <v>46334</v>
      </c>
      <c r="I21" s="42">
        <v>47543</v>
      </c>
      <c r="J21" s="30" t="s">
        <v>193</v>
      </c>
      <c r="K21" s="42">
        <v>47810</v>
      </c>
      <c r="L21" s="116" t="s">
        <v>50</v>
      </c>
      <c r="M21" s="117">
        <f t="shared" si="0"/>
        <v>140.976</v>
      </c>
      <c r="N21" s="118" t="str">
        <f>VLOOKUP(C21,'Trips&amp;Operators'!$C$1:$G$99911,5,FALSE)</f>
        <v>HOLCOMB KAMDEN</v>
      </c>
      <c r="O21" s="159" t="s">
        <v>178</v>
      </c>
      <c r="P21" s="119"/>
      <c r="Q21" s="30"/>
      <c r="R21" s="68" t="str">
        <f>VLOOKUP(C21,'Train Runs'!$A$13:$AE$10084,31,0)</f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S21" s="71" t="str">
        <f>VLOOKUP(C21,'Train Runs'!$A$13:$AE$10084,22,0)</f>
        <v>https://d0f6bd738d7f1b3e5a7ca70fe4ff75f0.us-east-1.aws.found.io/app/kibana#/discover/Steve-Slow-Train-Analysis-(2080s-and-2083s)?_g=(refreshInterval:(display:Off,pause:!f,section:0,value:0),time:(from:'2017-10-29T20:25:01-0600',mode:absolute,to:'2017-10-29T23:27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1" s="73" t="str">
        <f t="shared" si="1"/>
        <v>"C:\Program Files (x86)\AstroGrep\AstroGrep.exe" /e /r /s /spath="%USERPROFILE%\AppData\Local\Temp\OnboardLogs" /stypes="*4050*201710300*" /stext=" 04:.+((SYSTEM_STATE.+slice.+state.+changed )|(ment ac)|(multiple cpu faults)|(system.+state.+changed )|(\[timeout)|(PRM\|1\|D)|(kpr)|(kdp)|(train st.+moving)|(\|lc)|(penalty))"</v>
      </c>
      <c r="U21" s="9" t="str">
        <f t="shared" si="2"/>
        <v>4050</v>
      </c>
      <c r="V21" s="31">
        <f t="shared" si="3"/>
        <v>43038.181562500002</v>
      </c>
      <c r="W21" s="45" t="str">
        <f t="shared" si="4"/>
        <v>NW</v>
      </c>
      <c r="X21" s="22">
        <f t="shared" si="5"/>
        <v>1833</v>
      </c>
      <c r="Y21" s="81" t="str">
        <f t="shared" si="6"/>
        <v>echo {"issue":{"subject":"","project_id":79,"tracker_id":40,"status_id":1,"priority_id":2,"assigned_to_id":338,"start_date":"2017-10-29","description":"","custom_fields":[{"id":1,"name":"Subdivision","value":"NW"},{"id":4,"name":"Milepost","value":"4.781"},{"id":17,"name":"Train ID","value":"1833-29"},{"id":16,"name":"Locomotive ID","value":"4050"},{"id":130,"name":"Impact","value":""},{"id":150,"name":"Time of Event (Mountain Time)","value":"22:21:27"},{"id":151,"name":"Denver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43"/>
      <c r="AA21" s="46"/>
      <c r="AB21" s="46"/>
      <c r="AC21" s="100" t="str">
        <f t="shared" si="7"/>
        <v>grep -hrE -A400 "Enforcement Action" /c/Users/stu/AppData/Local/Temp/OnboardLogs/RTDC4050 --include="*4050*201710300*"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"%USERPROFILE%\AppData\Local\Temp\OnboardLogs"\RTDC4050\*4050*201710300* &gt;&gt; 2017-10-29-SliceDisagreementCheck.txt</v>
      </c>
      <c r="AE21" s="130" t="str">
        <f t="shared" si="9"/>
        <v>start /low /b %USERPROFILE%\Documents\GitHub\eaglep3\Utilities\DownloadLogsFromS3.py --loco 4050 --day 2017-10-30</v>
      </c>
      <c r="AF21" s="1"/>
    </row>
    <row r="22" spans="1:32" x14ac:dyDescent="0.3">
      <c r="A22" s="31">
        <v>43037.549108796295</v>
      </c>
      <c r="B22" s="30" t="s">
        <v>484</v>
      </c>
      <c r="C22" s="30" t="s">
        <v>639</v>
      </c>
      <c r="D22" s="30" t="s">
        <v>95</v>
      </c>
      <c r="E22" s="30" t="s">
        <v>383</v>
      </c>
      <c r="F22" s="42">
        <v>0</v>
      </c>
      <c r="G22" s="42">
        <v>113</v>
      </c>
      <c r="H22" s="42">
        <v>1890</v>
      </c>
      <c r="I22" s="42">
        <v>2082</v>
      </c>
      <c r="J22" s="30" t="s">
        <v>384</v>
      </c>
      <c r="K22" s="42">
        <v>1725</v>
      </c>
      <c r="L22" s="116" t="s">
        <v>50</v>
      </c>
      <c r="M22" s="117">
        <f t="shared" si="0"/>
        <v>-188.49600000000001</v>
      </c>
      <c r="N22" s="118" t="str">
        <f>VLOOKUP(C22,'Trips&amp;Operators'!$C$1:$G$99911,5,FALSE)</f>
        <v>MACDONALD THOMAS</v>
      </c>
      <c r="O22" s="159" t="s">
        <v>364</v>
      </c>
      <c r="P22" s="119" t="s">
        <v>1104</v>
      </c>
      <c r="Q22" s="30"/>
      <c r="R22" s="68" t="str">
        <f>VLOOKUP(C22,'Train Runs'!$A$13:$AE$10084,31,0)</f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S22" s="71" t="str">
        <f>VLOOKUP(C22,'Train Runs'!$A$13:$AE$10084,22,0)</f>
        <v>https://d0f6bd738d7f1b3e5a7ca70fe4ff75f0.us-east-1.aws.found.io/app/kibana#/discover/Steve-Slow-Train-Analysis-(2080s-and-2083s)?_g=(refreshInterval:(display:Off,pause:!f,section:0,value:0),time:(from:'2017-10-29T12:11:35-0600',mode:absolute,to:'2017-10-29T14:13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2" s="73" t="str">
        <f t="shared" si="1"/>
        <v>"C:\Program Files (x86)\AstroGrep\AstroGrep.exe" /e /r /s /spath="%USERPROFILE%\AppData\Local\Temp\OnboardLogs" /stypes="*4050*201710291*" /stext=" 19:.+((SYSTEM_STATE.+slice.+state.+changed )|(ment ac)|(multiple cpu faults)|(system.+state.+changed )|(\[timeout)|(PRM\|1\|D)|(kpr)|(kdp)|(train st.+moving)|(\|lc)|(penalty))"</v>
      </c>
      <c r="U22" s="9" t="str">
        <f t="shared" si="2"/>
        <v>4050</v>
      </c>
      <c r="V22" s="31">
        <f t="shared" si="3"/>
        <v>43037.799108796295</v>
      </c>
      <c r="W22" s="45" t="str">
        <f t="shared" si="4"/>
        <v>NW</v>
      </c>
      <c r="X22" s="22">
        <f t="shared" si="5"/>
        <v>1815</v>
      </c>
      <c r="Y22" s="81" t="str">
        <f t="shared" si="6"/>
        <v>echo {"issue":{"subject":"Poor GPS at DUS","project_id":79,"tracker_id":40,"status_id":1,"priority_id":2,"assigned_to_id":338,"start_date":"2017-10-29","description":"","custom_fields":[{"id":1,"name":"Subdivision","value":"NW"},{"id":4,"name":"Milepost","value":"0.1725"},{"id":17,"name":"Train ID","value":"1815-29"},{"id":16,"name":"Locomotive ID","value":"4050"},{"id":130,"name":"Impact","value":""},{"id":150,"name":"Time of Event (Mountain Time)","value":"13:10:43"},{"id":151,"name":"Denver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43"/>
      <c r="AA22" s="46"/>
      <c r="AB22" s="46"/>
      <c r="AC22" s="100" t="str">
        <f t="shared" si="7"/>
        <v>grep -hrE -A400 "Enforcement Action" /c/Users/stu/AppData/Local/Temp/OnboardLogs/RTDC4050 --include="*4050*201710291*"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"%USERPROFILE%\AppData\Local\Temp\OnboardLogs"\RTDC4050\*4050*201710291* &gt;&gt; 2017-10-29-SliceDisagreementCheck.txt</v>
      </c>
      <c r="AE22" s="130" t="str">
        <f t="shared" si="9"/>
        <v>start /low /b %USERPROFILE%\Documents\GitHub\eaglep3\Utilities\DownloadLogsFromS3.py --loco 4050 --day 2017-10-29</v>
      </c>
      <c r="AF22" s="1"/>
    </row>
    <row r="23" spans="1:32" x14ac:dyDescent="0.3">
      <c r="A23" s="31">
        <v>43037.550740740742</v>
      </c>
      <c r="B23" s="30" t="s">
        <v>484</v>
      </c>
      <c r="C23" s="30" t="s">
        <v>639</v>
      </c>
      <c r="D23" s="30" t="s">
        <v>95</v>
      </c>
      <c r="E23" s="30" t="s">
        <v>383</v>
      </c>
      <c r="F23" s="42">
        <v>0</v>
      </c>
      <c r="G23" s="42">
        <v>98</v>
      </c>
      <c r="H23" s="42">
        <v>2484</v>
      </c>
      <c r="I23" s="42">
        <v>2744</v>
      </c>
      <c r="J23" s="30" t="s">
        <v>384</v>
      </c>
      <c r="K23" s="42">
        <v>1725</v>
      </c>
      <c r="L23" s="116" t="s">
        <v>50</v>
      </c>
      <c r="M23" s="117">
        <f t="shared" si="0"/>
        <v>-538.03200000000004</v>
      </c>
      <c r="N23" s="118" t="str">
        <f>VLOOKUP(C23,'Trips&amp;Operators'!$C$1:$G$99911,5,FALSE)</f>
        <v>MACDONALD THOMAS</v>
      </c>
      <c r="O23" s="159" t="s">
        <v>364</v>
      </c>
      <c r="P23" s="119" t="s">
        <v>1104</v>
      </c>
      <c r="Q23" s="30"/>
      <c r="R23" s="68" t="str">
        <f>VLOOKUP(C23,'Train Runs'!$A$13:$AE$10084,31,0)</f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S23" s="71" t="str">
        <f>VLOOKUP(C23,'Train Runs'!$A$13:$AE$10084,22,0)</f>
        <v>https://d0f6bd738d7f1b3e5a7ca70fe4ff75f0.us-east-1.aws.found.io/app/kibana#/discover/Steve-Slow-Train-Analysis-(2080s-and-2083s)?_g=(refreshInterval:(display:Off,pause:!f,section:0,value:0),time:(from:'2017-10-29T12:11:35-0600',mode:absolute,to:'2017-10-29T14:13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3" s="73" t="str">
        <f t="shared" si="1"/>
        <v>"C:\Program Files (x86)\AstroGrep\AstroGrep.exe" /e /r /s /spath="%USERPROFILE%\AppData\Local\Temp\OnboardLogs" /stypes="*4050*201710291*" /stext=" 19:.+((SYSTEM_STATE.+slice.+state.+changed )|(ment ac)|(multiple cpu faults)|(system.+state.+changed )|(\[timeout)|(PRM\|1\|D)|(kpr)|(kdp)|(train st.+moving)|(\|lc)|(penalty))"</v>
      </c>
      <c r="U23" s="9" t="str">
        <f t="shared" si="2"/>
        <v>4050</v>
      </c>
      <c r="V23" s="31">
        <f t="shared" si="3"/>
        <v>43037.800740740742</v>
      </c>
      <c r="W23" s="45" t="str">
        <f t="shared" si="4"/>
        <v>NW</v>
      </c>
      <c r="X23" s="22">
        <f t="shared" si="5"/>
        <v>1815</v>
      </c>
      <c r="Y23" s="81" t="str">
        <f t="shared" si="6"/>
        <v>echo {"issue":{"subject":"Poor GPS at DUS","project_id":79,"tracker_id":40,"status_id":1,"priority_id":2,"assigned_to_id":338,"start_date":"2017-10-29","description":"","custom_fields":[{"id":1,"name":"Subdivision","value":"NW"},{"id":4,"name":"Milepost","value":"0.1725"},{"id":17,"name":"Train ID","value":"1815-29"},{"id":16,"name":"Locomotive ID","value":"4050"},{"id":130,"name":"Impact","value":""},{"id":150,"name":"Time of Event (Mountain Time)","value":"13:13:04"},{"id":151,"name":"Denver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3" s="143"/>
      <c r="AA23" s="46"/>
      <c r="AB23" s="46"/>
      <c r="AC23" s="100" t="str">
        <f t="shared" si="7"/>
        <v>grep -hrE -A400 "Enforcement Action" /c/Users/stu/AppData/Local/Temp/OnboardLogs/RTDC4050 --include="*4050*201710291*"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"%USERPROFILE%\AppData\Local\Temp\OnboardLogs"\RTDC4050\*4050*201710291* &gt;&gt; 2017-10-29-SliceDisagreementCheck.txt</v>
      </c>
      <c r="AE23" s="130" t="str">
        <f t="shared" si="9"/>
        <v>start /low /b %USERPROFILE%\Documents\GitHub\eaglep3\Utilities\DownloadLogsFromS3.py --loco 4050 --day 2017-10-29</v>
      </c>
      <c r="AF23" s="1"/>
    </row>
    <row r="24" spans="1:32" x14ac:dyDescent="0.3">
      <c r="A24" s="31">
        <v>43037.662766203706</v>
      </c>
      <c r="B24" s="30" t="s">
        <v>486</v>
      </c>
      <c r="C24" s="30" t="s">
        <v>643</v>
      </c>
      <c r="D24" s="30" t="s">
        <v>49</v>
      </c>
      <c r="E24" s="30" t="s">
        <v>179</v>
      </c>
      <c r="F24" s="42">
        <v>0</v>
      </c>
      <c r="G24" s="42">
        <v>149</v>
      </c>
      <c r="H24" s="42">
        <v>1361</v>
      </c>
      <c r="I24" s="42">
        <v>1161</v>
      </c>
      <c r="J24" s="30" t="s">
        <v>180</v>
      </c>
      <c r="K24" s="42">
        <v>575</v>
      </c>
      <c r="L24" s="116" t="s">
        <v>51</v>
      </c>
      <c r="M24" s="117">
        <f t="shared" si="0"/>
        <v>309.40800000000002</v>
      </c>
      <c r="N24" s="118" t="str">
        <f>VLOOKUP(C24,'Trips&amp;Operators'!$C$1:$G$99911,5,FALSE)</f>
        <v>HOLCOMB KAMDEN</v>
      </c>
      <c r="O24" s="159" t="s">
        <v>178</v>
      </c>
      <c r="P24" s="119"/>
      <c r="Q24" s="30"/>
      <c r="R24" s="68" t="str">
        <f>VLOOKUP(C24,'Train Runs'!$A$13:$AE$10084,31,0)</f>
        <v>aws s3 cp s3://rtdc.mdm.uploadarchive.raw/RTDC4049/ "%USERPROFILE%\AppData\Local\Temp\OnboardLogs"\RTDC4049\2017-10-29 --exclude "*" --recursive --include "*20171029*" &amp; "%USERPROFILE%\Documents\GitHub\mrs-test-scripts\Headless Mode &amp; Sideloading\WalkAndUnGZ.bat" "%USERPROFILE%\AppData\Local\Temp\OnboardLogs"\RTDC4049\2017-10-29 &amp; aws s3 cp s3://rtdc.mdm.uploadarchive.raw/RTDC4049/ "%USERPROFILE%\AppData\Local\Temp\OnboardLogs"\RTDC4049\2017-10-30 --exclude "*" --recursive --include "*20171030*" &amp; "%USERPROFILE%\Documents\GitHub\mrs-test-scripts\Headless Mode &amp; Sideloading\WalkAndUnGZ.bat" "%USERPROFILE%\AppData\Local\Temp\OnboardLogs"\RTDC4049\2017-10-30</v>
      </c>
      <c r="S24" s="71" t="str">
        <f>VLOOKUP(C24,'Train Runs'!$A$13:$AE$10084,22,0)</f>
        <v>https://d0f6bd738d7f1b3e5a7ca70fe4ff75f0.us-east-1.aws.found.io/app/kibana#/discover/Steve-Slow-Train-Analysis-(2080s-and-2083s)?_g=(refreshInterval:(display:Off,pause:!f,section:0,value:0),time:(from:'2017-10-29T14:24:24-0600',mode:absolute,to:'2017-10-29T16:54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4" s="73" t="str">
        <f t="shared" si="1"/>
        <v>"C:\Program Files (x86)\AstroGrep\AstroGrep.exe" /e /r /s /spath="%USERPROFILE%\AppData\Local\Temp\OnboardLogs" /stypes="*4049*201710292*" /stext=" 21:.+((SYSTEM_STATE.+slice.+state.+changed )|(ment ac)|(multiple cpu faults)|(system.+state.+changed )|(\[timeout)|(PRM\|1\|D)|(kpr)|(kdp)|(train st.+moving)|(\|lc)|(penalty))"</v>
      </c>
      <c r="U24" s="9" t="str">
        <f t="shared" si="2"/>
        <v>4049</v>
      </c>
      <c r="V24" s="31">
        <f t="shared" si="3"/>
        <v>43037.912766203706</v>
      </c>
      <c r="W24" s="45" t="str">
        <f t="shared" si="4"/>
        <v>NW</v>
      </c>
      <c r="X24" s="22">
        <f t="shared" si="5"/>
        <v>1820</v>
      </c>
      <c r="Y24" s="81" t="str">
        <f t="shared" si="6"/>
        <v>echo {"issue":{"subject":"","project_id":79,"tracker_id":40,"status_id":1,"priority_id":2,"assigned_to_id":338,"start_date":"2017-10-29","description":"","custom_fields":[{"id":1,"name":"Subdivision","value":"NW"},{"id":4,"name":"Milepost","value":"0.0575"},{"id":17,"name":"Train ID","value":"1820-29"},{"id":16,"name":"Locomotive ID","value":"4049"},{"id":130,"name":"Impact","value":""},{"id":150,"name":"Time of Event (Mountain Time)","value":"15:54:23"},{"id":151,"name":"Denver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4" s="143"/>
      <c r="AA24" s="46"/>
      <c r="AB24" s="46"/>
      <c r="AC24" s="100" t="str">
        <f t="shared" si="7"/>
        <v>grep -hrE -A400 "Enforcement Action" /c/Users/stu/AppData/Local/Temp/OnboardLogs/RTDC4049 --include="*4049*201710292*"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"%USERPROFILE%\AppData\Local\Temp\OnboardLogs"\RTDC4049\*4049*201710292* &gt;&gt; 2017-10-29-SliceDisagreementCheck.txt</v>
      </c>
      <c r="AE24" s="130" t="str">
        <f t="shared" si="9"/>
        <v>start /low /b %USERPROFILE%\Documents\GitHub\eaglep3\Utilities\DownloadLogsFromS3.py --loco 4049 --day 2017-10-29</v>
      </c>
      <c r="AF24" s="1"/>
    </row>
    <row r="25" spans="1:32" x14ac:dyDescent="0.3">
      <c r="A25" s="31">
        <v>43037.682245370372</v>
      </c>
      <c r="B25" s="30" t="s">
        <v>484</v>
      </c>
      <c r="C25" s="30" t="s">
        <v>644</v>
      </c>
      <c r="D25" s="30" t="s">
        <v>49</v>
      </c>
      <c r="E25" s="30" t="s">
        <v>179</v>
      </c>
      <c r="F25" s="42">
        <v>0</v>
      </c>
      <c r="G25" s="42">
        <v>32</v>
      </c>
      <c r="H25" s="42">
        <v>58986</v>
      </c>
      <c r="I25" s="42">
        <v>59001</v>
      </c>
      <c r="J25" s="30" t="s">
        <v>180</v>
      </c>
      <c r="K25" s="42">
        <v>59048</v>
      </c>
      <c r="L25" s="116" t="s">
        <v>50</v>
      </c>
      <c r="M25" s="117">
        <f t="shared" si="0"/>
        <v>24.815999999999999</v>
      </c>
      <c r="N25" s="118" t="str">
        <f>VLOOKUP(C25,'Trips&amp;Operators'!$C$1:$G$99911,5,FALSE)</f>
        <v>HOLCOMB KAMDEN</v>
      </c>
      <c r="O25" s="159" t="s">
        <v>178</v>
      </c>
      <c r="P25" s="119"/>
      <c r="Q25" s="30"/>
      <c r="R25" s="68" t="str">
        <f>VLOOKUP(C25,'Train Runs'!$A$13:$AE$10084,31,0)</f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S25" s="71" t="str">
        <f>VLOOKUP(C25,'Train Runs'!$A$13:$AE$10084,22,0)</f>
        <v>https://d0f6bd738d7f1b3e5a7ca70fe4ff75f0.us-east-1.aws.found.io/app/kibana#/discover/Steve-Slow-Train-Analysis-(2080s-and-2083s)?_g=(refreshInterval:(display:Off,pause:!f,section:0,value:0),time:(from:'2017-10-29T14:24:24-0600',mode:absolute,to:'2017-10-29T17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5" s="73" t="str">
        <f t="shared" si="1"/>
        <v>"C:\Program Files (x86)\AstroGrep\AstroGrep.exe" /e /r /s /spath="%USERPROFILE%\AppData\Local\Temp\OnboardLogs" /stypes="*4050*201710292*" /stext=" 22:.+((SYSTEM_STATE.+slice.+state.+changed )|(ment ac)|(multiple cpu faults)|(system.+state.+changed )|(\[timeout)|(PRM\|1\|D)|(kpr)|(kdp)|(train st.+moving)|(\|lc)|(penalty))"</v>
      </c>
      <c r="U25" s="9" t="str">
        <f t="shared" si="2"/>
        <v>4050</v>
      </c>
      <c r="V25" s="31">
        <f t="shared" si="3"/>
        <v>43037.932245370372</v>
      </c>
      <c r="W25" s="45" t="str">
        <f t="shared" si="4"/>
        <v>NW</v>
      </c>
      <c r="X25" s="22">
        <f t="shared" si="5"/>
        <v>1821</v>
      </c>
      <c r="Y25" s="81" t="str">
        <f t="shared" si="6"/>
        <v>echo {"issue":{"subject":"","project_id":79,"tracker_id":40,"status_id":1,"priority_id":2,"assigned_to_id":338,"start_date":"2017-10-29","description":"","custom_fields":[{"id":1,"name":"Subdivision","value":"NW"},{"id":4,"name":"Milepost","value":"5.9048"},{"id":17,"name":"Train ID","value":"1821-29"},{"id":16,"name":"Locomotive ID","value":"4050"},{"id":130,"name":"Impact","value":""},{"id":150,"name":"Time of Event (Mountain Time)","value":"16:22:26"},{"id":151,"name":"Denver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5" s="143"/>
      <c r="AA25" s="46"/>
      <c r="AB25" s="46"/>
      <c r="AC25" s="100" t="str">
        <f t="shared" si="7"/>
        <v>grep -hrE -A400 "Enforcement Action" /c/Users/stu/AppData/Local/Temp/OnboardLogs/RTDC4050 --include="*4050*201710292*"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"%USERPROFILE%\AppData\Local\Temp\OnboardLogs"\RTDC4050\*4050*201710292* &gt;&gt; 2017-10-29-SliceDisagreementCheck.txt</v>
      </c>
      <c r="AE25" s="130" t="str">
        <f t="shared" si="9"/>
        <v>start /low /b %USERPROFILE%\Documents\GitHub\eaglep3\Utilities\DownloadLogsFromS3.py --loco 4050 --day 2017-10-29</v>
      </c>
      <c r="AF25" s="1"/>
    </row>
    <row r="26" spans="1:32" x14ac:dyDescent="0.3">
      <c r="A26" s="31">
        <v>43037.935104166667</v>
      </c>
      <c r="B26" s="30" t="s">
        <v>484</v>
      </c>
      <c r="C26" s="30" t="s">
        <v>649</v>
      </c>
      <c r="D26" s="30" t="s">
        <v>49</v>
      </c>
      <c r="E26" s="30" t="s">
        <v>179</v>
      </c>
      <c r="F26" s="42">
        <v>0</v>
      </c>
      <c r="G26" s="42">
        <v>97</v>
      </c>
      <c r="H26" s="42">
        <v>58708</v>
      </c>
      <c r="I26" s="42">
        <v>58793</v>
      </c>
      <c r="J26" s="30" t="s">
        <v>180</v>
      </c>
      <c r="K26" s="42">
        <v>59058</v>
      </c>
      <c r="L26" s="116" t="s">
        <v>50</v>
      </c>
      <c r="M26" s="117">
        <f t="shared" si="0"/>
        <v>139.91999999999999</v>
      </c>
      <c r="N26" s="118" t="str">
        <f>VLOOKUP(C26,'Trips&amp;Operators'!$C$1:$G$99911,5,FALSE)</f>
        <v>HOLCOMB KAMDEN</v>
      </c>
      <c r="O26" s="159" t="s">
        <v>178</v>
      </c>
      <c r="P26" s="119"/>
      <c r="Q26" s="30"/>
      <c r="R26" s="68" t="str">
        <f>VLOOKUP(C26,'Train Runs'!$A$13:$AE$10084,31,0)</f>
        <v>aws s3 cp s3://rtdc.mdm.uploadarchive.raw/RTDC4050/ "%USERPROFILE%\AppData\Local\Temp\OnboardLogs"\RTDC4050\2017-10-29 --exclude "*" --recursive --include "*20171029*" &amp; "%USERPROFILE%\Documents\GitHub\mrs-test-scripts\Headless Mode &amp; Sideloading\WalkAndUnGZ.bat" "%USERPROFILE%\AppData\Local\Temp\OnboardLogs"\RTDC4050\2017-10-29 &amp; aws s3 cp s3://rtdc.mdm.uploadarchive.raw/RTDC4050/ "%USERPROFILE%\AppData\Local\Temp\OnboardLogs"\RTDC4050\2017-10-30 --exclude "*" --recursive --include "*20171030*" &amp; "%USERPROFILE%\Documents\GitHub\mrs-test-scripts\Headless Mode &amp; Sideloading\WalkAndUnGZ.bat" "%USERPROFILE%\AppData\Local\Temp\OnboardLogs"\RTDC4050\2017-10-30</v>
      </c>
      <c r="S26" s="71" t="str">
        <f>VLOOKUP(C26,'Train Runs'!$A$13:$AE$10084,22,0)</f>
        <v>https://d0f6bd738d7f1b3e5a7ca70fe4ff75f0.us-east-1.aws.found.io/app/kibana#/discover/Steve-Slow-Train-Analysis-(2080s-and-2083s)?_g=(refreshInterval:(display:Off,pause:!f,section:0,value:0),time:(from:'2017-10-29T20:25:01-0600',mode:absolute,to:'2017-10-29T23:27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26" s="73" t="str">
        <f t="shared" si="1"/>
        <v>"C:\Program Files (x86)\AstroGrep\AstroGrep.exe" /e /r /s /spath="%USERPROFILE%\AppData\Local\Temp\OnboardLogs" /stypes="*4050*201710300*" /stext=" 04:.+((SYSTEM_STATE.+slice.+state.+changed )|(ment ac)|(multiple cpu faults)|(system.+state.+changed )|(\[timeout)|(PRM\|1\|D)|(kpr)|(kdp)|(train st.+moving)|(\|lc)|(penalty))"</v>
      </c>
      <c r="U26" s="9" t="str">
        <f t="shared" si="2"/>
        <v>4050</v>
      </c>
      <c r="V26" s="31">
        <f t="shared" si="3"/>
        <v>43038.185104166667</v>
      </c>
      <c r="W26" s="45" t="str">
        <f t="shared" si="4"/>
        <v>NW</v>
      </c>
      <c r="X26" s="22">
        <f t="shared" si="5"/>
        <v>1833</v>
      </c>
      <c r="Y26" s="81" t="str">
        <f t="shared" si="6"/>
        <v>echo {"issue":{"subject":"","project_id":79,"tracker_id":40,"status_id":1,"priority_id":2,"assigned_to_id":338,"start_date":"2017-10-29","description":"","custom_fields":[{"id":1,"name":"Subdivision","value":"NW"},{"id":4,"name":"Milepost","value":"5.9058"},{"id":17,"name":"Train ID","value":"1833-29"},{"id":16,"name":"Locomotive ID","value":"4050"},{"id":130,"name":"Impact","value":""},{"id":150,"name":"Time of Event (Mountain Time)","value":"22:26:33"},{"id":151,"name":"Denver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6" s="143"/>
      <c r="AA26" s="46"/>
      <c r="AB26" s="46"/>
      <c r="AC26" s="100" t="str">
        <f t="shared" si="7"/>
        <v>grep -hrE -A400 "Enforcement Action" /c/Users/stu/AppData/Local/Temp/OnboardLogs/RTDC4050 --include="*4050*201710300*"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"%USERPROFILE%\AppData\Local\Temp\OnboardLogs"\RTDC4050\*4050*201710300* &gt;&gt; 2017-10-29-SliceDisagreementCheck.txt</v>
      </c>
      <c r="AE26" s="130" t="str">
        <f t="shared" si="9"/>
        <v>start /low /b %USERPROFILE%\Documents\GitHub\eaglep3\Utilities\DownloadLogsFromS3.py --loco 4050 --day 2017-10-30</v>
      </c>
      <c r="AF26" s="1"/>
    </row>
    <row r="27" spans="1:32" x14ac:dyDescent="0.3">
      <c r="A27" s="31">
        <v>43037.121620370373</v>
      </c>
      <c r="B27" s="30" t="s">
        <v>535</v>
      </c>
      <c r="C27" s="30" t="s">
        <v>629</v>
      </c>
      <c r="D27" s="30" t="s">
        <v>95</v>
      </c>
      <c r="E27" s="30" t="s">
        <v>185</v>
      </c>
      <c r="F27" s="42">
        <v>240</v>
      </c>
      <c r="G27" s="42">
        <v>304</v>
      </c>
      <c r="H27" s="42">
        <v>10757</v>
      </c>
      <c r="I27" s="42">
        <v>9885</v>
      </c>
      <c r="J27" s="30" t="s">
        <v>186</v>
      </c>
      <c r="K27" s="42">
        <v>10988</v>
      </c>
      <c r="L27" s="116" t="s">
        <v>51</v>
      </c>
      <c r="M27" s="117">
        <f t="shared" si="0"/>
        <v>-582.38400000000001</v>
      </c>
      <c r="N27" s="118" t="str">
        <f>VLOOKUP(C27,'Trips&amp;Operators'!$C$1:$G$99911,5,FALSE)</f>
        <v>THOMPSON LESTER</v>
      </c>
      <c r="O27" s="159" t="s">
        <v>178</v>
      </c>
      <c r="P27" s="119" t="s">
        <v>350</v>
      </c>
      <c r="Q27" s="30"/>
      <c r="R27" s="68" t="str">
        <f>VLOOKUP(C27,'Train Runs'!$A$13:$AE$10084,31,0)</f>
        <v>aws s3 cp s3://rtdc.mdm.uploadarchive.raw/RTDC4015/ "%USERPROFILE%\AppData\Local\Temp\OnboardLogs"\RTDC4015\2017-10-29 --exclude "*" --recursive --include "*20171029*" &amp; "%USERPROFILE%\Documents\GitHub\mrs-test-scripts\Headless Mode &amp; Sideloading\WalkAndUnGZ.bat" "%USERPROFILE%\AppData\Local\Temp\OnboardLogs"\RTDC4015\2017-10-29 &amp; aws s3 cp s3://rtdc.mdm.uploadarchive.raw/RTDC4015/ "%USERPROFILE%\AppData\Local\Temp\OnboardLogs"\RTDC4015\2017-10-30 --exclude "*" --recursive --include "*20171030*" &amp; "%USERPROFILE%\Documents\GitHub\mrs-test-scripts\Headless Mode &amp; Sideloading\WalkAndUnGZ.bat" "%USERPROFILE%\AppData\Local\Temp\OnboardLogs"\RTDC4015\2017-10-30</v>
      </c>
      <c r="S27" s="71" t="str">
        <f>VLOOKUP(C27,'Train Runs'!$A$13:$AE$10084,22,0)</f>
        <v>https://d0f6bd738d7f1b3e5a7ca70fe4ff75f0.us-east-1.aws.found.io/app/kibana#/discover/Steve-Slow-Train-Analysis-(2080s-and-2083s)?_g=(refreshInterval:(display:Off,pause:!f,section:0,value:0),time:(from:'2017-10-29T01:45:03-0600',mode:absolute,to:'2017-10-29T04:01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T27" s="73" t="str">
        <f t="shared" si="1"/>
        <v>"C:\Program Files (x86)\AstroGrep\AstroGrep.exe" /e /r /s /spath="%USERPROFILE%\AppData\Local\Temp\OnboardLogs" /stypes="*4015*201710290*" /stext=" 08:.+((SYSTEM_STATE.+slice.+state.+changed )|(ment ac)|(multiple cpu faults)|(system.+state.+changed )|(\[timeout)|(PRM\|1\|D)|(kpr)|(kdp)|(train st.+moving)|(\|lc)|(penalty))"</v>
      </c>
      <c r="U27" s="9" t="str">
        <f t="shared" si="2"/>
        <v>4015</v>
      </c>
      <c r="V27" s="31">
        <f t="shared" si="3"/>
        <v>43037.371620370373</v>
      </c>
      <c r="W27" s="45" t="str">
        <f t="shared" si="4"/>
        <v>Other</v>
      </c>
      <c r="X27" s="22">
        <f t="shared" si="5"/>
        <v>300</v>
      </c>
      <c r="Y27" s="81" t="str">
        <f t="shared" si="6"/>
        <v>echo {"issue":{"subject":"Early Arrival","project_id":79,"tracker_id":40,"status_id":1,"priority_id":2,"assigned_to_id":338,"start_date":"2017-10-29","description":"","custom_fields":[{"id":1,"name":"Subdivision","value":"Other"},{"id":4,"name":"Milepost","value":"1.0988"},{"id":17,"name":"Train ID","value":"300-29"},{"id":16,"name":"Locomotive ID","value":"4015"},{"id":130,"name":"Impact","value":""},{"id":150,"name":"Time of Event (Mountain Time)","value":"02:55:08"},{"id":151,"name":"Denver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7" s="143"/>
      <c r="AA27" s="46"/>
      <c r="AB27" s="46"/>
      <c r="AC27" s="100" t="str">
        <f t="shared" si="7"/>
        <v>grep -hrE -A400 "Enforcement Action" /c/Users/stu/AppData/Local/Temp/OnboardLogs/RTDC4015 --include="*4015*201710290*"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"%USERPROFILE%\AppData\Local\Temp\OnboardLogs"\RTDC4015\*4015*201710290* &gt;&gt; 2017-10-29-SliceDisagreementCheck.txt</v>
      </c>
      <c r="AE27" s="130" t="str">
        <f t="shared" si="9"/>
        <v>start /low /b %USERPROFILE%\Documents\GitHub\eaglep3\Utilities\DownloadLogsFromS3.py --loco 4015 --day 2017-10-29</v>
      </c>
      <c r="AF27" s="1"/>
    </row>
    <row r="28" spans="1:32" x14ac:dyDescent="0.3">
      <c r="A28" s="31">
        <v>43037.571261574078</v>
      </c>
      <c r="B28" s="30" t="s">
        <v>419</v>
      </c>
      <c r="C28" s="30" t="s">
        <v>640</v>
      </c>
      <c r="D28" s="30" t="s">
        <v>49</v>
      </c>
      <c r="E28" s="30" t="s">
        <v>383</v>
      </c>
      <c r="F28" s="42">
        <v>0</v>
      </c>
      <c r="G28" s="42">
        <v>70</v>
      </c>
      <c r="H28" s="42">
        <v>24335</v>
      </c>
      <c r="I28" s="42">
        <v>24233</v>
      </c>
      <c r="J28" s="30" t="s">
        <v>384</v>
      </c>
      <c r="K28" s="42">
        <v>24235</v>
      </c>
      <c r="L28" s="116" t="s">
        <v>51</v>
      </c>
      <c r="M28" s="117">
        <f t="shared" si="0"/>
        <v>-1.056</v>
      </c>
      <c r="N28" s="118" t="str">
        <f>VLOOKUP(C28,'Trips&amp;Operators'!$C$1:$G$99911,5,FALSE)</f>
        <v>KILLION DAVID</v>
      </c>
      <c r="O28" s="159" t="s">
        <v>178</v>
      </c>
      <c r="P28" s="119"/>
      <c r="Q28" s="30"/>
      <c r="R28" s="68" t="str">
        <f>VLOOKUP(C28,'Train Runs'!$A$13:$AE$10084,31,0)</f>
        <v>aws s3 cp s3://rtdc.mdm.uploadarchive.raw/RTDC4008/ "%USERPROFILE%\AppData\Local\Temp\OnboardLogs"\RTDC4008\2017-10-29 --exclude "*" --recursive --include "*20171029*" &amp; "%USERPROFILE%\Documents\GitHub\mrs-test-scripts\Headless Mode &amp; Sideloading\WalkAndUnGZ.bat" "%USERPROFILE%\AppData\Local\Temp\OnboardLogs"\RTDC4008\2017-10-29 &amp; aws s3 cp s3://rtdc.mdm.uploadarchive.raw/RTDC4008/ "%USERPROFILE%\AppData\Local\Temp\OnboardLogs"\RTDC4008\2017-10-30 --exclude "*" --recursive --include "*20171030*" &amp; "%USERPROFILE%\Documents\GitHub\mrs-test-scripts\Headless Mode &amp; Sideloading\WalkAndUnGZ.bat" "%USERPROFILE%\AppData\Local\Temp\OnboardLogs"\RTDC4008\2017-10-30</v>
      </c>
      <c r="S28" s="71" t="str">
        <f>VLOOKUP(C28,'Train Runs'!$A$13:$AE$10084,22,0)</f>
        <v>https://d0f6bd738d7f1b3e5a7ca70fe4ff75f0.us-east-1.aws.found.io/app/kibana#/discover/Steve-Slow-Train-Analysis-(2080s-and-2083s)?_g=(refreshInterval:(display:Off,pause:!f,section:0,value:0),time:(from:'2017-10-29T13:02:06-0600',mode:absolute,to:'2017-10-29T15:13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8" s="73" t="str">
        <f t="shared" si="1"/>
        <v>"C:\Program Files (x86)\AstroGrep\AstroGrep.exe" /e /r /s /spath="%USERPROFILE%\AppData\Local\Temp\OnboardLogs" /stypes="*4057*201710291*" /stext=" 19:.+((SYSTEM_STATE.+slice.+state.+changed )|(ment ac)|(multiple cpu faults)|(system.+state.+changed )|(\[timeout)|(PRM\|1\|D)|(kpr)|(kdp)|(train st.+moving)|(\|lc)|(penalty))"</v>
      </c>
      <c r="U28" s="9" t="str">
        <f t="shared" si="2"/>
        <v>4057</v>
      </c>
      <c r="V28" s="31">
        <f t="shared" si="3"/>
        <v>43037.821261574078</v>
      </c>
      <c r="W28" s="45" t="str">
        <f t="shared" si="4"/>
        <v>Shuttle/Test</v>
      </c>
      <c r="X28" s="22">
        <f t="shared" si="5"/>
        <v>56</v>
      </c>
      <c r="Y28" s="81" t="str">
        <f t="shared" si="6"/>
        <v>echo {"issue":{"subject":"","project_id":79,"tracker_id":40,"status_id":1,"priority_id":2,"assigned_to_id":338,"start_date":"2017-10-29","description":"","custom_fields":[{"id":1,"name":"Subdivision","value":"Shuttle/Test"},{"id":4,"name":"Milepost","value":"2.4235"},{"id":17,"name":"Train ID","value":"56-29"},{"id":16,"name":"Locomotive ID","value":"4057"},{"id":130,"name":"Impact","value":""},{"id":150,"name":"Time of Event (Mountain Time)","value":"13:42:37"},{"id":151,"name":"Denver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8" s="143"/>
      <c r="AA28" s="46"/>
      <c r="AB28" s="46"/>
      <c r="AC28" s="100" t="str">
        <f t="shared" si="7"/>
        <v>grep -hrE -A400 "Enforcement Action" /c/Users/stu/AppData/Local/Temp/OnboardLogs/RTDC4057 --include="*4057*201710291*"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"%USERPROFILE%\AppData\Local\Temp\OnboardLogs"\RTDC4057\*4057*201710291* &gt;&gt; 2017-10-29-SliceDisagreementCheck.txt</v>
      </c>
      <c r="AE28" s="130" t="str">
        <f t="shared" si="9"/>
        <v>start /low /b %USERPROFILE%\Documents\GitHub\eaglep3\Utilities\DownloadLogsFromS3.py --loco 4057 --day 2017-10-29</v>
      </c>
      <c r="AF28" s="1"/>
    </row>
    <row r="29" spans="1:32" x14ac:dyDescent="0.3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X29"/>
      <c r="Z29"/>
      <c r="AC29"/>
      <c r="AE29"/>
    </row>
    <row r="30" spans="1:32" x14ac:dyDescent="0.3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X30"/>
      <c r="Z30"/>
      <c r="AC30"/>
      <c r="AE30"/>
    </row>
    <row r="31" spans="1:32" x14ac:dyDescent="0.3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X31"/>
      <c r="Z31"/>
      <c r="AC31"/>
      <c r="AE31"/>
    </row>
    <row r="32" spans="1:32" x14ac:dyDescent="0.3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X32"/>
      <c r="Z32"/>
      <c r="AC32"/>
      <c r="AE32"/>
    </row>
    <row r="33" spans="1:31" x14ac:dyDescent="0.3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X33"/>
      <c r="Z33"/>
      <c r="AC33"/>
      <c r="AE33"/>
    </row>
    <row r="34" spans="1:31" x14ac:dyDescent="0.3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X34"/>
      <c r="Z34"/>
      <c r="AC34"/>
      <c r="AE34"/>
    </row>
    <row r="35" spans="1:31" x14ac:dyDescent="0.3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X35"/>
      <c r="Z35"/>
      <c r="AC35"/>
      <c r="AE35"/>
    </row>
    <row r="36" spans="1:31" x14ac:dyDescent="0.3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X36"/>
      <c r="Z36"/>
      <c r="AC36"/>
      <c r="AE36"/>
    </row>
    <row r="37" spans="1:31" x14ac:dyDescent="0.3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X37"/>
      <c r="Z37"/>
      <c r="AC37"/>
      <c r="AE37"/>
    </row>
    <row r="38" spans="1:31" x14ac:dyDescent="0.3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X38"/>
      <c r="Z38"/>
      <c r="AC38"/>
      <c r="AE38"/>
    </row>
    <row r="39" spans="1:31" x14ac:dyDescent="0.3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X39"/>
      <c r="Z39"/>
      <c r="AC39"/>
      <c r="AE39"/>
    </row>
    <row r="40" spans="1:31" x14ac:dyDescent="0.3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X40"/>
      <c r="Z40"/>
      <c r="AC40"/>
      <c r="AE40"/>
    </row>
    <row r="41" spans="1:31" x14ac:dyDescent="0.3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X41"/>
      <c r="Z41"/>
      <c r="AC41"/>
      <c r="AE41"/>
    </row>
    <row r="42" spans="1:31" x14ac:dyDescent="0.3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1" x14ac:dyDescent="0.3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1" x14ac:dyDescent="0.3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1" x14ac:dyDescent="0.3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1" x14ac:dyDescent="0.3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1" x14ac:dyDescent="0.3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1" x14ac:dyDescent="0.3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3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3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3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3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3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3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  <row r="55" spans="1:31" x14ac:dyDescent="0.3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X55"/>
      <c r="Z55"/>
      <c r="AC55"/>
      <c r="AE55"/>
    </row>
    <row r="56" spans="1:31" x14ac:dyDescent="0.3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X56"/>
      <c r="Z56"/>
      <c r="AC56"/>
      <c r="AE56"/>
    </row>
  </sheetData>
  <autoFilter ref="A6:AC39">
    <sortState ref="A7:AC39">
      <sortCondition ref="W7:W28"/>
      <sortCondition ref="E7:E28"/>
      <sortCondition ref="K7:K28"/>
      <sortCondition ref="F7:F28"/>
    </sortState>
  </autoFilter>
  <sortState ref="A7:AE26">
    <sortCondition ref="W7:W26"/>
    <sortCondition ref="E7:E26"/>
    <sortCondition ref="K7:K26"/>
    <sortCondition ref="C7:C26"/>
    <sortCondition ref="F7:F26"/>
  </sortState>
  <mergeCells count="1">
    <mergeCell ref="A5:O5"/>
  </mergeCells>
  <conditionalFormatting sqref="O6:P6 R6 O57:O1048576 O7:O28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8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AA7:AA28</xm:sqref>
        </x14:dataValidation>
        <x14:dataValidation type="list" allowBlank="1" showInputMessage="1" showErrorMessage="1">
          <x14:formula1>
            <xm:f>'Redmine List Values'!$C$2:$C$15</xm:f>
          </x14:formula1>
          <xm:sqref>AB7:AB28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3" sqref="A3"/>
    </sheetView>
  </sheetViews>
  <sheetFormatPr defaultRowHeight="14.4" x14ac:dyDescent="0.3"/>
  <cols>
    <col min="1" max="1" width="8" style="171" customWidth="1"/>
    <col min="2" max="2" width="9.109375" style="2" customWidth="1"/>
    <col min="3" max="3" width="8" style="75" bestFit="1" customWidth="1"/>
    <col min="4" max="4" width="11.33203125" style="124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68" customWidth="1"/>
    <col min="10" max="10" width="9.109375" customWidth="1"/>
  </cols>
  <sheetData>
    <row r="1" spans="1:10" s="20" customFormat="1" x14ac:dyDescent="0.3">
      <c r="A1" s="171"/>
      <c r="B1" s="230" t="str">
        <f>"Trips that did not appear in PTC Data "&amp;TEXT(Variables!$A$2,"YYYY-mm-dd")</f>
        <v>Trips that did not appear in PTC Data 2017-10-29</v>
      </c>
      <c r="C1" s="230"/>
      <c r="D1" s="230"/>
      <c r="E1" s="230"/>
      <c r="F1" s="230"/>
      <c r="I1" s="168"/>
    </row>
    <row r="2" spans="1:10" s="23" customFormat="1" ht="43.2" x14ac:dyDescent="0.3">
      <c r="A2" s="177" t="s">
        <v>146</v>
      </c>
      <c r="B2" s="77" t="s">
        <v>58</v>
      </c>
      <c r="C2" s="74" t="s">
        <v>59</v>
      </c>
      <c r="D2" s="136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69" t="s">
        <v>101</v>
      </c>
      <c r="J2" s="28" t="s">
        <v>60</v>
      </c>
    </row>
    <row r="3" spans="1:10" x14ac:dyDescent="0.3">
      <c r="A3" s="172"/>
      <c r="B3" s="42" t="str">
        <f>A3&amp;"-"&amp;IF(DAY(Variables!$A$2)&lt;10,0,"")&amp;DAY(Variables!$A$2)</f>
        <v>-29</v>
      </c>
      <c r="C3" s="120"/>
      <c r="D3" s="178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7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3" s="30" t="e">
        <f>VLOOKUP(B3,'Train Runs'!$A$13:$A$100081,1,FALSE)</f>
        <v>#N/A</v>
      </c>
    </row>
    <row r="4" spans="1:10" x14ac:dyDescent="0.3">
      <c r="A4" s="172"/>
      <c r="B4" s="42" t="str">
        <f>A4&amp;"-"&amp;IF(DAY(Variables!$A$2)&lt;10,0,"")&amp;DAY(Variables!$A$2)</f>
        <v>-29</v>
      </c>
      <c r="C4" s="120"/>
      <c r="D4" s="137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4" s="30" t="e">
        <f>VLOOKUP(B4,'Train Runs'!$A$13:$A$100081,1,FALSE)</f>
        <v>#N/A</v>
      </c>
    </row>
    <row r="5" spans="1:10" x14ac:dyDescent="0.3">
      <c r="A5" s="172"/>
      <c r="B5" s="42" t="str">
        <f>A5&amp;"-"&amp;IF(DAY(Variables!$A$2)&lt;10,0,"")&amp;DAY(Variables!$A$2)</f>
        <v>-29</v>
      </c>
      <c r="C5" s="120"/>
      <c r="D5" s="137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5" s="30" t="e">
        <f>VLOOKUP(B5,'Train Runs'!$A$13:$A$100081,1,FALSE)</f>
        <v>#N/A</v>
      </c>
    </row>
    <row r="6" spans="1:10" x14ac:dyDescent="0.3">
      <c r="A6" s="172"/>
      <c r="B6" s="42" t="str">
        <f>A6&amp;"-"&amp;IF(DAY(Variables!$A$2)&lt;10,0,"")&amp;DAY(Variables!$A$2)</f>
        <v>-29</v>
      </c>
      <c r="C6" s="120"/>
      <c r="D6" s="137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6" s="30" t="e">
        <f>VLOOKUP(B6,'Train Runs'!$A$13:$A$100081,1,FALSE)</f>
        <v>#N/A</v>
      </c>
    </row>
    <row r="7" spans="1:10" x14ac:dyDescent="0.3">
      <c r="A7" s="172"/>
      <c r="B7" s="42" t="str">
        <f>A7&amp;"-"&amp;IF(DAY(Variables!$A$2)&lt;10,0,"")&amp;DAY(Variables!$A$2)</f>
        <v>-29</v>
      </c>
      <c r="C7" s="120"/>
      <c r="D7" s="137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7" s="30" t="e">
        <f>VLOOKUP(B7,'Train Runs'!$A$13:$A$100081,1,FALSE)</f>
        <v>#N/A</v>
      </c>
    </row>
    <row r="8" spans="1:10" x14ac:dyDescent="0.3">
      <c r="A8" s="172"/>
      <c r="B8" s="42" t="str">
        <f>A8&amp;"-"&amp;IF(DAY(Variables!$A$2)&lt;10,0,"")&amp;DAY(Variables!$A$2)</f>
        <v>-29</v>
      </c>
      <c r="C8" s="120"/>
      <c r="D8" s="137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8" s="30" t="e">
        <f>VLOOKUP(B8,'Train Runs'!$A$13:$A$100081,1,FALSE)</f>
        <v>#N/A</v>
      </c>
    </row>
    <row r="9" spans="1:10" x14ac:dyDescent="0.3">
      <c r="A9" s="172"/>
      <c r="B9" s="42" t="str">
        <f>A9&amp;"-"&amp;IF(DAY(Variables!$A$2)&lt;10,0,"")&amp;DAY(Variables!$A$2)</f>
        <v>-29</v>
      </c>
      <c r="C9" s="120"/>
      <c r="D9" s="137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9" s="30" t="e">
        <f>VLOOKUP(B9,'Train Runs'!$A$13:$A$100081,1,FALSE)</f>
        <v>#N/A</v>
      </c>
    </row>
    <row r="10" spans="1:10" x14ac:dyDescent="0.3">
      <c r="A10" s="172"/>
      <c r="B10" s="42" t="str">
        <f>A10&amp;"-"&amp;IF(DAY(Variables!$A$2)&lt;10,0,"")&amp;DAY(Variables!$A$2)</f>
        <v>-29</v>
      </c>
      <c r="C10" s="120"/>
      <c r="D10" s="137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0" s="30" t="e">
        <f>VLOOKUP(B10,'Train Runs'!$A$13:$A$100081,1,FALSE)</f>
        <v>#N/A</v>
      </c>
    </row>
    <row r="11" spans="1:10" x14ac:dyDescent="0.3">
      <c r="A11" s="172"/>
      <c r="B11" s="42" t="str">
        <f>A11&amp;"-"&amp;IF(DAY(Variables!$A$2)&lt;10,0,"")&amp;DAY(Variables!$A$2)</f>
        <v>-29</v>
      </c>
      <c r="C11" s="120"/>
      <c r="D11" s="137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1" s="30" t="e">
        <f>VLOOKUP(B11,'Train Runs'!$A$13:$A$100081,1,FALSE)</f>
        <v>#N/A</v>
      </c>
    </row>
    <row r="12" spans="1:10" x14ac:dyDescent="0.3">
      <c r="A12" s="172"/>
      <c r="B12" s="42" t="str">
        <f>A12&amp;"-"&amp;IF(DAY(Variables!$A$2)&lt;10,0,"")&amp;DAY(Variables!$A$2)</f>
        <v>-29</v>
      </c>
      <c r="C12" s="120"/>
      <c r="D12" s="137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2" s="30" t="e">
        <f>VLOOKUP(B12,'Train Runs'!$A$13:$A$100081,1,FALSE)</f>
        <v>#N/A</v>
      </c>
    </row>
    <row r="13" spans="1:10" x14ac:dyDescent="0.3">
      <c r="A13" s="172"/>
      <c r="B13" s="42" t="str">
        <f>A13&amp;"-"&amp;IF(DAY(Variables!$A$2)&lt;10,0,"")&amp;DAY(Variables!$A$2)</f>
        <v>-29</v>
      </c>
      <c r="C13" s="120"/>
      <c r="D13" s="137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3" s="30" t="e">
        <f>VLOOKUP(B13,'Train Runs'!$A$13:$A$100081,1,FALSE)</f>
        <v>#N/A</v>
      </c>
    </row>
    <row r="14" spans="1:10" x14ac:dyDescent="0.3">
      <c r="A14" s="172"/>
      <c r="B14" s="42" t="str">
        <f>A14&amp;"-"&amp;IF(DAY(Variables!$A$2)&lt;10,0,"")&amp;DAY(Variables!$A$2)</f>
        <v>-29</v>
      </c>
      <c r="C14" s="120"/>
      <c r="D14" s="137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4" s="30" t="e">
        <f>VLOOKUP(B14,'Train Runs'!$A$13:$A$100081,1,FALSE)</f>
        <v>#N/A</v>
      </c>
    </row>
    <row r="15" spans="1:10" x14ac:dyDescent="0.3">
      <c r="A15" s="172"/>
      <c r="B15" s="42" t="str">
        <f>A15&amp;"-"&amp;IF(DAY(Variables!$A$2)&lt;10,0,"")&amp;DAY(Variables!$A$2)</f>
        <v>-29</v>
      </c>
      <c r="C15" s="120"/>
      <c r="D15" s="137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5" s="30" t="e">
        <f>VLOOKUP(B15,'Train Runs'!$A$13:$A$100081,1,FALSE)</f>
        <v>#N/A</v>
      </c>
    </row>
    <row r="16" spans="1:10" x14ac:dyDescent="0.3">
      <c r="A16" s="172"/>
      <c r="B16" s="42" t="str">
        <f>A16&amp;"-"&amp;IF(DAY(Variables!$A$2)&lt;10,0,"")&amp;DAY(Variables!$A$2)</f>
        <v>-29</v>
      </c>
      <c r="C16" s="120"/>
      <c r="D16" s="137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6" s="30" t="e">
        <f>VLOOKUP(B16,'Train Runs'!$A$13:$A$100081,1,FALSE)</f>
        <v>#N/A</v>
      </c>
    </row>
    <row r="17" spans="1:10" x14ac:dyDescent="0.3">
      <c r="A17" s="172"/>
      <c r="B17" s="42" t="str">
        <f>A17&amp;"-"&amp;IF(DAY(Variables!$A$2)&lt;10,0,"")&amp;DAY(Variables!$A$2)</f>
        <v>-29</v>
      </c>
      <c r="C17" s="120"/>
      <c r="D17" s="137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7" s="30" t="e">
        <f>VLOOKUP(B17,'Train Runs'!$A$13:$A$100081,1,FALSE)</f>
        <v>#N/A</v>
      </c>
    </row>
    <row r="18" spans="1:10" x14ac:dyDescent="0.3">
      <c r="A18" s="172"/>
      <c r="B18" s="42" t="str">
        <f>A18&amp;"-"&amp;IF(DAY(Variables!$A$2)&lt;10,0,"")&amp;DAY(Variables!$A$2)</f>
        <v>-29</v>
      </c>
      <c r="C18" s="120"/>
      <c r="D18" s="137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7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-29%22)),sort:!(Time.ISO8601,asc))</v>
      </c>
      <c r="J18" s="30" t="e">
        <f>VLOOKUP(B18,'Train Runs'!$A$13:$A$100081,1,FALSE)</f>
        <v>#N/A</v>
      </c>
    </row>
    <row r="19" spans="1:10" x14ac:dyDescent="0.3">
      <c r="A19" s="172"/>
      <c r="B19" s="42"/>
      <c r="C19" s="120"/>
      <c r="D19" s="137"/>
      <c r="E19" s="30"/>
      <c r="F19" s="21"/>
      <c r="G19" s="21"/>
      <c r="H19" s="29"/>
      <c r="I19" s="170"/>
      <c r="J19" s="30"/>
    </row>
    <row r="20" spans="1:10" x14ac:dyDescent="0.3">
      <c r="A20" s="172"/>
      <c r="B20" s="42"/>
      <c r="C20" s="120"/>
      <c r="D20" s="137"/>
      <c r="E20" s="30"/>
      <c r="F20" s="21"/>
      <c r="G20" s="21"/>
      <c r="H20" s="29"/>
      <c r="I20" s="170"/>
      <c r="J20" s="30"/>
    </row>
    <row r="21" spans="1:10" x14ac:dyDescent="0.3">
      <c r="A21" s="172"/>
      <c r="B21" s="42"/>
      <c r="C21" s="120"/>
      <c r="D21" s="137"/>
      <c r="E21" s="30"/>
      <c r="F21" s="21"/>
      <c r="G21" s="21"/>
      <c r="H21" s="29"/>
      <c r="I21" s="170"/>
      <c r="J21" s="30"/>
    </row>
    <row r="22" spans="1:10" x14ac:dyDescent="0.3">
      <c r="A22" s="172"/>
      <c r="B22" s="42"/>
      <c r="C22" s="120"/>
      <c r="D22" s="137"/>
      <c r="E22" s="30"/>
      <c r="F22" s="21"/>
      <c r="G22" s="21"/>
      <c r="H22" s="29"/>
      <c r="I22" s="170"/>
      <c r="J22" s="30"/>
    </row>
    <row r="23" spans="1:10" x14ac:dyDescent="0.3">
      <c r="A23" s="172"/>
      <c r="B23" s="42"/>
      <c r="C23" s="120"/>
      <c r="D23" s="137"/>
      <c r="E23" s="30"/>
      <c r="F23" s="21"/>
      <c r="G23" s="21"/>
      <c r="H23" s="29"/>
      <c r="I23" s="170"/>
      <c r="J23" s="30"/>
    </row>
    <row r="24" spans="1:10" x14ac:dyDescent="0.3">
      <c r="A24" s="172"/>
      <c r="B24" s="42"/>
      <c r="C24" s="120"/>
      <c r="D24" s="137"/>
      <c r="E24" s="30"/>
      <c r="F24" s="21"/>
      <c r="G24" s="21"/>
      <c r="H24" s="29"/>
      <c r="I24" s="170"/>
      <c r="J24" s="30"/>
    </row>
    <row r="25" spans="1:10" x14ac:dyDescent="0.3">
      <c r="A25" s="172"/>
      <c r="B25" s="42"/>
      <c r="C25" s="120"/>
      <c r="D25" s="137"/>
      <c r="E25" s="30"/>
      <c r="F25" s="21"/>
      <c r="G25" s="21"/>
      <c r="H25" s="29"/>
      <c r="I25" s="170"/>
      <c r="J25" s="30"/>
    </row>
    <row r="26" spans="1:10" x14ac:dyDescent="0.3">
      <c r="A26" s="172"/>
      <c r="B26" s="42"/>
      <c r="C26" s="120"/>
      <c r="D26" s="137"/>
      <c r="E26" s="30"/>
      <c r="F26" s="21"/>
      <c r="G26" s="21"/>
      <c r="H26" s="29"/>
      <c r="I26" s="170"/>
      <c r="J26" s="30"/>
    </row>
    <row r="27" spans="1:10" x14ac:dyDescent="0.3">
      <c r="A27" s="172"/>
      <c r="B27" s="42"/>
      <c r="C27" s="120"/>
      <c r="D27" s="137"/>
      <c r="E27" s="30"/>
      <c r="F27" s="21"/>
      <c r="G27" s="21"/>
      <c r="H27" s="29"/>
      <c r="I27" s="170"/>
      <c r="J27" s="30"/>
    </row>
    <row r="28" spans="1:10" x14ac:dyDescent="0.3">
      <c r="A28" s="172"/>
      <c r="B28" s="42"/>
      <c r="C28" s="120"/>
      <c r="D28" s="137"/>
      <c r="E28" s="30"/>
      <c r="F28" s="21"/>
      <c r="G28" s="21"/>
      <c r="H28" s="29"/>
      <c r="I28" s="170"/>
      <c r="J28" s="30"/>
    </row>
    <row r="29" spans="1:10" x14ac:dyDescent="0.3">
      <c r="A29" s="172"/>
      <c r="B29" s="42"/>
      <c r="C29" s="120"/>
      <c r="D29" s="137"/>
      <c r="E29" s="30"/>
      <c r="F29" s="21"/>
      <c r="G29" s="21"/>
      <c r="H29" s="29"/>
      <c r="I29" s="170"/>
      <c r="J29" s="30"/>
    </row>
    <row r="30" spans="1:10" x14ac:dyDescent="0.3">
      <c r="A30" s="172"/>
      <c r="B30" s="42"/>
      <c r="C30" s="120"/>
      <c r="D30" s="137"/>
      <c r="E30" s="30"/>
      <c r="F30" s="21"/>
      <c r="G30" s="21"/>
      <c r="H30" s="29"/>
      <c r="I30" s="170"/>
      <c r="J30" s="30"/>
    </row>
    <row r="31" spans="1:10" x14ac:dyDescent="0.3">
      <c r="A31" s="172"/>
      <c r="B31" s="42"/>
      <c r="C31" s="120"/>
      <c r="D31" s="137"/>
      <c r="E31" s="30"/>
      <c r="F31" s="21"/>
      <c r="G31" s="21"/>
      <c r="H31" s="29"/>
      <c r="I31" s="170"/>
      <c r="J31" s="30"/>
    </row>
    <row r="32" spans="1:10" x14ac:dyDescent="0.3">
      <c r="A32" s="172"/>
      <c r="B32" s="42"/>
      <c r="C32" s="120"/>
      <c r="D32" s="137"/>
      <c r="E32" s="30"/>
      <c r="F32" s="21"/>
      <c r="G32" s="21"/>
      <c r="H32" s="29"/>
      <c r="I32" s="170"/>
      <c r="J32" s="30"/>
    </row>
    <row r="33" spans="1:10" x14ac:dyDescent="0.3">
      <c r="A33" s="172"/>
      <c r="B33" s="42"/>
      <c r="C33" s="120"/>
      <c r="D33" s="137"/>
      <c r="E33" s="30"/>
      <c r="F33" s="21"/>
      <c r="G33" s="21"/>
      <c r="H33" s="29"/>
      <c r="I33" s="170"/>
      <c r="J33" s="30"/>
    </row>
    <row r="34" spans="1:10" x14ac:dyDescent="0.3">
      <c r="A34" s="172"/>
      <c r="B34" s="42"/>
      <c r="C34" s="120"/>
      <c r="D34" s="137"/>
      <c r="E34" s="30"/>
      <c r="F34" s="21"/>
      <c r="G34" s="21"/>
      <c r="H34" s="29"/>
      <c r="I34" s="170"/>
      <c r="J34" s="30"/>
    </row>
    <row r="35" spans="1:10" x14ac:dyDescent="0.3">
      <c r="A35" s="172"/>
      <c r="B35" s="42"/>
      <c r="C35" s="120"/>
      <c r="D35" s="137"/>
      <c r="E35" s="30"/>
      <c r="F35" s="21"/>
      <c r="G35" s="21"/>
      <c r="H35" s="29"/>
      <c r="I35" s="170"/>
      <c r="J35" s="30"/>
    </row>
    <row r="36" spans="1:10" x14ac:dyDescent="0.3">
      <c r="A36" s="172"/>
      <c r="B36" s="42"/>
      <c r="C36" s="120"/>
      <c r="D36" s="137"/>
      <c r="E36" s="30"/>
      <c r="F36" s="21"/>
      <c r="G36" s="21"/>
      <c r="H36" s="29"/>
      <c r="I36" s="170"/>
      <c r="J36" s="30"/>
    </row>
    <row r="37" spans="1:10" x14ac:dyDescent="0.3">
      <c r="A37" s="172"/>
      <c r="B37" s="42"/>
      <c r="C37" s="120"/>
      <c r="D37" s="137"/>
      <c r="E37" s="30"/>
      <c r="F37" s="21"/>
      <c r="G37" s="21"/>
      <c r="H37" s="29"/>
      <c r="I37" s="170"/>
      <c r="J37" s="30"/>
    </row>
    <row r="38" spans="1:10" x14ac:dyDescent="0.3">
      <c r="A38" s="172"/>
      <c r="B38" s="42"/>
      <c r="C38" s="120"/>
      <c r="D38" s="137"/>
      <c r="E38" s="30"/>
      <c r="F38" s="21"/>
      <c r="G38" s="21"/>
      <c r="H38" s="29"/>
      <c r="I38" s="170"/>
      <c r="J38" s="30"/>
    </row>
    <row r="39" spans="1:10" x14ac:dyDescent="0.3">
      <c r="A39" s="172"/>
      <c r="B39" s="42"/>
      <c r="C39" s="120"/>
      <c r="D39" s="137"/>
      <c r="E39" s="30"/>
      <c r="F39" s="21"/>
      <c r="G39" s="21"/>
      <c r="H39" s="29"/>
      <c r="I39" s="170"/>
      <c r="J39" s="30"/>
    </row>
    <row r="40" spans="1:10" x14ac:dyDescent="0.3">
      <c r="A40" s="172"/>
      <c r="B40" s="42"/>
      <c r="C40" s="120"/>
      <c r="D40" s="137"/>
      <c r="E40" s="30"/>
      <c r="F40" s="21"/>
      <c r="G40" s="21"/>
      <c r="H40" s="29"/>
      <c r="I40" s="170"/>
      <c r="J40" s="30"/>
    </row>
    <row r="41" spans="1:10" x14ac:dyDescent="0.3">
      <c r="A41" s="172"/>
      <c r="B41" s="42"/>
      <c r="C41" s="120"/>
      <c r="D41" s="137"/>
      <c r="E41" s="30"/>
      <c r="F41" s="21"/>
      <c r="G41" s="21"/>
      <c r="H41" s="29"/>
      <c r="I41" s="170"/>
      <c r="J41" s="30"/>
    </row>
    <row r="42" spans="1:10" x14ac:dyDescent="0.3">
      <c r="A42" s="172"/>
      <c r="B42" s="42"/>
      <c r="C42" s="120"/>
      <c r="D42" s="137"/>
      <c r="E42" s="30"/>
      <c r="F42" s="21"/>
      <c r="G42" s="21"/>
      <c r="H42" s="29"/>
      <c r="I42" s="170"/>
      <c r="J42" s="30"/>
    </row>
    <row r="43" spans="1:10" x14ac:dyDescent="0.3">
      <c r="A43" s="172"/>
      <c r="B43" s="42"/>
      <c r="C43" s="120"/>
      <c r="D43" s="137"/>
      <c r="E43" s="30"/>
      <c r="F43" s="21"/>
      <c r="G43" s="21"/>
      <c r="H43" s="29"/>
      <c r="I43" s="170"/>
      <c r="J43" s="30"/>
    </row>
    <row r="44" spans="1:10" x14ac:dyDescent="0.3">
      <c r="A44" s="172"/>
      <c r="B44" s="42"/>
      <c r="C44" s="120"/>
      <c r="D44" s="137"/>
      <c r="E44" s="30"/>
      <c r="F44" s="21"/>
      <c r="G44" s="21"/>
      <c r="H44" s="29"/>
      <c r="I44" s="170"/>
      <c r="J44" s="30"/>
    </row>
    <row r="45" spans="1:10" x14ac:dyDescent="0.3">
      <c r="A45" s="172"/>
      <c r="B45" s="42"/>
      <c r="C45" s="120"/>
      <c r="D45" s="137"/>
      <c r="E45" s="30"/>
      <c r="F45" s="21"/>
      <c r="G45" s="21"/>
      <c r="H45" s="29"/>
      <c r="I45" s="170"/>
      <c r="J45" s="30"/>
    </row>
    <row r="46" spans="1:10" x14ac:dyDescent="0.3">
      <c r="A46" s="172"/>
      <c r="B46" s="42"/>
      <c r="C46" s="120"/>
      <c r="D46" s="137"/>
      <c r="E46" s="30"/>
      <c r="F46" s="21"/>
      <c r="G46" s="21"/>
      <c r="H46" s="29"/>
      <c r="I46" s="170"/>
      <c r="J46" s="30"/>
    </row>
    <row r="47" spans="1:10" x14ac:dyDescent="0.3">
      <c r="A47" s="172"/>
      <c r="B47" s="42"/>
      <c r="C47" s="120"/>
      <c r="D47" s="137"/>
      <c r="E47" s="30"/>
      <c r="F47" s="21"/>
      <c r="G47" s="21"/>
      <c r="H47" s="29"/>
      <c r="I47" s="170"/>
      <c r="J47" s="30"/>
    </row>
    <row r="48" spans="1:10" x14ac:dyDescent="0.3">
      <c r="A48" s="172"/>
      <c r="B48" s="42"/>
      <c r="C48" s="120"/>
      <c r="D48" s="137"/>
      <c r="E48" s="30"/>
      <c r="F48" s="21"/>
      <c r="G48" s="21"/>
      <c r="H48" s="29"/>
      <c r="I48" s="170"/>
      <c r="J48" s="30"/>
    </row>
    <row r="49" spans="1:10" x14ac:dyDescent="0.3">
      <c r="A49" s="172"/>
      <c r="B49" s="42"/>
      <c r="C49" s="120"/>
      <c r="D49" s="137"/>
      <c r="E49" s="30"/>
      <c r="F49" s="21"/>
      <c r="G49" s="21"/>
      <c r="H49" s="29"/>
      <c r="I49" s="170"/>
      <c r="J49" s="30"/>
    </row>
    <row r="50" spans="1:10" x14ac:dyDescent="0.3">
      <c r="A50" s="172"/>
      <c r="B50" s="42"/>
      <c r="C50" s="120"/>
      <c r="D50" s="137"/>
      <c r="E50" s="30"/>
      <c r="F50" s="21"/>
      <c r="G50" s="21"/>
      <c r="H50" s="29"/>
      <c r="I50" s="170"/>
      <c r="J50" s="30"/>
    </row>
    <row r="51" spans="1:10" x14ac:dyDescent="0.3">
      <c r="A51" s="172"/>
      <c r="B51" s="42"/>
      <c r="C51" s="120"/>
      <c r="D51" s="137"/>
      <c r="E51" s="30"/>
      <c r="F51" s="21"/>
      <c r="G51" s="21"/>
      <c r="H51" s="29"/>
      <c r="I51" s="170"/>
      <c r="J51" s="30"/>
    </row>
    <row r="52" spans="1:10" x14ac:dyDescent="0.3">
      <c r="A52" s="172"/>
      <c r="B52" s="42"/>
      <c r="C52" s="120"/>
      <c r="D52" s="137"/>
      <c r="E52" s="30"/>
      <c r="F52" s="21"/>
      <c r="G52" s="21"/>
      <c r="H52" s="29"/>
      <c r="I52" s="170"/>
      <c r="J52" s="30"/>
    </row>
    <row r="53" spans="1:10" x14ac:dyDescent="0.3">
      <c r="A53" s="172"/>
      <c r="B53" s="42"/>
      <c r="C53" s="120"/>
      <c r="D53" s="137"/>
      <c r="E53" s="30"/>
      <c r="F53" s="21"/>
      <c r="G53" s="21"/>
      <c r="H53" s="29"/>
      <c r="I53" s="170"/>
      <c r="J53" s="30"/>
    </row>
    <row r="54" spans="1:10" x14ac:dyDescent="0.3">
      <c r="A54" s="172"/>
      <c r="B54" s="42"/>
      <c r="C54" s="120"/>
      <c r="D54" s="137"/>
      <c r="E54" s="30"/>
      <c r="F54" s="21"/>
      <c r="G54" s="21"/>
      <c r="H54" s="29"/>
      <c r="I54" s="170"/>
      <c r="J54" s="30"/>
    </row>
    <row r="55" spans="1:10" x14ac:dyDescent="0.3">
      <c r="A55" s="172"/>
      <c r="B55" s="42"/>
      <c r="C55" s="120"/>
      <c r="D55" s="137"/>
      <c r="E55" s="30"/>
      <c r="F55" s="21"/>
      <c r="G55" s="21"/>
      <c r="H55" s="29"/>
      <c r="I55" s="170"/>
      <c r="J55" s="30"/>
    </row>
    <row r="56" spans="1:10" x14ac:dyDescent="0.3">
      <c r="A56" s="172"/>
      <c r="B56" s="42"/>
      <c r="C56" s="120"/>
      <c r="D56" s="137"/>
      <c r="E56" s="30"/>
      <c r="F56" s="21"/>
      <c r="G56" s="21"/>
      <c r="H56" s="29"/>
      <c r="I56" s="170"/>
      <c r="J56" s="30"/>
    </row>
    <row r="57" spans="1:10" x14ac:dyDescent="0.3">
      <c r="A57" s="172"/>
      <c r="B57" s="42"/>
      <c r="C57" s="120"/>
      <c r="D57" s="137"/>
      <c r="E57" s="30"/>
      <c r="F57" s="21"/>
      <c r="G57" s="21"/>
      <c r="H57" s="29"/>
      <c r="I57" s="170"/>
      <c r="J57" s="30"/>
    </row>
    <row r="58" spans="1:10" x14ac:dyDescent="0.3">
      <c r="A58" s="172"/>
      <c r="B58" s="42"/>
      <c r="C58" s="120"/>
      <c r="D58" s="137"/>
      <c r="E58" s="30"/>
      <c r="F58" s="21"/>
      <c r="G58" s="21"/>
      <c r="H58" s="29"/>
      <c r="I58" s="170"/>
      <c r="J58" s="30"/>
    </row>
    <row r="59" spans="1:10" x14ac:dyDescent="0.3">
      <c r="A59" s="172"/>
      <c r="B59" s="42"/>
      <c r="C59" s="120"/>
      <c r="D59" s="137"/>
      <c r="E59" s="30"/>
      <c r="F59" s="21"/>
      <c r="G59" s="21"/>
      <c r="H59" s="29"/>
      <c r="I59" s="170"/>
      <c r="J59" s="30"/>
    </row>
    <row r="60" spans="1:10" x14ac:dyDescent="0.3">
      <c r="A60" s="172"/>
      <c r="B60" s="42"/>
      <c r="C60" s="120"/>
      <c r="D60" s="137"/>
      <c r="E60" s="30"/>
      <c r="F60" s="21"/>
      <c r="G60" s="21"/>
      <c r="H60" s="29"/>
      <c r="I60" s="170"/>
      <c r="J60" s="30"/>
    </row>
    <row r="61" spans="1:10" x14ac:dyDescent="0.3">
      <c r="A61" s="172"/>
      <c r="B61" s="42"/>
      <c r="C61" s="120"/>
      <c r="D61" s="137"/>
      <c r="E61" s="30"/>
      <c r="F61" s="21"/>
      <c r="G61" s="21"/>
      <c r="H61" s="29"/>
      <c r="I61" s="170"/>
      <c r="J61" s="30"/>
    </row>
    <row r="62" spans="1:10" x14ac:dyDescent="0.3">
      <c r="A62" s="172"/>
      <c r="B62" s="42"/>
      <c r="C62" s="120"/>
      <c r="D62" s="137"/>
      <c r="E62" s="30"/>
      <c r="F62" s="21"/>
      <c r="G62" s="21"/>
      <c r="H62" s="29"/>
      <c r="I62" s="170"/>
      <c r="J62" s="30"/>
    </row>
    <row r="63" spans="1:10" x14ac:dyDescent="0.3">
      <c r="A63" s="172"/>
      <c r="B63" s="42"/>
      <c r="C63" s="120"/>
      <c r="D63" s="137"/>
      <c r="E63" s="30"/>
      <c r="F63" s="21"/>
      <c r="G63" s="21"/>
      <c r="H63" s="29"/>
      <c r="I63" s="170"/>
      <c r="J63" s="30"/>
    </row>
    <row r="64" spans="1:10" x14ac:dyDescent="0.3">
      <c r="A64" s="172"/>
      <c r="B64" s="42"/>
      <c r="C64" s="120"/>
      <c r="D64" s="137"/>
      <c r="E64" s="30"/>
      <c r="F64" s="21"/>
      <c r="G64" s="21"/>
      <c r="H64" s="29"/>
      <c r="I64" s="170"/>
      <c r="J64" s="30"/>
    </row>
    <row r="65" spans="1:10" x14ac:dyDescent="0.3">
      <c r="A65" s="172"/>
      <c r="B65" s="42"/>
      <c r="C65" s="120"/>
      <c r="D65" s="137"/>
      <c r="E65" s="30"/>
      <c r="F65" s="21"/>
      <c r="G65" s="21"/>
      <c r="H65" s="29"/>
      <c r="I65" s="170"/>
      <c r="J65" s="30"/>
    </row>
    <row r="66" spans="1:10" x14ac:dyDescent="0.3">
      <c r="A66" s="172"/>
      <c r="B66" s="42"/>
      <c r="C66" s="120"/>
      <c r="D66" s="137"/>
      <c r="E66" s="30"/>
      <c r="F66" s="21"/>
      <c r="G66" s="21"/>
      <c r="H66" s="29"/>
      <c r="I66" s="170"/>
      <c r="J66" s="30"/>
    </row>
    <row r="67" spans="1:10" x14ac:dyDescent="0.3">
      <c r="A67" s="172"/>
      <c r="B67" s="42"/>
      <c r="C67" s="120"/>
      <c r="D67" s="137"/>
      <c r="E67" s="30"/>
      <c r="F67" s="21"/>
      <c r="G67" s="21"/>
      <c r="H67" s="29"/>
      <c r="I67" s="170"/>
      <c r="J67" s="30"/>
    </row>
    <row r="68" spans="1:10" x14ac:dyDescent="0.3">
      <c r="A68" s="172"/>
      <c r="B68" s="42"/>
      <c r="C68" s="120"/>
      <c r="D68" s="137"/>
      <c r="E68" s="30"/>
      <c r="F68" s="21"/>
      <c r="G68" s="21"/>
      <c r="H68" s="29"/>
      <c r="I68" s="170"/>
      <c r="J68" s="30"/>
    </row>
    <row r="69" spans="1:10" x14ac:dyDescent="0.3">
      <c r="A69" s="172"/>
      <c r="B69" s="42"/>
      <c r="C69" s="120"/>
      <c r="D69" s="137"/>
      <c r="E69" s="30"/>
      <c r="F69" s="21"/>
      <c r="G69" s="21"/>
      <c r="H69" s="29"/>
      <c r="I69" s="170"/>
      <c r="J69" s="30"/>
    </row>
    <row r="70" spans="1:10" x14ac:dyDescent="0.3">
      <c r="A70" s="172"/>
      <c r="B70" s="42"/>
      <c r="C70" s="120"/>
      <c r="D70" s="137"/>
      <c r="E70" s="30"/>
      <c r="F70" s="21"/>
      <c r="G70" s="21"/>
      <c r="H70" s="29"/>
      <c r="I70" s="170"/>
      <c r="J70" s="30"/>
    </row>
    <row r="71" spans="1:10" x14ac:dyDescent="0.3">
      <c r="A71" s="172"/>
      <c r="B71" s="42"/>
      <c r="C71" s="120"/>
      <c r="D71" s="137"/>
      <c r="E71" s="30"/>
      <c r="F71" s="21"/>
      <c r="G71" s="21"/>
      <c r="H71" s="29"/>
      <c r="I71" s="170"/>
      <c r="J71" s="30"/>
    </row>
    <row r="72" spans="1:10" x14ac:dyDescent="0.3">
      <c r="A72" s="172"/>
      <c r="B72" s="42"/>
      <c r="C72" s="120"/>
      <c r="D72" s="137"/>
      <c r="E72" s="30"/>
      <c r="F72" s="21"/>
      <c r="G72" s="21"/>
      <c r="H72" s="29"/>
      <c r="I72" s="170"/>
      <c r="J72" s="30"/>
    </row>
    <row r="73" spans="1:10" x14ac:dyDescent="0.3">
      <c r="A73" s="172"/>
      <c r="B73" s="42"/>
      <c r="C73" s="120"/>
      <c r="D73" s="137"/>
      <c r="E73" s="30"/>
      <c r="F73" s="21"/>
      <c r="G73" s="21"/>
      <c r="H73" s="29"/>
      <c r="I73" s="170"/>
      <c r="J73" s="30"/>
    </row>
    <row r="74" spans="1:10" x14ac:dyDescent="0.3">
      <c r="A74" s="172"/>
      <c r="B74" s="42"/>
      <c r="C74" s="120"/>
      <c r="D74" s="137"/>
      <c r="E74" s="30"/>
      <c r="F74" s="21"/>
      <c r="G74" s="21"/>
      <c r="H74" s="29"/>
      <c r="I74" s="17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34" workbookViewId="0">
      <selection activeCell="F34" sqref="F34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23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23" t="s">
        <v>170</v>
      </c>
      <c r="E1" s="20" t="s">
        <v>171</v>
      </c>
      <c r="F1" s="20" t="s">
        <v>188</v>
      </c>
      <c r="G1" s="8" t="s">
        <v>187</v>
      </c>
      <c r="H1" s="20" t="s">
        <v>60</v>
      </c>
    </row>
    <row r="2" spans="1:8" x14ac:dyDescent="0.3">
      <c r="A2" s="8">
        <v>43037.037997685184</v>
      </c>
      <c r="B2" s="20" t="s">
        <v>536</v>
      </c>
      <c r="C2" s="20" t="s">
        <v>650</v>
      </c>
      <c r="D2" s="123">
        <v>3220000</v>
      </c>
      <c r="E2" s="20" t="s">
        <v>651</v>
      </c>
      <c r="F2" s="20" t="s">
        <v>652</v>
      </c>
      <c r="G2" s="8" t="str">
        <f>E2&amp;" "&amp;F2</f>
        <v>RESPASS AARON</v>
      </c>
      <c r="H2" t="str">
        <f>MID(B2,13,4)</f>
        <v>4042</v>
      </c>
    </row>
    <row r="3" spans="1:8" x14ac:dyDescent="0.3">
      <c r="A3" s="8">
        <v>43037.047326388885</v>
      </c>
      <c r="B3" s="20" t="s">
        <v>417</v>
      </c>
      <c r="C3" s="20" t="s">
        <v>653</v>
      </c>
      <c r="D3" s="123">
        <v>3000000</v>
      </c>
      <c r="E3" s="20" t="s">
        <v>498</v>
      </c>
      <c r="F3" s="20" t="s">
        <v>499</v>
      </c>
      <c r="G3" s="8" t="str">
        <f t="shared" ref="G3:G66" si="0">E3&amp;" "&amp;F3</f>
        <v>FORTUNATO FRANK</v>
      </c>
      <c r="H3" s="20" t="str">
        <f t="shared" ref="H3:H66" si="1">MID(B3,13,4)</f>
        <v>4024</v>
      </c>
    </row>
    <row r="4" spans="1:8" x14ac:dyDescent="0.3">
      <c r="A4" s="8">
        <v>43037.056574074071</v>
      </c>
      <c r="B4" s="20" t="s">
        <v>654</v>
      </c>
      <c r="C4" s="20" t="s">
        <v>655</v>
      </c>
      <c r="D4" s="123">
        <v>3320000</v>
      </c>
      <c r="E4" s="20" t="s">
        <v>426</v>
      </c>
      <c r="F4" s="20" t="s">
        <v>427</v>
      </c>
      <c r="G4" s="8" t="str">
        <f t="shared" si="0"/>
        <v>NICHOLSON WESLEY</v>
      </c>
      <c r="H4" s="20" t="str">
        <f t="shared" si="1"/>
        <v>4003</v>
      </c>
    </row>
    <row r="5" spans="1:8" x14ac:dyDescent="0.3">
      <c r="A5" s="8">
        <v>43037.066192129627</v>
      </c>
      <c r="B5" s="20" t="s">
        <v>656</v>
      </c>
      <c r="C5" s="20" t="s">
        <v>657</v>
      </c>
      <c r="D5" s="123">
        <v>3340000</v>
      </c>
      <c r="E5" s="20" t="s">
        <v>428</v>
      </c>
      <c r="F5" s="20" t="s">
        <v>429</v>
      </c>
      <c r="G5" s="8" t="str">
        <f t="shared" si="0"/>
        <v>ELBAUM MIKE</v>
      </c>
      <c r="H5" s="20" t="str">
        <f t="shared" si="1"/>
        <v>4012</v>
      </c>
    </row>
    <row r="6" spans="1:8" x14ac:dyDescent="0.3">
      <c r="A6" s="8">
        <v>43037.066238425927</v>
      </c>
      <c r="B6" s="20" t="s">
        <v>658</v>
      </c>
      <c r="C6" s="20" t="s">
        <v>659</v>
      </c>
      <c r="D6" s="123">
        <v>3490000</v>
      </c>
      <c r="E6" s="20" t="s">
        <v>660</v>
      </c>
      <c r="F6" s="20" t="s">
        <v>661</v>
      </c>
      <c r="G6" s="8" t="str">
        <f t="shared" si="0"/>
        <v>WEST BRYAN</v>
      </c>
      <c r="H6" s="20" t="str">
        <f t="shared" si="1"/>
        <v>4047</v>
      </c>
    </row>
    <row r="7" spans="1:8" x14ac:dyDescent="0.3">
      <c r="A7" s="8">
        <v>43037.078773148147</v>
      </c>
      <c r="B7" s="20" t="s">
        <v>534</v>
      </c>
      <c r="C7" s="20" t="s">
        <v>662</v>
      </c>
      <c r="D7" s="123">
        <v>3220000</v>
      </c>
      <c r="E7" s="20" t="s">
        <v>651</v>
      </c>
      <c r="F7" s="20" t="s">
        <v>652</v>
      </c>
      <c r="G7" s="8" t="str">
        <f t="shared" si="0"/>
        <v>RESPASS AARON</v>
      </c>
      <c r="H7" s="20" t="str">
        <f t="shared" si="1"/>
        <v>4041</v>
      </c>
    </row>
    <row r="8" spans="1:8" x14ac:dyDescent="0.3">
      <c r="A8" s="8">
        <v>43037.084918981483</v>
      </c>
      <c r="B8" s="20" t="s">
        <v>658</v>
      </c>
      <c r="C8" s="20" t="s">
        <v>659</v>
      </c>
      <c r="D8" s="123">
        <v>3490000</v>
      </c>
      <c r="E8" s="20" t="s">
        <v>660</v>
      </c>
      <c r="F8" s="20" t="s">
        <v>661</v>
      </c>
      <c r="G8" s="8" t="str">
        <f t="shared" si="0"/>
        <v>WEST BRYAN</v>
      </c>
      <c r="H8" s="20" t="str">
        <f t="shared" si="1"/>
        <v>4047</v>
      </c>
    </row>
    <row r="9" spans="1:8" ht="15" thickBot="1" x14ac:dyDescent="0.35">
      <c r="A9" s="24">
        <v>43037.090254629627</v>
      </c>
      <c r="B9" s="20" t="s">
        <v>663</v>
      </c>
      <c r="C9" s="20" t="s">
        <v>664</v>
      </c>
      <c r="D9" s="123">
        <v>3320000</v>
      </c>
      <c r="E9" s="20" t="s">
        <v>426</v>
      </c>
      <c r="F9" s="20" t="s">
        <v>427</v>
      </c>
      <c r="G9" s="8" t="str">
        <f t="shared" si="0"/>
        <v>NICHOLSON WESLEY</v>
      </c>
      <c r="H9" s="20" t="str">
        <f t="shared" si="1"/>
        <v>4004</v>
      </c>
    </row>
    <row r="10" spans="1:8" x14ac:dyDescent="0.3">
      <c r="A10" s="8">
        <v>43037.109537037039</v>
      </c>
      <c r="B10" s="20" t="s">
        <v>536</v>
      </c>
      <c r="C10" s="20" t="s">
        <v>665</v>
      </c>
      <c r="D10" s="123">
        <v>3220000</v>
      </c>
      <c r="E10" s="20" t="s">
        <v>651</v>
      </c>
      <c r="F10" s="20" t="s">
        <v>652</v>
      </c>
      <c r="G10" s="8" t="str">
        <f t="shared" si="0"/>
        <v>RESPASS AARON</v>
      </c>
      <c r="H10" s="20" t="str">
        <f t="shared" si="1"/>
        <v>4042</v>
      </c>
    </row>
    <row r="11" spans="1:8" x14ac:dyDescent="0.3">
      <c r="A11" s="8">
        <v>43037.115127314813</v>
      </c>
      <c r="B11" s="20" t="s">
        <v>535</v>
      </c>
      <c r="C11" s="20" t="s">
        <v>629</v>
      </c>
      <c r="D11" s="123">
        <v>3120000</v>
      </c>
      <c r="E11" s="20" t="s">
        <v>666</v>
      </c>
      <c r="F11" s="20" t="s">
        <v>667</v>
      </c>
      <c r="G11" s="8" t="str">
        <f t="shared" si="0"/>
        <v>THOMPSON LESTER</v>
      </c>
      <c r="H11" s="20" t="str">
        <f t="shared" si="1"/>
        <v>4015</v>
      </c>
    </row>
    <row r="12" spans="1:8" x14ac:dyDescent="0.3">
      <c r="A12" s="8">
        <v>43037.115902777776</v>
      </c>
      <c r="B12" s="20" t="s">
        <v>668</v>
      </c>
      <c r="C12" s="20" t="s">
        <v>659</v>
      </c>
      <c r="D12" s="123">
        <v>3490000</v>
      </c>
      <c r="E12" s="20" t="s">
        <v>660</v>
      </c>
      <c r="F12" s="20" t="s">
        <v>661</v>
      </c>
      <c r="G12" s="8" t="str">
        <f t="shared" si="0"/>
        <v>WEST BRYAN</v>
      </c>
      <c r="H12" s="20" t="str">
        <f t="shared" si="1"/>
        <v>4048</v>
      </c>
    </row>
    <row r="13" spans="1:8" x14ac:dyDescent="0.3">
      <c r="A13" s="8">
        <v>43037.116203703707</v>
      </c>
      <c r="B13" s="20" t="s">
        <v>535</v>
      </c>
      <c r="C13" s="20" t="s">
        <v>629</v>
      </c>
      <c r="D13" s="123">
        <v>3120000</v>
      </c>
      <c r="E13" s="20" t="s">
        <v>666</v>
      </c>
      <c r="F13" s="20" t="s">
        <v>667</v>
      </c>
      <c r="G13" s="8" t="str">
        <f t="shared" si="0"/>
        <v>THOMPSON LESTER</v>
      </c>
      <c r="H13" s="20" t="str">
        <f t="shared" si="1"/>
        <v>4015</v>
      </c>
    </row>
    <row r="14" spans="1:8" x14ac:dyDescent="0.3">
      <c r="A14" s="8">
        <v>43037.128599537034</v>
      </c>
      <c r="B14" s="20" t="s">
        <v>422</v>
      </c>
      <c r="C14" s="20" t="s">
        <v>669</v>
      </c>
      <c r="D14" s="123">
        <v>2540000</v>
      </c>
      <c r="E14" s="20" t="s">
        <v>376</v>
      </c>
      <c r="F14" s="20" t="s">
        <v>377</v>
      </c>
      <c r="G14" s="8" t="str">
        <f t="shared" si="0"/>
        <v>MCREYNOLDS KYLE</v>
      </c>
      <c r="H14" s="20" t="str">
        <f t="shared" si="1"/>
        <v>4016</v>
      </c>
    </row>
    <row r="15" spans="1:8" x14ac:dyDescent="0.3">
      <c r="A15" s="8">
        <v>43037.131203703706</v>
      </c>
      <c r="B15" s="20" t="s">
        <v>487</v>
      </c>
      <c r="C15" s="20" t="s">
        <v>630</v>
      </c>
      <c r="D15" s="123">
        <v>3120000</v>
      </c>
      <c r="E15" s="20" t="s">
        <v>666</v>
      </c>
      <c r="F15" s="20" t="s">
        <v>667</v>
      </c>
      <c r="G15" s="8" t="str">
        <f t="shared" si="0"/>
        <v>THOMPSON LESTER</v>
      </c>
      <c r="H15" s="20" t="str">
        <f t="shared" si="1"/>
        <v>4046</v>
      </c>
    </row>
    <row r="16" spans="1:8" x14ac:dyDescent="0.3">
      <c r="A16" s="8">
        <v>43037.139722222222</v>
      </c>
      <c r="B16" s="20" t="s">
        <v>402</v>
      </c>
      <c r="C16" s="20" t="s">
        <v>670</v>
      </c>
      <c r="D16" s="123">
        <v>2010000</v>
      </c>
      <c r="E16" s="20" t="s">
        <v>538</v>
      </c>
      <c r="F16" s="20" t="s">
        <v>539</v>
      </c>
      <c r="G16" s="8" t="str">
        <f t="shared" si="0"/>
        <v>MAELZER KURT</v>
      </c>
      <c r="H16" s="20" t="str">
        <f t="shared" si="1"/>
        <v>4017</v>
      </c>
    </row>
    <row r="17" spans="1:8" x14ac:dyDescent="0.3">
      <c r="A17" s="8">
        <v>43037.141539351855</v>
      </c>
      <c r="B17" s="20" t="s">
        <v>535</v>
      </c>
      <c r="C17" s="20" t="s">
        <v>671</v>
      </c>
      <c r="D17" s="123">
        <v>2540000</v>
      </c>
      <c r="E17" s="20" t="s">
        <v>376</v>
      </c>
      <c r="F17" s="20" t="s">
        <v>377</v>
      </c>
      <c r="G17" s="8" t="str">
        <f t="shared" si="0"/>
        <v>MCREYNOLDS KYLE</v>
      </c>
      <c r="H17" s="20" t="str">
        <f t="shared" si="1"/>
        <v>4015</v>
      </c>
    </row>
    <row r="18" spans="1:8" x14ac:dyDescent="0.3">
      <c r="A18" s="8">
        <v>43037.15115740741</v>
      </c>
      <c r="B18" s="20" t="s">
        <v>398</v>
      </c>
      <c r="C18" s="20" t="s">
        <v>672</v>
      </c>
      <c r="D18" s="123">
        <v>2010000</v>
      </c>
      <c r="E18" s="20" t="s">
        <v>538</v>
      </c>
      <c r="F18" s="20" t="s">
        <v>539</v>
      </c>
      <c r="G18" s="8" t="str">
        <f t="shared" si="0"/>
        <v>MAELZER KURT</v>
      </c>
      <c r="H18" s="20" t="str">
        <f t="shared" si="1"/>
        <v>4018</v>
      </c>
    </row>
    <row r="19" spans="1:8" x14ac:dyDescent="0.3">
      <c r="A19" s="8">
        <v>43037.158842592595</v>
      </c>
      <c r="B19" s="20" t="s">
        <v>389</v>
      </c>
      <c r="C19" s="20" t="s">
        <v>673</v>
      </c>
      <c r="D19" s="123">
        <v>3300000</v>
      </c>
      <c r="E19" s="20" t="s">
        <v>674</v>
      </c>
      <c r="F19" s="20" t="s">
        <v>675</v>
      </c>
      <c r="G19" s="8" t="str">
        <f t="shared" si="0"/>
        <v>LANGERAK WILLIAM</v>
      </c>
      <c r="H19" s="20" t="str">
        <f t="shared" si="1"/>
        <v>4059</v>
      </c>
    </row>
    <row r="20" spans="1:8" x14ac:dyDescent="0.3">
      <c r="A20" s="8">
        <v>43037.159826388888</v>
      </c>
      <c r="B20" s="20" t="s">
        <v>389</v>
      </c>
      <c r="C20" s="20" t="s">
        <v>673</v>
      </c>
      <c r="D20" s="123">
        <v>3300000</v>
      </c>
      <c r="E20" s="20" t="s">
        <v>674</v>
      </c>
      <c r="F20" s="20" t="s">
        <v>675</v>
      </c>
      <c r="G20" s="8" t="str">
        <f t="shared" si="0"/>
        <v>LANGERAK WILLIAM</v>
      </c>
      <c r="H20" s="20" t="str">
        <f t="shared" si="1"/>
        <v>4059</v>
      </c>
    </row>
    <row r="21" spans="1:8" x14ac:dyDescent="0.3">
      <c r="A21" s="8">
        <v>43037.16138888889</v>
      </c>
      <c r="B21" s="20" t="s">
        <v>389</v>
      </c>
      <c r="C21" s="20" t="s">
        <v>673</v>
      </c>
      <c r="D21" s="123">
        <v>3300000</v>
      </c>
      <c r="E21" s="20" t="s">
        <v>674</v>
      </c>
      <c r="F21" s="20" t="s">
        <v>675</v>
      </c>
      <c r="G21" s="8" t="str">
        <f t="shared" si="0"/>
        <v>LANGERAK WILLIAM</v>
      </c>
      <c r="H21" s="20" t="str">
        <f t="shared" si="1"/>
        <v>4059</v>
      </c>
    </row>
    <row r="22" spans="1:8" x14ac:dyDescent="0.3">
      <c r="A22" s="26">
        <v>43037.172384259262</v>
      </c>
      <c r="B22" s="20" t="s">
        <v>388</v>
      </c>
      <c r="C22" s="20" t="s">
        <v>676</v>
      </c>
      <c r="D22" s="123">
        <v>3300000</v>
      </c>
      <c r="E22" s="20" t="s">
        <v>674</v>
      </c>
      <c r="F22" s="20" t="s">
        <v>675</v>
      </c>
      <c r="G22" s="8" t="str">
        <f t="shared" si="0"/>
        <v>LANGERAK WILLIAM</v>
      </c>
      <c r="H22" s="20" t="str">
        <f t="shared" si="1"/>
        <v>4060</v>
      </c>
    </row>
    <row r="23" spans="1:8" x14ac:dyDescent="0.3">
      <c r="A23" s="8">
        <v>43037.173206018517</v>
      </c>
      <c r="B23" s="20" t="s">
        <v>506</v>
      </c>
      <c r="C23" s="20" t="s">
        <v>677</v>
      </c>
      <c r="D23" s="123">
        <v>3120000</v>
      </c>
      <c r="E23" s="20" t="s">
        <v>666</v>
      </c>
      <c r="F23" s="20" t="s">
        <v>667</v>
      </c>
      <c r="G23" s="8" t="str">
        <f t="shared" si="0"/>
        <v>THOMPSON LESTER</v>
      </c>
      <c r="H23" s="20" t="str">
        <f t="shared" si="1"/>
        <v>4045</v>
      </c>
    </row>
    <row r="24" spans="1:8" x14ac:dyDescent="0.3">
      <c r="A24" s="8">
        <v>43037.177106481482</v>
      </c>
      <c r="B24" s="20" t="s">
        <v>483</v>
      </c>
      <c r="C24" s="20" t="s">
        <v>678</v>
      </c>
      <c r="D24" s="123">
        <v>3260000</v>
      </c>
      <c r="E24" s="20" t="s">
        <v>679</v>
      </c>
      <c r="F24" s="20" t="s">
        <v>680</v>
      </c>
      <c r="G24" s="8" t="str">
        <f t="shared" si="0"/>
        <v>PAGE MARCUS</v>
      </c>
      <c r="H24" s="20" t="str">
        <f t="shared" si="1"/>
        <v>4025</v>
      </c>
    </row>
    <row r="25" spans="1:8" x14ac:dyDescent="0.3">
      <c r="A25" s="8">
        <v>43037.178923611114</v>
      </c>
      <c r="B25" s="20" t="s">
        <v>399</v>
      </c>
      <c r="C25" s="20" t="s">
        <v>681</v>
      </c>
      <c r="D25" s="123">
        <v>1100000</v>
      </c>
      <c r="E25" s="20" t="s">
        <v>510</v>
      </c>
      <c r="F25" s="20" t="s">
        <v>511</v>
      </c>
      <c r="G25" s="8" t="str">
        <f t="shared" si="0"/>
        <v>GEBRETEKLE DAGNEW</v>
      </c>
      <c r="H25" s="20" t="str">
        <f t="shared" si="1"/>
        <v>4005</v>
      </c>
    </row>
    <row r="26" spans="1:8" x14ac:dyDescent="0.3">
      <c r="A26" s="8">
        <v>43037.182557870372</v>
      </c>
      <c r="B26" s="20" t="s">
        <v>422</v>
      </c>
      <c r="C26" s="20" t="s">
        <v>682</v>
      </c>
      <c r="D26" s="123">
        <v>2540000</v>
      </c>
      <c r="E26" s="20" t="s">
        <v>376</v>
      </c>
      <c r="F26" s="20" t="s">
        <v>377</v>
      </c>
      <c r="G26" s="8" t="str">
        <f t="shared" si="0"/>
        <v>MCREYNOLDS KYLE</v>
      </c>
      <c r="H26" s="20" t="str">
        <f t="shared" si="1"/>
        <v>4016</v>
      </c>
    </row>
    <row r="27" spans="1:8" x14ac:dyDescent="0.3">
      <c r="A27" s="8">
        <v>43037.185532407406</v>
      </c>
      <c r="B27" s="20" t="s">
        <v>402</v>
      </c>
      <c r="C27" s="20" t="s">
        <v>683</v>
      </c>
      <c r="D27" s="123">
        <v>2010000</v>
      </c>
      <c r="E27" s="20" t="s">
        <v>538</v>
      </c>
      <c r="F27" s="20" t="s">
        <v>539</v>
      </c>
      <c r="G27" s="8" t="str">
        <f t="shared" si="0"/>
        <v>MAELZER KURT</v>
      </c>
      <c r="H27" s="20" t="str">
        <f t="shared" si="1"/>
        <v>4017</v>
      </c>
    </row>
    <row r="28" spans="1:8" x14ac:dyDescent="0.3">
      <c r="A28" s="8">
        <v>43037.1955787037</v>
      </c>
      <c r="B28" s="20" t="s">
        <v>407</v>
      </c>
      <c r="C28" s="20" t="s">
        <v>684</v>
      </c>
      <c r="D28" s="123">
        <v>1100000</v>
      </c>
      <c r="E28" s="20" t="s">
        <v>510</v>
      </c>
      <c r="F28" s="20" t="s">
        <v>511</v>
      </c>
      <c r="G28" s="8" t="str">
        <f t="shared" si="0"/>
        <v>GEBRETEKLE DAGNEW</v>
      </c>
      <c r="H28" s="20" t="str">
        <f t="shared" si="1"/>
        <v>4006</v>
      </c>
    </row>
    <row r="29" spans="1:8" x14ac:dyDescent="0.3">
      <c r="A29" s="8">
        <v>43037.200023148151</v>
      </c>
      <c r="B29" s="20" t="s">
        <v>400</v>
      </c>
      <c r="C29" s="20" t="s">
        <v>685</v>
      </c>
      <c r="D29" s="123">
        <v>3040000</v>
      </c>
      <c r="E29" s="20" t="s">
        <v>540</v>
      </c>
      <c r="F29" s="20" t="s">
        <v>541</v>
      </c>
      <c r="G29" s="8" t="str">
        <f t="shared" si="0"/>
        <v>WILLIAMS DONTE</v>
      </c>
      <c r="H29" s="20" t="str">
        <f t="shared" si="1"/>
        <v>4007</v>
      </c>
    </row>
    <row r="30" spans="1:8" x14ac:dyDescent="0.3">
      <c r="A30" s="8">
        <v>43037.204421296294</v>
      </c>
      <c r="B30" s="20" t="s">
        <v>389</v>
      </c>
      <c r="C30" s="20" t="s">
        <v>686</v>
      </c>
      <c r="D30" s="123">
        <v>3300000</v>
      </c>
      <c r="E30" s="20" t="s">
        <v>674</v>
      </c>
      <c r="F30" s="20" t="s">
        <v>675</v>
      </c>
      <c r="G30" s="8" t="str">
        <f t="shared" si="0"/>
        <v>LANGERAK WILLIAM</v>
      </c>
      <c r="H30" s="20" t="str">
        <f t="shared" si="1"/>
        <v>4059</v>
      </c>
    </row>
    <row r="31" spans="1:8" x14ac:dyDescent="0.3">
      <c r="A31" s="8">
        <v>43037.20653935185</v>
      </c>
      <c r="B31" s="20" t="s">
        <v>487</v>
      </c>
      <c r="C31" s="20" t="s">
        <v>687</v>
      </c>
      <c r="D31" s="123">
        <v>3120000</v>
      </c>
      <c r="E31" s="20" t="s">
        <v>666</v>
      </c>
      <c r="F31" s="20" t="s">
        <v>667</v>
      </c>
      <c r="G31" s="8" t="str">
        <f t="shared" si="0"/>
        <v>THOMPSON LESTER</v>
      </c>
      <c r="H31" s="20" t="str">
        <f t="shared" si="1"/>
        <v>4046</v>
      </c>
    </row>
    <row r="32" spans="1:8" x14ac:dyDescent="0.3">
      <c r="A32" s="8">
        <v>43037.216562499998</v>
      </c>
      <c r="B32" s="20" t="s">
        <v>386</v>
      </c>
      <c r="C32" s="20" t="s">
        <v>688</v>
      </c>
      <c r="D32" s="123">
        <v>3040000</v>
      </c>
      <c r="E32" s="20" t="s">
        <v>540</v>
      </c>
      <c r="F32" s="20" t="s">
        <v>541</v>
      </c>
      <c r="G32" s="8" t="str">
        <f t="shared" si="0"/>
        <v>WILLIAMS DONTE</v>
      </c>
      <c r="H32" s="20" t="str">
        <f t="shared" si="1"/>
        <v>4008</v>
      </c>
    </row>
    <row r="33" spans="1:8" x14ac:dyDescent="0.3">
      <c r="A33" s="8">
        <v>43037.220960648148</v>
      </c>
      <c r="B33" s="20" t="s">
        <v>535</v>
      </c>
      <c r="C33" s="20" t="s">
        <v>689</v>
      </c>
      <c r="D33" s="123">
        <v>2540000</v>
      </c>
      <c r="E33" s="20" t="s">
        <v>376</v>
      </c>
      <c r="F33" s="20" t="s">
        <v>377</v>
      </c>
      <c r="G33" s="8" t="str">
        <f t="shared" si="0"/>
        <v>MCREYNOLDS KYLE</v>
      </c>
      <c r="H33" s="20" t="str">
        <f t="shared" si="1"/>
        <v>4015</v>
      </c>
    </row>
    <row r="34" spans="1:8" x14ac:dyDescent="0.3">
      <c r="A34" s="8">
        <v>43037.22283564815</v>
      </c>
      <c r="B34" s="20" t="s">
        <v>484</v>
      </c>
      <c r="C34" s="20" t="s">
        <v>690</v>
      </c>
      <c r="D34" s="123">
        <v>0</v>
      </c>
      <c r="E34" s="20" t="s">
        <v>1105</v>
      </c>
      <c r="F34" s="20" t="s">
        <v>1106</v>
      </c>
      <c r="G34" s="8" t="str">
        <f t="shared" si="0"/>
        <v>MACDONALD THOMAS</v>
      </c>
      <c r="H34" s="20" t="str">
        <f t="shared" si="1"/>
        <v>4050</v>
      </c>
    </row>
    <row r="35" spans="1:8" x14ac:dyDescent="0.3">
      <c r="A35" s="8">
        <v>43037.223668981482</v>
      </c>
      <c r="B35" s="20" t="s">
        <v>399</v>
      </c>
      <c r="C35" s="20" t="s">
        <v>691</v>
      </c>
      <c r="D35" s="123">
        <v>1100000</v>
      </c>
      <c r="E35" s="20" t="s">
        <v>510</v>
      </c>
      <c r="F35" s="20" t="s">
        <v>511</v>
      </c>
      <c r="G35" s="8" t="str">
        <f t="shared" si="0"/>
        <v>GEBRETEKLE DAGNEW</v>
      </c>
      <c r="H35" s="20" t="str">
        <f t="shared" si="1"/>
        <v>4005</v>
      </c>
    </row>
    <row r="36" spans="1:8" x14ac:dyDescent="0.3">
      <c r="A36" s="8">
        <v>43037.224999999999</v>
      </c>
      <c r="B36" s="20" t="s">
        <v>508</v>
      </c>
      <c r="C36" s="20" t="s">
        <v>692</v>
      </c>
      <c r="D36" s="123">
        <v>3090000</v>
      </c>
      <c r="E36" s="20" t="s">
        <v>693</v>
      </c>
      <c r="F36" s="20" t="s">
        <v>694</v>
      </c>
      <c r="G36" s="8" t="str">
        <f t="shared" si="0"/>
        <v>LAMAR NEKESHA</v>
      </c>
      <c r="H36" s="20" t="str">
        <f t="shared" si="1"/>
        <v>4051</v>
      </c>
    </row>
    <row r="37" spans="1:8" x14ac:dyDescent="0.3">
      <c r="A37" s="8">
        <v>43037.225671296299</v>
      </c>
      <c r="B37" s="20" t="s">
        <v>398</v>
      </c>
      <c r="C37" s="20" t="s">
        <v>695</v>
      </c>
      <c r="D37" s="123">
        <v>2010000</v>
      </c>
      <c r="E37" s="20" t="s">
        <v>538</v>
      </c>
      <c r="F37" s="20" t="s">
        <v>539</v>
      </c>
      <c r="G37" s="8" t="str">
        <f t="shared" si="0"/>
        <v>MAELZER KURT</v>
      </c>
      <c r="H37" s="20" t="str">
        <f t="shared" si="1"/>
        <v>4018</v>
      </c>
    </row>
    <row r="38" spans="1:8" x14ac:dyDescent="0.3">
      <c r="A38" s="8">
        <v>43037.232118055559</v>
      </c>
      <c r="B38" s="20" t="s">
        <v>486</v>
      </c>
      <c r="C38" s="20" t="s">
        <v>696</v>
      </c>
      <c r="D38" s="123">
        <v>0</v>
      </c>
      <c r="E38" s="20" t="s">
        <v>1105</v>
      </c>
      <c r="F38" s="20" t="s">
        <v>1106</v>
      </c>
      <c r="G38" s="8" t="str">
        <f t="shared" si="0"/>
        <v>MACDONALD THOMAS</v>
      </c>
      <c r="H38" s="20" t="str">
        <f t="shared" si="1"/>
        <v>4049</v>
      </c>
    </row>
    <row r="39" spans="1:8" x14ac:dyDescent="0.3">
      <c r="A39" s="8">
        <v>43037.234409722223</v>
      </c>
      <c r="B39" s="20" t="s">
        <v>486</v>
      </c>
      <c r="C39" s="20" t="s">
        <v>696</v>
      </c>
      <c r="D39" s="123">
        <v>0</v>
      </c>
      <c r="E39" s="20" t="s">
        <v>1105</v>
      </c>
      <c r="F39" s="20" t="s">
        <v>1106</v>
      </c>
      <c r="G39" s="8" t="str">
        <f t="shared" si="0"/>
        <v>MACDONALD THOMAS</v>
      </c>
      <c r="H39" s="20" t="str">
        <f t="shared" si="1"/>
        <v>4049</v>
      </c>
    </row>
    <row r="40" spans="1:8" x14ac:dyDescent="0.3">
      <c r="A40" s="8">
        <v>43037.237696759257</v>
      </c>
      <c r="B40" s="25" t="s">
        <v>697</v>
      </c>
      <c r="C40" s="20" t="s">
        <v>698</v>
      </c>
      <c r="D40" s="123">
        <v>3090000</v>
      </c>
      <c r="E40" s="20" t="s">
        <v>693</v>
      </c>
      <c r="F40" s="20" t="s">
        <v>694</v>
      </c>
      <c r="G40" s="8" t="str">
        <f t="shared" si="0"/>
        <v>LAMAR NEKESHA</v>
      </c>
      <c r="H40" s="20" t="str">
        <f t="shared" si="1"/>
        <v>4052</v>
      </c>
    </row>
    <row r="41" spans="1:8" x14ac:dyDescent="0.3">
      <c r="A41" s="8">
        <v>43037.244513888887</v>
      </c>
      <c r="B41" s="20" t="s">
        <v>506</v>
      </c>
      <c r="C41" s="20" t="s">
        <v>699</v>
      </c>
      <c r="D41" s="123">
        <v>3120000</v>
      </c>
      <c r="E41" s="20" t="s">
        <v>666</v>
      </c>
      <c r="F41" s="20" t="s">
        <v>667</v>
      </c>
      <c r="G41" s="8" t="str">
        <f t="shared" si="0"/>
        <v>THOMPSON LESTER</v>
      </c>
      <c r="H41" s="20" t="str">
        <f t="shared" si="1"/>
        <v>4045</v>
      </c>
    </row>
    <row r="42" spans="1:8" x14ac:dyDescent="0.3">
      <c r="A42" s="8">
        <v>43037.24590277778</v>
      </c>
      <c r="B42" s="20" t="s">
        <v>388</v>
      </c>
      <c r="C42" s="20" t="s">
        <v>700</v>
      </c>
      <c r="D42" s="123">
        <v>3300000</v>
      </c>
      <c r="E42" s="20" t="s">
        <v>674</v>
      </c>
      <c r="F42" s="20" t="s">
        <v>675</v>
      </c>
      <c r="G42" s="8" t="str">
        <f t="shared" si="0"/>
        <v>LANGERAK WILLIAM</v>
      </c>
      <c r="H42" s="20" t="str">
        <f t="shared" si="1"/>
        <v>4060</v>
      </c>
    </row>
    <row r="43" spans="1:8" x14ac:dyDescent="0.3">
      <c r="A43" s="8">
        <v>43037.250104166669</v>
      </c>
      <c r="B43" s="20" t="s">
        <v>484</v>
      </c>
      <c r="C43" s="20" t="s">
        <v>701</v>
      </c>
      <c r="D43" s="123">
        <v>0</v>
      </c>
      <c r="E43" s="20" t="s">
        <v>1105</v>
      </c>
      <c r="F43" s="20" t="s">
        <v>1106</v>
      </c>
      <c r="G43" s="8" t="str">
        <f t="shared" si="0"/>
        <v>MACDONALD THOMAS</v>
      </c>
      <c r="H43" s="20" t="str">
        <f t="shared" si="1"/>
        <v>4050</v>
      </c>
    </row>
    <row r="44" spans="1:8" x14ac:dyDescent="0.3">
      <c r="A44" s="8">
        <v>43037.254189814812</v>
      </c>
      <c r="B44" s="20" t="s">
        <v>400</v>
      </c>
      <c r="C44" s="20" t="s">
        <v>702</v>
      </c>
      <c r="D44" s="123">
        <v>3040000</v>
      </c>
      <c r="E44" s="20" t="s">
        <v>540</v>
      </c>
      <c r="F44" s="20" t="s">
        <v>541</v>
      </c>
      <c r="G44" s="8" t="str">
        <f t="shared" si="0"/>
        <v>WILLIAMS DONTE</v>
      </c>
      <c r="H44" s="20" t="str">
        <f t="shared" si="1"/>
        <v>4007</v>
      </c>
    </row>
    <row r="45" spans="1:8" x14ac:dyDescent="0.3">
      <c r="A45" s="8">
        <v>43037.256724537037</v>
      </c>
      <c r="B45" s="20" t="s">
        <v>422</v>
      </c>
      <c r="C45" s="20" t="s">
        <v>703</v>
      </c>
      <c r="D45" s="123">
        <v>3260000</v>
      </c>
      <c r="E45" s="20" t="s">
        <v>679</v>
      </c>
      <c r="F45" s="20" t="s">
        <v>680</v>
      </c>
      <c r="G45" s="8" t="str">
        <f t="shared" si="0"/>
        <v>PAGE MARCUS</v>
      </c>
      <c r="H45" s="20" t="str">
        <f t="shared" si="1"/>
        <v>4016</v>
      </c>
    </row>
    <row r="46" spans="1:8" x14ac:dyDescent="0.3">
      <c r="A46" s="8">
        <v>43037.263090277775</v>
      </c>
      <c r="B46" s="20" t="s">
        <v>402</v>
      </c>
      <c r="C46" s="20" t="s">
        <v>704</v>
      </c>
      <c r="D46" s="123">
        <v>2010000</v>
      </c>
      <c r="E46" s="20" t="s">
        <v>538</v>
      </c>
      <c r="F46" s="20" t="s">
        <v>539</v>
      </c>
      <c r="G46" s="8" t="str">
        <f t="shared" si="0"/>
        <v>MAELZER KURT</v>
      </c>
      <c r="H46" s="20" t="str">
        <f t="shared" si="1"/>
        <v>4017</v>
      </c>
    </row>
    <row r="47" spans="1:8" x14ac:dyDescent="0.3">
      <c r="A47" s="8">
        <v>43037.266296296293</v>
      </c>
      <c r="B47" s="20" t="s">
        <v>407</v>
      </c>
      <c r="C47" s="20" t="s">
        <v>705</v>
      </c>
      <c r="D47" s="123">
        <v>1100000</v>
      </c>
      <c r="E47" s="20" t="s">
        <v>510</v>
      </c>
      <c r="F47" s="20" t="s">
        <v>511</v>
      </c>
      <c r="G47" s="8" t="str">
        <f t="shared" si="0"/>
        <v>GEBRETEKLE DAGNEW</v>
      </c>
      <c r="H47" s="20" t="str">
        <f t="shared" si="1"/>
        <v>4006</v>
      </c>
    </row>
    <row r="48" spans="1:8" x14ac:dyDescent="0.3">
      <c r="A48" s="8">
        <v>43037.26703703704</v>
      </c>
      <c r="B48" s="20" t="s">
        <v>486</v>
      </c>
      <c r="C48" s="20" t="s">
        <v>706</v>
      </c>
      <c r="D48" s="123">
        <v>0</v>
      </c>
      <c r="E48" s="20" t="s">
        <v>1105</v>
      </c>
      <c r="F48" s="20" t="s">
        <v>1106</v>
      </c>
      <c r="G48" s="8" t="str">
        <f t="shared" si="0"/>
        <v>MACDONALD THOMAS</v>
      </c>
      <c r="H48" s="20" t="str">
        <f t="shared" si="1"/>
        <v>4049</v>
      </c>
    </row>
    <row r="49" spans="1:8" x14ac:dyDescent="0.3">
      <c r="A49" s="8">
        <v>43037.27685185185</v>
      </c>
      <c r="B49" s="20" t="s">
        <v>508</v>
      </c>
      <c r="C49" s="20" t="s">
        <v>631</v>
      </c>
      <c r="D49" s="123">
        <v>3090000</v>
      </c>
      <c r="E49" s="20" t="s">
        <v>693</v>
      </c>
      <c r="F49" s="20" t="s">
        <v>694</v>
      </c>
      <c r="G49" s="8" t="str">
        <f t="shared" si="0"/>
        <v>LAMAR NEKESHA</v>
      </c>
      <c r="H49" s="20" t="str">
        <f t="shared" si="1"/>
        <v>4051</v>
      </c>
    </row>
    <row r="50" spans="1:8" x14ac:dyDescent="0.3">
      <c r="A50" s="8">
        <v>43037.277615740742</v>
      </c>
      <c r="B50" s="20" t="s">
        <v>389</v>
      </c>
      <c r="C50" s="20" t="s">
        <v>632</v>
      </c>
      <c r="D50" s="123">
        <v>3300000</v>
      </c>
      <c r="E50" s="20" t="s">
        <v>674</v>
      </c>
      <c r="F50" s="20" t="s">
        <v>675</v>
      </c>
      <c r="G50" s="8" t="str">
        <f t="shared" si="0"/>
        <v>LANGERAK WILLIAM</v>
      </c>
      <c r="H50" s="20" t="str">
        <f t="shared" si="1"/>
        <v>4059</v>
      </c>
    </row>
    <row r="51" spans="1:8" x14ac:dyDescent="0.3">
      <c r="A51" s="8">
        <v>43037.27915509259</v>
      </c>
      <c r="B51" s="20" t="s">
        <v>487</v>
      </c>
      <c r="C51" s="20" t="s">
        <v>707</v>
      </c>
      <c r="D51" s="123">
        <v>3120000</v>
      </c>
      <c r="E51" s="20" t="s">
        <v>666</v>
      </c>
      <c r="F51" s="20" t="s">
        <v>667</v>
      </c>
      <c r="G51" s="8" t="str">
        <f t="shared" si="0"/>
        <v>THOMPSON LESTER</v>
      </c>
      <c r="H51" s="20" t="str">
        <f t="shared" si="1"/>
        <v>4046</v>
      </c>
    </row>
    <row r="52" spans="1:8" x14ac:dyDescent="0.3">
      <c r="A52" s="8">
        <v>43037.288819444446</v>
      </c>
      <c r="B52" s="20" t="s">
        <v>386</v>
      </c>
      <c r="C52" s="20" t="s">
        <v>708</v>
      </c>
      <c r="D52" s="123">
        <v>3040000</v>
      </c>
      <c r="E52" s="20" t="s">
        <v>540</v>
      </c>
      <c r="F52" s="20" t="s">
        <v>541</v>
      </c>
      <c r="G52" s="8" t="str">
        <f t="shared" si="0"/>
        <v>WILLIAMS DONTE</v>
      </c>
      <c r="H52" s="20" t="str">
        <f t="shared" si="1"/>
        <v>4008</v>
      </c>
    </row>
    <row r="53" spans="1:8" x14ac:dyDescent="0.3">
      <c r="A53" s="8">
        <v>43037.289814814816</v>
      </c>
      <c r="B53" s="20" t="s">
        <v>484</v>
      </c>
      <c r="C53" s="20" t="s">
        <v>709</v>
      </c>
      <c r="D53" s="123">
        <v>0</v>
      </c>
      <c r="E53" s="20" t="s">
        <v>1105</v>
      </c>
      <c r="F53" s="20" t="s">
        <v>1106</v>
      </c>
      <c r="G53" s="8" t="str">
        <f t="shared" si="0"/>
        <v>MACDONALD THOMAS</v>
      </c>
      <c r="H53" s="20" t="str">
        <f t="shared" si="1"/>
        <v>4050</v>
      </c>
    </row>
    <row r="54" spans="1:8" x14ac:dyDescent="0.3">
      <c r="A54" s="8">
        <v>43037.296493055554</v>
      </c>
      <c r="B54" s="20" t="s">
        <v>535</v>
      </c>
      <c r="C54" s="20" t="s">
        <v>710</v>
      </c>
      <c r="D54" s="123">
        <v>3260000</v>
      </c>
      <c r="E54" s="20" t="s">
        <v>679</v>
      </c>
      <c r="F54" s="20" t="s">
        <v>680</v>
      </c>
      <c r="G54" s="8" t="str">
        <f t="shared" si="0"/>
        <v>PAGE MARCUS</v>
      </c>
      <c r="H54" s="20" t="str">
        <f t="shared" si="1"/>
        <v>4015</v>
      </c>
    </row>
    <row r="55" spans="1:8" x14ac:dyDescent="0.3">
      <c r="A55" s="8">
        <v>43037.297523148147</v>
      </c>
      <c r="B55" s="20" t="s">
        <v>398</v>
      </c>
      <c r="C55" s="20" t="s">
        <v>711</v>
      </c>
      <c r="D55" s="123">
        <v>2010000</v>
      </c>
      <c r="E55" s="20" t="s">
        <v>538</v>
      </c>
      <c r="F55" s="20" t="s">
        <v>539</v>
      </c>
      <c r="G55" s="8" t="str">
        <f t="shared" si="0"/>
        <v>MAELZER KURT</v>
      </c>
      <c r="H55" s="20" t="str">
        <f t="shared" si="1"/>
        <v>4018</v>
      </c>
    </row>
    <row r="56" spans="1:8" x14ac:dyDescent="0.3">
      <c r="A56" s="8">
        <v>43037.306527777779</v>
      </c>
      <c r="B56" s="20" t="s">
        <v>399</v>
      </c>
      <c r="C56" s="20" t="s">
        <v>712</v>
      </c>
      <c r="D56" s="123">
        <v>1100000</v>
      </c>
      <c r="E56" s="20" t="s">
        <v>510</v>
      </c>
      <c r="F56" s="20" t="s">
        <v>511</v>
      </c>
      <c r="G56" s="8" t="str">
        <f t="shared" si="0"/>
        <v>GEBRETEKLE DAGNEW</v>
      </c>
      <c r="H56" s="20" t="str">
        <f t="shared" si="1"/>
        <v>4005</v>
      </c>
    </row>
    <row r="57" spans="1:8" x14ac:dyDescent="0.3">
      <c r="A57" s="8">
        <v>43037.308483796296</v>
      </c>
      <c r="B57" s="20" t="s">
        <v>697</v>
      </c>
      <c r="C57" s="20" t="s">
        <v>713</v>
      </c>
      <c r="D57" s="123">
        <v>3090000</v>
      </c>
      <c r="E57" s="20" t="s">
        <v>693</v>
      </c>
      <c r="F57" s="20" t="s">
        <v>694</v>
      </c>
      <c r="G57" s="8" t="str">
        <f t="shared" si="0"/>
        <v>LAMAR NEKESHA</v>
      </c>
      <c r="H57" s="20" t="str">
        <f t="shared" si="1"/>
        <v>4052</v>
      </c>
    </row>
    <row r="58" spans="1:8" x14ac:dyDescent="0.3">
      <c r="A58" s="8">
        <v>43037.309224537035</v>
      </c>
      <c r="B58" s="20" t="s">
        <v>486</v>
      </c>
      <c r="C58" s="20" t="s">
        <v>714</v>
      </c>
      <c r="D58" s="123">
        <v>0</v>
      </c>
      <c r="E58" s="20" t="s">
        <v>1105</v>
      </c>
      <c r="F58" s="20" t="s">
        <v>1106</v>
      </c>
      <c r="G58" s="8" t="str">
        <f t="shared" si="0"/>
        <v>MACDONALD THOMAS</v>
      </c>
      <c r="H58" s="20" t="str">
        <f t="shared" si="1"/>
        <v>4049</v>
      </c>
    </row>
    <row r="59" spans="1:8" x14ac:dyDescent="0.3">
      <c r="A59" s="8">
        <v>43037.317523148151</v>
      </c>
      <c r="B59" s="20" t="s">
        <v>485</v>
      </c>
      <c r="C59" s="20" t="s">
        <v>713</v>
      </c>
      <c r="D59" s="123">
        <v>3090000</v>
      </c>
      <c r="E59" s="20" t="s">
        <v>693</v>
      </c>
      <c r="F59" s="20" t="s">
        <v>694</v>
      </c>
      <c r="G59" s="8" t="str">
        <f t="shared" si="0"/>
        <v>LAMAR NEKESHA</v>
      </c>
      <c r="H59" s="20" t="str">
        <f t="shared" si="1"/>
        <v>4026</v>
      </c>
    </row>
    <row r="60" spans="1:8" x14ac:dyDescent="0.3">
      <c r="A60" s="8">
        <v>43037.318043981482</v>
      </c>
      <c r="B60" s="20" t="s">
        <v>506</v>
      </c>
      <c r="C60" s="20" t="s">
        <v>715</v>
      </c>
      <c r="D60" s="123">
        <v>3120000</v>
      </c>
      <c r="E60" s="20" t="s">
        <v>666</v>
      </c>
      <c r="F60" s="20" t="s">
        <v>667</v>
      </c>
      <c r="G60" s="8" t="str">
        <f t="shared" si="0"/>
        <v>THOMPSON LESTER</v>
      </c>
      <c r="H60" s="20" t="str">
        <f t="shared" si="1"/>
        <v>4045</v>
      </c>
    </row>
    <row r="61" spans="1:8" x14ac:dyDescent="0.3">
      <c r="A61" s="8">
        <v>43037.321226851855</v>
      </c>
      <c r="B61" s="20" t="s">
        <v>388</v>
      </c>
      <c r="C61" s="20" t="s">
        <v>716</v>
      </c>
      <c r="D61" s="123">
        <v>3300000</v>
      </c>
      <c r="E61" s="20" t="s">
        <v>674</v>
      </c>
      <c r="F61" s="20" t="s">
        <v>675</v>
      </c>
      <c r="G61" s="8" t="str">
        <f t="shared" si="0"/>
        <v>LANGERAK WILLIAM</v>
      </c>
      <c r="H61" s="20" t="str">
        <f t="shared" si="1"/>
        <v>4060</v>
      </c>
    </row>
    <row r="62" spans="1:8" x14ac:dyDescent="0.3">
      <c r="A62" s="8">
        <v>43037.326874999999</v>
      </c>
      <c r="B62" s="20" t="s">
        <v>400</v>
      </c>
      <c r="C62" s="20" t="s">
        <v>717</v>
      </c>
      <c r="D62" s="123">
        <v>3040000</v>
      </c>
      <c r="E62" s="20" t="s">
        <v>540</v>
      </c>
      <c r="F62" s="20" t="s">
        <v>541</v>
      </c>
      <c r="G62" s="8" t="str">
        <f t="shared" si="0"/>
        <v>WILLIAMS DONTE</v>
      </c>
      <c r="H62" s="20" t="str">
        <f t="shared" si="1"/>
        <v>4007</v>
      </c>
    </row>
    <row r="63" spans="1:8" x14ac:dyDescent="0.3">
      <c r="A63" s="8">
        <v>43037.330949074072</v>
      </c>
      <c r="B63" s="20" t="s">
        <v>422</v>
      </c>
      <c r="C63" s="20" t="s">
        <v>718</v>
      </c>
      <c r="D63" s="123">
        <v>3260000</v>
      </c>
      <c r="E63" s="20" t="s">
        <v>679</v>
      </c>
      <c r="F63" s="20" t="s">
        <v>680</v>
      </c>
      <c r="G63" s="8" t="str">
        <f t="shared" si="0"/>
        <v>PAGE MARCUS</v>
      </c>
      <c r="H63" s="20" t="str">
        <f t="shared" si="1"/>
        <v>4016</v>
      </c>
    </row>
    <row r="64" spans="1:8" x14ac:dyDescent="0.3">
      <c r="A64" s="26">
        <v>43037.33457175926</v>
      </c>
      <c r="B64" s="20" t="s">
        <v>402</v>
      </c>
      <c r="C64" s="20" t="s">
        <v>719</v>
      </c>
      <c r="D64" s="123">
        <v>2010000</v>
      </c>
      <c r="E64" s="20" t="s">
        <v>538</v>
      </c>
      <c r="F64" s="20" t="s">
        <v>539</v>
      </c>
      <c r="G64" s="8" t="str">
        <f t="shared" si="0"/>
        <v>MAELZER KURT</v>
      </c>
      <c r="H64" s="20" t="str">
        <f t="shared" si="1"/>
        <v>4017</v>
      </c>
    </row>
    <row r="65" spans="1:8" x14ac:dyDescent="0.3">
      <c r="A65" s="8">
        <v>43037.336319444446</v>
      </c>
      <c r="B65" s="20" t="s">
        <v>697</v>
      </c>
      <c r="C65" s="20" t="s">
        <v>669</v>
      </c>
      <c r="D65" s="123">
        <v>2440000</v>
      </c>
      <c r="E65" s="20" t="s">
        <v>453</v>
      </c>
      <c r="F65" s="20" t="s">
        <v>454</v>
      </c>
      <c r="G65" s="8" t="str">
        <f t="shared" si="0"/>
        <v>LOPES KIMBERLY</v>
      </c>
      <c r="H65" s="20" t="str">
        <f t="shared" si="1"/>
        <v>4052</v>
      </c>
    </row>
    <row r="66" spans="1:8" x14ac:dyDescent="0.3">
      <c r="A66" s="8">
        <v>43037.338993055557</v>
      </c>
      <c r="B66" s="20" t="s">
        <v>484</v>
      </c>
      <c r="C66" s="20" t="s">
        <v>720</v>
      </c>
      <c r="D66" s="123">
        <v>0</v>
      </c>
      <c r="E66" s="20" t="s">
        <v>1105</v>
      </c>
      <c r="F66" s="20" t="s">
        <v>1106</v>
      </c>
      <c r="G66" s="8" t="str">
        <f t="shared" si="0"/>
        <v>MACDONALD THOMAS</v>
      </c>
      <c r="H66" s="20" t="str">
        <f t="shared" si="1"/>
        <v>4050</v>
      </c>
    </row>
    <row r="67" spans="1:8" x14ac:dyDescent="0.3">
      <c r="A67" s="8">
        <v>43037.339907407404</v>
      </c>
      <c r="B67" s="20" t="s">
        <v>407</v>
      </c>
      <c r="C67" s="20" t="s">
        <v>721</v>
      </c>
      <c r="D67" s="123">
        <v>1100000</v>
      </c>
      <c r="E67" s="20" t="s">
        <v>510</v>
      </c>
      <c r="F67" s="20" t="s">
        <v>511</v>
      </c>
      <c r="G67" s="8" t="str">
        <f t="shared" ref="G67:G130" si="2">E67&amp;" "&amp;F67</f>
        <v>GEBRETEKLE DAGNEW</v>
      </c>
      <c r="H67" s="20" t="str">
        <f t="shared" ref="H67:H130" si="3">MID(B67,13,4)</f>
        <v>4006</v>
      </c>
    </row>
    <row r="68" spans="1:8" x14ac:dyDescent="0.3">
      <c r="A68" s="8">
        <v>43037.350960648146</v>
      </c>
      <c r="B68" s="20" t="s">
        <v>389</v>
      </c>
      <c r="C68" s="20" t="s">
        <v>722</v>
      </c>
      <c r="D68" s="123">
        <v>3300000</v>
      </c>
      <c r="E68" s="20" t="s">
        <v>674</v>
      </c>
      <c r="F68" s="20" t="s">
        <v>675</v>
      </c>
      <c r="G68" s="8" t="str">
        <f t="shared" si="2"/>
        <v>LANGERAK WILLIAM</v>
      </c>
      <c r="H68" s="20" t="str">
        <f t="shared" si="3"/>
        <v>4059</v>
      </c>
    </row>
    <row r="69" spans="1:8" x14ac:dyDescent="0.3">
      <c r="A69" s="8">
        <v>43037.350960648146</v>
      </c>
      <c r="B69" s="20" t="s">
        <v>483</v>
      </c>
      <c r="C69" s="20" t="s">
        <v>723</v>
      </c>
      <c r="D69" s="123">
        <v>3090000</v>
      </c>
      <c r="E69" s="20" t="s">
        <v>693</v>
      </c>
      <c r="F69" s="20" t="s">
        <v>694</v>
      </c>
      <c r="G69" s="8" t="str">
        <f t="shared" si="2"/>
        <v>LAMAR NEKESHA</v>
      </c>
      <c r="H69" s="20" t="str">
        <f t="shared" si="3"/>
        <v>4025</v>
      </c>
    </row>
    <row r="70" spans="1:8" x14ac:dyDescent="0.3">
      <c r="A70" s="8">
        <v>43037.351458333331</v>
      </c>
      <c r="B70" s="20" t="s">
        <v>486</v>
      </c>
      <c r="C70" s="20" t="s">
        <v>724</v>
      </c>
      <c r="D70" s="123">
        <v>0</v>
      </c>
      <c r="E70" s="20" t="s">
        <v>1105</v>
      </c>
      <c r="F70" s="20" t="s">
        <v>1106</v>
      </c>
      <c r="G70" s="8" t="str">
        <f t="shared" si="2"/>
        <v>MACDONALD THOMAS</v>
      </c>
      <c r="H70" s="20" t="str">
        <f t="shared" si="3"/>
        <v>4049</v>
      </c>
    </row>
    <row r="71" spans="1:8" x14ac:dyDescent="0.3">
      <c r="A71" s="8">
        <v>43037.352048611108</v>
      </c>
      <c r="B71" s="20" t="s">
        <v>487</v>
      </c>
      <c r="C71" s="20" t="s">
        <v>725</v>
      </c>
      <c r="D71" s="123">
        <v>3120000</v>
      </c>
      <c r="E71" s="20" t="s">
        <v>666</v>
      </c>
      <c r="F71" s="20" t="s">
        <v>667</v>
      </c>
      <c r="G71" s="8" t="str">
        <f t="shared" si="2"/>
        <v>THOMPSON LESTER</v>
      </c>
      <c r="H71" s="20" t="str">
        <f t="shared" si="3"/>
        <v>4046</v>
      </c>
    </row>
    <row r="72" spans="1:8" x14ac:dyDescent="0.3">
      <c r="A72" s="8">
        <v>43037.354768518519</v>
      </c>
      <c r="B72" s="20" t="s">
        <v>726</v>
      </c>
      <c r="C72" s="20" t="s">
        <v>669</v>
      </c>
      <c r="D72" s="123">
        <v>2440000</v>
      </c>
      <c r="E72" s="20" t="s">
        <v>453</v>
      </c>
      <c r="F72" s="20" t="s">
        <v>454</v>
      </c>
      <c r="G72" s="8" t="str">
        <f t="shared" si="2"/>
        <v>LOPES KIMBERLY</v>
      </c>
      <c r="H72" s="20" t="str">
        <f t="shared" si="3"/>
        <v>4061</v>
      </c>
    </row>
    <row r="73" spans="1:8" x14ac:dyDescent="0.3">
      <c r="A73" s="8">
        <v>43037.360162037039</v>
      </c>
      <c r="B73" s="20" t="s">
        <v>389</v>
      </c>
      <c r="C73" s="20" t="s">
        <v>722</v>
      </c>
      <c r="D73" s="123">
        <v>3300000</v>
      </c>
      <c r="E73" s="20" t="s">
        <v>674</v>
      </c>
      <c r="F73" s="20" t="s">
        <v>675</v>
      </c>
      <c r="G73" s="8" t="str">
        <f t="shared" si="2"/>
        <v>LANGERAK WILLIAM</v>
      </c>
      <c r="H73" s="20" t="str">
        <f t="shared" si="3"/>
        <v>4059</v>
      </c>
    </row>
    <row r="74" spans="1:8" x14ac:dyDescent="0.3">
      <c r="A74" s="8">
        <v>43037.360856481479</v>
      </c>
      <c r="B74" s="20" t="s">
        <v>386</v>
      </c>
      <c r="C74" s="20" t="s">
        <v>727</v>
      </c>
      <c r="D74" s="123">
        <v>3040000</v>
      </c>
      <c r="E74" s="20" t="s">
        <v>540</v>
      </c>
      <c r="F74" s="20" t="s">
        <v>541</v>
      </c>
      <c r="G74" s="8" t="str">
        <f t="shared" si="2"/>
        <v>WILLIAMS DONTE</v>
      </c>
      <c r="H74" s="20" t="str">
        <f t="shared" si="3"/>
        <v>4008</v>
      </c>
    </row>
    <row r="75" spans="1:8" x14ac:dyDescent="0.3">
      <c r="A75" s="8">
        <v>43037.369004629632</v>
      </c>
      <c r="B75" s="20" t="s">
        <v>535</v>
      </c>
      <c r="C75" s="20" t="s">
        <v>728</v>
      </c>
      <c r="D75" s="123">
        <v>3260000</v>
      </c>
      <c r="E75" s="20" t="s">
        <v>679</v>
      </c>
      <c r="F75" s="20" t="s">
        <v>680</v>
      </c>
      <c r="G75" s="8" t="str">
        <f t="shared" si="2"/>
        <v>PAGE MARCUS</v>
      </c>
      <c r="H75" s="20" t="str">
        <f t="shared" si="3"/>
        <v>4015</v>
      </c>
    </row>
    <row r="76" spans="1:8" x14ac:dyDescent="0.3">
      <c r="A76" s="8">
        <v>43037.369710648149</v>
      </c>
      <c r="B76" s="20" t="s">
        <v>399</v>
      </c>
      <c r="C76" s="20" t="s">
        <v>729</v>
      </c>
      <c r="D76" s="123">
        <v>1100000</v>
      </c>
      <c r="E76" s="20" t="s">
        <v>510</v>
      </c>
      <c r="F76" s="20" t="s">
        <v>511</v>
      </c>
      <c r="G76" s="8" t="str">
        <f t="shared" si="2"/>
        <v>GEBRETEKLE DAGNEW</v>
      </c>
      <c r="H76" s="20" t="str">
        <f t="shared" si="3"/>
        <v>4005</v>
      </c>
    </row>
    <row r="77" spans="1:8" x14ac:dyDescent="0.3">
      <c r="A77" s="8">
        <v>43037.370358796295</v>
      </c>
      <c r="B77" s="20" t="s">
        <v>398</v>
      </c>
      <c r="C77" s="20" t="s">
        <v>730</v>
      </c>
      <c r="D77" s="123">
        <v>2010000</v>
      </c>
      <c r="E77" s="20" t="s">
        <v>538</v>
      </c>
      <c r="F77" s="20" t="s">
        <v>539</v>
      </c>
      <c r="G77" s="8" t="str">
        <f t="shared" si="2"/>
        <v>MAELZER KURT</v>
      </c>
      <c r="H77" s="20" t="str">
        <f t="shared" si="3"/>
        <v>4018</v>
      </c>
    </row>
    <row r="78" spans="1:8" x14ac:dyDescent="0.3">
      <c r="A78" s="8">
        <v>43037.380578703705</v>
      </c>
      <c r="B78" s="20" t="s">
        <v>484</v>
      </c>
      <c r="C78" s="20" t="s">
        <v>731</v>
      </c>
      <c r="D78" s="123">
        <v>0</v>
      </c>
      <c r="E78" s="20" t="s">
        <v>1105</v>
      </c>
      <c r="F78" s="20" t="s">
        <v>1106</v>
      </c>
      <c r="G78" s="8" t="str">
        <f t="shared" si="2"/>
        <v>MACDONALD THOMAS</v>
      </c>
      <c r="H78" s="20" t="str">
        <f t="shared" si="3"/>
        <v>4050</v>
      </c>
    </row>
    <row r="79" spans="1:8" x14ac:dyDescent="0.3">
      <c r="A79" s="8">
        <v>43037.381331018521</v>
      </c>
      <c r="B79" s="20" t="s">
        <v>485</v>
      </c>
      <c r="C79" s="20" t="s">
        <v>732</v>
      </c>
      <c r="D79" s="123">
        <v>3090000</v>
      </c>
      <c r="E79" s="20" t="s">
        <v>693</v>
      </c>
      <c r="F79" s="20" t="s">
        <v>694</v>
      </c>
      <c r="G79" s="8" t="str">
        <f t="shared" si="2"/>
        <v>LAMAR NEKESHA</v>
      </c>
      <c r="H79" s="20" t="str">
        <f t="shared" si="3"/>
        <v>4026</v>
      </c>
    </row>
    <row r="80" spans="1:8" x14ac:dyDescent="0.3">
      <c r="A80" s="8">
        <v>43037.391284722224</v>
      </c>
      <c r="B80" s="20" t="s">
        <v>388</v>
      </c>
      <c r="C80" s="20" t="s">
        <v>733</v>
      </c>
      <c r="D80" s="123">
        <v>3300000</v>
      </c>
      <c r="E80" s="20" t="s">
        <v>674</v>
      </c>
      <c r="F80" s="20" t="s">
        <v>675</v>
      </c>
      <c r="G80" s="8" t="str">
        <f t="shared" si="2"/>
        <v>LANGERAK WILLIAM</v>
      </c>
      <c r="H80" s="20" t="str">
        <f t="shared" si="3"/>
        <v>4060</v>
      </c>
    </row>
    <row r="81" spans="1:8" x14ac:dyDescent="0.3">
      <c r="A81" s="8">
        <v>43037.391458333332</v>
      </c>
      <c r="B81" s="20" t="s">
        <v>486</v>
      </c>
      <c r="C81" s="20" t="s">
        <v>734</v>
      </c>
      <c r="D81" s="123">
        <v>0</v>
      </c>
      <c r="E81" s="20" t="s">
        <v>1105</v>
      </c>
      <c r="F81" s="20" t="s">
        <v>1106</v>
      </c>
      <c r="G81" s="8" t="str">
        <f t="shared" si="2"/>
        <v>MACDONALD THOMAS</v>
      </c>
      <c r="H81" s="20" t="str">
        <f t="shared" si="3"/>
        <v>4049</v>
      </c>
    </row>
    <row r="82" spans="1:8" x14ac:dyDescent="0.3">
      <c r="A82" s="8">
        <v>43037.392175925925</v>
      </c>
      <c r="B82" s="20" t="s">
        <v>506</v>
      </c>
      <c r="C82" s="20" t="s">
        <v>633</v>
      </c>
      <c r="D82" s="123">
        <v>3120000</v>
      </c>
      <c r="E82" s="20" t="s">
        <v>666</v>
      </c>
      <c r="F82" s="20" t="s">
        <v>667</v>
      </c>
      <c r="G82" s="8" t="str">
        <f t="shared" si="2"/>
        <v>THOMPSON LESTER</v>
      </c>
      <c r="H82" s="20" t="str">
        <f t="shared" si="3"/>
        <v>4045</v>
      </c>
    </row>
    <row r="83" spans="1:8" x14ac:dyDescent="0.3">
      <c r="A83" s="8">
        <v>43037.399189814816</v>
      </c>
      <c r="B83" s="20" t="s">
        <v>400</v>
      </c>
      <c r="C83" s="20" t="s">
        <v>735</v>
      </c>
      <c r="D83" s="123">
        <v>3040000</v>
      </c>
      <c r="E83" s="20" t="s">
        <v>540</v>
      </c>
      <c r="F83" s="20" t="s">
        <v>541</v>
      </c>
      <c r="G83" s="8" t="str">
        <f t="shared" si="2"/>
        <v>WILLIAMS DONTE</v>
      </c>
      <c r="H83" s="20" t="str">
        <f t="shared" si="3"/>
        <v>4007</v>
      </c>
    </row>
    <row r="84" spans="1:8" x14ac:dyDescent="0.3">
      <c r="A84" s="8">
        <v>43037.402094907404</v>
      </c>
      <c r="B84" s="20" t="s">
        <v>422</v>
      </c>
      <c r="C84" s="20" t="s">
        <v>736</v>
      </c>
      <c r="D84" s="123">
        <v>3260000</v>
      </c>
      <c r="E84" s="20" t="s">
        <v>679</v>
      </c>
      <c r="F84" s="20" t="s">
        <v>680</v>
      </c>
      <c r="G84" s="8" t="str">
        <f t="shared" si="2"/>
        <v>PAGE MARCUS</v>
      </c>
      <c r="H84" s="20" t="str">
        <f t="shared" si="3"/>
        <v>4016</v>
      </c>
    </row>
    <row r="85" spans="1:8" x14ac:dyDescent="0.3">
      <c r="A85" s="8">
        <v>43037.406388888892</v>
      </c>
      <c r="B85" s="20" t="s">
        <v>402</v>
      </c>
      <c r="C85" s="20" t="s">
        <v>737</v>
      </c>
      <c r="D85" s="123">
        <v>2010000</v>
      </c>
      <c r="E85" s="20" t="s">
        <v>538</v>
      </c>
      <c r="F85" s="20" t="s">
        <v>539</v>
      </c>
      <c r="G85" s="8" t="str">
        <f t="shared" si="2"/>
        <v>MAELZER KURT</v>
      </c>
      <c r="H85" s="20" t="str">
        <f t="shared" si="3"/>
        <v>4017</v>
      </c>
    </row>
    <row r="86" spans="1:8" x14ac:dyDescent="0.3">
      <c r="A86" s="8">
        <v>43037.413391203707</v>
      </c>
      <c r="B86" s="20" t="s">
        <v>407</v>
      </c>
      <c r="C86" s="20" t="s">
        <v>634</v>
      </c>
      <c r="D86" s="123">
        <v>1100000</v>
      </c>
      <c r="E86" s="20" t="s">
        <v>510</v>
      </c>
      <c r="F86" s="20" t="s">
        <v>511</v>
      </c>
      <c r="G86" s="8" t="str">
        <f t="shared" si="2"/>
        <v>GEBRETEKLE DAGNEW</v>
      </c>
      <c r="H86" s="20" t="str">
        <f t="shared" si="3"/>
        <v>4006</v>
      </c>
    </row>
    <row r="87" spans="1:8" x14ac:dyDescent="0.3">
      <c r="A87" s="8">
        <v>43037.421574074076</v>
      </c>
      <c r="B87" s="20" t="s">
        <v>484</v>
      </c>
      <c r="C87" s="20" t="s">
        <v>738</v>
      </c>
      <c r="D87" s="123">
        <v>0</v>
      </c>
      <c r="E87" s="20" t="s">
        <v>1105</v>
      </c>
      <c r="F87" s="20" t="s">
        <v>1106</v>
      </c>
      <c r="G87" s="8" t="str">
        <f t="shared" si="2"/>
        <v>MACDONALD THOMAS</v>
      </c>
      <c r="H87" s="20" t="str">
        <f t="shared" si="3"/>
        <v>4050</v>
      </c>
    </row>
    <row r="88" spans="1:8" x14ac:dyDescent="0.3">
      <c r="A88" s="8">
        <v>43037.422766203701</v>
      </c>
      <c r="B88" s="20" t="s">
        <v>389</v>
      </c>
      <c r="C88" s="20" t="s">
        <v>739</v>
      </c>
      <c r="D88" s="123">
        <v>3300000</v>
      </c>
      <c r="E88" s="20" t="s">
        <v>674</v>
      </c>
      <c r="F88" s="20" t="s">
        <v>675</v>
      </c>
      <c r="G88" s="8" t="str">
        <f t="shared" si="2"/>
        <v>LANGERAK WILLIAM</v>
      </c>
      <c r="H88" s="20" t="str">
        <f t="shared" si="3"/>
        <v>4059</v>
      </c>
    </row>
    <row r="89" spans="1:8" x14ac:dyDescent="0.3">
      <c r="A89" s="8">
        <v>43037.423090277778</v>
      </c>
      <c r="B89" s="20" t="s">
        <v>483</v>
      </c>
      <c r="C89" s="20" t="s">
        <v>740</v>
      </c>
      <c r="D89" s="123">
        <v>3090000</v>
      </c>
      <c r="E89" s="20" t="s">
        <v>693</v>
      </c>
      <c r="F89" s="20" t="s">
        <v>694</v>
      </c>
      <c r="G89" s="8" t="str">
        <f t="shared" si="2"/>
        <v>LAMAR NEKESHA</v>
      </c>
      <c r="H89" s="20" t="str">
        <f t="shared" si="3"/>
        <v>4025</v>
      </c>
    </row>
    <row r="90" spans="1:8" x14ac:dyDescent="0.3">
      <c r="A90" s="8">
        <v>43037.425451388888</v>
      </c>
      <c r="B90" s="20" t="s">
        <v>635</v>
      </c>
      <c r="C90" s="20" t="s">
        <v>636</v>
      </c>
      <c r="D90" s="123">
        <v>2550000</v>
      </c>
      <c r="E90" s="20" t="s">
        <v>544</v>
      </c>
      <c r="F90" s="20" t="s">
        <v>545</v>
      </c>
      <c r="G90" s="8" t="str">
        <f t="shared" si="2"/>
        <v>BADERTSCHER DIANE</v>
      </c>
      <c r="H90" s="20" t="str">
        <f t="shared" si="3"/>
        <v>4062</v>
      </c>
    </row>
    <row r="91" spans="1:8" x14ac:dyDescent="0.3">
      <c r="A91" s="8">
        <v>43037.430046296293</v>
      </c>
      <c r="B91" s="20" t="s">
        <v>487</v>
      </c>
      <c r="C91" s="20" t="s">
        <v>741</v>
      </c>
      <c r="D91" s="123">
        <v>2440000</v>
      </c>
      <c r="E91" s="20" t="s">
        <v>453</v>
      </c>
      <c r="F91" s="20" t="s">
        <v>454</v>
      </c>
      <c r="G91" s="8" t="str">
        <f t="shared" si="2"/>
        <v>LOPES KIMBERLY</v>
      </c>
      <c r="H91" s="20" t="str">
        <f t="shared" si="3"/>
        <v>4046</v>
      </c>
    </row>
    <row r="92" spans="1:8" x14ac:dyDescent="0.3">
      <c r="A92" s="8">
        <v>43037.432430555556</v>
      </c>
      <c r="B92" s="20" t="s">
        <v>635</v>
      </c>
      <c r="C92" s="20" t="s">
        <v>636</v>
      </c>
      <c r="D92" s="123">
        <v>2550000</v>
      </c>
      <c r="E92" s="20" t="s">
        <v>544</v>
      </c>
      <c r="F92" s="20" t="s">
        <v>545</v>
      </c>
      <c r="G92" s="8" t="str">
        <f t="shared" si="2"/>
        <v>BADERTSCHER DIANE</v>
      </c>
      <c r="H92" s="20" t="str">
        <f t="shared" si="3"/>
        <v>4062</v>
      </c>
    </row>
    <row r="93" spans="1:8" x14ac:dyDescent="0.3">
      <c r="A93" s="8">
        <v>43037.434942129628</v>
      </c>
      <c r="B93" s="20" t="s">
        <v>506</v>
      </c>
      <c r="C93" s="20" t="s">
        <v>741</v>
      </c>
      <c r="D93" s="123">
        <v>2440000</v>
      </c>
      <c r="E93" s="20" t="s">
        <v>453</v>
      </c>
      <c r="F93" s="20" t="s">
        <v>454</v>
      </c>
      <c r="G93" s="8" t="str">
        <f t="shared" si="2"/>
        <v>LOPES KIMBERLY</v>
      </c>
      <c r="H93" s="20" t="str">
        <f t="shared" si="3"/>
        <v>4045</v>
      </c>
    </row>
    <row r="94" spans="1:8" x14ac:dyDescent="0.3">
      <c r="A94" s="8">
        <v>43037.434965277775</v>
      </c>
      <c r="B94" s="20" t="s">
        <v>386</v>
      </c>
      <c r="C94" s="20" t="s">
        <v>742</v>
      </c>
      <c r="D94" s="123">
        <v>3040000</v>
      </c>
      <c r="E94" s="20" t="s">
        <v>540</v>
      </c>
      <c r="F94" s="20" t="s">
        <v>541</v>
      </c>
      <c r="G94" s="8" t="str">
        <f t="shared" si="2"/>
        <v>WILLIAMS DONTE</v>
      </c>
      <c r="H94" s="20" t="str">
        <f t="shared" si="3"/>
        <v>4008</v>
      </c>
    </row>
    <row r="95" spans="1:8" x14ac:dyDescent="0.3">
      <c r="A95" s="8">
        <v>43037.439108796294</v>
      </c>
      <c r="B95" s="20" t="s">
        <v>486</v>
      </c>
      <c r="C95" s="20" t="s">
        <v>743</v>
      </c>
      <c r="D95" s="123">
        <v>0</v>
      </c>
      <c r="E95" s="20" t="s">
        <v>1105</v>
      </c>
      <c r="F95" s="20" t="s">
        <v>1106</v>
      </c>
      <c r="G95" s="8" t="str">
        <f t="shared" si="2"/>
        <v>MACDONALD THOMAS</v>
      </c>
      <c r="H95" s="20" t="str">
        <f t="shared" si="3"/>
        <v>4049</v>
      </c>
    </row>
    <row r="96" spans="1:8" x14ac:dyDescent="0.3">
      <c r="A96" s="8">
        <v>43037.442326388889</v>
      </c>
      <c r="B96" s="20" t="s">
        <v>535</v>
      </c>
      <c r="C96" s="20" t="s">
        <v>637</v>
      </c>
      <c r="D96" s="123">
        <v>3260000</v>
      </c>
      <c r="E96" s="20" t="s">
        <v>679</v>
      </c>
      <c r="F96" s="20" t="s">
        <v>680</v>
      </c>
      <c r="G96" s="8" t="str">
        <f t="shared" si="2"/>
        <v>PAGE MARCUS</v>
      </c>
      <c r="H96" s="20" t="str">
        <f t="shared" si="3"/>
        <v>4015</v>
      </c>
    </row>
    <row r="97" spans="1:8" x14ac:dyDescent="0.3">
      <c r="A97" s="8">
        <v>43037.444212962961</v>
      </c>
      <c r="B97" s="20" t="s">
        <v>398</v>
      </c>
      <c r="C97" s="20" t="s">
        <v>744</v>
      </c>
      <c r="D97" s="123">
        <v>880000</v>
      </c>
      <c r="E97" s="20" t="s">
        <v>380</v>
      </c>
      <c r="F97" s="20" t="s">
        <v>371</v>
      </c>
      <c r="G97" s="8" t="str">
        <f t="shared" si="2"/>
        <v>STEWART MICHAEL</v>
      </c>
      <c r="H97" s="20" t="str">
        <f t="shared" si="3"/>
        <v>4018</v>
      </c>
    </row>
    <row r="98" spans="1:8" x14ac:dyDescent="0.3">
      <c r="A98" s="8">
        <v>43037.452731481484</v>
      </c>
      <c r="B98" s="20" t="s">
        <v>399</v>
      </c>
      <c r="C98" s="20" t="s">
        <v>745</v>
      </c>
      <c r="D98" s="123">
        <v>1100000</v>
      </c>
      <c r="E98" s="20" t="s">
        <v>510</v>
      </c>
      <c r="F98" s="20" t="s">
        <v>511</v>
      </c>
      <c r="G98" s="8" t="str">
        <f t="shared" si="2"/>
        <v>GEBRETEKLE DAGNEW</v>
      </c>
      <c r="H98" s="20" t="str">
        <f t="shared" si="3"/>
        <v>4005</v>
      </c>
    </row>
    <row r="99" spans="1:8" x14ac:dyDescent="0.3">
      <c r="A99" s="8">
        <v>43037.455717592595</v>
      </c>
      <c r="B99" s="20" t="s">
        <v>485</v>
      </c>
      <c r="C99" s="20" t="s">
        <v>746</v>
      </c>
      <c r="D99" s="123">
        <v>3090000</v>
      </c>
      <c r="E99" s="20" t="s">
        <v>693</v>
      </c>
      <c r="F99" s="20" t="s">
        <v>694</v>
      </c>
      <c r="G99" s="8" t="str">
        <f t="shared" si="2"/>
        <v>LAMAR NEKESHA</v>
      </c>
      <c r="H99" s="20" t="str">
        <f t="shared" si="3"/>
        <v>4026</v>
      </c>
    </row>
    <row r="100" spans="1:8" x14ac:dyDescent="0.3">
      <c r="A100" s="8">
        <v>43037.458078703705</v>
      </c>
      <c r="B100" s="20" t="s">
        <v>484</v>
      </c>
      <c r="C100" s="20" t="s">
        <v>747</v>
      </c>
      <c r="D100" s="123">
        <v>2600000</v>
      </c>
      <c r="E100" s="20" t="s">
        <v>439</v>
      </c>
      <c r="F100" s="20" t="s">
        <v>424</v>
      </c>
      <c r="G100" s="8" t="str">
        <f t="shared" si="2"/>
        <v>DAVIDSON DAVID</v>
      </c>
      <c r="H100" s="20" t="str">
        <f t="shared" si="3"/>
        <v>4050</v>
      </c>
    </row>
    <row r="101" spans="1:8" x14ac:dyDescent="0.3">
      <c r="A101" s="8">
        <v>43037.463923611111</v>
      </c>
      <c r="B101" s="20" t="s">
        <v>726</v>
      </c>
      <c r="C101" s="20" t="s">
        <v>748</v>
      </c>
      <c r="D101" s="123">
        <v>2550000</v>
      </c>
      <c r="E101" s="20" t="s">
        <v>544</v>
      </c>
      <c r="F101" s="20" t="s">
        <v>545</v>
      </c>
      <c r="G101" s="8" t="str">
        <f t="shared" si="2"/>
        <v>BADERTSCHER DIANE</v>
      </c>
      <c r="H101" s="20" t="str">
        <f t="shared" si="3"/>
        <v>4061</v>
      </c>
    </row>
    <row r="102" spans="1:8" x14ac:dyDescent="0.3">
      <c r="A102" s="8">
        <v>43037.467129629629</v>
      </c>
      <c r="B102" s="20" t="s">
        <v>388</v>
      </c>
      <c r="C102" s="20" t="s">
        <v>749</v>
      </c>
      <c r="D102" s="123">
        <v>920000</v>
      </c>
      <c r="E102" s="20" t="s">
        <v>406</v>
      </c>
      <c r="F102" s="20" t="s">
        <v>371</v>
      </c>
      <c r="G102" s="8" t="str">
        <f t="shared" si="2"/>
        <v>DAVIS MICHAEL</v>
      </c>
      <c r="H102" s="20" t="str">
        <f t="shared" si="3"/>
        <v>4060</v>
      </c>
    </row>
    <row r="103" spans="1:8" x14ac:dyDescent="0.3">
      <c r="A103" s="8">
        <v>43037.473449074074</v>
      </c>
      <c r="B103" s="20" t="s">
        <v>400</v>
      </c>
      <c r="C103" s="20" t="s">
        <v>750</v>
      </c>
      <c r="D103" s="123">
        <v>3040000</v>
      </c>
      <c r="E103" s="20" t="s">
        <v>540</v>
      </c>
      <c r="F103" s="20" t="s">
        <v>541</v>
      </c>
      <c r="G103" s="8" t="str">
        <f t="shared" si="2"/>
        <v>WILLIAMS DONTE</v>
      </c>
      <c r="H103" s="20" t="str">
        <f t="shared" si="3"/>
        <v>4007</v>
      </c>
    </row>
    <row r="104" spans="1:8" x14ac:dyDescent="0.3">
      <c r="A104" s="8">
        <v>43037.476388888892</v>
      </c>
      <c r="B104" s="20" t="s">
        <v>486</v>
      </c>
      <c r="C104" s="20" t="s">
        <v>751</v>
      </c>
      <c r="D104" s="123">
        <v>2600000</v>
      </c>
      <c r="E104" s="20" t="s">
        <v>439</v>
      </c>
      <c r="F104" s="20" t="s">
        <v>424</v>
      </c>
      <c r="G104" s="8" t="str">
        <f t="shared" si="2"/>
        <v>DAVIDSON DAVID</v>
      </c>
      <c r="H104" s="20" t="str">
        <f t="shared" si="3"/>
        <v>4049</v>
      </c>
    </row>
    <row r="105" spans="1:8" x14ac:dyDescent="0.3">
      <c r="A105" s="8">
        <v>43037.477777777778</v>
      </c>
      <c r="B105" s="20" t="s">
        <v>422</v>
      </c>
      <c r="C105" s="20" t="s">
        <v>752</v>
      </c>
      <c r="D105" s="123">
        <v>2630000</v>
      </c>
      <c r="E105" s="20" t="s">
        <v>753</v>
      </c>
      <c r="F105" s="20" t="s">
        <v>754</v>
      </c>
      <c r="G105" s="8" t="str">
        <f t="shared" si="2"/>
        <v>SAFIEF AEIMEN</v>
      </c>
      <c r="H105" s="20" t="str">
        <f t="shared" si="3"/>
        <v>4016</v>
      </c>
    </row>
    <row r="106" spans="1:8" x14ac:dyDescent="0.3">
      <c r="A106" s="8">
        <v>43037.484525462962</v>
      </c>
      <c r="B106" s="20" t="s">
        <v>407</v>
      </c>
      <c r="C106" s="20" t="s">
        <v>755</v>
      </c>
      <c r="D106" s="123">
        <v>2970000</v>
      </c>
      <c r="E106" s="20" t="s">
        <v>756</v>
      </c>
      <c r="F106" s="20" t="s">
        <v>757</v>
      </c>
      <c r="G106" s="8" t="str">
        <f t="shared" si="2"/>
        <v>GUZMAN DANNY</v>
      </c>
      <c r="H106" s="20" t="str">
        <f t="shared" si="3"/>
        <v>4006</v>
      </c>
    </row>
    <row r="107" spans="1:8" x14ac:dyDescent="0.3">
      <c r="A107" s="8">
        <v>43037.485185185185</v>
      </c>
      <c r="B107" s="20" t="s">
        <v>402</v>
      </c>
      <c r="C107" s="20" t="s">
        <v>758</v>
      </c>
      <c r="D107" s="123">
        <v>880000</v>
      </c>
      <c r="E107" s="20" t="s">
        <v>380</v>
      </c>
      <c r="F107" s="20" t="s">
        <v>371</v>
      </c>
      <c r="G107" s="8" t="str">
        <f t="shared" si="2"/>
        <v>STEWART MICHAEL</v>
      </c>
      <c r="H107" s="20" t="str">
        <f t="shared" si="3"/>
        <v>4017</v>
      </c>
    </row>
    <row r="108" spans="1:8" x14ac:dyDescent="0.3">
      <c r="A108" s="8">
        <v>43037.493472222224</v>
      </c>
      <c r="B108" s="20" t="s">
        <v>483</v>
      </c>
      <c r="C108" s="20" t="s">
        <v>759</v>
      </c>
      <c r="D108" s="123">
        <v>3090000</v>
      </c>
      <c r="E108" s="20" t="s">
        <v>693</v>
      </c>
      <c r="F108" s="20" t="s">
        <v>694</v>
      </c>
      <c r="G108" s="8" t="str">
        <f t="shared" si="2"/>
        <v>LAMAR NEKESHA</v>
      </c>
      <c r="H108" s="20" t="str">
        <f t="shared" si="3"/>
        <v>4025</v>
      </c>
    </row>
    <row r="109" spans="1:8" x14ac:dyDescent="0.3">
      <c r="A109" s="8">
        <v>43037.496886574074</v>
      </c>
      <c r="B109" s="20" t="s">
        <v>635</v>
      </c>
      <c r="C109" s="20" t="s">
        <v>760</v>
      </c>
      <c r="D109" s="123">
        <v>2550000</v>
      </c>
      <c r="E109" s="20" t="s">
        <v>544</v>
      </c>
      <c r="F109" s="20" t="s">
        <v>545</v>
      </c>
      <c r="G109" s="8" t="str">
        <f t="shared" si="2"/>
        <v>BADERTSCHER DIANE</v>
      </c>
      <c r="H109" s="20" t="str">
        <f t="shared" si="3"/>
        <v>4062</v>
      </c>
    </row>
    <row r="110" spans="1:8" x14ac:dyDescent="0.3">
      <c r="A110" s="8">
        <v>43037.50104166667</v>
      </c>
      <c r="B110" s="20" t="s">
        <v>484</v>
      </c>
      <c r="C110" s="20" t="s">
        <v>761</v>
      </c>
      <c r="D110" s="123">
        <v>3330000</v>
      </c>
      <c r="E110" s="20" t="s">
        <v>762</v>
      </c>
      <c r="F110" s="20" t="s">
        <v>763</v>
      </c>
      <c r="G110" s="8" t="str">
        <f t="shared" si="2"/>
        <v>GONZALEZ ARMANDO</v>
      </c>
      <c r="H110" s="20" t="str">
        <f t="shared" si="3"/>
        <v>4050</v>
      </c>
    </row>
    <row r="111" spans="1:8" x14ac:dyDescent="0.3">
      <c r="A111" s="8">
        <v>43037.502418981479</v>
      </c>
      <c r="B111" s="20" t="s">
        <v>484</v>
      </c>
      <c r="C111" s="20" t="s">
        <v>761</v>
      </c>
      <c r="D111" s="123">
        <v>3330000</v>
      </c>
      <c r="E111" s="20" t="s">
        <v>762</v>
      </c>
      <c r="F111" s="20" t="s">
        <v>763</v>
      </c>
      <c r="G111" s="8" t="str">
        <f t="shared" si="2"/>
        <v>GONZALEZ ARMANDO</v>
      </c>
      <c r="H111" s="20" t="str">
        <f t="shared" si="3"/>
        <v>4050</v>
      </c>
    </row>
    <row r="112" spans="1:8" x14ac:dyDescent="0.3">
      <c r="A112" s="8">
        <v>43037.506145833337</v>
      </c>
      <c r="B112" s="20" t="s">
        <v>389</v>
      </c>
      <c r="C112" s="20" t="s">
        <v>764</v>
      </c>
      <c r="D112" s="123">
        <v>920000</v>
      </c>
      <c r="E112" s="20" t="s">
        <v>406</v>
      </c>
      <c r="F112" s="20" t="s">
        <v>371</v>
      </c>
      <c r="G112" s="8" t="str">
        <f t="shared" si="2"/>
        <v>DAVIS MICHAEL</v>
      </c>
      <c r="H112" s="20" t="str">
        <f t="shared" si="3"/>
        <v>4059</v>
      </c>
    </row>
    <row r="113" spans="1:8" x14ac:dyDescent="0.3">
      <c r="A113" s="8">
        <v>43037.506921296299</v>
      </c>
      <c r="B113" s="20" t="s">
        <v>535</v>
      </c>
      <c r="C113" s="20" t="s">
        <v>765</v>
      </c>
      <c r="D113" s="123">
        <v>2630000</v>
      </c>
      <c r="E113" s="20" t="s">
        <v>753</v>
      </c>
      <c r="F113" s="20" t="s">
        <v>754</v>
      </c>
      <c r="G113" s="8" t="str">
        <f t="shared" si="2"/>
        <v>SAFIEF AEIMEN</v>
      </c>
      <c r="H113" s="20" t="str">
        <f t="shared" si="3"/>
        <v>4015</v>
      </c>
    </row>
    <row r="114" spans="1:8" x14ac:dyDescent="0.3">
      <c r="A114" s="8">
        <v>43037.507719907408</v>
      </c>
      <c r="B114" s="20" t="s">
        <v>386</v>
      </c>
      <c r="C114" s="20" t="s">
        <v>766</v>
      </c>
      <c r="D114" s="123">
        <v>2350000</v>
      </c>
      <c r="E114" s="20" t="s">
        <v>408</v>
      </c>
      <c r="F114" s="20" t="s">
        <v>409</v>
      </c>
      <c r="G114" s="8" t="str">
        <f t="shared" si="2"/>
        <v>BERLING GARY</v>
      </c>
      <c r="H114" s="20" t="str">
        <f t="shared" si="3"/>
        <v>4008</v>
      </c>
    </row>
    <row r="115" spans="1:8" x14ac:dyDescent="0.3">
      <c r="A115" s="8">
        <v>43037.5153125</v>
      </c>
      <c r="B115" s="20" t="s">
        <v>399</v>
      </c>
      <c r="C115" s="20" t="s">
        <v>638</v>
      </c>
      <c r="D115" s="123">
        <v>2970000</v>
      </c>
      <c r="E115" s="20" t="s">
        <v>756</v>
      </c>
      <c r="F115" s="20" t="s">
        <v>757</v>
      </c>
      <c r="G115" s="8" t="str">
        <f t="shared" si="2"/>
        <v>GUZMAN DANNY</v>
      </c>
      <c r="H115" s="20" t="str">
        <f t="shared" si="3"/>
        <v>4005</v>
      </c>
    </row>
    <row r="116" spans="1:8" x14ac:dyDescent="0.3">
      <c r="A116" s="8">
        <v>43037.517106481479</v>
      </c>
      <c r="B116" s="20" t="s">
        <v>398</v>
      </c>
      <c r="C116" s="20" t="s">
        <v>767</v>
      </c>
      <c r="D116" s="123">
        <v>880000</v>
      </c>
      <c r="E116" s="20" t="s">
        <v>380</v>
      </c>
      <c r="F116" s="20" t="s">
        <v>371</v>
      </c>
      <c r="G116" s="8" t="str">
        <f t="shared" si="2"/>
        <v>STEWART MICHAEL</v>
      </c>
      <c r="H116" s="20" t="str">
        <f t="shared" si="3"/>
        <v>4018</v>
      </c>
    </row>
    <row r="117" spans="1:8" x14ac:dyDescent="0.3">
      <c r="A117" s="8">
        <v>43037.518784722219</v>
      </c>
      <c r="B117" s="20" t="s">
        <v>486</v>
      </c>
      <c r="C117" s="20" t="s">
        <v>768</v>
      </c>
      <c r="D117" s="123">
        <v>3330000</v>
      </c>
      <c r="E117" s="20" t="s">
        <v>762</v>
      </c>
      <c r="F117" s="20" t="s">
        <v>763</v>
      </c>
      <c r="G117" s="8" t="str">
        <f t="shared" si="2"/>
        <v>GONZALEZ ARMANDO</v>
      </c>
      <c r="H117" s="20" t="str">
        <f t="shared" si="3"/>
        <v>4049</v>
      </c>
    </row>
    <row r="118" spans="1:8" x14ac:dyDescent="0.3">
      <c r="A118" s="8">
        <v>43037.527858796297</v>
      </c>
      <c r="B118" s="20" t="s">
        <v>485</v>
      </c>
      <c r="C118" s="20" t="s">
        <v>769</v>
      </c>
      <c r="D118" s="123">
        <v>1760000</v>
      </c>
      <c r="E118" s="20" t="s">
        <v>495</v>
      </c>
      <c r="F118" s="20" t="s">
        <v>496</v>
      </c>
      <c r="G118" s="8" t="str">
        <f t="shared" si="2"/>
        <v>STRICKLAND EVAN</v>
      </c>
      <c r="H118" s="20" t="str">
        <f t="shared" si="3"/>
        <v>4026</v>
      </c>
    </row>
    <row r="119" spans="1:8" x14ac:dyDescent="0.3">
      <c r="A119" s="8">
        <v>43037.533217592594</v>
      </c>
      <c r="B119" s="20" t="s">
        <v>726</v>
      </c>
      <c r="C119" s="20" t="s">
        <v>770</v>
      </c>
      <c r="D119" s="123">
        <v>2550000</v>
      </c>
      <c r="E119" s="20" t="s">
        <v>544</v>
      </c>
      <c r="F119" s="20" t="s">
        <v>545</v>
      </c>
      <c r="G119" s="8" t="str">
        <f t="shared" si="2"/>
        <v>BADERTSCHER DIANE</v>
      </c>
      <c r="H119" s="20" t="str">
        <f t="shared" si="3"/>
        <v>4061</v>
      </c>
    </row>
    <row r="120" spans="1:8" x14ac:dyDescent="0.3">
      <c r="A120" s="8">
        <v>43037.538993055554</v>
      </c>
      <c r="B120" s="20" t="s">
        <v>388</v>
      </c>
      <c r="C120" s="20" t="s">
        <v>771</v>
      </c>
      <c r="D120" s="123">
        <v>920000</v>
      </c>
      <c r="E120" s="20" t="s">
        <v>406</v>
      </c>
      <c r="F120" s="20" t="s">
        <v>371</v>
      </c>
      <c r="G120" s="8" t="str">
        <f t="shared" si="2"/>
        <v>DAVIS MICHAEL</v>
      </c>
      <c r="H120" s="20" t="str">
        <f t="shared" si="3"/>
        <v>4060</v>
      </c>
    </row>
    <row r="121" spans="1:8" x14ac:dyDescent="0.3">
      <c r="A121" s="8">
        <v>43037.54314814815</v>
      </c>
      <c r="B121" s="20" t="s">
        <v>399</v>
      </c>
      <c r="C121" s="20" t="s">
        <v>638</v>
      </c>
      <c r="D121" s="123">
        <v>2970000</v>
      </c>
      <c r="E121" s="20" t="s">
        <v>756</v>
      </c>
      <c r="F121" s="20" t="s">
        <v>757</v>
      </c>
      <c r="G121" s="8" t="str">
        <f t="shared" si="2"/>
        <v>GUZMAN DANNY</v>
      </c>
      <c r="H121" s="20" t="str">
        <f t="shared" si="3"/>
        <v>4005</v>
      </c>
    </row>
    <row r="122" spans="1:8" x14ac:dyDescent="0.3">
      <c r="A122" s="8">
        <v>43037.546226851853</v>
      </c>
      <c r="B122" s="25" t="s">
        <v>400</v>
      </c>
      <c r="C122" s="20" t="s">
        <v>772</v>
      </c>
      <c r="D122" s="123">
        <v>2350000</v>
      </c>
      <c r="E122" s="20" t="s">
        <v>408</v>
      </c>
      <c r="F122" s="20" t="s">
        <v>409</v>
      </c>
      <c r="G122" s="8" t="str">
        <f t="shared" si="2"/>
        <v>BERLING GARY</v>
      </c>
      <c r="H122" s="20" t="str">
        <f t="shared" si="3"/>
        <v>4007</v>
      </c>
    </row>
    <row r="123" spans="1:8" x14ac:dyDescent="0.3">
      <c r="A123" s="8">
        <v>43037.54724537037</v>
      </c>
      <c r="B123" s="20" t="s">
        <v>484</v>
      </c>
      <c r="C123" s="20" t="s">
        <v>639</v>
      </c>
      <c r="D123" s="123">
        <v>0</v>
      </c>
      <c r="E123" s="20" t="s">
        <v>1105</v>
      </c>
      <c r="F123" s="20" t="s">
        <v>1106</v>
      </c>
      <c r="G123" s="8" t="str">
        <f t="shared" si="2"/>
        <v>MACDONALD THOMAS</v>
      </c>
      <c r="H123" s="20" t="str">
        <f t="shared" si="3"/>
        <v>4050</v>
      </c>
    </row>
    <row r="124" spans="1:8" x14ac:dyDescent="0.3">
      <c r="A124" s="8">
        <v>43037.548634259256</v>
      </c>
      <c r="B124" s="20" t="s">
        <v>422</v>
      </c>
      <c r="C124" s="20" t="s">
        <v>773</v>
      </c>
      <c r="D124" s="123">
        <v>2630000</v>
      </c>
      <c r="E124" s="20" t="s">
        <v>753</v>
      </c>
      <c r="F124" s="20" t="s">
        <v>754</v>
      </c>
      <c r="G124" s="8" t="str">
        <f t="shared" si="2"/>
        <v>SAFIEF AEIMEN</v>
      </c>
      <c r="H124" s="20" t="str">
        <f t="shared" si="3"/>
        <v>4016</v>
      </c>
    </row>
    <row r="125" spans="1:8" x14ac:dyDescent="0.3">
      <c r="A125" s="8">
        <v>43037.550011574072</v>
      </c>
      <c r="B125" s="20" t="s">
        <v>484</v>
      </c>
      <c r="C125" s="20" t="s">
        <v>639</v>
      </c>
      <c r="D125" s="123">
        <v>0</v>
      </c>
      <c r="E125" s="20" t="s">
        <v>1105</v>
      </c>
      <c r="F125" s="20" t="s">
        <v>1106</v>
      </c>
      <c r="G125" s="8" t="str">
        <f t="shared" si="2"/>
        <v>MACDONALD THOMAS</v>
      </c>
      <c r="H125" s="20" t="str">
        <f t="shared" si="3"/>
        <v>4050</v>
      </c>
    </row>
    <row r="126" spans="1:8" x14ac:dyDescent="0.3">
      <c r="A126" s="8">
        <v>43037.557060185187</v>
      </c>
      <c r="B126" s="20" t="s">
        <v>402</v>
      </c>
      <c r="C126" s="20" t="s">
        <v>774</v>
      </c>
      <c r="D126" s="123">
        <v>880000</v>
      </c>
      <c r="E126" s="20" t="s">
        <v>380</v>
      </c>
      <c r="F126" s="20" t="s">
        <v>371</v>
      </c>
      <c r="G126" s="8" t="str">
        <f t="shared" si="2"/>
        <v>STEWART MICHAEL</v>
      </c>
      <c r="H126" s="20" t="str">
        <f t="shared" si="3"/>
        <v>4017</v>
      </c>
    </row>
    <row r="127" spans="1:8" x14ac:dyDescent="0.3">
      <c r="A127" s="8">
        <v>43037.560752314814</v>
      </c>
      <c r="B127" s="20" t="s">
        <v>407</v>
      </c>
      <c r="C127" s="20" t="s">
        <v>775</v>
      </c>
      <c r="D127" s="123">
        <v>2970000</v>
      </c>
      <c r="E127" s="20" t="s">
        <v>756</v>
      </c>
      <c r="F127" s="20" t="s">
        <v>757</v>
      </c>
      <c r="G127" s="8" t="str">
        <f t="shared" si="2"/>
        <v>GUZMAN DANNY</v>
      </c>
      <c r="H127" s="20" t="str">
        <f t="shared" si="3"/>
        <v>4006</v>
      </c>
    </row>
    <row r="128" spans="1:8" x14ac:dyDescent="0.3">
      <c r="A128" s="8">
        <v>43037.561238425929</v>
      </c>
      <c r="B128" s="20" t="s">
        <v>486</v>
      </c>
      <c r="C128" s="20" t="s">
        <v>641</v>
      </c>
      <c r="D128" s="123">
        <v>0</v>
      </c>
      <c r="E128" s="20" t="s">
        <v>1105</v>
      </c>
      <c r="F128" s="20" t="s">
        <v>1106</v>
      </c>
      <c r="G128" s="8" t="str">
        <f t="shared" si="2"/>
        <v>MACDONALD THOMAS</v>
      </c>
      <c r="H128" s="20" t="str">
        <f t="shared" si="3"/>
        <v>4049</v>
      </c>
    </row>
    <row r="129" spans="1:8" x14ac:dyDescent="0.3">
      <c r="A129" s="8">
        <v>43037.564710648148</v>
      </c>
      <c r="B129" s="20" t="s">
        <v>487</v>
      </c>
      <c r="C129" s="20" t="s">
        <v>776</v>
      </c>
      <c r="D129" s="123">
        <v>2610000</v>
      </c>
      <c r="E129" s="20" t="s">
        <v>777</v>
      </c>
      <c r="F129" s="20" t="s">
        <v>778</v>
      </c>
      <c r="G129" s="8" t="str">
        <f t="shared" si="2"/>
        <v>MAGEE KENYA</v>
      </c>
      <c r="H129" s="20" t="str">
        <f t="shared" si="3"/>
        <v>4046</v>
      </c>
    </row>
    <row r="130" spans="1:8" x14ac:dyDescent="0.3">
      <c r="A130" s="8">
        <v>43037.565821759257</v>
      </c>
      <c r="B130" s="20" t="s">
        <v>483</v>
      </c>
      <c r="C130" s="20" t="s">
        <v>779</v>
      </c>
      <c r="D130" s="123">
        <v>1760000</v>
      </c>
      <c r="E130" s="20" t="s">
        <v>495</v>
      </c>
      <c r="F130" s="20" t="s">
        <v>496</v>
      </c>
      <c r="G130" s="8" t="str">
        <f t="shared" si="2"/>
        <v>STRICKLAND EVAN</v>
      </c>
      <c r="H130" s="20" t="str">
        <f t="shared" si="3"/>
        <v>4025</v>
      </c>
    </row>
    <row r="131" spans="1:8" x14ac:dyDescent="0.3">
      <c r="A131" s="8">
        <v>43037.569201388891</v>
      </c>
      <c r="B131" s="20" t="s">
        <v>506</v>
      </c>
      <c r="C131" s="20" t="s">
        <v>776</v>
      </c>
      <c r="D131" s="123">
        <v>2610000</v>
      </c>
      <c r="E131" s="20" t="s">
        <v>777</v>
      </c>
      <c r="F131" s="20" t="s">
        <v>778</v>
      </c>
      <c r="G131" s="8" t="str">
        <f t="shared" ref="G131:G194" si="4">E131&amp;" "&amp;F131</f>
        <v>MAGEE KENYA</v>
      </c>
      <c r="H131" s="20" t="str">
        <f t="shared" ref="H131:H194" si="5">MID(B131,13,4)</f>
        <v>4045</v>
      </c>
    </row>
    <row r="132" spans="1:8" x14ac:dyDescent="0.3">
      <c r="A132" s="8">
        <v>43037.569837962961</v>
      </c>
      <c r="B132" s="20" t="s">
        <v>635</v>
      </c>
      <c r="C132" s="20" t="s">
        <v>780</v>
      </c>
      <c r="D132" s="123">
        <v>2550000</v>
      </c>
      <c r="E132" s="20" t="s">
        <v>544</v>
      </c>
      <c r="F132" s="20" t="s">
        <v>545</v>
      </c>
      <c r="G132" s="8" t="str">
        <f t="shared" si="4"/>
        <v>BADERTSCHER DIANE</v>
      </c>
      <c r="H132" s="20" t="str">
        <f t="shared" si="5"/>
        <v>4062</v>
      </c>
    </row>
    <row r="133" spans="1:8" x14ac:dyDescent="0.3">
      <c r="A133" s="8">
        <v>43037.569884259261</v>
      </c>
      <c r="B133" s="20" t="s">
        <v>419</v>
      </c>
      <c r="C133" s="20" t="s">
        <v>640</v>
      </c>
      <c r="D133" s="123">
        <v>2030000</v>
      </c>
      <c r="E133" s="20" t="s">
        <v>546</v>
      </c>
      <c r="F133" s="20" t="s">
        <v>424</v>
      </c>
      <c r="G133" s="8" t="str">
        <f t="shared" si="4"/>
        <v>KILLION DAVID</v>
      </c>
      <c r="H133" s="20" t="str">
        <f t="shared" si="5"/>
        <v>4057</v>
      </c>
    </row>
    <row r="134" spans="1:8" x14ac:dyDescent="0.3">
      <c r="A134" s="8">
        <v>43037.572245370371</v>
      </c>
      <c r="B134" s="20" t="s">
        <v>419</v>
      </c>
      <c r="C134" s="20" t="s">
        <v>640</v>
      </c>
      <c r="D134" s="123">
        <v>2030000</v>
      </c>
      <c r="E134" s="20" t="s">
        <v>546</v>
      </c>
      <c r="F134" s="20" t="s">
        <v>424</v>
      </c>
      <c r="G134" s="8" t="str">
        <f t="shared" si="4"/>
        <v>KILLION DAVID</v>
      </c>
      <c r="H134" s="20" t="str">
        <f t="shared" si="5"/>
        <v>4057</v>
      </c>
    </row>
    <row r="135" spans="1:8" x14ac:dyDescent="0.3">
      <c r="A135" s="8">
        <v>43037.578773148147</v>
      </c>
      <c r="B135" s="20" t="s">
        <v>535</v>
      </c>
      <c r="C135" s="20" t="s">
        <v>781</v>
      </c>
      <c r="D135" s="123">
        <v>2630000</v>
      </c>
      <c r="E135" s="20" t="s">
        <v>753</v>
      </c>
      <c r="F135" s="20" t="s">
        <v>754</v>
      </c>
      <c r="G135" s="8" t="str">
        <f t="shared" si="4"/>
        <v>SAFIEF AEIMEN</v>
      </c>
      <c r="H135" s="20" t="str">
        <f t="shared" si="5"/>
        <v>4015</v>
      </c>
    </row>
    <row r="136" spans="1:8" x14ac:dyDescent="0.3">
      <c r="A136" s="8">
        <v>43037.579201388886</v>
      </c>
      <c r="B136" s="20" t="s">
        <v>389</v>
      </c>
      <c r="C136" s="20" t="s">
        <v>782</v>
      </c>
      <c r="D136" s="123">
        <v>920000</v>
      </c>
      <c r="E136" s="20" t="s">
        <v>406</v>
      </c>
      <c r="F136" s="20" t="s">
        <v>371</v>
      </c>
      <c r="G136" s="8" t="str">
        <f t="shared" si="4"/>
        <v>DAVIS MICHAEL</v>
      </c>
      <c r="H136" s="20" t="str">
        <f t="shared" si="5"/>
        <v>4059</v>
      </c>
    </row>
    <row r="137" spans="1:8" x14ac:dyDescent="0.3">
      <c r="A137" s="8">
        <v>43037.583356481482</v>
      </c>
      <c r="B137" s="20" t="s">
        <v>487</v>
      </c>
      <c r="C137" s="20" t="s">
        <v>783</v>
      </c>
      <c r="D137" s="123">
        <v>2350000</v>
      </c>
      <c r="E137" s="20" t="s">
        <v>408</v>
      </c>
      <c r="F137" s="20" t="s">
        <v>409</v>
      </c>
      <c r="G137" s="8" t="str">
        <f t="shared" si="4"/>
        <v>BERLING GARY</v>
      </c>
      <c r="H137" s="20" t="str">
        <f t="shared" si="5"/>
        <v>4046</v>
      </c>
    </row>
    <row r="138" spans="1:8" x14ac:dyDescent="0.3">
      <c r="A138" s="8">
        <v>43037.583483796298</v>
      </c>
      <c r="B138" s="20" t="s">
        <v>386</v>
      </c>
      <c r="C138" s="20" t="s">
        <v>640</v>
      </c>
      <c r="D138" s="123">
        <v>2030000</v>
      </c>
      <c r="E138" s="20" t="s">
        <v>546</v>
      </c>
      <c r="F138" s="20" t="s">
        <v>424</v>
      </c>
      <c r="G138" s="8" t="str">
        <f t="shared" si="4"/>
        <v>KILLION DAVID</v>
      </c>
      <c r="H138" s="20" t="str">
        <f t="shared" si="5"/>
        <v>4008</v>
      </c>
    </row>
    <row r="139" spans="1:8" x14ac:dyDescent="0.3">
      <c r="A139" s="8">
        <v>43037.585115740738</v>
      </c>
      <c r="B139" s="20" t="s">
        <v>386</v>
      </c>
      <c r="C139" s="20" t="s">
        <v>640</v>
      </c>
      <c r="D139" s="123">
        <v>2030000</v>
      </c>
      <c r="E139" s="20" t="s">
        <v>546</v>
      </c>
      <c r="F139" s="20" t="s">
        <v>424</v>
      </c>
      <c r="G139" s="8" t="str">
        <f t="shared" si="4"/>
        <v>KILLION DAVID</v>
      </c>
      <c r="H139" s="20" t="str">
        <f t="shared" si="5"/>
        <v>4008</v>
      </c>
    </row>
    <row r="140" spans="1:8" x14ac:dyDescent="0.3">
      <c r="A140" s="8">
        <v>43037.585277777776</v>
      </c>
      <c r="B140" s="20" t="s">
        <v>484</v>
      </c>
      <c r="C140" s="20" t="s">
        <v>642</v>
      </c>
      <c r="D140" s="123">
        <v>2420000</v>
      </c>
      <c r="E140" s="20" t="s">
        <v>410</v>
      </c>
      <c r="F140" s="20" t="s">
        <v>411</v>
      </c>
      <c r="G140" s="8" t="str">
        <f t="shared" si="4"/>
        <v>HOLCOMB KAMDEN</v>
      </c>
      <c r="H140" s="20" t="str">
        <f t="shared" si="5"/>
        <v>4050</v>
      </c>
    </row>
    <row r="141" spans="1:8" x14ac:dyDescent="0.3">
      <c r="A141" s="8">
        <v>43037.590879629628</v>
      </c>
      <c r="B141" s="20" t="s">
        <v>399</v>
      </c>
      <c r="C141" s="20" t="s">
        <v>784</v>
      </c>
      <c r="D141" s="123">
        <v>2970000</v>
      </c>
      <c r="E141" s="20" t="s">
        <v>756</v>
      </c>
      <c r="F141" s="20" t="s">
        <v>757</v>
      </c>
      <c r="G141" s="8" t="str">
        <f t="shared" si="4"/>
        <v>GUZMAN DANNY</v>
      </c>
      <c r="H141" s="20" t="str">
        <f t="shared" si="5"/>
        <v>4005</v>
      </c>
    </row>
    <row r="142" spans="1:8" x14ac:dyDescent="0.3">
      <c r="A142" s="8">
        <v>43037.591481481482</v>
      </c>
      <c r="B142" s="20" t="s">
        <v>398</v>
      </c>
      <c r="C142" s="20" t="s">
        <v>785</v>
      </c>
      <c r="D142" s="123">
        <v>2600000</v>
      </c>
      <c r="E142" s="20" t="s">
        <v>439</v>
      </c>
      <c r="F142" s="20" t="s">
        <v>424</v>
      </c>
      <c r="G142" s="8" t="str">
        <f t="shared" si="4"/>
        <v>DAVIDSON DAVID</v>
      </c>
      <c r="H142" s="20" t="str">
        <f t="shared" si="5"/>
        <v>4018</v>
      </c>
    </row>
    <row r="143" spans="1:8" x14ac:dyDescent="0.3">
      <c r="A143" s="8">
        <v>43037.600532407407</v>
      </c>
      <c r="B143" s="20" t="s">
        <v>485</v>
      </c>
      <c r="C143" s="20" t="s">
        <v>786</v>
      </c>
      <c r="D143" s="123">
        <v>1760000</v>
      </c>
      <c r="E143" s="20" t="s">
        <v>495</v>
      </c>
      <c r="F143" s="20" t="s">
        <v>496</v>
      </c>
      <c r="G143" s="8" t="str">
        <f t="shared" si="4"/>
        <v>STRICKLAND EVAN</v>
      </c>
      <c r="H143" s="20" t="str">
        <f t="shared" si="5"/>
        <v>4026</v>
      </c>
    </row>
    <row r="144" spans="1:8" x14ac:dyDescent="0.3">
      <c r="A144" s="8">
        <v>43037.602141203701</v>
      </c>
      <c r="B144" s="20" t="s">
        <v>486</v>
      </c>
      <c r="C144" s="20" t="s">
        <v>787</v>
      </c>
      <c r="D144" s="123">
        <v>2420000</v>
      </c>
      <c r="E144" s="20" t="s">
        <v>410</v>
      </c>
      <c r="F144" s="20" t="s">
        <v>411</v>
      </c>
      <c r="G144" s="8" t="str">
        <f t="shared" si="4"/>
        <v>HOLCOMB KAMDEN</v>
      </c>
      <c r="H144" s="20" t="str">
        <f t="shared" si="5"/>
        <v>4049</v>
      </c>
    </row>
    <row r="145" spans="1:8" x14ac:dyDescent="0.3">
      <c r="A145" s="8">
        <v>43037.609409722223</v>
      </c>
      <c r="B145" s="20" t="s">
        <v>726</v>
      </c>
      <c r="C145" s="20" t="s">
        <v>788</v>
      </c>
      <c r="D145" s="123">
        <v>2550000</v>
      </c>
      <c r="E145" s="20" t="s">
        <v>544</v>
      </c>
      <c r="F145" s="20" t="s">
        <v>545</v>
      </c>
      <c r="G145" s="8" t="str">
        <f t="shared" si="4"/>
        <v>BADERTSCHER DIANE</v>
      </c>
      <c r="H145" s="20" t="str">
        <f t="shared" si="5"/>
        <v>4061</v>
      </c>
    </row>
    <row r="146" spans="1:8" x14ac:dyDescent="0.3">
      <c r="A146" s="8">
        <v>43037.612407407411</v>
      </c>
      <c r="B146" s="20" t="s">
        <v>388</v>
      </c>
      <c r="C146" s="20" t="s">
        <v>789</v>
      </c>
      <c r="D146" s="123">
        <v>920000</v>
      </c>
      <c r="E146" s="20" t="s">
        <v>406</v>
      </c>
      <c r="F146" s="20" t="s">
        <v>371</v>
      </c>
      <c r="G146" s="8" t="str">
        <f t="shared" si="4"/>
        <v>DAVIS MICHAEL</v>
      </c>
      <c r="H146" s="20" t="str">
        <f t="shared" si="5"/>
        <v>4060</v>
      </c>
    </row>
    <row r="147" spans="1:8" x14ac:dyDescent="0.3">
      <c r="A147" s="8">
        <v>43037.619166666664</v>
      </c>
      <c r="B147" s="20" t="s">
        <v>506</v>
      </c>
      <c r="C147" s="20" t="s">
        <v>790</v>
      </c>
      <c r="D147" s="123">
        <v>2350000</v>
      </c>
      <c r="E147" s="20" t="s">
        <v>408</v>
      </c>
      <c r="F147" s="20" t="s">
        <v>409</v>
      </c>
      <c r="G147" s="8" t="str">
        <f t="shared" si="4"/>
        <v>BERLING GARY</v>
      </c>
      <c r="H147" s="20" t="str">
        <f t="shared" si="5"/>
        <v>4045</v>
      </c>
    </row>
    <row r="148" spans="1:8" x14ac:dyDescent="0.3">
      <c r="A148" s="8">
        <v>43037.62090277778</v>
      </c>
      <c r="B148" s="20" t="s">
        <v>422</v>
      </c>
      <c r="C148" s="20" t="s">
        <v>791</v>
      </c>
      <c r="D148" s="123">
        <v>2630000</v>
      </c>
      <c r="E148" s="20" t="s">
        <v>753</v>
      </c>
      <c r="F148" s="20" t="s">
        <v>754</v>
      </c>
      <c r="G148" s="8" t="str">
        <f t="shared" si="4"/>
        <v>SAFIEF AEIMEN</v>
      </c>
      <c r="H148" s="20" t="str">
        <f t="shared" si="5"/>
        <v>4016</v>
      </c>
    </row>
    <row r="149" spans="1:8" x14ac:dyDescent="0.3">
      <c r="A149" s="8">
        <v>43037.622534722221</v>
      </c>
      <c r="B149" s="20" t="s">
        <v>402</v>
      </c>
      <c r="C149" s="20" t="s">
        <v>792</v>
      </c>
      <c r="D149" s="123">
        <v>2600000</v>
      </c>
      <c r="E149" s="20" t="s">
        <v>439</v>
      </c>
      <c r="F149" s="20" t="s">
        <v>424</v>
      </c>
      <c r="G149" s="8" t="str">
        <f t="shared" si="4"/>
        <v>DAVIDSON DAVID</v>
      </c>
      <c r="H149" s="20" t="str">
        <f t="shared" si="5"/>
        <v>4017</v>
      </c>
    </row>
    <row r="150" spans="1:8" x14ac:dyDescent="0.3">
      <c r="A150" s="8">
        <v>43037.630324074074</v>
      </c>
      <c r="B150" s="20" t="s">
        <v>484</v>
      </c>
      <c r="C150" s="20" t="s">
        <v>793</v>
      </c>
      <c r="D150" s="123">
        <v>2420000</v>
      </c>
      <c r="E150" s="20" t="s">
        <v>410</v>
      </c>
      <c r="F150" s="20" t="s">
        <v>411</v>
      </c>
      <c r="G150" s="8" t="str">
        <f t="shared" si="4"/>
        <v>HOLCOMB KAMDEN</v>
      </c>
      <c r="H150" s="20" t="str">
        <f t="shared" si="5"/>
        <v>4050</v>
      </c>
    </row>
    <row r="151" spans="1:8" x14ac:dyDescent="0.3">
      <c r="A151" s="8">
        <v>43037.632060185184</v>
      </c>
      <c r="B151" s="20" t="s">
        <v>407</v>
      </c>
      <c r="C151" s="20" t="s">
        <v>794</v>
      </c>
      <c r="D151" s="123">
        <v>2970000</v>
      </c>
      <c r="E151" s="20" t="s">
        <v>756</v>
      </c>
      <c r="F151" s="20" t="s">
        <v>757</v>
      </c>
      <c r="G151" s="8" t="str">
        <f t="shared" si="4"/>
        <v>GUZMAN DANNY</v>
      </c>
      <c r="H151" s="20" t="str">
        <f t="shared" si="5"/>
        <v>4006</v>
      </c>
    </row>
    <row r="152" spans="1:8" x14ac:dyDescent="0.3">
      <c r="A152" s="8">
        <v>43037.639062499999</v>
      </c>
      <c r="B152" s="20" t="s">
        <v>483</v>
      </c>
      <c r="C152" s="20" t="s">
        <v>795</v>
      </c>
      <c r="D152" s="123">
        <v>1760000</v>
      </c>
      <c r="E152" s="20" t="s">
        <v>495</v>
      </c>
      <c r="F152" s="20" t="s">
        <v>496</v>
      </c>
      <c r="G152" s="8" t="str">
        <f t="shared" si="4"/>
        <v>STRICKLAND EVAN</v>
      </c>
      <c r="H152" s="20" t="str">
        <f t="shared" si="5"/>
        <v>4025</v>
      </c>
    </row>
    <row r="153" spans="1:8" x14ac:dyDescent="0.3">
      <c r="A153" s="8">
        <v>43037.642256944448</v>
      </c>
      <c r="B153" s="20" t="s">
        <v>486</v>
      </c>
      <c r="C153" s="20" t="s">
        <v>643</v>
      </c>
      <c r="D153" s="123">
        <v>2420000</v>
      </c>
      <c r="E153" s="20" t="s">
        <v>410</v>
      </c>
      <c r="F153" s="20" t="s">
        <v>411</v>
      </c>
      <c r="G153" s="8" t="str">
        <f t="shared" si="4"/>
        <v>HOLCOMB KAMDEN</v>
      </c>
      <c r="H153" s="20" t="str">
        <f t="shared" si="5"/>
        <v>4049</v>
      </c>
    </row>
    <row r="154" spans="1:8" x14ac:dyDescent="0.3">
      <c r="A154" s="8">
        <v>43037.643020833333</v>
      </c>
      <c r="B154" s="20" t="s">
        <v>635</v>
      </c>
      <c r="C154" s="20" t="s">
        <v>796</v>
      </c>
      <c r="D154" s="123">
        <v>2550000</v>
      </c>
      <c r="E154" s="20" t="s">
        <v>544</v>
      </c>
      <c r="F154" s="20" t="s">
        <v>545</v>
      </c>
      <c r="G154" s="8" t="str">
        <f t="shared" si="4"/>
        <v>BADERTSCHER DIANE</v>
      </c>
      <c r="H154" s="20" t="str">
        <f t="shared" si="5"/>
        <v>4062</v>
      </c>
    </row>
    <row r="155" spans="1:8" x14ac:dyDescent="0.3">
      <c r="A155" s="8">
        <v>43037.65152777778</v>
      </c>
      <c r="B155" s="20" t="s">
        <v>389</v>
      </c>
      <c r="C155" s="20" t="s">
        <v>797</v>
      </c>
      <c r="D155" s="123">
        <v>920000</v>
      </c>
      <c r="E155" s="20" t="s">
        <v>406</v>
      </c>
      <c r="F155" s="20" t="s">
        <v>371</v>
      </c>
      <c r="G155" s="8" t="str">
        <f t="shared" si="4"/>
        <v>DAVIS MICHAEL</v>
      </c>
      <c r="H155" s="20" t="str">
        <f t="shared" si="5"/>
        <v>4059</v>
      </c>
    </row>
    <row r="156" spans="1:8" x14ac:dyDescent="0.3">
      <c r="A156" s="8">
        <v>43037.652592592596</v>
      </c>
      <c r="B156" s="20" t="s">
        <v>487</v>
      </c>
      <c r="C156" s="20" t="s">
        <v>798</v>
      </c>
      <c r="D156" s="123">
        <v>2350000</v>
      </c>
      <c r="E156" s="20" t="s">
        <v>408</v>
      </c>
      <c r="F156" s="20" t="s">
        <v>409</v>
      </c>
      <c r="G156" s="8" t="str">
        <f t="shared" si="4"/>
        <v>BERLING GARY</v>
      </c>
      <c r="H156" s="20" t="str">
        <f t="shared" si="5"/>
        <v>4046</v>
      </c>
    </row>
    <row r="157" spans="1:8" x14ac:dyDescent="0.3">
      <c r="A157" s="8">
        <v>43037.655300925922</v>
      </c>
      <c r="B157" s="20" t="s">
        <v>535</v>
      </c>
      <c r="C157" s="20" t="s">
        <v>799</v>
      </c>
      <c r="D157" s="123">
        <v>2630000</v>
      </c>
      <c r="E157" s="20" t="s">
        <v>753</v>
      </c>
      <c r="F157" s="20" t="s">
        <v>754</v>
      </c>
      <c r="G157" s="8" t="str">
        <f t="shared" si="4"/>
        <v>SAFIEF AEIMEN</v>
      </c>
      <c r="H157" s="20" t="str">
        <f t="shared" si="5"/>
        <v>4015</v>
      </c>
    </row>
    <row r="158" spans="1:8" x14ac:dyDescent="0.3">
      <c r="A158" s="8">
        <v>43037.66265046296</v>
      </c>
      <c r="B158" s="20" t="s">
        <v>399</v>
      </c>
      <c r="C158" s="20" t="s">
        <v>800</v>
      </c>
      <c r="D158" s="123">
        <v>2970000</v>
      </c>
      <c r="E158" s="20" t="s">
        <v>756</v>
      </c>
      <c r="F158" s="20" t="s">
        <v>757</v>
      </c>
      <c r="G158" s="8" t="str">
        <f t="shared" si="4"/>
        <v>GUZMAN DANNY</v>
      </c>
      <c r="H158" s="20" t="str">
        <f t="shared" si="5"/>
        <v>4005</v>
      </c>
    </row>
    <row r="159" spans="1:8" x14ac:dyDescent="0.3">
      <c r="A159" s="8">
        <v>43037.663148148145</v>
      </c>
      <c r="B159" s="20" t="s">
        <v>398</v>
      </c>
      <c r="C159" s="20" t="s">
        <v>801</v>
      </c>
      <c r="D159" s="123">
        <v>880000</v>
      </c>
      <c r="E159" s="20" t="s">
        <v>380</v>
      </c>
      <c r="F159" s="20" t="s">
        <v>371</v>
      </c>
      <c r="G159" s="8" t="str">
        <f t="shared" si="4"/>
        <v>STEWART MICHAEL</v>
      </c>
      <c r="H159" s="20" t="str">
        <f t="shared" si="5"/>
        <v>4018</v>
      </c>
    </row>
    <row r="160" spans="1:8" x14ac:dyDescent="0.3">
      <c r="A160" s="8">
        <v>43037.672083333331</v>
      </c>
      <c r="B160" s="20" t="s">
        <v>484</v>
      </c>
      <c r="C160" s="20" t="s">
        <v>644</v>
      </c>
      <c r="D160" s="123">
        <v>2420000</v>
      </c>
      <c r="E160" s="20" t="s">
        <v>410</v>
      </c>
      <c r="F160" s="20" t="s">
        <v>411</v>
      </c>
      <c r="G160" s="8" t="str">
        <f t="shared" si="4"/>
        <v>HOLCOMB KAMDEN</v>
      </c>
      <c r="H160" s="20" t="str">
        <f t="shared" si="5"/>
        <v>4050</v>
      </c>
    </row>
    <row r="161" spans="1:8" x14ac:dyDescent="0.3">
      <c r="A161" s="8">
        <v>43037.672893518517</v>
      </c>
      <c r="B161" s="20" t="s">
        <v>485</v>
      </c>
      <c r="C161" s="20" t="s">
        <v>802</v>
      </c>
      <c r="D161" s="123">
        <v>1760000</v>
      </c>
      <c r="E161" s="20" t="s">
        <v>495</v>
      </c>
      <c r="F161" s="20" t="s">
        <v>496</v>
      </c>
      <c r="G161" s="8" t="str">
        <f t="shared" si="4"/>
        <v>STRICKLAND EVAN</v>
      </c>
      <c r="H161" s="20" t="str">
        <f t="shared" si="5"/>
        <v>4026</v>
      </c>
    </row>
    <row r="162" spans="1:8" x14ac:dyDescent="0.3">
      <c r="A162" s="8">
        <v>43037.679328703707</v>
      </c>
      <c r="B162" s="20" t="s">
        <v>726</v>
      </c>
      <c r="C162" s="20" t="s">
        <v>803</v>
      </c>
      <c r="D162" s="123">
        <v>2550000</v>
      </c>
      <c r="E162" s="20" t="s">
        <v>544</v>
      </c>
      <c r="F162" s="20" t="s">
        <v>545</v>
      </c>
      <c r="G162" s="8" t="str">
        <f t="shared" si="4"/>
        <v>BADERTSCHER DIANE</v>
      </c>
      <c r="H162" s="20" t="str">
        <f t="shared" si="5"/>
        <v>4061</v>
      </c>
    </row>
    <row r="163" spans="1:8" x14ac:dyDescent="0.3">
      <c r="A163" s="8">
        <v>43037.683472222219</v>
      </c>
      <c r="B163" s="20" t="s">
        <v>486</v>
      </c>
      <c r="C163" s="20" t="s">
        <v>804</v>
      </c>
      <c r="D163" s="123">
        <v>2420000</v>
      </c>
      <c r="E163" s="20" t="s">
        <v>410</v>
      </c>
      <c r="F163" s="20" t="s">
        <v>411</v>
      </c>
      <c r="G163" s="8" t="str">
        <f t="shared" si="4"/>
        <v>HOLCOMB KAMDEN</v>
      </c>
      <c r="H163" s="20" t="str">
        <f t="shared" si="5"/>
        <v>4049</v>
      </c>
    </row>
    <row r="164" spans="1:8" x14ac:dyDescent="0.3">
      <c r="A164" s="8">
        <v>43037.685486111113</v>
      </c>
      <c r="B164" s="20" t="s">
        <v>388</v>
      </c>
      <c r="C164" s="20" t="s">
        <v>805</v>
      </c>
      <c r="D164" s="123">
        <v>920000</v>
      </c>
      <c r="E164" s="20" t="s">
        <v>406</v>
      </c>
      <c r="F164" s="20" t="s">
        <v>371</v>
      </c>
      <c r="G164" s="8" t="str">
        <f t="shared" si="4"/>
        <v>DAVIS MICHAEL</v>
      </c>
      <c r="H164" s="20" t="str">
        <f t="shared" si="5"/>
        <v>4060</v>
      </c>
    </row>
    <row r="165" spans="1:8" x14ac:dyDescent="0.3">
      <c r="A165" s="8">
        <v>43037.690763888888</v>
      </c>
      <c r="B165" s="20" t="s">
        <v>506</v>
      </c>
      <c r="C165" s="20" t="s">
        <v>806</v>
      </c>
      <c r="D165" s="123">
        <v>2350000</v>
      </c>
      <c r="E165" s="20" t="s">
        <v>408</v>
      </c>
      <c r="F165" s="20" t="s">
        <v>409</v>
      </c>
      <c r="G165" s="8" t="str">
        <f t="shared" si="4"/>
        <v>BERLING GARY</v>
      </c>
      <c r="H165" s="20" t="str">
        <f t="shared" si="5"/>
        <v>4045</v>
      </c>
    </row>
    <row r="166" spans="1:8" x14ac:dyDescent="0.3">
      <c r="A166" s="8">
        <v>43037.696932870371</v>
      </c>
      <c r="B166" s="20" t="s">
        <v>422</v>
      </c>
      <c r="C166" s="20" t="s">
        <v>807</v>
      </c>
      <c r="D166" s="123">
        <v>2630000</v>
      </c>
      <c r="E166" s="20" t="s">
        <v>753</v>
      </c>
      <c r="F166" s="20" t="s">
        <v>754</v>
      </c>
      <c r="G166" s="8" t="str">
        <f t="shared" si="4"/>
        <v>SAFIEF AEIMEN</v>
      </c>
      <c r="H166" s="20" t="str">
        <f t="shared" si="5"/>
        <v>4016</v>
      </c>
    </row>
    <row r="167" spans="1:8" x14ac:dyDescent="0.3">
      <c r="A167" s="8">
        <v>43037.702291666668</v>
      </c>
      <c r="B167" s="20" t="s">
        <v>402</v>
      </c>
      <c r="C167" s="20" t="s">
        <v>808</v>
      </c>
      <c r="D167" s="123">
        <v>880000</v>
      </c>
      <c r="E167" s="20" t="s">
        <v>380</v>
      </c>
      <c r="F167" s="20" t="s">
        <v>371</v>
      </c>
      <c r="G167" s="8" t="str">
        <f t="shared" si="4"/>
        <v>STEWART MICHAEL</v>
      </c>
      <c r="H167" s="20" t="str">
        <f t="shared" si="5"/>
        <v>4017</v>
      </c>
    </row>
    <row r="168" spans="1:8" x14ac:dyDescent="0.3">
      <c r="A168" s="8">
        <v>43037.705081018517</v>
      </c>
      <c r="B168" s="20" t="s">
        <v>407</v>
      </c>
      <c r="C168" s="20" t="s">
        <v>809</v>
      </c>
      <c r="D168" s="123">
        <v>2970000</v>
      </c>
      <c r="E168" s="20" t="s">
        <v>756</v>
      </c>
      <c r="F168" s="20" t="s">
        <v>757</v>
      </c>
      <c r="G168" s="8" t="str">
        <f t="shared" si="4"/>
        <v>GUZMAN DANNY</v>
      </c>
      <c r="H168" s="20" t="str">
        <f t="shared" si="5"/>
        <v>4006</v>
      </c>
    </row>
    <row r="169" spans="1:8" x14ac:dyDescent="0.3">
      <c r="A169" s="8">
        <v>43037.711192129631</v>
      </c>
      <c r="B169" s="20" t="s">
        <v>484</v>
      </c>
      <c r="C169" s="20" t="s">
        <v>810</v>
      </c>
      <c r="D169" s="123">
        <v>2420000</v>
      </c>
      <c r="E169" s="20" t="s">
        <v>410</v>
      </c>
      <c r="F169" s="20" t="s">
        <v>411</v>
      </c>
      <c r="G169" s="8" t="str">
        <f t="shared" si="4"/>
        <v>HOLCOMB KAMDEN</v>
      </c>
      <c r="H169" s="20" t="str">
        <f t="shared" si="5"/>
        <v>4050</v>
      </c>
    </row>
    <row r="170" spans="1:8" x14ac:dyDescent="0.3">
      <c r="A170" s="8">
        <v>43037.711817129632</v>
      </c>
      <c r="B170" s="20" t="s">
        <v>483</v>
      </c>
      <c r="C170" s="20" t="s">
        <v>811</v>
      </c>
      <c r="D170" s="123">
        <v>1760000</v>
      </c>
      <c r="E170" s="20" t="s">
        <v>495</v>
      </c>
      <c r="F170" s="20" t="s">
        <v>496</v>
      </c>
      <c r="G170" s="8" t="str">
        <f t="shared" si="4"/>
        <v>STRICKLAND EVAN</v>
      </c>
      <c r="H170" s="20" t="str">
        <f t="shared" si="5"/>
        <v>4025</v>
      </c>
    </row>
    <row r="171" spans="1:8" x14ac:dyDescent="0.3">
      <c r="A171" s="8">
        <v>43037.71675925926</v>
      </c>
      <c r="B171" s="20" t="s">
        <v>635</v>
      </c>
      <c r="C171" s="20" t="s">
        <v>812</v>
      </c>
      <c r="D171" s="123">
        <v>3290000</v>
      </c>
      <c r="E171" s="20" t="s">
        <v>542</v>
      </c>
      <c r="F171" s="20" t="s">
        <v>543</v>
      </c>
      <c r="G171" s="8" t="str">
        <f t="shared" si="4"/>
        <v>CASSIDY BRANDON</v>
      </c>
      <c r="H171" s="20" t="str">
        <f t="shared" si="5"/>
        <v>4062</v>
      </c>
    </row>
    <row r="172" spans="1:8" x14ac:dyDescent="0.3">
      <c r="A172" s="8">
        <v>43037.721921296295</v>
      </c>
      <c r="B172" s="20" t="s">
        <v>389</v>
      </c>
      <c r="C172" s="20" t="s">
        <v>813</v>
      </c>
      <c r="D172" s="123">
        <v>920000</v>
      </c>
      <c r="E172" s="20" t="s">
        <v>406</v>
      </c>
      <c r="F172" s="20" t="s">
        <v>371</v>
      </c>
      <c r="G172" s="8" t="str">
        <f t="shared" si="4"/>
        <v>DAVIS MICHAEL</v>
      </c>
      <c r="H172" s="20" t="str">
        <f t="shared" si="5"/>
        <v>4059</v>
      </c>
    </row>
    <row r="173" spans="1:8" x14ac:dyDescent="0.3">
      <c r="A173" s="8">
        <v>43037.726574074077</v>
      </c>
      <c r="B173" s="20" t="s">
        <v>487</v>
      </c>
      <c r="C173" s="20" t="s">
        <v>814</v>
      </c>
      <c r="D173" s="123">
        <v>2350000</v>
      </c>
      <c r="E173" s="20" t="s">
        <v>408</v>
      </c>
      <c r="F173" s="20" t="s">
        <v>409</v>
      </c>
      <c r="G173" s="8" t="str">
        <f t="shared" si="4"/>
        <v>BERLING GARY</v>
      </c>
      <c r="H173" s="20" t="str">
        <f t="shared" si="5"/>
        <v>4046</v>
      </c>
    </row>
    <row r="174" spans="1:8" x14ac:dyDescent="0.3">
      <c r="A174" s="8">
        <v>43037.726643518516</v>
      </c>
      <c r="B174" s="20" t="s">
        <v>486</v>
      </c>
      <c r="C174" s="20" t="s">
        <v>815</v>
      </c>
      <c r="D174" s="123">
        <v>2420000</v>
      </c>
      <c r="E174" s="20" t="s">
        <v>410</v>
      </c>
      <c r="F174" s="20" t="s">
        <v>411</v>
      </c>
      <c r="G174" s="8" t="str">
        <f t="shared" si="4"/>
        <v>HOLCOMB KAMDEN</v>
      </c>
      <c r="H174" s="20" t="str">
        <f t="shared" si="5"/>
        <v>4049</v>
      </c>
    </row>
    <row r="175" spans="1:8" x14ac:dyDescent="0.3">
      <c r="A175" s="8">
        <v>43037.729421296295</v>
      </c>
      <c r="B175" s="20" t="s">
        <v>645</v>
      </c>
      <c r="C175" s="20" t="s">
        <v>816</v>
      </c>
      <c r="D175" s="123">
        <v>3330000</v>
      </c>
      <c r="E175" s="20" t="s">
        <v>762</v>
      </c>
      <c r="F175" s="20" t="s">
        <v>763</v>
      </c>
      <c r="G175" s="8" t="str">
        <f t="shared" si="4"/>
        <v>GONZALEZ ARMANDO</v>
      </c>
      <c r="H175" s="20" t="str">
        <f t="shared" si="5"/>
        <v>4056</v>
      </c>
    </row>
    <row r="176" spans="1:8" x14ac:dyDescent="0.3">
      <c r="A176" s="8">
        <v>43037.735011574077</v>
      </c>
      <c r="B176" s="20" t="s">
        <v>535</v>
      </c>
      <c r="C176" s="20" t="s">
        <v>817</v>
      </c>
      <c r="D176" s="123">
        <v>2630000</v>
      </c>
      <c r="E176" s="20" t="s">
        <v>753</v>
      </c>
      <c r="F176" s="20" t="s">
        <v>754</v>
      </c>
      <c r="G176" s="8" t="str">
        <f t="shared" si="4"/>
        <v>SAFIEF AEIMEN</v>
      </c>
      <c r="H176" s="20" t="str">
        <f t="shared" si="5"/>
        <v>4015</v>
      </c>
    </row>
    <row r="177" spans="1:8" x14ac:dyDescent="0.3">
      <c r="A177" s="8">
        <v>43037.736562500002</v>
      </c>
      <c r="B177" s="20" t="s">
        <v>399</v>
      </c>
      <c r="C177" s="20" t="s">
        <v>818</v>
      </c>
      <c r="D177" s="123">
        <v>2970000</v>
      </c>
      <c r="E177" s="20" t="s">
        <v>756</v>
      </c>
      <c r="F177" s="20" t="s">
        <v>757</v>
      </c>
      <c r="G177" s="8" t="str">
        <f t="shared" si="4"/>
        <v>GUZMAN DANNY</v>
      </c>
      <c r="H177" s="20" t="str">
        <f t="shared" si="5"/>
        <v>4005</v>
      </c>
    </row>
    <row r="178" spans="1:8" x14ac:dyDescent="0.3">
      <c r="A178" s="8">
        <v>43037.73673611111</v>
      </c>
      <c r="B178" s="20" t="s">
        <v>370</v>
      </c>
      <c r="C178" s="20" t="s">
        <v>816</v>
      </c>
      <c r="D178" s="123">
        <v>3330000</v>
      </c>
      <c r="E178" s="20" t="s">
        <v>762</v>
      </c>
      <c r="F178" s="20" t="s">
        <v>763</v>
      </c>
      <c r="G178" s="8" t="str">
        <f t="shared" si="4"/>
        <v>GONZALEZ ARMANDO</v>
      </c>
      <c r="H178" s="20" t="str">
        <f t="shared" si="5"/>
        <v>4055</v>
      </c>
    </row>
    <row r="179" spans="1:8" x14ac:dyDescent="0.3">
      <c r="A179" s="8">
        <v>43037.738344907404</v>
      </c>
      <c r="B179" s="20" t="s">
        <v>398</v>
      </c>
      <c r="C179" s="20" t="s">
        <v>819</v>
      </c>
      <c r="D179" s="123">
        <v>890000</v>
      </c>
      <c r="E179" s="20" t="s">
        <v>351</v>
      </c>
      <c r="F179" s="20" t="s">
        <v>352</v>
      </c>
      <c r="G179" s="8" t="str">
        <f t="shared" si="4"/>
        <v>LOZA FIDEL</v>
      </c>
      <c r="H179" s="20" t="str">
        <f t="shared" si="5"/>
        <v>4018</v>
      </c>
    </row>
    <row r="180" spans="1:8" x14ac:dyDescent="0.3">
      <c r="A180" s="8">
        <v>43037.749421296299</v>
      </c>
      <c r="B180" s="20" t="s">
        <v>645</v>
      </c>
      <c r="C180" s="20" t="s">
        <v>646</v>
      </c>
      <c r="D180" s="123">
        <v>1760000</v>
      </c>
      <c r="E180" s="20" t="s">
        <v>495</v>
      </c>
      <c r="F180" s="20" t="s">
        <v>496</v>
      </c>
      <c r="G180" s="8" t="str">
        <f t="shared" si="4"/>
        <v>STRICKLAND EVAN</v>
      </c>
      <c r="H180" s="20" t="str">
        <f t="shared" si="5"/>
        <v>4056</v>
      </c>
    </row>
    <row r="181" spans="1:8" x14ac:dyDescent="0.3">
      <c r="A181" s="8">
        <v>43037.753182870372</v>
      </c>
      <c r="B181" s="20" t="s">
        <v>485</v>
      </c>
      <c r="C181" s="20" t="s">
        <v>820</v>
      </c>
      <c r="D181" s="123">
        <v>3330000</v>
      </c>
      <c r="E181" s="20" t="s">
        <v>762</v>
      </c>
      <c r="F181" s="20" t="s">
        <v>763</v>
      </c>
      <c r="G181" s="8" t="str">
        <f t="shared" si="4"/>
        <v>GONZALEZ ARMANDO</v>
      </c>
      <c r="H181" s="20" t="str">
        <f t="shared" si="5"/>
        <v>4026</v>
      </c>
    </row>
    <row r="182" spans="1:8" x14ac:dyDescent="0.3">
      <c r="A182" s="8">
        <v>43037.754386574074</v>
      </c>
      <c r="B182" s="20" t="s">
        <v>484</v>
      </c>
      <c r="C182" s="20" t="s">
        <v>821</v>
      </c>
      <c r="D182" s="123">
        <v>2420000</v>
      </c>
      <c r="E182" s="20" t="s">
        <v>410</v>
      </c>
      <c r="F182" s="20" t="s">
        <v>411</v>
      </c>
      <c r="G182" s="8" t="str">
        <f t="shared" si="4"/>
        <v>HOLCOMB KAMDEN</v>
      </c>
      <c r="H182" s="20" t="str">
        <f t="shared" si="5"/>
        <v>4050</v>
      </c>
    </row>
    <row r="183" spans="1:8" x14ac:dyDescent="0.3">
      <c r="A183" s="8">
        <v>43037.756203703706</v>
      </c>
      <c r="B183" s="20" t="s">
        <v>726</v>
      </c>
      <c r="C183" s="20" t="s">
        <v>822</v>
      </c>
      <c r="D183" s="123">
        <v>3290000</v>
      </c>
      <c r="E183" s="20" t="s">
        <v>542</v>
      </c>
      <c r="F183" s="20" t="s">
        <v>543</v>
      </c>
      <c r="G183" s="8" t="str">
        <f t="shared" si="4"/>
        <v>CASSIDY BRANDON</v>
      </c>
      <c r="H183" s="20" t="str">
        <f t="shared" si="5"/>
        <v>4061</v>
      </c>
    </row>
    <row r="184" spans="1:8" x14ac:dyDescent="0.3">
      <c r="A184" s="8">
        <v>43037.757094907407</v>
      </c>
      <c r="B184" s="20" t="s">
        <v>388</v>
      </c>
      <c r="C184" s="20" t="s">
        <v>823</v>
      </c>
      <c r="D184" s="123">
        <v>3340000</v>
      </c>
      <c r="E184" s="20" t="s">
        <v>428</v>
      </c>
      <c r="F184" s="20" t="s">
        <v>429</v>
      </c>
      <c r="G184" s="8" t="str">
        <f t="shared" si="4"/>
        <v>ELBAUM MIKE</v>
      </c>
      <c r="H184" s="20" t="str">
        <f t="shared" si="5"/>
        <v>4060</v>
      </c>
    </row>
    <row r="185" spans="1:8" x14ac:dyDescent="0.3">
      <c r="A185" s="8">
        <v>43037.761863425927</v>
      </c>
      <c r="B185" s="20" t="s">
        <v>416</v>
      </c>
      <c r="C185" s="20" t="s">
        <v>824</v>
      </c>
      <c r="D185" s="123">
        <v>3490000</v>
      </c>
      <c r="E185" s="20" t="s">
        <v>660</v>
      </c>
      <c r="F185" s="20" t="s">
        <v>661</v>
      </c>
      <c r="G185" s="8" t="str">
        <f t="shared" si="4"/>
        <v>WEST BRYAN</v>
      </c>
      <c r="H185" s="20" t="str">
        <f t="shared" si="5"/>
        <v>4058</v>
      </c>
    </row>
    <row r="186" spans="1:8" x14ac:dyDescent="0.3">
      <c r="A186" s="8">
        <v>43037.763240740744</v>
      </c>
      <c r="B186" s="20" t="s">
        <v>506</v>
      </c>
      <c r="C186" s="20" t="s">
        <v>825</v>
      </c>
      <c r="D186" s="123">
        <v>2350000</v>
      </c>
      <c r="E186" s="20" t="s">
        <v>408</v>
      </c>
      <c r="F186" s="20" t="s">
        <v>409</v>
      </c>
      <c r="G186" s="8" t="str">
        <f t="shared" si="4"/>
        <v>BERLING GARY</v>
      </c>
      <c r="H186" s="20" t="str">
        <f t="shared" si="5"/>
        <v>4045</v>
      </c>
    </row>
    <row r="187" spans="1:8" x14ac:dyDescent="0.3">
      <c r="A187" s="8">
        <v>43037.766041666669</v>
      </c>
      <c r="B187" s="20" t="s">
        <v>419</v>
      </c>
      <c r="C187" s="20" t="s">
        <v>824</v>
      </c>
      <c r="D187" s="123">
        <v>3490000</v>
      </c>
      <c r="E187" s="20" t="s">
        <v>660</v>
      </c>
      <c r="F187" s="20" t="s">
        <v>661</v>
      </c>
      <c r="G187" s="8" t="str">
        <f t="shared" si="4"/>
        <v>WEST BRYAN</v>
      </c>
      <c r="H187" s="20" t="str">
        <f t="shared" si="5"/>
        <v>4057</v>
      </c>
    </row>
    <row r="188" spans="1:8" x14ac:dyDescent="0.3">
      <c r="A188" s="8">
        <v>43037.767013888886</v>
      </c>
      <c r="B188" s="20" t="s">
        <v>422</v>
      </c>
      <c r="C188" s="20" t="s">
        <v>826</v>
      </c>
      <c r="D188" s="123">
        <v>2680000</v>
      </c>
      <c r="E188" s="20" t="s">
        <v>355</v>
      </c>
      <c r="F188" s="20" t="s">
        <v>356</v>
      </c>
      <c r="G188" s="8" t="str">
        <f t="shared" si="4"/>
        <v>DUNCAN SHEILA</v>
      </c>
      <c r="H188" s="20" t="str">
        <f t="shared" si="5"/>
        <v>4016</v>
      </c>
    </row>
    <row r="189" spans="1:8" x14ac:dyDescent="0.3">
      <c r="A189" s="8">
        <v>43037.767094907409</v>
      </c>
      <c r="B189" s="20" t="s">
        <v>486</v>
      </c>
      <c r="C189" s="20" t="s">
        <v>827</v>
      </c>
      <c r="D189" s="123">
        <v>2420000</v>
      </c>
      <c r="E189" s="20" t="s">
        <v>410</v>
      </c>
      <c r="F189" s="20" t="s">
        <v>411</v>
      </c>
      <c r="G189" s="8" t="str">
        <f t="shared" si="4"/>
        <v>HOLCOMB KAMDEN</v>
      </c>
      <c r="H189" s="20" t="str">
        <f t="shared" si="5"/>
        <v>4049</v>
      </c>
    </row>
    <row r="190" spans="1:8" x14ac:dyDescent="0.3">
      <c r="A190" s="8">
        <v>43037.775555555556</v>
      </c>
      <c r="B190" s="20" t="s">
        <v>402</v>
      </c>
      <c r="C190" s="20" t="s">
        <v>828</v>
      </c>
      <c r="D190" s="123">
        <v>890000</v>
      </c>
      <c r="E190" s="20" t="s">
        <v>351</v>
      </c>
      <c r="F190" s="20" t="s">
        <v>352</v>
      </c>
      <c r="G190" s="8" t="str">
        <f t="shared" si="4"/>
        <v>LOZA FIDEL</v>
      </c>
      <c r="H190" s="20" t="str">
        <f t="shared" si="5"/>
        <v>4017</v>
      </c>
    </row>
    <row r="191" spans="1:8" x14ac:dyDescent="0.3">
      <c r="A191" s="8">
        <v>43037.776400462964</v>
      </c>
      <c r="B191" s="20" t="s">
        <v>407</v>
      </c>
      <c r="C191" s="20" t="s">
        <v>829</v>
      </c>
      <c r="D191" s="123">
        <v>2970000</v>
      </c>
      <c r="E191" s="20" t="s">
        <v>756</v>
      </c>
      <c r="F191" s="20" t="s">
        <v>757</v>
      </c>
      <c r="G191" s="8" t="str">
        <f t="shared" si="4"/>
        <v>GUZMAN DANNY</v>
      </c>
      <c r="H191" s="20" t="str">
        <f t="shared" si="5"/>
        <v>4006</v>
      </c>
    </row>
    <row r="192" spans="1:8" x14ac:dyDescent="0.3">
      <c r="A192" s="8">
        <v>43037.785868055558</v>
      </c>
      <c r="B192" s="20" t="s">
        <v>370</v>
      </c>
      <c r="C192" s="20" t="s">
        <v>830</v>
      </c>
      <c r="D192" s="123">
        <v>1760000</v>
      </c>
      <c r="E192" s="20" t="s">
        <v>495</v>
      </c>
      <c r="F192" s="20" t="s">
        <v>496</v>
      </c>
      <c r="G192" s="8" t="str">
        <f t="shared" si="4"/>
        <v>STRICKLAND EVAN</v>
      </c>
      <c r="H192" s="20" t="str">
        <f t="shared" si="5"/>
        <v>4055</v>
      </c>
    </row>
    <row r="193" spans="1:8" x14ac:dyDescent="0.3">
      <c r="A193" s="8">
        <v>43037.787847222222</v>
      </c>
      <c r="B193" s="20" t="s">
        <v>389</v>
      </c>
      <c r="C193" s="20" t="s">
        <v>647</v>
      </c>
      <c r="D193" s="123">
        <v>3340000</v>
      </c>
      <c r="E193" s="20" t="s">
        <v>428</v>
      </c>
      <c r="F193" s="20" t="s">
        <v>429</v>
      </c>
      <c r="G193" s="8" t="str">
        <f t="shared" si="4"/>
        <v>ELBAUM MIKE</v>
      </c>
      <c r="H193" s="20" t="str">
        <f t="shared" si="5"/>
        <v>4059</v>
      </c>
    </row>
    <row r="194" spans="1:8" x14ac:dyDescent="0.3">
      <c r="A194" s="8">
        <v>43037.788506944446</v>
      </c>
      <c r="B194" s="20" t="s">
        <v>635</v>
      </c>
      <c r="C194" s="20" t="s">
        <v>831</v>
      </c>
      <c r="D194" s="123">
        <v>3290000</v>
      </c>
      <c r="E194" s="20" t="s">
        <v>542</v>
      </c>
      <c r="F194" s="20" t="s">
        <v>543</v>
      </c>
      <c r="G194" s="8" t="str">
        <f t="shared" si="4"/>
        <v>CASSIDY BRANDON</v>
      </c>
      <c r="H194" s="20" t="str">
        <f t="shared" si="5"/>
        <v>4062</v>
      </c>
    </row>
    <row r="195" spans="1:8" x14ac:dyDescent="0.3">
      <c r="A195" s="8">
        <v>43037.796793981484</v>
      </c>
      <c r="B195" s="20" t="s">
        <v>484</v>
      </c>
      <c r="C195" s="20" t="s">
        <v>832</v>
      </c>
      <c r="D195" s="123">
        <v>2420000</v>
      </c>
      <c r="E195" s="20" t="s">
        <v>410</v>
      </c>
      <c r="F195" s="20" t="s">
        <v>411</v>
      </c>
      <c r="G195" s="8" t="str">
        <f t="shared" ref="G195:G258" si="6">E195&amp;" "&amp;F195</f>
        <v>HOLCOMB KAMDEN</v>
      </c>
      <c r="H195" s="20" t="str">
        <f t="shared" ref="H195:H258" si="7">MID(B195,13,4)</f>
        <v>4050</v>
      </c>
    </row>
    <row r="196" spans="1:8" x14ac:dyDescent="0.3">
      <c r="A196" s="8">
        <v>43037.80678240741</v>
      </c>
      <c r="B196" s="20" t="s">
        <v>535</v>
      </c>
      <c r="C196" s="20" t="s">
        <v>833</v>
      </c>
      <c r="D196" s="123">
        <v>2680000</v>
      </c>
      <c r="E196" s="20" t="s">
        <v>355</v>
      </c>
      <c r="F196" s="20" t="s">
        <v>356</v>
      </c>
      <c r="G196" s="8" t="str">
        <f t="shared" si="6"/>
        <v>DUNCAN SHEILA</v>
      </c>
      <c r="H196" s="20" t="str">
        <f t="shared" si="7"/>
        <v>4015</v>
      </c>
    </row>
    <row r="197" spans="1:8" x14ac:dyDescent="0.3">
      <c r="A197" s="8">
        <v>43037.808333333334</v>
      </c>
      <c r="B197" s="20" t="s">
        <v>487</v>
      </c>
      <c r="C197" s="20" t="s">
        <v>834</v>
      </c>
      <c r="D197" s="123">
        <v>2350000</v>
      </c>
      <c r="E197" s="20" t="s">
        <v>408</v>
      </c>
      <c r="F197" s="20" t="s">
        <v>409</v>
      </c>
      <c r="G197" s="8" t="str">
        <f t="shared" si="6"/>
        <v>BERLING GARY</v>
      </c>
      <c r="H197" s="20" t="str">
        <f t="shared" si="7"/>
        <v>4046</v>
      </c>
    </row>
    <row r="198" spans="1:8" x14ac:dyDescent="0.3">
      <c r="A198" s="8">
        <v>43037.809664351851</v>
      </c>
      <c r="B198" s="20" t="s">
        <v>486</v>
      </c>
      <c r="C198" s="20" t="s">
        <v>835</v>
      </c>
      <c r="D198" s="123">
        <v>2420000</v>
      </c>
      <c r="E198" s="20" t="s">
        <v>410</v>
      </c>
      <c r="F198" s="20" t="s">
        <v>411</v>
      </c>
      <c r="G198" s="8" t="str">
        <f t="shared" si="6"/>
        <v>HOLCOMB KAMDEN</v>
      </c>
      <c r="H198" s="20" t="str">
        <f t="shared" si="7"/>
        <v>4049</v>
      </c>
    </row>
    <row r="199" spans="1:8" x14ac:dyDescent="0.3">
      <c r="A199" s="8">
        <v>43037.811412037037</v>
      </c>
      <c r="B199" s="20" t="s">
        <v>398</v>
      </c>
      <c r="C199" s="20" t="s">
        <v>836</v>
      </c>
      <c r="D199" s="123">
        <v>890000</v>
      </c>
      <c r="E199" s="20" t="s">
        <v>351</v>
      </c>
      <c r="F199" s="20" t="s">
        <v>352</v>
      </c>
      <c r="G199" s="8" t="str">
        <f t="shared" si="6"/>
        <v>LOZA FIDEL</v>
      </c>
      <c r="H199" s="20" t="str">
        <f t="shared" si="7"/>
        <v>4018</v>
      </c>
    </row>
    <row r="200" spans="1:8" x14ac:dyDescent="0.3">
      <c r="A200" s="8">
        <v>43037.820208333331</v>
      </c>
      <c r="B200" s="20" t="s">
        <v>645</v>
      </c>
      <c r="C200" s="20" t="s">
        <v>837</v>
      </c>
      <c r="D200" s="123">
        <v>1760000</v>
      </c>
      <c r="E200" s="20" t="s">
        <v>495</v>
      </c>
      <c r="F200" s="20" t="s">
        <v>496</v>
      </c>
      <c r="G200" s="8" t="str">
        <f t="shared" si="6"/>
        <v>STRICKLAND EVAN</v>
      </c>
      <c r="H200" s="20" t="str">
        <f t="shared" si="7"/>
        <v>4056</v>
      </c>
    </row>
    <row r="201" spans="1:8" x14ac:dyDescent="0.3">
      <c r="A201" s="8">
        <v>43037.828159722223</v>
      </c>
      <c r="B201" s="20" t="s">
        <v>388</v>
      </c>
      <c r="C201" s="20" t="s">
        <v>838</v>
      </c>
      <c r="D201" s="123">
        <v>3340000</v>
      </c>
      <c r="E201" s="20" t="s">
        <v>428</v>
      </c>
      <c r="F201" s="20" t="s">
        <v>429</v>
      </c>
      <c r="G201" s="8" t="str">
        <f t="shared" si="6"/>
        <v>ELBAUM MIKE</v>
      </c>
      <c r="H201" s="20" t="str">
        <f t="shared" si="7"/>
        <v>4060</v>
      </c>
    </row>
    <row r="202" spans="1:8" x14ac:dyDescent="0.3">
      <c r="A202" s="26">
        <v>43037.829293981478</v>
      </c>
      <c r="B202" s="20" t="s">
        <v>726</v>
      </c>
      <c r="C202" s="20" t="s">
        <v>839</v>
      </c>
      <c r="D202" s="123">
        <v>3290000</v>
      </c>
      <c r="E202" s="20" t="s">
        <v>542</v>
      </c>
      <c r="F202" s="20" t="s">
        <v>543</v>
      </c>
      <c r="G202" s="8" t="str">
        <f t="shared" si="6"/>
        <v>CASSIDY BRANDON</v>
      </c>
      <c r="H202" s="20" t="str">
        <f t="shared" si="7"/>
        <v>4061</v>
      </c>
    </row>
    <row r="203" spans="1:8" x14ac:dyDescent="0.3">
      <c r="A203" s="8">
        <v>43037.837650462963</v>
      </c>
      <c r="B203" s="20" t="s">
        <v>484</v>
      </c>
      <c r="C203" s="20" t="s">
        <v>840</v>
      </c>
      <c r="D203" s="123">
        <v>2420000</v>
      </c>
      <c r="E203" s="20" t="s">
        <v>410</v>
      </c>
      <c r="F203" s="20" t="s">
        <v>411</v>
      </c>
      <c r="G203" s="8" t="str">
        <f t="shared" si="6"/>
        <v>HOLCOMB KAMDEN</v>
      </c>
      <c r="H203" s="20" t="str">
        <f t="shared" si="7"/>
        <v>4050</v>
      </c>
    </row>
    <row r="204" spans="1:8" x14ac:dyDescent="0.3">
      <c r="A204" s="8">
        <v>43037.841608796298</v>
      </c>
      <c r="B204" s="20" t="s">
        <v>422</v>
      </c>
      <c r="C204" s="20" t="s">
        <v>841</v>
      </c>
      <c r="D204" s="123">
        <v>2680000</v>
      </c>
      <c r="E204" s="20" t="s">
        <v>355</v>
      </c>
      <c r="F204" s="20" t="s">
        <v>356</v>
      </c>
      <c r="G204" s="8" t="str">
        <f t="shared" si="6"/>
        <v>DUNCAN SHEILA</v>
      </c>
      <c r="H204" s="20" t="str">
        <f t="shared" si="7"/>
        <v>4016</v>
      </c>
    </row>
    <row r="205" spans="1:8" x14ac:dyDescent="0.3">
      <c r="A205" s="8">
        <v>43037.850648148145</v>
      </c>
      <c r="B205" s="20" t="s">
        <v>402</v>
      </c>
      <c r="C205" s="20" t="s">
        <v>842</v>
      </c>
      <c r="D205" s="123">
        <v>890000</v>
      </c>
      <c r="E205" s="20" t="s">
        <v>351</v>
      </c>
      <c r="F205" s="20" t="s">
        <v>352</v>
      </c>
      <c r="G205" s="8" t="str">
        <f t="shared" si="6"/>
        <v>LOZA FIDEL</v>
      </c>
      <c r="H205" s="20" t="str">
        <f t="shared" si="7"/>
        <v>4017</v>
      </c>
    </row>
    <row r="206" spans="1:8" x14ac:dyDescent="0.3">
      <c r="A206" s="8">
        <v>43037.851377314815</v>
      </c>
      <c r="B206" s="20" t="s">
        <v>486</v>
      </c>
      <c r="C206" s="20" t="s">
        <v>843</v>
      </c>
      <c r="D206" s="123">
        <v>2420000</v>
      </c>
      <c r="E206" s="20" t="s">
        <v>410</v>
      </c>
      <c r="F206" s="20" t="s">
        <v>411</v>
      </c>
      <c r="G206" s="8" t="str">
        <f t="shared" si="6"/>
        <v>HOLCOMB KAMDEN</v>
      </c>
      <c r="H206" s="20" t="str">
        <f t="shared" si="7"/>
        <v>4049</v>
      </c>
    </row>
    <row r="207" spans="1:8" x14ac:dyDescent="0.3">
      <c r="A207" s="8">
        <v>43037.857997685183</v>
      </c>
      <c r="B207" s="20" t="s">
        <v>422</v>
      </c>
      <c r="C207" s="20" t="s">
        <v>841</v>
      </c>
      <c r="D207" s="123">
        <v>2680000</v>
      </c>
      <c r="E207" s="20" t="s">
        <v>355</v>
      </c>
      <c r="F207" s="20" t="s">
        <v>356</v>
      </c>
      <c r="G207" s="8" t="str">
        <f t="shared" si="6"/>
        <v>DUNCAN SHEILA</v>
      </c>
      <c r="H207" s="20" t="str">
        <f t="shared" si="7"/>
        <v>4016</v>
      </c>
    </row>
    <row r="208" spans="1:8" x14ac:dyDescent="0.3">
      <c r="A208" s="8">
        <v>43037.859467592592</v>
      </c>
      <c r="B208" s="20" t="s">
        <v>389</v>
      </c>
      <c r="C208" s="20" t="s">
        <v>648</v>
      </c>
      <c r="D208" s="123">
        <v>3340000</v>
      </c>
      <c r="E208" s="20" t="s">
        <v>428</v>
      </c>
      <c r="F208" s="20" t="s">
        <v>429</v>
      </c>
      <c r="G208" s="8" t="str">
        <f t="shared" si="6"/>
        <v>ELBAUM MIKE</v>
      </c>
      <c r="H208" s="20" t="str">
        <f t="shared" si="7"/>
        <v>4059</v>
      </c>
    </row>
    <row r="209" spans="1:8" x14ac:dyDescent="0.3">
      <c r="A209" s="8">
        <v>43037.872210648151</v>
      </c>
      <c r="B209" s="20" t="s">
        <v>635</v>
      </c>
      <c r="C209" s="20" t="s">
        <v>844</v>
      </c>
      <c r="D209" s="123">
        <v>3290000</v>
      </c>
      <c r="E209" s="20" t="s">
        <v>542</v>
      </c>
      <c r="F209" s="20" t="s">
        <v>543</v>
      </c>
      <c r="G209" s="8" t="str">
        <f t="shared" si="6"/>
        <v>CASSIDY BRANDON</v>
      </c>
      <c r="H209" s="20" t="str">
        <f t="shared" si="7"/>
        <v>4062</v>
      </c>
    </row>
    <row r="210" spans="1:8" x14ac:dyDescent="0.3">
      <c r="A210" s="8">
        <v>43037.879826388889</v>
      </c>
      <c r="B210" s="20" t="s">
        <v>484</v>
      </c>
      <c r="C210" s="20" t="s">
        <v>845</v>
      </c>
      <c r="D210" s="123">
        <v>2420000</v>
      </c>
      <c r="E210" s="20" t="s">
        <v>410</v>
      </c>
      <c r="F210" s="20" t="s">
        <v>411</v>
      </c>
      <c r="G210" s="8" t="str">
        <f t="shared" si="6"/>
        <v>HOLCOMB KAMDEN</v>
      </c>
      <c r="H210" s="20" t="str">
        <f t="shared" si="7"/>
        <v>4050</v>
      </c>
    </row>
    <row r="211" spans="1:8" x14ac:dyDescent="0.3">
      <c r="A211" s="8">
        <v>43037.881307870368</v>
      </c>
      <c r="B211" s="20" t="s">
        <v>398</v>
      </c>
      <c r="C211" s="20" t="s">
        <v>846</v>
      </c>
      <c r="D211" s="123">
        <v>890000</v>
      </c>
      <c r="E211" s="20" t="s">
        <v>351</v>
      </c>
      <c r="F211" s="20" t="s">
        <v>352</v>
      </c>
      <c r="G211" s="8" t="str">
        <f t="shared" si="6"/>
        <v>LOZA FIDEL</v>
      </c>
      <c r="H211" s="20" t="str">
        <f t="shared" si="7"/>
        <v>4018</v>
      </c>
    </row>
    <row r="212" spans="1:8" x14ac:dyDescent="0.3">
      <c r="A212" s="8">
        <v>43037.891134259262</v>
      </c>
      <c r="B212" s="20" t="s">
        <v>535</v>
      </c>
      <c r="C212" s="20" t="s">
        <v>847</v>
      </c>
      <c r="D212" s="123">
        <v>2680000</v>
      </c>
      <c r="E212" s="20" t="s">
        <v>355</v>
      </c>
      <c r="F212" s="20" t="s">
        <v>356</v>
      </c>
      <c r="G212" s="8" t="str">
        <f t="shared" si="6"/>
        <v>DUNCAN SHEILA</v>
      </c>
      <c r="H212" s="20" t="str">
        <f t="shared" si="7"/>
        <v>4015</v>
      </c>
    </row>
    <row r="213" spans="1:8" x14ac:dyDescent="0.3">
      <c r="A213" s="8">
        <v>43037.892777777779</v>
      </c>
      <c r="B213" s="20" t="s">
        <v>486</v>
      </c>
      <c r="C213" s="20" t="s">
        <v>848</v>
      </c>
      <c r="D213" s="123">
        <v>2420000</v>
      </c>
      <c r="E213" s="20" t="s">
        <v>410</v>
      </c>
      <c r="F213" s="20" t="s">
        <v>411</v>
      </c>
      <c r="G213" s="8" t="str">
        <f t="shared" si="6"/>
        <v>HOLCOMB KAMDEN</v>
      </c>
      <c r="H213" s="20" t="str">
        <f t="shared" si="7"/>
        <v>4049</v>
      </c>
    </row>
    <row r="214" spans="1:8" x14ac:dyDescent="0.3">
      <c r="A214" s="8">
        <v>43037.901018518518</v>
      </c>
      <c r="B214" s="20" t="s">
        <v>388</v>
      </c>
      <c r="C214" s="20" t="s">
        <v>849</v>
      </c>
      <c r="D214" s="123">
        <v>3340000</v>
      </c>
      <c r="E214" s="20" t="s">
        <v>428</v>
      </c>
      <c r="F214" s="20" t="s">
        <v>429</v>
      </c>
      <c r="G214" s="8" t="str">
        <f t="shared" si="6"/>
        <v>ELBAUM MIKE</v>
      </c>
      <c r="H214" s="20" t="str">
        <f t="shared" si="7"/>
        <v>4060</v>
      </c>
    </row>
    <row r="215" spans="1:8" x14ac:dyDescent="0.3">
      <c r="A215" s="8">
        <v>43037.909583333334</v>
      </c>
      <c r="B215" s="20" t="s">
        <v>726</v>
      </c>
      <c r="C215" s="20" t="s">
        <v>850</v>
      </c>
      <c r="D215" s="123">
        <v>3290000</v>
      </c>
      <c r="E215" s="20" t="s">
        <v>542</v>
      </c>
      <c r="F215" s="20" t="s">
        <v>543</v>
      </c>
      <c r="G215" s="8" t="str">
        <f t="shared" si="6"/>
        <v>CASSIDY BRANDON</v>
      </c>
      <c r="H215" s="20" t="str">
        <f t="shared" si="7"/>
        <v>4061</v>
      </c>
    </row>
    <row r="216" spans="1:8" x14ac:dyDescent="0.3">
      <c r="A216" s="8">
        <v>43037.922280092593</v>
      </c>
      <c r="B216" s="20" t="s">
        <v>484</v>
      </c>
      <c r="C216" s="20" t="s">
        <v>649</v>
      </c>
      <c r="D216" s="123">
        <v>2420000</v>
      </c>
      <c r="E216" s="20" t="s">
        <v>410</v>
      </c>
      <c r="F216" s="20" t="s">
        <v>411</v>
      </c>
      <c r="G216" s="8" t="str">
        <f t="shared" si="6"/>
        <v>HOLCOMB KAMDEN</v>
      </c>
      <c r="H216" s="20" t="str">
        <f t="shared" si="7"/>
        <v>4050</v>
      </c>
    </row>
    <row r="217" spans="1:8" x14ac:dyDescent="0.3">
      <c r="A217" s="8">
        <v>43037.928587962961</v>
      </c>
      <c r="B217" s="20" t="s">
        <v>422</v>
      </c>
      <c r="C217" s="20" t="s">
        <v>851</v>
      </c>
      <c r="D217" s="123">
        <v>2680000</v>
      </c>
      <c r="E217" s="20" t="s">
        <v>355</v>
      </c>
      <c r="F217" s="20" t="s">
        <v>356</v>
      </c>
      <c r="G217" s="8" t="str">
        <f t="shared" si="6"/>
        <v>DUNCAN SHEILA</v>
      </c>
      <c r="H217" s="20" t="str">
        <f t="shared" si="7"/>
        <v>4016</v>
      </c>
    </row>
    <row r="218" spans="1:8" x14ac:dyDescent="0.3">
      <c r="A218" s="8">
        <v>43037.931134259263</v>
      </c>
      <c r="B218" s="20" t="s">
        <v>402</v>
      </c>
      <c r="C218" s="20" t="s">
        <v>852</v>
      </c>
      <c r="D218" s="123">
        <v>890000</v>
      </c>
      <c r="E218" s="20" t="s">
        <v>351</v>
      </c>
      <c r="F218" s="20" t="s">
        <v>352</v>
      </c>
      <c r="G218" s="8" t="str">
        <f t="shared" si="6"/>
        <v>LOZA FIDEL</v>
      </c>
      <c r="H218" s="20" t="str">
        <f t="shared" si="7"/>
        <v>4017</v>
      </c>
    </row>
    <row r="219" spans="1:8" x14ac:dyDescent="0.3">
      <c r="A219" s="8">
        <v>43037.937395833331</v>
      </c>
      <c r="B219" s="20" t="s">
        <v>486</v>
      </c>
      <c r="C219" s="20" t="s">
        <v>853</v>
      </c>
      <c r="D219" s="123">
        <v>2420000</v>
      </c>
      <c r="E219" s="20" t="s">
        <v>410</v>
      </c>
      <c r="F219" s="20" t="s">
        <v>411</v>
      </c>
      <c r="G219" s="8" t="str">
        <f t="shared" si="6"/>
        <v>HOLCOMB KAMDEN</v>
      </c>
      <c r="H219" s="20" t="str">
        <f t="shared" si="7"/>
        <v>4049</v>
      </c>
    </row>
    <row r="220" spans="1:8" x14ac:dyDescent="0.3">
      <c r="A220" s="8">
        <v>43037.944918981484</v>
      </c>
      <c r="B220" s="20" t="s">
        <v>389</v>
      </c>
      <c r="C220" s="20" t="s">
        <v>854</v>
      </c>
      <c r="D220" s="123">
        <v>3340000</v>
      </c>
      <c r="E220" s="20" t="s">
        <v>428</v>
      </c>
      <c r="F220" s="20" t="s">
        <v>429</v>
      </c>
      <c r="G220" s="8" t="str">
        <f t="shared" si="6"/>
        <v>ELBAUM MIKE</v>
      </c>
      <c r="H220" s="20" t="str">
        <f t="shared" si="7"/>
        <v>4059</v>
      </c>
    </row>
    <row r="221" spans="1:8" x14ac:dyDescent="0.3">
      <c r="A221" s="8">
        <v>43037.95521990741</v>
      </c>
      <c r="B221" s="20" t="s">
        <v>635</v>
      </c>
      <c r="C221" s="20" t="s">
        <v>855</v>
      </c>
      <c r="D221" s="123">
        <v>3290000</v>
      </c>
      <c r="E221" s="20" t="s">
        <v>542</v>
      </c>
      <c r="F221" s="20" t="s">
        <v>543</v>
      </c>
      <c r="G221" s="8" t="str">
        <f t="shared" si="6"/>
        <v>CASSIDY BRANDON</v>
      </c>
      <c r="H221" s="20" t="str">
        <f t="shared" si="7"/>
        <v>4062</v>
      </c>
    </row>
    <row r="222" spans="1:8" x14ac:dyDescent="0.3">
      <c r="A222" s="8">
        <v>43037.957951388889</v>
      </c>
      <c r="B222" s="20" t="s">
        <v>484</v>
      </c>
      <c r="C222" s="20" t="s">
        <v>856</v>
      </c>
      <c r="D222" s="123">
        <v>2420000</v>
      </c>
      <c r="E222" s="20" t="s">
        <v>410</v>
      </c>
      <c r="F222" s="20" t="s">
        <v>411</v>
      </c>
      <c r="G222" s="8" t="str">
        <f t="shared" si="6"/>
        <v>HOLCOMB KAMDEN</v>
      </c>
      <c r="H222" s="20" t="str">
        <f t="shared" si="7"/>
        <v>4050</v>
      </c>
    </row>
    <row r="223" spans="1:8" x14ac:dyDescent="0.3">
      <c r="A223" s="8">
        <v>43037.974583333336</v>
      </c>
      <c r="B223" s="20" t="s">
        <v>535</v>
      </c>
      <c r="C223" s="20" t="s">
        <v>857</v>
      </c>
      <c r="D223" s="123">
        <v>2680000</v>
      </c>
      <c r="E223" s="20" t="s">
        <v>355</v>
      </c>
      <c r="F223" s="20" t="s">
        <v>356</v>
      </c>
      <c r="G223" s="8" t="str">
        <f t="shared" si="6"/>
        <v>DUNCAN SHEILA</v>
      </c>
      <c r="H223" s="20" t="str">
        <f t="shared" si="7"/>
        <v>4015</v>
      </c>
    </row>
    <row r="224" spans="1:8" x14ac:dyDescent="0.3">
      <c r="A224" s="8">
        <v>43037.975451388891</v>
      </c>
      <c r="B224" t="s">
        <v>486</v>
      </c>
      <c r="C224" t="s">
        <v>858</v>
      </c>
      <c r="D224" s="123">
        <v>2420000</v>
      </c>
      <c r="E224" t="s">
        <v>410</v>
      </c>
      <c r="F224" s="20" t="s">
        <v>411</v>
      </c>
      <c r="G224" s="8" t="str">
        <f t="shared" si="6"/>
        <v>HOLCOMB KAMDEN</v>
      </c>
      <c r="H224" s="20" t="str">
        <f t="shared" si="7"/>
        <v>4049</v>
      </c>
    </row>
    <row r="225" spans="1:8" x14ac:dyDescent="0.3">
      <c r="A225" s="8">
        <v>43037.977708333332</v>
      </c>
      <c r="B225" t="s">
        <v>398</v>
      </c>
      <c r="C225" t="s">
        <v>859</v>
      </c>
      <c r="D225" s="123">
        <v>890000</v>
      </c>
      <c r="E225" t="s">
        <v>351</v>
      </c>
      <c r="F225" s="20" t="s">
        <v>352</v>
      </c>
      <c r="G225" s="8" t="str">
        <f t="shared" si="6"/>
        <v>LOZA FIDEL</v>
      </c>
      <c r="H225" s="20" t="str">
        <f t="shared" si="7"/>
        <v>4018</v>
      </c>
    </row>
    <row r="226" spans="1:8" x14ac:dyDescent="0.3">
      <c r="A226" s="8">
        <v>43037.990729166668</v>
      </c>
      <c r="B226" t="s">
        <v>388</v>
      </c>
      <c r="C226" t="s">
        <v>860</v>
      </c>
      <c r="D226" s="123">
        <v>3340000</v>
      </c>
      <c r="E226" t="s">
        <v>428</v>
      </c>
      <c r="F226" s="20" t="s">
        <v>429</v>
      </c>
      <c r="G226" s="8" t="str">
        <f t="shared" si="6"/>
        <v>ELBAUM MIKE</v>
      </c>
      <c r="H226" s="20" t="str">
        <f t="shared" si="7"/>
        <v>4060</v>
      </c>
    </row>
    <row r="227" spans="1:8" x14ac:dyDescent="0.3">
      <c r="A227" s="8">
        <v>43037.996122685188</v>
      </c>
      <c r="B227" t="s">
        <v>726</v>
      </c>
      <c r="C227" t="s">
        <v>861</v>
      </c>
      <c r="D227" s="123">
        <v>3290000</v>
      </c>
      <c r="E227" t="s">
        <v>542</v>
      </c>
      <c r="F227" s="20" t="s">
        <v>543</v>
      </c>
      <c r="G227" s="8" t="str">
        <f t="shared" si="6"/>
        <v>CASSIDY BRANDON</v>
      </c>
      <c r="H227" s="20" t="str">
        <f t="shared" si="7"/>
        <v>4061</v>
      </c>
    </row>
    <row r="228" spans="1:8" x14ac:dyDescent="0.3">
      <c r="A228" s="8">
        <v>43038.005729166667</v>
      </c>
      <c r="B228" t="s">
        <v>422</v>
      </c>
      <c r="C228" t="s">
        <v>862</v>
      </c>
      <c r="D228" s="123">
        <v>2680000</v>
      </c>
      <c r="E228" t="s">
        <v>355</v>
      </c>
      <c r="F228" s="20" t="s">
        <v>356</v>
      </c>
      <c r="G228" s="8" t="str">
        <f t="shared" si="6"/>
        <v>DUNCAN SHEILA</v>
      </c>
      <c r="H228" s="20" t="str">
        <f t="shared" si="7"/>
        <v>4016</v>
      </c>
    </row>
    <row r="229" spans="1:8" x14ac:dyDescent="0.3">
      <c r="A229" s="8">
        <v>43038.01730324074</v>
      </c>
      <c r="B229" t="s">
        <v>402</v>
      </c>
      <c r="C229" t="s">
        <v>863</v>
      </c>
      <c r="D229" s="123">
        <v>890000</v>
      </c>
      <c r="E229" t="s">
        <v>351</v>
      </c>
      <c r="F229" s="20" t="s">
        <v>352</v>
      </c>
      <c r="G229" s="8" t="str">
        <f t="shared" si="6"/>
        <v>LOZA FIDEL</v>
      </c>
      <c r="H229" s="20" t="str">
        <f t="shared" si="7"/>
        <v>4017</v>
      </c>
    </row>
    <row r="230" spans="1:8" x14ac:dyDescent="0.3">
      <c r="A230" s="8">
        <v>43038.026377314818</v>
      </c>
      <c r="B230" t="s">
        <v>389</v>
      </c>
      <c r="C230" t="s">
        <v>864</v>
      </c>
      <c r="D230" s="123">
        <v>3340000</v>
      </c>
      <c r="E230" t="s">
        <v>428</v>
      </c>
      <c r="F230" s="20" t="s">
        <v>429</v>
      </c>
      <c r="G230" s="8" t="str">
        <f t="shared" si="6"/>
        <v>ELBAUM MIKE</v>
      </c>
      <c r="H230" s="20" t="str">
        <f t="shared" si="7"/>
        <v>4059</v>
      </c>
    </row>
    <row r="231" spans="1:8" x14ac:dyDescent="0.3">
      <c r="A231" s="8">
        <v>43038.027349537035</v>
      </c>
      <c r="B231" t="s">
        <v>635</v>
      </c>
      <c r="C231" t="s">
        <v>865</v>
      </c>
      <c r="D231" s="123">
        <v>3290000</v>
      </c>
      <c r="E231" t="s">
        <v>542</v>
      </c>
      <c r="F231" s="20" t="s">
        <v>543</v>
      </c>
      <c r="G231" s="8" t="str">
        <f t="shared" si="6"/>
        <v>CASSIDY BRANDON</v>
      </c>
      <c r="H231" s="20" t="str">
        <f t="shared" si="7"/>
        <v>4062</v>
      </c>
    </row>
    <row r="232" spans="1:8" x14ac:dyDescent="0.3">
      <c r="A232" s="8">
        <v>43038.047199074077</v>
      </c>
      <c r="B232" t="s">
        <v>398</v>
      </c>
      <c r="C232" t="s">
        <v>866</v>
      </c>
      <c r="D232" s="123">
        <v>890000</v>
      </c>
      <c r="E232" t="s">
        <v>351</v>
      </c>
      <c r="F232" s="20" t="s">
        <v>352</v>
      </c>
      <c r="G232" s="8" t="str">
        <f t="shared" si="6"/>
        <v>LOZA FIDEL</v>
      </c>
      <c r="H232" s="20" t="str">
        <f t="shared" si="7"/>
        <v>4018</v>
      </c>
    </row>
    <row r="233" spans="1:8" x14ac:dyDescent="0.3">
      <c r="A233" s="8">
        <v>43038.052418981482</v>
      </c>
      <c r="B233" t="s">
        <v>535</v>
      </c>
      <c r="C233" t="s">
        <v>867</v>
      </c>
      <c r="D233" s="123">
        <v>1540000</v>
      </c>
      <c r="E233" t="s">
        <v>868</v>
      </c>
      <c r="F233" s="20" t="s">
        <v>869</v>
      </c>
      <c r="G233" s="8" t="str">
        <f t="shared" si="6"/>
        <v>HELVIE ADAM</v>
      </c>
      <c r="H233" s="20" t="str">
        <f t="shared" si="7"/>
        <v>4015</v>
      </c>
    </row>
    <row r="234" spans="1:8" x14ac:dyDescent="0.3">
      <c r="A234" s="8">
        <v>43038.06621527778</v>
      </c>
      <c r="B234" t="s">
        <v>388</v>
      </c>
      <c r="C234" t="s">
        <v>870</v>
      </c>
      <c r="D234" s="123">
        <v>3340000</v>
      </c>
      <c r="E234" t="s">
        <v>428</v>
      </c>
      <c r="F234" s="20" t="s">
        <v>429</v>
      </c>
      <c r="G234" s="8" t="str">
        <f t="shared" si="6"/>
        <v>ELBAUM MIKE</v>
      </c>
      <c r="H234" s="20" t="str">
        <f t="shared" si="7"/>
        <v>4060</v>
      </c>
    </row>
    <row r="235" spans="1:8" x14ac:dyDescent="0.3">
      <c r="A235" s="8">
        <v>43038.088506944441</v>
      </c>
      <c r="B235" t="s">
        <v>422</v>
      </c>
      <c r="C235" t="s">
        <v>871</v>
      </c>
      <c r="D235" s="123">
        <v>2680000</v>
      </c>
      <c r="E235" t="s">
        <v>355</v>
      </c>
      <c r="F235" s="20" t="s">
        <v>356</v>
      </c>
      <c r="G235" s="8" t="str">
        <f t="shared" si="6"/>
        <v>DUNCAN SHEILA</v>
      </c>
      <c r="H235" s="20" t="str">
        <f t="shared" si="7"/>
        <v>4016</v>
      </c>
    </row>
    <row r="236" spans="1:8" x14ac:dyDescent="0.3">
      <c r="A236" s="8">
        <v>43035.01599537037</v>
      </c>
      <c r="B236" t="s">
        <v>483</v>
      </c>
      <c r="C236" t="s">
        <v>547</v>
      </c>
      <c r="D236" s="123">
        <v>3310000</v>
      </c>
      <c r="E236" t="s">
        <v>367</v>
      </c>
      <c r="F236" s="20" t="s">
        <v>368</v>
      </c>
      <c r="G236" s="8" t="str">
        <f t="shared" si="6"/>
        <v>ANDERS STEVEN</v>
      </c>
      <c r="H236" s="20" t="str">
        <f t="shared" si="7"/>
        <v>4025</v>
      </c>
    </row>
    <row r="237" spans="1:8" x14ac:dyDescent="0.3">
      <c r="A237" s="8">
        <v>43035.016273148147</v>
      </c>
      <c r="B237" t="s">
        <v>389</v>
      </c>
      <c r="C237" t="s">
        <v>548</v>
      </c>
      <c r="D237" s="123">
        <v>890000</v>
      </c>
      <c r="E237" t="s">
        <v>351</v>
      </c>
      <c r="F237" s="20" t="s">
        <v>352</v>
      </c>
      <c r="G237" s="8" t="str">
        <f t="shared" si="6"/>
        <v>LOZA FIDEL</v>
      </c>
      <c r="H237" s="20" t="str">
        <f t="shared" si="7"/>
        <v>4059</v>
      </c>
    </row>
    <row r="238" spans="1:8" x14ac:dyDescent="0.3">
      <c r="A238" s="8">
        <v>43035.02747685185</v>
      </c>
      <c r="B238" t="s">
        <v>418</v>
      </c>
      <c r="C238" t="s">
        <v>537</v>
      </c>
      <c r="D238" s="123">
        <v>3340000</v>
      </c>
      <c r="E238" t="s">
        <v>428</v>
      </c>
      <c r="F238" s="20" t="s">
        <v>429</v>
      </c>
      <c r="G238" s="8" t="str">
        <f t="shared" si="6"/>
        <v>ELBAUM MIKE</v>
      </c>
      <c r="H238" s="20" t="str">
        <f t="shared" si="7"/>
        <v>4023</v>
      </c>
    </row>
    <row r="239" spans="1:8" x14ac:dyDescent="0.3">
      <c r="A239" s="8">
        <v>43035.028136574074</v>
      </c>
      <c r="B239" t="s">
        <v>485</v>
      </c>
      <c r="C239" t="s">
        <v>549</v>
      </c>
      <c r="D239" s="123">
        <v>3310000</v>
      </c>
      <c r="E239" t="s">
        <v>367</v>
      </c>
      <c r="F239" s="20" t="s">
        <v>368</v>
      </c>
      <c r="G239" s="8" t="str">
        <f t="shared" si="6"/>
        <v>ANDERS STEVEN</v>
      </c>
      <c r="H239" s="20" t="str">
        <f t="shared" si="7"/>
        <v>4026</v>
      </c>
    </row>
    <row r="240" spans="1:8" x14ac:dyDescent="0.3">
      <c r="A240" s="8">
        <v>43035.033564814818</v>
      </c>
      <c r="B240" t="s">
        <v>485</v>
      </c>
      <c r="C240" t="s">
        <v>549</v>
      </c>
      <c r="D240" s="123">
        <v>3310000</v>
      </c>
      <c r="E240" t="s">
        <v>367</v>
      </c>
      <c r="F240" s="20" t="s">
        <v>368</v>
      </c>
      <c r="G240" s="8" t="str">
        <f t="shared" si="6"/>
        <v>ANDERS STEVEN</v>
      </c>
      <c r="H240" s="20" t="str">
        <f t="shared" si="7"/>
        <v>4026</v>
      </c>
    </row>
    <row r="241" spans="1:8" x14ac:dyDescent="0.3">
      <c r="A241" s="8">
        <v>43035.047013888892</v>
      </c>
      <c r="B241" t="s">
        <v>388</v>
      </c>
      <c r="C241" t="s">
        <v>550</v>
      </c>
      <c r="D241" s="123">
        <v>890000</v>
      </c>
      <c r="E241" t="s">
        <v>351</v>
      </c>
      <c r="F241" s="20" t="s">
        <v>352</v>
      </c>
      <c r="G241" s="8" t="str">
        <f t="shared" si="6"/>
        <v>LOZA FIDEL</v>
      </c>
      <c r="H241" s="20" t="str">
        <f t="shared" si="7"/>
        <v>4060</v>
      </c>
    </row>
    <row r="242" spans="1:8" x14ac:dyDescent="0.3">
      <c r="A242" s="8">
        <v>43035.057060185187</v>
      </c>
      <c r="B242" t="s">
        <v>404</v>
      </c>
      <c r="C242" t="s">
        <v>551</v>
      </c>
      <c r="D242" s="123">
        <v>2540000</v>
      </c>
      <c r="E242" t="s">
        <v>376</v>
      </c>
      <c r="F242" s="20" t="s">
        <v>377</v>
      </c>
      <c r="G242" s="8" t="str">
        <f t="shared" si="6"/>
        <v>MCREYNOLDS KYLE</v>
      </c>
      <c r="H242" s="20" t="str">
        <f t="shared" si="7"/>
        <v>4043</v>
      </c>
    </row>
    <row r="243" spans="1:8" x14ac:dyDescent="0.3">
      <c r="A243" s="8">
        <v>43035.066562499997</v>
      </c>
      <c r="B243" t="s">
        <v>417</v>
      </c>
      <c r="C243" t="s">
        <v>552</v>
      </c>
      <c r="D243" s="123">
        <v>3340000</v>
      </c>
      <c r="E243" t="s">
        <v>428</v>
      </c>
      <c r="F243" s="20" t="s">
        <v>429</v>
      </c>
      <c r="G243" s="8" t="str">
        <f t="shared" si="6"/>
        <v>ELBAUM MIKE</v>
      </c>
      <c r="H243" s="20" t="str">
        <f t="shared" si="7"/>
        <v>4024</v>
      </c>
    </row>
    <row r="244" spans="1:8" x14ac:dyDescent="0.3">
      <c r="A244" s="8">
        <v>43035.089930555558</v>
      </c>
      <c r="B244" t="s">
        <v>405</v>
      </c>
      <c r="C244" t="s">
        <v>553</v>
      </c>
      <c r="D244" s="123">
        <v>2540000</v>
      </c>
      <c r="E244" t="s">
        <v>376</v>
      </c>
      <c r="F244" s="20" t="s">
        <v>377</v>
      </c>
      <c r="G244" s="8" t="str">
        <f t="shared" si="6"/>
        <v>MCREYNOLDS KYLE</v>
      </c>
      <c r="H244" s="20" t="str">
        <f t="shared" si="7"/>
        <v>4044</v>
      </c>
    </row>
    <row r="245" spans="1:8" x14ac:dyDescent="0.3">
      <c r="A245" s="8">
        <v>43033.966053240743</v>
      </c>
      <c r="B245" t="s">
        <v>484</v>
      </c>
      <c r="C245" t="s">
        <v>512</v>
      </c>
      <c r="D245" s="123">
        <v>2540000</v>
      </c>
      <c r="E245" t="s">
        <v>376</v>
      </c>
      <c r="F245" s="20" t="s">
        <v>377</v>
      </c>
      <c r="G245" s="8" t="str">
        <f t="shared" si="6"/>
        <v>MCREYNOLDS KYLE</v>
      </c>
      <c r="H245" s="20" t="str">
        <f t="shared" si="7"/>
        <v>4050</v>
      </c>
    </row>
    <row r="246" spans="1:8" x14ac:dyDescent="0.3">
      <c r="A246" s="8">
        <v>43033.967800925922</v>
      </c>
      <c r="B246" t="s">
        <v>497</v>
      </c>
      <c r="C246" t="s">
        <v>513</v>
      </c>
      <c r="D246" s="123">
        <v>3310000</v>
      </c>
      <c r="E246" t="s">
        <v>367</v>
      </c>
      <c r="F246" s="20" t="s">
        <v>368</v>
      </c>
      <c r="G246" s="8" t="str">
        <f t="shared" si="6"/>
        <v>ANDERS STEVEN</v>
      </c>
      <c r="H246" s="20" t="str">
        <f t="shared" si="7"/>
        <v>4035</v>
      </c>
    </row>
    <row r="247" spans="1:8" x14ac:dyDescent="0.3">
      <c r="A247" s="8">
        <v>43033.97457175926</v>
      </c>
      <c r="B247" t="s">
        <v>508</v>
      </c>
      <c r="C247" t="s">
        <v>514</v>
      </c>
      <c r="D247" s="123">
        <v>2000000</v>
      </c>
      <c r="E247" t="s">
        <v>359</v>
      </c>
      <c r="F247" s="20" t="s">
        <v>353</v>
      </c>
      <c r="G247" s="8" t="str">
        <f t="shared" si="6"/>
        <v>STAMBAUGH JAMES</v>
      </c>
      <c r="H247" s="20" t="str">
        <f t="shared" si="7"/>
        <v>4051</v>
      </c>
    </row>
    <row r="248" spans="1:8" x14ac:dyDescent="0.3">
      <c r="A248" s="8">
        <v>43033.994618055556</v>
      </c>
      <c r="B248" t="s">
        <v>505</v>
      </c>
      <c r="C248" t="s">
        <v>515</v>
      </c>
      <c r="D248" s="123">
        <v>3320000</v>
      </c>
      <c r="E248" t="s">
        <v>426</v>
      </c>
      <c r="F248" s="20" t="s">
        <v>427</v>
      </c>
      <c r="G248" s="8" t="str">
        <f t="shared" si="6"/>
        <v>NICHOLSON WESLEY</v>
      </c>
      <c r="H248" s="20" t="str">
        <f t="shared" si="7"/>
        <v>4029</v>
      </c>
    </row>
    <row r="249" spans="1:8" x14ac:dyDescent="0.3">
      <c r="A249" s="8">
        <v>43033.99863425926</v>
      </c>
      <c r="B249" t="s">
        <v>398</v>
      </c>
      <c r="C249" t="s">
        <v>516</v>
      </c>
      <c r="D249" s="123">
        <v>890000</v>
      </c>
      <c r="E249" t="s">
        <v>351</v>
      </c>
      <c r="F249" s="20" t="s">
        <v>352</v>
      </c>
      <c r="G249" s="8" t="str">
        <f t="shared" si="6"/>
        <v>LOZA FIDEL</v>
      </c>
      <c r="H249" s="20" t="str">
        <f t="shared" si="7"/>
        <v>4018</v>
      </c>
    </row>
    <row r="250" spans="1:8" x14ac:dyDescent="0.3">
      <c r="A250" s="8">
        <v>43034.010648148149</v>
      </c>
      <c r="B250" t="s">
        <v>486</v>
      </c>
      <c r="C250" t="s">
        <v>517</v>
      </c>
      <c r="D250" s="123">
        <v>2540000</v>
      </c>
      <c r="E250" t="s">
        <v>376</v>
      </c>
      <c r="F250" s="20" t="s">
        <v>377</v>
      </c>
      <c r="G250" s="8" t="str">
        <f t="shared" si="6"/>
        <v>MCREYNOLDS KYLE</v>
      </c>
      <c r="H250" s="20" t="str">
        <f t="shared" si="7"/>
        <v>4049</v>
      </c>
    </row>
    <row r="251" spans="1:8" x14ac:dyDescent="0.3">
      <c r="A251" s="8">
        <v>43034.019097222219</v>
      </c>
      <c r="B251" t="s">
        <v>494</v>
      </c>
      <c r="C251" t="s">
        <v>518</v>
      </c>
      <c r="D251" s="123">
        <v>3310000</v>
      </c>
      <c r="E251" t="s">
        <v>367</v>
      </c>
      <c r="F251" s="20" t="s">
        <v>368</v>
      </c>
      <c r="G251" s="8" t="str">
        <f t="shared" si="6"/>
        <v>ANDERS STEVEN</v>
      </c>
      <c r="H251" s="20" t="str">
        <f t="shared" si="7"/>
        <v>4036</v>
      </c>
    </row>
    <row r="252" spans="1:8" x14ac:dyDescent="0.3">
      <c r="A252" s="8">
        <v>43034.028923611113</v>
      </c>
      <c r="B252" t="s">
        <v>507</v>
      </c>
      <c r="C252" t="s">
        <v>509</v>
      </c>
      <c r="D252" s="123">
        <v>3320000</v>
      </c>
      <c r="E252" t="s">
        <v>426</v>
      </c>
      <c r="F252" s="20" t="s">
        <v>427</v>
      </c>
      <c r="G252" s="8" t="str">
        <f t="shared" si="6"/>
        <v>NICHOLSON WESLEY</v>
      </c>
      <c r="H252" s="20" t="str">
        <f t="shared" si="7"/>
        <v>4030</v>
      </c>
    </row>
    <row r="253" spans="1:8" x14ac:dyDescent="0.3">
      <c r="A253" s="8">
        <v>43034.03800925926</v>
      </c>
      <c r="B253" t="s">
        <v>402</v>
      </c>
      <c r="C253" t="s">
        <v>519</v>
      </c>
      <c r="D253" s="123">
        <v>890000</v>
      </c>
      <c r="E253" t="s">
        <v>351</v>
      </c>
      <c r="F253" s="20" t="s">
        <v>352</v>
      </c>
      <c r="G253" s="8" t="str">
        <f t="shared" si="6"/>
        <v>LOZA FIDEL</v>
      </c>
      <c r="H253" s="20" t="str">
        <f t="shared" si="7"/>
        <v>4017</v>
      </c>
    </row>
    <row r="254" spans="1:8" x14ac:dyDescent="0.3">
      <c r="A254" s="8">
        <v>43034.048090277778</v>
      </c>
      <c r="B254" t="s">
        <v>497</v>
      </c>
      <c r="C254" t="s">
        <v>520</v>
      </c>
      <c r="D254" s="123">
        <v>3310000</v>
      </c>
      <c r="E254" t="s">
        <v>367</v>
      </c>
      <c r="F254" s="20" t="s">
        <v>368</v>
      </c>
      <c r="G254" s="8" t="str">
        <f t="shared" si="6"/>
        <v>ANDERS STEVEN</v>
      </c>
      <c r="H254" s="20" t="str">
        <f t="shared" si="7"/>
        <v>4035</v>
      </c>
    </row>
    <row r="255" spans="1:8" x14ac:dyDescent="0.3">
      <c r="A255" s="8">
        <v>43034.048842592594</v>
      </c>
      <c r="B255" t="s">
        <v>484</v>
      </c>
      <c r="C255" t="s">
        <v>521</v>
      </c>
      <c r="D255" s="123">
        <v>2440000</v>
      </c>
      <c r="E255" t="s">
        <v>453</v>
      </c>
      <c r="F255" s="20" t="s">
        <v>454</v>
      </c>
      <c r="G255" s="8" t="str">
        <f t="shared" si="6"/>
        <v>LOPES KIMBERLY</v>
      </c>
      <c r="H255" s="20" t="str">
        <f t="shared" si="7"/>
        <v>4050</v>
      </c>
    </row>
    <row r="256" spans="1:8" x14ac:dyDescent="0.3">
      <c r="A256" s="8">
        <v>43034.069826388892</v>
      </c>
      <c r="B256" t="s">
        <v>398</v>
      </c>
      <c r="C256" t="s">
        <v>522</v>
      </c>
      <c r="D256" s="123">
        <v>890000</v>
      </c>
      <c r="E256" t="s">
        <v>351</v>
      </c>
      <c r="F256" s="20" t="s">
        <v>352</v>
      </c>
      <c r="G256" s="8" t="str">
        <f t="shared" si="6"/>
        <v>LOZA FIDEL</v>
      </c>
      <c r="H256" s="20" t="str">
        <f t="shared" si="7"/>
        <v>4018</v>
      </c>
    </row>
    <row r="257" spans="1:8" x14ac:dyDescent="0.3">
      <c r="A257" s="8">
        <v>43034.089629629627</v>
      </c>
      <c r="B257" t="s">
        <v>494</v>
      </c>
      <c r="C257" t="s">
        <v>523</v>
      </c>
      <c r="D257" s="123">
        <v>3310000</v>
      </c>
      <c r="E257" t="s">
        <v>367</v>
      </c>
      <c r="F257" s="20" t="s">
        <v>368</v>
      </c>
      <c r="G257" s="8" t="str">
        <f t="shared" si="6"/>
        <v>ANDERS STEVEN</v>
      </c>
      <c r="H257" s="20" t="str">
        <f t="shared" si="7"/>
        <v>4036</v>
      </c>
    </row>
    <row r="258" spans="1:8" x14ac:dyDescent="0.3">
      <c r="A258" s="8">
        <v>43034.113923611112</v>
      </c>
      <c r="B258" t="s">
        <v>418</v>
      </c>
      <c r="C258" t="s">
        <v>524</v>
      </c>
      <c r="D258" s="123">
        <v>1830000</v>
      </c>
      <c r="E258" t="s">
        <v>362</v>
      </c>
      <c r="F258" s="20" t="s">
        <v>363</v>
      </c>
      <c r="G258" s="8" t="str">
        <f t="shared" si="6"/>
        <v>YORK EDGAR</v>
      </c>
      <c r="H258" s="20" t="str">
        <f t="shared" si="7"/>
        <v>4023</v>
      </c>
    </row>
    <row r="259" spans="1:8" x14ac:dyDescent="0.3">
      <c r="A259" s="8">
        <v>43027.773113425923</v>
      </c>
      <c r="B259" t="s">
        <v>417</v>
      </c>
      <c r="C259" t="s">
        <v>430</v>
      </c>
      <c r="D259" s="123">
        <v>3280000</v>
      </c>
      <c r="E259" t="s">
        <v>396</v>
      </c>
      <c r="F259" s="20" t="s">
        <v>397</v>
      </c>
      <c r="G259" s="8" t="str">
        <f t="shared" ref="G259:G313" si="8">E259&amp;" "&amp;F259</f>
        <v>BIRKHOLZ NADINE</v>
      </c>
      <c r="H259" s="20" t="str">
        <f t="shared" ref="H259:H313" si="9">MID(B259,13,4)</f>
        <v>4024</v>
      </c>
    </row>
    <row r="260" spans="1:8" x14ac:dyDescent="0.3">
      <c r="A260" s="8">
        <v>43027.773506944446</v>
      </c>
      <c r="B260" t="s">
        <v>399</v>
      </c>
      <c r="C260" t="s">
        <v>431</v>
      </c>
      <c r="D260" s="123">
        <v>890000</v>
      </c>
      <c r="E260" t="s">
        <v>351</v>
      </c>
      <c r="F260" s="20" t="s">
        <v>352</v>
      </c>
      <c r="G260" s="8" t="str">
        <f t="shared" si="8"/>
        <v>LOZA FIDEL</v>
      </c>
      <c r="H260" s="20" t="str">
        <f t="shared" si="9"/>
        <v>4005</v>
      </c>
    </row>
    <row r="261" spans="1:8" x14ac:dyDescent="0.3">
      <c r="A261" s="8">
        <v>43027.776759259257</v>
      </c>
      <c r="B261" t="s">
        <v>422</v>
      </c>
      <c r="C261" t="s">
        <v>432</v>
      </c>
      <c r="D261" s="123">
        <v>1300000</v>
      </c>
      <c r="E261" t="s">
        <v>394</v>
      </c>
      <c r="F261" s="20" t="s">
        <v>395</v>
      </c>
      <c r="G261" s="8" t="str">
        <f t="shared" si="8"/>
        <v>LEVIN SCOTT</v>
      </c>
      <c r="H261" s="20" t="str">
        <f t="shared" si="9"/>
        <v>4016</v>
      </c>
    </row>
    <row r="262" spans="1:8" x14ac:dyDescent="0.3">
      <c r="A262" s="8">
        <v>43027.785277777781</v>
      </c>
      <c r="B262" t="s">
        <v>375</v>
      </c>
      <c r="C262" t="s">
        <v>420</v>
      </c>
      <c r="D262" s="123">
        <v>2420000</v>
      </c>
      <c r="E262" t="s">
        <v>410</v>
      </c>
      <c r="F262" s="20" t="s">
        <v>411</v>
      </c>
      <c r="G262" s="8" t="str">
        <f t="shared" si="8"/>
        <v>HOLCOMB KAMDEN</v>
      </c>
      <c r="H262" s="20" t="str">
        <f t="shared" si="9"/>
        <v>4065</v>
      </c>
    </row>
    <row r="263" spans="1:8" x14ac:dyDescent="0.3">
      <c r="A263" s="8">
        <v>43027.787210648145</v>
      </c>
      <c r="B263" t="s">
        <v>419</v>
      </c>
      <c r="C263" t="s">
        <v>433</v>
      </c>
      <c r="D263" s="123">
        <v>3340000</v>
      </c>
      <c r="E263" t="s">
        <v>428</v>
      </c>
      <c r="F263" s="20" t="s">
        <v>429</v>
      </c>
      <c r="G263" s="8" t="str">
        <f t="shared" si="8"/>
        <v>ELBAUM MIKE</v>
      </c>
      <c r="H263" s="20" t="str">
        <f t="shared" si="9"/>
        <v>4057</v>
      </c>
    </row>
    <row r="264" spans="1:8" x14ac:dyDescent="0.3">
      <c r="A264" s="8">
        <v>43027.787766203706</v>
      </c>
      <c r="B264" t="s">
        <v>386</v>
      </c>
      <c r="C264" t="s">
        <v>434</v>
      </c>
      <c r="D264" s="123">
        <v>1360000</v>
      </c>
      <c r="E264" t="s">
        <v>435</v>
      </c>
      <c r="F264" s="20" t="s">
        <v>436</v>
      </c>
      <c r="G264" s="8" t="str">
        <f t="shared" si="8"/>
        <v>SANTIZO D. EDY</v>
      </c>
      <c r="H264" s="20" t="str">
        <f t="shared" si="9"/>
        <v>4008</v>
      </c>
    </row>
    <row r="265" spans="1:8" x14ac:dyDescent="0.3">
      <c r="A265" s="8">
        <v>43027.789629629631</v>
      </c>
      <c r="B265" t="s">
        <v>418</v>
      </c>
      <c r="C265" t="s">
        <v>437</v>
      </c>
      <c r="D265" s="123">
        <v>3280000</v>
      </c>
      <c r="E265" t="s">
        <v>396</v>
      </c>
      <c r="F265" s="20" t="s">
        <v>397</v>
      </c>
      <c r="G265" s="8" t="str">
        <f t="shared" si="8"/>
        <v>BIRKHOLZ NADINE</v>
      </c>
      <c r="H265" s="20" t="str">
        <f t="shared" si="9"/>
        <v>4023</v>
      </c>
    </row>
    <row r="266" spans="1:8" x14ac:dyDescent="0.3">
      <c r="A266" s="8">
        <v>43027.793182870373</v>
      </c>
      <c r="B266" t="s">
        <v>405</v>
      </c>
      <c r="C266" t="s">
        <v>438</v>
      </c>
      <c r="D266" s="123">
        <v>2600000</v>
      </c>
      <c r="E266" t="s">
        <v>439</v>
      </c>
      <c r="F266" s="20" t="s">
        <v>424</v>
      </c>
      <c r="G266" s="8" t="str">
        <f t="shared" si="8"/>
        <v>DAVIDSON DAVID</v>
      </c>
      <c r="H266" s="20" t="str">
        <f t="shared" si="9"/>
        <v>4044</v>
      </c>
    </row>
    <row r="267" spans="1:8" x14ac:dyDescent="0.3">
      <c r="A267" s="8">
        <v>43027.794131944444</v>
      </c>
      <c r="B267" t="s">
        <v>405</v>
      </c>
      <c r="C267" t="s">
        <v>438</v>
      </c>
      <c r="D267" s="123">
        <v>2600000</v>
      </c>
      <c r="E267" t="s">
        <v>439</v>
      </c>
      <c r="F267" s="20" t="s">
        <v>424</v>
      </c>
      <c r="G267" s="8" t="str">
        <f t="shared" si="8"/>
        <v>DAVIDSON DAVID</v>
      </c>
      <c r="H267" s="20" t="str">
        <f t="shared" si="9"/>
        <v>4044</v>
      </c>
    </row>
    <row r="268" spans="1:8" x14ac:dyDescent="0.3">
      <c r="A268" s="8">
        <v>43027.795173611114</v>
      </c>
      <c r="B268" t="s">
        <v>405</v>
      </c>
      <c r="C268" t="s">
        <v>440</v>
      </c>
      <c r="D268" s="123">
        <v>2600000</v>
      </c>
      <c r="E268" t="s">
        <v>439</v>
      </c>
      <c r="F268" s="20" t="s">
        <v>424</v>
      </c>
      <c r="G268" s="8" t="str">
        <f t="shared" si="8"/>
        <v>DAVIDSON DAVID</v>
      </c>
      <c r="H268" s="20" t="str">
        <f t="shared" si="9"/>
        <v>4044</v>
      </c>
    </row>
    <row r="269" spans="1:8" x14ac:dyDescent="0.3">
      <c r="A269" s="8">
        <v>43027.799062500002</v>
      </c>
      <c r="B269" t="s">
        <v>423</v>
      </c>
      <c r="C269" t="s">
        <v>441</v>
      </c>
      <c r="D269" s="123">
        <v>1180000</v>
      </c>
      <c r="E269" t="s">
        <v>392</v>
      </c>
      <c r="F269" s="20" t="s">
        <v>393</v>
      </c>
      <c r="G269" s="8" t="str">
        <f t="shared" si="8"/>
        <v>LEVERE CRAIG</v>
      </c>
      <c r="H269" s="20" t="str">
        <f t="shared" si="9"/>
        <v>4014</v>
      </c>
    </row>
    <row r="270" spans="1:8" x14ac:dyDescent="0.3">
      <c r="A270" s="8">
        <v>43027.800520833334</v>
      </c>
      <c r="B270" t="s">
        <v>375</v>
      </c>
      <c r="C270" t="s">
        <v>420</v>
      </c>
      <c r="D270" s="123">
        <v>2420000</v>
      </c>
      <c r="E270" t="s">
        <v>410</v>
      </c>
      <c r="F270" s="20" t="s">
        <v>411</v>
      </c>
      <c r="G270" s="8" t="str">
        <f t="shared" si="8"/>
        <v>HOLCOMB KAMDEN</v>
      </c>
      <c r="H270" s="20" t="str">
        <f t="shared" si="9"/>
        <v>4065</v>
      </c>
    </row>
    <row r="271" spans="1:8" x14ac:dyDescent="0.3">
      <c r="A271" s="8">
        <v>43027.804224537038</v>
      </c>
      <c r="B271" t="s">
        <v>402</v>
      </c>
      <c r="C271" t="s">
        <v>442</v>
      </c>
      <c r="D271" s="123">
        <v>2540000</v>
      </c>
      <c r="E271" t="s">
        <v>376</v>
      </c>
      <c r="F271" s="20" t="s">
        <v>377</v>
      </c>
      <c r="G271" s="8" t="str">
        <f t="shared" si="8"/>
        <v>MCREYNOLDS KYLE</v>
      </c>
      <c r="H271" s="20" t="str">
        <f t="shared" si="9"/>
        <v>4017</v>
      </c>
    </row>
    <row r="272" spans="1:8" x14ac:dyDescent="0.3">
      <c r="A272" s="8">
        <v>43027.810300925928</v>
      </c>
      <c r="B272" t="s">
        <v>404</v>
      </c>
      <c r="C272" t="s">
        <v>438</v>
      </c>
      <c r="D272" s="123">
        <v>2600000</v>
      </c>
      <c r="E272" t="s">
        <v>439</v>
      </c>
      <c r="F272" s="20" t="s">
        <v>424</v>
      </c>
      <c r="G272" s="8" t="str">
        <f t="shared" si="8"/>
        <v>DAVIDSON DAVID</v>
      </c>
      <c r="H272" s="20" t="str">
        <f t="shared" si="9"/>
        <v>4043</v>
      </c>
    </row>
    <row r="273" spans="1:8" x14ac:dyDescent="0.3">
      <c r="A273" s="8">
        <v>43027.810370370367</v>
      </c>
      <c r="B273" t="s">
        <v>407</v>
      </c>
      <c r="C273" t="s">
        <v>443</v>
      </c>
      <c r="D273" s="123">
        <v>890000</v>
      </c>
      <c r="E273" t="s">
        <v>351</v>
      </c>
      <c r="F273" s="20" t="s">
        <v>352</v>
      </c>
      <c r="G273" s="8" t="str">
        <f t="shared" si="8"/>
        <v>LOZA FIDEL</v>
      </c>
      <c r="H273" s="20" t="str">
        <f t="shared" si="9"/>
        <v>4006</v>
      </c>
    </row>
    <row r="274" spans="1:8" x14ac:dyDescent="0.3">
      <c r="A274" s="8">
        <v>43027.819351851853</v>
      </c>
      <c r="B274" t="s">
        <v>400</v>
      </c>
      <c r="C274" t="s">
        <v>444</v>
      </c>
      <c r="D274" s="123">
        <v>1360000</v>
      </c>
      <c r="E274" t="s">
        <v>435</v>
      </c>
      <c r="F274" s="20" t="s">
        <v>436</v>
      </c>
      <c r="G274" s="8" t="str">
        <f t="shared" si="8"/>
        <v>SANTIZO D. EDY</v>
      </c>
      <c r="H274" s="20" t="str">
        <f t="shared" si="9"/>
        <v>4007</v>
      </c>
    </row>
    <row r="275" spans="1:8" x14ac:dyDescent="0.3">
      <c r="A275" s="8">
        <v>43027.82068287037</v>
      </c>
      <c r="B275" t="s">
        <v>374</v>
      </c>
      <c r="C275" t="s">
        <v>445</v>
      </c>
      <c r="D275" s="123">
        <v>2420000</v>
      </c>
      <c r="E275" t="s">
        <v>410</v>
      </c>
      <c r="F275" s="20" t="s">
        <v>411</v>
      </c>
      <c r="G275" s="8" t="str">
        <f t="shared" si="8"/>
        <v>HOLCOMB KAMDEN</v>
      </c>
      <c r="H275" s="20" t="str">
        <f t="shared" si="9"/>
        <v>4066</v>
      </c>
    </row>
    <row r="276" spans="1:8" x14ac:dyDescent="0.3">
      <c r="A276" s="8">
        <v>43027.825115740743</v>
      </c>
      <c r="B276" t="s">
        <v>391</v>
      </c>
      <c r="C276" t="s">
        <v>425</v>
      </c>
      <c r="D276" s="123">
        <v>3320000</v>
      </c>
      <c r="E276" t="s">
        <v>426</v>
      </c>
      <c r="F276" s="20" t="s">
        <v>427</v>
      </c>
      <c r="G276" s="8" t="str">
        <f t="shared" si="8"/>
        <v>NICHOLSON WESLEY</v>
      </c>
      <c r="H276" s="20" t="str">
        <f t="shared" si="9"/>
        <v>4010</v>
      </c>
    </row>
    <row r="277" spans="1:8" x14ac:dyDescent="0.3">
      <c r="A277" s="8">
        <v>43027.827708333331</v>
      </c>
      <c r="B277" t="s">
        <v>416</v>
      </c>
      <c r="C277" t="s">
        <v>446</v>
      </c>
      <c r="D277" s="123">
        <v>3340000</v>
      </c>
      <c r="E277" t="s">
        <v>428</v>
      </c>
      <c r="F277" s="20" t="s">
        <v>429</v>
      </c>
      <c r="G277" s="8" t="str">
        <f t="shared" si="8"/>
        <v>ELBAUM MIKE</v>
      </c>
      <c r="H277" s="20" t="str">
        <f t="shared" si="9"/>
        <v>4058</v>
      </c>
    </row>
    <row r="278" spans="1:8" x14ac:dyDescent="0.3">
      <c r="A278" s="8">
        <v>43027.830347222225</v>
      </c>
      <c r="B278" t="s">
        <v>390</v>
      </c>
      <c r="C278" t="s">
        <v>425</v>
      </c>
      <c r="D278" s="123">
        <v>3320000</v>
      </c>
      <c r="E278" t="s">
        <v>426</v>
      </c>
      <c r="F278" s="20" t="s">
        <v>427</v>
      </c>
      <c r="G278" s="8" t="str">
        <f t="shared" si="8"/>
        <v>NICHOLSON WESLEY</v>
      </c>
      <c r="H278" s="20" t="str">
        <f t="shared" si="9"/>
        <v>4009</v>
      </c>
    </row>
    <row r="279" spans="1:8" x14ac:dyDescent="0.3">
      <c r="A279" s="8">
        <v>43027.836145833331</v>
      </c>
      <c r="B279" t="s">
        <v>405</v>
      </c>
      <c r="C279" t="s">
        <v>447</v>
      </c>
      <c r="D279" s="123">
        <v>3130000</v>
      </c>
      <c r="E279" t="s">
        <v>412</v>
      </c>
      <c r="F279" s="20" t="s">
        <v>413</v>
      </c>
      <c r="G279" s="8" t="str">
        <f t="shared" si="8"/>
        <v>ZEWDU DEREJE</v>
      </c>
      <c r="H279" s="20" t="str">
        <f t="shared" si="9"/>
        <v>4044</v>
      </c>
    </row>
    <row r="280" spans="1:8" x14ac:dyDescent="0.3">
      <c r="A280" s="8">
        <v>43027.849907407406</v>
      </c>
      <c r="B280" t="s">
        <v>399</v>
      </c>
      <c r="C280" t="s">
        <v>448</v>
      </c>
      <c r="D280" s="123">
        <v>890000</v>
      </c>
      <c r="E280" t="s">
        <v>351</v>
      </c>
      <c r="F280" s="20" t="s">
        <v>352</v>
      </c>
      <c r="G280" s="8" t="str">
        <f t="shared" si="8"/>
        <v>LOZA FIDEL</v>
      </c>
      <c r="H280" s="20" t="str">
        <f t="shared" si="9"/>
        <v>4005</v>
      </c>
    </row>
    <row r="281" spans="1:8" x14ac:dyDescent="0.3">
      <c r="A281" s="8">
        <v>43027.850057870368</v>
      </c>
      <c r="B281" t="s">
        <v>391</v>
      </c>
      <c r="C281" t="s">
        <v>449</v>
      </c>
      <c r="D281" s="123">
        <v>2540000</v>
      </c>
      <c r="E281" t="s">
        <v>376</v>
      </c>
      <c r="F281" s="20" t="s">
        <v>377</v>
      </c>
      <c r="G281" s="8" t="str">
        <f t="shared" si="8"/>
        <v>MCREYNOLDS KYLE</v>
      </c>
      <c r="H281" s="20" t="str">
        <f t="shared" si="9"/>
        <v>4010</v>
      </c>
    </row>
    <row r="282" spans="1:8" x14ac:dyDescent="0.3">
      <c r="A282" s="8">
        <v>43027.851134259261</v>
      </c>
      <c r="B282" t="s">
        <v>404</v>
      </c>
      <c r="C282" t="s">
        <v>450</v>
      </c>
      <c r="D282" s="123">
        <v>3130000</v>
      </c>
      <c r="E282" t="s">
        <v>412</v>
      </c>
      <c r="F282" s="20" t="s">
        <v>413</v>
      </c>
      <c r="G282" s="8" t="str">
        <f t="shared" si="8"/>
        <v>ZEWDU DEREJE</v>
      </c>
      <c r="H282" s="20" t="str">
        <f t="shared" si="9"/>
        <v>4043</v>
      </c>
    </row>
    <row r="283" spans="1:8" x14ac:dyDescent="0.3">
      <c r="A283" s="8">
        <v>43027.859826388885</v>
      </c>
      <c r="B283" t="s">
        <v>419</v>
      </c>
      <c r="C283" t="s">
        <v>421</v>
      </c>
      <c r="D283" s="123">
        <v>3340000</v>
      </c>
      <c r="E283" t="s">
        <v>428</v>
      </c>
      <c r="F283" s="20" t="s">
        <v>429</v>
      </c>
      <c r="G283" s="8" t="str">
        <f t="shared" si="8"/>
        <v>ELBAUM MIKE</v>
      </c>
      <c r="H283" s="20" t="str">
        <f t="shared" si="9"/>
        <v>4057</v>
      </c>
    </row>
    <row r="284" spans="1:8" x14ac:dyDescent="0.3">
      <c r="A284" s="8">
        <v>43027.871770833335</v>
      </c>
      <c r="B284" t="s">
        <v>386</v>
      </c>
      <c r="C284" t="s">
        <v>451</v>
      </c>
      <c r="D284" s="123">
        <v>3310000</v>
      </c>
      <c r="E284" t="s">
        <v>367</v>
      </c>
      <c r="F284" s="20" t="s">
        <v>368</v>
      </c>
      <c r="G284" s="8" t="str">
        <f t="shared" si="8"/>
        <v>ANDERS STEVEN</v>
      </c>
      <c r="H284" s="20" t="str">
        <f t="shared" si="9"/>
        <v>4008</v>
      </c>
    </row>
    <row r="285" spans="1:8" x14ac:dyDescent="0.3">
      <c r="A285" s="8">
        <v>43027.874143518522</v>
      </c>
      <c r="B285" t="s">
        <v>405</v>
      </c>
      <c r="C285" t="s">
        <v>452</v>
      </c>
      <c r="D285" s="123">
        <v>2440000</v>
      </c>
      <c r="E285" t="s">
        <v>453</v>
      </c>
      <c r="F285" s="20" t="s">
        <v>454</v>
      </c>
      <c r="G285" s="8" t="str">
        <f t="shared" si="8"/>
        <v>LOPES KIMBERLY</v>
      </c>
      <c r="H285" s="20" t="str">
        <f t="shared" si="9"/>
        <v>4044</v>
      </c>
    </row>
    <row r="286" spans="1:8" x14ac:dyDescent="0.3">
      <c r="A286" s="8">
        <v>43027.888333333336</v>
      </c>
      <c r="B286" t="s">
        <v>407</v>
      </c>
      <c r="C286" t="s">
        <v>455</v>
      </c>
      <c r="D286" s="123">
        <v>3320000</v>
      </c>
      <c r="E286" t="s">
        <v>426</v>
      </c>
      <c r="F286" s="20" t="s">
        <v>427</v>
      </c>
      <c r="G286" s="8" t="str">
        <f t="shared" si="8"/>
        <v>NICHOLSON WESLEY</v>
      </c>
      <c r="H286" s="20" t="str">
        <f t="shared" si="9"/>
        <v>4006</v>
      </c>
    </row>
    <row r="287" spans="1:8" x14ac:dyDescent="0.3">
      <c r="A287" s="8">
        <v>43027.888518518521</v>
      </c>
      <c r="B287" t="s">
        <v>390</v>
      </c>
      <c r="C287" t="s">
        <v>456</v>
      </c>
      <c r="D287" s="123">
        <v>2540000</v>
      </c>
      <c r="E287" t="s">
        <v>376</v>
      </c>
      <c r="F287" s="20" t="s">
        <v>377</v>
      </c>
      <c r="G287" s="8" t="str">
        <f t="shared" si="8"/>
        <v>MCREYNOLDS KYLE</v>
      </c>
      <c r="H287" s="20" t="str">
        <f t="shared" si="9"/>
        <v>4009</v>
      </c>
    </row>
    <row r="288" spans="1:8" x14ac:dyDescent="0.3">
      <c r="A288" s="8">
        <v>43027.893078703702</v>
      </c>
      <c r="B288" t="s">
        <v>404</v>
      </c>
      <c r="C288" t="s">
        <v>457</v>
      </c>
      <c r="D288" s="123">
        <v>2440000</v>
      </c>
      <c r="E288" t="s">
        <v>453</v>
      </c>
      <c r="F288" s="20" t="s">
        <v>454</v>
      </c>
      <c r="G288" s="8" t="str">
        <f t="shared" si="8"/>
        <v>LOPES KIMBERLY</v>
      </c>
      <c r="H288" s="20" t="str">
        <f t="shared" si="9"/>
        <v>4043</v>
      </c>
    </row>
    <row r="289" spans="1:8" x14ac:dyDescent="0.3">
      <c r="A289" s="8">
        <v>43027.900636574072</v>
      </c>
      <c r="B289" t="s">
        <v>416</v>
      </c>
      <c r="C289" t="s">
        <v>458</v>
      </c>
      <c r="D289" s="123">
        <v>3340000</v>
      </c>
      <c r="E289" t="s">
        <v>428</v>
      </c>
      <c r="F289" s="20" t="s">
        <v>429</v>
      </c>
      <c r="G289" s="8" t="str">
        <f t="shared" si="8"/>
        <v>ELBAUM MIKE</v>
      </c>
      <c r="H289" s="20" t="str">
        <f t="shared" si="9"/>
        <v>4058</v>
      </c>
    </row>
    <row r="290" spans="1:8" x14ac:dyDescent="0.3">
      <c r="A290" s="8">
        <v>43027.90148148148</v>
      </c>
      <c r="B290" t="s">
        <v>398</v>
      </c>
      <c r="C290" t="s">
        <v>425</v>
      </c>
      <c r="D290" s="123">
        <v>2600000</v>
      </c>
      <c r="E290" t="s">
        <v>439</v>
      </c>
      <c r="F290" s="20" t="s">
        <v>424</v>
      </c>
      <c r="G290" s="8" t="str">
        <f t="shared" si="8"/>
        <v>DAVIDSON DAVID</v>
      </c>
      <c r="H290" s="20" t="str">
        <f t="shared" si="9"/>
        <v>4018</v>
      </c>
    </row>
    <row r="291" spans="1:8" x14ac:dyDescent="0.3">
      <c r="A291" s="8">
        <v>43027.905092592591</v>
      </c>
      <c r="B291" t="s">
        <v>402</v>
      </c>
      <c r="C291" t="s">
        <v>425</v>
      </c>
      <c r="D291" s="123">
        <v>2600000</v>
      </c>
      <c r="E291" t="s">
        <v>439</v>
      </c>
      <c r="F291" s="20" t="s">
        <v>424</v>
      </c>
      <c r="G291" s="8" t="str">
        <f t="shared" si="8"/>
        <v>DAVIDSON DAVID</v>
      </c>
      <c r="H291" s="20" t="str">
        <f t="shared" si="9"/>
        <v>4017</v>
      </c>
    </row>
    <row r="292" spans="1:8" x14ac:dyDescent="0.3">
      <c r="A292" s="8">
        <v>43027.912083333336</v>
      </c>
      <c r="B292" t="s">
        <v>400</v>
      </c>
      <c r="C292" t="s">
        <v>459</v>
      </c>
      <c r="D292" s="123">
        <v>3310000</v>
      </c>
      <c r="E292" t="s">
        <v>367</v>
      </c>
      <c r="F292" s="20" t="s">
        <v>368</v>
      </c>
      <c r="G292" s="8" t="str">
        <f t="shared" si="8"/>
        <v>ANDERS STEVEN</v>
      </c>
      <c r="H292" s="20" t="str">
        <f t="shared" si="9"/>
        <v>4007</v>
      </c>
    </row>
    <row r="293" spans="1:8" x14ac:dyDescent="0.3">
      <c r="A293" s="8">
        <v>43027.919351851851</v>
      </c>
      <c r="B293" t="s">
        <v>405</v>
      </c>
      <c r="C293" t="s">
        <v>460</v>
      </c>
      <c r="D293" s="123">
        <v>3280000</v>
      </c>
      <c r="E293" t="s">
        <v>396</v>
      </c>
      <c r="F293" s="20" t="s">
        <v>397</v>
      </c>
      <c r="G293" s="8" t="str">
        <f t="shared" si="8"/>
        <v>BIRKHOLZ NADINE</v>
      </c>
      <c r="H293" s="20" t="str">
        <f t="shared" si="9"/>
        <v>4044</v>
      </c>
    </row>
    <row r="294" spans="1:8" x14ac:dyDescent="0.3">
      <c r="A294" s="8">
        <v>43027.926724537036</v>
      </c>
      <c r="B294" t="s">
        <v>399</v>
      </c>
      <c r="C294" t="s">
        <v>461</v>
      </c>
      <c r="D294" s="123">
        <v>3320000</v>
      </c>
      <c r="E294" t="s">
        <v>426</v>
      </c>
      <c r="F294" s="20" t="s">
        <v>427</v>
      </c>
      <c r="G294" s="8" t="str">
        <f t="shared" si="8"/>
        <v>NICHOLSON WESLEY</v>
      </c>
      <c r="H294" s="20" t="str">
        <f t="shared" si="9"/>
        <v>4005</v>
      </c>
    </row>
    <row r="295" spans="1:8" x14ac:dyDescent="0.3">
      <c r="A295" s="8">
        <v>43027.933495370373</v>
      </c>
      <c r="B295" t="s">
        <v>398</v>
      </c>
      <c r="C295" t="s">
        <v>462</v>
      </c>
      <c r="D295" s="123">
        <v>2540000</v>
      </c>
      <c r="E295" t="s">
        <v>376</v>
      </c>
      <c r="F295" s="20" t="s">
        <v>377</v>
      </c>
      <c r="G295" s="8" t="str">
        <f t="shared" si="8"/>
        <v>MCREYNOLDS KYLE</v>
      </c>
      <c r="H295" s="20" t="str">
        <f t="shared" si="9"/>
        <v>4018</v>
      </c>
    </row>
    <row r="296" spans="1:8" x14ac:dyDescent="0.3">
      <c r="A296" s="8">
        <v>43027.935891203706</v>
      </c>
      <c r="B296" t="s">
        <v>404</v>
      </c>
      <c r="C296" t="s">
        <v>463</v>
      </c>
      <c r="D296" s="123">
        <v>3280000</v>
      </c>
      <c r="E296" t="s">
        <v>396</v>
      </c>
      <c r="F296" s="20" t="s">
        <v>397</v>
      </c>
      <c r="G296" s="8" t="str">
        <f t="shared" si="8"/>
        <v>BIRKHOLZ NADINE</v>
      </c>
      <c r="H296" s="20" t="str">
        <f t="shared" si="9"/>
        <v>4043</v>
      </c>
    </row>
    <row r="297" spans="1:8" x14ac:dyDescent="0.3">
      <c r="A297" s="8">
        <v>43027.94259259259</v>
      </c>
      <c r="B297" t="s">
        <v>419</v>
      </c>
      <c r="C297" t="s">
        <v>464</v>
      </c>
      <c r="D297" s="123">
        <v>3340000</v>
      </c>
      <c r="E297" t="s">
        <v>428</v>
      </c>
      <c r="F297" s="20" t="s">
        <v>429</v>
      </c>
      <c r="G297" s="8" t="str">
        <f t="shared" si="8"/>
        <v>ELBAUM MIKE</v>
      </c>
      <c r="H297" s="20" t="str">
        <f t="shared" si="9"/>
        <v>4057</v>
      </c>
    </row>
    <row r="298" spans="1:8" x14ac:dyDescent="0.3">
      <c r="A298" s="8">
        <v>43027.956400462965</v>
      </c>
      <c r="B298" t="s">
        <v>386</v>
      </c>
      <c r="C298" t="s">
        <v>465</v>
      </c>
      <c r="D298" s="123">
        <v>3310000</v>
      </c>
      <c r="E298" t="s">
        <v>367</v>
      </c>
      <c r="F298" s="20" t="s">
        <v>368</v>
      </c>
      <c r="G298" s="8" t="str">
        <f t="shared" si="8"/>
        <v>ANDERS STEVEN</v>
      </c>
      <c r="H298" s="20" t="str">
        <f t="shared" si="9"/>
        <v>4008</v>
      </c>
    </row>
    <row r="299" spans="1:8" x14ac:dyDescent="0.3">
      <c r="A299" s="8">
        <v>43027.960833333331</v>
      </c>
      <c r="B299" t="s">
        <v>405</v>
      </c>
      <c r="C299" t="s">
        <v>466</v>
      </c>
      <c r="D299" s="123">
        <v>3280000</v>
      </c>
      <c r="E299" t="s">
        <v>396</v>
      </c>
      <c r="F299" s="20" t="s">
        <v>397</v>
      </c>
      <c r="G299" s="8" t="str">
        <f t="shared" si="8"/>
        <v>BIRKHOLZ NADINE</v>
      </c>
      <c r="H299" s="20" t="str">
        <f t="shared" si="9"/>
        <v>4044</v>
      </c>
    </row>
    <row r="300" spans="1:8" x14ac:dyDescent="0.3">
      <c r="A300" s="8">
        <v>43027.97184027778</v>
      </c>
      <c r="B300" t="s">
        <v>402</v>
      </c>
      <c r="C300" t="s">
        <v>467</v>
      </c>
      <c r="D300" s="123">
        <v>2540000</v>
      </c>
      <c r="E300" t="s">
        <v>376</v>
      </c>
      <c r="F300" s="20" t="s">
        <v>377</v>
      </c>
      <c r="G300" s="8" t="str">
        <f t="shared" si="8"/>
        <v>MCREYNOLDS KYLE</v>
      </c>
      <c r="H300" s="20" t="str">
        <f t="shared" si="9"/>
        <v>4017</v>
      </c>
    </row>
    <row r="301" spans="1:8" x14ac:dyDescent="0.3">
      <c r="A301" s="8">
        <v>43027.976574074077</v>
      </c>
      <c r="B301" t="s">
        <v>404</v>
      </c>
      <c r="C301" t="s">
        <v>468</v>
      </c>
      <c r="D301" s="123">
        <v>3280000</v>
      </c>
      <c r="E301" t="s">
        <v>396</v>
      </c>
      <c r="F301" s="20" t="s">
        <v>397</v>
      </c>
      <c r="G301" s="8" t="str">
        <f t="shared" si="8"/>
        <v>BIRKHOLZ NADINE</v>
      </c>
      <c r="H301" s="20" t="str">
        <f t="shared" si="9"/>
        <v>4043</v>
      </c>
    </row>
    <row r="302" spans="1:8" x14ac:dyDescent="0.3">
      <c r="A302" s="8">
        <v>43027.978032407409</v>
      </c>
      <c r="B302" t="s">
        <v>407</v>
      </c>
      <c r="C302" t="s">
        <v>469</v>
      </c>
      <c r="D302" s="123">
        <v>890000</v>
      </c>
      <c r="E302" t="s">
        <v>351</v>
      </c>
      <c r="F302" s="20" t="s">
        <v>352</v>
      </c>
      <c r="G302" s="8" t="str">
        <f t="shared" si="8"/>
        <v>LOZA FIDEL</v>
      </c>
      <c r="H302" s="20" t="str">
        <f t="shared" si="9"/>
        <v>4006</v>
      </c>
    </row>
    <row r="303" spans="1:8" x14ac:dyDescent="0.3">
      <c r="A303" s="8">
        <v>43027.984525462962</v>
      </c>
      <c r="B303" t="s">
        <v>416</v>
      </c>
      <c r="C303" t="s">
        <v>470</v>
      </c>
      <c r="D303" s="123">
        <v>3340000</v>
      </c>
      <c r="E303" t="s">
        <v>428</v>
      </c>
      <c r="F303" s="20" t="s">
        <v>429</v>
      </c>
      <c r="G303" s="8" t="str">
        <f t="shared" si="8"/>
        <v>ELBAUM MIKE</v>
      </c>
      <c r="H303" s="20" t="str">
        <f t="shared" si="9"/>
        <v>4058</v>
      </c>
    </row>
    <row r="304" spans="1:8" x14ac:dyDescent="0.3">
      <c r="A304" s="8">
        <v>43027.994988425926</v>
      </c>
      <c r="B304" t="s">
        <v>400</v>
      </c>
      <c r="C304" t="s">
        <v>471</v>
      </c>
      <c r="D304" s="123">
        <v>3310000</v>
      </c>
      <c r="E304" t="s">
        <v>367</v>
      </c>
      <c r="F304" s="20" t="s">
        <v>368</v>
      </c>
      <c r="G304" s="8" t="str">
        <f t="shared" si="8"/>
        <v>ANDERS STEVEN</v>
      </c>
      <c r="H304" s="20" t="str">
        <f t="shared" si="9"/>
        <v>4007</v>
      </c>
    </row>
    <row r="305" spans="1:8" x14ac:dyDescent="0.3">
      <c r="A305" s="8">
        <v>43028.010069444441</v>
      </c>
      <c r="B305" t="s">
        <v>398</v>
      </c>
      <c r="C305" t="s">
        <v>472</v>
      </c>
      <c r="D305" s="123">
        <v>2540000</v>
      </c>
      <c r="E305" t="s">
        <v>376</v>
      </c>
      <c r="F305" s="20" t="s">
        <v>377</v>
      </c>
      <c r="G305" s="8" t="str">
        <f t="shared" si="8"/>
        <v>MCREYNOLDS KYLE</v>
      </c>
      <c r="H305" s="20" t="str">
        <f t="shared" si="9"/>
        <v>4018</v>
      </c>
    </row>
    <row r="306" spans="1:8" x14ac:dyDescent="0.3">
      <c r="A306" s="8">
        <v>43028.014560185184</v>
      </c>
      <c r="B306" t="s">
        <v>399</v>
      </c>
      <c r="C306" t="s">
        <v>473</v>
      </c>
      <c r="D306" s="123">
        <v>890000</v>
      </c>
      <c r="E306" t="s">
        <v>351</v>
      </c>
      <c r="F306" s="20" t="s">
        <v>352</v>
      </c>
      <c r="G306" s="8" t="str">
        <f t="shared" si="8"/>
        <v>LOZA FIDEL</v>
      </c>
      <c r="H306" s="20" t="str">
        <f t="shared" si="9"/>
        <v>4005</v>
      </c>
    </row>
    <row r="307" spans="1:8" x14ac:dyDescent="0.3">
      <c r="A307" s="8">
        <v>43028.031365740739</v>
      </c>
      <c r="B307" t="s">
        <v>386</v>
      </c>
      <c r="C307" t="s">
        <v>474</v>
      </c>
      <c r="D307" s="123">
        <v>3310000</v>
      </c>
      <c r="E307" t="s">
        <v>367</v>
      </c>
      <c r="F307" s="20" t="s">
        <v>368</v>
      </c>
      <c r="G307" s="8" t="str">
        <f t="shared" si="8"/>
        <v>ANDERS STEVEN</v>
      </c>
      <c r="H307" s="20" t="str">
        <f t="shared" si="9"/>
        <v>4008</v>
      </c>
    </row>
    <row r="308" spans="1:8" x14ac:dyDescent="0.3">
      <c r="A308" s="8">
        <v>43028.038553240738</v>
      </c>
      <c r="B308" t="s">
        <v>419</v>
      </c>
      <c r="C308" t="s">
        <v>475</v>
      </c>
      <c r="D308" s="123">
        <v>3340000</v>
      </c>
      <c r="E308" t="s">
        <v>428</v>
      </c>
      <c r="F308" s="20" t="s">
        <v>429</v>
      </c>
      <c r="G308" s="8" t="str">
        <f t="shared" si="8"/>
        <v>ELBAUM MIKE</v>
      </c>
      <c r="H308" s="20" t="str">
        <f t="shared" si="9"/>
        <v>4057</v>
      </c>
    </row>
    <row r="309" spans="1:8" x14ac:dyDescent="0.3">
      <c r="A309" s="8">
        <v>43028.047349537039</v>
      </c>
      <c r="B309" t="s">
        <v>407</v>
      </c>
      <c r="C309" t="s">
        <v>476</v>
      </c>
      <c r="D309" s="123">
        <v>890000</v>
      </c>
      <c r="E309" t="s">
        <v>351</v>
      </c>
      <c r="F309" s="20" t="s">
        <v>352</v>
      </c>
      <c r="G309" s="8" t="str">
        <f t="shared" si="8"/>
        <v>LOZA FIDEL</v>
      </c>
      <c r="H309" s="20" t="str">
        <f t="shared" si="9"/>
        <v>4006</v>
      </c>
    </row>
    <row r="310" spans="1:8" x14ac:dyDescent="0.3">
      <c r="A310" s="8">
        <v>43028.053391203706</v>
      </c>
      <c r="B310" t="s">
        <v>402</v>
      </c>
      <c r="C310" t="s">
        <v>477</v>
      </c>
      <c r="D310" s="123">
        <v>2540000</v>
      </c>
      <c r="E310" t="s">
        <v>376</v>
      </c>
      <c r="F310" s="20" t="s">
        <v>377</v>
      </c>
      <c r="G310" s="8" t="str">
        <f t="shared" si="8"/>
        <v>MCREYNOLDS KYLE</v>
      </c>
      <c r="H310" s="20" t="str">
        <f t="shared" si="9"/>
        <v>4017</v>
      </c>
    </row>
    <row r="311" spans="1:8" x14ac:dyDescent="0.3">
      <c r="A311" s="8">
        <v>43028.068229166667</v>
      </c>
      <c r="B311" t="s">
        <v>416</v>
      </c>
      <c r="C311" t="s">
        <v>478</v>
      </c>
      <c r="D311" s="123">
        <v>3340000</v>
      </c>
      <c r="E311" t="s">
        <v>428</v>
      </c>
      <c r="F311" s="20" t="s">
        <v>429</v>
      </c>
      <c r="G311" s="8" t="str">
        <f t="shared" si="8"/>
        <v>ELBAUM MIKE</v>
      </c>
      <c r="H311" s="20" t="str">
        <f t="shared" si="9"/>
        <v>4058</v>
      </c>
    </row>
    <row r="312" spans="1:8" x14ac:dyDescent="0.3">
      <c r="A312" s="8">
        <v>43028.089571759258</v>
      </c>
      <c r="B312" t="s">
        <v>398</v>
      </c>
      <c r="C312" t="s">
        <v>479</v>
      </c>
      <c r="D312" s="123">
        <v>2540000</v>
      </c>
      <c r="E312" t="s">
        <v>376</v>
      </c>
      <c r="F312" s="20" t="s">
        <v>377</v>
      </c>
      <c r="G312" s="8" t="str">
        <f t="shared" si="8"/>
        <v>MCREYNOLDS KYLE</v>
      </c>
      <c r="H312" s="20" t="str">
        <f t="shared" si="9"/>
        <v>4018</v>
      </c>
    </row>
    <row r="313" spans="1:8" x14ac:dyDescent="0.3">
      <c r="A313" s="8">
        <v>43028.111273148148</v>
      </c>
      <c r="B313" t="s">
        <v>370</v>
      </c>
      <c r="C313" t="s">
        <v>480</v>
      </c>
      <c r="D313" s="123">
        <v>1830000</v>
      </c>
      <c r="E313" t="s">
        <v>362</v>
      </c>
      <c r="F313" s="20" t="s">
        <v>363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2" workbookViewId="0">
      <selection sqref="A1:T29"/>
    </sheetView>
  </sheetViews>
  <sheetFormatPr defaultColWidth="9.109375" defaultRowHeight="14.4" x14ac:dyDescent="0.3"/>
  <cols>
    <col min="1" max="1" width="22.5546875" style="126" customWidth="1"/>
    <col min="2" max="2" width="8.44140625" style="126" bestFit="1" customWidth="1"/>
    <col min="3" max="3" width="12.5546875" style="126" bestFit="1" customWidth="1"/>
    <col min="4" max="4" width="18.5546875" style="115" bestFit="1" customWidth="1"/>
    <col min="5" max="5" width="9.88671875" style="126" bestFit="1" customWidth="1"/>
    <col min="6" max="6" width="9" style="126" bestFit="1" customWidth="1"/>
    <col min="7" max="7" width="8.88671875" style="126" bestFit="1" customWidth="1"/>
    <col min="8" max="8" width="14" style="126" bestFit="1" customWidth="1"/>
    <col min="9" max="9" width="21.109375" style="126" bestFit="1" customWidth="1"/>
    <col min="10" max="10" width="8.6640625" style="126" bestFit="1" customWidth="1"/>
    <col min="11" max="11" width="11.33203125" style="126" bestFit="1" customWidth="1"/>
    <col min="12" max="12" width="11" style="126" bestFit="1" customWidth="1"/>
    <col min="13" max="13" width="11.33203125" style="126" bestFit="1" customWidth="1"/>
    <col min="14" max="14" width="13.6640625" style="126" bestFit="1" customWidth="1"/>
    <col min="15" max="15" width="14.88671875" style="126" bestFit="1" customWidth="1"/>
    <col min="16" max="16" width="16.6640625" style="126" bestFit="1" customWidth="1"/>
    <col min="17" max="17" width="9.44140625" style="95" bestFit="1" customWidth="1"/>
    <col min="18" max="16384" width="9.109375" style="95"/>
  </cols>
  <sheetData>
    <row r="1" spans="1:20" s="96" customFormat="1" x14ac:dyDescent="0.3">
      <c r="A1" s="173" t="s">
        <v>156</v>
      </c>
      <c r="B1" s="173" t="s">
        <v>159</v>
      </c>
      <c r="C1" s="173" t="s">
        <v>152</v>
      </c>
      <c r="D1" s="121" t="s">
        <v>164</v>
      </c>
      <c r="E1" s="173" t="s">
        <v>153</v>
      </c>
      <c r="F1" s="173" t="s">
        <v>151</v>
      </c>
      <c r="G1" s="173" t="s">
        <v>149</v>
      </c>
      <c r="H1" s="173" t="s">
        <v>554</v>
      </c>
      <c r="I1" s="173" t="s">
        <v>162</v>
      </c>
      <c r="J1" s="173" t="s">
        <v>163</v>
      </c>
      <c r="K1" s="173" t="s">
        <v>525</v>
      </c>
      <c r="L1" s="173" t="s">
        <v>157</v>
      </c>
      <c r="M1" s="173" t="s">
        <v>155</v>
      </c>
      <c r="N1" s="173" t="s">
        <v>150</v>
      </c>
      <c r="O1" s="173" t="s">
        <v>160</v>
      </c>
      <c r="P1" s="173" t="s">
        <v>338</v>
      </c>
      <c r="Q1" s="173" t="s">
        <v>154</v>
      </c>
      <c r="R1" s="173" t="s">
        <v>161</v>
      </c>
      <c r="S1" s="173" t="s">
        <v>339</v>
      </c>
      <c r="T1" s="173" t="s">
        <v>158</v>
      </c>
    </row>
    <row r="2" spans="1:20" x14ac:dyDescent="0.3">
      <c r="A2" s="171">
        <v>42.12</v>
      </c>
      <c r="B2" s="171">
        <v>0</v>
      </c>
      <c r="C2" s="171">
        <v>29.32</v>
      </c>
      <c r="D2" s="8">
        <v>43037</v>
      </c>
      <c r="E2" s="171">
        <v>0.6</v>
      </c>
      <c r="F2" s="171" t="s">
        <v>372</v>
      </c>
      <c r="G2" s="171">
        <v>259.89999999999998</v>
      </c>
      <c r="H2" s="171"/>
      <c r="I2" s="171">
        <v>0</v>
      </c>
      <c r="J2" s="171">
        <v>0</v>
      </c>
      <c r="K2" s="171"/>
      <c r="L2" s="171">
        <v>1015.19</v>
      </c>
      <c r="M2" s="171" t="s">
        <v>373</v>
      </c>
      <c r="N2" s="171">
        <v>42.12</v>
      </c>
      <c r="O2" s="171">
        <v>1509256800</v>
      </c>
      <c r="P2" s="171">
        <v>0</v>
      </c>
      <c r="Q2" s="171">
        <v>2.72</v>
      </c>
      <c r="R2" s="171">
        <v>188</v>
      </c>
      <c r="S2" s="171">
        <v>4.08</v>
      </c>
      <c r="T2" s="171">
        <v>1.6</v>
      </c>
    </row>
    <row r="3" spans="1:20" x14ac:dyDescent="0.3">
      <c r="A3" s="171">
        <v>41.41</v>
      </c>
      <c r="B3" s="171">
        <v>0</v>
      </c>
      <c r="C3" s="171">
        <v>28.7</v>
      </c>
      <c r="D3" s="8">
        <v>43037.041666666664</v>
      </c>
      <c r="E3" s="171">
        <v>0.6</v>
      </c>
      <c r="F3" s="171" t="s">
        <v>372</v>
      </c>
      <c r="G3" s="171">
        <v>258.74</v>
      </c>
      <c r="H3" s="171"/>
      <c r="I3" s="171">
        <v>0</v>
      </c>
      <c r="J3" s="171">
        <v>0</v>
      </c>
      <c r="K3" s="171"/>
      <c r="L3" s="171">
        <v>1014.48</v>
      </c>
      <c r="M3" s="171" t="s">
        <v>373</v>
      </c>
      <c r="N3" s="171">
        <v>41.41</v>
      </c>
      <c r="O3" s="171">
        <v>1509260400</v>
      </c>
      <c r="P3" s="171">
        <v>0</v>
      </c>
      <c r="Q3" s="171">
        <v>2.81</v>
      </c>
      <c r="R3" s="171">
        <v>184</v>
      </c>
      <c r="S3" s="171">
        <v>3.62</v>
      </c>
      <c r="T3" s="171">
        <v>1.49</v>
      </c>
    </row>
    <row r="4" spans="1:20" x14ac:dyDescent="0.3">
      <c r="A4" s="171">
        <v>41.31</v>
      </c>
      <c r="B4" s="171">
        <v>0</v>
      </c>
      <c r="C4" s="171">
        <v>28.21</v>
      </c>
      <c r="D4" s="8">
        <v>43037.083333333336</v>
      </c>
      <c r="E4" s="171">
        <v>0.59</v>
      </c>
      <c r="F4" s="171" t="s">
        <v>372</v>
      </c>
      <c r="G4" s="171">
        <v>257.83999999999997</v>
      </c>
      <c r="H4" s="171"/>
      <c r="I4" s="171">
        <v>0</v>
      </c>
      <c r="J4" s="171">
        <v>0</v>
      </c>
      <c r="K4" s="171"/>
      <c r="L4" s="171">
        <v>1014.14</v>
      </c>
      <c r="M4" s="171" t="s">
        <v>373</v>
      </c>
      <c r="N4" s="171">
        <v>41.31</v>
      </c>
      <c r="O4" s="171">
        <v>1509264000</v>
      </c>
      <c r="P4" s="171">
        <v>0</v>
      </c>
      <c r="Q4" s="171">
        <v>3.15</v>
      </c>
      <c r="R4" s="171">
        <v>196</v>
      </c>
      <c r="S4" s="171">
        <v>4.16</v>
      </c>
      <c r="T4" s="171">
        <v>1.31</v>
      </c>
    </row>
    <row r="5" spans="1:20" x14ac:dyDescent="0.3">
      <c r="A5" s="171">
        <v>41.68</v>
      </c>
      <c r="B5" s="171">
        <v>0</v>
      </c>
      <c r="C5" s="171">
        <v>27.92</v>
      </c>
      <c r="D5" s="8">
        <v>43037.125</v>
      </c>
      <c r="E5" s="171">
        <v>0.57999999999999996</v>
      </c>
      <c r="F5" s="171" t="s">
        <v>372</v>
      </c>
      <c r="G5" s="171">
        <v>257.19</v>
      </c>
      <c r="H5" s="171"/>
      <c r="I5" s="171">
        <v>0</v>
      </c>
      <c r="J5" s="171">
        <v>0</v>
      </c>
      <c r="K5" s="171"/>
      <c r="L5" s="171">
        <v>1013.77</v>
      </c>
      <c r="M5" s="171" t="s">
        <v>373</v>
      </c>
      <c r="N5" s="171">
        <v>41.68</v>
      </c>
      <c r="O5" s="171">
        <v>1509267600</v>
      </c>
      <c r="P5" s="171">
        <v>0</v>
      </c>
      <c r="Q5" s="171">
        <v>3.26</v>
      </c>
      <c r="R5" s="171">
        <v>202</v>
      </c>
      <c r="S5" s="171">
        <v>5.14</v>
      </c>
      <c r="T5" s="171">
        <v>1.88</v>
      </c>
    </row>
    <row r="6" spans="1:20" x14ac:dyDescent="0.3">
      <c r="A6" s="171">
        <v>41.51</v>
      </c>
      <c r="B6" s="171">
        <v>0</v>
      </c>
      <c r="C6" s="171">
        <v>27.44</v>
      </c>
      <c r="D6" s="8">
        <v>43037.166666666664</v>
      </c>
      <c r="E6" s="171">
        <v>0.56999999999999995</v>
      </c>
      <c r="F6" s="171" t="s">
        <v>372</v>
      </c>
      <c r="G6" s="171">
        <v>256.8</v>
      </c>
      <c r="H6" s="171"/>
      <c r="I6" s="171">
        <v>0</v>
      </c>
      <c r="J6" s="171">
        <v>0</v>
      </c>
      <c r="K6" s="171"/>
      <c r="L6" s="171">
        <v>1013.45</v>
      </c>
      <c r="M6" s="171" t="s">
        <v>373</v>
      </c>
      <c r="N6" s="171">
        <v>41.51</v>
      </c>
      <c r="O6" s="171">
        <v>1509271200</v>
      </c>
      <c r="P6" s="171">
        <v>0</v>
      </c>
      <c r="Q6" s="171">
        <v>2.56</v>
      </c>
      <c r="R6" s="171">
        <v>206</v>
      </c>
      <c r="S6" s="171">
        <v>4.9800000000000004</v>
      </c>
      <c r="T6" s="171">
        <v>2.0299999999999998</v>
      </c>
    </row>
    <row r="7" spans="1:20" x14ac:dyDescent="0.3">
      <c r="A7" s="171">
        <v>43.05</v>
      </c>
      <c r="B7" s="171">
        <v>0</v>
      </c>
      <c r="C7" s="171">
        <v>26.68</v>
      </c>
      <c r="D7" s="8">
        <v>43037.208333333336</v>
      </c>
      <c r="E7" s="171">
        <v>0.52</v>
      </c>
      <c r="F7" s="171" t="s">
        <v>372</v>
      </c>
      <c r="G7" s="171">
        <v>256.54000000000002</v>
      </c>
      <c r="H7" s="171"/>
      <c r="I7" s="171">
        <v>0</v>
      </c>
      <c r="J7" s="171">
        <v>0</v>
      </c>
      <c r="K7" s="171"/>
      <c r="L7" s="171">
        <v>1012.62</v>
      </c>
      <c r="M7" s="171" t="s">
        <v>373</v>
      </c>
      <c r="N7" s="171">
        <v>43.05</v>
      </c>
      <c r="O7" s="171">
        <v>1509274800</v>
      </c>
      <c r="P7" s="171">
        <v>0</v>
      </c>
      <c r="Q7" s="171">
        <v>2.92</v>
      </c>
      <c r="R7" s="171">
        <v>208</v>
      </c>
      <c r="S7" s="171">
        <v>6.29</v>
      </c>
      <c r="T7" s="171">
        <v>2.25</v>
      </c>
    </row>
    <row r="8" spans="1:20" x14ac:dyDescent="0.3">
      <c r="A8" s="171">
        <v>43.95</v>
      </c>
      <c r="B8" s="171">
        <v>0.02</v>
      </c>
      <c r="C8" s="171">
        <v>26.61</v>
      </c>
      <c r="D8" s="8">
        <v>43037.25</v>
      </c>
      <c r="E8" s="171">
        <v>0.5</v>
      </c>
      <c r="F8" s="171" t="s">
        <v>372</v>
      </c>
      <c r="G8" s="171">
        <v>256.27999999999997</v>
      </c>
      <c r="H8" s="171"/>
      <c r="I8" s="171">
        <v>0</v>
      </c>
      <c r="J8" s="171">
        <v>0</v>
      </c>
      <c r="K8" s="171"/>
      <c r="L8" s="171">
        <v>1012.63</v>
      </c>
      <c r="M8" s="171" t="s">
        <v>373</v>
      </c>
      <c r="N8" s="171">
        <v>43.95</v>
      </c>
      <c r="O8" s="171">
        <v>1509278400</v>
      </c>
      <c r="P8" s="171">
        <v>0</v>
      </c>
      <c r="Q8" s="171">
        <v>3</v>
      </c>
      <c r="R8" s="171">
        <v>212</v>
      </c>
      <c r="S8" s="171">
        <v>7.15</v>
      </c>
      <c r="T8" s="171">
        <v>2.85</v>
      </c>
    </row>
    <row r="9" spans="1:20" x14ac:dyDescent="0.3">
      <c r="A9" s="171">
        <v>43.84</v>
      </c>
      <c r="B9" s="171">
        <v>0</v>
      </c>
      <c r="C9" s="171">
        <v>26.05</v>
      </c>
      <c r="D9" s="8">
        <v>43037.291666666664</v>
      </c>
      <c r="E9" s="171">
        <v>0.47</v>
      </c>
      <c r="F9" s="171" t="s">
        <v>372</v>
      </c>
      <c r="G9" s="171">
        <v>256.41000000000003</v>
      </c>
      <c r="H9" s="171"/>
      <c r="I9" s="171">
        <v>0</v>
      </c>
      <c r="J9" s="171">
        <v>0</v>
      </c>
      <c r="K9" s="171"/>
      <c r="L9" s="171">
        <v>1012.3</v>
      </c>
      <c r="M9" s="171" t="s">
        <v>373</v>
      </c>
      <c r="N9" s="171">
        <v>44.9</v>
      </c>
      <c r="O9" s="171">
        <v>1509282000</v>
      </c>
      <c r="P9" s="171">
        <v>0</v>
      </c>
      <c r="Q9" s="171">
        <v>3.83</v>
      </c>
      <c r="R9" s="171">
        <v>200</v>
      </c>
      <c r="S9" s="171">
        <v>8.27</v>
      </c>
      <c r="T9" s="171">
        <v>3.06</v>
      </c>
    </row>
    <row r="10" spans="1:20" x14ac:dyDescent="0.3">
      <c r="A10" s="171">
        <v>45.64</v>
      </c>
      <c r="B10" s="171">
        <v>0.03</v>
      </c>
      <c r="C10" s="171">
        <v>25.81</v>
      </c>
      <c r="D10" s="8">
        <v>43037.333333333336</v>
      </c>
      <c r="E10" s="171">
        <v>0.46</v>
      </c>
      <c r="F10" s="171" t="s">
        <v>381</v>
      </c>
      <c r="G10" s="171">
        <v>256.67</v>
      </c>
      <c r="H10" s="171"/>
      <c r="I10" s="171">
        <v>0</v>
      </c>
      <c r="J10" s="171">
        <v>0</v>
      </c>
      <c r="K10" s="171"/>
      <c r="L10" s="171">
        <v>1012.17</v>
      </c>
      <c r="M10" s="171" t="s">
        <v>373</v>
      </c>
      <c r="N10" s="171">
        <v>45.64</v>
      </c>
      <c r="O10" s="171">
        <v>1509285600</v>
      </c>
      <c r="P10" s="171">
        <v>0</v>
      </c>
      <c r="Q10" s="171">
        <v>3.49</v>
      </c>
      <c r="R10" s="171">
        <v>206</v>
      </c>
      <c r="S10" s="171">
        <v>7.1</v>
      </c>
      <c r="T10" s="171">
        <v>2.78</v>
      </c>
    </row>
    <row r="11" spans="1:20" x14ac:dyDescent="0.3">
      <c r="A11" s="171">
        <v>50.53</v>
      </c>
      <c r="B11" s="171">
        <v>0</v>
      </c>
      <c r="C11" s="171">
        <v>27.26</v>
      </c>
      <c r="D11" s="8">
        <v>43037.375</v>
      </c>
      <c r="E11" s="171">
        <v>0.4</v>
      </c>
      <c r="F11" s="171" t="s">
        <v>381</v>
      </c>
      <c r="G11" s="171">
        <v>257.06</v>
      </c>
      <c r="H11" s="171"/>
      <c r="I11" s="171">
        <v>0</v>
      </c>
      <c r="J11" s="171">
        <v>0</v>
      </c>
      <c r="K11" s="171"/>
      <c r="L11" s="171">
        <v>1011.29</v>
      </c>
      <c r="M11" s="171" t="s">
        <v>373</v>
      </c>
      <c r="N11" s="171">
        <v>50.53</v>
      </c>
      <c r="O11" s="171">
        <v>1509289200</v>
      </c>
      <c r="P11" s="171">
        <v>1</v>
      </c>
      <c r="Q11" s="171">
        <v>4.04</v>
      </c>
      <c r="R11" s="171">
        <v>196</v>
      </c>
      <c r="S11" s="171">
        <v>8.31</v>
      </c>
      <c r="T11" s="171">
        <v>3.22</v>
      </c>
    </row>
    <row r="12" spans="1:20" x14ac:dyDescent="0.3">
      <c r="A12" s="171">
        <v>58.62</v>
      </c>
      <c r="B12" s="171">
        <v>0.02</v>
      </c>
      <c r="C12" s="171">
        <v>28.29</v>
      </c>
      <c r="D12" s="8">
        <v>43037.416666666664</v>
      </c>
      <c r="E12" s="171">
        <v>0.31</v>
      </c>
      <c r="F12" s="171" t="s">
        <v>381</v>
      </c>
      <c r="G12" s="171">
        <v>257.45</v>
      </c>
      <c r="H12" s="171"/>
      <c r="I12" s="171">
        <v>0</v>
      </c>
      <c r="J12" s="171">
        <v>0</v>
      </c>
      <c r="K12" s="171"/>
      <c r="L12" s="171">
        <v>1010.55</v>
      </c>
      <c r="M12" s="171" t="s">
        <v>373</v>
      </c>
      <c r="N12" s="171">
        <v>58.62</v>
      </c>
      <c r="O12" s="171">
        <v>1509292800</v>
      </c>
      <c r="P12" s="171">
        <v>2</v>
      </c>
      <c r="Q12" s="171">
        <v>4.87</v>
      </c>
      <c r="R12" s="171">
        <v>199</v>
      </c>
      <c r="S12" s="171">
        <v>9.26</v>
      </c>
      <c r="T12" s="171">
        <v>3.15</v>
      </c>
    </row>
    <row r="13" spans="1:20" x14ac:dyDescent="0.3">
      <c r="A13" s="171">
        <v>65.11</v>
      </c>
      <c r="B13" s="171">
        <v>0.04</v>
      </c>
      <c r="C13" s="171">
        <v>28.76</v>
      </c>
      <c r="D13" s="8">
        <v>43037.458333333336</v>
      </c>
      <c r="E13" s="171">
        <v>0.25</v>
      </c>
      <c r="F13" s="171" t="s">
        <v>381</v>
      </c>
      <c r="G13" s="171">
        <v>257.83999999999997</v>
      </c>
      <c r="H13" s="171"/>
      <c r="I13" s="171">
        <v>0</v>
      </c>
      <c r="J13" s="171">
        <v>0</v>
      </c>
      <c r="K13" s="171"/>
      <c r="L13" s="171">
        <v>1009.36</v>
      </c>
      <c r="M13" s="171" t="s">
        <v>373</v>
      </c>
      <c r="N13" s="171">
        <v>65.11</v>
      </c>
      <c r="O13" s="171">
        <v>1509296400</v>
      </c>
      <c r="P13" s="171">
        <v>3</v>
      </c>
      <c r="Q13" s="171">
        <v>4.6100000000000003</v>
      </c>
      <c r="R13" s="171">
        <v>243</v>
      </c>
      <c r="S13" s="171">
        <v>8.75</v>
      </c>
      <c r="T13" s="171">
        <v>2.02</v>
      </c>
    </row>
    <row r="14" spans="1:20" x14ac:dyDescent="0.3">
      <c r="A14" s="171">
        <v>69.11</v>
      </c>
      <c r="B14" s="171">
        <v>0.03</v>
      </c>
      <c r="C14" s="171">
        <v>28.22</v>
      </c>
      <c r="D14" s="8">
        <v>43037.5</v>
      </c>
      <c r="E14" s="171">
        <v>0.22</v>
      </c>
      <c r="F14" s="171" t="s">
        <v>381</v>
      </c>
      <c r="G14" s="171">
        <v>257.85000000000002</v>
      </c>
      <c r="H14" s="171"/>
      <c r="I14" s="171">
        <v>0</v>
      </c>
      <c r="J14" s="171">
        <v>0</v>
      </c>
      <c r="K14" s="171"/>
      <c r="L14" s="171">
        <v>1008.33</v>
      </c>
      <c r="M14" s="171" t="s">
        <v>373</v>
      </c>
      <c r="N14" s="171">
        <v>69.11</v>
      </c>
      <c r="O14" s="171">
        <v>1509300000</v>
      </c>
      <c r="P14" s="171">
        <v>4</v>
      </c>
      <c r="Q14" s="171">
        <v>4.6100000000000003</v>
      </c>
      <c r="R14" s="171">
        <v>285</v>
      </c>
      <c r="S14" s="171">
        <v>8.1199999999999992</v>
      </c>
      <c r="T14" s="171">
        <v>2.88</v>
      </c>
    </row>
    <row r="15" spans="1:20" x14ac:dyDescent="0.3">
      <c r="A15" s="171">
        <v>71.7</v>
      </c>
      <c r="B15" s="171">
        <v>0.04</v>
      </c>
      <c r="C15" s="171">
        <v>26.96</v>
      </c>
      <c r="D15" s="8">
        <v>43037.541666666664</v>
      </c>
      <c r="E15" s="171">
        <v>0.19</v>
      </c>
      <c r="F15" s="171" t="s">
        <v>381</v>
      </c>
      <c r="G15" s="171">
        <v>257.97000000000003</v>
      </c>
      <c r="H15" s="171"/>
      <c r="I15" s="171">
        <v>0</v>
      </c>
      <c r="J15" s="171">
        <v>0</v>
      </c>
      <c r="K15" s="171"/>
      <c r="L15" s="171">
        <v>1006.85</v>
      </c>
      <c r="M15" s="171" t="s">
        <v>373</v>
      </c>
      <c r="N15" s="171">
        <v>71.7</v>
      </c>
      <c r="O15" s="171">
        <v>1509303600</v>
      </c>
      <c r="P15" s="171">
        <v>4</v>
      </c>
      <c r="Q15" s="171">
        <v>4.6100000000000003</v>
      </c>
      <c r="R15" s="171">
        <v>311</v>
      </c>
      <c r="S15" s="171">
        <v>8.94</v>
      </c>
      <c r="T15" s="171">
        <v>2.72</v>
      </c>
    </row>
    <row r="16" spans="1:20" x14ac:dyDescent="0.3">
      <c r="A16" s="171">
        <v>72.69</v>
      </c>
      <c r="B16" s="171">
        <v>0.05</v>
      </c>
      <c r="C16" s="171">
        <v>26.01</v>
      </c>
      <c r="D16" s="8">
        <v>43037.583333333336</v>
      </c>
      <c r="E16" s="171">
        <v>0.17</v>
      </c>
      <c r="F16" s="171" t="s">
        <v>381</v>
      </c>
      <c r="G16" s="171">
        <v>257.97000000000003</v>
      </c>
      <c r="H16" s="171"/>
      <c r="I16" s="171">
        <v>0</v>
      </c>
      <c r="J16" s="171">
        <v>0</v>
      </c>
      <c r="K16" s="171"/>
      <c r="L16" s="171">
        <v>1006.38</v>
      </c>
      <c r="M16" s="171" t="s">
        <v>373</v>
      </c>
      <c r="N16" s="171">
        <v>72.69</v>
      </c>
      <c r="O16" s="171">
        <v>1509307200</v>
      </c>
      <c r="P16" s="171">
        <v>3</v>
      </c>
      <c r="Q16" s="171">
        <v>4.79</v>
      </c>
      <c r="R16" s="171">
        <v>344</v>
      </c>
      <c r="S16" s="171">
        <v>9.18</v>
      </c>
      <c r="T16" s="171">
        <v>2.75</v>
      </c>
    </row>
    <row r="17" spans="1:20" x14ac:dyDescent="0.3">
      <c r="A17" s="171">
        <v>73.25</v>
      </c>
      <c r="B17" s="171">
        <v>7.0000000000000007E-2</v>
      </c>
      <c r="C17" s="171">
        <v>25.68</v>
      </c>
      <c r="D17" s="8">
        <v>43037.625</v>
      </c>
      <c r="E17" s="171">
        <v>0.17</v>
      </c>
      <c r="F17" s="171" t="s">
        <v>381</v>
      </c>
      <c r="G17" s="171">
        <v>257.97000000000003</v>
      </c>
      <c r="H17" s="171"/>
      <c r="I17" s="171">
        <v>1E-4</v>
      </c>
      <c r="J17" s="171">
        <v>0.03</v>
      </c>
      <c r="K17" s="171" t="s">
        <v>526</v>
      </c>
      <c r="L17" s="171">
        <v>1006</v>
      </c>
      <c r="M17" s="171" t="s">
        <v>373</v>
      </c>
      <c r="N17" s="171">
        <v>73.25</v>
      </c>
      <c r="O17" s="171">
        <v>1509310800</v>
      </c>
      <c r="P17" s="171">
        <v>2</v>
      </c>
      <c r="Q17" s="171">
        <v>4.79</v>
      </c>
      <c r="R17" s="171">
        <v>357</v>
      </c>
      <c r="S17" s="171">
        <v>8.15</v>
      </c>
      <c r="T17" s="171">
        <v>2.4900000000000002</v>
      </c>
    </row>
    <row r="18" spans="1:20" x14ac:dyDescent="0.3">
      <c r="A18" s="171">
        <v>72.760000000000005</v>
      </c>
      <c r="B18" s="171">
        <v>0.05</v>
      </c>
      <c r="C18" s="171">
        <v>26.02</v>
      </c>
      <c r="D18" s="8">
        <v>43037.666666666664</v>
      </c>
      <c r="E18" s="171">
        <v>0.17</v>
      </c>
      <c r="F18" s="171" t="s">
        <v>381</v>
      </c>
      <c r="G18" s="171">
        <v>257.97000000000003</v>
      </c>
      <c r="H18" s="171"/>
      <c r="I18" s="171">
        <v>2.0000000000000001E-4</v>
      </c>
      <c r="J18" s="171">
        <v>0.03</v>
      </c>
      <c r="K18" s="171" t="s">
        <v>526</v>
      </c>
      <c r="L18" s="171">
        <v>1006.3</v>
      </c>
      <c r="M18" s="171" t="s">
        <v>373</v>
      </c>
      <c r="N18" s="171">
        <v>72.760000000000005</v>
      </c>
      <c r="O18" s="171">
        <v>1509314400</v>
      </c>
      <c r="P18" s="171">
        <v>1</v>
      </c>
      <c r="Q18" s="171">
        <v>4.79</v>
      </c>
      <c r="R18" s="171">
        <v>24</v>
      </c>
      <c r="S18" s="171">
        <v>9.66</v>
      </c>
      <c r="T18" s="171">
        <v>3.09</v>
      </c>
    </row>
    <row r="19" spans="1:20" x14ac:dyDescent="0.3">
      <c r="A19" s="171">
        <v>70.25</v>
      </c>
      <c r="B19" s="171">
        <v>0.05</v>
      </c>
      <c r="C19" s="171">
        <v>27.07</v>
      </c>
      <c r="D19" s="8">
        <v>43037.708333333336</v>
      </c>
      <c r="E19" s="171">
        <v>0.2</v>
      </c>
      <c r="F19" s="171" t="s">
        <v>381</v>
      </c>
      <c r="G19" s="171">
        <v>258.10000000000002</v>
      </c>
      <c r="H19" s="171"/>
      <c r="I19" s="171">
        <v>0</v>
      </c>
      <c r="J19" s="171">
        <v>0</v>
      </c>
      <c r="K19" s="171"/>
      <c r="L19" s="171">
        <v>1007.11</v>
      </c>
      <c r="M19" s="171" t="s">
        <v>373</v>
      </c>
      <c r="N19" s="171">
        <v>70.25</v>
      </c>
      <c r="O19" s="171">
        <v>1509318000</v>
      </c>
      <c r="P19" s="171">
        <v>1</v>
      </c>
      <c r="Q19" s="171">
        <v>4.6100000000000003</v>
      </c>
      <c r="R19" s="171">
        <v>36</v>
      </c>
      <c r="S19" s="171">
        <v>11.56</v>
      </c>
      <c r="T19" s="171">
        <v>4.5999999999999996</v>
      </c>
    </row>
    <row r="20" spans="1:20" x14ac:dyDescent="0.3">
      <c r="A20" s="171">
        <v>61.91</v>
      </c>
      <c r="B20" s="171">
        <v>0.33</v>
      </c>
      <c r="C20" s="171">
        <v>30.32</v>
      </c>
      <c r="D20" s="8">
        <v>43037.75</v>
      </c>
      <c r="E20" s="171">
        <v>0.3</v>
      </c>
      <c r="F20" s="171" t="s">
        <v>559</v>
      </c>
      <c r="G20" s="171">
        <v>258.10000000000002</v>
      </c>
      <c r="H20" s="171"/>
      <c r="I20" s="171">
        <v>0</v>
      </c>
      <c r="J20" s="171">
        <v>0</v>
      </c>
      <c r="K20" s="171"/>
      <c r="L20" s="171">
        <v>1009.15</v>
      </c>
      <c r="M20" s="171" t="s">
        <v>562</v>
      </c>
      <c r="N20" s="171">
        <v>61.91</v>
      </c>
      <c r="O20" s="171">
        <v>1509321600</v>
      </c>
      <c r="P20" s="171">
        <v>0</v>
      </c>
      <c r="Q20" s="171">
        <v>4.6500000000000004</v>
      </c>
      <c r="R20" s="171">
        <v>34</v>
      </c>
      <c r="S20" s="171">
        <v>13.23</v>
      </c>
      <c r="T20" s="171">
        <v>5.44</v>
      </c>
    </row>
    <row r="21" spans="1:20" x14ac:dyDescent="0.3">
      <c r="A21" s="171">
        <v>55.47</v>
      </c>
      <c r="B21" s="171">
        <v>0.11</v>
      </c>
      <c r="C21" s="171">
        <v>31.54</v>
      </c>
      <c r="D21" s="8">
        <v>43037.791666666664</v>
      </c>
      <c r="E21" s="171">
        <v>0.4</v>
      </c>
      <c r="F21" s="171" t="s">
        <v>372</v>
      </c>
      <c r="G21" s="171">
        <v>258.10000000000002</v>
      </c>
      <c r="H21" s="171"/>
      <c r="I21" s="171">
        <v>0</v>
      </c>
      <c r="J21" s="171">
        <v>0</v>
      </c>
      <c r="K21" s="171"/>
      <c r="L21" s="171">
        <v>1011.98</v>
      </c>
      <c r="M21" s="171" t="s">
        <v>373</v>
      </c>
      <c r="N21" s="171">
        <v>55.47</v>
      </c>
      <c r="O21" s="171">
        <v>1509325200</v>
      </c>
      <c r="P21" s="171">
        <v>0</v>
      </c>
      <c r="Q21" s="171">
        <v>4.79</v>
      </c>
      <c r="R21" s="171">
        <v>10</v>
      </c>
      <c r="S21" s="171">
        <v>15.88</v>
      </c>
      <c r="T21" s="171">
        <v>6.94</v>
      </c>
    </row>
    <row r="22" spans="1:20" x14ac:dyDescent="0.3">
      <c r="A22" s="171">
        <v>47.29</v>
      </c>
      <c r="B22" s="171">
        <v>0.03</v>
      </c>
      <c r="C22" s="171">
        <v>32.590000000000003</v>
      </c>
      <c r="D22" s="8">
        <v>43037.833333333336</v>
      </c>
      <c r="E22" s="171">
        <v>0.53</v>
      </c>
      <c r="F22" s="171" t="s">
        <v>372</v>
      </c>
      <c r="G22" s="171">
        <v>258.10000000000002</v>
      </c>
      <c r="H22" s="171"/>
      <c r="I22" s="171">
        <v>0</v>
      </c>
      <c r="J22" s="171">
        <v>0</v>
      </c>
      <c r="K22" s="171"/>
      <c r="L22" s="171">
        <v>1014.24</v>
      </c>
      <c r="M22" s="171" t="s">
        <v>373</v>
      </c>
      <c r="N22" s="171">
        <v>49.12</v>
      </c>
      <c r="O22" s="171">
        <v>1509328800</v>
      </c>
      <c r="P22" s="171">
        <v>0</v>
      </c>
      <c r="Q22" s="171">
        <v>4.63</v>
      </c>
      <c r="R22" s="171">
        <v>13</v>
      </c>
      <c r="S22" s="171">
        <v>12.02</v>
      </c>
      <c r="T22" s="171">
        <v>4.84</v>
      </c>
    </row>
    <row r="23" spans="1:20" x14ac:dyDescent="0.3">
      <c r="A23" s="171">
        <v>43.07</v>
      </c>
      <c r="B23" s="171">
        <v>0.33</v>
      </c>
      <c r="C23" s="171">
        <v>32.31</v>
      </c>
      <c r="D23" s="8">
        <v>43037.875</v>
      </c>
      <c r="E23" s="171">
        <v>0.6</v>
      </c>
      <c r="F23" s="171" t="s">
        <v>559</v>
      </c>
      <c r="G23" s="171">
        <v>258.23</v>
      </c>
      <c r="H23" s="171"/>
      <c r="I23" s="171">
        <v>0</v>
      </c>
      <c r="J23" s="171">
        <v>0</v>
      </c>
      <c r="K23" s="171"/>
      <c r="L23" s="171">
        <v>1015.86</v>
      </c>
      <c r="M23" s="171" t="s">
        <v>562</v>
      </c>
      <c r="N23" s="171">
        <v>45.19</v>
      </c>
      <c r="O23" s="171">
        <v>1509332400</v>
      </c>
      <c r="P23" s="171">
        <v>0</v>
      </c>
      <c r="Q23" s="171">
        <v>4.16</v>
      </c>
      <c r="R23" s="171">
        <v>15</v>
      </c>
      <c r="S23" s="171">
        <v>8.68</v>
      </c>
      <c r="T23" s="171">
        <v>4.3099999999999996</v>
      </c>
    </row>
    <row r="24" spans="1:20" x14ac:dyDescent="0.3">
      <c r="A24" s="171">
        <v>42.08</v>
      </c>
      <c r="B24" s="171">
        <v>0.84</v>
      </c>
      <c r="C24" s="171">
        <v>31.77</v>
      </c>
      <c r="D24" s="8">
        <v>43037.916666666664</v>
      </c>
      <c r="E24" s="171">
        <v>0.62</v>
      </c>
      <c r="F24" s="171" t="s">
        <v>559</v>
      </c>
      <c r="G24" s="171">
        <v>258.48</v>
      </c>
      <c r="H24" s="171"/>
      <c r="I24" s="171">
        <v>0</v>
      </c>
      <c r="J24" s="171">
        <v>0</v>
      </c>
      <c r="K24" s="171"/>
      <c r="L24" s="171">
        <v>1016.34</v>
      </c>
      <c r="M24" s="171" t="s">
        <v>555</v>
      </c>
      <c r="N24" s="171">
        <v>43.98</v>
      </c>
      <c r="O24" s="171">
        <v>1509336000</v>
      </c>
      <c r="P24" s="171">
        <v>0</v>
      </c>
      <c r="Q24" s="171">
        <v>3.84</v>
      </c>
      <c r="R24" s="171">
        <v>24</v>
      </c>
      <c r="S24" s="171">
        <v>8.4600000000000009</v>
      </c>
      <c r="T24" s="171">
        <v>3.82</v>
      </c>
    </row>
    <row r="25" spans="1:20" x14ac:dyDescent="0.3">
      <c r="A25" s="171">
        <v>40.659999999999997</v>
      </c>
      <c r="B25" s="171">
        <v>0.83</v>
      </c>
      <c r="C25" s="171">
        <v>31.24</v>
      </c>
      <c r="D25" s="8">
        <v>43037.958333333336</v>
      </c>
      <c r="E25" s="171">
        <v>0.63</v>
      </c>
      <c r="F25" s="171" t="s">
        <v>559</v>
      </c>
      <c r="G25" s="171">
        <v>258.87</v>
      </c>
      <c r="H25" s="171"/>
      <c r="I25" s="171">
        <v>0</v>
      </c>
      <c r="J25" s="171">
        <v>0</v>
      </c>
      <c r="K25" s="171"/>
      <c r="L25" s="171">
        <v>1015.75</v>
      </c>
      <c r="M25" s="171" t="s">
        <v>555</v>
      </c>
      <c r="N25" s="171">
        <v>42.89</v>
      </c>
      <c r="O25" s="171">
        <v>1509339600</v>
      </c>
      <c r="P25" s="171">
        <v>0</v>
      </c>
      <c r="Q25" s="171">
        <v>3.52</v>
      </c>
      <c r="R25" s="171">
        <v>19</v>
      </c>
      <c r="S25" s="171">
        <v>8.2100000000000009</v>
      </c>
      <c r="T25" s="171">
        <v>4</v>
      </c>
    </row>
    <row r="26" spans="1:20" x14ac:dyDescent="0.3">
      <c r="A26" s="171">
        <v>38.71</v>
      </c>
      <c r="B26" s="171">
        <v>0.94</v>
      </c>
      <c r="C26" s="171">
        <v>30.18</v>
      </c>
      <c r="D26" s="8">
        <v>43038</v>
      </c>
      <c r="E26" s="171">
        <v>0.63</v>
      </c>
      <c r="F26" s="171" t="s">
        <v>560</v>
      </c>
      <c r="G26" s="171">
        <v>259.25</v>
      </c>
      <c r="H26" s="171"/>
      <c r="I26" s="171">
        <v>0</v>
      </c>
      <c r="J26" s="171">
        <v>0</v>
      </c>
      <c r="K26" s="171"/>
      <c r="L26" s="171">
        <v>1015.9</v>
      </c>
      <c r="M26" s="171" t="s">
        <v>561</v>
      </c>
      <c r="N26" s="171">
        <v>41.68</v>
      </c>
      <c r="O26" s="171">
        <v>1509343200</v>
      </c>
      <c r="P26" s="171">
        <v>0</v>
      </c>
      <c r="Q26" s="171">
        <v>3.42</v>
      </c>
      <c r="R26" s="171">
        <v>15</v>
      </c>
      <c r="S26" s="171">
        <v>9.68</v>
      </c>
      <c r="T26" s="171">
        <v>4.66</v>
      </c>
    </row>
    <row r="27" spans="1:20" x14ac:dyDescent="0.3">
      <c r="A27" s="171">
        <v>35.39</v>
      </c>
      <c r="B27" s="171">
        <v>0.91</v>
      </c>
      <c r="C27" s="171">
        <v>28.11</v>
      </c>
      <c r="D27" s="8">
        <v>43038.041666666664</v>
      </c>
      <c r="E27" s="171">
        <v>0.63</v>
      </c>
      <c r="F27" s="171" t="s">
        <v>559</v>
      </c>
      <c r="G27" s="171">
        <v>259.38</v>
      </c>
      <c r="H27" s="171"/>
      <c r="I27" s="171">
        <v>0</v>
      </c>
      <c r="J27" s="171">
        <v>0</v>
      </c>
      <c r="K27" s="171"/>
      <c r="L27" s="171">
        <v>1016.83</v>
      </c>
      <c r="M27" s="171" t="s">
        <v>555</v>
      </c>
      <c r="N27" s="171">
        <v>39.58</v>
      </c>
      <c r="O27" s="171">
        <v>1509346800</v>
      </c>
      <c r="P27" s="171">
        <v>0</v>
      </c>
      <c r="Q27" s="171">
        <v>3.35</v>
      </c>
      <c r="R27" s="171">
        <v>23</v>
      </c>
      <c r="S27" s="171">
        <v>11.7</v>
      </c>
      <c r="T27" s="171">
        <v>5.8</v>
      </c>
    </row>
    <row r="28" spans="1:20" x14ac:dyDescent="0.3">
      <c r="A28" s="171">
        <v>32.520000000000003</v>
      </c>
      <c r="B28" s="171">
        <v>0.83</v>
      </c>
      <c r="C28" s="171">
        <v>28.75</v>
      </c>
      <c r="D28" s="8">
        <v>43038.083333333336</v>
      </c>
      <c r="E28" s="171">
        <v>0.72</v>
      </c>
      <c r="F28" s="171" t="s">
        <v>559</v>
      </c>
      <c r="G28" s="171">
        <v>259.64</v>
      </c>
      <c r="H28" s="171"/>
      <c r="I28" s="171">
        <v>0</v>
      </c>
      <c r="J28" s="171">
        <v>0</v>
      </c>
      <c r="K28" s="171"/>
      <c r="L28" s="171">
        <v>1017.64</v>
      </c>
      <c r="M28" s="171" t="s">
        <v>555</v>
      </c>
      <c r="N28" s="171">
        <v>36.89</v>
      </c>
      <c r="O28" s="171">
        <v>1509350400</v>
      </c>
      <c r="P28" s="171">
        <v>0</v>
      </c>
      <c r="Q28" s="171">
        <v>2.83</v>
      </c>
      <c r="R28" s="171">
        <v>20</v>
      </c>
      <c r="S28" s="171">
        <v>11.5</v>
      </c>
      <c r="T28" s="171">
        <v>5.37</v>
      </c>
    </row>
    <row r="29" spans="1:20" x14ac:dyDescent="0.3">
      <c r="A29" s="171">
        <v>28.92</v>
      </c>
      <c r="B29" s="171">
        <v>0.54</v>
      </c>
      <c r="C29" s="171">
        <v>30.19</v>
      </c>
      <c r="D29" s="8">
        <v>43038.125</v>
      </c>
      <c r="E29" s="171">
        <v>0.87</v>
      </c>
      <c r="F29" s="171" t="s">
        <v>556</v>
      </c>
      <c r="G29" s="171">
        <v>259.77</v>
      </c>
      <c r="H29" s="171">
        <v>5.0000000000000001E-3</v>
      </c>
      <c r="I29" s="171">
        <v>6.9999999999999999E-4</v>
      </c>
      <c r="J29" s="171">
        <v>0.16</v>
      </c>
      <c r="K29" s="171" t="s">
        <v>558</v>
      </c>
      <c r="L29" s="171">
        <v>1018.95</v>
      </c>
      <c r="M29" s="171" t="s">
        <v>557</v>
      </c>
      <c r="N29" s="171">
        <v>33.67</v>
      </c>
      <c r="O29" s="171">
        <v>1509354000</v>
      </c>
      <c r="P29" s="171">
        <v>0</v>
      </c>
      <c r="Q29" s="171">
        <v>1.86</v>
      </c>
      <c r="R29" s="171">
        <v>25</v>
      </c>
      <c r="S29" s="171">
        <v>10.53</v>
      </c>
      <c r="T29" s="171">
        <v>5.13</v>
      </c>
    </row>
    <row r="30" spans="1:20" x14ac:dyDescent="0.3">
      <c r="A30" s="125"/>
      <c r="B30" s="125"/>
      <c r="C30" s="125"/>
      <c r="D30" s="8"/>
      <c r="E30" s="125"/>
      <c r="F30" s="125"/>
      <c r="G30" s="125"/>
      <c r="H30" s="125"/>
      <c r="I30" s="125"/>
      <c r="J30" s="125"/>
      <c r="K30" s="125"/>
      <c r="L30" s="125"/>
      <c r="M30" s="125"/>
      <c r="N30" s="125"/>
      <c r="O30" s="125"/>
      <c r="P30" s="125"/>
    </row>
    <row r="31" spans="1:20" x14ac:dyDescent="0.3">
      <c r="A31" s="126" t="s">
        <v>181</v>
      </c>
    </row>
    <row r="33" spans="1:1" x14ac:dyDescent="0.3">
      <c r="A33" s="126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3"/>
  <sheetViews>
    <sheetView workbookViewId="0">
      <selection activeCell="A4" sqref="A4"/>
    </sheetView>
  </sheetViews>
  <sheetFormatPr defaultRowHeight="14.4" x14ac:dyDescent="0.3"/>
  <cols>
    <col min="1" max="1" width="32.109375" customWidth="1"/>
    <col min="3" max="3" width="24" customWidth="1"/>
    <col min="4" max="4" width="19.109375" style="49" customWidth="1"/>
    <col min="10" max="10" width="24.33203125" style="125" bestFit="1" customWidth="1"/>
    <col min="11" max="11" width="15.33203125" style="125" hidden="1" customWidth="1"/>
    <col min="12" max="12" width="13.5546875" style="125" hidden="1" customWidth="1"/>
    <col min="13" max="13" width="9" style="138" bestFit="1" customWidth="1"/>
    <col min="14" max="17" width="9.109375" style="125"/>
    <col min="20" max="24" width="9.109375" style="138"/>
    <col min="29" max="29" width="12.44140625" customWidth="1"/>
    <col min="30" max="30" width="9.109375" style="152"/>
    <col min="31" max="32" width="9.109375" style="49"/>
  </cols>
  <sheetData>
    <row r="1" spans="1:32" ht="43.8" x14ac:dyDescent="0.35">
      <c r="A1" s="11" t="s">
        <v>25</v>
      </c>
      <c r="C1" s="104" t="s">
        <v>96</v>
      </c>
      <c r="D1" s="105" t="s">
        <v>97</v>
      </c>
      <c r="J1" s="131" t="s">
        <v>98</v>
      </c>
      <c r="K1" s="131" t="s">
        <v>66</v>
      </c>
      <c r="L1" s="131" t="s">
        <v>67</v>
      </c>
      <c r="O1" s="132" t="s">
        <v>99</v>
      </c>
      <c r="T1" s="140" t="s">
        <v>326</v>
      </c>
      <c r="U1" s="140"/>
      <c r="V1" s="140"/>
      <c r="W1" s="140"/>
      <c r="X1" s="140"/>
    </row>
    <row r="2" spans="1:32" ht="15" thickBot="1" x14ac:dyDescent="0.35">
      <c r="A2" s="12">
        <v>43037</v>
      </c>
      <c r="B2" s="4"/>
      <c r="C2" s="106">
        <v>50</v>
      </c>
      <c r="D2" s="107">
        <v>25</v>
      </c>
      <c r="F2" t="s">
        <v>110</v>
      </c>
      <c r="J2" s="131"/>
      <c r="K2" s="131" t="s">
        <v>66</v>
      </c>
      <c r="L2" s="131" t="s">
        <v>67</v>
      </c>
      <c r="T2" s="139" t="s">
        <v>327</v>
      </c>
      <c r="U2" s="139">
        <v>167</v>
      </c>
      <c r="V2" s="139">
        <v>168</v>
      </c>
      <c r="W2" s="139">
        <v>199</v>
      </c>
      <c r="X2" s="139">
        <v>200</v>
      </c>
      <c r="AD2" t="s">
        <v>341</v>
      </c>
      <c r="AE2" s="49" t="s">
        <v>344</v>
      </c>
      <c r="AF2" s="49" t="s">
        <v>345</v>
      </c>
    </row>
    <row r="3" spans="1:32" x14ac:dyDescent="0.3">
      <c r="C3" s="49"/>
      <c r="F3" t="s">
        <v>52</v>
      </c>
      <c r="J3" s="133" t="s">
        <v>68</v>
      </c>
      <c r="K3" s="134">
        <v>2.7052</v>
      </c>
      <c r="L3" s="134">
        <v>2.7349999999999999</v>
      </c>
      <c r="M3" s="138">
        <f t="shared" ref="M3:M14" si="0">AVERAGE(K3:L3)</f>
        <v>2.7201</v>
      </c>
      <c r="O3" s="125" t="s">
        <v>100</v>
      </c>
      <c r="P3" s="125">
        <f>AVERAGE(1.0714,1.1016)</f>
        <v>1.0865</v>
      </c>
      <c r="T3" s="139" t="s">
        <v>328</v>
      </c>
      <c r="U3" s="139">
        <v>174</v>
      </c>
      <c r="V3" s="139">
        <v>176</v>
      </c>
      <c r="W3" s="139">
        <v>207</v>
      </c>
      <c r="X3" s="139">
        <v>210</v>
      </c>
      <c r="AC3" s="30" t="s">
        <v>102</v>
      </c>
      <c r="AD3" s="116">
        <v>23</v>
      </c>
      <c r="AE3" s="42">
        <v>100</v>
      </c>
      <c r="AF3" s="42">
        <v>299</v>
      </c>
    </row>
    <row r="4" spans="1:32" ht="43.2" x14ac:dyDescent="0.3">
      <c r="C4" s="104" t="s">
        <v>96</v>
      </c>
      <c r="D4" s="105" t="s">
        <v>97</v>
      </c>
      <c r="F4" t="s">
        <v>53</v>
      </c>
      <c r="J4" s="133" t="s">
        <v>69</v>
      </c>
      <c r="K4" s="134">
        <v>3.0830000000000002</v>
      </c>
      <c r="L4" s="134">
        <v>3.097</v>
      </c>
      <c r="M4" s="138">
        <f t="shared" si="0"/>
        <v>3.09</v>
      </c>
      <c r="T4" s="139" t="s">
        <v>329</v>
      </c>
      <c r="U4" s="139">
        <v>173</v>
      </c>
      <c r="V4" s="139">
        <v>175</v>
      </c>
      <c r="W4" s="139">
        <v>208</v>
      </c>
      <c r="X4" s="139">
        <v>209</v>
      </c>
      <c r="AC4" s="30" t="s">
        <v>103</v>
      </c>
      <c r="AD4" s="116">
        <v>5.65</v>
      </c>
      <c r="AE4" s="42">
        <v>800</v>
      </c>
      <c r="AF4" s="42">
        <v>899</v>
      </c>
    </row>
    <row r="5" spans="1:32" x14ac:dyDescent="0.3">
      <c r="C5" s="49">
        <v>30</v>
      </c>
      <c r="D5" s="49">
        <v>9</v>
      </c>
      <c r="J5" s="133" t="s">
        <v>70</v>
      </c>
      <c r="K5" s="134">
        <v>3.3136000000000001</v>
      </c>
      <c r="L5" s="134">
        <v>3.3256999999999999</v>
      </c>
      <c r="M5" s="138">
        <f t="shared" si="0"/>
        <v>3.3196500000000002</v>
      </c>
      <c r="T5" s="139" t="s">
        <v>330</v>
      </c>
      <c r="U5" s="139">
        <v>187</v>
      </c>
      <c r="V5" s="139">
        <v>188</v>
      </c>
      <c r="W5" s="139">
        <v>223</v>
      </c>
      <c r="X5" s="139">
        <v>224</v>
      </c>
      <c r="AC5" s="30" t="s">
        <v>342</v>
      </c>
      <c r="AD5" s="116">
        <v>11.15</v>
      </c>
      <c r="AE5" s="42">
        <v>400</v>
      </c>
      <c r="AF5" s="42">
        <v>600</v>
      </c>
    </row>
    <row r="6" spans="1:32" x14ac:dyDescent="0.3">
      <c r="C6" s="49"/>
      <c r="F6" t="s">
        <v>111</v>
      </c>
      <c r="J6" s="133" t="s">
        <v>71</v>
      </c>
      <c r="K6" s="134">
        <v>4.2778999999999998</v>
      </c>
      <c r="L6" s="134">
        <v>4.2961</v>
      </c>
      <c r="M6" s="138">
        <f t="shared" si="0"/>
        <v>4.2869999999999999</v>
      </c>
      <c r="T6" s="139"/>
      <c r="U6" s="139"/>
      <c r="V6" s="139"/>
      <c r="W6" s="139"/>
      <c r="X6" s="139"/>
      <c r="AC6" s="45" t="s">
        <v>103</v>
      </c>
      <c r="AD6" s="162">
        <v>5.65</v>
      </c>
      <c r="AE6" s="42">
        <v>1800</v>
      </c>
      <c r="AF6" s="42">
        <v>1899</v>
      </c>
    </row>
    <row r="7" spans="1:32" x14ac:dyDescent="0.3">
      <c r="C7" s="49"/>
      <c r="F7" t="s">
        <v>337</v>
      </c>
      <c r="J7" s="133" t="s">
        <v>72</v>
      </c>
      <c r="K7" s="134">
        <v>4.7865000000000002</v>
      </c>
      <c r="L7" s="134">
        <v>4.8048000000000002</v>
      </c>
      <c r="M7" s="138">
        <f t="shared" si="0"/>
        <v>4.7956500000000002</v>
      </c>
      <c r="T7" s="139"/>
      <c r="U7" s="139"/>
      <c r="V7" s="139"/>
      <c r="W7" s="139"/>
      <c r="X7" s="139"/>
      <c r="AC7" s="30" t="s">
        <v>343</v>
      </c>
      <c r="AD7" s="116">
        <v>99</v>
      </c>
      <c r="AE7" s="42">
        <v>0</v>
      </c>
      <c r="AF7" s="42">
        <v>99</v>
      </c>
    </row>
    <row r="8" spans="1:32" x14ac:dyDescent="0.3">
      <c r="C8" s="49"/>
      <c r="F8" t="s">
        <v>365</v>
      </c>
      <c r="J8" s="133" t="s">
        <v>73</v>
      </c>
      <c r="K8" s="134">
        <v>5.3155000000000001</v>
      </c>
      <c r="L8" s="134">
        <v>5.3277000000000001</v>
      </c>
      <c r="M8" s="138">
        <f t="shared" si="0"/>
        <v>5.3216000000000001</v>
      </c>
      <c r="T8" s="139"/>
      <c r="U8" s="139"/>
      <c r="V8" s="139"/>
      <c r="W8" s="139"/>
      <c r="X8" s="139"/>
      <c r="AC8" s="45" t="s">
        <v>346</v>
      </c>
      <c r="AD8" s="157">
        <v>9999</v>
      </c>
      <c r="AE8" s="116">
        <v>9999</v>
      </c>
      <c r="AF8" s="116">
        <v>9999</v>
      </c>
    </row>
    <row r="9" spans="1:32" x14ac:dyDescent="0.3">
      <c r="C9" s="49"/>
      <c r="J9" s="133" t="s">
        <v>74</v>
      </c>
      <c r="K9" s="134">
        <v>5.8117000000000001</v>
      </c>
      <c r="L9" s="134">
        <v>5.8300999999999998</v>
      </c>
      <c r="M9" s="138">
        <f t="shared" si="0"/>
        <v>5.8209</v>
      </c>
      <c r="T9" s="139"/>
      <c r="U9" s="139"/>
      <c r="V9" s="139"/>
      <c r="W9" s="139"/>
      <c r="X9" s="139"/>
    </row>
    <row r="10" spans="1:32" x14ac:dyDescent="0.3">
      <c r="C10" s="49"/>
      <c r="J10" s="133" t="s">
        <v>75</v>
      </c>
      <c r="K10" s="134">
        <v>5.8783000000000003</v>
      </c>
      <c r="L10" s="134">
        <v>5.8903999999999996</v>
      </c>
      <c r="M10" s="138">
        <f t="shared" si="0"/>
        <v>5.8843499999999995</v>
      </c>
      <c r="T10" s="139"/>
      <c r="U10" s="139"/>
      <c r="V10" s="139"/>
      <c r="W10" s="139"/>
      <c r="X10" s="139"/>
    </row>
    <row r="11" spans="1:32" x14ac:dyDescent="0.3">
      <c r="C11" s="49"/>
      <c r="J11" s="133" t="s">
        <v>76</v>
      </c>
      <c r="K11" s="134">
        <v>6.3068</v>
      </c>
      <c r="L11" s="134">
        <v>6.3308999999999997</v>
      </c>
      <c r="M11" s="138">
        <f t="shared" si="0"/>
        <v>6.3188499999999994</v>
      </c>
      <c r="T11" s="139"/>
      <c r="U11" s="139"/>
      <c r="V11" s="139"/>
      <c r="W11" s="139"/>
      <c r="X11" s="139"/>
    </row>
    <row r="12" spans="1:32" x14ac:dyDescent="0.3">
      <c r="C12" s="49"/>
      <c r="J12" s="133" t="s">
        <v>77</v>
      </c>
      <c r="K12" s="134">
        <v>7.8349000000000002</v>
      </c>
      <c r="L12" s="134">
        <v>7.8468999999999998</v>
      </c>
      <c r="M12" s="138">
        <f t="shared" si="0"/>
        <v>7.8408999999999995</v>
      </c>
      <c r="T12" s="139"/>
      <c r="U12" s="139"/>
      <c r="V12" s="139"/>
      <c r="W12" s="139"/>
      <c r="X12" s="139"/>
    </row>
    <row r="13" spans="1:32" x14ac:dyDescent="0.3">
      <c r="C13" s="49"/>
      <c r="J13" s="133" t="s">
        <v>78</v>
      </c>
      <c r="K13" s="134">
        <v>10.373799999999999</v>
      </c>
      <c r="L13" s="134">
        <v>10.38</v>
      </c>
      <c r="M13" s="138">
        <f t="shared" si="0"/>
        <v>10.376899999999999</v>
      </c>
      <c r="T13" s="139"/>
      <c r="U13" s="139"/>
      <c r="V13" s="139"/>
      <c r="W13" s="139"/>
      <c r="X13" s="139"/>
    </row>
    <row r="14" spans="1:32" x14ac:dyDescent="0.3">
      <c r="C14" s="49"/>
      <c r="J14" s="133" t="s">
        <v>79</v>
      </c>
      <c r="K14" s="134">
        <v>10.8954</v>
      </c>
      <c r="L14" s="134">
        <v>10.913500000000001</v>
      </c>
      <c r="M14" s="138">
        <f t="shared" si="0"/>
        <v>10.904450000000001</v>
      </c>
      <c r="T14" s="139"/>
      <c r="U14" s="139"/>
      <c r="V14" s="139"/>
      <c r="W14" s="139"/>
      <c r="X14" s="139"/>
    </row>
    <row r="15" spans="1:32" x14ac:dyDescent="0.3">
      <c r="C15" s="49"/>
      <c r="J15" s="133"/>
      <c r="K15" s="134"/>
      <c r="L15" s="134"/>
      <c r="T15" s="139"/>
      <c r="U15" s="139"/>
      <c r="V15" s="139"/>
      <c r="W15" s="139"/>
      <c r="X15" s="139"/>
    </row>
    <row r="16" spans="1:32" x14ac:dyDescent="0.3">
      <c r="C16" s="49"/>
      <c r="J16" s="133"/>
      <c r="K16" s="134"/>
      <c r="L16" s="134"/>
      <c r="T16" s="139"/>
      <c r="U16" s="139"/>
      <c r="V16" s="139"/>
      <c r="W16" s="139"/>
      <c r="X16" s="139"/>
    </row>
    <row r="17" spans="3:24" x14ac:dyDescent="0.3">
      <c r="C17" s="122" t="s">
        <v>182</v>
      </c>
      <c r="J17" s="133"/>
      <c r="K17" s="134"/>
      <c r="L17" s="134"/>
      <c r="T17" s="139"/>
      <c r="U17" s="139"/>
      <c r="V17" s="139"/>
      <c r="W17" s="139"/>
      <c r="X17" s="139"/>
    </row>
    <row r="18" spans="3:24" x14ac:dyDescent="0.3">
      <c r="C18" t="s">
        <v>1079</v>
      </c>
      <c r="J18" s="133" t="s">
        <v>85</v>
      </c>
      <c r="K18" s="134"/>
      <c r="L18" s="134"/>
      <c r="M18" s="138" t="str">
        <f>"""C:\Program Files (x86)\AstroGrep\AstroGrep.exe"""</f>
        <v>"C:\Program Files (x86)\AstroGrep\AstroGrep.exe"</v>
      </c>
      <c r="T18" s="139"/>
      <c r="U18" s="139"/>
      <c r="V18" s="139"/>
      <c r="W18" s="139"/>
      <c r="X18" s="139"/>
    </row>
    <row r="19" spans="3:24" x14ac:dyDescent="0.3">
      <c r="C19" t="s">
        <v>1080</v>
      </c>
      <c r="J19" s="133" t="s">
        <v>86</v>
      </c>
      <c r="K19" s="134"/>
      <c r="L19" s="134"/>
      <c r="M19" s="138" t="s">
        <v>109</v>
      </c>
      <c r="T19" s="139"/>
      <c r="U19" s="139"/>
      <c r="V19" s="139"/>
      <c r="W19" s="139"/>
      <c r="X19" s="139"/>
    </row>
    <row r="20" spans="3:24" x14ac:dyDescent="0.3">
      <c r="C20" t="s">
        <v>1081</v>
      </c>
      <c r="J20" s="125" t="s">
        <v>87</v>
      </c>
      <c r="M20" s="138" t="s">
        <v>336</v>
      </c>
      <c r="N20" s="138" t="s">
        <v>325</v>
      </c>
      <c r="T20" s="139"/>
      <c r="U20" s="139"/>
      <c r="V20" s="139"/>
      <c r="W20" s="139"/>
      <c r="X20" s="139"/>
    </row>
    <row r="21" spans="3:24" x14ac:dyDescent="0.3">
      <c r="C21" t="s">
        <v>1082</v>
      </c>
      <c r="J21" s="125" t="s">
        <v>90</v>
      </c>
      <c r="K21" s="125" t="s">
        <v>91</v>
      </c>
      <c r="M21" s="138" t="s">
        <v>172</v>
      </c>
      <c r="T21" s="139"/>
      <c r="U21" s="139"/>
      <c r="V21" s="139"/>
      <c r="W21" s="139"/>
      <c r="X21" s="139"/>
    </row>
    <row r="22" spans="3:24" x14ac:dyDescent="0.3">
      <c r="C22" t="s">
        <v>1083</v>
      </c>
      <c r="J22" s="125" t="s">
        <v>92</v>
      </c>
      <c r="K22" s="125" t="s">
        <v>108</v>
      </c>
      <c r="M22" s="138" t="s">
        <v>108</v>
      </c>
      <c r="T22" s="139"/>
      <c r="U22" s="139"/>
      <c r="V22" s="139"/>
      <c r="W22" s="139"/>
      <c r="X22" s="139"/>
    </row>
    <row r="23" spans="3:24" x14ac:dyDescent="0.3">
      <c r="C23" t="s">
        <v>1084</v>
      </c>
      <c r="J23" s="135" t="s">
        <v>94</v>
      </c>
      <c r="M23" s="138" t="str">
        <f>"-06"</f>
        <v>-06</v>
      </c>
      <c r="T23" s="139"/>
      <c r="U23" s="139"/>
      <c r="V23" s="139"/>
      <c r="W23" s="139"/>
      <c r="X23" s="139"/>
    </row>
    <row r="24" spans="3:24" x14ac:dyDescent="0.3">
      <c r="C24" t="s">
        <v>1085</v>
      </c>
      <c r="J24" s="125" t="s">
        <v>105</v>
      </c>
      <c r="M24" s="138" t="s">
        <v>107</v>
      </c>
      <c r="T24" s="139"/>
      <c r="U24" s="139"/>
      <c r="V24" s="139"/>
      <c r="W24" s="139"/>
      <c r="X24" s="139"/>
    </row>
    <row r="25" spans="3:24" x14ac:dyDescent="0.3">
      <c r="C25" t="s">
        <v>1086</v>
      </c>
      <c r="J25" s="125" t="s">
        <v>144</v>
      </c>
      <c r="M25" s="138" t="b">
        <v>1</v>
      </c>
    </row>
    <row r="26" spans="3:24" x14ac:dyDescent="0.3">
      <c r="C26" t="s">
        <v>1087</v>
      </c>
      <c r="J26" s="125" t="s">
        <v>145</v>
      </c>
      <c r="M26" s="138" t="str">
        <f>"%USERPROFILE%\Documents\GitHub\eaglep3-reporting\EC\"&amp;TEXT(A2,"yyyy-mm-dd")&amp;"-refined-times.txt"</f>
        <v>%USERPROFILE%\Documents\GitHub\eaglep3-reporting\EC\2017-10-29-refined-times.txt</v>
      </c>
    </row>
    <row r="27" spans="3:24" x14ac:dyDescent="0.3">
      <c r="C27" t="s">
        <v>1088</v>
      </c>
      <c r="J27" s="125" t="s">
        <v>174</v>
      </c>
      <c r="M27" s="138" t="str">
        <f>"%USERPROFILE%\Documents\GitHub\eaglep3-reporting\EC\"&amp;TEXT(A2,"YYYY-MM-DD")&amp;"-Enforcements.txt"</f>
        <v>%USERPROFILE%\Documents\GitHub\eaglep3-reporting\EC\2017-10-29-Enforcements.txt</v>
      </c>
    </row>
    <row r="28" spans="3:24" x14ac:dyDescent="0.3">
      <c r="C28" t="s">
        <v>1089</v>
      </c>
      <c r="J28" s="125" t="s">
        <v>175</v>
      </c>
      <c r="M28" s="138" t="str">
        <f>"%USERPROFILE%\Documents\GitHub\eaglep3-reporting\EC\"&amp;TEXT(A2,"YYYY-MM-DD")&amp;"-Runs-refined.txt"</f>
        <v>%USERPROFILE%\Documents\GitHub\eaglep3-reporting\EC\2017-10-29-Runs-refined.txt</v>
      </c>
    </row>
    <row r="29" spans="3:24" x14ac:dyDescent="0.3">
      <c r="C29" t="s">
        <v>1090</v>
      </c>
      <c r="J29" s="125" t="s">
        <v>176</v>
      </c>
      <c r="M29" s="138" t="str">
        <f>"%USERPROFILE%\Documents\GitHub\eaglep3-reporting\EC\"&amp;TEXT(A2,"YYYY-MM-DD")&amp;"-Trips.txt"</f>
        <v>%USERPROFILE%\Documents\GitHub\eaglep3-reporting\EC\2017-10-29-Trips.txt</v>
      </c>
    </row>
    <row r="30" spans="3:24" x14ac:dyDescent="0.3">
      <c r="C30" t="s">
        <v>1091</v>
      </c>
      <c r="J30" s="125" t="s">
        <v>177</v>
      </c>
      <c r="M30" s="138" t="str">
        <f>"%USERPROFILE%\Documents\GitHub\eaglep3-reporting\EC\"&amp;TEXT(A2,"YYYY-MM-DD")&amp;"-Weather.txt"</f>
        <v>%USERPROFILE%\Documents\GitHub\eaglep3-reporting\EC\2017-10-29-Weather.txt</v>
      </c>
    </row>
    <row r="31" spans="3:24" x14ac:dyDescent="0.3">
      <c r="C31" t="s">
        <v>1092</v>
      </c>
      <c r="J31" s="125" t="s">
        <v>190</v>
      </c>
      <c r="M31" s="138" t="s">
        <v>191</v>
      </c>
    </row>
    <row r="32" spans="3:24" x14ac:dyDescent="0.3">
      <c r="C32" t="s">
        <v>1093</v>
      </c>
    </row>
    <row r="33" spans="3:3" x14ac:dyDescent="0.3">
      <c r="C33" t="s">
        <v>1094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79" bestFit="1" customWidth="1"/>
    <col min="2" max="7" width="9.109375" style="79"/>
    <col min="8" max="8" width="17.6640625" style="167" bestFit="1" customWidth="1"/>
    <col min="9" max="10" width="9.109375" style="167"/>
    <col min="11" max="16384" width="9.109375" style="79"/>
  </cols>
  <sheetData>
    <row r="1" spans="1:11" x14ac:dyDescent="0.3">
      <c r="A1" s="78" t="s">
        <v>115</v>
      </c>
      <c r="B1" s="78" t="s">
        <v>116</v>
      </c>
      <c r="C1" s="79" t="s">
        <v>117</v>
      </c>
      <c r="H1" s="152" t="s">
        <v>112</v>
      </c>
      <c r="I1" s="165" t="s">
        <v>378</v>
      </c>
      <c r="J1" s="152" t="s">
        <v>332</v>
      </c>
    </row>
    <row r="2" spans="1:11" x14ac:dyDescent="0.3">
      <c r="A2" s="79" t="s">
        <v>118</v>
      </c>
      <c r="B2" s="79" t="s">
        <v>119</v>
      </c>
      <c r="C2" s="79" t="s">
        <v>120</v>
      </c>
      <c r="H2" s="152" t="s">
        <v>113</v>
      </c>
      <c r="I2" s="152" t="s">
        <v>114</v>
      </c>
      <c r="J2" s="152" t="s">
        <v>333</v>
      </c>
    </row>
    <row r="3" spans="1:11" x14ac:dyDescent="0.3">
      <c r="A3" s="79" t="s">
        <v>121</v>
      </c>
      <c r="B3" s="79" t="s">
        <v>122</v>
      </c>
      <c r="C3" s="79" t="s">
        <v>123</v>
      </c>
      <c r="H3" s="152" t="s">
        <v>137</v>
      </c>
      <c r="I3" s="152">
        <v>1</v>
      </c>
      <c r="J3" s="152">
        <v>1</v>
      </c>
      <c r="K3" s="48"/>
    </row>
    <row r="4" spans="1:11" x14ac:dyDescent="0.3">
      <c r="A4" s="79" t="s">
        <v>124</v>
      </c>
      <c r="C4" s="79" t="s">
        <v>125</v>
      </c>
      <c r="H4" s="152" t="s">
        <v>138</v>
      </c>
      <c r="I4" s="152">
        <v>2</v>
      </c>
      <c r="J4" s="152">
        <v>1</v>
      </c>
      <c r="K4" s="48"/>
    </row>
    <row r="5" spans="1:11" x14ac:dyDescent="0.3">
      <c r="A5" s="79" t="s">
        <v>126</v>
      </c>
      <c r="C5" s="79" t="s">
        <v>127</v>
      </c>
      <c r="H5" s="152" t="s">
        <v>139</v>
      </c>
      <c r="I5" s="152">
        <v>338</v>
      </c>
      <c r="J5" s="152">
        <v>10</v>
      </c>
      <c r="K5" s="48"/>
    </row>
    <row r="6" spans="1:11" x14ac:dyDescent="0.3">
      <c r="A6" s="79" t="s">
        <v>128</v>
      </c>
      <c r="C6" s="79" t="s">
        <v>129</v>
      </c>
      <c r="H6" s="166" t="s">
        <v>140</v>
      </c>
      <c r="I6" s="166" t="s">
        <v>119</v>
      </c>
    </row>
    <row r="7" spans="1:11" x14ac:dyDescent="0.3">
      <c r="A7" s="79" t="s">
        <v>130</v>
      </c>
      <c r="C7" s="79" t="s">
        <v>131</v>
      </c>
    </row>
    <row r="8" spans="1:11" x14ac:dyDescent="0.3">
      <c r="C8" s="79" t="s">
        <v>132</v>
      </c>
    </row>
    <row r="9" spans="1:11" x14ac:dyDescent="0.3">
      <c r="C9" s="80" t="s">
        <v>165</v>
      </c>
    </row>
    <row r="10" spans="1:11" x14ac:dyDescent="0.3">
      <c r="C10" s="79" t="s">
        <v>133</v>
      </c>
    </row>
    <row r="11" spans="1:11" x14ac:dyDescent="0.3">
      <c r="C11" s="79" t="s">
        <v>134</v>
      </c>
    </row>
    <row r="12" spans="1:11" x14ac:dyDescent="0.3">
      <c r="C12" s="79" t="s">
        <v>135</v>
      </c>
    </row>
    <row r="13" spans="1:11" x14ac:dyDescent="0.3">
      <c r="C13" s="79" t="s">
        <v>136</v>
      </c>
    </row>
    <row r="14" spans="1:11" x14ac:dyDescent="0.3">
      <c r="C14" s="80" t="s">
        <v>166</v>
      </c>
    </row>
    <row r="15" spans="1:11" x14ac:dyDescent="0.3">
      <c r="C15" s="80" t="s">
        <v>183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195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196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197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198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199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200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201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202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203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204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205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206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207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208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209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210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211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212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213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214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215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216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217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218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219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220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221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222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223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224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225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3">
      <c r="A32" t="s">
        <v>226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3">
      <c r="A33" t="s">
        <v>227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3">
      <c r="A34" t="s">
        <v>228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3">
      <c r="A35" t="s">
        <v>229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3">
      <c r="A36" t="s">
        <v>230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3">
      <c r="A37" t="s">
        <v>231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3">
      <c r="A38" t="s">
        <v>232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3">
      <c r="A39" t="s">
        <v>233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3">
      <c r="A40" t="s">
        <v>234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3">
      <c r="A41" t="s">
        <v>235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3">
      <c r="A42" t="s">
        <v>236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3">
      <c r="A43" t="s">
        <v>237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3">
      <c r="A44" t="s">
        <v>238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3">
      <c r="A45" t="s">
        <v>239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3">
      <c r="A46" t="s">
        <v>240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3">
      <c r="A47" t="s">
        <v>241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3">
      <c r="A48" t="s">
        <v>242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3">
      <c r="A49" t="s">
        <v>243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3">
      <c r="A50" t="s">
        <v>244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3">
      <c r="A51" t="s">
        <v>245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3">
      <c r="A52" t="s">
        <v>246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3">
      <c r="A53" t="s">
        <v>247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3">
      <c r="A54" t="s">
        <v>248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3">
      <c r="A55" t="s">
        <v>249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3">
      <c r="A56" t="s">
        <v>250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3">
      <c r="A57" t="s">
        <v>251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3">
      <c r="A58" t="s">
        <v>252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3">
      <c r="A59" t="s">
        <v>253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3">
      <c r="A60" t="s">
        <v>254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3">
      <c r="A61" t="s">
        <v>255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3">
      <c r="A62" t="s">
        <v>256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3">
      <c r="A63" t="s">
        <v>257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3">
      <c r="A64" t="s">
        <v>258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3">
      <c r="A65" t="s">
        <v>259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3">
      <c r="A66" t="s">
        <v>260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3">
      <c r="A67" t="s">
        <v>261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3">
      <c r="A68" t="s">
        <v>262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3">
      <c r="A69" t="s">
        <v>263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3">
      <c r="A70" t="s">
        <v>264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3">
      <c r="A71" t="s">
        <v>265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3">
      <c r="A72" t="s">
        <v>266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3">
      <c r="A73" t="s">
        <v>267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3">
      <c r="A74" t="s">
        <v>268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3">
      <c r="A75" t="s">
        <v>269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3">
      <c r="A76" t="s">
        <v>270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3">
      <c r="A77" t="s">
        <v>271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3">
      <c r="A78" t="s">
        <v>272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3">
      <c r="A79" t="s">
        <v>273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3">
      <c r="A80" t="s">
        <v>274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3">
      <c r="A81" t="s">
        <v>275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3">
      <c r="A82" t="s">
        <v>276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3">
      <c r="A83" t="s">
        <v>277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3">
      <c r="A84" t="s">
        <v>278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3">
      <c r="A85" t="s">
        <v>279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3">
      <c r="A86" t="s">
        <v>280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3">
      <c r="A87" t="s">
        <v>281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3">
      <c r="A88" t="s">
        <v>282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3">
      <c r="A89" t="s">
        <v>283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3">
      <c r="A90" t="s">
        <v>284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3">
      <c r="A91" t="s">
        <v>285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3">
      <c r="A92" t="s">
        <v>286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3">
      <c r="A93" t="s">
        <v>287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3">
      <c r="A94" t="s">
        <v>288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3">
      <c r="A95" t="s">
        <v>289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3">
      <c r="A96" t="s">
        <v>290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3">
      <c r="A97" t="s">
        <v>291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3">
      <c r="A98" t="s">
        <v>292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3">
      <c r="A99" t="s">
        <v>293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3">
      <c r="A100" t="s">
        <v>294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3">
      <c r="A101" t="s">
        <v>295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3">
      <c r="A102" t="s">
        <v>296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3">
      <c r="A103" t="s">
        <v>297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3">
      <c r="A104" t="s">
        <v>298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3">
      <c r="A105" t="s">
        <v>299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3">
      <c r="A106" t="s">
        <v>300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3">
      <c r="A107" t="s">
        <v>301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3">
      <c r="A108" t="s">
        <v>302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3">
      <c r="A109" t="s">
        <v>303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3">
      <c r="A110" t="s">
        <v>304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3">
      <c r="A111" t="s">
        <v>305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3">
      <c r="A112" t="s">
        <v>306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3">
      <c r="A113" t="s">
        <v>307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3">
      <c r="A114" t="s">
        <v>308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3">
      <c r="A115" t="s">
        <v>309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3">
      <c r="A116" t="s">
        <v>310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3">
      <c r="A117" t="s">
        <v>311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3">
      <c r="A118" t="s">
        <v>312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3">
      <c r="A119" t="s">
        <v>313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3">
      <c r="A120" t="s">
        <v>314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3">
      <c r="A121" t="s">
        <v>315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3">
      <c r="A122" t="s">
        <v>316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3">
      <c r="A123" t="s">
        <v>317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3">
      <c r="A124" t="s">
        <v>318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3">
      <c r="A125" t="s">
        <v>319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3">
      <c r="A126" t="s">
        <v>320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3">
      <c r="A127" t="s">
        <v>321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3">
      <c r="A128" t="s">
        <v>322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3">
      <c r="A129" t="s">
        <v>323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3">
      <c r="A130" t="s">
        <v>324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2017-10-31T16:10:20Z</dcterms:modified>
</cp:coreProperties>
</file>