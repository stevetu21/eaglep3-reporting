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3" i="1" l="1"/>
  <c r="S44" i="1"/>
  <c r="S45" i="1"/>
  <c r="S46" i="1"/>
  <c r="S47" i="1"/>
  <c r="S48" i="1"/>
  <c r="S49" i="1"/>
  <c r="S50" i="1"/>
  <c r="S51" i="1"/>
  <c r="S52" i="1"/>
  <c r="S53" i="1"/>
  <c r="Z189" i="1" l="1"/>
  <c r="P187" i="1"/>
  <c r="P188" i="1"/>
  <c r="X52" i="1"/>
  <c r="K51" i="1"/>
  <c r="L51" i="1"/>
  <c r="M51" i="1"/>
  <c r="N51" i="1" s="1"/>
  <c r="T51" i="1"/>
  <c r="V51" i="1"/>
  <c r="X51" i="1"/>
  <c r="AA51" i="1"/>
  <c r="W51" i="1" s="1"/>
  <c r="AB51" i="1"/>
  <c r="AC51" i="1"/>
  <c r="AD51" i="1"/>
  <c r="AE51" i="1"/>
  <c r="AF51" i="1"/>
  <c r="AG51" i="1"/>
  <c r="AH51" i="1"/>
  <c r="K46" i="1"/>
  <c r="L46" i="1"/>
  <c r="M46" i="1"/>
  <c r="N46" i="1" s="1"/>
  <c r="T46" i="1"/>
  <c r="V46" i="1"/>
  <c r="AA46" i="1"/>
  <c r="W46" i="1" s="1"/>
  <c r="AB46" i="1"/>
  <c r="AC46" i="1"/>
  <c r="AD46" i="1"/>
  <c r="AE46" i="1"/>
  <c r="AF46" i="1"/>
  <c r="AG46" i="1"/>
  <c r="AH46" i="1"/>
  <c r="K188" i="1"/>
  <c r="L188" i="1"/>
  <c r="M188" i="1"/>
  <c r="V188" i="1"/>
  <c r="AA188" i="1"/>
  <c r="AB188" i="1"/>
  <c r="AC188" i="1"/>
  <c r="AD188" i="1"/>
  <c r="AG188" i="1" s="1"/>
  <c r="AE188" i="1"/>
  <c r="AF188" i="1"/>
  <c r="AH188" i="1"/>
  <c r="K184" i="1"/>
  <c r="L184" i="1"/>
  <c r="M184" i="1"/>
  <c r="T184" i="1"/>
  <c r="V184" i="1"/>
  <c r="Y184" i="1"/>
  <c r="Z184" i="1"/>
  <c r="AA184" i="1"/>
  <c r="W184" i="1" s="1"/>
  <c r="AB184" i="1"/>
  <c r="AC184" i="1"/>
  <c r="AD184" i="1"/>
  <c r="AE184" i="1"/>
  <c r="AF184" i="1"/>
  <c r="AG184" i="1"/>
  <c r="AH184" i="1"/>
  <c r="U51" i="1" l="1"/>
  <c r="AI51" i="1"/>
  <c r="U46" i="1"/>
  <c r="AI46" i="1"/>
  <c r="T188" i="1"/>
  <c r="U188" i="1" s="1"/>
  <c r="S188" i="1" s="1"/>
  <c r="AI188" i="1"/>
  <c r="W188" i="1"/>
  <c r="U184" i="1"/>
  <c r="S184" i="1" s="1"/>
  <c r="AI184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22" i="3" s="1"/>
  <c r="Y16" i="1"/>
  <c r="Z16" i="1"/>
  <c r="AB16" i="1"/>
  <c r="AC16" i="1"/>
  <c r="AD16" i="1"/>
  <c r="AE16" i="1"/>
  <c r="R22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R7" i="3" s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S30" i="3" s="1"/>
  <c r="Y29" i="1"/>
  <c r="Z29" i="1"/>
  <c r="AB29" i="1"/>
  <c r="AC29" i="1"/>
  <c r="AD29" i="1"/>
  <c r="T29" i="1" s="1"/>
  <c r="AE29" i="1"/>
  <c r="R30" i="3" s="1"/>
  <c r="AF29" i="1"/>
  <c r="AH29" i="1"/>
  <c r="K30" i="1"/>
  <c r="L30" i="1"/>
  <c r="M30" i="1"/>
  <c r="N30" i="1" s="1"/>
  <c r="V30" i="1"/>
  <c r="S24" i="3" s="1"/>
  <c r="Y30" i="1"/>
  <c r="Z30" i="1"/>
  <c r="AB30" i="1"/>
  <c r="AC30" i="1"/>
  <c r="AD30" i="1"/>
  <c r="AG30" i="1" s="1"/>
  <c r="AE30" i="1"/>
  <c r="R24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21" i="3" s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S25" i="3" s="1"/>
  <c r="Y38" i="1"/>
  <c r="Z38" i="1"/>
  <c r="AB38" i="1"/>
  <c r="AC38" i="1"/>
  <c r="AD38" i="1"/>
  <c r="AG38" i="1" s="1"/>
  <c r="AE38" i="1"/>
  <c r="R25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2" i="1"/>
  <c r="L52" i="1"/>
  <c r="M52" i="1"/>
  <c r="N52" i="1" s="1"/>
  <c r="V52" i="1"/>
  <c r="S13" i="3" s="1"/>
  <c r="Y52" i="1"/>
  <c r="Z52" i="1"/>
  <c r="AB52" i="1"/>
  <c r="AC52" i="1"/>
  <c r="AD52" i="1"/>
  <c r="AG52" i="1" s="1"/>
  <c r="AE52" i="1"/>
  <c r="R13" i="3" s="1"/>
  <c r="AF52" i="1"/>
  <c r="AH52" i="1"/>
  <c r="K53" i="1"/>
  <c r="L53" i="1"/>
  <c r="M53" i="1"/>
  <c r="N53" i="1" s="1"/>
  <c r="V53" i="1"/>
  <c r="S18" i="3" s="1"/>
  <c r="Y53" i="1"/>
  <c r="Z53" i="1"/>
  <c r="AB53" i="1"/>
  <c r="AC53" i="1"/>
  <c r="AD53" i="1"/>
  <c r="AG53" i="1" s="1"/>
  <c r="AE53" i="1"/>
  <c r="R18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16" i="3" s="1"/>
  <c r="AF65" i="1"/>
  <c r="AH65" i="1"/>
  <c r="K66" i="1"/>
  <c r="L66" i="1"/>
  <c r="M66" i="1"/>
  <c r="N66" i="1" s="1"/>
  <c r="V66" i="1"/>
  <c r="S14" i="3" s="1"/>
  <c r="Y66" i="1"/>
  <c r="Z66" i="1"/>
  <c r="AB66" i="1"/>
  <c r="AC66" i="1"/>
  <c r="AD66" i="1"/>
  <c r="AG66" i="1" s="1"/>
  <c r="AE66" i="1"/>
  <c r="R14" i="3" s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S19" i="3" s="1"/>
  <c r="Y74" i="1"/>
  <c r="Z74" i="1"/>
  <c r="AI74" i="1" s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S10" i="3" s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S15" i="3" s="1"/>
  <c r="Y79" i="1"/>
  <c r="Z79" i="1"/>
  <c r="AB79" i="1"/>
  <c r="AC79" i="1"/>
  <c r="AD79" i="1"/>
  <c r="AG79" i="1" s="1"/>
  <c r="AE79" i="1"/>
  <c r="R15" i="3" s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20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6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5" i="1"/>
  <c r="AH10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4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9" i="1"/>
  <c r="K181" i="1"/>
  <c r="L181" i="1"/>
  <c r="M181" i="1"/>
  <c r="N181" i="1" s="1"/>
  <c r="V181" i="1"/>
  <c r="S34" i="3" s="1"/>
  <c r="Y181" i="1"/>
  <c r="Z181" i="1"/>
  <c r="AB181" i="1"/>
  <c r="AC181" i="1"/>
  <c r="AD181" i="1"/>
  <c r="AG181" i="1" s="1"/>
  <c r="AE181" i="1"/>
  <c r="R34" i="3" s="1"/>
  <c r="AF181" i="1"/>
  <c r="AH12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1" i="1"/>
  <c r="K183" i="1"/>
  <c r="L183" i="1"/>
  <c r="M183" i="1"/>
  <c r="N183" i="1" s="1"/>
  <c r="V183" i="1"/>
  <c r="S33" i="3" s="1"/>
  <c r="Y183" i="1"/>
  <c r="Z183" i="1"/>
  <c r="AB183" i="1"/>
  <c r="AC183" i="1"/>
  <c r="AD183" i="1"/>
  <c r="X184" i="1" s="1"/>
  <c r="AE183" i="1"/>
  <c r="R33" i="3" s="1"/>
  <c r="AF183" i="1"/>
  <c r="AH122" i="1"/>
  <c r="K185" i="1"/>
  <c r="L185" i="1"/>
  <c r="M185" i="1"/>
  <c r="N185" i="1" s="1"/>
  <c r="V185" i="1"/>
  <c r="S32" i="3" s="1"/>
  <c r="Y185" i="1"/>
  <c r="Z185" i="1"/>
  <c r="AB185" i="1"/>
  <c r="AC185" i="1"/>
  <c r="AD185" i="1"/>
  <c r="X185" i="1" s="1"/>
  <c r="AE185" i="1"/>
  <c r="R32" i="3" s="1"/>
  <c r="AF185" i="1"/>
  <c r="AH123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124" i="1"/>
  <c r="AH12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6" i="1"/>
  <c r="K187" i="1"/>
  <c r="L187" i="1"/>
  <c r="M187" i="1"/>
  <c r="V187" i="1"/>
  <c r="Y187" i="1"/>
  <c r="AB187" i="1"/>
  <c r="AC187" i="1"/>
  <c r="AD187" i="1"/>
  <c r="AE187" i="1"/>
  <c r="AF187" i="1"/>
  <c r="AH127" i="1"/>
  <c r="K189" i="1"/>
  <c r="L189" i="1"/>
  <c r="M189" i="1"/>
  <c r="N189" i="1" s="1"/>
  <c r="V189" i="1"/>
  <c r="AB189" i="1"/>
  <c r="AC189" i="1"/>
  <c r="AD189" i="1"/>
  <c r="X189" i="1" s="1"/>
  <c r="AE189" i="1"/>
  <c r="AF189" i="1"/>
  <c r="AH128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129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0" i="1"/>
  <c r="K97" i="1"/>
  <c r="L97" i="1"/>
  <c r="M97" i="1"/>
  <c r="N97" i="1" s="1"/>
  <c r="V97" i="1"/>
  <c r="S9" i="3" s="1"/>
  <c r="Y97" i="1"/>
  <c r="Z97" i="1"/>
  <c r="AB97" i="1"/>
  <c r="AC97" i="1"/>
  <c r="AD97" i="1"/>
  <c r="T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K108" i="1"/>
  <c r="L108" i="1"/>
  <c r="M108" i="1"/>
  <c r="N108" i="1" s="1"/>
  <c r="V108" i="1"/>
  <c r="S8" i="3" s="1"/>
  <c r="Y108" i="1"/>
  <c r="Z108" i="1"/>
  <c r="AB108" i="1"/>
  <c r="AC108" i="1"/>
  <c r="AD108" i="1"/>
  <c r="T108" i="1" s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2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5" i="1"/>
  <c r="K132" i="1"/>
  <c r="L132" i="1"/>
  <c r="M132" i="1"/>
  <c r="N132" i="1" s="1"/>
  <c r="V132" i="1"/>
  <c r="S28" i="3" s="1"/>
  <c r="Y132" i="1"/>
  <c r="Z132" i="1"/>
  <c r="AB132" i="1"/>
  <c r="AC132" i="1"/>
  <c r="AD132" i="1"/>
  <c r="T132" i="1" s="1"/>
  <c r="AE132" i="1"/>
  <c r="R28" i="3" s="1"/>
  <c r="AF132" i="1"/>
  <c r="AH166" i="1"/>
  <c r="K133" i="1"/>
  <c r="L133" i="1"/>
  <c r="M133" i="1"/>
  <c r="N133" i="1" s="1"/>
  <c r="V133" i="1"/>
  <c r="S31" i="3" s="1"/>
  <c r="Y133" i="1"/>
  <c r="Z133" i="1"/>
  <c r="AB133" i="1"/>
  <c r="AC133" i="1"/>
  <c r="AD133" i="1"/>
  <c r="X133" i="1" s="1"/>
  <c r="AE133" i="1"/>
  <c r="R31" i="3" s="1"/>
  <c r="AF133" i="1"/>
  <c r="AH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69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0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1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2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3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4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5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6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7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8" i="1"/>
  <c r="K146" i="1"/>
  <c r="L146" i="1"/>
  <c r="M146" i="1"/>
  <c r="N146" i="1" s="1"/>
  <c r="V146" i="1"/>
  <c r="S17" i="3" s="1"/>
  <c r="Y146" i="1"/>
  <c r="Z146" i="1"/>
  <c r="AB146" i="1"/>
  <c r="AC146" i="1"/>
  <c r="AD146" i="1"/>
  <c r="T146" i="1" s="1"/>
  <c r="AE146" i="1"/>
  <c r="R17" i="3" s="1"/>
  <c r="AF146" i="1"/>
  <c r="AH179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0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1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2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3" i="1"/>
  <c r="AH185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H19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S35" i="3" s="1"/>
  <c r="Y200" i="1"/>
  <c r="Z200" i="1"/>
  <c r="AB200" i="1"/>
  <c r="AC200" i="1"/>
  <c r="AD200" i="1"/>
  <c r="AG200" i="1" s="1"/>
  <c r="AE200" i="1"/>
  <c r="R35" i="3" s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211" i="1"/>
  <c r="M35" i="3"/>
  <c r="N35" i="3"/>
  <c r="U35" i="3"/>
  <c r="T35" i="3" s="1"/>
  <c r="V35" i="3"/>
  <c r="W35" i="3"/>
  <c r="Y35" i="3" s="1"/>
  <c r="X35" i="3"/>
  <c r="AC35" i="3"/>
  <c r="M22" i="3"/>
  <c r="N22" i="3"/>
  <c r="U22" i="3"/>
  <c r="T22" i="3" s="1"/>
  <c r="V22" i="3"/>
  <c r="W22" i="3"/>
  <c r="X22" i="3"/>
  <c r="AC22" i="3"/>
  <c r="M23" i="3"/>
  <c r="N23" i="3"/>
  <c r="S23" i="3"/>
  <c r="U23" i="3"/>
  <c r="AC23" i="3" s="1"/>
  <c r="V23" i="3"/>
  <c r="W23" i="3"/>
  <c r="X23" i="3"/>
  <c r="M7" i="3"/>
  <c r="N7" i="3"/>
  <c r="S7" i="3"/>
  <c r="U7" i="3"/>
  <c r="T7" i="3" s="1"/>
  <c r="V7" i="3"/>
  <c r="W7" i="3"/>
  <c r="X7" i="3"/>
  <c r="M30" i="3"/>
  <c r="N30" i="3"/>
  <c r="U30" i="3"/>
  <c r="T30" i="3" s="1"/>
  <c r="V30" i="3"/>
  <c r="W30" i="3"/>
  <c r="X30" i="3"/>
  <c r="AC30" i="3"/>
  <c r="M21" i="3"/>
  <c r="N21" i="3"/>
  <c r="R21" i="3"/>
  <c r="U21" i="3"/>
  <c r="T21" i="3" s="1"/>
  <c r="V21" i="3"/>
  <c r="W21" i="3"/>
  <c r="Y21" i="3" s="1"/>
  <c r="X21" i="3"/>
  <c r="AC21" i="3"/>
  <c r="M24" i="3"/>
  <c r="N24" i="3"/>
  <c r="U24" i="3"/>
  <c r="AC24" i="3" s="1"/>
  <c r="V24" i="3"/>
  <c r="W24" i="3"/>
  <c r="X24" i="3"/>
  <c r="Y24" i="3"/>
  <c r="M25" i="3"/>
  <c r="N25" i="3"/>
  <c r="U25" i="3"/>
  <c r="T25" i="3" s="1"/>
  <c r="V25" i="3"/>
  <c r="W25" i="3"/>
  <c r="X25" i="3"/>
  <c r="M18" i="3"/>
  <c r="N18" i="3"/>
  <c r="U18" i="3"/>
  <c r="T18" i="3" s="1"/>
  <c r="V18" i="3"/>
  <c r="W18" i="3"/>
  <c r="X18" i="3"/>
  <c r="AC18" i="3"/>
  <c r="M13" i="3"/>
  <c r="N13" i="3"/>
  <c r="U13" i="3"/>
  <c r="T13" i="3" s="1"/>
  <c r="V13" i="3"/>
  <c r="W13" i="3"/>
  <c r="X13" i="3"/>
  <c r="AC13" i="3"/>
  <c r="M11" i="3"/>
  <c r="N11" i="3"/>
  <c r="U11" i="3"/>
  <c r="AC11" i="3" s="1"/>
  <c r="V11" i="3"/>
  <c r="W11" i="3"/>
  <c r="Y11" i="3" s="1"/>
  <c r="X11" i="3"/>
  <c r="M12" i="3"/>
  <c r="N12" i="3"/>
  <c r="U12" i="3"/>
  <c r="T12" i="3" s="1"/>
  <c r="V12" i="3"/>
  <c r="W12" i="3"/>
  <c r="Y12" i="3" s="1"/>
  <c r="X12" i="3"/>
  <c r="M16" i="3"/>
  <c r="N16" i="3"/>
  <c r="U16" i="3"/>
  <c r="T16" i="3" s="1"/>
  <c r="V16" i="3"/>
  <c r="W16" i="3"/>
  <c r="X16" i="3"/>
  <c r="AC16" i="3"/>
  <c r="M14" i="3"/>
  <c r="N14" i="3"/>
  <c r="U14" i="3"/>
  <c r="T14" i="3" s="1"/>
  <c r="V14" i="3"/>
  <c r="W14" i="3"/>
  <c r="X14" i="3"/>
  <c r="AC14" i="3"/>
  <c r="M15" i="3"/>
  <c r="N15" i="3"/>
  <c r="U15" i="3"/>
  <c r="AC15" i="3" s="1"/>
  <c r="V15" i="3"/>
  <c r="W15" i="3"/>
  <c r="Y15" i="3" s="1"/>
  <c r="X15" i="3"/>
  <c r="M19" i="3"/>
  <c r="N19" i="3"/>
  <c r="R19" i="3"/>
  <c r="U19" i="3"/>
  <c r="T19" i="3" s="1"/>
  <c r="V19" i="3"/>
  <c r="W19" i="3"/>
  <c r="Y19" i="3" s="1"/>
  <c r="X19" i="3"/>
  <c r="M10" i="3"/>
  <c r="N10" i="3"/>
  <c r="R10" i="3"/>
  <c r="U10" i="3"/>
  <c r="T10" i="3" s="1"/>
  <c r="V10" i="3"/>
  <c r="W10" i="3"/>
  <c r="Y10" i="3" s="1"/>
  <c r="X10" i="3"/>
  <c r="AC10" i="3"/>
  <c r="M20" i="3"/>
  <c r="N20" i="3"/>
  <c r="S20" i="3"/>
  <c r="U20" i="3"/>
  <c r="T20" i="3" s="1"/>
  <c r="V20" i="3"/>
  <c r="W20" i="3"/>
  <c r="X20" i="3"/>
  <c r="AC20" i="3"/>
  <c r="M9" i="3"/>
  <c r="N9" i="3"/>
  <c r="R9" i="3"/>
  <c r="U9" i="3"/>
  <c r="AC9" i="3" s="1"/>
  <c r="V9" i="3"/>
  <c r="W9" i="3"/>
  <c r="X9" i="3"/>
  <c r="M26" i="3"/>
  <c r="N26" i="3"/>
  <c r="S26" i="3"/>
  <c r="U26" i="3"/>
  <c r="T26" i="3" s="1"/>
  <c r="V26" i="3"/>
  <c r="W26" i="3"/>
  <c r="X26" i="3"/>
  <c r="Y26" i="3"/>
  <c r="M27" i="3"/>
  <c r="N27" i="3"/>
  <c r="S27" i="3"/>
  <c r="U27" i="3"/>
  <c r="T27" i="3" s="1"/>
  <c r="V27" i="3"/>
  <c r="W27" i="3"/>
  <c r="X27" i="3"/>
  <c r="AC27" i="3"/>
  <c r="M8" i="3"/>
  <c r="N8" i="3"/>
  <c r="R8" i="3"/>
  <c r="U8" i="3"/>
  <c r="T8" i="3" s="1"/>
  <c r="V8" i="3"/>
  <c r="W8" i="3"/>
  <c r="Y8" i="3" s="1"/>
  <c r="X8" i="3"/>
  <c r="AC8" i="3"/>
  <c r="M34" i="3"/>
  <c r="N34" i="3"/>
  <c r="U34" i="3"/>
  <c r="AC34" i="3" s="1"/>
  <c r="V34" i="3"/>
  <c r="W34" i="3"/>
  <c r="X34" i="3"/>
  <c r="Y34" i="3"/>
  <c r="M33" i="3"/>
  <c r="N33" i="3"/>
  <c r="U33" i="3"/>
  <c r="T33" i="3" s="1"/>
  <c r="V33" i="3"/>
  <c r="W33" i="3"/>
  <c r="X33" i="3"/>
  <c r="M31" i="3"/>
  <c r="N31" i="3"/>
  <c r="U31" i="3"/>
  <c r="T31" i="3" s="1"/>
  <c r="V31" i="3"/>
  <c r="W31" i="3"/>
  <c r="X31" i="3"/>
  <c r="AC31" i="3"/>
  <c r="M32" i="3"/>
  <c r="N32" i="3"/>
  <c r="U32" i="3"/>
  <c r="T32" i="3" s="1"/>
  <c r="V32" i="3"/>
  <c r="W32" i="3"/>
  <c r="X32" i="3"/>
  <c r="AC32" i="3"/>
  <c r="M28" i="3"/>
  <c r="N28" i="3"/>
  <c r="U28" i="3"/>
  <c r="AC28" i="3" s="1"/>
  <c r="V28" i="3"/>
  <c r="W28" i="3"/>
  <c r="Y28" i="3" s="1"/>
  <c r="X28" i="3"/>
  <c r="M17" i="3"/>
  <c r="N17" i="3"/>
  <c r="U17" i="3"/>
  <c r="T17" i="3" s="1"/>
  <c r="V17" i="3"/>
  <c r="W17" i="3"/>
  <c r="Y17" i="3" s="1"/>
  <c r="X17" i="3"/>
  <c r="AG47" i="1" l="1"/>
  <c r="X47" i="1"/>
  <c r="R23" i="3"/>
  <c r="X187" i="1"/>
  <c r="X188" i="1"/>
  <c r="AG45" i="1"/>
  <c r="X46" i="1"/>
  <c r="R27" i="3"/>
  <c r="AA183" i="1"/>
  <c r="AA62" i="1"/>
  <c r="W62" i="1" s="1"/>
  <c r="AA59" i="1"/>
  <c r="AA55" i="1"/>
  <c r="AA54" i="1"/>
  <c r="AI52" i="1"/>
  <c r="AA50" i="1"/>
  <c r="T190" i="1"/>
  <c r="U190" i="1" s="1"/>
  <c r="S190" i="1" s="1"/>
  <c r="T189" i="1"/>
  <c r="T187" i="1"/>
  <c r="AG192" i="1"/>
  <c r="X192" i="1"/>
  <c r="T191" i="1"/>
  <c r="X191" i="1"/>
  <c r="X183" i="1"/>
  <c r="AA16" i="1"/>
  <c r="AA15" i="1"/>
  <c r="T171" i="1"/>
  <c r="X171" i="1"/>
  <c r="AG170" i="1"/>
  <c r="AI170" i="1" s="1"/>
  <c r="X170" i="1"/>
  <c r="X169" i="1"/>
  <c r="AI48" i="1"/>
  <c r="AA45" i="1"/>
  <c r="AA35" i="1"/>
  <c r="AA34" i="1"/>
  <c r="W34" i="1" s="1"/>
  <c r="T168" i="1"/>
  <c r="X168" i="1"/>
  <c r="T109" i="1"/>
  <c r="AG105" i="1"/>
  <c r="AG91" i="1"/>
  <c r="AA71" i="1"/>
  <c r="AI70" i="1"/>
  <c r="T156" i="1"/>
  <c r="X156" i="1"/>
  <c r="AG155" i="1"/>
  <c r="AI155" i="1" s="1"/>
  <c r="X155" i="1"/>
  <c r="AA123" i="1"/>
  <c r="AA106" i="1"/>
  <c r="AA207" i="1"/>
  <c r="AA100" i="1"/>
  <c r="T160" i="1"/>
  <c r="X160" i="1"/>
  <c r="T158" i="1"/>
  <c r="X158" i="1"/>
  <c r="T157" i="1"/>
  <c r="X157" i="1"/>
  <c r="AA85" i="1"/>
  <c r="AA66" i="1"/>
  <c r="W66" i="1" s="1"/>
  <c r="T34" i="1"/>
  <c r="U34" i="1" s="1"/>
  <c r="S34" i="1" s="1"/>
  <c r="AG201" i="1"/>
  <c r="AA151" i="1"/>
  <c r="AA137" i="1"/>
  <c r="AA122" i="1"/>
  <c r="AA121" i="1"/>
  <c r="AA113" i="1"/>
  <c r="W113" i="1" s="1"/>
  <c r="AG190" i="1"/>
  <c r="AA182" i="1"/>
  <c r="AA181" i="1"/>
  <c r="AA176" i="1"/>
  <c r="AA175" i="1"/>
  <c r="AA174" i="1"/>
  <c r="AG172" i="1"/>
  <c r="AA92" i="1"/>
  <c r="AG65" i="1"/>
  <c r="AI65" i="1" s="1"/>
  <c r="AA61" i="1"/>
  <c r="W61" i="1" s="1"/>
  <c r="AA20" i="1"/>
  <c r="AA19" i="1"/>
  <c r="AA18" i="1"/>
  <c r="W18" i="1" s="1"/>
  <c r="T153" i="1"/>
  <c r="X153" i="1"/>
  <c r="T152" i="1"/>
  <c r="X152" i="1"/>
  <c r="AG151" i="1"/>
  <c r="AI151" i="1" s="1"/>
  <c r="X151" i="1"/>
  <c r="AA82" i="1"/>
  <c r="AA78" i="1"/>
  <c r="W78" i="1" s="1"/>
  <c r="AA75" i="1"/>
  <c r="AA67" i="1"/>
  <c r="T38" i="1"/>
  <c r="U38" i="1" s="1"/>
  <c r="S38" i="1" s="1"/>
  <c r="X34" i="1"/>
  <c r="X137" i="1"/>
  <c r="AA63" i="1"/>
  <c r="AA28" i="1"/>
  <c r="AA27" i="1"/>
  <c r="AA26" i="1"/>
  <c r="W26" i="1" s="1"/>
  <c r="R11" i="3"/>
  <c r="X210" i="1"/>
  <c r="AA209" i="1"/>
  <c r="AA208" i="1"/>
  <c r="AA205" i="1"/>
  <c r="AG199" i="1"/>
  <c r="AI199" i="1" s="1"/>
  <c r="AA193" i="1"/>
  <c r="AA191" i="1"/>
  <c r="AA156" i="1"/>
  <c r="AA155" i="1"/>
  <c r="W155" i="1" s="1"/>
  <c r="AA144" i="1"/>
  <c r="AA131" i="1"/>
  <c r="AA130" i="1"/>
  <c r="AA129" i="1"/>
  <c r="W129" i="1" s="1"/>
  <c r="AG119" i="1"/>
  <c r="AI119" i="1" s="1"/>
  <c r="X113" i="1"/>
  <c r="AI112" i="1"/>
  <c r="AA95" i="1"/>
  <c r="AG180" i="1"/>
  <c r="U180" i="1" s="1"/>
  <c r="S180" i="1" s="1"/>
  <c r="X180" i="1"/>
  <c r="AG162" i="1"/>
  <c r="U162" i="1" s="1"/>
  <c r="S162" i="1" s="1"/>
  <c r="AA73" i="1"/>
  <c r="AA57" i="1"/>
  <c r="AG49" i="1"/>
  <c r="AI49" i="1" s="1"/>
  <c r="X49" i="1"/>
  <c r="AA43" i="1"/>
  <c r="AA41" i="1"/>
  <c r="AA39" i="1"/>
  <c r="AA38" i="1"/>
  <c r="W38" i="1" s="1"/>
  <c r="T33" i="1"/>
  <c r="U33" i="1" s="1"/>
  <c r="S33" i="1" s="1"/>
  <c r="T25" i="1"/>
  <c r="U25" i="1" s="1"/>
  <c r="S25" i="1" s="1"/>
  <c r="R12" i="3"/>
  <c r="T148" i="1"/>
  <c r="U148" i="1" s="1"/>
  <c r="S148" i="1" s="1"/>
  <c r="AG209" i="1"/>
  <c r="U209" i="1" s="1"/>
  <c r="S209" i="1" s="1"/>
  <c r="AG193" i="1"/>
  <c r="U193" i="1" s="1"/>
  <c r="S193" i="1" s="1"/>
  <c r="AA148" i="1"/>
  <c r="W148" i="1" s="1"/>
  <c r="AA139" i="1"/>
  <c r="W139" i="1" s="1"/>
  <c r="AA138" i="1"/>
  <c r="X129" i="1"/>
  <c r="AG102" i="1"/>
  <c r="AA96" i="1"/>
  <c r="AA180" i="1"/>
  <c r="AA168" i="1"/>
  <c r="AA167" i="1"/>
  <c r="AG166" i="1"/>
  <c r="AI166" i="1" s="1"/>
  <c r="X164" i="1"/>
  <c r="AA158" i="1"/>
  <c r="AG82" i="1"/>
  <c r="AI82" i="1" s="1"/>
  <c r="AA48" i="1"/>
  <c r="W48" i="1" s="1"/>
  <c r="AG39" i="1"/>
  <c r="AI39" i="1" s="1"/>
  <c r="T26" i="1"/>
  <c r="T18" i="1"/>
  <c r="T211" i="1"/>
  <c r="AG211" i="1"/>
  <c r="AI211" i="1" s="1"/>
  <c r="AG204" i="1"/>
  <c r="T127" i="1"/>
  <c r="AG127" i="1"/>
  <c r="S12" i="3"/>
  <c r="S16" i="3"/>
  <c r="S11" i="3"/>
  <c r="X62" i="1"/>
  <c r="T61" i="1"/>
  <c r="AG61" i="1"/>
  <c r="T41" i="1"/>
  <c r="AG41" i="1"/>
  <c r="AI41" i="1" s="1"/>
  <c r="AG196" i="1"/>
  <c r="U196" i="1" s="1"/>
  <c r="S196" i="1" s="1"/>
  <c r="T196" i="1"/>
  <c r="T141" i="1"/>
  <c r="AG141" i="1"/>
  <c r="AI141" i="1" s="1"/>
  <c r="T115" i="1"/>
  <c r="U115" i="1" s="1"/>
  <c r="S115" i="1" s="1"/>
  <c r="AG115" i="1"/>
  <c r="T186" i="1"/>
  <c r="AG186" i="1"/>
  <c r="T92" i="1"/>
  <c r="X92" i="1"/>
  <c r="AG92" i="1"/>
  <c r="AI92" i="1" s="1"/>
  <c r="T145" i="1"/>
  <c r="AG145" i="1"/>
  <c r="AI145" i="1" s="1"/>
  <c r="AG144" i="1"/>
  <c r="U144" i="1" s="1"/>
  <c r="S144" i="1" s="1"/>
  <c r="X144" i="1"/>
  <c r="T135" i="1"/>
  <c r="AG135" i="1"/>
  <c r="X105" i="1"/>
  <c r="T104" i="1"/>
  <c r="AG104" i="1"/>
  <c r="T90" i="1"/>
  <c r="X91" i="1"/>
  <c r="AG90" i="1"/>
  <c r="AG87" i="1"/>
  <c r="T87" i="1"/>
  <c r="T112" i="1"/>
  <c r="U112" i="1" s="1"/>
  <c r="S112" i="1" s="1"/>
  <c r="AA79" i="1"/>
  <c r="W79" i="1" s="1"/>
  <c r="AA31" i="1"/>
  <c r="AA23" i="1"/>
  <c r="AG15" i="1"/>
  <c r="AA204" i="1"/>
  <c r="AA201" i="1"/>
  <c r="W201" i="1" s="1"/>
  <c r="AA199" i="1"/>
  <c r="AA198" i="1"/>
  <c r="AA197" i="1"/>
  <c r="AA196" i="1"/>
  <c r="AG191" i="1"/>
  <c r="AI191" i="1" s="1"/>
  <c r="AG152" i="1"/>
  <c r="AI152" i="1" s="1"/>
  <c r="AG149" i="1"/>
  <c r="AI149" i="1" s="1"/>
  <c r="AA143" i="1"/>
  <c r="AG131" i="1"/>
  <c r="U131" i="1" s="1"/>
  <c r="S131" i="1" s="1"/>
  <c r="AG123" i="1"/>
  <c r="U123" i="1" s="1"/>
  <c r="S123" i="1" s="1"/>
  <c r="X121" i="1"/>
  <c r="X120" i="1"/>
  <c r="AA119" i="1"/>
  <c r="AA118" i="1"/>
  <c r="AA117" i="1"/>
  <c r="AA112" i="1"/>
  <c r="AA108" i="1"/>
  <c r="AA107" i="1"/>
  <c r="AA105" i="1"/>
  <c r="AA206" i="1"/>
  <c r="AA99" i="1"/>
  <c r="AA190" i="1"/>
  <c r="W190" i="1" s="1"/>
  <c r="AG176" i="1"/>
  <c r="AI176" i="1" s="1"/>
  <c r="AA172" i="1"/>
  <c r="AA171" i="1"/>
  <c r="AA170" i="1"/>
  <c r="AA166" i="1"/>
  <c r="AA165" i="1"/>
  <c r="AA164" i="1"/>
  <c r="W164" i="1" s="1"/>
  <c r="AG163" i="1"/>
  <c r="AI163" i="1" s="1"/>
  <c r="X163" i="1"/>
  <c r="AA162" i="1"/>
  <c r="AA161" i="1"/>
  <c r="AA160" i="1"/>
  <c r="AG158" i="1"/>
  <c r="W158" i="1" s="1"/>
  <c r="AA84" i="1"/>
  <c r="AI78" i="1"/>
  <c r="AA77" i="1"/>
  <c r="AA74" i="1"/>
  <c r="W74" i="1" s="1"/>
  <c r="AA70" i="1"/>
  <c r="AA58" i="1"/>
  <c r="W58" i="1" s="1"/>
  <c r="AG50" i="1"/>
  <c r="W50" i="1" s="1"/>
  <c r="AG31" i="1"/>
  <c r="AA29" i="1"/>
  <c r="AG23" i="1"/>
  <c r="AA21" i="1"/>
  <c r="T17" i="1"/>
  <c r="U17" i="1" s="1"/>
  <c r="S17" i="1" s="1"/>
  <c r="X136" i="1"/>
  <c r="AA135" i="1"/>
  <c r="AA134" i="1"/>
  <c r="AA133" i="1"/>
  <c r="X128" i="1"/>
  <c r="AA127" i="1"/>
  <c r="AA126" i="1"/>
  <c r="AA125" i="1"/>
  <c r="AA115" i="1"/>
  <c r="AA114" i="1"/>
  <c r="AA111" i="1"/>
  <c r="AA110" i="1"/>
  <c r="AA104" i="1"/>
  <c r="W104" i="1" s="1"/>
  <c r="X99" i="1"/>
  <c r="AA97" i="1"/>
  <c r="AA189" i="1"/>
  <c r="AA187" i="1"/>
  <c r="AA178" i="1"/>
  <c r="AA177" i="1"/>
  <c r="W177" i="1" s="1"/>
  <c r="AA90" i="1"/>
  <c r="AA89" i="1"/>
  <c r="AA88" i="1"/>
  <c r="AA87" i="1"/>
  <c r="AA68" i="1"/>
  <c r="AA56" i="1"/>
  <c r="AA52" i="1"/>
  <c r="W52" i="1" s="1"/>
  <c r="AA47" i="1"/>
  <c r="W47" i="1" s="1"/>
  <c r="AA36" i="1"/>
  <c r="AI129" i="1"/>
  <c r="W121" i="1"/>
  <c r="AI137" i="1"/>
  <c r="W137" i="1"/>
  <c r="W209" i="1"/>
  <c r="X148" i="1"/>
  <c r="T133" i="1"/>
  <c r="T125" i="1"/>
  <c r="T117" i="1"/>
  <c r="U105" i="1"/>
  <c r="S105" i="1" s="1"/>
  <c r="T185" i="1"/>
  <c r="AG185" i="1"/>
  <c r="AI185" i="1" s="1"/>
  <c r="X94" i="1"/>
  <c r="AG94" i="1"/>
  <c r="T94" i="1"/>
  <c r="T159" i="1"/>
  <c r="AG159" i="1"/>
  <c r="X204" i="1"/>
  <c r="AA210" i="1"/>
  <c r="T210" i="1"/>
  <c r="U210" i="1" s="1"/>
  <c r="AG205" i="1"/>
  <c r="U205" i="1" s="1"/>
  <c r="S205" i="1" s="1"/>
  <c r="AA203" i="1"/>
  <c r="AA202" i="1"/>
  <c r="AA200" i="1"/>
  <c r="W200" i="1" s="1"/>
  <c r="T200" i="1"/>
  <c r="U200" i="1" s="1"/>
  <c r="S200" i="1" s="1"/>
  <c r="AG197" i="1"/>
  <c r="U197" i="1" s="1"/>
  <c r="S197" i="1" s="1"/>
  <c r="AG195" i="1"/>
  <c r="AI195" i="1" s="1"/>
  <c r="AA154" i="1"/>
  <c r="AA153" i="1"/>
  <c r="AA152" i="1"/>
  <c r="AA147" i="1"/>
  <c r="AA146" i="1"/>
  <c r="AA145" i="1"/>
  <c r="AG143" i="1"/>
  <c r="W143" i="1" s="1"/>
  <c r="AG140" i="1"/>
  <c r="U140" i="1" s="1"/>
  <c r="S140" i="1" s="1"/>
  <c r="X140" i="1"/>
  <c r="AA136" i="1"/>
  <c r="T136" i="1"/>
  <c r="AG133" i="1"/>
  <c r="W133" i="1" s="1"/>
  <c r="AG132" i="1"/>
  <c r="U132" i="1" s="1"/>
  <c r="S132" i="1" s="1"/>
  <c r="X132" i="1"/>
  <c r="AA128" i="1"/>
  <c r="T128" i="1"/>
  <c r="AG125" i="1"/>
  <c r="AG124" i="1"/>
  <c r="X124" i="1"/>
  <c r="AA120" i="1"/>
  <c r="T120" i="1"/>
  <c r="AG117" i="1"/>
  <c r="AG116" i="1"/>
  <c r="AI116" i="1" s="1"/>
  <c r="X116" i="1"/>
  <c r="W112" i="1"/>
  <c r="AG206" i="1"/>
  <c r="X206" i="1"/>
  <c r="AG98" i="1"/>
  <c r="AI98" i="1" s="1"/>
  <c r="X181" i="1"/>
  <c r="T179" i="1"/>
  <c r="AG179" i="1"/>
  <c r="T177" i="1"/>
  <c r="U177" i="1" s="1"/>
  <c r="S177" i="1" s="1"/>
  <c r="X174" i="1"/>
  <c r="AG174" i="1"/>
  <c r="X167" i="1"/>
  <c r="AG167" i="1"/>
  <c r="AI45" i="1"/>
  <c r="T137" i="1"/>
  <c r="U137" i="1" s="1"/>
  <c r="S137" i="1" s="1"/>
  <c r="W131" i="1"/>
  <c r="T129" i="1"/>
  <c r="U129" i="1" s="1"/>
  <c r="S129" i="1" s="1"/>
  <c r="T121" i="1"/>
  <c r="U121" i="1" s="1"/>
  <c r="S121" i="1" s="1"/>
  <c r="W115" i="1"/>
  <c r="T113" i="1"/>
  <c r="U113" i="1" s="1"/>
  <c r="S113" i="1" s="1"/>
  <c r="AA109" i="1"/>
  <c r="W109" i="1" s="1"/>
  <c r="AG108" i="1"/>
  <c r="AI108" i="1" s="1"/>
  <c r="AA103" i="1"/>
  <c r="AA102" i="1"/>
  <c r="W102" i="1" s="1"/>
  <c r="AG99" i="1"/>
  <c r="U99" i="1" s="1"/>
  <c r="AG189" i="1"/>
  <c r="W189" i="1" s="1"/>
  <c r="T173" i="1"/>
  <c r="X173" i="1"/>
  <c r="AG173" i="1"/>
  <c r="AI173" i="1" s="1"/>
  <c r="T93" i="1"/>
  <c r="X93" i="1"/>
  <c r="AG93" i="1"/>
  <c r="AG210" i="1"/>
  <c r="AI210" i="1" s="1"/>
  <c r="AG203" i="1"/>
  <c r="AI203" i="1" s="1"/>
  <c r="X200" i="1"/>
  <c r="AA195" i="1"/>
  <c r="W195" i="1" s="1"/>
  <c r="AA194" i="1"/>
  <c r="AA192" i="1"/>
  <c r="W192" i="1" s="1"/>
  <c r="T192" i="1"/>
  <c r="U192" i="1" s="1"/>
  <c r="S192" i="1" s="1"/>
  <c r="AG156" i="1"/>
  <c r="W156" i="1" s="1"/>
  <c r="AG154" i="1"/>
  <c r="U154" i="1" s="1"/>
  <c r="S154" i="1" s="1"/>
  <c r="AA150" i="1"/>
  <c r="AA149" i="1"/>
  <c r="AG147" i="1"/>
  <c r="U147" i="1" s="1"/>
  <c r="S147" i="1" s="1"/>
  <c r="AA142" i="1"/>
  <c r="AA141" i="1"/>
  <c r="AG136" i="1"/>
  <c r="AA132" i="1"/>
  <c r="AG128" i="1"/>
  <c r="AA124" i="1"/>
  <c r="AG120" i="1"/>
  <c r="AI120" i="1" s="1"/>
  <c r="AA116" i="1"/>
  <c r="U109" i="1"/>
  <c r="S109" i="1" s="1"/>
  <c r="X109" i="1"/>
  <c r="W105" i="1"/>
  <c r="AI104" i="1"/>
  <c r="AA101" i="1"/>
  <c r="AA98" i="1"/>
  <c r="AA185" i="1"/>
  <c r="W181" i="1"/>
  <c r="T181" i="1"/>
  <c r="U181" i="1" s="1"/>
  <c r="S181" i="1" s="1"/>
  <c r="X177" i="1"/>
  <c r="AG160" i="1"/>
  <c r="T77" i="1"/>
  <c r="T70" i="1"/>
  <c r="U70" i="1" s="1"/>
  <c r="S70" i="1" s="1"/>
  <c r="T54" i="1"/>
  <c r="AA179" i="1"/>
  <c r="AA94" i="1"/>
  <c r="AA169" i="1"/>
  <c r="T169" i="1"/>
  <c r="AA163" i="1"/>
  <c r="AA91" i="1"/>
  <c r="W91" i="1" s="1"/>
  <c r="AG88" i="1"/>
  <c r="AA86" i="1"/>
  <c r="AG84" i="1"/>
  <c r="AA80" i="1"/>
  <c r="AG77" i="1"/>
  <c r="X74" i="1"/>
  <c r="AG73" i="1"/>
  <c r="U73" i="1" s="1"/>
  <c r="S73" i="1" s="1"/>
  <c r="AA69" i="1"/>
  <c r="T66" i="1"/>
  <c r="X58" i="1"/>
  <c r="AG57" i="1"/>
  <c r="U57" i="1" s="1"/>
  <c r="S57" i="1" s="1"/>
  <c r="AA53" i="1"/>
  <c r="W53" i="1" s="1"/>
  <c r="T45" i="1"/>
  <c r="X44" i="1"/>
  <c r="AG43" i="1"/>
  <c r="U43" i="1" s="1"/>
  <c r="X42" i="1"/>
  <c r="AA37" i="1"/>
  <c r="X30" i="1"/>
  <c r="AG29" i="1"/>
  <c r="W29" i="1" s="1"/>
  <c r="AG27" i="1"/>
  <c r="W27" i="1" s="1"/>
  <c r="X22" i="1"/>
  <c r="AG21" i="1"/>
  <c r="AI21" i="1" s="1"/>
  <c r="AG19" i="1"/>
  <c r="W172" i="1"/>
  <c r="T170" i="1"/>
  <c r="W166" i="1"/>
  <c r="T164" i="1"/>
  <c r="U164" i="1" s="1"/>
  <c r="S164" i="1" s="1"/>
  <c r="AA157" i="1"/>
  <c r="X87" i="1"/>
  <c r="AG86" i="1"/>
  <c r="AA81" i="1"/>
  <c r="AG80" i="1"/>
  <c r="AI80" i="1" s="1"/>
  <c r="X70" i="1"/>
  <c r="AG69" i="1"/>
  <c r="U69" i="1" s="1"/>
  <c r="S69" i="1" s="1"/>
  <c r="AA65" i="1"/>
  <c r="AA64" i="1"/>
  <c r="T62" i="1"/>
  <c r="U62" i="1" s="1"/>
  <c r="S62" i="1" s="1"/>
  <c r="X54" i="1"/>
  <c r="AI47" i="1"/>
  <c r="X38" i="1"/>
  <c r="AG37" i="1"/>
  <c r="U37" i="1" s="1"/>
  <c r="AG35" i="1"/>
  <c r="AI35" i="1" s="1"/>
  <c r="AA33" i="1"/>
  <c r="W33" i="1" s="1"/>
  <c r="AA32" i="1"/>
  <c r="AA25" i="1"/>
  <c r="W25" i="1" s="1"/>
  <c r="AA24" i="1"/>
  <c r="AA17" i="1"/>
  <c r="W17" i="1" s="1"/>
  <c r="AA186" i="1"/>
  <c r="AA173" i="1"/>
  <c r="W173" i="1" s="1"/>
  <c r="AG169" i="1"/>
  <c r="AA93" i="1"/>
  <c r="AA159" i="1"/>
  <c r="U91" i="1"/>
  <c r="S91" i="1" s="1"/>
  <c r="AA83" i="1"/>
  <c r="W83" i="1" s="1"/>
  <c r="W82" i="1"/>
  <c r="AA76" i="1"/>
  <c r="W76" i="1" s="1"/>
  <c r="T74" i="1"/>
  <c r="U74" i="1" s="1"/>
  <c r="S74" i="1" s="1"/>
  <c r="X66" i="1"/>
  <c r="AA60" i="1"/>
  <c r="T58" i="1"/>
  <c r="AA44" i="1"/>
  <c r="AA42" i="1"/>
  <c r="W42" i="1" s="1"/>
  <c r="AA40" i="1"/>
  <c r="AA30" i="1"/>
  <c r="W30" i="1" s="1"/>
  <c r="T30" i="1"/>
  <c r="X26" i="1"/>
  <c r="AA22" i="1"/>
  <c r="W22" i="1" s="1"/>
  <c r="T22" i="1"/>
  <c r="X18" i="1"/>
  <c r="AA14" i="1"/>
  <c r="W14" i="1" s="1"/>
  <c r="T14" i="1"/>
  <c r="U14" i="1" s="1"/>
  <c r="S14" i="1" s="1"/>
  <c r="U151" i="1"/>
  <c r="S151" i="1" s="1"/>
  <c r="AI177" i="1"/>
  <c r="U201" i="1"/>
  <c r="S201" i="1" s="1"/>
  <c r="AI190" i="1"/>
  <c r="AI181" i="1"/>
  <c r="U141" i="1"/>
  <c r="S141" i="1" s="1"/>
  <c r="X211" i="1"/>
  <c r="X205" i="1"/>
  <c r="U204" i="1"/>
  <c r="S204" i="1" s="1"/>
  <c r="X201" i="1"/>
  <c r="X197" i="1"/>
  <c r="X193" i="1"/>
  <c r="X149" i="1"/>
  <c r="X145" i="1"/>
  <c r="X141" i="1"/>
  <c r="AA140" i="1"/>
  <c r="W140" i="1" s="1"/>
  <c r="U195" i="1"/>
  <c r="S195" i="1" s="1"/>
  <c r="T139" i="1"/>
  <c r="U139" i="1" s="1"/>
  <c r="S139" i="1" s="1"/>
  <c r="X139" i="1"/>
  <c r="X209" i="1"/>
  <c r="AG208" i="1"/>
  <c r="X203" i="1"/>
  <c r="AG202" i="1"/>
  <c r="AI202" i="1" s="1"/>
  <c r="X199" i="1"/>
  <c r="AG198" i="1"/>
  <c r="AI198" i="1" s="1"/>
  <c r="X195" i="1"/>
  <c r="AG194" i="1"/>
  <c r="AI194" i="1" s="1"/>
  <c r="X154" i="1"/>
  <c r="AG153" i="1"/>
  <c r="AG150" i="1"/>
  <c r="X147" i="1"/>
  <c r="AG146" i="1"/>
  <c r="X143" i="1"/>
  <c r="AG142" i="1"/>
  <c r="W142" i="1" s="1"/>
  <c r="AI172" i="1"/>
  <c r="T138" i="1"/>
  <c r="X138" i="1"/>
  <c r="AG138" i="1"/>
  <c r="AI209" i="1"/>
  <c r="X208" i="1"/>
  <c r="X202" i="1"/>
  <c r="AI201" i="1"/>
  <c r="X198" i="1"/>
  <c r="X194" i="1"/>
  <c r="AI193" i="1"/>
  <c r="X150" i="1"/>
  <c r="AI180" i="1"/>
  <c r="X146" i="1"/>
  <c r="X142" i="1"/>
  <c r="U124" i="1"/>
  <c r="S124" i="1" s="1"/>
  <c r="U116" i="1"/>
  <c r="S116" i="1" s="1"/>
  <c r="U108" i="1"/>
  <c r="S108" i="1" s="1"/>
  <c r="U102" i="1"/>
  <c r="S102" i="1" s="1"/>
  <c r="T183" i="1"/>
  <c r="W87" i="1"/>
  <c r="AI83" i="1"/>
  <c r="U135" i="1"/>
  <c r="S135" i="1" s="1"/>
  <c r="U127" i="1"/>
  <c r="S127" i="1" s="1"/>
  <c r="U119" i="1"/>
  <c r="S119" i="1" s="1"/>
  <c r="X112" i="1"/>
  <c r="AG111" i="1"/>
  <c r="X108" i="1"/>
  <c r="AG107" i="1"/>
  <c r="X104" i="1"/>
  <c r="AG103" i="1"/>
  <c r="AI103" i="1" s="1"/>
  <c r="X102" i="1"/>
  <c r="AG101" i="1"/>
  <c r="S99" i="1"/>
  <c r="X98" i="1"/>
  <c r="AG97" i="1"/>
  <c r="AG187" i="1"/>
  <c r="W187" i="1" s="1"/>
  <c r="AG183" i="1"/>
  <c r="AI87" i="1"/>
  <c r="X135" i="1"/>
  <c r="AG134" i="1"/>
  <c r="X131" i="1"/>
  <c r="AG130" i="1"/>
  <c r="X127" i="1"/>
  <c r="AG126" i="1"/>
  <c r="X123" i="1"/>
  <c r="AG122" i="1"/>
  <c r="X119" i="1"/>
  <c r="AG118" i="1"/>
  <c r="AI118" i="1" s="1"/>
  <c r="X115" i="1"/>
  <c r="AG114" i="1"/>
  <c r="AI148" i="1"/>
  <c r="X111" i="1"/>
  <c r="AG110" i="1"/>
  <c r="W110" i="1" s="1"/>
  <c r="AI144" i="1"/>
  <c r="X107" i="1"/>
  <c r="AG106" i="1"/>
  <c r="AI106" i="1" s="1"/>
  <c r="X103" i="1"/>
  <c r="AG207" i="1"/>
  <c r="AI207" i="1" s="1"/>
  <c r="X101" i="1"/>
  <c r="AG100" i="1"/>
  <c r="AI100" i="1" s="1"/>
  <c r="AI132" i="1"/>
  <c r="X97" i="1"/>
  <c r="AG96" i="1"/>
  <c r="AI128" i="1"/>
  <c r="AG95" i="1"/>
  <c r="AI95" i="1" s="1"/>
  <c r="AI124" i="1"/>
  <c r="T182" i="1"/>
  <c r="X182" i="1"/>
  <c r="AG182" i="1"/>
  <c r="AI182" i="1" s="1"/>
  <c r="X134" i="1"/>
  <c r="X130" i="1"/>
  <c r="X126" i="1"/>
  <c r="X122" i="1"/>
  <c r="AI154" i="1"/>
  <c r="X118" i="1"/>
  <c r="X114" i="1"/>
  <c r="X110" i="1"/>
  <c r="X106" i="1"/>
  <c r="X207" i="1"/>
  <c r="X100" i="1"/>
  <c r="X96" i="1"/>
  <c r="X95" i="1"/>
  <c r="AI123" i="1"/>
  <c r="T178" i="1"/>
  <c r="X178" i="1"/>
  <c r="AG178" i="1"/>
  <c r="AI178" i="1" s="1"/>
  <c r="U172" i="1"/>
  <c r="S172" i="1" s="1"/>
  <c r="U86" i="1"/>
  <c r="S86" i="1" s="1"/>
  <c r="X83" i="1"/>
  <c r="T83" i="1"/>
  <c r="U83" i="1" s="1"/>
  <c r="S83" i="1" s="1"/>
  <c r="U82" i="1"/>
  <c r="S82" i="1" s="1"/>
  <c r="AI79" i="1"/>
  <c r="T78" i="1"/>
  <c r="U78" i="1" s="1"/>
  <c r="S78" i="1" s="1"/>
  <c r="AI76" i="1"/>
  <c r="AI69" i="1"/>
  <c r="U54" i="1"/>
  <c r="S54" i="1" s="1"/>
  <c r="AI54" i="1"/>
  <c r="X179" i="1"/>
  <c r="AI115" i="1"/>
  <c r="X176" i="1"/>
  <c r="AG175" i="1"/>
  <c r="AI111" i="1"/>
  <c r="X172" i="1"/>
  <c r="AG171" i="1"/>
  <c r="AI107" i="1"/>
  <c r="AG168" i="1"/>
  <c r="W168" i="1" s="1"/>
  <c r="X166" i="1"/>
  <c r="AG165" i="1"/>
  <c r="AI165" i="1" s="1"/>
  <c r="AI99" i="1"/>
  <c r="X162" i="1"/>
  <c r="AG161" i="1"/>
  <c r="AI161" i="1" s="1"/>
  <c r="AG157" i="1"/>
  <c r="W157" i="1" s="1"/>
  <c r="AI91" i="1"/>
  <c r="X90" i="1"/>
  <c r="AG89" i="1"/>
  <c r="W89" i="1" s="1"/>
  <c r="X86" i="1"/>
  <c r="AG85" i="1"/>
  <c r="X82" i="1"/>
  <c r="AG81" i="1"/>
  <c r="T79" i="1"/>
  <c r="U79" i="1" s="1"/>
  <c r="S79" i="1" s="1"/>
  <c r="X79" i="1"/>
  <c r="X78" i="1"/>
  <c r="AA72" i="1"/>
  <c r="T71" i="1"/>
  <c r="X71" i="1"/>
  <c r="AG71" i="1"/>
  <c r="W70" i="1"/>
  <c r="T68" i="1"/>
  <c r="X68" i="1"/>
  <c r="AG68" i="1"/>
  <c r="X69" i="1"/>
  <c r="U66" i="1"/>
  <c r="S66" i="1" s="1"/>
  <c r="AI66" i="1"/>
  <c r="AI114" i="1"/>
  <c r="X175" i="1"/>
  <c r="AI110" i="1"/>
  <c r="AI102" i="1"/>
  <c r="X165" i="1"/>
  <c r="X161" i="1"/>
  <c r="AI94" i="1"/>
  <c r="X89" i="1"/>
  <c r="AI86" i="1"/>
  <c r="X85" i="1"/>
  <c r="X81" i="1"/>
  <c r="U80" i="1"/>
  <c r="S80" i="1" s="1"/>
  <c r="T75" i="1"/>
  <c r="X75" i="1"/>
  <c r="AG75" i="1"/>
  <c r="W75" i="1" s="1"/>
  <c r="T72" i="1"/>
  <c r="X72" i="1"/>
  <c r="AI62" i="1"/>
  <c r="X88" i="1"/>
  <c r="X84" i="1"/>
  <c r="X80" i="1"/>
  <c r="T76" i="1"/>
  <c r="U76" i="1" s="1"/>
  <c r="S76" i="1" s="1"/>
  <c r="X76" i="1"/>
  <c r="AI73" i="1"/>
  <c r="X73" i="1"/>
  <c r="AG72" i="1"/>
  <c r="U58" i="1"/>
  <c r="S58" i="1" s="1"/>
  <c r="AI58" i="1"/>
  <c r="W54" i="1"/>
  <c r="X65" i="1"/>
  <c r="AG64" i="1"/>
  <c r="X61" i="1"/>
  <c r="AG60" i="1"/>
  <c r="W60" i="1" s="1"/>
  <c r="X57" i="1"/>
  <c r="AG56" i="1"/>
  <c r="AG40" i="1"/>
  <c r="X41" i="1"/>
  <c r="S37" i="1"/>
  <c r="X36" i="1"/>
  <c r="AI34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AG67" i="1"/>
  <c r="X64" i="1"/>
  <c r="AG63" i="1"/>
  <c r="AI61" i="1"/>
  <c r="X60" i="1"/>
  <c r="AG59" i="1"/>
  <c r="X56" i="1"/>
  <c r="AG55" i="1"/>
  <c r="AI53" i="1"/>
  <c r="T52" i="1"/>
  <c r="U52" i="1" s="1"/>
  <c r="T48" i="1"/>
  <c r="U48" i="1" s="1"/>
  <c r="X48" i="1"/>
  <c r="AG44" i="1"/>
  <c r="X45" i="1"/>
  <c r="AI43" i="1"/>
  <c r="T42" i="1"/>
  <c r="U42" i="1" s="1"/>
  <c r="S42" i="1" s="1"/>
  <c r="X40" i="1"/>
  <c r="AI38" i="1"/>
  <c r="AI33" i="1"/>
  <c r="AI25" i="1"/>
  <c r="AI17" i="1"/>
  <c r="X67" i="1"/>
  <c r="X63" i="1"/>
  <c r="X59" i="1"/>
  <c r="X55" i="1"/>
  <c r="T53" i="1"/>
  <c r="U53" i="1" s="1"/>
  <c r="X53" i="1"/>
  <c r="X50" i="1"/>
  <c r="AA49" i="1"/>
  <c r="U49" i="1"/>
  <c r="T47" i="1"/>
  <c r="U47" i="1" s="1"/>
  <c r="AI42" i="1"/>
  <c r="AG32" i="1"/>
  <c r="X33" i="1"/>
  <c r="T32" i="1"/>
  <c r="X32" i="1"/>
  <c r="U29" i="1"/>
  <c r="S29" i="1" s="1"/>
  <c r="AG28" i="1"/>
  <c r="X29" i="1"/>
  <c r="T28" i="1"/>
  <c r="X28" i="1"/>
  <c r="AG24" i="1"/>
  <c r="X25" i="1"/>
  <c r="T24" i="1"/>
  <c r="X24" i="1"/>
  <c r="U21" i="1"/>
  <c r="S21" i="1" s="1"/>
  <c r="AG20" i="1"/>
  <c r="X21" i="1"/>
  <c r="T20" i="1"/>
  <c r="X20" i="1"/>
  <c r="AG16" i="1"/>
  <c r="X17" i="1"/>
  <c r="T16" i="1"/>
  <c r="X16" i="1"/>
  <c r="T40" i="1"/>
  <c r="AG36" i="1"/>
  <c r="X37" i="1"/>
  <c r="X43" i="1"/>
  <c r="X39" i="1"/>
  <c r="X35" i="1"/>
  <c r="X31" i="1"/>
  <c r="X27" i="1"/>
  <c r="X23" i="1"/>
  <c r="X19" i="1"/>
  <c r="X15" i="1"/>
  <c r="Y33" i="3"/>
  <c r="Y7" i="3"/>
  <c r="Y31" i="3"/>
  <c r="Y9" i="3"/>
  <c r="Y14" i="3"/>
  <c r="Y18" i="3"/>
  <c r="Y25" i="3"/>
  <c r="Y23" i="3"/>
  <c r="Y32" i="3"/>
  <c r="Y16" i="3"/>
  <c r="T28" i="3"/>
  <c r="T9" i="3"/>
  <c r="T11" i="3"/>
  <c r="T23" i="3"/>
  <c r="T34" i="3"/>
  <c r="T15" i="3"/>
  <c r="T24" i="3"/>
  <c r="Y27" i="3"/>
  <c r="Y20" i="3"/>
  <c r="Y13" i="3"/>
  <c r="Y30" i="3"/>
  <c r="Y22" i="3"/>
  <c r="AC17" i="3"/>
  <c r="AC33" i="3"/>
  <c r="AC26" i="3"/>
  <c r="AC19" i="3"/>
  <c r="AC12" i="3"/>
  <c r="AC25" i="3"/>
  <c r="AC7" i="3"/>
  <c r="M29" i="3"/>
  <c r="N29" i="3"/>
  <c r="U29" i="3"/>
  <c r="T29" i="3" s="1"/>
  <c r="V29" i="3"/>
  <c r="W29" i="3"/>
  <c r="Y29" i="3" s="1"/>
  <c r="X29" i="3"/>
  <c r="W68" i="1" l="1"/>
  <c r="U176" i="1"/>
  <c r="S176" i="1" s="1"/>
  <c r="AI158" i="1"/>
  <c r="W151" i="1"/>
  <c r="W45" i="1"/>
  <c r="AI189" i="1"/>
  <c r="U155" i="1"/>
  <c r="S155" i="1" s="1"/>
  <c r="W149" i="1"/>
  <c r="W36" i="1"/>
  <c r="W49" i="1"/>
  <c r="AI37" i="1"/>
  <c r="U189" i="1"/>
  <c r="S189" i="1" s="1"/>
  <c r="U149" i="1"/>
  <c r="S149" i="1" s="1"/>
  <c r="U45" i="1"/>
  <c r="W44" i="1"/>
  <c r="AI57" i="1"/>
  <c r="W55" i="1"/>
  <c r="W16" i="1"/>
  <c r="AI29" i="1"/>
  <c r="AI197" i="1"/>
  <c r="U143" i="1"/>
  <c r="S143" i="1" s="1"/>
  <c r="U136" i="1"/>
  <c r="S136" i="1" s="1"/>
  <c r="W204" i="1"/>
  <c r="U128" i="1"/>
  <c r="S128" i="1" s="1"/>
  <c r="U87" i="1"/>
  <c r="S87" i="1" s="1"/>
  <c r="U158" i="1"/>
  <c r="S158" i="1" s="1"/>
  <c r="W40" i="1"/>
  <c r="U170" i="1"/>
  <c r="S170" i="1" s="1"/>
  <c r="W170" i="1"/>
  <c r="W171" i="1"/>
  <c r="W138" i="1"/>
  <c r="W43" i="1"/>
  <c r="U39" i="1"/>
  <c r="S39" i="1" s="1"/>
  <c r="W81" i="1"/>
  <c r="U191" i="1"/>
  <c r="S191" i="1" s="1"/>
  <c r="U211" i="1"/>
  <c r="S211" i="1" s="1"/>
  <c r="U145" i="1"/>
  <c r="S145" i="1" s="1"/>
  <c r="W185" i="1"/>
  <c r="W145" i="1"/>
  <c r="U90" i="1"/>
  <c r="S90" i="1" s="1"/>
  <c r="U104" i="1"/>
  <c r="S104" i="1" s="1"/>
  <c r="W32" i="1"/>
  <c r="U166" i="1"/>
  <c r="S166" i="1" s="1"/>
  <c r="AI136" i="1"/>
  <c r="U199" i="1"/>
  <c r="S199" i="1" s="1"/>
  <c r="U65" i="1"/>
  <c r="S65" i="1" s="1"/>
  <c r="W159" i="1"/>
  <c r="AI50" i="1"/>
  <c r="W65" i="1"/>
  <c r="W69" i="1"/>
  <c r="W199" i="1"/>
  <c r="W162" i="1"/>
  <c r="W41" i="1"/>
  <c r="W144" i="1"/>
  <c r="AI162" i="1"/>
  <c r="W97" i="1"/>
  <c r="U163" i="1"/>
  <c r="S163" i="1" s="1"/>
  <c r="W163" i="1"/>
  <c r="W179" i="1"/>
  <c r="U120" i="1"/>
  <c r="S120" i="1" s="1"/>
  <c r="W92" i="1"/>
  <c r="U186" i="1"/>
  <c r="S186" i="1" s="1"/>
  <c r="AI140" i="1"/>
  <c r="U92" i="1"/>
  <c r="S92" i="1" s="1"/>
  <c r="U169" i="1"/>
  <c r="S169" i="1" s="1"/>
  <c r="W77" i="1"/>
  <c r="U50" i="1"/>
  <c r="U160" i="1"/>
  <c r="S160" i="1" s="1"/>
  <c r="W141" i="1"/>
  <c r="W174" i="1"/>
  <c r="W127" i="1"/>
  <c r="AI205" i="1"/>
  <c r="U203" i="1"/>
  <c r="S203" i="1" s="1"/>
  <c r="AI186" i="1"/>
  <c r="W132" i="1"/>
  <c r="W152" i="1"/>
  <c r="W90" i="1"/>
  <c r="W107" i="1"/>
  <c r="U98" i="1"/>
  <c r="S98" i="1" s="1"/>
  <c r="W196" i="1"/>
  <c r="U152" i="1"/>
  <c r="S152" i="1" s="1"/>
  <c r="W123" i="1"/>
  <c r="W176" i="1"/>
  <c r="W39" i="1"/>
  <c r="W67" i="1"/>
  <c r="AI90" i="1"/>
  <c r="W186" i="1"/>
  <c r="W180" i="1"/>
  <c r="U94" i="1"/>
  <c r="S94" i="1" s="1"/>
  <c r="W119" i="1"/>
  <c r="W31" i="1"/>
  <c r="U41" i="1"/>
  <c r="S41" i="1" s="1"/>
  <c r="W124" i="1"/>
  <c r="W125" i="1"/>
  <c r="W193" i="1"/>
  <c r="U173" i="1"/>
  <c r="S173" i="1" s="1"/>
  <c r="W211" i="1"/>
  <c r="W182" i="1"/>
  <c r="W203" i="1"/>
  <c r="U185" i="1"/>
  <c r="S185" i="1" s="1"/>
  <c r="U15" i="1"/>
  <c r="S15" i="1" s="1"/>
  <c r="AI15" i="1"/>
  <c r="W191" i="1"/>
  <c r="W93" i="1"/>
  <c r="W21" i="1"/>
  <c r="U31" i="1"/>
  <c r="S31" i="1" s="1"/>
  <c r="AI31" i="1"/>
  <c r="W23" i="1"/>
  <c r="U61" i="1"/>
  <c r="S61" i="1" s="1"/>
  <c r="W116" i="1"/>
  <c r="W99" i="1"/>
  <c r="W135" i="1"/>
  <c r="U23" i="1"/>
  <c r="S23" i="1" s="1"/>
  <c r="AI23" i="1"/>
  <c r="W15" i="1"/>
  <c r="W96" i="1"/>
  <c r="AI96" i="1"/>
  <c r="AI169" i="1"/>
  <c r="W194" i="1"/>
  <c r="U27" i="1"/>
  <c r="S27" i="1" s="1"/>
  <c r="AI27" i="1"/>
  <c r="W37" i="1"/>
  <c r="U77" i="1"/>
  <c r="S77" i="1" s="1"/>
  <c r="AI77" i="1"/>
  <c r="U88" i="1"/>
  <c r="S88" i="1" s="1"/>
  <c r="AI88" i="1"/>
  <c r="W169" i="1"/>
  <c r="W73" i="1"/>
  <c r="W88" i="1"/>
  <c r="W98" i="1"/>
  <c r="U93" i="1"/>
  <c r="S93" i="1" s="1"/>
  <c r="U206" i="1"/>
  <c r="S206" i="1" s="1"/>
  <c r="AI206" i="1"/>
  <c r="W128" i="1"/>
  <c r="U159" i="1"/>
  <c r="S159" i="1" s="1"/>
  <c r="AI159" i="1"/>
  <c r="AI157" i="1"/>
  <c r="W198" i="1"/>
  <c r="U19" i="1"/>
  <c r="S19" i="1" s="1"/>
  <c r="AI19" i="1"/>
  <c r="W80" i="1"/>
  <c r="W94" i="1"/>
  <c r="W35" i="1"/>
  <c r="W19" i="1"/>
  <c r="U167" i="1"/>
  <c r="S167" i="1" s="1"/>
  <c r="AI167" i="1"/>
  <c r="U117" i="1"/>
  <c r="S117" i="1" s="1"/>
  <c r="W136" i="1"/>
  <c r="W210" i="1"/>
  <c r="W108" i="1"/>
  <c r="W117" i="1"/>
  <c r="U84" i="1"/>
  <c r="S84" i="1" s="1"/>
  <c r="AI84" i="1"/>
  <c r="W57" i="1"/>
  <c r="U125" i="1"/>
  <c r="S125" i="1" s="1"/>
  <c r="AI125" i="1"/>
  <c r="W197" i="1"/>
  <c r="S210" i="1"/>
  <c r="U35" i="1"/>
  <c r="S35" i="1" s="1"/>
  <c r="W86" i="1"/>
  <c r="W84" i="1"/>
  <c r="U156" i="1"/>
  <c r="S156" i="1" s="1"/>
  <c r="AI156" i="1"/>
  <c r="W160" i="1"/>
  <c r="U174" i="1"/>
  <c r="S174" i="1" s="1"/>
  <c r="AI174" i="1"/>
  <c r="U179" i="1"/>
  <c r="S179" i="1" s="1"/>
  <c r="W120" i="1"/>
  <c r="U133" i="1"/>
  <c r="S133" i="1" s="1"/>
  <c r="AI133" i="1"/>
  <c r="W147" i="1"/>
  <c r="W154" i="1"/>
  <c r="W167" i="1"/>
  <c r="W206" i="1"/>
  <c r="W205" i="1"/>
  <c r="U28" i="1"/>
  <c r="S28" i="1" s="1"/>
  <c r="AI28" i="1"/>
  <c r="U16" i="1"/>
  <c r="S16" i="1" s="1"/>
  <c r="AI16" i="1"/>
  <c r="U20" i="1"/>
  <c r="S20" i="1" s="1"/>
  <c r="AI20" i="1"/>
  <c r="W20" i="1"/>
  <c r="U182" i="1"/>
  <c r="S182" i="1" s="1"/>
  <c r="AI121" i="1"/>
  <c r="U95" i="1"/>
  <c r="S95" i="1" s="1"/>
  <c r="AI126" i="1"/>
  <c r="U106" i="1"/>
  <c r="S106" i="1" s="1"/>
  <c r="AI142" i="1"/>
  <c r="U122" i="1"/>
  <c r="S122" i="1" s="1"/>
  <c r="AI122" i="1"/>
  <c r="U183" i="1"/>
  <c r="S183" i="1" s="1"/>
  <c r="AI139" i="1"/>
  <c r="U103" i="1"/>
  <c r="S103" i="1" s="1"/>
  <c r="W183" i="1"/>
  <c r="U138" i="1"/>
  <c r="S138" i="1" s="1"/>
  <c r="AI171" i="1"/>
  <c r="AI55" i="1"/>
  <c r="U55" i="1"/>
  <c r="S55" i="1" s="1"/>
  <c r="AI59" i="1"/>
  <c r="U59" i="1"/>
  <c r="S59" i="1" s="1"/>
  <c r="AI63" i="1"/>
  <c r="U63" i="1"/>
  <c r="S63" i="1" s="1"/>
  <c r="U67" i="1"/>
  <c r="S67" i="1" s="1"/>
  <c r="AI67" i="1"/>
  <c r="AI56" i="1"/>
  <c r="U56" i="1"/>
  <c r="S56" i="1" s="1"/>
  <c r="AI64" i="1"/>
  <c r="U64" i="1"/>
  <c r="S64" i="1" s="1"/>
  <c r="W63" i="1"/>
  <c r="U75" i="1"/>
  <c r="S75" i="1" s="1"/>
  <c r="AI75" i="1"/>
  <c r="AI68" i="1"/>
  <c r="U68" i="1"/>
  <c r="S68" i="1" s="1"/>
  <c r="W72" i="1"/>
  <c r="AI85" i="1"/>
  <c r="U85" i="1"/>
  <c r="S85" i="1" s="1"/>
  <c r="AI117" i="1"/>
  <c r="U178" i="1"/>
  <c r="S178" i="1" s="1"/>
  <c r="U207" i="1"/>
  <c r="S207" i="1" s="1"/>
  <c r="AI138" i="1"/>
  <c r="U118" i="1"/>
  <c r="S118" i="1" s="1"/>
  <c r="AI153" i="1"/>
  <c r="U134" i="1"/>
  <c r="S134" i="1" s="1"/>
  <c r="AI168" i="1"/>
  <c r="AI135" i="1"/>
  <c r="U101" i="1"/>
  <c r="S101" i="1" s="1"/>
  <c r="W118" i="1"/>
  <c r="W134" i="1"/>
  <c r="W101" i="1"/>
  <c r="U146" i="1"/>
  <c r="S146" i="1" s="1"/>
  <c r="AI179" i="1"/>
  <c r="U153" i="1"/>
  <c r="S153" i="1" s="1"/>
  <c r="AI187" i="1"/>
  <c r="U194" i="1"/>
  <c r="S194" i="1" s="1"/>
  <c r="AI196" i="1"/>
  <c r="U202" i="1"/>
  <c r="S202" i="1" s="1"/>
  <c r="AI204" i="1"/>
  <c r="W122" i="1"/>
  <c r="W95" i="1"/>
  <c r="W146" i="1"/>
  <c r="U24" i="1"/>
  <c r="S24" i="1" s="1"/>
  <c r="AI24" i="1"/>
  <c r="W28" i="1"/>
  <c r="U71" i="1"/>
  <c r="S71" i="1" s="1"/>
  <c r="AI71" i="1"/>
  <c r="W56" i="1"/>
  <c r="U100" i="1"/>
  <c r="S100" i="1" s="1"/>
  <c r="AI134" i="1"/>
  <c r="U114" i="1"/>
  <c r="S114" i="1" s="1"/>
  <c r="AI150" i="1"/>
  <c r="U130" i="1"/>
  <c r="S130" i="1" s="1"/>
  <c r="AI164" i="1"/>
  <c r="AI131" i="1"/>
  <c r="U97" i="1"/>
  <c r="S97" i="1" s="1"/>
  <c r="AI147" i="1"/>
  <c r="U111" i="1"/>
  <c r="S111" i="1" s="1"/>
  <c r="W100" i="1"/>
  <c r="W207" i="1"/>
  <c r="W103" i="1"/>
  <c r="W111" i="1"/>
  <c r="W153" i="1"/>
  <c r="U36" i="1"/>
  <c r="S36" i="1" s="1"/>
  <c r="AI36" i="1"/>
  <c r="U32" i="1"/>
  <c r="S32" i="1" s="1"/>
  <c r="AI32" i="1"/>
  <c r="W24" i="1"/>
  <c r="U44" i="1"/>
  <c r="AI44" i="1"/>
  <c r="U40" i="1"/>
  <c r="S40" i="1" s="1"/>
  <c r="AI40" i="1"/>
  <c r="AI60" i="1"/>
  <c r="U60" i="1"/>
  <c r="S60" i="1" s="1"/>
  <c r="AI72" i="1"/>
  <c r="U72" i="1"/>
  <c r="S72" i="1" s="1"/>
  <c r="W64" i="1"/>
  <c r="AI81" i="1"/>
  <c r="U81" i="1"/>
  <c r="S81" i="1" s="1"/>
  <c r="AI89" i="1"/>
  <c r="U89" i="1"/>
  <c r="S89" i="1" s="1"/>
  <c r="AI93" i="1"/>
  <c r="U157" i="1"/>
  <c r="S157" i="1" s="1"/>
  <c r="AI97" i="1"/>
  <c r="U161" i="1"/>
  <c r="S161" i="1" s="1"/>
  <c r="AI101" i="1"/>
  <c r="U165" i="1"/>
  <c r="S165" i="1" s="1"/>
  <c r="AI105" i="1"/>
  <c r="U168" i="1"/>
  <c r="S168" i="1" s="1"/>
  <c r="AI109" i="1"/>
  <c r="U171" i="1"/>
  <c r="S171" i="1" s="1"/>
  <c r="AI113" i="1"/>
  <c r="U175" i="1"/>
  <c r="S175" i="1" s="1"/>
  <c r="W59" i="1"/>
  <c r="W165" i="1"/>
  <c r="W178" i="1"/>
  <c r="U96" i="1"/>
  <c r="S96" i="1" s="1"/>
  <c r="AI130" i="1"/>
  <c r="U110" i="1"/>
  <c r="S110" i="1" s="1"/>
  <c r="AI146" i="1"/>
  <c r="U126" i="1"/>
  <c r="S126" i="1" s="1"/>
  <c r="AI160" i="1"/>
  <c r="AI127" i="1"/>
  <c r="U187" i="1"/>
  <c r="S187" i="1" s="1"/>
  <c r="AI143" i="1"/>
  <c r="U107" i="1"/>
  <c r="S107" i="1" s="1"/>
  <c r="W71" i="1"/>
  <c r="W85" i="1"/>
  <c r="W161" i="1"/>
  <c r="W175" i="1"/>
  <c r="W126" i="1"/>
  <c r="U142" i="1"/>
  <c r="S142" i="1" s="1"/>
  <c r="AI175" i="1"/>
  <c r="U150" i="1"/>
  <c r="S150" i="1" s="1"/>
  <c r="AI183" i="1"/>
  <c r="AI192" i="1"/>
  <c r="U198" i="1"/>
  <c r="S198" i="1" s="1"/>
  <c r="AI200" i="1"/>
  <c r="U208" i="1"/>
  <c r="S208" i="1" s="1"/>
  <c r="AI208" i="1"/>
  <c r="W106" i="1"/>
  <c r="W114" i="1"/>
  <c r="W130" i="1"/>
  <c r="W208" i="1"/>
  <c r="W150" i="1"/>
  <c r="W202" i="1"/>
  <c r="AC29" i="3"/>
  <c r="M30" i="5" l="1"/>
  <c r="M29" i="5"/>
  <c r="M28" i="5"/>
  <c r="M27" i="5"/>
  <c r="K20" i="6" l="1"/>
  <c r="B20" i="6"/>
  <c r="K19" i="6"/>
  <c r="B19" i="6"/>
  <c r="J19" i="6" s="1"/>
  <c r="K18" i="6"/>
  <c r="B18" i="6"/>
  <c r="I18" i="6" s="1"/>
  <c r="K17" i="6"/>
  <c r="B17" i="6"/>
  <c r="I17" i="6" s="1"/>
  <c r="K16" i="6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R29" i="3" s="1"/>
  <c r="AD13" i="1"/>
  <c r="X14" i="1" s="1"/>
  <c r="AC13" i="1"/>
  <c r="AB13" i="1"/>
  <c r="Z13" i="1"/>
  <c r="Y13" i="1"/>
  <c r="V13" i="1"/>
  <c r="S29" i="3" s="1"/>
  <c r="M13" i="1"/>
  <c r="N13" i="1" s="1"/>
  <c r="L13" i="1"/>
  <c r="K13" i="1"/>
  <c r="F13" i="6" l="1"/>
  <c r="AA13" i="1"/>
  <c r="F17" i="6"/>
  <c r="AG13" i="1"/>
  <c r="J5" i="6"/>
  <c r="F9" i="6"/>
  <c r="F5" i="6"/>
  <c r="J17" i="6"/>
  <c r="J13" i="6"/>
  <c r="J9" i="6"/>
  <c r="I4" i="6"/>
  <c r="I8" i="6"/>
  <c r="I12" i="6"/>
  <c r="I16" i="6"/>
  <c r="I3" i="6"/>
  <c r="F4" i="6"/>
  <c r="J4" i="6"/>
  <c r="I11" i="6"/>
  <c r="F12" i="6"/>
  <c r="J12" i="6"/>
  <c r="J20" i="6"/>
  <c r="F6" i="6"/>
  <c r="J6" i="6"/>
  <c r="F10" i="6"/>
  <c r="J10" i="6"/>
  <c r="F14" i="6"/>
  <c r="J14" i="6"/>
  <c r="F18" i="6"/>
  <c r="J18" i="6"/>
  <c r="I20" i="6"/>
  <c r="I7" i="6"/>
  <c r="F8" i="6"/>
  <c r="J8" i="6"/>
  <c r="I15" i="6"/>
  <c r="F16" i="6"/>
  <c r="J16" i="6"/>
  <c r="I19" i="6"/>
  <c r="F20" i="6"/>
  <c r="F3" i="6"/>
  <c r="F7" i="6"/>
  <c r="F11" i="6"/>
  <c r="F15" i="6"/>
  <c r="F19" i="6"/>
  <c r="AI13" i="1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" i="6" s="1"/>
  <c r="G31" i="4"/>
  <c r="H3" i="6" s="1"/>
  <c r="F32" i="4"/>
  <c r="G32" i="4"/>
  <c r="F33" i="4"/>
  <c r="G33" i="4"/>
  <c r="F34" i="4"/>
  <c r="G5" i="6" s="1"/>
  <c r="G34" i="4"/>
  <c r="H5" i="6" s="1"/>
  <c r="F35" i="4"/>
  <c r="G35" i="4"/>
  <c r="F36" i="4"/>
  <c r="G36" i="4"/>
  <c r="F37" i="4"/>
  <c r="G37" i="4"/>
  <c r="F38" i="4"/>
  <c r="G38" i="4"/>
  <c r="F39" i="4"/>
  <c r="G6" i="6" s="1"/>
  <c r="G39" i="4"/>
  <c r="H6" i="6" s="1"/>
  <c r="F40" i="4"/>
  <c r="G40" i="4"/>
  <c r="F41" i="4"/>
  <c r="G41" i="4"/>
  <c r="F42" i="4"/>
  <c r="G42" i="4"/>
  <c r="F43" i="4"/>
  <c r="G43" i="4"/>
  <c r="F44" i="4"/>
  <c r="G4" i="6" s="1"/>
  <c r="G44" i="4"/>
  <c r="H4" i="6" s="1"/>
  <c r="F45" i="4"/>
  <c r="G9" i="6" s="1"/>
  <c r="G45" i="4"/>
  <c r="H9" i="6" s="1"/>
  <c r="F46" i="4"/>
  <c r="G46" i="4"/>
  <c r="F47" i="4"/>
  <c r="G47" i="4"/>
  <c r="F48" i="4"/>
  <c r="G48" i="4"/>
  <c r="F49" i="4"/>
  <c r="G49" i="4"/>
  <c r="F50" i="4"/>
  <c r="G7" i="6" s="1"/>
  <c r="G50" i="4"/>
  <c r="H7" i="6" s="1"/>
  <c r="F51" i="4"/>
  <c r="G51" i="4"/>
  <c r="F52" i="4"/>
  <c r="G52" i="4"/>
  <c r="F53" i="4"/>
  <c r="G8" i="6" s="1"/>
  <c r="G53" i="4"/>
  <c r="H8" i="6" s="1"/>
  <c r="F54" i="4"/>
  <c r="G11" i="6" s="1"/>
  <c r="G54" i="4"/>
  <c r="H11" i="6" s="1"/>
  <c r="F55" i="4"/>
  <c r="G55" i="4"/>
  <c r="F56" i="4"/>
  <c r="G56" i="4"/>
  <c r="F57" i="4"/>
  <c r="G57" i="4"/>
  <c r="F58" i="4"/>
  <c r="G12" i="6" s="1"/>
  <c r="G58" i="4"/>
  <c r="H12" i="6" s="1"/>
  <c r="F59" i="4"/>
  <c r="G59" i="4"/>
  <c r="F60" i="4"/>
  <c r="G10" i="6" s="1"/>
  <c r="G60" i="4"/>
  <c r="H10" i="6" s="1"/>
  <c r="F61" i="4"/>
  <c r="G61" i="4"/>
  <c r="F62" i="4"/>
  <c r="G62" i="4"/>
  <c r="F63" i="4"/>
  <c r="G63" i="4"/>
  <c r="F64" i="4"/>
  <c r="G14" i="6" s="1"/>
  <c r="G64" i="4"/>
  <c r="H14" i="6" s="1"/>
  <c r="F65" i="4"/>
  <c r="G65" i="4"/>
  <c r="F66" i="4"/>
  <c r="G66" i="4"/>
  <c r="F67" i="4"/>
  <c r="G67" i="4"/>
  <c r="F68" i="4"/>
  <c r="G68" i="4"/>
  <c r="F69" i="4"/>
  <c r="G13" i="6" s="1"/>
  <c r="G69" i="4"/>
  <c r="H13" i="6" s="1"/>
  <c r="F70" i="4"/>
  <c r="G17" i="6" s="1"/>
  <c r="G70" i="4"/>
  <c r="H17" i="6" s="1"/>
  <c r="F71" i="4"/>
  <c r="G71" i="4"/>
  <c r="F72" i="4"/>
  <c r="G72" i="4"/>
  <c r="F73" i="4"/>
  <c r="G73" i="4"/>
  <c r="F74" i="4"/>
  <c r="G15" i="6" s="1"/>
  <c r="G74" i="4"/>
  <c r="H15" i="6" s="1"/>
  <c r="F75" i="4"/>
  <c r="G18" i="6" s="1"/>
  <c r="G75" i="4"/>
  <c r="H18" i="6" s="1"/>
  <c r="F76" i="4"/>
  <c r="G16" i="6" s="1"/>
  <c r="G76" i="4"/>
  <c r="H16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9" i="6" s="1"/>
  <c r="G84" i="4"/>
  <c r="H19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0" i="6" s="1"/>
  <c r="G223" i="4"/>
  <c r="H20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<sst xmlns="http://schemas.openxmlformats.org/spreadsheetml/2006/main" count="2102" uniqueCount="753">
  <si>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</si>
  <si>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</si>
  <si>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</si>
  <si>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</si>
  <si>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</si>
  <si>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</si>
  <si>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</si>
  <si>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</si>
  <si>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</si>
  <si>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</si>
  <si>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</si>
  <si>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</si>
  <si>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</si>
  <si>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</si>
  <si>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</si>
  <si>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</si>
  <si>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</si>
  <si>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</si>
  <si>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</si>
  <si>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</si>
  <si>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</si>
  <si>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</si>
  <si>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</si>
  <si>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</si>
  <si>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</si>
  <si>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</si>
  <si>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</si>
  <si>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</si>
  <si>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</si>
  <si>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</si>
  <si>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</si>
  <si>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</si>
  <si>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</si>
  <si>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</si>
  <si>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</si>
  <si>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</si>
  <si>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</si>
  <si>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</si>
  <si>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</si>
  <si>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</si>
  <si>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</si>
  <si>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</si>
  <si>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</si>
  <si>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</si>
  <si>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</si>
  <si>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</si>
  <si>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</si>
  <si>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</si>
  <si>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</si>
  <si>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</si>
  <si>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</si>
  <si>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</si>
  <si>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</si>
  <si>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</si>
  <si>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</si>
  <si>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</si>
  <si>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</si>
  <si>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</si>
  <si>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</si>
  <si>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</si>
  <si>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</si>
  <si>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</si>
  <si>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</si>
  <si>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</si>
  <si>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</si>
  <si>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</si>
  <si>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</si>
  <si>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</si>
  <si>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</si>
  <si>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</si>
  <si>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</si>
  <si>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</si>
  <si>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</si>
  <si>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</si>
  <si>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</si>
  <si>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</si>
  <si>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</si>
  <si>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</si>
  <si>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</si>
  <si>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</si>
  <si>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</si>
  <si>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</si>
  <si>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</si>
  <si>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</si>
  <si>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</si>
  <si>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</si>
  <si>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</si>
  <si>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</si>
  <si>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</si>
  <si>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</si>
  <si>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</si>
  <si>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</si>
  <si>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</si>
  <si>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</si>
  <si>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</si>
  <si>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</si>
  <si>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</si>
  <si>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</si>
  <si>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</si>
  <si>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</si>
  <si>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</si>
  <si>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</si>
  <si>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</si>
  <si>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</si>
  <si>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</si>
  <si>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</si>
  <si>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</si>
  <si>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</si>
  <si>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</si>
  <si>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</si>
  <si>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</si>
  <si>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</si>
  <si>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</si>
  <si>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</si>
  <si>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</si>
  <si>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</si>
  <si>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</si>
  <si>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</si>
  <si>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</si>
  <si>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</si>
  <si>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</si>
  <si>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</si>
  <si>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</si>
  <si>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</si>
  <si>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</si>
  <si>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</si>
  <si>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</si>
  <si>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</si>
  <si>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</si>
  <si>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</si>
  <si>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</si>
  <si>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</si>
  <si>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</si>
  <si>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</si>
  <si>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</si>
  <si>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</si>
  <si>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</si>
  <si>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</si>
  <si>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</si>
  <si>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</si>
  <si>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</si>
  <si>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</si>
  <si>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</si>
  <si>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</si>
  <si>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</si>
  <si>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</si>
  <si>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</si>
  <si>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</si>
  <si>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</si>
  <si>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</si>
  <si>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</si>
  <si>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</si>
  <si>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</si>
  <si>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</si>
  <si>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</si>
  <si>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</si>
  <si>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</si>
  <si>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</si>
  <si>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</si>
  <si>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</si>
  <si>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</si>
  <si>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</si>
  <si>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</si>
  <si>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</si>
  <si>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</si>
  <si>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</si>
  <si>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</si>
  <si>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</si>
  <si>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</si>
  <si>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</si>
  <si>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</si>
  <si>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</si>
  <si>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</si>
  <si>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</si>
  <si>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</si>
  <si>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</si>
  <si>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</si>
  <si>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</si>
  <si>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</si>
  <si>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</si>
  <si>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</si>
  <si>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</si>
  <si>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</si>
  <si>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</si>
  <si>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</si>
  <si>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</si>
  <si>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</si>
  <si>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</si>
  <si>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</si>
  <si>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</si>
  <si>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</si>
  <si>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</si>
  <si>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</si>
  <si>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</si>
  <si>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</si>
  <si>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</si>
  <si>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rtdc.l.rtdc.4003:itc</t>
  </si>
  <si>
    <t>204:233297</t>
  </si>
  <si>
    <t>rtdc.l.rtdc.4008:itc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</si>
  <si>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</si>
  <si>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</si>
  <si>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</si>
  <si>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</si>
  <si>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</si>
  <si>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</si>
  <si>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</si>
  <si>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</si>
  <si>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Y</t>
  </si>
  <si>
    <t>246-07</t>
  </si>
  <si>
    <t>311-07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</si>
  <si>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</si>
  <si>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</si>
  <si>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</si>
  <si>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</si>
  <si>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</si>
  <si>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</si>
  <si>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</si>
  <si>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</si>
  <si>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</si>
  <si>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</si>
  <si>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</si>
  <si>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</si>
  <si>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rtdc.l.rtdc.4015:itc</t>
  </si>
  <si>
    <t>rtdc.l.rtdc.4032:itc</t>
  </si>
  <si>
    <t>rtdc.l.rtdc.4031:itc</t>
  </si>
  <si>
    <t>BRANDNER</t>
  </si>
  <si>
    <t>204:233314</t>
  </si>
  <si>
    <t>Enforcements Text</t>
  </si>
  <si>
    <t>Runs-Refined Text</t>
  </si>
  <si>
    <t>Trips Text</t>
  </si>
  <si>
    <t>Weather Text</t>
  </si>
  <si>
    <t>MAELZER</t>
  </si>
  <si>
    <t>STRICKLAND</t>
  </si>
  <si>
    <t>204:232985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</si>
  <si>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</si>
  <si>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</si>
  <si>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</si>
  <si>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</si>
  <si>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</si>
  <si>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</si>
  <si>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</si>
  <si>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</si>
  <si>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</si>
  <si>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204:132</t>
  </si>
  <si>
    <t>204:453</t>
  </si>
  <si>
    <t>204:233300</t>
  </si>
  <si>
    <t>204:163</t>
  </si>
  <si>
    <t>204:464</t>
  </si>
  <si>
    <t>204:455</t>
  </si>
  <si>
    <t>204:232982</t>
  </si>
  <si>
    <t>204:136</t>
  </si>
  <si>
    <t>204:467</t>
  </si>
  <si>
    <t>204:233298</t>
  </si>
  <si>
    <t>204:232976</t>
  </si>
  <si>
    <t>204:134</t>
  </si>
  <si>
    <t>204:457</t>
  </si>
  <si>
    <t>204:462</t>
  </si>
  <si>
    <t>204:232978</t>
  </si>
  <si>
    <t>204:466</t>
  </si>
  <si>
    <t>204:478</t>
  </si>
  <si>
    <t>204:233295</t>
  </si>
  <si>
    <t>204:446</t>
  </si>
  <si>
    <t>204:232996</t>
  </si>
  <si>
    <t>204:233299</t>
  </si>
  <si>
    <t>204:167</t>
  </si>
  <si>
    <t>204:232989</t>
  </si>
  <si>
    <t>204:160</t>
  </si>
  <si>
    <t>204:232979</t>
  </si>
  <si>
    <t>204:460</t>
  </si>
  <si>
    <t>204:233306</t>
  </si>
  <si>
    <t>204:233289</t>
  </si>
  <si>
    <t>204:233291</t>
  </si>
  <si>
    <t>204:469</t>
  </si>
  <si>
    <t>204:482</t>
  </si>
  <si>
    <t>204:440</t>
  </si>
  <si>
    <t>204:451</t>
  </si>
  <si>
    <t>N</t>
  </si>
  <si>
    <t>PERMANENT SPEED RESTRICTION</t>
  </si>
  <si>
    <t>Speed (6)</t>
  </si>
  <si>
    <t>rtdc.l.rtdc.4016:itc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</si>
  <si>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</si>
  <si>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</si>
  <si>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</si>
  <si>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</si>
  <si>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</si>
  <si>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</si>
  <si>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rtdc.l.rtdc.4019:itc</t>
  </si>
  <si>
    <t>rtdc.l.rtdc.4028:itc</t>
  </si>
  <si>
    <t>partly-cloudy-day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</si>
  <si>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</si>
  <si>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</si>
  <si>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</si>
  <si>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</si>
  <si>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</si>
  <si>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</si>
  <si>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MALAVE</t>
  </si>
  <si>
    <t>MOSES</t>
  </si>
  <si>
    <t>NEWELL</t>
  </si>
  <si>
    <t>rtdc.l.rtdc.4027:itc</t>
  </si>
  <si>
    <t>204:232977</t>
  </si>
  <si>
    <t>204:232998</t>
  </si>
  <si>
    <t>204:232980</t>
  </si>
  <si>
    <t>204:233301</t>
  </si>
  <si>
    <t>204:232994</t>
  </si>
  <si>
    <t>204:232984</t>
  </si>
  <si>
    <t>204:233310</t>
  </si>
  <si>
    <t>204:232988</t>
  </si>
  <si>
    <t>204:475</t>
  </si>
  <si>
    <t>204:233315</t>
  </si>
  <si>
    <t>204:232971</t>
  </si>
  <si>
    <t>204:497</t>
  </si>
  <si>
    <t>204:232991</t>
  </si>
  <si>
    <t>204:471</t>
  </si>
  <si>
    <t>300:58608</t>
  </si>
  <si>
    <t>AWS CP Commands</t>
  </si>
  <si>
    <t>rtdc.l.rtdc.4045:itc</t>
  </si>
  <si>
    <t>rtdc.l.rtdc.4012:itc</t>
  </si>
  <si>
    <t>844-14</t>
  </si>
  <si>
    <t>234-14</t>
  </si>
  <si>
    <t>DAVIS</t>
  </si>
  <si>
    <t>rtdc.l.rtdc.4011:itc</t>
  </si>
  <si>
    <t>STEWART</t>
  </si>
  <si>
    <t>CLARK</t>
  </si>
  <si>
    <t>SHOOK</t>
  </si>
  <si>
    <t>231-14</t>
  </si>
  <si>
    <t>228-14</t>
  </si>
  <si>
    <t>230-14</t>
  </si>
  <si>
    <t>233-14</t>
  </si>
  <si>
    <t>847-14</t>
  </si>
  <si>
    <t>232-14</t>
  </si>
  <si>
    <t>235-14</t>
  </si>
  <si>
    <t>908-14</t>
  </si>
  <si>
    <t>237-14</t>
  </si>
  <si>
    <t>239-14</t>
  </si>
  <si>
    <t>236-14</t>
  </si>
  <si>
    <t>238-14</t>
  </si>
  <si>
    <t>241-14</t>
  </si>
  <si>
    <t>243-14</t>
  </si>
  <si>
    <t>240-14</t>
  </si>
  <si>
    <t>242-14</t>
  </si>
  <si>
    <t>245-14</t>
  </si>
  <si>
    <t>309-14</t>
  </si>
  <si>
    <t>244-14</t>
  </si>
  <si>
    <t>311-14</t>
  </si>
  <si>
    <t>246-14</t>
  </si>
  <si>
    <t>313-14</t>
  </si>
  <si>
    <t>315-14</t>
  </si>
  <si>
    <t>204:232955</t>
  </si>
  <si>
    <t>204:232965</t>
  </si>
  <si>
    <t>204:444</t>
  </si>
  <si>
    <t>204:232963</t>
  </si>
  <si>
    <t>204:232987</t>
  </si>
  <si>
    <t>204:233336</t>
  </si>
  <si>
    <t>204:233305</t>
  </si>
  <si>
    <t>300:23312</t>
  </si>
  <si>
    <t>300:23308</t>
  </si>
  <si>
    <t>300:58929</t>
  </si>
  <si>
    <t>204:724</t>
  </si>
  <si>
    <t>300:58926</t>
  </si>
  <si>
    <t>204:1018</t>
  </si>
  <si>
    <t>300:58965</t>
  </si>
  <si>
    <t>300:58619</t>
  </si>
  <si>
    <t>204:752</t>
  </si>
  <si>
    <t>244-15</t>
  </si>
  <si>
    <t>242-15</t>
  </si>
  <si>
    <t>KILLION</t>
  </si>
  <si>
    <t>YORK</t>
  </si>
  <si>
    <t>BRUDER</t>
  </si>
  <si>
    <t>BROWN</t>
  </si>
  <si>
    <t>245-15</t>
  </si>
  <si>
    <t>HAUSER</t>
  </si>
  <si>
    <t>246-15</t>
  </si>
  <si>
    <t>311-15</t>
  </si>
  <si>
    <t>313-15</t>
  </si>
  <si>
    <t>315-15</t>
  </si>
  <si>
    <t>clear-day</t>
  </si>
  <si>
    <t>204:233325</t>
  </si>
  <si>
    <t>204:156</t>
  </si>
  <si>
    <t>204:433</t>
  </si>
  <si>
    <t>204:232969</t>
  </si>
  <si>
    <t>204:233322</t>
  </si>
  <si>
    <t>204:233000</t>
  </si>
  <si>
    <t>204:233308</t>
  </si>
  <si>
    <t>204:233302</t>
  </si>
  <si>
    <t>204:189</t>
  </si>
  <si>
    <t>204:489</t>
  </si>
  <si>
    <t>204:1023</t>
  </si>
  <si>
    <t>204:1014</t>
  </si>
  <si>
    <t>204:726</t>
  </si>
  <si>
    <t>300:58924</t>
  </si>
  <si>
    <t>300:58640</t>
  </si>
  <si>
    <t>204:1016</t>
  </si>
  <si>
    <t>204:1009</t>
  </si>
  <si>
    <t>300:58653</t>
  </si>
  <si>
    <t>204:717</t>
  </si>
  <si>
    <t>204:232973</t>
  </si>
  <si>
    <t>204:233287</t>
  </si>
  <si>
    <t>204:233017</t>
  </si>
  <si>
    <t>204:233303</t>
  </si>
  <si>
    <t>300:23306</t>
  </si>
  <si>
    <t>204:1516</t>
  </si>
  <si>
    <t>204:1860</t>
  </si>
  <si>
    <t>300:23301</t>
  </si>
  <si>
    <t>101-16</t>
  </si>
  <si>
    <t>310-16</t>
  </si>
  <si>
    <t>104-16</t>
  </si>
  <si>
    <t>rtdc.l.rtdc.4029:itc</t>
  </si>
  <si>
    <t>115-16</t>
  </si>
  <si>
    <t>117-16</t>
  </si>
  <si>
    <t>120-16</t>
  </si>
  <si>
    <t>118-16</t>
  </si>
  <si>
    <t>126-16</t>
  </si>
  <si>
    <t>141-16</t>
  </si>
  <si>
    <t>140-16</t>
  </si>
  <si>
    <t>153-16</t>
  </si>
  <si>
    <t>154-16</t>
  </si>
  <si>
    <t>167-16</t>
  </si>
  <si>
    <t>162-16</t>
  </si>
  <si>
    <t>164-16</t>
  </si>
  <si>
    <t>173-16</t>
  </si>
  <si>
    <t>185-16</t>
  </si>
  <si>
    <t>176-16</t>
  </si>
  <si>
    <t>196-16</t>
  </si>
  <si>
    <t>1824-16</t>
  </si>
  <si>
    <t>1826-16</t>
  </si>
  <si>
    <t>221-16</t>
  </si>
  <si>
    <t>1828-16</t>
  </si>
  <si>
    <t>220-16</t>
  </si>
  <si>
    <t>234-16</t>
  </si>
  <si>
    <t>302-16</t>
  </si>
  <si>
    <t>304-16</t>
  </si>
  <si>
    <t>ACKERMAN</t>
  </si>
  <si>
    <t>103-16</t>
  </si>
  <si>
    <t>306-16</t>
  </si>
  <si>
    <t>102-16</t>
  </si>
  <si>
    <t>105-16</t>
  </si>
  <si>
    <t>rtdc.l.rtdc.4026:itc</t>
  </si>
  <si>
    <t>308-16</t>
  </si>
  <si>
    <t>rtdc.l.rtdc.4025:itc</t>
  </si>
  <si>
    <t>107-16</t>
  </si>
  <si>
    <t>109-16</t>
  </si>
  <si>
    <t>113-16</t>
  </si>
  <si>
    <t>111-16</t>
  </si>
  <si>
    <t>106-16</t>
  </si>
  <si>
    <t>1901-16</t>
  </si>
  <si>
    <t>STARKS</t>
  </si>
  <si>
    <t>108-16</t>
  </si>
  <si>
    <t>110-16</t>
  </si>
  <si>
    <t>1800-16</t>
  </si>
  <si>
    <t>112-16</t>
  </si>
  <si>
    <t>119-16</t>
  </si>
  <si>
    <t>114-16</t>
  </si>
  <si>
    <t>121-16</t>
  </si>
  <si>
    <t>1801-16</t>
  </si>
  <si>
    <t>rtdc.l.rtdc.4030:itc</t>
  </si>
  <si>
    <t>116-16</t>
  </si>
  <si>
    <t>123-16</t>
  </si>
  <si>
    <t>1802-16</t>
  </si>
  <si>
    <t>125-16</t>
  </si>
  <si>
    <t>127-16</t>
  </si>
  <si>
    <t>122-16</t>
  </si>
  <si>
    <t>129-16</t>
  </si>
  <si>
    <t>1803-16</t>
  </si>
  <si>
    <t>124-16</t>
  </si>
  <si>
    <t>131-16</t>
  </si>
  <si>
    <t>1804-16</t>
  </si>
  <si>
    <t>133-16</t>
  </si>
  <si>
    <t>128-16</t>
  </si>
  <si>
    <t>130-16</t>
  </si>
  <si>
    <t>135-16</t>
  </si>
  <si>
    <t>137-16</t>
  </si>
  <si>
    <t>132-16</t>
  </si>
  <si>
    <t>1805-16</t>
  </si>
  <si>
    <t>139-16</t>
  </si>
  <si>
    <t>134-16</t>
  </si>
  <si>
    <t>1806-16</t>
  </si>
  <si>
    <t>136-16</t>
  </si>
  <si>
    <t>143-16</t>
  </si>
  <si>
    <t>1807-16</t>
  </si>
  <si>
    <t>138-16</t>
  </si>
  <si>
    <t>145-16</t>
  </si>
  <si>
    <t>147-16</t>
  </si>
  <si>
    <t>1808-16</t>
  </si>
  <si>
    <t>142-16</t>
  </si>
  <si>
    <t>144-16</t>
  </si>
  <si>
    <t>149-16</t>
  </si>
  <si>
    <t>DE LA ROSA</t>
  </si>
  <si>
    <t>151-16</t>
  </si>
  <si>
    <t>146-16</t>
  </si>
  <si>
    <t>148-16</t>
  </si>
  <si>
    <t>1809-16</t>
  </si>
  <si>
    <t>155-16</t>
  </si>
  <si>
    <t>150-16</t>
  </si>
  <si>
    <t>1810-16</t>
  </si>
  <si>
    <t>157-16</t>
  </si>
  <si>
    <t>152-16</t>
  </si>
  <si>
    <t>159-16</t>
  </si>
  <si>
    <t>161-16</t>
  </si>
  <si>
    <t>BARTLETT</t>
  </si>
  <si>
    <t>1811-16</t>
  </si>
  <si>
    <t>156-16</t>
  </si>
  <si>
    <t>158-16</t>
  </si>
  <si>
    <t>163-16</t>
  </si>
  <si>
    <t>1812-16</t>
  </si>
  <si>
    <t>165-16</t>
  </si>
  <si>
    <t>160-16</t>
  </si>
  <si>
    <t>YOUNG</t>
  </si>
  <si>
    <t>50-16</t>
  </si>
  <si>
    <t>169-16</t>
  </si>
  <si>
    <t>1813-16</t>
  </si>
  <si>
    <t>171-16</t>
  </si>
  <si>
    <t>51-16</t>
  </si>
  <si>
    <t>166-16</t>
  </si>
  <si>
    <t>1814-16</t>
  </si>
  <si>
    <t>168-16</t>
  </si>
  <si>
    <t>175-16</t>
  </si>
  <si>
    <t>170-16</t>
  </si>
  <si>
    <t>177-16</t>
  </si>
  <si>
    <t>1815-16</t>
  </si>
  <si>
    <t>172-16</t>
  </si>
  <si>
    <t>179-16</t>
  </si>
  <si>
    <t>1816-16</t>
  </si>
  <si>
    <t>181-16</t>
  </si>
  <si>
    <t>174-16</t>
  </si>
  <si>
    <t>183-16</t>
  </si>
  <si>
    <t>178-16</t>
  </si>
  <si>
    <t>1817-16</t>
  </si>
  <si>
    <t>180-16</t>
  </si>
  <si>
    <t>187-16</t>
  </si>
  <si>
    <t>182-16</t>
  </si>
  <si>
    <t>1818-16</t>
  </si>
  <si>
    <t>189-16</t>
  </si>
  <si>
    <t>184-16</t>
  </si>
  <si>
    <t>191-16</t>
  </si>
  <si>
    <t>186-16</t>
  </si>
  <si>
    <t>193-16</t>
  </si>
  <si>
    <t>1819-16</t>
  </si>
  <si>
    <t>188-16</t>
  </si>
  <si>
    <t>195-16</t>
  </si>
  <si>
    <t>190-16</t>
  </si>
  <si>
    <t>1820-16</t>
  </si>
  <si>
    <t>197-16</t>
  </si>
  <si>
    <t>192-16</t>
  </si>
  <si>
    <t>199-16</t>
  </si>
  <si>
    <t>194-16</t>
  </si>
  <si>
    <t>201-16</t>
  </si>
  <si>
    <t>1821-16</t>
  </si>
  <si>
    <t>203-16</t>
  </si>
  <si>
    <t>198-16</t>
  </si>
  <si>
    <t>1822-16</t>
  </si>
  <si>
    <t>205-16</t>
  </si>
  <si>
    <t>200-16</t>
  </si>
  <si>
    <t>207-16</t>
  </si>
  <si>
    <t>202-16</t>
  </si>
  <si>
    <t>204-16</t>
  </si>
  <si>
    <t>209-16</t>
  </si>
  <si>
    <t>63-16</t>
  </si>
  <si>
    <t>SWANSON</t>
  </si>
  <si>
    <t>1823-16</t>
  </si>
  <si>
    <t>211-16</t>
  </si>
  <si>
    <t>206-16</t>
  </si>
  <si>
    <t>52-16</t>
  </si>
  <si>
    <t>213-16</t>
  </si>
  <si>
    <t>BERLING</t>
  </si>
  <si>
    <t>208-16</t>
  </si>
  <si>
    <t>215-16</t>
  </si>
  <si>
    <t>210-16</t>
  </si>
  <si>
    <t>1825-16</t>
  </si>
  <si>
    <t>217-16</t>
  </si>
  <si>
    <t>212-16</t>
  </si>
  <si>
    <t>219-16</t>
  </si>
  <si>
    <t>214-16</t>
  </si>
  <si>
    <t>303-16</t>
  </si>
  <si>
    <t>216-16</t>
  </si>
  <si>
    <t>218-16</t>
  </si>
  <si>
    <t>305-16</t>
  </si>
  <si>
    <t>1829-16</t>
  </si>
  <si>
    <t>223-16</t>
  </si>
  <si>
    <t>307-16</t>
  </si>
  <si>
    <t>222-16</t>
  </si>
  <si>
    <t>225-16</t>
  </si>
  <si>
    <t>227-16</t>
  </si>
  <si>
    <t>224-16</t>
  </si>
  <si>
    <t>1830-16</t>
  </si>
  <si>
    <t>226-16</t>
  </si>
  <si>
    <t>229-16</t>
  </si>
  <si>
    <t>231-16</t>
  </si>
  <si>
    <t>228-16</t>
  </si>
  <si>
    <t>1831-16</t>
  </si>
  <si>
    <t>233-16</t>
  </si>
  <si>
    <t>230-16</t>
  </si>
  <si>
    <t>1832-16</t>
  </si>
  <si>
    <t>232-16</t>
  </si>
  <si>
    <t>235-16</t>
  </si>
  <si>
    <t>1833-16</t>
  </si>
  <si>
    <t>1902-16</t>
  </si>
  <si>
    <t>237-16</t>
  </si>
  <si>
    <t>236-16</t>
  </si>
  <si>
    <t>239-16</t>
  </si>
  <si>
    <t>238-16</t>
  </si>
  <si>
    <t>241-16</t>
  </si>
  <si>
    <t>240-16</t>
  </si>
  <si>
    <t>243-16</t>
  </si>
  <si>
    <t>309-16</t>
  </si>
  <si>
    <t>242-16</t>
  </si>
  <si>
    <t>311-16</t>
  </si>
  <si>
    <t>244-16</t>
  </si>
  <si>
    <t>313-16</t>
  </si>
  <si>
    <t>315-16</t>
  </si>
  <si>
    <t>302-17</t>
  </si>
  <si>
    <t>204:777</t>
  </si>
  <si>
    <t>204:233403</t>
  </si>
  <si>
    <t>204:232621</t>
  </si>
  <si>
    <t>204:679</t>
  </si>
  <si>
    <t>204:233391</t>
  </si>
  <si>
    <t>204:232742</t>
  </si>
  <si>
    <t>204:139</t>
  </si>
  <si>
    <t>204:743</t>
  </si>
  <si>
    <t>204:232690</t>
  </si>
  <si>
    <t>204:233317</t>
  </si>
  <si>
    <t>204:165</t>
  </si>
  <si>
    <t>204:233280</t>
  </si>
  <si>
    <t>204:232961</t>
  </si>
  <si>
    <t>204:803</t>
  </si>
  <si>
    <t>204:770</t>
  </si>
  <si>
    <t>204:761</t>
  </si>
  <si>
    <t>204:232981</t>
  </si>
  <si>
    <t>204:232964</t>
  </si>
  <si>
    <t>204:1186</t>
  </si>
  <si>
    <t>204:233266</t>
  </si>
  <si>
    <t>204:477</t>
  </si>
  <si>
    <t>204:233278</t>
  </si>
  <si>
    <t>204:232972</t>
  </si>
  <si>
    <t>204:233255</t>
  </si>
  <si>
    <t>204:232942</t>
  </si>
  <si>
    <t>204:180</t>
  </si>
  <si>
    <t>204:233304</t>
  </si>
  <si>
    <t>204:232993</t>
  </si>
  <si>
    <t>204:233318</t>
  </si>
  <si>
    <t>204:178</t>
  </si>
  <si>
    <t>204:233370</t>
  </si>
  <si>
    <t>204:233019</t>
  </si>
  <si>
    <t>204:233324</t>
  </si>
  <si>
    <t>300:58615</t>
  </si>
  <si>
    <t>204:734</t>
  </si>
  <si>
    <t>204:1039</t>
  </si>
  <si>
    <t>204:715</t>
  </si>
  <si>
    <t>204:1007</t>
  </si>
  <si>
    <t>300:58922</t>
  </si>
  <si>
    <t>300:58609</t>
  </si>
  <si>
    <t>204:722</t>
  </si>
  <si>
    <t>204:999</t>
  </si>
  <si>
    <t>300:58933</t>
  </si>
  <si>
    <t>300:58621</t>
  </si>
  <si>
    <t>204:729</t>
  </si>
  <si>
    <t>300:58937</t>
  </si>
  <si>
    <t>300:58611</t>
  </si>
  <si>
    <t>204:731</t>
  </si>
  <si>
    <t>204:1025</t>
  </si>
  <si>
    <t>204:1002</t>
  </si>
  <si>
    <t>204:1006</t>
  </si>
  <si>
    <t>204:712</t>
  </si>
  <si>
    <t>300:58960</t>
  </si>
  <si>
    <t>300:58658</t>
  </si>
  <si>
    <t>300:58975</t>
  </si>
  <si>
    <t>204:196</t>
  </si>
  <si>
    <t>204:1013</t>
  </si>
  <si>
    <t>300:58948</t>
  </si>
  <si>
    <t>300:58632</t>
  </si>
  <si>
    <t>300:58973</t>
  </si>
  <si>
    <t>300:58655</t>
  </si>
  <si>
    <t>204:757</t>
  </si>
  <si>
    <t>300:58647</t>
  </si>
  <si>
    <t>204:733</t>
  </si>
  <si>
    <t>300:58956</t>
  </si>
  <si>
    <t>204:500</t>
  </si>
  <si>
    <t>300:58664</t>
  </si>
  <si>
    <t>300:58649</t>
  </si>
  <si>
    <t>300:58950</t>
  </si>
  <si>
    <t>204:232938</t>
  </si>
  <si>
    <t>204:233047</t>
  </si>
  <si>
    <t>204:233008</t>
  </si>
  <si>
    <t>300:29627</t>
  </si>
  <si>
    <t>300:21750</t>
  </si>
  <si>
    <t>204:484</t>
  </si>
  <si>
    <t>204:233309</t>
  </si>
  <si>
    <t>204:232968</t>
  </si>
  <si>
    <t>204:233026</t>
  </si>
  <si>
    <t>204:488</t>
  </si>
  <si>
    <t>204:233337</t>
  </si>
  <si>
    <t>204:274</t>
  </si>
  <si>
    <t>204:232936</t>
  </si>
  <si>
    <t>204:426</t>
  </si>
  <si>
    <t>204:438</t>
  </si>
  <si>
    <t>204:233338</t>
  </si>
  <si>
    <t>204:233006</t>
  </si>
  <si>
    <t>204:400</t>
  </si>
  <si>
    <t>204:331</t>
  </si>
  <si>
    <t>204:232622</t>
  </si>
  <si>
    <t>204:325</t>
  </si>
  <si>
    <t>204:365</t>
  </si>
  <si>
    <t>204:721</t>
  </si>
  <si>
    <t>204:233385</t>
  </si>
  <si>
    <t>204:233010</t>
  </si>
  <si>
    <t>204:391</t>
  </si>
  <si>
    <t>204:617</t>
  </si>
  <si>
    <t>204:233332</t>
  </si>
  <si>
    <t>204:344</t>
  </si>
  <si>
    <t>204:633</t>
  </si>
  <si>
    <t>204:307</t>
  </si>
  <si>
    <t>204:684</t>
  </si>
  <si>
    <t>204:826</t>
  </si>
  <si>
    <t>204:92</t>
  </si>
  <si>
    <t>204:641</t>
  </si>
  <si>
    <t>204:648</t>
  </si>
  <si>
    <t>300:23279</t>
  </si>
  <si>
    <t>300:23163</t>
  </si>
  <si>
    <t>300:22380</t>
  </si>
  <si>
    <t>204:72</t>
  </si>
  <si>
    <t>300:23139</t>
  </si>
  <si>
    <t>204:577</t>
  </si>
  <si>
    <t>300:23451</t>
  </si>
  <si>
    <t>300:22168</t>
  </si>
  <si>
    <t>300:23436</t>
  </si>
  <si>
    <t>300:13790</t>
  </si>
  <si>
    <t>300:22762</t>
  </si>
  <si>
    <t>204:872</t>
  </si>
  <si>
    <t>204:1190</t>
  </si>
  <si>
    <t>300:24277</t>
  </si>
  <si>
    <t>300:22149</t>
  </si>
  <si>
    <t>204:888</t>
  </si>
  <si>
    <t>204:1505</t>
  </si>
  <si>
    <t>300:23299</t>
  </si>
  <si>
    <t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t>
  </si>
  <si>
    <t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t>
  </si>
  <si>
    <t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t>
  </si>
  <si>
    <t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t>
  </si>
  <si>
    <t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t>
  </si>
  <si>
    <t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t>
  </si>
  <si>
    <t>Onboard in-route failure</t>
  </si>
  <si>
    <t>Multiple cpu faults at 2016-10-16 23:32:31</t>
  </si>
  <si>
    <t>1827-16</t>
  </si>
  <si>
    <t>Did not init</t>
  </si>
  <si>
    <t>Starting at 2016/10/17 02:37:39 UTC, slices 2 and 3 fought for primary, preventing the system from going active</t>
  </si>
  <si>
    <t>Onboard in-route failure, then went from Westminster to DUS in ATC only</t>
  </si>
  <si>
    <t>Early arrival</t>
  </si>
  <si>
    <t>Bright 4S STOP, cleared afterward</t>
  </si>
  <si>
    <t>40th 2N STOP, cleared afterward</t>
  </si>
  <si>
    <t>40th 4S STOP, cleared afterward</t>
  </si>
  <si>
    <t>http://stevetu21.github.io/eaglep3/load_kml.html?kml=http://rtdc.gmaps-snips.s3.amazonaws.com/89332f50-d6cb-4fdb-b653-538e33cd103c.kml</t>
  </si>
  <si>
    <t>Wi-MAX outage</t>
  </si>
  <si>
    <t>Pena 4S STOP, cleared afterward</t>
  </si>
  <si>
    <t>Onboard in-route failure - multiple init attempts mixed with multiple self-restarts. Power cycled and then ran ATC.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</si>
</sst>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0" borderId="5" xfId="0" applyNumberFormat="1" applyBorder="1"/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167" fontId="1" fillId="0" borderId="0" xfId="0" applyNumberFormat="1" applyFont="1"/>
    <xf numFmtId="2" fontId="1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42" customWidth="1"/>
    <col min="22" max="22" width="5.7109375" style="96" customWidth="1"/>
    <col min="23" max="23" width="3.85546875" style="20" customWidth="1"/>
    <col min="24" max="24" width="6.140625" style="147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38"/>
      <c r="V1" s="40"/>
      <c r="W1" s="41"/>
      <c r="X1" s="14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42659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42659</v>
      </c>
      <c r="S2" s="72"/>
      <c r="T2" s="73"/>
      <c r="U2" s="139"/>
      <c r="V2" s="94" t="s">
        <v>8</v>
      </c>
      <c r="W2" s="75"/>
      <c r="X2" s="14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40"/>
      <c r="V3" s="42" t="s">
        <v>11</v>
      </c>
      <c r="W3" s="43" t="s">
        <v>12</v>
      </c>
      <c r="X3" s="14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41"/>
      <c r="V4" s="45" t="s">
        <v>15</v>
      </c>
      <c r="W4" s="43" t="s">
        <v>15</v>
      </c>
      <c r="X4" s="14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COUNTIFS($N$13:$N$9390,"&gt;0",$AG$13:$AG$9390,I1)</f>
        <v>143</v>
      </c>
      <c r="K5" s="44"/>
      <c r="L5" s="44"/>
      <c r="M5" s="45">
        <f>AVERAGEIFS($N$13:$N$9390,$AG$13:$AG$9390,I1)</f>
        <v>38.837529137727344</v>
      </c>
      <c r="N5" s="43">
        <f t="array" ref="N5">MIN(IF($AG$13:$AG$9390=I1,IF(ISNUMBER($N$13:$N$9390),IF($N$13:$N$9390&gt;0,$N$13:$N$9390))))</f>
        <v>34.533333327854052</v>
      </c>
      <c r="O5" s="3">
        <f t="array" ref="O5">MAX(IF($AG$13:$AG$9390=I1,IF(ISNUMBER($N$13:$N$9390),IF($N$13:$N$9390&gt;0,$N$13:$N$9390))))</f>
        <v>58.633333335164934</v>
      </c>
      <c r="P5" s="2"/>
      <c r="R5" s="80" t="s">
        <v>17</v>
      </c>
      <c r="S5" s="55">
        <f>COUNTIFS($N$13:$N$9390,"&gt;0",$AG$13:$AG$9390,R1)</f>
        <v>31</v>
      </c>
      <c r="T5" s="44"/>
      <c r="U5" s="141"/>
      <c r="V5" s="45">
        <f>AVERAGEIFS($N$13:$N$9390,$AG$13:$AG$9390,R1)</f>
        <v>14.83118279735678</v>
      </c>
      <c r="W5" s="43">
        <f t="array" ref="W5">MIN(IF($AG$13:$AG$9390=R1,IF(ISNUMBER($N$13:$N$9390),IF($N$13:$N$9390&gt;0,$N$13:$N$9390))))</f>
        <v>12.966666669817641</v>
      </c>
      <c r="X5" s="146">
        <f t="array" ref="X5">MAX(IF($AG$13:$AG$9390=R1,IF(ISNUMBER($N$13:$N$9390),IF($N$13:$N$9390&gt;0,$N$13:$N$9390))))</f>
        <v>19.71666666562669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COUNT($O$13:$O$169)</f>
        <v>0</v>
      </c>
      <c r="K6" s="44"/>
      <c r="L6" s="44"/>
      <c r="M6" s="45">
        <f>IFERROR(AVERAGE($O$13:$O$169),0)</f>
        <v>0</v>
      </c>
      <c r="N6" s="43">
        <f>MIN($O$13:$O$169)</f>
        <v>0</v>
      </c>
      <c r="O6" s="3">
        <f>MAX($O$13:$O$169)</f>
        <v>0</v>
      </c>
      <c r="P6" s="2"/>
      <c r="R6" s="81" t="s">
        <v>43</v>
      </c>
      <c r="S6" s="55">
        <f>COUNT($O$13:$O$169)</f>
        <v>0</v>
      </c>
      <c r="T6" s="44"/>
      <c r="U6" s="141"/>
      <c r="V6" s="45">
        <f>IFERROR(AVERAGE($O$13:$O$169),0)</f>
        <v>0</v>
      </c>
      <c r="W6" s="43">
        <f>MIN($O$13:$O$169)</f>
        <v>0</v>
      </c>
      <c r="X6" s="146">
        <f>MAX($O$13:$O$169)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COUNTIFS($P$13:$P$9390,"&gt;0",$AG$13:$AG$9390,I1)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COUNTIFS($P$13:$P$9390,"&gt;0",$AG$13:$AG$9390,R1)</f>
        <v>3</v>
      </c>
      <c r="T7" s="44"/>
      <c r="U7" s="141"/>
      <c r="V7" s="45" t="s">
        <v>15</v>
      </c>
      <c r="W7" s="43" t="s">
        <v>15</v>
      </c>
      <c r="X7" s="14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38.837529137727344</v>
      </c>
      <c r="N8" s="43">
        <f>N5</f>
        <v>34.533333327854052</v>
      </c>
      <c r="O8" s="3">
        <f>O5</f>
        <v>58.633333335164934</v>
      </c>
      <c r="P8" s="2"/>
      <c r="R8" s="80" t="s">
        <v>16</v>
      </c>
      <c r="S8" s="55">
        <f>S5</f>
        <v>31</v>
      </c>
      <c r="T8" s="44"/>
      <c r="U8" s="141"/>
      <c r="V8" s="45">
        <f>V5</f>
        <v>14.83118279735678</v>
      </c>
      <c r="W8" s="43">
        <f>W5</f>
        <v>12.966666669817641</v>
      </c>
      <c r="X8" s="146">
        <f>X5</f>
        <v>19.71666666562669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63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63">
        <f>S8/S4</f>
        <v>0.91176470588235292</v>
      </c>
      <c r="T9" s="46"/>
      <c r="U9" s="138"/>
      <c r="V9" s="83"/>
      <c r="W9" s="41"/>
      <c r="X9" s="136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42"/>
      <c r="V10" s="95"/>
      <c r="W10" s="20"/>
      <c r="X10" s="147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1" t="str">
        <f>"Eagle P3 System Performance - "&amp;TEXT(Variables!A2,"yyyy-mm-dd")</f>
        <v>Eagle P3 System Performance - 2016-10-16</v>
      </c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S11" s="69">
        <f>AVERAGE(S13:S115)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43" t="s">
        <v>65</v>
      </c>
      <c r="V12" s="97" t="s">
        <v>45</v>
      </c>
      <c r="W12" s="51" t="s">
        <v>23</v>
      </c>
      <c r="X12" s="148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403</v>
      </c>
      <c r="B13" s="7">
        <v>4040</v>
      </c>
      <c r="C13" s="22" t="s">
        <v>99</v>
      </c>
      <c r="D13" s="22" t="s">
        <v>610</v>
      </c>
      <c r="E13" s="13">
        <v>42659.131469907406</v>
      </c>
      <c r="F13" s="13">
        <v>42659.135682870372</v>
      </c>
      <c r="G13" s="7">
        <v>2</v>
      </c>
      <c r="H13" s="13" t="s">
        <v>611</v>
      </c>
      <c r="I13" s="13">
        <v>42659.16065972222</v>
      </c>
      <c r="J13" s="7">
        <v>1</v>
      </c>
      <c r="K13" s="112" t="str">
        <f t="shared" ref="K13:K44" si="0">IF(ISEVEN(B13),(B13-1)&amp;"/"&amp;B13,B13&amp;"/"&amp;(B13+1))</f>
        <v>4039/4040</v>
      </c>
      <c r="L13" s="22" t="str">
        <f>VLOOKUP(A13,'Trips&amp;Operators'!$C$1:$E$10000,3,FALSE)</f>
        <v>KILLION</v>
      </c>
      <c r="M13" s="6">
        <f t="shared" ref="M13:M44" si="1">I13-F13</f>
        <v>2.4976851847895887E-2</v>
      </c>
      <c r="N13" s="7">
        <f t="shared" ref="N13:N44" si="2">24*60*SUM($M13:$M13)</f>
        <v>35.966666660970077</v>
      </c>
      <c r="O13" s="7"/>
      <c r="P13" s="7"/>
      <c r="Q13" s="23"/>
      <c r="R13" s="23"/>
      <c r="S13" s="35">
        <f t="shared" ref="S13:S53" si="3">SUM(U13:U13)/IF(AG13="EC",12,1)</f>
        <v>1</v>
      </c>
      <c r="T13" s="50" t="str">
        <f t="shared" ref="T13:T44" si="4">IF(ISEVEN(LEFT(AD13,4)),"Southbound","NorthBound")</f>
        <v>NorthBound</v>
      </c>
      <c r="U13" s="14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https://search-rtdc-monitor-bjffxe2xuh6vdkpspy63sjmuny.us-east-1.es.amazonaws.com/_plugin/kibana/#/discover/Steve-Slow-Train-Analysis-(2080s-and-2083s)?_g=(refreshInterval:(display:Off,section:0,value:0),time:(from:'2016-10-16 02:09:19-0600',mode:absolute,to:'2016-10-16 04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2" t="str">
        <f t="shared" ref="W13:W44" si="6">IF(AA13&lt;IF(AG13="EC",23,5.65),"Y","N")</f>
        <v>N</v>
      </c>
      <c r="X13" s="149" t="e">
        <f t="shared" ref="X13:X44" si="7">VALUE(LEFT(AD13,4))-VALUE(LEFT(AD12,4))</f>
        <v>#VALUE!</v>
      </c>
      <c r="Y13" s="67">
        <f t="shared" ref="Y13:Y44" si="8">RIGHT(D13,LEN(D13)-4)/10000</f>
        <v>7.7700000000000005E-2</v>
      </c>
      <c r="Z13" s="67">
        <f t="shared" ref="Z13:Z44" si="9">RIGHT(H13,LEN(H13)-4)/10000</f>
        <v>23.340299999999999</v>
      </c>
      <c r="AA13" s="67">
        <f t="shared" ref="AA13:AA44" si="10">ABS(Z13-Y13)</f>
        <v>23.262599999999999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44" si="11">IF(LEN(A13)=6,"0"&amp;A13,A13)</f>
        <v>0101-16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/stypes="app*4040*20161016*"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4040 --swversion DE.1.0.7.0 --startMP 204:777 --initTime 2016-10-16T03:09:19 --startdatetime 2016-10-16T03:15:23 --delay 2 --endMP 204:233403 --enddatetime 2016-10-16T03:51:21 --enforcementcount 1 &gt;&gt;C:\Users\stu\Documents\GitHub\eaglep3-reporting\EC\2016-10-16-refined-times.txt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{"issue":{"subject":"","project_id":79,"tracker_id":40,"status_id":1,"priority_id":2,"assigned_to_id":23,"start_date":"2016-10-16","description":"","custom_fields":[{"id":1,"name":"Subdivision","value":"EC"},{"id":4,"name":"Milepost","value":"23.3403"},{"id":17,"name":"Train ID","value":"101-16"},{"id":16,"name":"Locomotive ID","value":"4040"},{"id":130,"name":"Impact","value":""},{"id":150,"name":"Time of Event (Mountain Time)","value":"03:51:21"},{"id":151,"name":"Denver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434</v>
      </c>
      <c r="B14" s="7">
        <v>4045</v>
      </c>
      <c r="C14" s="22" t="s">
        <v>99</v>
      </c>
      <c r="D14" s="22" t="s">
        <v>612</v>
      </c>
      <c r="E14" s="13">
        <v>42659.167523148149</v>
      </c>
      <c r="F14" s="13">
        <v>42659.17460648148</v>
      </c>
      <c r="G14" s="7">
        <v>1</v>
      </c>
      <c r="H14" s="13" t="s">
        <v>266</v>
      </c>
      <c r="I14" s="13">
        <v>42659.201365740744</v>
      </c>
      <c r="J14" s="7">
        <v>1</v>
      </c>
      <c r="K14" s="112" t="str">
        <f t="shared" si="0"/>
        <v>4045/4046</v>
      </c>
      <c r="L14" s="22" t="str">
        <f>VLOOKUP(A14,'Trips&amp;Operators'!$C$1:$E$10000,3,FALSE)</f>
        <v>KILLION</v>
      </c>
      <c r="M14" s="6">
        <f t="shared" si="1"/>
        <v>2.6759259264508728E-2</v>
      </c>
      <c r="N14" s="7">
        <f t="shared" si="2"/>
        <v>38.533333340892568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4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03:01:14-0600',mode:absolute,to:'2016-10-16 05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" s="52" t="str">
        <f t="shared" si="6"/>
        <v>N</v>
      </c>
      <c r="X14" s="149">
        <f t="shared" si="7"/>
        <v>1</v>
      </c>
      <c r="Y14" s="67">
        <f t="shared" si="8"/>
        <v>23.2621</v>
      </c>
      <c r="Z14" s="67">
        <f t="shared" si="9"/>
        <v>1.6E-2</v>
      </c>
      <c r="AA14" s="67">
        <f t="shared" si="10"/>
        <v>23.246100000000002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0102-16</v>
      </c>
      <c r="AE14" s="91" t="str">
        <f t="shared" si="12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14" s="88" t="str">
        <f t="shared" si="13"/>
        <v>"C:\Program Files (x86)\AstroGrep\AstroGrep.exe" /spath="%USERPROFILE%\AppData\Local\Temp\OnboardLogs" /stypes="app*4045*20161016*"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9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4045 --swversion DE.1.0.7.0 --startMP 204:232621 --initTime 2016-10-16T04:01:14 --startdatetime 2016-10-16T04:11:26 --delay 1 --endMP 204:160 --enddatetime 2016-10-16T04:49:58 --enforcementcount 1 &gt;&gt;C:\Users\stu\Documents\GitHub\eaglep3-reporting\EC\2016-10-16-refined-times.txt</v>
      </c>
      <c r="AI14" s="122" t="str">
        <f t="shared" ref="AI14:AI79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{"issue":{"subject":"","project_id":79,"tracker_id":40,"status_id":1,"priority_id":2,"assigned_to_id":23,"start_date":"2016-10-16","description":"","custom_fields":[{"id":1,"name":"Subdivision","value":"EC"},{"id":4,"name":"Milepost","value":"0.016"},{"id":17,"name":"Train ID","value":"102-16"},{"id":16,"name":"Locomotive ID","value":"4045"},{"id":130,"name":"Impact","value":""},{"id":150,"name":"Time of Event (Mountain Time)","value":"04:49:58"},{"id":151,"name":"Denver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432</v>
      </c>
      <c r="B15" s="7">
        <v>4029</v>
      </c>
      <c r="C15" s="22" t="s">
        <v>99</v>
      </c>
      <c r="D15" s="22" t="s">
        <v>613</v>
      </c>
      <c r="E15" s="13">
        <v>42659.152280092596</v>
      </c>
      <c r="F15" s="13">
        <v>42659.156504629631</v>
      </c>
      <c r="G15" s="7">
        <v>2</v>
      </c>
      <c r="H15" s="13" t="s">
        <v>614</v>
      </c>
      <c r="I15" s="13">
        <v>42659.181967592594</v>
      </c>
      <c r="J15" s="7">
        <v>1</v>
      </c>
      <c r="K15" s="112" t="str">
        <f t="shared" si="0"/>
        <v>4029/4030</v>
      </c>
      <c r="L15" s="22" t="str">
        <f>VLOOKUP(A15,'Trips&amp;Operators'!$C$1:$E$10000,3,FALSE)</f>
        <v>ACKERMAN</v>
      </c>
      <c r="M15" s="6">
        <f t="shared" si="1"/>
        <v>2.5462962963501923E-2</v>
      </c>
      <c r="N15" s="7">
        <f t="shared" si="2"/>
        <v>36.666666667442769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4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02:39:17-0600',mode:absolute,to:'2016-10-16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" s="52" t="str">
        <f t="shared" si="6"/>
        <v>N</v>
      </c>
      <c r="X15" s="149">
        <f t="shared" si="7"/>
        <v>1</v>
      </c>
      <c r="Y15" s="67">
        <f t="shared" si="8"/>
        <v>6.7900000000000002E-2</v>
      </c>
      <c r="Z15" s="67">
        <f t="shared" si="9"/>
        <v>23.339099999999998</v>
      </c>
      <c r="AA15" s="67">
        <f t="shared" si="10"/>
        <v>23.271199999999997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0103-16</v>
      </c>
      <c r="AE15" s="91" t="str">
        <f t="shared" si="12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15" s="88" t="str">
        <f t="shared" si="13"/>
        <v>"C:\Program Files (x86)\AstroGrep\AstroGrep.exe" /spath="%USERPROFILE%\AppData\Local\Temp\OnboardLogs" /stypes="app*4029*20161016*"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103-16 --locoid 4029 --swversion DE.1.0.7.0 --startMP 204:679 --initTime 2016-10-16T03:39:17 --startdatetime 2016-10-16T03:45:22 --delay 2 --endMP 204:233391 --enddatetime 2016-10-16T04:22:02 --enforcementcount 1 &gt;&gt;C:\Users\stu\Documents\GitHub\eaglep3-reporting\EC\2016-10-16-refined-times.txt</v>
      </c>
      <c r="AI1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{"issue":{"subject":"","project_id":79,"tracker_id":40,"status_id":1,"priority_id":2,"assigned_to_id":23,"start_date":"2016-10-16","description":"","custom_fields":[{"id":1,"name":"Subdivision","value":"EC"},{"id":4,"name":"Milepost","value":"23.3391"},{"id":17,"name":"Train ID","value":"103-16"},{"id":16,"name":"Locomotive ID","value":"4029"},{"id":130,"name":"Impact","value":""},{"id":150,"name":"Time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405</v>
      </c>
      <c r="B16" s="7">
        <v>4032</v>
      </c>
      <c r="C16" s="22" t="s">
        <v>99</v>
      </c>
      <c r="D16" s="22" t="s">
        <v>615</v>
      </c>
      <c r="E16" s="13">
        <v>42659.188090277778</v>
      </c>
      <c r="F16" s="13">
        <v>42659.195381944446</v>
      </c>
      <c r="G16" s="7">
        <v>2</v>
      </c>
      <c r="H16" s="13" t="s">
        <v>616</v>
      </c>
      <c r="I16" s="13">
        <v>42659.223171296297</v>
      </c>
      <c r="J16" s="7">
        <v>1</v>
      </c>
      <c r="K16" s="112" t="str">
        <f t="shared" si="0"/>
        <v>4031/4032</v>
      </c>
      <c r="L16" s="22" t="str">
        <f>VLOOKUP(A16,'Trips&amp;Operators'!$C$1:$E$10000,3,FALSE)</f>
        <v>ACKERMAN</v>
      </c>
      <c r="M16" s="6">
        <f t="shared" si="1"/>
        <v>2.7789351850515231E-2</v>
      </c>
      <c r="N16" s="7">
        <f t="shared" si="2"/>
        <v>40.016666664741933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4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03:30:51-0600',mode:absolute,to:'2016-10-16 06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49">
        <f t="shared" si="7"/>
        <v>1</v>
      </c>
      <c r="Y16" s="67">
        <f t="shared" si="8"/>
        <v>23.2742</v>
      </c>
      <c r="Z16" s="67">
        <f t="shared" si="9"/>
        <v>1.3899999999999999E-2</v>
      </c>
      <c r="AA16" s="67">
        <f t="shared" si="10"/>
        <v>23.260300000000001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0104-16</v>
      </c>
      <c r="AE16" s="91" t="str">
        <f t="shared" si="12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16" s="88" t="str">
        <f t="shared" si="13"/>
        <v>"C:\Program Files (x86)\AstroGrep\AstroGrep.exe" /spath="%USERPROFILE%\AppData\Local\Temp\OnboardLogs" /stypes="app*4032*20161016*"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104-16 --locoid 4032 --swversion DE.1.0.7.0 --startMP 204:232742 --initTime 2016-10-16T04:30:51 --startdatetime 2016-10-16T04:41:21 --delay 2 --endMP 204:139 --enddatetime 2016-10-16T05:21:22 --enforcementcount 1 &gt;&gt;C:\Users\stu\Documents\GitHub\eaglep3-reporting\EC\2016-10-16-refined-times.txt</v>
      </c>
      <c r="AI16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{"issue":{"subject":"","project_id":79,"tracker_id":40,"status_id":1,"priority_id":2,"assigned_to_id":23,"start_date":"2016-10-16","description":"","custom_fields":[{"id":1,"name":"Subdivision","value":"EC"},{"id":4,"name":"Milepost","value":"0.0139"},{"id":17,"name":"Train ID","value":"104-16"},{"id":16,"name":"Locomotive ID","value":"4032"},{"id":130,"name":"Impact","value":""},{"id":150,"name":"Time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435</v>
      </c>
      <c r="B17" s="7">
        <v>4027</v>
      </c>
      <c r="C17" s="22" t="s">
        <v>99</v>
      </c>
      <c r="D17" s="22" t="s">
        <v>617</v>
      </c>
      <c r="E17" s="13">
        <v>42659.1721412037</v>
      </c>
      <c r="F17" s="13">
        <v>42659.177430555559</v>
      </c>
      <c r="G17" s="7">
        <v>1</v>
      </c>
      <c r="H17" s="13" t="s">
        <v>380</v>
      </c>
      <c r="I17" s="13">
        <v>42659.2028125</v>
      </c>
      <c r="J17" s="7">
        <v>1</v>
      </c>
      <c r="K17" s="112" t="str">
        <f t="shared" si="0"/>
        <v>4027/4028</v>
      </c>
      <c r="L17" s="22" t="str">
        <f>VLOOKUP(A17,'Trips&amp;Operators'!$C$1:$E$10000,3,FALSE)</f>
        <v>MAELZER</v>
      </c>
      <c r="M17" s="6">
        <f t="shared" si="1"/>
        <v>2.5381944440596271E-2</v>
      </c>
      <c r="N17" s="7">
        <f t="shared" si="2"/>
        <v>36.549999994458631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4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03:07:53-0600',mode:absolute,to:'2016-10-16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" s="52" t="str">
        <f t="shared" si="6"/>
        <v>N</v>
      </c>
      <c r="X17" s="149">
        <f t="shared" si="7"/>
        <v>1</v>
      </c>
      <c r="Y17" s="67">
        <f t="shared" si="8"/>
        <v>7.4300000000000005E-2</v>
      </c>
      <c r="Z17" s="67">
        <f t="shared" si="9"/>
        <v>23.3322</v>
      </c>
      <c r="AA17" s="67">
        <f t="shared" si="10"/>
        <v>23.257899999999999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0105-16</v>
      </c>
      <c r="AE17" s="91" t="str">
        <f t="shared" si="12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17" s="88" t="str">
        <f t="shared" si="13"/>
        <v>"C:\Program Files (x86)\AstroGrep\AstroGrep.exe" /spath="%USERPROFILE%\AppData\Local\Temp\OnboardLogs" /stypes="app*4027*20161016*"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105-16 --locoid 4027 --swversion DE.1.0.7.0 --startMP 204:743 --initTime 2016-10-16T04:07:53 --startdatetime 2016-10-16T04:15:30 --delay 1 --endMP 204:233322 --enddatetime 2016-10-16T04:52:03 --enforcementcount 1 &gt;&gt;C:\Users\stu\Documents\GitHub\eaglep3-reporting\EC\2016-10-16-refined-times.txt</v>
      </c>
      <c r="AI1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{"issue":{"subject":"","project_id":79,"tracker_id":40,"status_id":1,"priority_id":2,"assigned_to_id":23,"start_date":"2016-10-16","description":"","custom_fields":[{"id":1,"name":"Subdivision","value":"EC"},{"id":4,"name":"Milepost","value":"23.3322"},{"id":17,"name":"Train ID","value":"105-16"},{"id":16,"name":"Locomotive ID","value":"4027"},{"id":130,"name":"Impact","value":""},{"id":150,"name":"Time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443</v>
      </c>
      <c r="B18" s="7">
        <v>4041</v>
      </c>
      <c r="C18" s="22" t="s">
        <v>99</v>
      </c>
      <c r="D18" s="22" t="s">
        <v>618</v>
      </c>
      <c r="E18" s="13">
        <v>42659.208379629628</v>
      </c>
      <c r="F18" s="13">
        <v>42659.216273148151</v>
      </c>
      <c r="G18" s="7">
        <v>1</v>
      </c>
      <c r="H18" s="13" t="s">
        <v>182</v>
      </c>
      <c r="I18" s="13">
        <v>42659.243414351855</v>
      </c>
      <c r="J18" s="7">
        <v>1</v>
      </c>
      <c r="K18" s="112" t="str">
        <f t="shared" si="0"/>
        <v>4041/4042</v>
      </c>
      <c r="L18" s="22" t="str">
        <f>VLOOKUP(A18,'Trips&amp;Operators'!$C$1:$E$10000,3,FALSE)</f>
        <v>MAELZER</v>
      </c>
      <c r="M18" s="6">
        <f t="shared" si="1"/>
        <v>2.7141203703649808E-2</v>
      </c>
      <c r="N18" s="7">
        <f t="shared" si="2"/>
        <v>39.083333333255723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4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04:00:04-0600',mode:absolute,to:'2016-10-16 06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52" t="str">
        <f t="shared" si="6"/>
        <v>N</v>
      </c>
      <c r="X18" s="149">
        <f t="shared" si="7"/>
        <v>1</v>
      </c>
      <c r="Y18" s="67">
        <f t="shared" si="8"/>
        <v>23.268999999999998</v>
      </c>
      <c r="Z18" s="67">
        <f t="shared" si="9"/>
        <v>1.41E-2</v>
      </c>
      <c r="AA18" s="67">
        <f t="shared" si="10"/>
        <v>23.254899999999999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0106-16</v>
      </c>
      <c r="AE18" s="91" t="str">
        <f t="shared" si="12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8" s="88" t="str">
        <f t="shared" si="13"/>
        <v>"C:\Program Files (x86)\AstroGrep\AstroGrep.exe" /spath="%USERPROFILE%\AppData\Local\Temp\OnboardLogs" /stypes="app*4041*20161016*"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106-16 --locoid 4041 --swversion DE.1.0.7.0 --startMP 204:232690 --initTime 2016-10-16T05:00:04 --startdatetime 2016-10-16T05:11:26 --delay 1 --endMP 204:141 --enddatetime 2016-10-16T05:50:31 --enforcementcount 1 &gt;&gt;C:\Users\stu\Documents\GitHub\eaglep3-reporting\EC\2016-10-16-refined-times.txt</v>
      </c>
      <c r="AI1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{"issue":{"subject":"","project_id":79,"tracker_id":40,"status_id":1,"priority_id":2,"assigned_to_id":23,"start_date":"2016-10-16","description":"","custom_fields":[{"id":1,"name":"Subdivision","value":"EC"},{"id":4,"name":"Milepost","value":"0.0141"},{"id":17,"name":"Train ID","value":"106-16"},{"id":16,"name":"Locomotive ID","value":"4041"},{"id":130,"name":"Impact","value":""},{"id":150,"name":"Time of Event (Mountain Time)","value":"05:50:31"},{"id":151,"name":"Denver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439</v>
      </c>
      <c r="B19" s="7">
        <v>4025</v>
      </c>
      <c r="C19" s="22" t="s">
        <v>99</v>
      </c>
      <c r="D19" s="22" t="s">
        <v>268</v>
      </c>
      <c r="E19" s="13">
        <v>42659.186342592591</v>
      </c>
      <c r="F19" s="13">
        <v>42659.187789351854</v>
      </c>
      <c r="G19" s="7">
        <v>1</v>
      </c>
      <c r="H19" s="13" t="s">
        <v>619</v>
      </c>
      <c r="I19" s="13">
        <v>42659.215104166666</v>
      </c>
      <c r="J19" s="7">
        <v>1</v>
      </c>
      <c r="K19" s="112" t="str">
        <f t="shared" si="0"/>
        <v>4025/4026</v>
      </c>
      <c r="L19" s="22" t="str">
        <f>VLOOKUP(A19,'Trips&amp;Operators'!$C$1:$E$10000,3,FALSE)</f>
        <v>DAVIS</v>
      </c>
      <c r="M19" s="6">
        <f t="shared" si="1"/>
        <v>2.7314814811688848E-2</v>
      </c>
      <c r="N19" s="7">
        <f t="shared" si="2"/>
        <v>39.333333328831941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4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03:28:20-0600',mode:absolute,to:'2016-10-16 06:09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" s="52" t="str">
        <f t="shared" si="6"/>
        <v>N</v>
      </c>
      <c r="X19" s="149">
        <f t="shared" si="7"/>
        <v>1</v>
      </c>
      <c r="Y19" s="67">
        <f t="shared" si="8"/>
        <v>4.5999999999999999E-2</v>
      </c>
      <c r="Z19" s="67">
        <f t="shared" si="9"/>
        <v>23.331700000000001</v>
      </c>
      <c r="AA19" s="67">
        <f t="shared" si="10"/>
        <v>23.285700000000002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0107-16</v>
      </c>
      <c r="AE19" s="91" t="str">
        <f t="shared" si="12"/>
        <v>aws s3 cp s3://rtdc.mdm.uploadarchive.raw/RTDC4025/ "%USERPROFILE%\AppData\Local\Temp\OnboardLogs"\RTDC4025\2016-10-16 --exclude "*" --recursive --include "*20161016*" &amp; "%USERPROFILE%\Documents\GitHub\mrs-test-scripts\Headless Mode &amp; Sideloading\WalkAndUnGZ.bat" "%USERPROFILE%\AppData\Local\Temp\OnboardLogs"\RTDC4025\2016-10-16 &amp; 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</v>
      </c>
      <c r="AF19" s="88" t="str">
        <f t="shared" si="13"/>
        <v>"C:\Program Files (x86)\AstroGrep\AstroGrep.exe" /spath="%USERPROFILE%\AppData\Local\Temp\OnboardLogs" /stypes="app*4025*20161016*"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107-16 --locoid 4025 --swversion DE.1.0.7.0 --startMP 204:460 --initTime 2016-10-16T04:28:20 --startdatetime 2016-10-16T04:30:25 --delay 1 --endMP 204:233317 --enddatetime 2016-10-16T05:09:45 --enforcementcount 1 &gt;&gt;C:\Users\stu\Documents\GitHub\eaglep3-reporting\EC\2016-10-16-refined-times.txt</v>
      </c>
      <c r="AI1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{"issue":{"subject":"","project_id":79,"tracker_id":40,"status_id":1,"priority_id":2,"assigned_to_id":23,"start_date":"2016-10-16","description":"","custom_fields":[{"id":1,"name":"Subdivision","value":"EC"},{"id":4,"name":"Milepost","value":"23.3317"},{"id":17,"name":"Train ID","value":"107-16"},{"id":16,"name":"Locomotive ID","value":"4025"},{"id":130,"name":"Impact","value":""},{"id":150,"name":"Time of Event (Mountain Time)","value":"05:09:45"},{"id":151,"name":"Denver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446</v>
      </c>
      <c r="B20" s="7">
        <v>4026</v>
      </c>
      <c r="C20" s="22" t="s">
        <v>99</v>
      </c>
      <c r="D20" s="22" t="s">
        <v>262</v>
      </c>
      <c r="E20" s="13">
        <v>42659.220127314817</v>
      </c>
      <c r="F20" s="13">
        <v>42659.226539351854</v>
      </c>
      <c r="G20" s="7">
        <v>1</v>
      </c>
      <c r="H20" s="13" t="s">
        <v>620</v>
      </c>
      <c r="I20" s="13">
        <v>42659.256990740738</v>
      </c>
      <c r="J20" s="7">
        <v>1</v>
      </c>
      <c r="K20" s="112" t="str">
        <f t="shared" si="0"/>
        <v>4025/4026</v>
      </c>
      <c r="L20" s="22" t="str">
        <f>VLOOKUP(A20,'Trips&amp;Operators'!$C$1:$E$10000,3,FALSE)</f>
        <v>DAVIS</v>
      </c>
      <c r="M20" s="6">
        <f t="shared" si="1"/>
        <v>3.0451388884102926E-2</v>
      </c>
      <c r="N20" s="7">
        <f t="shared" si="2"/>
        <v>43.849999993108213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4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04:16:59-0600',mode:absolute,to:'2016-10-16 07:10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52" t="str">
        <f t="shared" si="6"/>
        <v>N</v>
      </c>
      <c r="X20" s="149">
        <f t="shared" si="7"/>
        <v>1</v>
      </c>
      <c r="Y20" s="67">
        <f t="shared" si="8"/>
        <v>23.299600000000002</v>
      </c>
      <c r="Z20" s="67">
        <f t="shared" si="9"/>
        <v>1.6500000000000001E-2</v>
      </c>
      <c r="AA20" s="67">
        <f t="shared" si="10"/>
        <v>23.283100000000001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0108-16</v>
      </c>
      <c r="AE20" s="91" t="str">
        <f t="shared" si="12"/>
        <v>aws s3 cp s3://rtdc.mdm.uploadarchive.raw/RTDC4026/ "%USERPROFILE%\AppData\Local\Temp\OnboardLogs"\RTDC4026\2016-10-16 --exclude "*" --recursive --include "*20161016*" &amp; "%USERPROFILE%\Documents\GitHub\mrs-test-scripts\Headless Mode &amp; Sideloading\WalkAndUnGZ.bat" "%USERPROFILE%\AppData\Local\Temp\OnboardLogs"\RTDC4026\2016-10-16 &amp; 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</v>
      </c>
      <c r="AF20" s="88" t="str">
        <f t="shared" si="13"/>
        <v>"C:\Program Files (x86)\AstroGrep\AstroGrep.exe" /spath="%USERPROFILE%\AppData\Local\Temp\OnboardLogs" /stypes="app*4026*20161016*"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108-16 --locoid 4026 --swversion DE.1.0.7.0 --startMP 204:232996 --initTime 2016-10-16T05:16:59 --startdatetime 2016-10-16T05:26:13 --delay 1 --endMP 204:165 --enddatetime 2016-10-16T06:10:04 --enforcementcount 1 &gt;&gt;C:\Users\stu\Documents\GitHub\eaglep3-reporting\EC\2016-10-16-refined-times.txt</v>
      </c>
      <c r="AI20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{"issue":{"subject":"","project_id":79,"tracker_id":40,"status_id":1,"priority_id":2,"assigned_to_id":23,"start_date":"2016-10-16","description":"","custom_fields":[{"id":1,"name":"Subdivision","value":"EC"},{"id":4,"name":"Milepost","value":"0.0165"},{"id":17,"name":"Train ID","value":"108-16"},{"id":16,"name":"Locomotive ID","value":"4026"},{"id":130,"name":"Impact","value":""},{"id":150,"name":"Time of Event (Mountain Time)","value":"06:10:04"},{"id":151,"name":"Denver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440</v>
      </c>
      <c r="B21" s="7">
        <v>4018</v>
      </c>
      <c r="C21" s="22" t="s">
        <v>99</v>
      </c>
      <c r="D21" s="22" t="s">
        <v>237</v>
      </c>
      <c r="E21" s="13">
        <v>42659.196770833332</v>
      </c>
      <c r="F21" s="13">
        <v>42659.198206018518</v>
      </c>
      <c r="G21" s="7">
        <v>1</v>
      </c>
      <c r="H21" s="13" t="s">
        <v>621</v>
      </c>
      <c r="I21" s="13">
        <v>42659.22388888889</v>
      </c>
      <c r="J21" s="7">
        <v>1</v>
      </c>
      <c r="K21" s="112" t="str">
        <f t="shared" si="0"/>
        <v>4017/4018</v>
      </c>
      <c r="L21" s="22" t="str">
        <f>VLOOKUP(A21,'Trips&amp;Operators'!$C$1:$E$10000,3,FALSE)</f>
        <v>MALAVE</v>
      </c>
      <c r="M21" s="6">
        <f t="shared" si="1"/>
        <v>2.5682870371383615E-2</v>
      </c>
      <c r="N21" s="7">
        <f t="shared" si="2"/>
        <v>36.983333334792405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4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03:43:21-0600',mode:absolute,to:'2016-10-16 06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2" t="str">
        <f t="shared" si="6"/>
        <v>N</v>
      </c>
      <c r="X21" s="149">
        <f t="shared" si="7"/>
        <v>1</v>
      </c>
      <c r="Y21" s="67">
        <f t="shared" si="8"/>
        <v>4.58E-2</v>
      </c>
      <c r="Z21" s="67">
        <f t="shared" si="9"/>
        <v>23.327999999999999</v>
      </c>
      <c r="AA21" s="67">
        <f t="shared" si="10"/>
        <v>23.2822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0109-16</v>
      </c>
      <c r="AE21" s="91" t="str">
        <f t="shared" si="12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21" s="88" t="str">
        <f t="shared" si="13"/>
        <v>"C:\Program Files (x86)\AstroGrep\AstroGrep.exe" /spath="%USERPROFILE%\AppData\Local\Temp\OnboardLogs" /stypes="app*4018*20161016*"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109-16 --locoid 4018 --swversion DE.1.0.7.0 --startMP 204:458 --initTime 2016-10-16T04:43:21 --startdatetime 2016-10-16T04:45:25 --delay 1 --endMP 204:233280 --enddatetime 2016-10-16T05:22:24 --enforcementcount 1 &gt;&gt;C:\Users\stu\Documents\GitHub\eaglep3-reporting\EC\2016-10-16-refined-times.txt</v>
      </c>
      <c r="AI21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{"issue":{"subject":"","project_id":79,"tracker_id":40,"status_id":1,"priority_id":2,"assigned_to_id":23,"start_date":"2016-10-16","description":"","custom_fields":[{"id":1,"name":"Subdivision","value":"EC"},{"id":4,"name":"Milepost","value":"23.328"},{"id":17,"name":"Train ID","value":"109-16"},{"id":16,"name":"Locomotive ID","value":"4018"},{"id":130,"name":"Impact","value":""},{"id":150,"name":"Time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447</v>
      </c>
      <c r="B22" s="7">
        <v>4017</v>
      </c>
      <c r="C22" s="22" t="s">
        <v>99</v>
      </c>
      <c r="D22" s="22" t="s">
        <v>622</v>
      </c>
      <c r="E22" s="13">
        <v>42659.232164351852</v>
      </c>
      <c r="F22" s="13">
        <v>42659.237013888887</v>
      </c>
      <c r="G22" s="7">
        <v>5</v>
      </c>
      <c r="H22" s="13" t="s">
        <v>176</v>
      </c>
      <c r="I22" s="13">
        <v>42659.264317129629</v>
      </c>
      <c r="J22" s="7">
        <v>1</v>
      </c>
      <c r="K22" s="112" t="str">
        <f t="shared" si="0"/>
        <v>4017/4018</v>
      </c>
      <c r="L22" s="22" t="str">
        <f>VLOOKUP(A22,'Trips&amp;Operators'!$C$1:$E$10000,3,FALSE)</f>
        <v>MALAVE</v>
      </c>
      <c r="M22" s="6">
        <f t="shared" si="1"/>
        <v>2.7303240742185153E-2</v>
      </c>
      <c r="N22" s="7">
        <f t="shared" si="2"/>
        <v>39.31666666874662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4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04:34:19-0600',mode:absolute,to:'2016-10-16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2" t="str">
        <f t="shared" si="6"/>
        <v>N</v>
      </c>
      <c r="X22" s="149">
        <f t="shared" si="7"/>
        <v>1</v>
      </c>
      <c r="Y22" s="67">
        <f t="shared" si="8"/>
        <v>23.296099999999999</v>
      </c>
      <c r="Z22" s="67">
        <f t="shared" si="9"/>
        <v>1.47E-2</v>
      </c>
      <c r="AA22" s="67">
        <f t="shared" si="10"/>
        <v>23.281399999999998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0110-16</v>
      </c>
      <c r="AE22" s="91" t="str">
        <f t="shared" si="12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22" s="88" t="str">
        <f t="shared" si="13"/>
        <v>"C:\Program Files (x86)\AstroGrep\AstroGrep.exe" /spath="%USERPROFILE%\AppData\Local\Temp\OnboardLogs" /stypes="app*4017*20161016*"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110-16 --locoid 4017 --swversion DE.1.0.7.0 --startMP 204:232961 --initTime 2016-10-16T05:34:19 --startdatetime 2016-10-16T05:41:18 --delay 5 --endMP 204:147 --enddatetime 2016-10-16T06:20:37 --enforcementcount 1 &gt;&gt;C:\Users\stu\Documents\GitHub\eaglep3-reporting\EC\2016-10-16-refined-times.txt</v>
      </c>
      <c r="AI22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{"issue":{"subject":"","project_id":79,"tracker_id":40,"status_id":1,"priority_id":2,"assigned_to_id":23,"start_date":"2016-10-16","description":"","custom_fields":[{"id":1,"name":"Subdivision","value":"EC"},{"id":4,"name":"Milepost","value":"0.0147"},{"id":17,"name":"Train ID","value":"110-16"},{"id":16,"name":"Locomotive ID","value":"4017"},{"id":130,"name":"Impact","value":""},{"id":150,"name":"Time of Event (Mountain Time)","value":"06:20:37"},{"id":151,"name":"Denver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442</v>
      </c>
      <c r="B23" s="7">
        <v>4040</v>
      </c>
      <c r="C23" s="22" t="s">
        <v>99</v>
      </c>
      <c r="D23" s="22" t="s">
        <v>623</v>
      </c>
      <c r="E23" s="13">
        <v>42659.205474537041</v>
      </c>
      <c r="F23" s="13">
        <v>42659.208553240744</v>
      </c>
      <c r="G23" s="7">
        <v>1</v>
      </c>
      <c r="H23" s="13" t="s">
        <v>226</v>
      </c>
      <c r="I23" s="13">
        <v>42659.235034722224</v>
      </c>
      <c r="J23" s="7">
        <v>1</v>
      </c>
      <c r="K23" s="112" t="str">
        <f t="shared" si="0"/>
        <v>4039/4040</v>
      </c>
      <c r="L23" s="22" t="str">
        <f>VLOOKUP(A23,'Trips&amp;Operators'!$C$1:$E$10000,3,FALSE)</f>
        <v>STRICKLAND</v>
      </c>
      <c r="M23" s="6">
        <f t="shared" si="1"/>
        <v>2.6481481480004732E-2</v>
      </c>
      <c r="N23" s="7">
        <f t="shared" si="2"/>
        <v>38.133333331206813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4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03:55:53-0600',mode:absolute,to:'2016-10-16 06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 t="shared" si="6"/>
        <v>N</v>
      </c>
      <c r="X23" s="149">
        <f t="shared" si="7"/>
        <v>1</v>
      </c>
      <c r="Y23" s="67">
        <f t="shared" si="8"/>
        <v>8.0299999999999996E-2</v>
      </c>
      <c r="Z23" s="67">
        <f t="shared" si="9"/>
        <v>23.331399999999999</v>
      </c>
      <c r="AA23" s="67">
        <f t="shared" si="10"/>
        <v>23.251099999999997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0111-16</v>
      </c>
      <c r="AE23" s="91" t="str">
        <f t="shared" si="12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23" s="88" t="str">
        <f t="shared" si="13"/>
        <v>"C:\Program Files (x86)\AstroGrep\AstroGrep.exe" /spath="%USERPROFILE%\AppData\Local\Temp\OnboardLogs" /stypes="app*4040*20161016*"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111-16 --locoid 4040 --swversion DE.1.0.7.0 --startMP 204:803 --initTime 2016-10-16T04:55:53 --startdatetime 2016-10-16T05:00:19 --delay 1 --endMP 204:233314 --enddatetime 2016-10-16T05:38:27 --enforcementcount 1 &gt;&gt;C:\Users\stu\Documents\GitHub\eaglep3-reporting\EC\2016-10-16-refined-times.txt</v>
      </c>
      <c r="AI23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{"issue":{"subject":"","project_id":79,"tracker_id":40,"status_id":1,"priority_id":2,"assigned_to_id":23,"start_date":"2016-10-16","description":"","custom_fields":[{"id":1,"name":"Subdivision","value":"EC"},{"id":4,"name":"Milepost","value":"23.3314"},{"id":17,"name":"Train ID","value":"111-16"},{"id":16,"name":"Locomotive ID","value":"4040"},{"id":130,"name":"Impact","value":""},{"id":150,"name":"Time of Event (Mountain Time)","value":"05:38:27"},{"id":151,"name":"Denver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449</v>
      </c>
      <c r="B24" s="7">
        <v>4039</v>
      </c>
      <c r="C24" s="22" t="s">
        <v>99</v>
      </c>
      <c r="D24" s="22" t="s">
        <v>267</v>
      </c>
      <c r="E24" s="13">
        <v>42659.242210648146</v>
      </c>
      <c r="F24" s="13">
        <v>42659.247430555559</v>
      </c>
      <c r="G24" s="7">
        <v>1</v>
      </c>
      <c r="H24" s="13" t="s">
        <v>620</v>
      </c>
      <c r="I24" s="13">
        <v>42659.275069444448</v>
      </c>
      <c r="J24" s="7">
        <v>1</v>
      </c>
      <c r="K24" s="112" t="str">
        <f t="shared" si="0"/>
        <v>4039/4040</v>
      </c>
      <c r="L24" s="22" t="str">
        <f>VLOOKUP(A24,'Trips&amp;Operators'!$C$1:$E$10000,3,FALSE)</f>
        <v>STRICKLAND</v>
      </c>
      <c r="M24" s="6">
        <f t="shared" si="1"/>
        <v>2.7638888888759539E-2</v>
      </c>
      <c r="N24" s="7">
        <f t="shared" si="2"/>
        <v>39.799999999813735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4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04:48:47-0600',mode:absolute,to:'2016-10-16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 t="shared" si="6"/>
        <v>N</v>
      </c>
      <c r="X24" s="149">
        <f t="shared" si="7"/>
        <v>1</v>
      </c>
      <c r="Y24" s="67">
        <f t="shared" si="8"/>
        <v>23.297899999999998</v>
      </c>
      <c r="Z24" s="67">
        <f t="shared" si="9"/>
        <v>1.6500000000000001E-2</v>
      </c>
      <c r="AA24" s="67">
        <f t="shared" si="10"/>
        <v>23.281399999999998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0112-16</v>
      </c>
      <c r="AE24" s="91" t="str">
        <f t="shared" si="12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24" s="88" t="str">
        <f t="shared" si="13"/>
        <v>"C:\Program Files (x86)\AstroGrep\AstroGrep.exe" /spath="%USERPROFILE%\AppData\Local\Temp\OnboardLogs" /stypes="app*4039*20161016*"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112-16 --locoid 4039 --swversion DE.1.0.7.0 --startMP 204:232979 --initTime 2016-10-16T05:48:47 --startdatetime 2016-10-16T05:56:18 --delay 1 --endMP 204:165 --enddatetime 2016-10-16T06:36:06 --enforcementcount 1 &gt;&gt;C:\Users\stu\Documents\GitHub\eaglep3-reporting\EC\2016-10-16-refined-times.txt</v>
      </c>
      <c r="AI24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{"issue":{"subject":"","project_id":79,"tracker_id":40,"status_id":1,"priority_id":2,"assigned_to_id":23,"start_date":"2016-10-16","description":"","custom_fields":[{"id":1,"name":"Subdivision","value":"EC"},{"id":4,"name":"Milepost","value":"0.0165"},{"id":17,"name":"Train ID","value":"112-16"},{"id":16,"name":"Locomotive ID","value":"4039"},{"id":130,"name":"Impact","value":""},{"id":150,"name":"Time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441</v>
      </c>
      <c r="B25" s="7">
        <v>4046</v>
      </c>
      <c r="C25" s="22" t="s">
        <v>99</v>
      </c>
      <c r="D25" s="22" t="s">
        <v>255</v>
      </c>
      <c r="E25" s="13">
        <v>42659.204479166663</v>
      </c>
      <c r="F25" s="13">
        <v>42659.219085648147</v>
      </c>
      <c r="G25" s="7">
        <v>1</v>
      </c>
      <c r="H25" s="13" t="s">
        <v>353</v>
      </c>
      <c r="I25" s="13">
        <v>42659.244444444441</v>
      </c>
      <c r="J25" s="7">
        <v>1</v>
      </c>
      <c r="K25" s="112" t="str">
        <f t="shared" si="0"/>
        <v>4045/4046</v>
      </c>
      <c r="L25" s="22" t="str">
        <f>VLOOKUP(A25,'Trips&amp;Operators'!$C$1:$E$10000,3,FALSE)</f>
        <v>STRICKLAND</v>
      </c>
      <c r="M25" s="6">
        <f t="shared" si="1"/>
        <v>2.5358796294312924E-2</v>
      </c>
      <c r="N25" s="7">
        <f t="shared" si="2"/>
        <v>36.516666663810611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4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03:54:27-0600',mode:absolute,to:'2016-10-16 06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5" s="52" t="str">
        <f t="shared" si="6"/>
        <v>N</v>
      </c>
      <c r="X25" s="149">
        <f t="shared" si="7"/>
        <v>1</v>
      </c>
      <c r="Y25" s="67">
        <f t="shared" si="8"/>
        <v>4.5699999999999998E-2</v>
      </c>
      <c r="Z25" s="67">
        <f t="shared" si="9"/>
        <v>23.330500000000001</v>
      </c>
      <c r="AA25" s="67">
        <f t="shared" si="10"/>
        <v>23.284800000000001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0113-16</v>
      </c>
      <c r="AE25" s="91" t="str">
        <f t="shared" si="12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25" s="88" t="str">
        <f t="shared" si="13"/>
        <v>"C:\Program Files (x86)\AstroGrep\AstroGrep.exe" /spath="%USERPROFILE%\AppData\Local\Temp\OnboardLogs" /stypes="app*4046*20161016*"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113-16 --locoid 4046 --swversion DE.1.0.7.0 --startMP 204:457 --initTime 2016-10-16T04:54:27 --startdatetime 2016-10-16T05:15:29 --delay 1 --endMP 204:233305 --enddatetime 2016-10-16T05:52:00 --enforcementcount 1 &gt;&gt;C:\Users\stu\Documents\GitHub\eaglep3-reporting\EC\2016-10-16-refined-times.txt</v>
      </c>
      <c r="AI2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{"issue":{"subject":"","project_id":79,"tracker_id":40,"status_id":1,"priority_id":2,"assigned_to_id":23,"start_date":"2016-10-16","description":"","custom_fields":[{"id":1,"name":"Subdivision","value":"EC"},{"id":4,"name":"Milepost","value":"23.3305"},{"id":17,"name":"Train ID","value":"113-16"},{"id":16,"name":"Locomotive ID","value":"4046"},{"id":130,"name":"Impact","value":""},{"id":150,"name":"Time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451</v>
      </c>
      <c r="B26" s="7">
        <v>4045</v>
      </c>
      <c r="C26" s="22" t="s">
        <v>99</v>
      </c>
      <c r="D26" s="22" t="s">
        <v>348</v>
      </c>
      <c r="E26" s="13">
        <v>42659.250335648147</v>
      </c>
      <c r="F26" s="13">
        <v>42659.2578587963</v>
      </c>
      <c r="G26" s="7">
        <v>1</v>
      </c>
      <c r="H26" s="13" t="s">
        <v>235</v>
      </c>
      <c r="I26" s="13">
        <v>42659.284409722219</v>
      </c>
      <c r="J26" s="7">
        <v>1</v>
      </c>
      <c r="K26" s="112" t="str">
        <f t="shared" si="0"/>
        <v>4045/4046</v>
      </c>
      <c r="L26" s="22" t="str">
        <f>VLOOKUP(A26,'Trips&amp;Operators'!$C$1:$E$10000,3,FALSE)</f>
        <v>KILLION</v>
      </c>
      <c r="M26" s="6">
        <f t="shared" si="1"/>
        <v>2.6550925918854773E-2</v>
      </c>
      <c r="N26" s="7">
        <f t="shared" si="2"/>
        <v>38.233333323150873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4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05:00:29-0600',mode:absolute,to:'2016-10-16 07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6" s="52" t="str">
        <f t="shared" si="6"/>
        <v>N</v>
      </c>
      <c r="X26" s="149">
        <f t="shared" si="7"/>
        <v>1</v>
      </c>
      <c r="Y26" s="67">
        <f t="shared" si="8"/>
        <v>23.296500000000002</v>
      </c>
      <c r="Z26" s="67">
        <f t="shared" si="9"/>
        <v>1.54E-2</v>
      </c>
      <c r="AA26" s="67">
        <f t="shared" si="10"/>
        <v>23.281100000000002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0114-16</v>
      </c>
      <c r="AE26" s="91" t="str">
        <f t="shared" si="12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26" s="88" t="str">
        <f t="shared" si="13"/>
        <v>"C:\Program Files (x86)\AstroGrep\AstroGrep.exe" /spath="%USERPROFILE%\AppData\Local\Temp\OnboardLogs" /stypes="app*4045*20161016*"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114-16 --locoid 4045 --swversion DE.1.0.7.0 --startMP 204:232965 --initTime 2016-10-16T06:00:29 --startdatetime 2016-10-16T06:11:19 --delay 1 --endMP 204:154 --enddatetime 2016-10-16T06:49:33 --enforcementcount 1 &gt;&gt;C:\Users\stu\Documents\GitHub\eaglep3-reporting\EC\2016-10-16-refined-times.txt</v>
      </c>
      <c r="AI26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{"issue":{"subject":"","project_id":79,"tracker_id":40,"status_id":1,"priority_id":2,"assigned_to_id":23,"start_date":"2016-10-16","description":"","custom_fields":[{"id":1,"name":"Subdivision","value":"EC"},{"id":4,"name":"Milepost","value":"0.0154"},{"id":17,"name":"Train ID","value":"114-16"},{"id":16,"name":"Locomotive ID","value":"4045"},{"id":130,"name":"Impact","value":""},{"id":150,"name":"Time of Event (Mountain Time)","value":"06:49:33"},{"id":151,"name":"Denver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407</v>
      </c>
      <c r="B27" s="7">
        <v>4029</v>
      </c>
      <c r="C27" s="22" t="s">
        <v>99</v>
      </c>
      <c r="D27" s="22" t="s">
        <v>624</v>
      </c>
      <c r="E27" s="13">
        <v>42659.225046296298</v>
      </c>
      <c r="F27" s="13">
        <v>42659.229351851849</v>
      </c>
      <c r="G27" s="7">
        <v>1</v>
      </c>
      <c r="H27" s="13" t="s">
        <v>305</v>
      </c>
      <c r="I27" s="13">
        <v>42659.253750000003</v>
      </c>
      <c r="J27" s="7">
        <v>1</v>
      </c>
      <c r="K27" s="112" t="str">
        <f t="shared" si="0"/>
        <v>4029/4030</v>
      </c>
      <c r="L27" s="22" t="str">
        <f>VLOOKUP(A27,'Trips&amp;Operators'!$C$1:$E$10000,3,FALSE)</f>
        <v>YORK</v>
      </c>
      <c r="M27" s="6">
        <f t="shared" si="1"/>
        <v>2.439814815443242E-2</v>
      </c>
      <c r="N27" s="7">
        <f t="shared" si="2"/>
        <v>35.133333342382684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4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04:24:04-0600',mode:absolute,to:'2016-10-16 07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7" s="52" t="str">
        <f t="shared" si="6"/>
        <v>N</v>
      </c>
      <c r="X27" s="149">
        <f t="shared" si="7"/>
        <v>1</v>
      </c>
      <c r="Y27" s="67">
        <f t="shared" si="8"/>
        <v>7.6999999999999999E-2</v>
      </c>
      <c r="Z27" s="67">
        <f t="shared" si="9"/>
        <v>23.331</v>
      </c>
      <c r="AA27" s="67">
        <f t="shared" si="10"/>
        <v>23.253999999999998</v>
      </c>
      <c r="AB27" s="64" t="str">
        <f>VLOOKUP(A27,Enforcements!$C$7:$K$21,8,0)</f>
        <v>Bulletin (2)</v>
      </c>
      <c r="AC27" s="60" t="str">
        <f>VLOOKUP(A27,Enforcements!$C$7:$E$21,3,0)</f>
        <v>GRADE CROSSING</v>
      </c>
      <c r="AD27" s="61" t="str">
        <f t="shared" si="11"/>
        <v>0115-16</v>
      </c>
      <c r="AE27" s="91" t="str">
        <f t="shared" si="12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27" s="88" t="str">
        <f t="shared" si="13"/>
        <v>"C:\Program Files (x86)\AstroGrep\AstroGrep.exe" /spath="%USERPROFILE%\AppData\Local\Temp\OnboardLogs" /stypes="app*4029*20161016*"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115-16 --locoid 4029 --swversion DE.1.0.7.0 --startMP 204:770 --initTime 2016-10-16T05:24:04 --startdatetime 2016-10-16T05:30:16 --delay 1 --endMP 204:233310 --enddatetime 2016-10-16T06:05:24 --enforcementcount 1 &gt;&gt;C:\Users\stu\Documents\GitHub\eaglep3-reporting\EC\2016-10-16-refined-times.txt</v>
      </c>
      <c r="AI2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{"issue":{"subject":"","project_id":79,"tracker_id":40,"status_id":1,"priority_id":2,"assigned_to_id":23,"start_date":"2016-10-16","description":"","custom_fields":[{"id":1,"name":"Subdivision","value":"EC"},{"id":4,"name":"Milepost","value":"23.331"},{"id":17,"name":"Train ID","value":"115-16"},{"id":16,"name":"Locomotive ID","value":"4029"},{"id":130,"name":"Impact","value":""},{"id":150,"name":"Time of Event (Mountain Time)","value":"06:05:24"},{"id":151,"name":"Denver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455</v>
      </c>
      <c r="B28" s="7">
        <v>4030</v>
      </c>
      <c r="C28" s="22" t="s">
        <v>99</v>
      </c>
      <c r="D28" s="22" t="s">
        <v>351</v>
      </c>
      <c r="E28" s="13">
        <v>42659.267546296294</v>
      </c>
      <c r="F28" s="13">
        <v>42659.269305555557</v>
      </c>
      <c r="G28" s="7">
        <v>0</v>
      </c>
      <c r="H28" s="13" t="s">
        <v>377</v>
      </c>
      <c r="I28" s="13">
        <v>42659.294965277775</v>
      </c>
      <c r="J28" s="7">
        <v>1</v>
      </c>
      <c r="K28" s="112" t="str">
        <f t="shared" si="0"/>
        <v>4029/4030</v>
      </c>
      <c r="L28" s="22" t="str">
        <f>VLOOKUP(A28,'Trips&amp;Operators'!$C$1:$E$10000,3,FALSE)</f>
        <v>YORK</v>
      </c>
      <c r="M28" s="6">
        <f t="shared" si="1"/>
        <v>2.565972221782431E-2</v>
      </c>
      <c r="N28" s="7">
        <f t="shared" si="2"/>
        <v>36.949999993667006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4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05:25:16-0600',mode:absolute,to:'2016-10-16 08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8" s="52" t="str">
        <f t="shared" si="6"/>
        <v>N</v>
      </c>
      <c r="X28" s="149">
        <f t="shared" si="7"/>
        <v>1</v>
      </c>
      <c r="Y28" s="67">
        <f t="shared" si="8"/>
        <v>23.2987</v>
      </c>
      <c r="Z28" s="67">
        <f t="shared" si="9"/>
        <v>1.5599999999999999E-2</v>
      </c>
      <c r="AA28" s="67">
        <f t="shared" si="10"/>
        <v>23.283100000000001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0116-16</v>
      </c>
      <c r="AE28" s="91" t="str">
        <f t="shared" si="12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28" s="88" t="str">
        <f t="shared" si="13"/>
        <v>"C:\Program Files (x86)\AstroGrep\AstroGrep.exe" /spath="%USERPROFILE%\AppData\Local\Temp\OnboardLogs" /stypes="app*4030*20161016*"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116-16 --locoid 4030 --swversion DE.1.0.7.0 --startMP 204:232987 --initTime 2016-10-16T06:25:16 --startdatetime 2016-10-16T06:27:48 --delay 0 --endMP 204:156 --enddatetime 2016-10-16T07:04:45 --enforcementcount 1 &gt;&gt;C:\Users\stu\Documents\GitHub\eaglep3-reporting\EC\2016-10-16-refined-times.txt</v>
      </c>
      <c r="AI2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{"issue":{"subject":"","project_id":79,"tracker_id":40,"status_id":1,"priority_id":2,"assigned_to_id":23,"start_date":"2016-10-16","description":"","custom_fields":[{"id":1,"name":"Subdivision","value":"EC"},{"id":4,"name":"Milepost","value":"0.0156"},{"id":17,"name":"Train ID","value":"116-16"},{"id":16,"name":"Locomotive ID","value":"4030"},{"id":130,"name":"Impact","value":""},{"id":150,"name":"Time of Event (Mountain Time)","value":"07:04:45"},{"id":151,"name":"Denver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408</v>
      </c>
      <c r="B29" s="7">
        <v>4031</v>
      </c>
      <c r="C29" s="22" t="s">
        <v>99</v>
      </c>
      <c r="D29" s="22" t="s">
        <v>307</v>
      </c>
      <c r="E29" s="13">
        <v>42659.233599537038</v>
      </c>
      <c r="F29" s="13">
        <v>42659.23978009259</v>
      </c>
      <c r="G29" s="7">
        <v>2</v>
      </c>
      <c r="H29" s="13" t="s">
        <v>260</v>
      </c>
      <c r="I29" s="13">
        <v>42659.264710648145</v>
      </c>
      <c r="J29" s="7">
        <v>1</v>
      </c>
      <c r="K29" s="112" t="str">
        <f t="shared" si="0"/>
        <v>4031/4032</v>
      </c>
      <c r="L29" s="22" t="str">
        <f>VLOOKUP(A29,'Trips&amp;Operators'!$C$1:$E$10000,3,FALSE)</f>
        <v>ACKERMAN</v>
      </c>
      <c r="M29" s="6">
        <f t="shared" si="1"/>
        <v>2.4930555555329192E-2</v>
      </c>
      <c r="N29" s="7">
        <f t="shared" si="2"/>
        <v>35.899999999674037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4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04:36:23-0600',mode:absolute,to:'2016-10-16 07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49">
        <f t="shared" si="7"/>
        <v>1</v>
      </c>
      <c r="Y29" s="67">
        <f t="shared" si="8"/>
        <v>4.7500000000000001E-2</v>
      </c>
      <c r="Z29" s="67">
        <f t="shared" si="9"/>
        <v>23.329499999999999</v>
      </c>
      <c r="AA29" s="67">
        <f t="shared" si="10"/>
        <v>23.282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0117-16</v>
      </c>
      <c r="AE29" s="91" t="str">
        <f t="shared" si="12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29" s="88" t="str">
        <f t="shared" si="13"/>
        <v>"C:\Program Files (x86)\AstroGrep\AstroGrep.exe" /spath="%USERPROFILE%\AppData\Local\Temp\OnboardLogs" /stypes="app*4031*20161016*"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117-16 --locoid 4031 --swversion DE.1.0.7.0 --startMP 204:475 --initTime 2016-10-16T05:36:23 --startdatetime 2016-10-16T05:45:17 --delay 2 --endMP 204:233295 --enddatetime 2016-10-16T06:21:11 --enforcementcount 1 &gt;&gt;C:\Users\stu\Documents\GitHub\eaglep3-reporting\EC\2016-10-16-refined-times.txt</v>
      </c>
      <c r="AI2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{"issue":{"subject":"","project_id":79,"tracker_id":40,"status_id":1,"priority_id":2,"assigned_to_id":23,"start_date":"2016-10-16","description":"","custom_fields":[{"id":1,"name":"Subdivision","value":"EC"},{"id":4,"name":"Milepost","value":"23.3295"},{"id":17,"name":"Train ID","value":"117-16"},{"id":16,"name":"Locomotive ID","value":"4031"},{"id":130,"name":"Impact","value":""},{"id":150,"name":"Time of Event (Mountain Time)","value":"06:21:11"},{"id":151,"name":"Denver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410</v>
      </c>
      <c r="B30" s="7">
        <v>4032</v>
      </c>
      <c r="C30" s="22" t="s">
        <v>99</v>
      </c>
      <c r="D30" s="22" t="s">
        <v>301</v>
      </c>
      <c r="E30" s="13">
        <v>42659.272083333337</v>
      </c>
      <c r="F30" s="13">
        <v>42659.278749999998</v>
      </c>
      <c r="G30" s="7">
        <v>1</v>
      </c>
      <c r="H30" s="13" t="s">
        <v>177</v>
      </c>
      <c r="I30" s="13">
        <v>42659.306585648148</v>
      </c>
      <c r="J30" s="7">
        <v>1</v>
      </c>
      <c r="K30" s="112" t="str">
        <f t="shared" si="0"/>
        <v>4031/4032</v>
      </c>
      <c r="L30" s="22" t="str">
        <f>VLOOKUP(A30,'Trips&amp;Operators'!$C$1:$E$10000,3,FALSE)</f>
        <v>ACKERMAN</v>
      </c>
      <c r="M30" s="6">
        <f t="shared" si="1"/>
        <v>2.7835648150357883E-2</v>
      </c>
      <c r="N30" s="7">
        <f t="shared" si="2"/>
        <v>40.083333336515352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4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05:31:48-0600',mode:absolute,to:'2016-10-16 08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49">
        <f t="shared" si="7"/>
        <v>1</v>
      </c>
      <c r="Y30" s="67">
        <f t="shared" si="8"/>
        <v>23.297999999999998</v>
      </c>
      <c r="Z30" s="67">
        <f t="shared" si="9"/>
        <v>1.52E-2</v>
      </c>
      <c r="AA30" s="67">
        <f t="shared" si="10"/>
        <v>23.282799999999998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0118-16</v>
      </c>
      <c r="AE30" s="91" t="str">
        <f t="shared" si="12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30" s="88" t="str">
        <f t="shared" si="13"/>
        <v>"C:\Program Files (x86)\AstroGrep\AstroGrep.exe" /spath="%USERPROFILE%\AppData\Local\Temp\OnboardLogs" /stypes="app*4032*20161016*"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118-16 --locoid 4032 --swversion DE.1.0.7.0 --startMP 204:232980 --initTime 2016-10-16T06:31:48 --startdatetime 2016-10-16T06:41:24 --delay 1 --endMP 204:152 --enddatetime 2016-10-16T07:21:29 --enforcementcount 1 &gt;&gt;C:\Users\stu\Documents\GitHub\eaglep3-reporting\EC\2016-10-16-refined-times.txt</v>
      </c>
      <c r="AI30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ID","value":"118-16"},{"id":16,"name":"Locomotive ID","value":"4032"},{"id":130,"name":"Impact","value":""},{"id":150,"name":"Time of Event (Mountain Time)","value":"07:21:29"},{"id":151,"name":"Denver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450</v>
      </c>
      <c r="B31" s="7">
        <v>4027</v>
      </c>
      <c r="C31" s="22" t="s">
        <v>99</v>
      </c>
      <c r="D31" s="22" t="s">
        <v>625</v>
      </c>
      <c r="E31" s="13">
        <v>42659.247118055559</v>
      </c>
      <c r="F31" s="13">
        <v>42659.250416666669</v>
      </c>
      <c r="G31" s="7">
        <v>1</v>
      </c>
      <c r="H31" s="13" t="s">
        <v>245</v>
      </c>
      <c r="I31" s="13">
        <v>42659.275567129633</v>
      </c>
      <c r="J31" s="7">
        <v>1</v>
      </c>
      <c r="K31" s="112" t="str">
        <f t="shared" si="0"/>
        <v>4027/4028</v>
      </c>
      <c r="L31" s="22" t="str">
        <f>VLOOKUP(A31,'Trips&amp;Operators'!$C$1:$E$10000,3,FALSE)</f>
        <v>MAELZER</v>
      </c>
      <c r="M31" s="6">
        <f t="shared" si="1"/>
        <v>2.5150462963210884E-2</v>
      </c>
      <c r="N31" s="7">
        <f t="shared" si="2"/>
        <v>36.216666667023674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4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04:55:51-0600',mode:absolute,to:'2016-10-16 07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1" s="52" t="str">
        <f t="shared" si="6"/>
        <v>N</v>
      </c>
      <c r="X31" s="149">
        <f t="shared" si="7"/>
        <v>1</v>
      </c>
      <c r="Y31" s="67">
        <f t="shared" si="8"/>
        <v>7.6100000000000001E-2</v>
      </c>
      <c r="Z31" s="67">
        <f t="shared" si="9"/>
        <v>23.33</v>
      </c>
      <c r="AA31" s="67">
        <f t="shared" si="10"/>
        <v>23.253899999999998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0119-16</v>
      </c>
      <c r="AE31" s="91" t="str">
        <f t="shared" si="12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31" s="88" t="str">
        <f t="shared" si="13"/>
        <v>"C:\Program Files (x86)\AstroGrep\AstroGrep.exe" /spath="%USERPROFILE%\AppData\Local\Temp\OnboardLogs" /stypes="app*4027*20161016*"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119-16 --locoid 4027 --swversion DE.1.0.7.0 --startMP 204:761 --initTime 2016-10-16T05:55:51 --startdatetime 2016-10-16T06:00:36 --delay 1 --endMP 204:233300 --enddatetime 2016-10-16T06:36:49 --enforcementcount 1 &gt;&gt;C:\Users\stu\Documents\GitHub\eaglep3-reporting\EC\2016-10-16-refined-times.txt</v>
      </c>
      <c r="AI31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{"issue":{"subject":"","project_id":79,"tracker_id":40,"status_id":1,"priority_id":2,"assigned_to_id":23,"start_date":"2016-10-16","description":"","custom_fields":[{"id":1,"name":"Subdivision","value":"EC"},{"id":4,"name":"Milepost","value":"23.33"},{"id":17,"name":"Train ID","value":"119-16"},{"id":16,"name":"Locomotive ID","value":"4027"},{"id":130,"name":"Impact","value":""},{"id":150,"name":"Time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409</v>
      </c>
      <c r="B32" s="7">
        <v>4028</v>
      </c>
      <c r="C32" s="22" t="s">
        <v>99</v>
      </c>
      <c r="D32" s="22" t="s">
        <v>626</v>
      </c>
      <c r="E32" s="13">
        <v>42659.283935185187</v>
      </c>
      <c r="F32" s="13">
        <v>42659.289166666669</v>
      </c>
      <c r="G32" s="7">
        <v>1</v>
      </c>
      <c r="H32" s="13" t="s">
        <v>176</v>
      </c>
      <c r="I32" s="13">
        <v>42659.315868055557</v>
      </c>
      <c r="J32" s="7">
        <v>1</v>
      </c>
      <c r="K32" s="112" t="str">
        <f t="shared" si="0"/>
        <v>4027/4028</v>
      </c>
      <c r="L32" s="22" t="str">
        <f>VLOOKUP(A32,'Trips&amp;Operators'!$C$1:$E$10000,3,FALSE)</f>
        <v>MAELZER</v>
      </c>
      <c r="M32" s="6">
        <f t="shared" si="1"/>
        <v>2.6701388887886424E-2</v>
      </c>
      <c r="N32" s="7">
        <f t="shared" si="2"/>
        <v>38.44999999855645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4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05:48:52-0600',mode:absolute,to:'2016-10-16 08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2" s="52" t="str">
        <f t="shared" si="6"/>
        <v>N</v>
      </c>
      <c r="X32" s="149">
        <f t="shared" si="7"/>
        <v>1</v>
      </c>
      <c r="Y32" s="67">
        <f t="shared" si="8"/>
        <v>23.298100000000002</v>
      </c>
      <c r="Z32" s="67">
        <f t="shared" si="9"/>
        <v>1.47E-2</v>
      </c>
      <c r="AA32" s="67">
        <f t="shared" si="10"/>
        <v>23.2834</v>
      </c>
      <c r="AB32" s="64" t="str">
        <f>VLOOKUP(A32,Enforcements!$C$7:$K$21,8,0)</f>
        <v>Signal based authority (5)</v>
      </c>
      <c r="AC32" s="60" t="str">
        <f>VLOOKUP(A32,Enforcements!$C$7:$E$21,3,0)</f>
        <v>SIGNAL</v>
      </c>
      <c r="AD32" s="61" t="str">
        <f t="shared" si="11"/>
        <v>0120-16</v>
      </c>
      <c r="AE32" s="91" t="str">
        <f t="shared" si="12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32" s="88" t="str">
        <f t="shared" si="13"/>
        <v>"C:\Program Files (x86)\AstroGrep\AstroGrep.exe" /spath="%USERPROFILE%\AppData\Local\Temp\OnboardLogs" /stypes="app*4028*20161016*"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120-16 --locoid 4028 --swversion DE.1.0.7.0 --startMP 204:232981 --initTime 2016-10-16T06:48:52 --startdatetime 2016-10-16T06:56:24 --delay 1 --endMP 204:147 --enddatetime 2016-10-16T07:34:51 --enforcementcount 1 &gt;&gt;C:\Users\stu\Documents\GitHub\eaglep3-reporting\EC\2016-10-16-refined-times.txt</v>
      </c>
      <c r="AI32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{"issue":{"subject":"","project_id":79,"tracker_id":40,"status_id":1,"priority_id":2,"assigned_to_id":23,"start_date":"2016-10-16","description":"","custom_fields":[{"id":1,"name":"Subdivision","value":"EC"},{"id":4,"name":"Milepost","value":"0.0147"},{"id":17,"name":"Train ID","value":"120-16"},{"id":16,"name":"Locomotive ID","value":"4028"},{"id":130,"name":"Impact","value":""},{"id":150,"name":"Time of Event (Mountain Time)","value":"07:34:51"},{"id":151,"name":"Denver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452</v>
      </c>
      <c r="B33" s="7">
        <v>4025</v>
      </c>
      <c r="C33" s="22" t="s">
        <v>99</v>
      </c>
      <c r="D33" s="22" t="s">
        <v>242</v>
      </c>
      <c r="E33" s="13">
        <v>42659.25818287037</v>
      </c>
      <c r="F33" s="13">
        <v>42659.260567129626</v>
      </c>
      <c r="G33" s="7">
        <v>1</v>
      </c>
      <c r="H33" s="13" t="s">
        <v>270</v>
      </c>
      <c r="I33" s="13">
        <v>42659.287523148145</v>
      </c>
      <c r="J33" s="7">
        <v>1</v>
      </c>
      <c r="K33" s="112" t="str">
        <f t="shared" si="0"/>
        <v>4025/4026</v>
      </c>
      <c r="L33" s="22" t="str">
        <f>VLOOKUP(A33,'Trips&amp;Operators'!$C$1:$E$10000,3,FALSE)</f>
        <v>DAVIS</v>
      </c>
      <c r="M33" s="6">
        <f t="shared" si="1"/>
        <v>2.6956018518831115E-2</v>
      </c>
      <c r="N33" s="7">
        <f t="shared" si="2"/>
        <v>38.816666667116806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4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05:11:47-0600',mode:absolute,to:'2016-10-16 07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3" s="52" t="str">
        <f t="shared" si="6"/>
        <v>N</v>
      </c>
      <c r="X33" s="149">
        <f t="shared" si="7"/>
        <v>1</v>
      </c>
      <c r="Y33" s="67">
        <f t="shared" si="8"/>
        <v>4.4699999999999997E-2</v>
      </c>
      <c r="Z33" s="67">
        <f t="shared" si="9"/>
        <v>23.328900000000001</v>
      </c>
      <c r="AA33" s="67">
        <f t="shared" si="10"/>
        <v>23.284200000000002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0121-16</v>
      </c>
      <c r="AE33" s="91" t="str">
        <f t="shared" si="12"/>
        <v>aws s3 cp s3://rtdc.mdm.uploadarchive.raw/RTDC4025/ "%USERPROFILE%\AppData\Local\Temp\OnboardLogs"\RTDC4025\2016-10-16 --exclude "*" --recursive --include "*20161016*" &amp; "%USERPROFILE%\Documents\GitHub\mrs-test-scripts\Headless Mode &amp; Sideloading\WalkAndUnGZ.bat" "%USERPROFILE%\AppData\Local\Temp\OnboardLogs"\RTDC4025\2016-10-16 &amp; 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</v>
      </c>
      <c r="AF33" s="88" t="str">
        <f t="shared" si="13"/>
        <v>"C:\Program Files (x86)\AstroGrep\AstroGrep.exe" /spath="%USERPROFILE%\AppData\Local\Temp\OnboardLogs" /stypes="app*4025*20161016*"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121-16 --locoid 4025 --swversion DE.1.0.7.0 --startMP 204:447 --initTime 2016-10-16T06:11:47 --startdatetime 2016-10-16T06:15:13 --delay 1 --endMP 204:233289 --enddatetime 2016-10-16T06:54:02 --enforcementcount 1 &gt;&gt;C:\Users\stu\Documents\GitHub\eaglep3-reporting\EC\2016-10-16-refined-times.txt</v>
      </c>
      <c r="AI33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{"issue":{"subject":"","project_id":79,"tracker_id":40,"status_id":1,"priority_id":2,"assigned_to_id":23,"start_date":"2016-10-16","description":"","custom_fields":[{"id":1,"name":"Subdivision","value":"EC"},{"id":4,"name":"Milepost","value":"23.3289"},{"id":17,"name":"Train ID","value":"121-16"},{"id":16,"name":"Locomotive ID","value":"4025"},{"id":130,"name":"Impact","value":""},{"id":150,"name":"Time of Event (Mountain Time)","value":"06:54:02"},{"id":151,"name":"Denver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460</v>
      </c>
      <c r="B34" s="7">
        <v>4026</v>
      </c>
      <c r="C34" s="22" t="s">
        <v>99</v>
      </c>
      <c r="D34" s="22" t="s">
        <v>249</v>
      </c>
      <c r="E34" s="13">
        <v>42659.293842592589</v>
      </c>
      <c r="F34" s="13">
        <v>42659.299467592595</v>
      </c>
      <c r="G34" s="7">
        <v>1</v>
      </c>
      <c r="H34" s="13" t="s">
        <v>238</v>
      </c>
      <c r="I34" s="13">
        <v>42659.328564814816</v>
      </c>
      <c r="J34" s="7">
        <v>1</v>
      </c>
      <c r="K34" s="112" t="str">
        <f t="shared" si="0"/>
        <v>4025/4026</v>
      </c>
      <c r="L34" s="22" t="str">
        <f>VLOOKUP(A34,'Trips&amp;Operators'!$C$1:$E$10000,3,FALSE)</f>
        <v>DAVIS</v>
      </c>
      <c r="M34" s="6">
        <f t="shared" si="1"/>
        <v>2.9097222221025731E-2</v>
      </c>
      <c r="N34" s="7">
        <f t="shared" si="2"/>
        <v>41.899999998277053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4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06:03:08-0600',mode:absolute,to:'2016-10-16 08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4" s="52" t="str">
        <f t="shared" si="6"/>
        <v>N</v>
      </c>
      <c r="X34" s="149">
        <f t="shared" si="7"/>
        <v>1</v>
      </c>
      <c r="Y34" s="67">
        <f t="shared" si="8"/>
        <v>23.298200000000001</v>
      </c>
      <c r="Z34" s="67">
        <f t="shared" si="9"/>
        <v>1.49E-2</v>
      </c>
      <c r="AA34" s="67">
        <f t="shared" si="10"/>
        <v>23.283300000000001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0122-16</v>
      </c>
      <c r="AE34" s="91" t="str">
        <f t="shared" si="12"/>
        <v>aws s3 cp s3://rtdc.mdm.uploadarchive.raw/RTDC4026/ "%USERPROFILE%\AppData\Local\Temp\OnboardLogs"\RTDC4026\2016-10-16 --exclude "*" --recursive --include "*20161016*" &amp; "%USERPROFILE%\Documents\GitHub\mrs-test-scripts\Headless Mode &amp; Sideloading\WalkAndUnGZ.bat" "%USERPROFILE%\AppData\Local\Temp\OnboardLogs"\RTDC4026\2016-10-16 &amp; 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</v>
      </c>
      <c r="AF34" s="88" t="str">
        <f t="shared" si="13"/>
        <v>"C:\Program Files (x86)\AstroGrep\AstroGrep.exe" /spath="%USERPROFILE%\AppData\Local\Temp\OnboardLogs" /stypes="app*4026*20161016*"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122-16 --locoid 4026 --swversion DE.1.0.7.0 --startMP 204:232982 --initTime 2016-10-16T07:03:08 --startdatetime 2016-10-16T07:11:14 --delay 1 --endMP 204:149 --enddatetime 2016-10-16T07:53:08 --enforcementcount 1 &gt;&gt;C:\Users\stu\Documents\GitHub\eaglep3-reporting\EC\2016-10-16-refined-times.txt</v>
      </c>
      <c r="AI34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ID","value":"122-16"},{"id":16,"name":"Locomotive ID","value":"4026"},{"id":130,"name":"Impact","value":""},{"id":150,"name":"Time of Event (Mountain Time)","value":"07:53:08"},{"id":151,"name":"Denver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456</v>
      </c>
      <c r="B35" s="7">
        <v>4018</v>
      </c>
      <c r="C35" s="22" t="s">
        <v>99</v>
      </c>
      <c r="D35" s="22" t="s">
        <v>248</v>
      </c>
      <c r="E35" s="13">
        <v>42659.26939814815</v>
      </c>
      <c r="F35" s="13">
        <v>42659.271122685182</v>
      </c>
      <c r="G35" s="7">
        <v>1</v>
      </c>
      <c r="H35" s="13" t="s">
        <v>245</v>
      </c>
      <c r="I35" s="13">
        <v>42659.297326388885</v>
      </c>
      <c r="J35" s="7">
        <v>1</v>
      </c>
      <c r="K35" s="112" t="str">
        <f t="shared" si="0"/>
        <v>4017/4018</v>
      </c>
      <c r="L35" s="22" t="str">
        <f>VLOOKUP(A35,'Trips&amp;Operators'!$C$1:$E$10000,3,FALSE)</f>
        <v>MALAVE</v>
      </c>
      <c r="M35" s="6">
        <f t="shared" si="1"/>
        <v>2.6203703702776693E-2</v>
      </c>
      <c r="N35" s="7">
        <f t="shared" si="2"/>
        <v>37.733333331998438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4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05:27:56-0600',mode:absolute,to:'2016-10-16 08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2" t="str">
        <f t="shared" si="6"/>
        <v>N</v>
      </c>
      <c r="X35" s="149">
        <f t="shared" si="7"/>
        <v>1</v>
      </c>
      <c r="Y35" s="67">
        <f t="shared" si="8"/>
        <v>4.5499999999999999E-2</v>
      </c>
      <c r="Z35" s="67">
        <f t="shared" si="9"/>
        <v>23.33</v>
      </c>
      <c r="AA35" s="67">
        <f t="shared" si="10"/>
        <v>23.284499999999998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0123-16</v>
      </c>
      <c r="AE35" s="91" t="str">
        <f t="shared" si="12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35" s="88" t="str">
        <f t="shared" si="13"/>
        <v>"C:\Program Files (x86)\AstroGrep\AstroGrep.exe" /spath="%USERPROFILE%\AppData\Local\Temp\OnboardLogs" /stypes="app*4018*20161016*"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123-16 --locoid 4018 --swversion DE.1.0.7.0 --startMP 204:455 --initTime 2016-10-16T06:27:56 --startdatetime 2016-10-16T06:30:25 --delay 1 --endMP 204:233300 --enddatetime 2016-10-16T07:08:09 --enforcementcount 1 &gt;&gt;C:\Users\stu\Documents\GitHub\eaglep3-reporting\EC\2016-10-16-refined-times.txt</v>
      </c>
      <c r="AI3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{"issue":{"subject":"","project_id":79,"tracker_id":40,"status_id":1,"priority_id":2,"assigned_to_id":23,"start_date":"2016-10-16","description":"","custom_fields":[{"id":1,"name":"Subdivision","value":"EC"},{"id":4,"name":"Milepost","value":"23.33"},{"id":17,"name":"Train ID","value":"123-16"},{"id":16,"name":"Locomotive ID","value":"4018"},{"id":130,"name":"Impact","value":""},{"id":150,"name":"Time of Event (Mountain Time)","value":"07:08:09"},{"id":151,"name":"Denver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463</v>
      </c>
      <c r="B36" s="7">
        <v>4017</v>
      </c>
      <c r="C36" s="22" t="s">
        <v>99</v>
      </c>
      <c r="D36" s="22" t="s">
        <v>627</v>
      </c>
      <c r="E36" s="13">
        <v>42659.307696759257</v>
      </c>
      <c r="F36" s="13">
        <v>42659.310011574074</v>
      </c>
      <c r="G36" s="7">
        <v>3</v>
      </c>
      <c r="H36" s="13" t="s">
        <v>238</v>
      </c>
      <c r="I36" s="13">
        <v>42659.337442129632</v>
      </c>
      <c r="J36" s="7">
        <v>1</v>
      </c>
      <c r="K36" s="112" t="str">
        <f t="shared" si="0"/>
        <v>4017/4018</v>
      </c>
      <c r="L36" s="22" t="str">
        <f>VLOOKUP(A36,'Trips&amp;Operators'!$C$1:$E$10000,3,FALSE)</f>
        <v>MALAVE</v>
      </c>
      <c r="M36" s="6">
        <f t="shared" si="1"/>
        <v>2.7430555557657499E-2</v>
      </c>
      <c r="N36" s="7">
        <f t="shared" si="2"/>
        <v>39.500000003026798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4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06:23:05-0600',mode:absolute,to:'2016-10-16 09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2" t="str">
        <f t="shared" si="6"/>
        <v>N</v>
      </c>
      <c r="X36" s="149">
        <f t="shared" si="7"/>
        <v>1</v>
      </c>
      <c r="Y36" s="67">
        <f t="shared" si="8"/>
        <v>23.296399999999998</v>
      </c>
      <c r="Z36" s="67">
        <f t="shared" si="9"/>
        <v>1.49E-2</v>
      </c>
      <c r="AA36" s="67">
        <f t="shared" si="10"/>
        <v>23.281499999999998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0124-16</v>
      </c>
      <c r="AE36" s="91" t="str">
        <f t="shared" si="12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36" s="88" t="str">
        <f t="shared" si="13"/>
        <v>"C:\Program Files (x86)\AstroGrep\AstroGrep.exe" /spath="%USERPROFILE%\AppData\Local\Temp\OnboardLogs" /stypes="app*4017*20161016*"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124-16 --locoid 4017 --swversion DE.1.0.7.0 --startMP 204:232964 --initTime 2016-10-16T07:23:05 --startdatetime 2016-10-16T07:26:25 --delay 3 --endMP 204:149 --enddatetime 2016-10-16T08:05:55 --enforcementcount 1 &gt;&gt;C:\Users\stu\Documents\GitHub\eaglep3-reporting\EC\2016-10-16-refined-times.txt</v>
      </c>
      <c r="AI36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ID","value":"124-16"},{"id":16,"name":"Locomotive ID","value":"4017"},{"id":130,"name":"Impact","value":""},{"id":150,"name":"Time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458</v>
      </c>
      <c r="B37" s="7">
        <v>4040</v>
      </c>
      <c r="C37" s="22" t="s">
        <v>99</v>
      </c>
      <c r="D37" s="22" t="s">
        <v>310</v>
      </c>
      <c r="E37" s="13">
        <v>42659.277175925927</v>
      </c>
      <c r="F37" s="13">
        <v>42659.281435185185</v>
      </c>
      <c r="G37" s="7">
        <v>6</v>
      </c>
      <c r="H37" s="13" t="s">
        <v>197</v>
      </c>
      <c r="I37" s="13">
        <v>42659.307569444441</v>
      </c>
      <c r="J37" s="7">
        <v>1</v>
      </c>
      <c r="K37" s="112" t="str">
        <f t="shared" si="0"/>
        <v>4039/4040</v>
      </c>
      <c r="L37" s="22" t="str">
        <f>VLOOKUP(A37,'Trips&amp;Operators'!$C$1:$E$10000,3,FALSE)</f>
        <v>STRICKLAND</v>
      </c>
      <c r="M37" s="6">
        <f t="shared" si="1"/>
        <v>2.6134259256650694E-2</v>
      </c>
      <c r="N37" s="7">
        <f t="shared" si="2"/>
        <v>37.633333329576999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4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05:39:08-0600',mode:absolute,to:'2016-10-16 08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2" t="str">
        <f t="shared" si="6"/>
        <v>N</v>
      </c>
      <c r="X37" s="149">
        <f t="shared" si="7"/>
        <v>1</v>
      </c>
      <c r="Y37" s="67">
        <f t="shared" si="8"/>
        <v>4.9700000000000001E-2</v>
      </c>
      <c r="Z37" s="67">
        <f t="shared" si="9"/>
        <v>23.329699999999999</v>
      </c>
      <c r="AA37" s="67">
        <f t="shared" si="10"/>
        <v>23.279999999999998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0125-16</v>
      </c>
      <c r="AE37" s="91" t="str">
        <f t="shared" si="12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37" s="88" t="str">
        <f t="shared" si="13"/>
        <v>"C:\Program Files (x86)\AstroGrep\AstroGrep.exe" /spath="%USERPROFILE%\AppData\Local\Temp\OnboardLogs" /stypes="app*4040*20161016*"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125-16 --locoid 4040 --swversion DE.1.0.7.0 --startMP 204:497 --initTime 2016-10-16T06:39:08 --startdatetime 2016-10-16T06:45:16 --delay 6 --endMP 204:233297 --enddatetime 2016-10-16T07:22:54 --enforcementcount 1 &gt;&gt;C:\Users\stu\Documents\GitHub\eaglep3-reporting\EC\2016-10-16-refined-times.txt</v>
      </c>
      <c r="AI3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ID","value":"125-16"},{"id":16,"name":"Locomotive ID","value":"4040"},{"id":130,"name":"Impact","value":""},{"id":150,"name":"Time of Event (Mountain Time)","value":"07:22:54"},{"id":151,"name":"Denver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411</v>
      </c>
      <c r="B38" s="7">
        <v>4039</v>
      </c>
      <c r="C38" s="22" t="s">
        <v>99</v>
      </c>
      <c r="D38" s="22" t="s">
        <v>257</v>
      </c>
      <c r="E38" s="13">
        <v>42659.316874999997</v>
      </c>
      <c r="F38" s="13">
        <v>42659.320370370369</v>
      </c>
      <c r="G38" s="7">
        <v>1</v>
      </c>
      <c r="H38" s="13" t="s">
        <v>246</v>
      </c>
      <c r="I38" s="13">
        <v>42659.34783564815</v>
      </c>
      <c r="J38" s="7">
        <v>1</v>
      </c>
      <c r="K38" s="112" t="str">
        <f t="shared" si="0"/>
        <v>4039/4040</v>
      </c>
      <c r="L38" s="22" t="str">
        <f>VLOOKUP(A38,'Trips&amp;Operators'!$C$1:$E$10000,3,FALSE)</f>
        <v>STRICKLAND</v>
      </c>
      <c r="M38" s="6">
        <f t="shared" si="1"/>
        <v>2.7465277780720498E-2</v>
      </c>
      <c r="N38" s="7">
        <f t="shared" si="2"/>
        <v>39.550000004237518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4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06:36:18-0600',mode:absolute,to:'2016-10-16 09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8" s="52" t="str">
        <f t="shared" si="6"/>
        <v>N</v>
      </c>
      <c r="X38" s="149">
        <f t="shared" si="7"/>
        <v>1</v>
      </c>
      <c r="Y38" s="67">
        <f t="shared" si="8"/>
        <v>23.297799999999999</v>
      </c>
      <c r="Z38" s="67">
        <f t="shared" si="9"/>
        <v>1.6299999999999999E-2</v>
      </c>
      <c r="AA38" s="67">
        <f t="shared" si="10"/>
        <v>23.281499999999998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0126-16</v>
      </c>
      <c r="AE38" s="91" t="str">
        <f t="shared" si="12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38" s="88" t="str">
        <f t="shared" si="13"/>
        <v>"C:\Program Files (x86)\AstroGrep\AstroGrep.exe" /spath="%USERPROFILE%\AppData\Local\Temp\OnboardLogs" /stypes="app*4039*20161016*"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126-16 --locoid 4039 --swversion DE.1.0.7.0 --startMP 204:232978 --initTime 2016-10-16T07:36:18 --startdatetime 2016-10-16T07:41:20 --delay 1 --endMP 204:163 --enddatetime 2016-10-16T08:20:53 --enforcementcount 1 &gt;&gt;C:\Users\stu\Documents\GitHub\eaglep3-reporting\EC\2016-10-16-refined-times.txt</v>
      </c>
      <c r="AI3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{"issue":{"subject":"","project_id":79,"tracker_id":40,"status_id":1,"priority_id":2,"assigned_to_id":23,"start_date":"2016-10-16","description":"","custom_fields":[{"id":1,"name":"Subdivision","value":"EC"},{"id":4,"name":"Milepost","value":"0.0163"},{"id":17,"name":"Train ID","value":"126-16"},{"id":16,"name":"Locomotive ID","value":"4039"},{"id":130,"name":"Impact","value":""},{"id":150,"name":"Time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459</v>
      </c>
      <c r="B39" s="7">
        <v>4046</v>
      </c>
      <c r="C39" s="22" t="s">
        <v>99</v>
      </c>
      <c r="D39" s="22" t="s">
        <v>385</v>
      </c>
      <c r="E39" s="13">
        <v>42659.285601851851</v>
      </c>
      <c r="F39" s="13">
        <v>42659.291921296295</v>
      </c>
      <c r="G39" s="7">
        <v>1</v>
      </c>
      <c r="H39" s="13" t="s">
        <v>382</v>
      </c>
      <c r="I39" s="13">
        <v>42659.31753472222</v>
      </c>
      <c r="J39" s="7">
        <v>1</v>
      </c>
      <c r="K39" s="112" t="str">
        <f t="shared" si="0"/>
        <v>4045/4046</v>
      </c>
      <c r="L39" s="22" t="str">
        <f>VLOOKUP(A39,'Trips&amp;Operators'!$C$1:$E$10000,3,FALSE)</f>
        <v>KILLION</v>
      </c>
      <c r="M39" s="6">
        <f t="shared" si="1"/>
        <v>2.5613425925257616E-2</v>
      </c>
      <c r="N39" s="7">
        <f t="shared" si="2"/>
        <v>36.883333332370967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4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05:51:16-0600',mode:absolute,to:'2016-10-16 08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9" s="52" t="str">
        <f t="shared" si="6"/>
        <v>N</v>
      </c>
      <c r="X39" s="149">
        <f t="shared" si="7"/>
        <v>1</v>
      </c>
      <c r="Y39" s="67">
        <f t="shared" si="8"/>
        <v>4.8899999999999999E-2</v>
      </c>
      <c r="Z39" s="67">
        <f t="shared" si="9"/>
        <v>23.3308</v>
      </c>
      <c r="AA39" s="67">
        <f t="shared" si="10"/>
        <v>23.2819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0127-16</v>
      </c>
      <c r="AE39" s="91" t="str">
        <f t="shared" si="12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39" s="88" t="str">
        <f t="shared" si="13"/>
        <v>"C:\Program Files (x86)\AstroGrep\AstroGrep.exe" /spath="%USERPROFILE%\AppData\Local\Temp\OnboardLogs" /stypes="app*4046*20161016*"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127-16 --locoid 4046 --swversion DE.1.0.7.0 --startMP 204:489 --initTime 2016-10-16T06:51:16 --startdatetime 2016-10-16T07:00:22 --delay 1 --endMP 204:233308 --enddatetime 2016-10-16T07:37:15 --enforcementcount 1 &gt;&gt;C:\Users\stu\Documents\GitHub\eaglep3-reporting\EC\2016-10-16-refined-times.txt</v>
      </c>
      <c r="AI3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{"issue":{"subject":"","project_id":79,"tracker_id":40,"status_id":1,"priority_id":2,"assigned_to_id":23,"start_date":"2016-10-16","description":"","custom_fields":[{"id":1,"name":"Subdivision","value":"EC"},{"id":4,"name":"Milepost","value":"23.3308"},{"id":17,"name":"Train ID","value":"127-16"},{"id":16,"name":"Locomotive ID","value":"4046"},{"id":130,"name":"Impact","value":""},{"id":150,"name":"Time of Event (Mountain Time)","value":"07:37:15"},{"id":151,"name":"Denver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467</v>
      </c>
      <c r="B40" s="7">
        <v>4045</v>
      </c>
      <c r="C40" s="22" t="s">
        <v>99</v>
      </c>
      <c r="D40" s="22" t="s">
        <v>233</v>
      </c>
      <c r="E40" s="13">
        <v>42659.322881944441</v>
      </c>
      <c r="F40" s="13">
        <v>42659.330821759257</v>
      </c>
      <c r="G40" s="7">
        <v>1</v>
      </c>
      <c r="H40" s="13" t="s">
        <v>238</v>
      </c>
      <c r="I40" s="13">
        <v>42659.357118055559</v>
      </c>
      <c r="J40" s="7">
        <v>1</v>
      </c>
      <c r="K40" s="112" t="str">
        <f t="shared" si="0"/>
        <v>4045/4046</v>
      </c>
      <c r="L40" s="22" t="str">
        <f>VLOOKUP(A40,'Trips&amp;Operators'!$C$1:$E$10000,3,FALSE)</f>
        <v>KILLION</v>
      </c>
      <c r="M40" s="6">
        <f t="shared" si="1"/>
        <v>2.6296296302461997E-2</v>
      </c>
      <c r="N40" s="7">
        <f t="shared" si="2"/>
        <v>37.866666675545275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4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06:44:57-0600',mode:absolute,to:'2016-10-16 09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0" s="52" t="str">
        <f t="shared" si="6"/>
        <v>N</v>
      </c>
      <c r="X40" s="149">
        <f t="shared" si="7"/>
        <v>1</v>
      </c>
      <c r="Y40" s="67">
        <f t="shared" si="8"/>
        <v>23.298500000000001</v>
      </c>
      <c r="Z40" s="67">
        <f t="shared" si="9"/>
        <v>1.49E-2</v>
      </c>
      <c r="AA40" s="67">
        <f t="shared" si="10"/>
        <v>23.2836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0128-16</v>
      </c>
      <c r="AE40" s="91" t="str">
        <f t="shared" si="12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40" s="88" t="str">
        <f t="shared" si="13"/>
        <v>"C:\Program Files (x86)\AstroGrep\AstroGrep.exe" /spath="%USERPROFILE%\AppData\Local\Temp\OnboardLogs" /stypes="app*4045*20161016*"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128-16 --locoid 4045 --swversion DE.1.0.7.0 --startMP 204:232985 --initTime 2016-10-16T07:44:57 --startdatetime 2016-10-16T07:56:23 --delay 1 --endMP 204:149 --enddatetime 2016-10-16T08:34:15 --enforcementcount 1 &gt;&gt;C:\Users\stu\Documents\GitHub\eaglep3-reporting\EC\2016-10-16-refined-times.txt</v>
      </c>
      <c r="AI40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ID","value":"128-16"},{"id":16,"name":"Locomotive ID","value":"4045"},{"id":130,"name":"Impact","value":""},{"id":150,"name":"Time of Event (Mountain Time)","value":"08:34:15"},{"id":151,"name":"Denver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461</v>
      </c>
      <c r="B41" s="7">
        <v>4029</v>
      </c>
      <c r="C41" s="22" t="s">
        <v>99</v>
      </c>
      <c r="D41" s="22" t="s">
        <v>274</v>
      </c>
      <c r="E41" s="13">
        <v>42659.296469907407</v>
      </c>
      <c r="F41" s="13">
        <v>42659.302268518521</v>
      </c>
      <c r="G41" s="7">
        <v>1</v>
      </c>
      <c r="H41" s="13" t="s">
        <v>270</v>
      </c>
      <c r="I41" s="13">
        <v>42659.326249999998</v>
      </c>
      <c r="J41" s="7">
        <v>1</v>
      </c>
      <c r="K41" s="112" t="str">
        <f t="shared" si="0"/>
        <v>4029/4030</v>
      </c>
      <c r="L41" s="22" t="str">
        <f>VLOOKUP(A41,'Trips&amp;Operators'!$C$1:$E$10000,3,FALSE)</f>
        <v>YORK</v>
      </c>
      <c r="M41" s="6">
        <f t="shared" si="1"/>
        <v>2.3981481477676425E-2</v>
      </c>
      <c r="N41" s="7">
        <f t="shared" si="2"/>
        <v>34.533333327854052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4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06:06:55-0600',mode:absolute,to:'2016-10-16 08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1" s="52" t="str">
        <f t="shared" si="6"/>
        <v>N</v>
      </c>
      <c r="X41" s="149">
        <f t="shared" si="7"/>
        <v>1</v>
      </c>
      <c r="Y41" s="67">
        <f t="shared" si="8"/>
        <v>4.3999999999999997E-2</v>
      </c>
      <c r="Z41" s="67">
        <f t="shared" si="9"/>
        <v>23.328900000000001</v>
      </c>
      <c r="AA41" s="67">
        <f t="shared" si="10"/>
        <v>23.2849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0129-16</v>
      </c>
      <c r="AE41" s="91" t="str">
        <f t="shared" si="12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41" s="88" t="str">
        <f t="shared" si="13"/>
        <v>"C:\Program Files (x86)\AstroGrep\AstroGrep.exe" /spath="%USERPROFILE%\AppData\Local\Temp\OnboardLogs" /stypes="app*4029*20161016*"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129-16 --locoid 4029 --swversion DE.1.0.7.0 --startMP 204:440 --initTime 2016-10-16T07:06:55 --startdatetime 2016-10-16T07:15:16 --delay 1 --endMP 204:233289 --enddatetime 2016-10-16T07:49:48 --enforcementcount 1 &gt;&gt;C:\Users\stu\Documents\GitHub\eaglep3-reporting\EC\2016-10-16-refined-times.txt</v>
      </c>
      <c r="AI41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{"issue":{"subject":"","project_id":79,"tracker_id":40,"status_id":1,"priority_id":2,"assigned_to_id":23,"start_date":"2016-10-16","description":"","custom_fields":[{"id":1,"name":"Subdivision","value":"EC"},{"id":4,"name":"Milepost","value":"23.3289"},{"id":17,"name":"Train ID","value":"129-16"},{"id":16,"name":"Locomotive ID","value":"4029"},{"id":130,"name":"Impact","value":""},{"id":150,"name":"Time of Event (Mountain Time)","value":"07:49:48"},{"id":151,"name":"Denver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468</v>
      </c>
      <c r="B42" s="7">
        <v>4030</v>
      </c>
      <c r="C42" s="22" t="s">
        <v>99</v>
      </c>
      <c r="D42" s="22" t="s">
        <v>379</v>
      </c>
      <c r="E42" s="13">
        <v>42659.327268518522</v>
      </c>
      <c r="F42" s="13">
        <v>42659.341168981482</v>
      </c>
      <c r="G42" s="7">
        <v>0</v>
      </c>
      <c r="H42" s="13" t="s">
        <v>246</v>
      </c>
      <c r="I42" s="13">
        <v>42659.368356481478</v>
      </c>
      <c r="J42" s="7">
        <v>1</v>
      </c>
      <c r="K42" s="112" t="str">
        <f t="shared" si="0"/>
        <v>4029/4030</v>
      </c>
      <c r="L42" s="22" t="str">
        <f>VLOOKUP(A42,'Trips&amp;Operators'!$C$1:$E$10000,3,FALSE)</f>
        <v>YORK</v>
      </c>
      <c r="M42" s="6">
        <f t="shared" si="1"/>
        <v>2.7187499996216502E-2</v>
      </c>
      <c r="N42" s="7">
        <f t="shared" si="2"/>
        <v>39.149999994551763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4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06:51:16-0600',mode:absolute,to:'2016-10-16 09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2" s="52" t="str">
        <f t="shared" si="6"/>
        <v>N</v>
      </c>
      <c r="X42" s="149">
        <f t="shared" si="7"/>
        <v>1</v>
      </c>
      <c r="Y42" s="67">
        <f t="shared" si="8"/>
        <v>23.296900000000001</v>
      </c>
      <c r="Z42" s="67">
        <f t="shared" si="9"/>
        <v>1.6299999999999999E-2</v>
      </c>
      <c r="AA42" s="67">
        <f t="shared" si="10"/>
        <v>23.2806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0130-16</v>
      </c>
      <c r="AE42" s="91" t="str">
        <f t="shared" si="12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42" s="88" t="str">
        <f t="shared" si="13"/>
        <v>"C:\Program Files (x86)\AstroGrep\AstroGrep.exe" /spath="%USERPROFILE%\AppData\Local\Temp\OnboardLogs" /stypes="app*4030*20161016*"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130-16 --locoid 4030 --swversion DE.1.0.7.0 --startMP 204:232969 --initTime 2016-10-16T07:51:16 --startdatetime 2016-10-16T08:11:17 --delay 0 --endMP 204:163 --enddatetime 2016-10-16T08:50:26 --enforcementcount 1 &gt;&gt;C:\Users\stu\Documents\GitHub\eaglep3-reporting\EC\2016-10-16-refined-times.txt</v>
      </c>
      <c r="AI42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{"issue":{"subject":"","project_id":79,"tracker_id":40,"status_id":1,"priority_id":2,"assigned_to_id":23,"start_date":"2016-10-16","description":"","custom_fields":[{"id":1,"name":"Subdivision","value":"EC"},{"id":4,"name":"Milepost","value":"0.0163"},{"id":17,"name":"Train ID","value":"130-16"},{"id":16,"name":"Locomotive ID","value":"4030"},{"id":130,"name":"Impact","value":""},{"id":150,"name":"Time of Event (Mountain Time)","value":"08:50:26"},{"id":151,"name":"Denver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464</v>
      </c>
      <c r="B43" s="7">
        <v>4031</v>
      </c>
      <c r="C43" s="22" t="s">
        <v>99</v>
      </c>
      <c r="D43" s="22" t="s">
        <v>255</v>
      </c>
      <c r="E43" s="13">
        <v>42659.308553240742</v>
      </c>
      <c r="F43" s="13">
        <v>42659.312743055554</v>
      </c>
      <c r="G43" s="7">
        <v>1</v>
      </c>
      <c r="H43" s="13" t="s">
        <v>183</v>
      </c>
      <c r="I43" s="13">
        <v>42659.337372685186</v>
      </c>
      <c r="J43" s="7">
        <v>1</v>
      </c>
      <c r="K43" s="112" t="str">
        <f t="shared" si="0"/>
        <v>4031/4032</v>
      </c>
      <c r="L43" s="22" t="str">
        <f>VLOOKUP(A43,'Trips&amp;Operators'!$C$1:$E$10000,3,FALSE)</f>
        <v>ACKERMAN</v>
      </c>
      <c r="M43" s="6">
        <f t="shared" si="1"/>
        <v>2.4629629631817807E-2</v>
      </c>
      <c r="N43" s="7">
        <f t="shared" si="2"/>
        <v>35.466666669817641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4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06:24:19-0600',mode:absolute,to:'2016-10-16 09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49">
        <f t="shared" si="7"/>
        <v>1</v>
      </c>
      <c r="Y43" s="67">
        <f t="shared" si="8"/>
        <v>4.5699999999999998E-2</v>
      </c>
      <c r="Z43" s="67">
        <f t="shared" si="9"/>
        <v>23.331199999999999</v>
      </c>
      <c r="AA43" s="67">
        <f t="shared" si="10"/>
        <v>23.285499999999999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0131-16</v>
      </c>
      <c r="AE43" s="91" t="str">
        <f t="shared" si="12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43" s="88" t="str">
        <f t="shared" si="13"/>
        <v>"C:\Program Files (x86)\AstroGrep\AstroGrep.exe" /spath="%USERPROFILE%\AppData\Local\Temp\OnboardLogs" /stypes="app*4031*20161016*"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131-16 --locoid 4031 --swversion DE.1.0.7.0 --startMP 204:457 --initTime 2016-10-16T07:24:19 --startdatetime 2016-10-16T07:30:21 --delay 1 --endMP 204:233312 --enddatetime 2016-10-16T08:05:49 --enforcementcount 1 &gt;&gt;C:\Users\stu\Documents\GitHub\eaglep3-reporting\EC\2016-10-16-refined-times.txt</v>
      </c>
      <c r="AI43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{"issue":{"subject":"","project_id":79,"tracker_id":40,"status_id":1,"priority_id":2,"assigned_to_id":23,"start_date":"2016-10-16","description":"","custom_fields":[{"id":1,"name":"Subdivision","value":"EC"},{"id":4,"name":"Milepost","value":"23.3312"},{"id":17,"name":"Train ID","value":"131-16"},{"id":16,"name":"Locomotive ID","value":"4031"},{"id":130,"name":"Impact","value":""},{"id":150,"name":"Time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471</v>
      </c>
      <c r="B44" s="7">
        <v>4032</v>
      </c>
      <c r="C44" s="22" t="s">
        <v>99</v>
      </c>
      <c r="D44" s="22" t="s">
        <v>233</v>
      </c>
      <c r="E44" s="13">
        <v>42659.344664351855</v>
      </c>
      <c r="F44" s="13">
        <v>42659.351597222223</v>
      </c>
      <c r="G44" s="7">
        <v>1</v>
      </c>
      <c r="H44" s="13" t="s">
        <v>266</v>
      </c>
      <c r="I44" s="13">
        <v>42659.379583333335</v>
      </c>
      <c r="J44" s="7">
        <v>1</v>
      </c>
      <c r="K44" s="112" t="str">
        <f t="shared" si="0"/>
        <v>4031/4032</v>
      </c>
      <c r="L44" s="22" t="str">
        <f>VLOOKUP(A44,'Trips&amp;Operators'!$C$1:$E$10000,3,FALSE)</f>
        <v>ACKERMAN</v>
      </c>
      <c r="M44" s="6">
        <f t="shared" si="1"/>
        <v>2.7986111112113576E-2</v>
      </c>
      <c r="N44" s="7">
        <f t="shared" si="2"/>
        <v>40.30000000144355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4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https://search-rtdc-monitor-bjffxe2xuh6vdkpspy63sjmuny.us-east-1.es.amazonaws.com/_plugin/kibana/#/discover/Steve-Slow-Train-Analysis-(2080s-and-2083s)?_g=(refreshInterval:(display:Off,section:0,value:0),time:(from:'2016-10-16 07:16:19-0600',mode:absolute,to:'2016-10-16 10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49">
        <f t="shared" si="7"/>
        <v>1</v>
      </c>
      <c r="Y44" s="67">
        <f t="shared" si="8"/>
        <v>23.298500000000001</v>
      </c>
      <c r="Z44" s="67">
        <f t="shared" si="9"/>
        <v>1.6E-2</v>
      </c>
      <c r="AA44" s="67">
        <f t="shared" si="10"/>
        <v>23.282500000000002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0132-16</v>
      </c>
      <c r="AE44" s="91" t="str">
        <f t="shared" si="12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44" s="88" t="str">
        <f t="shared" si="13"/>
        <v>"C:\Program Files (x86)\AstroGrep\AstroGrep.exe" /spath="%USERPROFILE%\AppData\Local\Temp\OnboardLogs" /stypes="app*4032*20161016*"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132-16 --locoid 4032 --swversion DE.1.0.7.0 --startMP 204:232985 --initTime 2016-10-16T08:16:19 --startdatetime 2016-10-16T08:26:18 --delay 1 --endMP 204:160 --enddatetime 2016-10-16T09:06:36 --enforcementcount 1 &gt;&gt;C:\Users\stu\Documents\GitHub\eaglep3-reporting\EC\2016-10-16-refined-times.txt</v>
      </c>
      <c r="AI44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{"issue":{"subject":"","project_id":79,"tracker_id":40,"status_id":1,"priority_id":2,"assigned_to_id":23,"start_date":"2016-10-16","description":"","custom_fields":[{"id":1,"name":"Subdivision","value":"EC"},{"id":4,"name":"Milepost","value":"0.016"},{"id":17,"name":"Train ID","value":"132-16"},{"id":16,"name":"Locomotive ID","value":"4032"},{"id":130,"name":"Impact","value":""},{"id":150,"name":"Time of Event (Mountain Time)","value":"09:06:36"},{"id":151,"name":"Denver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466</v>
      </c>
      <c r="B45" s="7">
        <v>4027</v>
      </c>
      <c r="C45" s="22" t="s">
        <v>99</v>
      </c>
      <c r="D45" s="22" t="s">
        <v>261</v>
      </c>
      <c r="E45" s="13">
        <v>42659.318055555559</v>
      </c>
      <c r="F45" s="13">
        <v>42659.323182870372</v>
      </c>
      <c r="G45" s="7">
        <v>5</v>
      </c>
      <c r="H45" s="13" t="s">
        <v>398</v>
      </c>
      <c r="I45" s="13">
        <v>42659.348020833335</v>
      </c>
      <c r="J45" s="7">
        <v>1</v>
      </c>
      <c r="K45" s="112" t="str">
        <f t="shared" ref="K45:K78" si="19">IF(ISEVEN(B45),(B45-1)&amp;"/"&amp;B45,B45&amp;"/"&amp;(B45+1))</f>
        <v>4027/4028</v>
      </c>
      <c r="L45" s="22" t="str">
        <f>VLOOKUP(A45,'Trips&amp;Operators'!$C$1:$E$10000,3,FALSE)</f>
        <v>MAELZER</v>
      </c>
      <c r="M45" s="6">
        <f t="shared" ref="M45:M78" si="20">I45-F45</f>
        <v>2.4837962962919846E-2</v>
      </c>
      <c r="N45" s="7">
        <f t="shared" ref="N45:N78" si="21">24*60*SUM($M45:$M45)</f>
        <v>35.766666666604578</v>
      </c>
      <c r="O45" s="7"/>
      <c r="P45" s="7"/>
      <c r="Q45" s="23"/>
      <c r="R45" s="23"/>
      <c r="S45" s="35">
        <f t="shared" si="3"/>
        <v>1</v>
      </c>
      <c r="T45" s="50" t="str">
        <f t="shared" ref="T45:T78" si="22">IF(ISEVEN(LEFT(AD45,4)),"Southbound","NorthBound")</f>
        <v>NorthBound</v>
      </c>
      <c r="U45" s="14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8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https://search-rtdc-monitor-bjffxe2xuh6vdkpspy63sjmuny.us-east-1.es.amazonaws.com/_plugin/kibana/#/discover/Steve-Slow-Train-Analysis-(2080s-and-2083s)?_g=(refreshInterval:(display:Off,section:0,value:0),time:(from:'2016-10-16 06:38:00-0600',mode:absolute,to:'2016-10-16 09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5" s="52" t="str">
        <f t="shared" ref="W45:W78" si="24">IF(AA45&lt;IF(AG45="EC",23,5.65),"Y","N")</f>
        <v>N</v>
      </c>
      <c r="X45" s="149">
        <f t="shared" ref="X45:X78" si="25">VALUE(LEFT(AD45,4))-VALUE(LEFT(AD44,4))</f>
        <v>1</v>
      </c>
      <c r="Y45" s="67">
        <f t="shared" ref="Y45:Y78" si="26">RIGHT(D45,LEN(D45)-4)/10000</f>
        <v>4.4600000000000001E-2</v>
      </c>
      <c r="Z45" s="67">
        <f t="shared" ref="Z45:Z78" si="27">RIGHT(H45,LEN(H45)-4)/10000</f>
        <v>23.330300000000001</v>
      </c>
      <c r="AA45" s="67">
        <f t="shared" ref="AA45:AA78" si="28">ABS(Z45-Y45)</f>
        <v>23.285700000000002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ref="AD45:AD78" si="29">IF(LEN(A45)=6,"0"&amp;A45,A45)</f>
        <v>0133-16</v>
      </c>
      <c r="AE45" s="91" t="str">
        <f t="shared" ref="AE45:AE78" si="30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45" s="88" t="str">
        <f t="shared" ref="AF45:AF78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/stypes="app*4027*20161016*" /stext=" 14:.+((SYSTEM_STATE.+slice.+state.+changed )|(ment ac)|(system.+state.+changed )|(\[timeout)|(PRM\|1\|D)|(kpr)|(kdp)|(\|lc)|(penalty))" /e /r /s</v>
      </c>
      <c r="AG45" s="1" t="str">
        <f t="shared" ref="AG45:AG78" si="32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133-16 --locoid 4027 --swversion DE.1.0.7.0 --startMP 204:446 --initTime 2016-10-16T07:38:00 --startdatetime 2016-10-16T07:45:23 --delay 5 --endMP 204:233303 --enddatetime 2016-10-16T08:21:09 --enforcementcount 1 &gt;&gt;C:\Users\stu\Documents\GitHub\eaglep3-reporting\EC\2016-10-16-refined-times.txt</v>
      </c>
      <c r="AI4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{"issue":{"subject":"","project_id":79,"tracker_id":40,"status_id":1,"priority_id":2,"assigned_to_id":23,"start_date":"2016-10-16","description":"","custom_fields":[{"id":1,"name":"Subdivision","value":"EC"},{"id":4,"name":"Milepost","value":"23.3303"},{"id":17,"name":"Train ID","value":"133-16"},{"id":16,"name":"Locomotive ID","value":"4027"},{"id":130,"name":"Impact","value":""},{"id":150,"name":"Time of Event (Mountain Time)","value":"08:21:09"},{"id":151,"name":"Denver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474</v>
      </c>
      <c r="B46" s="7">
        <v>4028</v>
      </c>
      <c r="C46" s="22" t="s">
        <v>99</v>
      </c>
      <c r="D46" s="22" t="s">
        <v>261</v>
      </c>
      <c r="E46" s="13">
        <v>42659.318055555559</v>
      </c>
      <c r="F46" s="13">
        <v>42659.362141203703</v>
      </c>
      <c r="G46" s="7">
        <v>5</v>
      </c>
      <c r="H46" s="13" t="s">
        <v>398</v>
      </c>
      <c r="I46" s="13">
        <v>42659.388738425929</v>
      </c>
      <c r="J46" s="7">
        <v>1</v>
      </c>
      <c r="K46" s="112" t="str">
        <f t="shared" ref="K46" si="33">IF(ISEVEN(B46),(B46-1)&amp;"/"&amp;B46,B46&amp;"/"&amp;(B46+1))</f>
        <v>4027/4028</v>
      </c>
      <c r="L46" s="22" t="str">
        <f>VLOOKUP(A46,'Trips&amp;Operators'!$C$1:$E$10000,3,FALSE)</f>
        <v>MAELZER</v>
      </c>
      <c r="M46" s="6">
        <f t="shared" ref="M46" si="34">I46-F46</f>
        <v>2.6597222225973383E-2</v>
      </c>
      <c r="N46" s="7">
        <f t="shared" si="21"/>
        <v>38.300000005401671</v>
      </c>
      <c r="O46" s="7"/>
      <c r="P46" s="7"/>
      <c r="Q46" s="23"/>
      <c r="R46" s="23"/>
      <c r="S46" s="35">
        <f t="shared" si="3"/>
        <v>1</v>
      </c>
      <c r="T46" s="50" t="str">
        <f t="shared" ref="T46" si="35">IF(ISEVEN(LEFT(AD46,4)),"Southbound","NorthBound")</f>
        <v>Southbound</v>
      </c>
      <c r="U46" s="14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ref="V46" si="36"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https://search-rtdc-monitor-bjffxe2xuh6vdkpspy63sjmuny.us-east-1.es.amazonaws.com/_plugin/kibana/#/discover/Steve-Slow-Train-Analysis-(2080s-and-2083s)?_g=(refreshInterval:(display:Off,section:0,value:0),time:(from:'2016-10-16 06:38:00-0600',mode:absolute,to:'2016-10-16 10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6" s="52" t="str">
        <f t="shared" ref="W46" si="37">IF(AA46&lt;IF(AG46="EC",23,5.65),"Y","N")</f>
        <v>N</v>
      </c>
      <c r="X46" s="149">
        <f t="shared" ref="X46:X47" si="38">VALUE(LEFT(AD46,4))-VALUE(LEFT(AD45,4))</f>
        <v>1</v>
      </c>
      <c r="Y46" s="67">
        <v>23.2987</v>
      </c>
      <c r="Z46" s="67">
        <v>0.1186</v>
      </c>
      <c r="AA46" s="67">
        <f t="shared" ref="AA46" si="39">ABS(Z46-Y46)</f>
        <v>23.180099999999999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ref="AD46" si="40">IF(LEN(A46)=6,"0"&amp;A46,A46)</f>
        <v>0134-16</v>
      </c>
      <c r="AE46" s="91" t="str">
        <f t="shared" ref="AE46" si="41"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46" s="88" t="str">
        <f t="shared" ref="AF46" si="42"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/stypes="app*4028*20161016*" /stext=" 15:.+((SYSTEM_STATE.+slice.+state.+changed )|(ment ac)|(system.+state.+changed )|(\[timeout)|(PRM\|1\|D)|(kpr)|(kdp)|(\|lc)|(penalty))" /e /r /s</v>
      </c>
      <c r="AG46" s="1" t="str">
        <f t="shared" ref="AG46" si="43">IFERROR(IF(VALUE(LEFT(AD46,2))&lt;=2,"EC",IF(OR(VALUE(LEFT(AD46,2))=8,VALUE(LEFT(AD46,2))=18),"NW","Other")),"Other")</f>
        <v>EC</v>
      </c>
      <c r="AH46" s="92" t="str">
        <f t="shared" ref="AH46" si="44"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134-16 --locoid 4028 --swversion DE.1.0.7.0 --startMP 204:446 --initTime 2016-10-16T07:38:00 --startdatetime 2016-10-16T08:41:29 --delay 5 --endMP 204:233303 --enddatetime 2016-10-16T09:19:47 --enforcementcount 1 &gt;&gt;C:\Users\stu\Documents\GitHub\eaglep3-reporting\EC\2016-10-16-refined-times.txt</v>
      </c>
      <c r="AI46" s="122" t="str">
        <f t="shared" ref="AI46" si="45"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{"issue":{"subject":"","project_id":79,"tracker_id":40,"status_id":1,"priority_id":2,"assigned_to_id":23,"start_date":"2016-10-16","description":"","custom_fields":[{"id":1,"name":"Subdivision","value":"EC"},{"id":4,"name":"Milepost","value":"0.1186"},{"id":17,"name":"Train ID","value":"134-16"},{"id":16,"name":"Locomotive ID","value":"4028"},{"id":130,"name":"Impact","value":""},{"id":150,"name":"Time of Event (Mountain Time)","value":"09:19:47"},{"id":151,"name":"Denver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</row>
    <row r="47" spans="1:91" s="1" customFormat="1" x14ac:dyDescent="0.25">
      <c r="A47" s="37" t="s">
        <v>469</v>
      </c>
      <c r="B47" s="7">
        <v>4025</v>
      </c>
      <c r="C47" s="22" t="s">
        <v>99</v>
      </c>
      <c r="D47" s="22" t="s">
        <v>261</v>
      </c>
      <c r="E47" s="13">
        <v>42659.330312500002</v>
      </c>
      <c r="F47" s="13">
        <v>42659.333506944444</v>
      </c>
      <c r="G47" s="7">
        <v>1</v>
      </c>
      <c r="H47" s="13" t="s">
        <v>183</v>
      </c>
      <c r="I47" s="13">
        <v>42659.361250000002</v>
      </c>
      <c r="J47" s="7">
        <v>1</v>
      </c>
      <c r="K47" s="112" t="str">
        <f t="shared" si="19"/>
        <v>4025/4026</v>
      </c>
      <c r="L47" s="22" t="str">
        <f>VLOOKUP(A47,'Trips&amp;Operators'!$C$1:$E$10000,3,FALSE)</f>
        <v>DAVIS</v>
      </c>
      <c r="M47" s="6">
        <f t="shared" si="20"/>
        <v>2.7743055557948537E-2</v>
      </c>
      <c r="N47" s="7">
        <f t="shared" si="21"/>
        <v>39.950000003445894</v>
      </c>
      <c r="O47" s="7"/>
      <c r="P47" s="7"/>
      <c r="Q47" s="23"/>
      <c r="R47" s="23"/>
      <c r="S47" s="35">
        <f t="shared" si="3"/>
        <v>1</v>
      </c>
      <c r="T47" s="50" t="str">
        <f t="shared" si="22"/>
        <v>NorthBound</v>
      </c>
      <c r="U47" s="14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06:55:39-0600',mode:absolute,to:'2016-10-16 09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7" s="52" t="str">
        <f t="shared" si="24"/>
        <v>N</v>
      </c>
      <c r="X47" s="149">
        <f t="shared" si="38"/>
        <v>1</v>
      </c>
      <c r="Y47" s="67">
        <f t="shared" si="26"/>
        <v>4.4600000000000001E-2</v>
      </c>
      <c r="Z47" s="67">
        <f t="shared" si="27"/>
        <v>23.331199999999999</v>
      </c>
      <c r="AA47" s="67">
        <f t="shared" si="28"/>
        <v>23.2866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29"/>
        <v>0135-16</v>
      </c>
      <c r="AE47" s="91" t="str">
        <f t="shared" si="30"/>
        <v>aws s3 cp s3://rtdc.mdm.uploadarchive.raw/RTDC4025/ "%USERPROFILE%\AppData\Local\Temp\OnboardLogs"\RTDC4025\2016-10-16 --exclude "*" --recursive --include "*20161016*" &amp; "%USERPROFILE%\Documents\GitHub\mrs-test-scripts\Headless Mode &amp; Sideloading\WalkAndUnGZ.bat" "%USERPROFILE%\AppData\Local\Temp\OnboardLogs"\RTDC4025\2016-10-16 &amp; 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</v>
      </c>
      <c r="AF47" s="88" t="str">
        <f t="shared" si="31"/>
        <v>"C:\Program Files (x86)\AstroGrep\AstroGrep.exe" /spath="%USERPROFILE%\AppData\Local\Temp\OnboardLogs" /stypes="app*4025*20161016*" /stext=" 14:.+((SYSTEM_STATE.+slice.+state.+changed )|(ment ac)|(system.+state.+changed )|(\[timeout)|(PRM\|1\|D)|(kpr)|(kdp)|(\|lc)|(penalty))" /e /r /s</v>
      </c>
      <c r="AG47" s="1" t="str">
        <f t="shared" si="32"/>
        <v>EC</v>
      </c>
      <c r="AH47" s="92" t="str">
        <f t="shared" si="17"/>
        <v>"%USERPROFILE%\Documents\GitHub\eaglep3\Utilities\RefineRTDCRunTimes.py" --tripid 135-16 --locoid 4025 --swversion DE.1.0.7.0 --startMP 204:446 --initTime 2016-10-16T07:55:39 --startdatetime 2016-10-16T08:00:15 --delay 1 --endMP 204:233312 --enddatetime 2016-10-16T08:40:12 --enforcementcount 1 &gt;&gt;C:\Users\stu\Documents\GitHub\eaglep3-reporting\EC\2016-10-16-refined-times.txt</v>
      </c>
      <c r="AI4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{"issue":{"subject":"","project_id":79,"tracker_id":40,"status_id":1,"priority_id":2,"assigned_to_id":23,"start_date":"2016-10-16","description":"","custom_fields":[{"id":1,"name":"Subdivision","value":"EC"},{"id":4,"name":"Milepost","value":"23.3312"},{"id":17,"name":"Train ID","value":"135-16"},{"id":16,"name":"Locomotive ID","value":"4025"},{"id":130,"name":"Impact","value":""},{"id":150,"name":"Time of Event (Mountain Time)","value":"08:40:12"},{"id":151,"name":"Denver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4026</v>
      </c>
      <c r="C48" s="22" t="s">
        <v>99</v>
      </c>
      <c r="D48" s="22" t="s">
        <v>351</v>
      </c>
      <c r="E48" s="13">
        <v>42659.368831018517</v>
      </c>
      <c r="F48" s="13">
        <v>42659.372685185182</v>
      </c>
      <c r="G48" s="7">
        <v>1</v>
      </c>
      <c r="H48" s="13" t="s">
        <v>628</v>
      </c>
      <c r="I48" s="13">
        <v>42659.413402777776</v>
      </c>
      <c r="J48" s="7">
        <v>1</v>
      </c>
      <c r="K48" s="112" t="str">
        <f t="shared" si="19"/>
        <v>4025/4026</v>
      </c>
      <c r="L48" s="22" t="str">
        <f>VLOOKUP(A48,'Trips&amp;Operators'!$C$1:$E$10000,3,FALSE)</f>
        <v>DAVIS</v>
      </c>
      <c r="M48" s="6">
        <f t="shared" si="20"/>
        <v>4.0717592593864538E-2</v>
      </c>
      <c r="N48" s="7">
        <f t="shared" si="21"/>
        <v>58.633333335164934</v>
      </c>
      <c r="O48" s="7"/>
      <c r="P48" s="7"/>
      <c r="Q48" s="23"/>
      <c r="R48" s="23"/>
      <c r="S48" s="35">
        <f t="shared" si="3"/>
        <v>1</v>
      </c>
      <c r="T48" s="50" t="str">
        <f t="shared" si="22"/>
        <v>Southbound</v>
      </c>
      <c r="U48" s="14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07:51:07-0600',mode:absolute,to:'2016-10-16 10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8" s="52" t="str">
        <f t="shared" si="24"/>
        <v>N</v>
      </c>
      <c r="X48" s="149">
        <f t="shared" si="25"/>
        <v>1</v>
      </c>
      <c r="Y48" s="67">
        <f t="shared" si="26"/>
        <v>23.2987</v>
      </c>
      <c r="Z48" s="67">
        <f t="shared" si="27"/>
        <v>0.1186</v>
      </c>
      <c r="AA48" s="67">
        <f t="shared" si="28"/>
        <v>23.180099999999999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29"/>
        <v>0136-16</v>
      </c>
      <c r="AE48" s="91" t="str">
        <f t="shared" si="30"/>
        <v>aws s3 cp s3://rtdc.mdm.uploadarchive.raw/RTDC4026/ "%USERPROFILE%\AppData\Local\Temp\OnboardLogs"\RTDC4026\2016-10-16 --exclude "*" --recursive --include "*20161016*" &amp; "%USERPROFILE%\Documents\GitHub\mrs-test-scripts\Headless Mode &amp; Sideloading\WalkAndUnGZ.bat" "%USERPROFILE%\AppData\Local\Temp\OnboardLogs"\RTDC4026\2016-10-16 &amp; 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</v>
      </c>
      <c r="AF48" s="88" t="str">
        <f t="shared" si="31"/>
        <v>"C:\Program Files (x86)\AstroGrep\AstroGrep.exe" /spath="%USERPROFILE%\AppData\Local\Temp\OnboardLogs" /stypes="app*4026*20161016*" /stext=" 15:.+((SYSTEM_STATE.+slice.+state.+changed )|(ment ac)|(system.+state.+changed )|(\[timeout)|(PRM\|1\|D)|(kpr)|(kdp)|(\|lc)|(penalty))" /e /r /s</v>
      </c>
      <c r="AG48" s="1" t="str">
        <f t="shared" si="32"/>
        <v>EC</v>
      </c>
      <c r="AH48" s="92" t="str">
        <f t="shared" si="17"/>
        <v>"%USERPROFILE%\Documents\GitHub\eaglep3\Utilities\RefineRTDCRunTimes.py" --tripid 136-16 --locoid 4026 --swversion DE.1.0.7.0 --startMP 204:232987 --initTime 2016-10-16T08:51:07 --startdatetime 2016-10-16T08:56:40 --delay 1 --endMP 204:1186 --enddatetime 2016-10-16T09:55:18 --enforcementcount 1 &gt;&gt;C:\Users\stu\Documents\GitHub\eaglep3-reporting\EC\2016-10-16-refined-times.txt</v>
      </c>
      <c r="AI4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{"issue":{"subject":"","project_id":79,"tracker_id":40,"status_id":1,"priority_id":2,"assigned_to_id":23,"start_date":"2016-10-16","description":"","custom_fields":[{"id":1,"name":"Subdivision","value":"EC"},{"id":4,"name":"Milepost","value":"0.1186"},{"id":17,"name":"Train ID","value":"136-16"},{"id":16,"name":"Locomotive ID","value":"4026"},{"id":130,"name":"Impact","value":""},{"id":150,"name":"Time of Event (Mountain Time)","value":"09:55:18"},{"id":151,"name":"Denver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470</v>
      </c>
      <c r="B49" s="7">
        <v>4018</v>
      </c>
      <c r="C49" s="22" t="s">
        <v>99</v>
      </c>
      <c r="D49" s="22" t="s">
        <v>256</v>
      </c>
      <c r="E49" s="13">
        <v>42659.34202546296</v>
      </c>
      <c r="F49" s="13">
        <v>42659.343969907408</v>
      </c>
      <c r="G49" s="7">
        <v>0</v>
      </c>
      <c r="H49" s="13" t="s">
        <v>629</v>
      </c>
      <c r="I49" s="13">
        <v>42659.368993055556</v>
      </c>
      <c r="J49" s="7">
        <v>1</v>
      </c>
      <c r="K49" s="112" t="str">
        <f t="shared" si="19"/>
        <v>4017/4018</v>
      </c>
      <c r="L49" s="22" t="str">
        <f>VLOOKUP(A49,'Trips&amp;Operators'!$C$1:$E$10000,3,FALSE)</f>
        <v>MALAVE</v>
      </c>
      <c r="M49" s="6">
        <f t="shared" si="20"/>
        <v>2.5023148147738539E-2</v>
      </c>
      <c r="N49" s="7">
        <f t="shared" si="21"/>
        <v>36.033333332743496</v>
      </c>
      <c r="O49" s="7"/>
      <c r="P49" s="7"/>
      <c r="Q49" s="23"/>
      <c r="R49" s="23"/>
      <c r="S49" s="35">
        <f t="shared" si="3"/>
        <v>1</v>
      </c>
      <c r="T49" s="50" t="str">
        <f t="shared" si="22"/>
        <v>NorthBound</v>
      </c>
      <c r="U49" s="14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07:12:31-0600',mode:absolute,to:'2016-10-16 09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9" s="52" t="str">
        <f t="shared" si="24"/>
        <v>N</v>
      </c>
      <c r="X49" s="149">
        <f t="shared" si="25"/>
        <v>1</v>
      </c>
      <c r="Y49" s="67">
        <f t="shared" si="26"/>
        <v>4.6199999999999998E-2</v>
      </c>
      <c r="Z49" s="67">
        <f t="shared" si="27"/>
        <v>23.326599999999999</v>
      </c>
      <c r="AA49" s="67">
        <f t="shared" si="28"/>
        <v>23.2804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29"/>
        <v>0137-16</v>
      </c>
      <c r="AE49" s="91" t="str">
        <f t="shared" si="30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49" s="88" t="str">
        <f t="shared" si="31"/>
        <v>"C:\Program Files (x86)\AstroGrep\AstroGrep.exe" /spath="%USERPROFILE%\AppData\Local\Temp\OnboardLogs" /stypes="app*4018*20161016*" /stext=" 14:.+((SYSTEM_STATE.+slice.+state.+changed )|(ment ac)|(system.+state.+changed )|(\[timeout)|(PRM\|1\|D)|(kpr)|(kdp)|(\|lc)|(penalty))" /e /r /s</v>
      </c>
      <c r="AG49" s="1" t="str">
        <f t="shared" si="32"/>
        <v>EC</v>
      </c>
      <c r="AH49" s="92" t="str">
        <f t="shared" si="17"/>
        <v>"%USERPROFILE%\Documents\GitHub\eaglep3\Utilities\RefineRTDCRunTimes.py" --tripid 137-16 --locoid 4018 --swversion DE.1.0.7.0 --startMP 204:462 --initTime 2016-10-16T08:12:31 --startdatetime 2016-10-16T08:15:19 --delay 0 --endMP 204:233266 --enddatetime 2016-10-16T08:51:21 --enforcementcount 1 &gt;&gt;C:\Users\stu\Documents\GitHub\eaglep3-reporting\EC\2016-10-16-refined-times.txt</v>
      </c>
      <c r="AI4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{"issue":{"subject":"","project_id":79,"tracker_id":40,"status_id":1,"priority_id":2,"assigned_to_id":23,"start_date":"2016-10-16","description":"","custom_fields":[{"id":1,"name":"Subdivision","value":"EC"},{"id":4,"name":"Milepost","value":"23.3266"},{"id":17,"name":"Train ID","value":"137-16"},{"id":16,"name":"Locomotive ID","value":"4018"},{"id":130,"name":"Impact","value":""},{"id":150,"name":"Time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479</v>
      </c>
      <c r="B50" s="7">
        <v>4017</v>
      </c>
      <c r="C50" s="22" t="s">
        <v>99</v>
      </c>
      <c r="D50" s="22" t="s">
        <v>622</v>
      </c>
      <c r="E50" s="13">
        <v>42659.381296296298</v>
      </c>
      <c r="F50" s="13">
        <v>42659.3828587963</v>
      </c>
      <c r="G50" s="7">
        <v>2</v>
      </c>
      <c r="H50" s="13" t="s">
        <v>235</v>
      </c>
      <c r="I50" s="13">
        <v>42659.415682870371</v>
      </c>
      <c r="J50" s="7">
        <v>1</v>
      </c>
      <c r="K50" s="112" t="str">
        <f t="shared" si="19"/>
        <v>4017/4018</v>
      </c>
      <c r="L50" s="22" t="str">
        <f>VLOOKUP(A50,'Trips&amp;Operators'!$C$1:$E$10000,3,FALSE)</f>
        <v>MALAVE</v>
      </c>
      <c r="M50" s="6">
        <f t="shared" si="20"/>
        <v>3.2824074070958886E-2</v>
      </c>
      <c r="N50" s="7">
        <f t="shared" si="21"/>
        <v>47.266666662180796</v>
      </c>
      <c r="O50" s="7"/>
      <c r="P50" s="7"/>
      <c r="Q50" s="23"/>
      <c r="R50" s="23"/>
      <c r="S50" s="35">
        <f t="shared" si="3"/>
        <v>1</v>
      </c>
      <c r="T50" s="50" t="str">
        <f t="shared" si="22"/>
        <v>Southbound</v>
      </c>
      <c r="U50" s="14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08:09:04-0600',mode:absolute,to:'2016-10-16 10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0" s="52" t="str">
        <f t="shared" si="24"/>
        <v>N</v>
      </c>
      <c r="X50" s="149">
        <f t="shared" si="25"/>
        <v>1</v>
      </c>
      <c r="Y50" s="67">
        <f t="shared" si="26"/>
        <v>23.296099999999999</v>
      </c>
      <c r="Z50" s="67">
        <f t="shared" si="27"/>
        <v>1.54E-2</v>
      </c>
      <c r="AA50" s="67">
        <f t="shared" si="28"/>
        <v>23.2807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29"/>
        <v>0138-16</v>
      </c>
      <c r="AE50" s="91" t="str">
        <f t="shared" si="30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50" s="88" t="str">
        <f t="shared" si="31"/>
        <v>"C:\Program Files (x86)\AstroGrep\AstroGrep.exe" /spath="%USERPROFILE%\AppData\Local\Temp\OnboardLogs" /stypes="app*4017*20161016*" /stext=" 15:.+((SYSTEM_STATE.+slice.+state.+changed )|(ment ac)|(system.+state.+changed )|(\[timeout)|(PRM\|1\|D)|(kpr)|(kdp)|(\|lc)|(penalty))" /e /r /s</v>
      </c>
      <c r="AG50" s="1" t="str">
        <f t="shared" si="32"/>
        <v>EC</v>
      </c>
      <c r="AH50" s="92" t="str">
        <f t="shared" si="17"/>
        <v>"%USERPROFILE%\Documents\GitHub\eaglep3\Utilities\RefineRTDCRunTimes.py" --tripid 138-16 --locoid 4017 --swversion DE.1.0.7.0 --startMP 204:232961 --initTime 2016-10-16T09:09:04 --startdatetime 2016-10-16T09:11:19 --delay 2 --endMP 204:154 --enddatetime 2016-10-16T09:58:35 --enforcementcount 1 &gt;&gt;C:\Users\stu\Documents\GitHub\eaglep3-reporting\EC\2016-10-16-refined-times.txt</v>
      </c>
      <c r="AI50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{"issue":{"subject":"","project_id":79,"tracker_id":40,"status_id":1,"priority_id":2,"assigned_to_id":23,"start_date":"2016-10-16","description":"","custom_fields":[{"id":1,"name":"Subdivision","value":"EC"},{"id":4,"name":"Milepost","value":"0.0154"},{"id":17,"name":"Train ID","value":"138-16"},{"id":16,"name":"Locomotive ID","value":"4017"},{"id":130,"name":"Impact","value":""},{"id":150,"name":"Time of Event (Mountain Time)","value":"09:58:35"},{"id":151,"name":"Denver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473</v>
      </c>
      <c r="B51" s="7">
        <v>4040</v>
      </c>
      <c r="C51" s="22" t="s">
        <v>99</v>
      </c>
      <c r="D51" s="22" t="s">
        <v>622</v>
      </c>
      <c r="E51" s="13">
        <v>42659.381296296298</v>
      </c>
      <c r="F51" s="13">
        <v>42659.354398148149</v>
      </c>
      <c r="G51" s="7">
        <v>2</v>
      </c>
      <c r="H51" s="13" t="s">
        <v>235</v>
      </c>
      <c r="I51" s="13">
        <v>42659.380972222221</v>
      </c>
      <c r="J51" s="7">
        <v>1</v>
      </c>
      <c r="K51" s="112" t="str">
        <f t="shared" ref="K51" si="46">IF(ISEVEN(B51),(B51-1)&amp;"/"&amp;B51,B51&amp;"/"&amp;(B51+1))</f>
        <v>4039/4040</v>
      </c>
      <c r="L51" s="22" t="str">
        <f>VLOOKUP(A51,'Trips&amp;Operators'!$C$1:$E$10000,3,FALSE)</f>
        <v>STRICKLAND</v>
      </c>
      <c r="M51" s="6">
        <f t="shared" ref="M51" si="47">I51-F51</f>
        <v>2.6574074072414078E-2</v>
      </c>
      <c r="N51" s="7">
        <f t="shared" si="21"/>
        <v>38.266666664276272</v>
      </c>
      <c r="O51" s="7"/>
      <c r="P51" s="7"/>
      <c r="Q51" s="23"/>
      <c r="R51" s="23"/>
      <c r="S51" s="35">
        <f t="shared" si="3"/>
        <v>1</v>
      </c>
      <c r="T51" s="50" t="str">
        <f t="shared" ref="T51" si="48">IF(ISEVEN(LEFT(AD51,4)),"Southbound","NorthBound")</f>
        <v>NorthBound</v>
      </c>
      <c r="U51" s="14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ref="V51" si="49"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https://search-rtdc-monitor-bjffxe2xuh6vdkpspy63sjmuny.us-east-1.es.amazonaws.com/_plugin/kibana/#/discover/Steve-Slow-Train-Analysis-(2080s-and-2083s)?_g=(refreshInterval:(display:Off,section:0,value:0),time:(from:'2016-10-16 08:09:04-0600',mode:absolute,to:'2016-10-16 10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1" s="52" t="str">
        <f t="shared" ref="W51" si="50">IF(AA51&lt;IF(AG51="EC",23,5.65),"Y","N")</f>
        <v>N</v>
      </c>
      <c r="X51" s="149">
        <f t="shared" ref="X51:X52" si="51">VALUE(LEFT(AD51,4))-VALUE(LEFT(AD50,4))</f>
        <v>1</v>
      </c>
      <c r="Y51" s="67">
        <v>4.6199999999999998E-2</v>
      </c>
      <c r="Z51" s="67">
        <v>23.326599999999999</v>
      </c>
      <c r="AA51" s="67">
        <f t="shared" ref="AA51" si="52">ABS(Z51-Y51)</f>
        <v>23.2804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ref="AD51" si="53">IF(LEN(A51)=6,"0"&amp;A51,A51)</f>
        <v>0139-16</v>
      </c>
      <c r="AE51" s="91" t="str">
        <f t="shared" ref="AE51" si="54"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51" s="88" t="str">
        <f t="shared" ref="AF51" si="55"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/stypes="app*4040*20161016*" /stext=" 15:.+((SYSTEM_STATE.+slice.+state.+changed )|(ment ac)|(system.+state.+changed )|(\[timeout)|(PRM\|1\|D)|(kpr)|(kdp)|(\|lc)|(penalty))" /e /r /s</v>
      </c>
      <c r="AG51" s="1" t="str">
        <f t="shared" ref="AG51" si="56">IFERROR(IF(VALUE(LEFT(AD51,2))&lt;=2,"EC",IF(OR(VALUE(LEFT(AD51,2))=8,VALUE(LEFT(AD51,2))=18),"NW","Other")),"Other")</f>
        <v>EC</v>
      </c>
      <c r="AH51" s="92" t="str">
        <f t="shared" ref="AH51" si="57"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139-16 --locoid 4040 --swversion DE.1.0.7.0 --startMP 204:232961 --initTime 2016-10-16T09:09:04 --startdatetime 2016-10-16T08:30:20 --delay 2 --endMP 204:154 --enddatetime 2016-10-16T09:08:36 --enforcementcount 1 &gt;&gt;C:\Users\stu\Documents\GitHub\eaglep3-reporting\EC\2016-10-16-refined-times.txt</v>
      </c>
      <c r="AI51" s="122" t="str">
        <f t="shared" ref="AI51" si="58"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{"issue":{"subject":"","project_id":79,"tracker_id":40,"status_id":1,"priority_id":2,"assigned_to_id":23,"start_date":"2016-10-16","description":"","custom_fields":[{"id":1,"name":"Subdivision","value":"EC"},{"id":4,"name":"Milepost","value":"23.3266"},{"id":17,"name":"Train ID","value":"139-16"},{"id":16,"name":"Locomotive ID","value":"4040"},{"id":130,"name":"Impact","value":""},{"id":150,"name":"Time of Event (Mountain Time)","value":"09:08:36"},{"id":151,"name":"Denver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</row>
    <row r="52" spans="1:91" s="1" customFormat="1" x14ac:dyDescent="0.25">
      <c r="A52" s="37" t="s">
        <v>413</v>
      </c>
      <c r="B52" s="7">
        <v>4039</v>
      </c>
      <c r="C52" s="22" t="s">
        <v>99</v>
      </c>
      <c r="D52" s="22" t="s">
        <v>299</v>
      </c>
      <c r="E52" s="13">
        <v>42659.388611111113</v>
      </c>
      <c r="F52" s="13">
        <v>42659.393541666665</v>
      </c>
      <c r="G52" s="7">
        <v>2</v>
      </c>
      <c r="H52" s="13" t="s">
        <v>177</v>
      </c>
      <c r="I52" s="13">
        <v>42659.423981481479</v>
      </c>
      <c r="J52" s="7">
        <v>1</v>
      </c>
      <c r="K52" s="112" t="str">
        <f t="shared" si="19"/>
        <v>4039/4040</v>
      </c>
      <c r="L52" s="22" t="str">
        <f>VLOOKUP(A52,'Trips&amp;Operators'!$C$1:$E$10000,3,FALSE)</f>
        <v>STRICKLAND</v>
      </c>
      <c r="M52" s="6">
        <f t="shared" si="20"/>
        <v>3.0439814814599231E-2</v>
      </c>
      <c r="N52" s="7">
        <f t="shared" si="21"/>
        <v>43.833333333022892</v>
      </c>
      <c r="O52" s="7"/>
      <c r="P52" s="7"/>
      <c r="Q52" s="23"/>
      <c r="R52" s="23"/>
      <c r="S52" s="35">
        <f t="shared" si="3"/>
        <v>1</v>
      </c>
      <c r="T52" s="50" t="str">
        <f t="shared" si="22"/>
        <v>Southbound</v>
      </c>
      <c r="U52" s="14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08:19:36-0600',mode:absolute,to:'2016-10-16 11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2" s="52" t="str">
        <f t="shared" si="24"/>
        <v>N</v>
      </c>
      <c r="X52" s="149">
        <f t="shared" si="51"/>
        <v>1</v>
      </c>
      <c r="Y52" s="67">
        <f t="shared" si="26"/>
        <v>23.297699999999999</v>
      </c>
      <c r="Z52" s="67">
        <f t="shared" si="27"/>
        <v>1.52E-2</v>
      </c>
      <c r="AA52" s="67">
        <f t="shared" si="28"/>
        <v>23.282499999999999</v>
      </c>
      <c r="AB52" s="64" t="str">
        <f>VLOOKUP(A52,Enforcements!$C$7:$K$21,8,0)</f>
        <v>Speed (6)</v>
      </c>
      <c r="AC52" s="60" t="str">
        <f>VLOOKUP(A52,Enforcements!$C$7:$E$21,3,0)</f>
        <v>PERMANENT SPEED RESTRICTION</v>
      </c>
      <c r="AD52" s="61" t="str">
        <f t="shared" si="29"/>
        <v>0140-16</v>
      </c>
      <c r="AE52" s="91" t="str">
        <f t="shared" si="30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52" s="88" t="str">
        <f t="shared" si="31"/>
        <v>"C:\Program Files (x86)\AstroGrep\AstroGrep.exe" /spath="%USERPROFILE%\AppData\Local\Temp\OnboardLogs" /stypes="app*4039*20161016*" /stext=" 16:.+((SYSTEM_STATE.+slice.+state.+changed )|(ment ac)|(system.+state.+changed )|(\[timeout)|(PRM\|1\|D)|(kpr)|(kdp)|(\|lc)|(penalty))" /e /r /s</v>
      </c>
      <c r="AG52" s="1" t="str">
        <f t="shared" si="32"/>
        <v>EC</v>
      </c>
      <c r="AH52" s="92" t="str">
        <f t="shared" si="17"/>
        <v>"%USERPROFILE%\Documents\GitHub\eaglep3\Utilities\RefineRTDCRunTimes.py" --tripid 140-16 --locoid 4039 --swversion DE.1.0.7.0 --startMP 204:232977 --initTime 2016-10-16T09:19:36 --startdatetime 2016-10-16T09:26:42 --delay 2 --endMP 204:152 --enddatetime 2016-10-16T10:10:32 --enforcementcount 1 &gt;&gt;C:\Users\stu\Documents\GitHub\eaglep3-reporting\EC\2016-10-16-refined-times.txt</v>
      </c>
      <c r="AI52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ID","value":"140-16"},{"id":16,"name":"Locomotive ID","value":"4039"},{"id":130,"name":"Impact","value":""},{"id":150,"name":"Time of Event (Mountain Time)","value":"10:10:32"},{"id":151,"name":"Denver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412</v>
      </c>
      <c r="B53" s="7">
        <v>4046</v>
      </c>
      <c r="C53" s="22" t="s">
        <v>99</v>
      </c>
      <c r="D53" s="22" t="s">
        <v>251</v>
      </c>
      <c r="E53" s="13">
        <v>42659.360694444447</v>
      </c>
      <c r="F53" s="13">
        <v>42659.36478009259</v>
      </c>
      <c r="G53" s="7">
        <v>1</v>
      </c>
      <c r="H53" s="13" t="s">
        <v>260</v>
      </c>
      <c r="I53" s="13">
        <v>42659.399178240739</v>
      </c>
      <c r="J53" s="7">
        <v>1</v>
      </c>
      <c r="K53" s="112" t="str">
        <f t="shared" si="19"/>
        <v>4045/4046</v>
      </c>
      <c r="L53" s="22" t="str">
        <f>VLOOKUP(A53,'Trips&amp;Operators'!$C$1:$E$10000,3,FALSE)</f>
        <v>KILLION</v>
      </c>
      <c r="M53" s="6">
        <f t="shared" si="20"/>
        <v>3.439814814919373E-2</v>
      </c>
      <c r="N53" s="7">
        <f t="shared" si="21"/>
        <v>49.533333334838971</v>
      </c>
      <c r="O53" s="7"/>
      <c r="P53" s="7"/>
      <c r="Q53" s="23"/>
      <c r="R53" s="23"/>
      <c r="S53" s="35">
        <f t="shared" si="3"/>
        <v>1</v>
      </c>
      <c r="T53" s="50" t="str">
        <f t="shared" si="22"/>
        <v>NorthBound</v>
      </c>
      <c r="U53" s="14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07:39:24-0600',mode:absolute,to:'2016-10-16 10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3" s="52" t="str">
        <f t="shared" si="24"/>
        <v>N</v>
      </c>
      <c r="X53" s="149">
        <f t="shared" si="25"/>
        <v>1</v>
      </c>
      <c r="Y53" s="67">
        <f t="shared" si="26"/>
        <v>4.6699999999999998E-2</v>
      </c>
      <c r="Z53" s="67">
        <f t="shared" si="27"/>
        <v>23.329499999999999</v>
      </c>
      <c r="AA53" s="67">
        <f t="shared" si="28"/>
        <v>23.282799999999998</v>
      </c>
      <c r="AB53" s="64" t="str">
        <f>VLOOKUP(A53,Enforcements!$C$7:$K$21,8,0)</f>
        <v>Signal based authority (5)</v>
      </c>
      <c r="AC53" s="60" t="str">
        <f>VLOOKUP(A53,Enforcements!$C$7:$E$21,3,0)</f>
        <v>SIGNAL</v>
      </c>
      <c r="AD53" s="61" t="str">
        <f t="shared" si="29"/>
        <v>0141-16</v>
      </c>
      <c r="AE53" s="91" t="str">
        <f t="shared" si="30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53" s="88" t="str">
        <f t="shared" si="31"/>
        <v>"C:\Program Files (x86)\AstroGrep\AstroGrep.exe" /spath="%USERPROFILE%\AppData\Local\Temp\OnboardLogs" /stypes="app*4046*20161016*" /stext=" 15:.+((SYSTEM_STATE.+slice.+state.+changed )|(ment ac)|(system.+state.+changed )|(\[timeout)|(PRM\|1\|D)|(kpr)|(kdp)|(\|lc)|(penalty))" /e /r /s</v>
      </c>
      <c r="AG53" s="1" t="str">
        <f t="shared" si="32"/>
        <v>EC</v>
      </c>
      <c r="AH53" s="92" t="str">
        <f t="shared" si="17"/>
        <v>"%USERPROFILE%\Documents\GitHub\eaglep3\Utilities\RefineRTDCRunTimes.py" --tripid 141-16 --locoid 4046 --swversion DE.1.0.7.0 --startMP 204:467 --initTime 2016-10-16T08:39:24 --startdatetime 2016-10-16T08:45:17 --delay 1 --endMP 204:233295 --enddatetime 2016-10-16T09:34:49 --enforcementcount 1 &gt;&gt;C:\Users\stu\Documents\GitHub\eaglep3-reporting\EC\2016-10-16-refined-times.txt</v>
      </c>
      <c r="AI53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{"issue":{"subject":"","project_id":79,"tracker_id":40,"status_id":1,"priority_id":2,"assigned_to_id":23,"start_date":"2016-10-16","description":"","custom_fields":[{"id":1,"name":"Subdivision","value":"EC"},{"id":4,"name":"Milepost","value":"23.3295"},{"id":17,"name":"Train ID","value":"141-16"},{"id":16,"name":"Locomotive ID","value":"4046"},{"id":130,"name":"Impact","value":""},{"id":150,"name":"Time of Event (Mountain Time)","value":"09:34:49"},{"id":151,"name":"Denver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483</v>
      </c>
      <c r="B54" s="7">
        <v>4045</v>
      </c>
      <c r="C54" s="22" t="s">
        <v>99</v>
      </c>
      <c r="D54" s="22" t="s">
        <v>253</v>
      </c>
      <c r="E54" s="13">
        <v>42659.401053240741</v>
      </c>
      <c r="F54" s="13">
        <v>42659.403680555559</v>
      </c>
      <c r="G54" s="7">
        <v>1</v>
      </c>
      <c r="H54" s="13" t="s">
        <v>241</v>
      </c>
      <c r="I54" s="13">
        <v>42659.430798611109</v>
      </c>
      <c r="J54" s="7">
        <v>1</v>
      </c>
      <c r="K54" s="112" t="str">
        <f t="shared" si="19"/>
        <v>4045/4046</v>
      </c>
      <c r="L54" s="22" t="str">
        <f>VLOOKUP(A54,'Trips&amp;Operators'!$C$1:$E$10000,3,FALSE)</f>
        <v>KILLION</v>
      </c>
      <c r="M54" s="6">
        <f t="shared" si="20"/>
        <v>2.7118055550090503E-2</v>
      </c>
      <c r="N54" s="7">
        <f t="shared" si="21"/>
        <v>39.049999992130324</v>
      </c>
      <c r="O54" s="7"/>
      <c r="P54" s="7"/>
      <c r="Q54" s="23"/>
      <c r="R54" s="23"/>
      <c r="S54" s="35">
        <f t="shared" ref="S54:S78" si="59">SUM(U54:U54)/IF(AG54="EC",12,1)</f>
        <v>1</v>
      </c>
      <c r="T54" s="50" t="str">
        <f t="shared" si="22"/>
        <v>Southbound</v>
      </c>
      <c r="U54" s="14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08:37:31-0600',mode:absolute,to:'2016-10-16 11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4" s="52" t="str">
        <f t="shared" si="24"/>
        <v>N</v>
      </c>
      <c r="X54" s="149">
        <f t="shared" si="25"/>
        <v>1</v>
      </c>
      <c r="Y54" s="67">
        <f t="shared" si="26"/>
        <v>23.297599999999999</v>
      </c>
      <c r="Z54" s="67">
        <f t="shared" si="27"/>
        <v>1.4999999999999999E-2</v>
      </c>
      <c r="AA54" s="67">
        <f t="shared" si="28"/>
        <v>23.282599999999999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29"/>
        <v>0142-16</v>
      </c>
      <c r="AE54" s="91" t="str">
        <f t="shared" si="30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54" s="88" t="str">
        <f t="shared" si="31"/>
        <v>"C:\Program Files (x86)\AstroGrep\AstroGrep.exe" /spath="%USERPROFILE%\AppData\Local\Temp\OnboardLogs" /stypes="app*4045*20161016*" /stext=" 16:.+((SYSTEM_STATE.+slice.+state.+changed )|(ment ac)|(system.+state.+changed )|(\[timeout)|(PRM\|1\|D)|(kpr)|(kdp)|(\|lc)|(penalty))" /e /r /s</v>
      </c>
      <c r="AG54" s="1" t="str">
        <f t="shared" si="32"/>
        <v>EC</v>
      </c>
      <c r="AH54" s="92" t="str">
        <f t="shared" si="17"/>
        <v>"%USERPROFILE%\Documents\GitHub\eaglep3\Utilities\RefineRTDCRunTimes.py" --tripid 142-16 --locoid 4045 --swversion DE.1.0.7.0 --startMP 204:232976 --initTime 2016-10-16T09:37:31 --startdatetime 2016-10-16T09:41:18 --delay 1 --endMP 204:150 --enddatetime 2016-10-16T10:20:21 --enforcementcount 1 &gt;&gt;C:\Users\stu\Documents\GitHub\eaglep3-reporting\EC\2016-10-16-refined-times.txt</v>
      </c>
      <c r="AI54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{"issue":{"subject":"","project_id":79,"tracker_id":40,"status_id":1,"priority_id":2,"assigned_to_id":23,"start_date":"2016-10-16","description":"","custom_fields":[{"id":1,"name":"Subdivision","value":"EC"},{"id":4,"name":"Milepost","value":"0.015"},{"id":17,"name":"Train ID","value":"142-16"},{"id":16,"name":"Locomotive ID","value":"4045"},{"id":130,"name":"Impact","value":""},{"id":150,"name":"Time of Event (Mountain Time)","value":"10:20:21"},{"id":151,"name":"Denver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477</v>
      </c>
      <c r="B55" s="7">
        <v>4029</v>
      </c>
      <c r="C55" s="22" t="s">
        <v>99</v>
      </c>
      <c r="D55" s="22" t="s">
        <v>256</v>
      </c>
      <c r="E55" s="13">
        <v>42659.369942129626</v>
      </c>
      <c r="F55" s="13">
        <v>42659.375439814816</v>
      </c>
      <c r="G55" s="7">
        <v>1</v>
      </c>
      <c r="H55" s="13" t="s">
        <v>197</v>
      </c>
      <c r="I55" s="13">
        <v>42659.402708333335</v>
      </c>
      <c r="J55" s="7">
        <v>1</v>
      </c>
      <c r="K55" s="112" t="str">
        <f t="shared" si="19"/>
        <v>4029/4030</v>
      </c>
      <c r="L55" s="22" t="str">
        <f>VLOOKUP(A55,'Trips&amp;Operators'!$C$1:$E$10000,3,FALSE)</f>
        <v>YORK</v>
      </c>
      <c r="M55" s="6">
        <f t="shared" si="20"/>
        <v>2.7268518519122154E-2</v>
      </c>
      <c r="N55" s="7">
        <f t="shared" si="21"/>
        <v>39.266666667535901</v>
      </c>
      <c r="O55" s="7"/>
      <c r="P55" s="7"/>
      <c r="Q55" s="23"/>
      <c r="R55" s="23"/>
      <c r="S55" s="35">
        <f t="shared" si="59"/>
        <v>1</v>
      </c>
      <c r="T55" s="50" t="str">
        <f t="shared" si="22"/>
        <v>NorthBound</v>
      </c>
      <c r="U55" s="14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07:52:43-0600',mode:absolute,to:'2016-10-16 10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5" s="52" t="str">
        <f t="shared" si="24"/>
        <v>N</v>
      </c>
      <c r="X55" s="149">
        <f t="shared" si="25"/>
        <v>1</v>
      </c>
      <c r="Y55" s="67">
        <f t="shared" si="26"/>
        <v>4.6199999999999998E-2</v>
      </c>
      <c r="Z55" s="67">
        <f t="shared" si="27"/>
        <v>23.329699999999999</v>
      </c>
      <c r="AA55" s="67">
        <f t="shared" si="28"/>
        <v>23.2835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29"/>
        <v>0143-16</v>
      </c>
      <c r="AE55" s="91" t="str">
        <f t="shared" si="30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55" s="88" t="str">
        <f t="shared" si="31"/>
        <v>"C:\Program Files (x86)\AstroGrep\AstroGrep.exe" /spath="%USERPROFILE%\AppData\Local\Temp\OnboardLogs" /stypes="app*4029*20161016*" /stext=" 15:.+((SYSTEM_STATE.+slice.+state.+changed )|(ment ac)|(system.+state.+changed )|(\[timeout)|(PRM\|1\|D)|(kpr)|(kdp)|(\|lc)|(penalty))" /e /r /s</v>
      </c>
      <c r="AG55" s="1" t="str">
        <f t="shared" si="32"/>
        <v>EC</v>
      </c>
      <c r="AH55" s="92" t="str">
        <f t="shared" si="17"/>
        <v>"%USERPROFILE%\Documents\GitHub\eaglep3\Utilities\RefineRTDCRunTimes.py" --tripid 143-16 --locoid 4029 --swversion DE.1.0.7.0 --startMP 204:462 --initTime 2016-10-16T08:52:43 --startdatetime 2016-10-16T09:00:38 --delay 1 --endMP 204:233297 --enddatetime 2016-10-16T09:39:54 --enforcementcount 1 &gt;&gt;C:\Users\stu\Documents\GitHub\eaglep3-reporting\EC\2016-10-16-refined-times.txt</v>
      </c>
      <c r="AI5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ID","value":"143-16"},{"id":16,"name":"Locomotive ID","value":"4029"},{"id":130,"name":"Impact","value":""},{"id":150,"name":"Time of Event (Mountain Time)","value":"09:39:54"},{"id":151,"name":"Denver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484</v>
      </c>
      <c r="B56" s="7">
        <v>4030</v>
      </c>
      <c r="C56" s="22" t="s">
        <v>99</v>
      </c>
      <c r="D56" s="22" t="s">
        <v>348</v>
      </c>
      <c r="E56" s="13">
        <v>42659.403622685182</v>
      </c>
      <c r="F56" s="13">
        <v>42659.414502314816</v>
      </c>
      <c r="G56" s="7">
        <v>0</v>
      </c>
      <c r="H56" s="13" t="s">
        <v>266</v>
      </c>
      <c r="I56" s="13">
        <v>42659.440486111111</v>
      </c>
      <c r="J56" s="7">
        <v>1</v>
      </c>
      <c r="K56" s="112" t="str">
        <f t="shared" si="19"/>
        <v>4029/4030</v>
      </c>
      <c r="L56" s="22" t="str">
        <f>VLOOKUP(A56,'Trips&amp;Operators'!$C$1:$E$10000,3,FALSE)</f>
        <v>YORK</v>
      </c>
      <c r="M56" s="6">
        <f t="shared" si="20"/>
        <v>2.5983796294895001E-2</v>
      </c>
      <c r="N56" s="7">
        <f t="shared" si="21"/>
        <v>37.416666664648801</v>
      </c>
      <c r="O56" s="7"/>
      <c r="P56" s="7"/>
      <c r="Q56" s="23"/>
      <c r="R56" s="23"/>
      <c r="S56" s="35">
        <f t="shared" si="59"/>
        <v>1</v>
      </c>
      <c r="T56" s="50" t="str">
        <f t="shared" si="22"/>
        <v>Southbound</v>
      </c>
      <c r="U56" s="14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08:41:13-0600',mode:absolute,to:'2016-10-16 11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6" s="52" t="str">
        <f t="shared" si="24"/>
        <v>N</v>
      </c>
      <c r="X56" s="149">
        <f t="shared" si="25"/>
        <v>1</v>
      </c>
      <c r="Y56" s="67">
        <f t="shared" si="26"/>
        <v>23.296500000000002</v>
      </c>
      <c r="Z56" s="67">
        <f t="shared" si="27"/>
        <v>1.6E-2</v>
      </c>
      <c r="AA56" s="67">
        <f t="shared" si="28"/>
        <v>23.280500000000004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29"/>
        <v>0144-16</v>
      </c>
      <c r="AE56" s="91" t="str">
        <f t="shared" si="30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56" s="88" t="str">
        <f t="shared" si="31"/>
        <v>"C:\Program Files (x86)\AstroGrep\AstroGrep.exe" /spath="%USERPROFILE%\AppData\Local\Temp\OnboardLogs" /stypes="app*4030*20161016*" /stext=" 16:.+((SYSTEM_STATE.+slice.+state.+changed )|(ment ac)|(system.+state.+changed )|(\[timeout)|(PRM\|1\|D)|(kpr)|(kdp)|(\|lc)|(penalty))" /e /r /s</v>
      </c>
      <c r="AG56" s="1" t="str">
        <f t="shared" si="32"/>
        <v>EC</v>
      </c>
      <c r="AH56" s="92" t="str">
        <f t="shared" si="17"/>
        <v>"%USERPROFILE%\Documents\GitHub\eaglep3\Utilities\RefineRTDCRunTimes.py" --tripid 144-16 --locoid 4030 --swversion DE.1.0.7.0 --startMP 204:232965 --initTime 2016-10-16T09:41:13 --startdatetime 2016-10-16T09:56:53 --delay 0 --endMP 204:160 --enddatetime 2016-10-16T10:34:18 --enforcementcount 1 &gt;&gt;C:\Users\stu\Documents\GitHub\eaglep3-reporting\EC\2016-10-16-refined-times.txt</v>
      </c>
      <c r="AI56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{"issue":{"subject":"","project_id":79,"tracker_id":40,"status_id":1,"priority_id":2,"assigned_to_id":23,"start_date":"2016-10-16","description":"","custom_fields":[{"id":1,"name":"Subdivision","value":"EC"},{"id":4,"name":"Milepost","value":"0.016"},{"id":17,"name":"Train ID","value":"144-16"},{"id":16,"name":"Locomotive ID","value":"4030"},{"id":130,"name":"Impact","value":""},{"id":150,"name":"Time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480</v>
      </c>
      <c r="B57" s="7">
        <v>4031</v>
      </c>
      <c r="C57" s="22" t="s">
        <v>99</v>
      </c>
      <c r="D57" s="22" t="s">
        <v>630</v>
      </c>
      <c r="E57" s="13">
        <v>42659.381805555553</v>
      </c>
      <c r="F57" s="13">
        <v>42659.385636574072</v>
      </c>
      <c r="G57" s="7">
        <v>1</v>
      </c>
      <c r="H57" s="13" t="s">
        <v>269</v>
      </c>
      <c r="I57" s="13">
        <v>42659.411620370367</v>
      </c>
      <c r="J57" s="7">
        <v>1</v>
      </c>
      <c r="K57" s="112" t="str">
        <f t="shared" si="19"/>
        <v>4031/4032</v>
      </c>
      <c r="L57" s="22" t="str">
        <f>VLOOKUP(A57,'Trips&amp;Operators'!$C$1:$E$10000,3,FALSE)</f>
        <v>ACKERMAN</v>
      </c>
      <c r="M57" s="6">
        <f t="shared" si="20"/>
        <v>2.5983796294895001E-2</v>
      </c>
      <c r="N57" s="7">
        <f t="shared" si="21"/>
        <v>37.416666664648801</v>
      </c>
      <c r="O57" s="7"/>
      <c r="P57" s="7"/>
      <c r="Q57" s="23"/>
      <c r="R57" s="23"/>
      <c r="S57" s="35">
        <f t="shared" si="59"/>
        <v>1</v>
      </c>
      <c r="T57" s="50" t="str">
        <f t="shared" si="22"/>
        <v>NorthBound</v>
      </c>
      <c r="U57" s="14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08:09:48-0600',mode:absolute,to:'2016-10-16 10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24"/>
        <v>N</v>
      </c>
      <c r="X57" s="149">
        <f t="shared" si="25"/>
        <v>1</v>
      </c>
      <c r="Y57" s="67">
        <f t="shared" si="26"/>
        <v>4.7699999999999999E-2</v>
      </c>
      <c r="Z57" s="67">
        <f t="shared" si="27"/>
        <v>23.3306</v>
      </c>
      <c r="AA57" s="67">
        <f t="shared" si="28"/>
        <v>23.282900000000001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29"/>
        <v>0145-16</v>
      </c>
      <c r="AE57" s="91" t="str">
        <f t="shared" si="30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57" s="88" t="str">
        <f t="shared" si="31"/>
        <v>"C:\Program Files (x86)\AstroGrep\AstroGrep.exe" /spath="%USERPROFILE%\AppData\Local\Temp\OnboardLogs" /stypes="app*4031*20161016*" /stext=" 15:.+((SYSTEM_STATE.+slice.+state.+changed )|(ment ac)|(system.+state.+changed )|(\[timeout)|(PRM\|1\|D)|(kpr)|(kdp)|(\|lc)|(penalty))" /e /r /s</v>
      </c>
      <c r="AG57" s="1" t="str">
        <f t="shared" si="32"/>
        <v>EC</v>
      </c>
      <c r="AH57" s="92" t="str">
        <f t="shared" si="17"/>
        <v>"%USERPROFILE%\Documents\GitHub\eaglep3\Utilities\RefineRTDCRunTimes.py" --tripid 145-16 --locoid 4031 --swversion DE.1.0.7.0 --startMP 204:477 --initTime 2016-10-16T09:09:48 --startdatetime 2016-10-16T09:15:19 --delay 1 --endMP 204:233306 --enddatetime 2016-10-16T09:52:44 --enforcementcount 1 &gt;&gt;C:\Users\stu\Documents\GitHub\eaglep3-reporting\EC\2016-10-16-refined-times.txt</v>
      </c>
      <c r="AI5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{"issue":{"subject":"","project_id":79,"tracker_id":40,"status_id":1,"priority_id":2,"assigned_to_id":23,"start_date":"2016-10-16","description":"","custom_fields":[{"id":1,"name":"Subdivision","value":"EC"},{"id":4,"name":"Milepost","value":"23.3306"},{"id":17,"name":"Train ID","value":"145-16"},{"id":16,"name":"Locomotive ID","value":"4031"},{"id":130,"name":"Impact","value":""},{"id":150,"name":"Time of Event (Mountain Time)","value":"09:52:44"},{"id":151,"name":"Denver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488</v>
      </c>
      <c r="B58" s="7">
        <v>4032</v>
      </c>
      <c r="C58" s="22" t="s">
        <v>99</v>
      </c>
      <c r="D58" s="22" t="s">
        <v>303</v>
      </c>
      <c r="E58" s="13">
        <v>42659.418854166666</v>
      </c>
      <c r="F58" s="13">
        <v>42659.42454861111</v>
      </c>
      <c r="G58" s="7">
        <v>1</v>
      </c>
      <c r="H58" s="13" t="s">
        <v>241</v>
      </c>
      <c r="I58" s="13">
        <v>42659.451273148145</v>
      </c>
      <c r="J58" s="7">
        <v>1</v>
      </c>
      <c r="K58" s="112" t="str">
        <f t="shared" si="19"/>
        <v>4031/4032</v>
      </c>
      <c r="L58" s="22" t="str">
        <f>VLOOKUP(A58,'Trips&amp;Operators'!$C$1:$E$10000,3,FALSE)</f>
        <v>ACKERMAN</v>
      </c>
      <c r="M58" s="6">
        <f t="shared" si="20"/>
        <v>2.6724537034169771E-2</v>
      </c>
      <c r="N58" s="7">
        <f t="shared" si="21"/>
        <v>38.48333332920447</v>
      </c>
      <c r="O58" s="7"/>
      <c r="P58" s="7"/>
      <c r="Q58" s="23"/>
      <c r="R58" s="23"/>
      <c r="S58" s="35">
        <f t="shared" si="59"/>
        <v>1</v>
      </c>
      <c r="T58" s="50" t="str">
        <f t="shared" si="22"/>
        <v>Southbound</v>
      </c>
      <c r="U58" s="14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09:03:09-0600',mode:absolute,to:'2016-10-16 11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24"/>
        <v>N</v>
      </c>
      <c r="X58" s="149">
        <f t="shared" si="25"/>
        <v>1</v>
      </c>
      <c r="Y58" s="67">
        <f t="shared" si="26"/>
        <v>23.299399999999999</v>
      </c>
      <c r="Z58" s="67">
        <f t="shared" si="27"/>
        <v>1.4999999999999999E-2</v>
      </c>
      <c r="AA58" s="67">
        <f t="shared" si="28"/>
        <v>23.284399999999998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29"/>
        <v>0146-16</v>
      </c>
      <c r="AE58" s="91" t="str">
        <f t="shared" si="30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58" s="88" t="str">
        <f t="shared" si="31"/>
        <v>"C:\Program Files (x86)\AstroGrep\AstroGrep.exe" /spath="%USERPROFILE%\AppData\Local\Temp\OnboardLogs" /stypes="app*4032*20161016*" /stext=" 16:.+((SYSTEM_STATE.+slice.+state.+changed )|(ment ac)|(system.+state.+changed )|(\[timeout)|(PRM\|1\|D)|(kpr)|(kdp)|(\|lc)|(penalty))" /e /r /s</v>
      </c>
      <c r="AG58" s="1" t="str">
        <f t="shared" si="32"/>
        <v>EC</v>
      </c>
      <c r="AH58" s="92" t="str">
        <f t="shared" si="17"/>
        <v>"%USERPROFILE%\Documents\GitHub\eaglep3\Utilities\RefineRTDCRunTimes.py" --tripid 146-16 --locoid 4032 --swversion DE.1.0.7.0 --startMP 204:232994 --initTime 2016-10-16T10:03:09 --startdatetime 2016-10-16T10:11:21 --delay 1 --endMP 204:150 --enddatetime 2016-10-16T10:49:50 --enforcementcount 1 &gt;&gt;C:\Users\stu\Documents\GitHub\eaglep3-reporting\EC\2016-10-16-refined-times.txt</v>
      </c>
      <c r="AI5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{"issue":{"subject":"","project_id":79,"tracker_id":40,"status_id":1,"priority_id":2,"assigned_to_id":23,"start_date":"2016-10-16","description":"","custom_fields":[{"id":1,"name":"Subdivision","value":"EC"},{"id":4,"name":"Milepost","value":"0.015"},{"id":17,"name":"Train ID","value":"146-16"},{"id":16,"name":"Locomotive ID","value":"4032"},{"id":130,"name":"Impact","value":""},{"id":150,"name":"Time of Event (Mountain Time)","value":"10:49:50"},{"id":151,"name":"Denver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481</v>
      </c>
      <c r="B59" s="7">
        <v>4027</v>
      </c>
      <c r="C59" s="22" t="s">
        <v>99</v>
      </c>
      <c r="D59" s="22" t="s">
        <v>268</v>
      </c>
      <c r="E59" s="13">
        <v>42659.390856481485</v>
      </c>
      <c r="F59" s="13">
        <v>42659.396412037036</v>
      </c>
      <c r="G59" s="7">
        <v>1</v>
      </c>
      <c r="H59" s="13" t="s">
        <v>353</v>
      </c>
      <c r="I59" s="13">
        <v>42659.422326388885</v>
      </c>
      <c r="J59" s="7">
        <v>1</v>
      </c>
      <c r="K59" s="112" t="str">
        <f t="shared" si="19"/>
        <v>4027/4028</v>
      </c>
      <c r="L59" s="22" t="str">
        <f>VLOOKUP(A59,'Trips&amp;Operators'!$C$1:$E$10000,3,FALSE)</f>
        <v>MAELZER</v>
      </c>
      <c r="M59" s="6">
        <f t="shared" si="20"/>
        <v>2.5914351848769002E-2</v>
      </c>
      <c r="N59" s="7">
        <f t="shared" si="21"/>
        <v>37.316666662227362</v>
      </c>
      <c r="O59" s="7"/>
      <c r="P59" s="7"/>
      <c r="Q59" s="23"/>
      <c r="R59" s="23"/>
      <c r="S59" s="35">
        <f t="shared" si="59"/>
        <v>1</v>
      </c>
      <c r="T59" s="50" t="str">
        <f t="shared" si="22"/>
        <v>NorthBound</v>
      </c>
      <c r="U59" s="14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08:22:50-0600',mode:absolute,to:'2016-10-16 11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9" s="52" t="str">
        <f t="shared" si="24"/>
        <v>N</v>
      </c>
      <c r="X59" s="149">
        <f t="shared" si="25"/>
        <v>1</v>
      </c>
      <c r="Y59" s="67">
        <f t="shared" si="26"/>
        <v>4.5999999999999999E-2</v>
      </c>
      <c r="Z59" s="67">
        <f t="shared" si="27"/>
        <v>23.330500000000001</v>
      </c>
      <c r="AA59" s="67">
        <f t="shared" si="28"/>
        <v>23.284500000000001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29"/>
        <v>0147-16</v>
      </c>
      <c r="AE59" s="91" t="str">
        <f t="shared" si="30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59" s="88" t="str">
        <f t="shared" si="31"/>
        <v>"C:\Program Files (x86)\AstroGrep\AstroGrep.exe" /spath="%USERPROFILE%\AppData\Local\Temp\OnboardLogs" /stypes="app*4027*20161016*" /stext=" 16:.+((SYSTEM_STATE.+slice.+state.+changed )|(ment ac)|(system.+state.+changed )|(\[timeout)|(PRM\|1\|D)|(kpr)|(kdp)|(\|lc)|(penalty))" /e /r /s</v>
      </c>
      <c r="AG59" s="1" t="str">
        <f t="shared" si="32"/>
        <v>EC</v>
      </c>
      <c r="AH59" s="92" t="str">
        <f t="shared" si="17"/>
        <v>"%USERPROFILE%\Documents\GitHub\eaglep3\Utilities\RefineRTDCRunTimes.py" --tripid 147-16 --locoid 4027 --swversion DE.1.0.7.0 --startMP 204:460 --initTime 2016-10-16T09:22:50 --startdatetime 2016-10-16T09:30:50 --delay 1 --endMP 204:233305 --enddatetime 2016-10-16T10:08:09 --enforcementcount 1 &gt;&gt;C:\Users\stu\Documents\GitHub\eaglep3-reporting\EC\2016-10-16-refined-times.txt</v>
      </c>
      <c r="AI5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{"issue":{"subject":"","project_id":79,"tracker_id":40,"status_id":1,"priority_id":2,"assigned_to_id":23,"start_date":"2016-10-16","description":"","custom_fields":[{"id":1,"name":"Subdivision","value":"EC"},{"id":4,"name":"Milepost","value":"23.3305"},{"id":17,"name":"Train ID","value":"147-16"},{"id":16,"name":"Locomotive ID","value":"4027"},{"id":130,"name":"Impact","value":""},{"id":150,"name":"Time of Event (Mountain Time)","value":"10:08:09"},{"id":151,"name":"Denver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489</v>
      </c>
      <c r="B60" s="7">
        <v>4028</v>
      </c>
      <c r="C60" s="22" t="s">
        <v>99</v>
      </c>
      <c r="D60" s="22" t="s">
        <v>262</v>
      </c>
      <c r="E60" s="13">
        <v>42659.427662037036</v>
      </c>
      <c r="F60" s="13">
        <v>42659.435011574074</v>
      </c>
      <c r="G60" s="7">
        <v>0</v>
      </c>
      <c r="H60" s="13" t="s">
        <v>182</v>
      </c>
      <c r="I60" s="13">
        <v>42659.462002314816</v>
      </c>
      <c r="J60" s="7">
        <v>1</v>
      </c>
      <c r="K60" s="112" t="str">
        <f t="shared" si="19"/>
        <v>4027/4028</v>
      </c>
      <c r="L60" s="22" t="str">
        <f>VLOOKUP(A60,'Trips&amp;Operators'!$C$1:$E$10000,3,FALSE)</f>
        <v>MAELZER</v>
      </c>
      <c r="M60" s="6">
        <f t="shared" si="20"/>
        <v>2.6990740741894115E-2</v>
      </c>
      <c r="N60" s="7">
        <f t="shared" si="21"/>
        <v>38.866666668327525</v>
      </c>
      <c r="O60" s="7"/>
      <c r="P60" s="7"/>
      <c r="Q60" s="23"/>
      <c r="R60" s="23"/>
      <c r="S60" s="35">
        <f t="shared" si="59"/>
        <v>1</v>
      </c>
      <c r="T60" s="50" t="str">
        <f t="shared" si="22"/>
        <v>Southbound</v>
      </c>
      <c r="U60" s="14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09:15:50-0600',mode:absolute,to:'2016-10-16 12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0" s="52" t="str">
        <f t="shared" si="24"/>
        <v>N</v>
      </c>
      <c r="X60" s="149">
        <f t="shared" si="25"/>
        <v>1</v>
      </c>
      <c r="Y60" s="67">
        <f t="shared" si="26"/>
        <v>23.299600000000002</v>
      </c>
      <c r="Z60" s="67">
        <f t="shared" si="27"/>
        <v>1.41E-2</v>
      </c>
      <c r="AA60" s="67">
        <f t="shared" si="28"/>
        <v>23.285500000000003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29"/>
        <v>0148-16</v>
      </c>
      <c r="AE60" s="91" t="str">
        <f t="shared" si="30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60" s="88" t="str">
        <f t="shared" si="31"/>
        <v>"C:\Program Files (x86)\AstroGrep\AstroGrep.exe" /spath="%USERPROFILE%\AppData\Local\Temp\OnboardLogs" /stypes="app*4028*20161016*" /stext=" 17:.+((SYSTEM_STATE.+slice.+state.+changed )|(ment ac)|(system.+state.+changed )|(\[timeout)|(PRM\|1\|D)|(kpr)|(kdp)|(\|lc)|(penalty))" /e /r /s</v>
      </c>
      <c r="AG60" s="1" t="str">
        <f t="shared" si="32"/>
        <v>EC</v>
      </c>
      <c r="AH60" s="92" t="str">
        <f t="shared" si="17"/>
        <v>"%USERPROFILE%\Documents\GitHub\eaglep3\Utilities\RefineRTDCRunTimes.py" --tripid 148-16 --locoid 4028 --swversion DE.1.0.7.0 --startMP 204:232996 --initTime 2016-10-16T10:15:50 --startdatetime 2016-10-16T10:26:25 --delay 0 --endMP 204:141 --enddatetime 2016-10-16T11:05:17 --enforcementcount 1 &gt;&gt;C:\Users\stu\Documents\GitHub\eaglep3-reporting\EC\2016-10-16-refined-times.txt</v>
      </c>
      <c r="AI60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{"issue":{"subject":"","project_id":79,"tracker_id":40,"status_id":1,"priority_id":2,"assigned_to_id":23,"start_date":"2016-10-16","description":"","custom_fields":[{"id":1,"name":"Subdivision","value":"EC"},{"id":4,"name":"Milepost","value":"0.0141"},{"id":17,"name":"Train ID","value":"148-16"},{"id":16,"name":"Locomotive ID","value":"4028"},{"id":130,"name":"Impact","value":""},{"id":150,"name":"Time of Event (Mountain Time)","value":"11:05:17"},{"id":151,"name":"Denver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485</v>
      </c>
      <c r="B61" s="7">
        <v>4042</v>
      </c>
      <c r="C61" s="22" t="s">
        <v>99</v>
      </c>
      <c r="D61" s="22" t="s">
        <v>268</v>
      </c>
      <c r="E61" s="13">
        <v>42659.403645833336</v>
      </c>
      <c r="F61" s="13">
        <v>42659.406678240739</v>
      </c>
      <c r="G61" s="7">
        <v>1</v>
      </c>
      <c r="H61" s="13" t="s">
        <v>619</v>
      </c>
      <c r="I61" s="13">
        <v>42659.43105324074</v>
      </c>
      <c r="J61" s="7">
        <v>1</v>
      </c>
      <c r="K61" s="112" t="str">
        <f t="shared" si="19"/>
        <v>4041/4042</v>
      </c>
      <c r="L61" s="22" t="str">
        <f>VLOOKUP(A61,'Trips&amp;Operators'!$C$1:$E$10000,3,FALSE)</f>
        <v>DE LA ROSA</v>
      </c>
      <c r="M61" s="6">
        <f t="shared" si="20"/>
        <v>2.4375000000873115E-2</v>
      </c>
      <c r="N61" s="7">
        <f t="shared" si="21"/>
        <v>35.100000001257285</v>
      </c>
      <c r="O61" s="7"/>
      <c r="P61" s="7"/>
      <c r="Q61" s="23"/>
      <c r="R61" s="23"/>
      <c r="S61" s="35">
        <f t="shared" si="59"/>
        <v>1</v>
      </c>
      <c r="T61" s="50" t="str">
        <f t="shared" si="22"/>
        <v>NorthBound</v>
      </c>
      <c r="U61" s="14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08:41:15-0600',mode:absolute,to:'2016-10-16 11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24"/>
        <v>N</v>
      </c>
      <c r="X61" s="149">
        <f t="shared" si="25"/>
        <v>1</v>
      </c>
      <c r="Y61" s="67">
        <f t="shared" si="26"/>
        <v>4.5999999999999999E-2</v>
      </c>
      <c r="Z61" s="67">
        <f t="shared" si="27"/>
        <v>23.331700000000001</v>
      </c>
      <c r="AA61" s="67">
        <f t="shared" si="28"/>
        <v>23.285700000000002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29"/>
        <v>0149-16</v>
      </c>
      <c r="AE61" s="91" t="str">
        <f t="shared" si="30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61" s="88" t="str">
        <f t="shared" si="31"/>
        <v>"C:\Program Files (x86)\AstroGrep\AstroGrep.exe" /spath="%USERPROFILE%\AppData\Local\Temp\OnboardLogs" /stypes="app*4042*20161016*" /stext=" 16:.+((SYSTEM_STATE.+slice.+state.+changed )|(ment ac)|(system.+state.+changed )|(\[timeout)|(PRM\|1\|D)|(kpr)|(kdp)|(\|lc)|(penalty))" /e /r /s</v>
      </c>
      <c r="AG61" s="1" t="str">
        <f t="shared" si="32"/>
        <v>EC</v>
      </c>
      <c r="AH61" s="92" t="str">
        <f t="shared" si="17"/>
        <v>"%USERPROFILE%\Documents\GitHub\eaglep3\Utilities\RefineRTDCRunTimes.py" --tripid 149-16 --locoid 4042 --swversion DE.1.0.7.0 --startMP 204:460 --initTime 2016-10-16T09:41:15 --startdatetime 2016-10-16T09:45:37 --delay 1 --endMP 204:233317 --enddatetime 2016-10-16T10:20:43 --enforcementcount 1 &gt;&gt;C:\Users\stu\Documents\GitHub\eaglep3-reporting\EC\2016-10-16-refined-times.txt</v>
      </c>
      <c r="AI61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{"issue":{"subject":"","project_id":79,"tracker_id":40,"status_id":1,"priority_id":2,"assigned_to_id":23,"start_date":"2016-10-16","description":"","custom_fields":[{"id":1,"name":"Subdivision","value":"EC"},{"id":4,"name":"Milepost","value":"23.3317"},{"id":17,"name":"Train ID","value":"149-16"},{"id":16,"name":"Locomotive ID","value":"4042"},{"id":130,"name":"Impact","value":""},{"id":150,"name":"Time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492</v>
      </c>
      <c r="B62" s="7">
        <v>4041</v>
      </c>
      <c r="C62" s="22" t="s">
        <v>99</v>
      </c>
      <c r="D62" s="22" t="s">
        <v>311</v>
      </c>
      <c r="E62" s="13">
        <v>42659.439502314817</v>
      </c>
      <c r="F62" s="13">
        <v>42659.445324074077</v>
      </c>
      <c r="G62" s="7">
        <v>1</v>
      </c>
      <c r="H62" s="13" t="s">
        <v>177</v>
      </c>
      <c r="I62" s="13">
        <v>42659.472997685189</v>
      </c>
      <c r="J62" s="7">
        <v>1</v>
      </c>
      <c r="K62" s="112" t="str">
        <f t="shared" si="19"/>
        <v>4041/4042</v>
      </c>
      <c r="L62" s="22" t="str">
        <f>VLOOKUP(A62,'Trips&amp;Operators'!$C$1:$E$10000,3,FALSE)</f>
        <v>DE LA ROSA</v>
      </c>
      <c r="M62" s="6">
        <f t="shared" si="20"/>
        <v>2.7673611111822538E-2</v>
      </c>
      <c r="N62" s="7">
        <f t="shared" si="21"/>
        <v>39.850000001024455</v>
      </c>
      <c r="O62" s="7"/>
      <c r="P62" s="7"/>
      <c r="Q62" s="23"/>
      <c r="R62" s="23"/>
      <c r="S62" s="35">
        <f t="shared" si="59"/>
        <v>1</v>
      </c>
      <c r="T62" s="50" t="str">
        <f t="shared" si="22"/>
        <v>Southbound</v>
      </c>
      <c r="U62" s="14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09:32:53-0600',mode:absolute,to:'2016-10-16 12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24"/>
        <v>N</v>
      </c>
      <c r="X62" s="149">
        <f t="shared" si="25"/>
        <v>1</v>
      </c>
      <c r="Y62" s="67">
        <f t="shared" si="26"/>
        <v>23.299099999999999</v>
      </c>
      <c r="Z62" s="67">
        <f t="shared" si="27"/>
        <v>1.52E-2</v>
      </c>
      <c r="AA62" s="67">
        <f t="shared" si="28"/>
        <v>23.283899999999999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29"/>
        <v>0150-16</v>
      </c>
      <c r="AE62" s="91" t="str">
        <f t="shared" si="30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62" s="88" t="str">
        <f t="shared" si="31"/>
        <v>"C:\Program Files (x86)\AstroGrep\AstroGrep.exe" /spath="%USERPROFILE%\AppData\Local\Temp\OnboardLogs" /stypes="app*4041*20161016*" /stext=" 17:.+((SYSTEM_STATE.+slice.+state.+changed )|(ment ac)|(system.+state.+changed )|(\[timeout)|(PRM\|1\|D)|(kpr)|(kdp)|(\|lc)|(penalty))" /e /r /s</v>
      </c>
      <c r="AG62" s="1" t="str">
        <f t="shared" si="32"/>
        <v>EC</v>
      </c>
      <c r="AH62" s="92" t="str">
        <f t="shared" si="17"/>
        <v>"%USERPROFILE%\Documents\GitHub\eaglep3\Utilities\RefineRTDCRunTimes.py" --tripid 150-16 --locoid 4041 --swversion DE.1.0.7.0 --startMP 204:232991 --initTime 2016-10-16T10:32:53 --startdatetime 2016-10-16T10:41:16 --delay 1 --endMP 204:152 --enddatetime 2016-10-16T11:21:07 --enforcementcount 1 &gt;&gt;C:\Users\stu\Documents\GitHub\eaglep3-reporting\EC\2016-10-16-refined-times.txt</v>
      </c>
      <c r="AI62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ID","value":"150-16"},{"id":16,"name":"Locomotive ID","value":"4041"},{"id":130,"name":"Impact","value":""},{"id":150,"name":"Time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487</v>
      </c>
      <c r="B63" s="7">
        <v>4018</v>
      </c>
      <c r="C63" s="22" t="s">
        <v>99</v>
      </c>
      <c r="D63" s="22" t="s">
        <v>275</v>
      </c>
      <c r="E63" s="13">
        <v>42659.416562500002</v>
      </c>
      <c r="F63" s="13">
        <v>42659.417627314811</v>
      </c>
      <c r="G63" s="7">
        <v>1</v>
      </c>
      <c r="H63" s="13" t="s">
        <v>631</v>
      </c>
      <c r="I63" s="13">
        <v>42659.442604166667</v>
      </c>
      <c r="J63" s="7">
        <v>1</v>
      </c>
      <c r="K63" s="112" t="str">
        <f t="shared" si="19"/>
        <v>4017/4018</v>
      </c>
      <c r="L63" s="22" t="str">
        <f>VLOOKUP(A63,'Trips&amp;Operators'!$C$1:$E$10000,3,FALSE)</f>
        <v>MALAVE</v>
      </c>
      <c r="M63" s="6">
        <f t="shared" si="20"/>
        <v>2.4976851855171844E-2</v>
      </c>
      <c r="N63" s="7">
        <f t="shared" si="21"/>
        <v>35.966666671447456</v>
      </c>
      <c r="O63" s="7"/>
      <c r="P63" s="7"/>
      <c r="Q63" s="23"/>
      <c r="R63" s="23"/>
      <c r="S63" s="35">
        <f t="shared" si="59"/>
        <v>1</v>
      </c>
      <c r="T63" s="50" t="str">
        <f t="shared" si="22"/>
        <v>NorthBound</v>
      </c>
      <c r="U63" s="14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08:59:51-0600',mode:absolute,to:'2016-10-16 11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3" s="52" t="str">
        <f t="shared" si="24"/>
        <v>N</v>
      </c>
      <c r="X63" s="149">
        <f t="shared" si="25"/>
        <v>1</v>
      </c>
      <c r="Y63" s="67">
        <f t="shared" si="26"/>
        <v>4.5100000000000001E-2</v>
      </c>
      <c r="Z63" s="67">
        <f t="shared" si="27"/>
        <v>23.3278</v>
      </c>
      <c r="AA63" s="67">
        <f t="shared" si="28"/>
        <v>23.282699999999998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29"/>
        <v>0151-16</v>
      </c>
      <c r="AE63" s="91" t="str">
        <f t="shared" si="30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63" s="88" t="str">
        <f t="shared" si="31"/>
        <v>"C:\Program Files (x86)\AstroGrep\AstroGrep.exe" /spath="%USERPROFILE%\AppData\Local\Temp\OnboardLogs" /stypes="app*4018*20161016*" /stext=" 16:.+((SYSTEM_STATE.+slice.+state.+changed )|(ment ac)|(system.+state.+changed )|(\[timeout)|(PRM\|1\|D)|(kpr)|(kdp)|(\|lc)|(penalty))" /e /r /s</v>
      </c>
      <c r="AG63" s="1" t="str">
        <f t="shared" si="32"/>
        <v>EC</v>
      </c>
      <c r="AH63" s="92" t="str">
        <f t="shared" si="17"/>
        <v>"%USERPROFILE%\Documents\GitHub\eaglep3\Utilities\RefineRTDCRunTimes.py" --tripid 151-16 --locoid 4018 --swversion DE.1.0.7.0 --startMP 204:451 --initTime 2016-10-16T09:59:51 --startdatetime 2016-10-16T10:01:23 --delay 1 --endMP 204:233278 --enddatetime 2016-10-16T10:37:21 --enforcementcount 1 &gt;&gt;C:\Users\stu\Documents\GitHub\eaglep3-reporting\EC\2016-10-16-refined-times.txt</v>
      </c>
      <c r="AI63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{"issue":{"subject":"","project_id":79,"tracker_id":40,"status_id":1,"priority_id":2,"assigned_to_id":23,"start_date":"2016-10-16","description":"","custom_fields":[{"id":1,"name":"Subdivision","value":"EC"},{"id":4,"name":"Milepost","value":"23.3278"},{"id":17,"name":"Train ID","value":"151-16"},{"id":16,"name":"Locomotive ID","value":"4018"},{"id":130,"name":"Impact","value":""},{"id":150,"name":"Time of Event (Mountain Time)","value":"10:37:21"},{"id":151,"name":"Denver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495</v>
      </c>
      <c r="B64" s="7">
        <v>4017</v>
      </c>
      <c r="C64" s="22" t="s">
        <v>99</v>
      </c>
      <c r="D64" s="22" t="s">
        <v>347</v>
      </c>
      <c r="E64" s="13">
        <v>42659.454062500001</v>
      </c>
      <c r="F64" s="13">
        <v>42659.455752314818</v>
      </c>
      <c r="G64" s="7">
        <v>0</v>
      </c>
      <c r="H64" s="13" t="s">
        <v>241</v>
      </c>
      <c r="I64" s="13">
        <v>42659.482557870368</v>
      </c>
      <c r="J64" s="7">
        <v>1</v>
      </c>
      <c r="K64" s="112" t="str">
        <f t="shared" si="19"/>
        <v>4017/4018</v>
      </c>
      <c r="L64" s="22" t="str">
        <f>VLOOKUP(A64,'Trips&amp;Operators'!$C$1:$E$10000,3,FALSE)</f>
        <v>MALAVE</v>
      </c>
      <c r="M64" s="6">
        <f t="shared" si="20"/>
        <v>2.6805555549799465E-2</v>
      </c>
      <c r="N64" s="7">
        <f t="shared" si="21"/>
        <v>38.599999991711229</v>
      </c>
      <c r="O64" s="7"/>
      <c r="P64" s="7"/>
      <c r="Q64" s="23"/>
      <c r="R64" s="23"/>
      <c r="S64" s="35">
        <f t="shared" si="59"/>
        <v>1</v>
      </c>
      <c r="T64" s="50" t="str">
        <f t="shared" si="22"/>
        <v>Southbound</v>
      </c>
      <c r="U64" s="14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09:53:51-0600',mode:absolute,to:'2016-10-16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4" s="52" t="str">
        <f t="shared" si="24"/>
        <v>N</v>
      </c>
      <c r="X64" s="149">
        <f t="shared" si="25"/>
        <v>1</v>
      </c>
      <c r="Y64" s="67">
        <f t="shared" si="26"/>
        <v>23.295500000000001</v>
      </c>
      <c r="Z64" s="67">
        <f t="shared" si="27"/>
        <v>1.4999999999999999E-2</v>
      </c>
      <c r="AA64" s="67">
        <f t="shared" si="28"/>
        <v>23.2805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29"/>
        <v>0152-16</v>
      </c>
      <c r="AE64" s="91" t="str">
        <f t="shared" si="30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64" s="88" t="str">
        <f t="shared" si="31"/>
        <v>"C:\Program Files (x86)\AstroGrep\AstroGrep.exe" /spath="%USERPROFILE%\AppData\Local\Temp\OnboardLogs" /stypes="app*4017*20161016*" /stext=" 17:.+((SYSTEM_STATE.+slice.+state.+changed )|(ment ac)|(system.+state.+changed )|(\[timeout)|(PRM\|1\|D)|(kpr)|(kdp)|(\|lc)|(penalty))" /e /r /s</v>
      </c>
      <c r="AG64" s="1" t="str">
        <f t="shared" si="32"/>
        <v>EC</v>
      </c>
      <c r="AH64" s="92" t="str">
        <f t="shared" si="17"/>
        <v>"%USERPROFILE%\Documents\GitHub\eaglep3\Utilities\RefineRTDCRunTimes.py" --tripid 152-16 --locoid 4017 --swversion DE.1.0.7.0 --startMP 204:232955 --initTime 2016-10-16T10:53:51 --startdatetime 2016-10-16T10:56:17 --delay 0 --endMP 204:150 --enddatetime 2016-10-16T11:34:53 --enforcementcount 1 &gt;&gt;C:\Users\stu\Documents\GitHub\eaglep3-reporting\EC\2016-10-16-refined-times.txt</v>
      </c>
      <c r="AI64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{"issue":{"subject":"","project_id":79,"tracker_id":40,"status_id":1,"priority_id":2,"assigned_to_id":23,"start_date":"2016-10-16","description":"","custom_fields":[{"id":1,"name":"Subdivision","value":"EC"},{"id":4,"name":"Milepost","value":"0.015"},{"id":17,"name":"Train ID","value":"152-16"},{"id":16,"name":"Locomotive ID","value":"4017"},{"id":130,"name":"Impact","value":""},{"id":150,"name":"Time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414</v>
      </c>
      <c r="B65" s="7">
        <v>4040</v>
      </c>
      <c r="C65" s="22" t="s">
        <v>99</v>
      </c>
      <c r="D65" s="22" t="s">
        <v>255</v>
      </c>
      <c r="E65" s="13">
        <v>42659.425046296295</v>
      </c>
      <c r="F65" s="13">
        <v>42659.427361111113</v>
      </c>
      <c r="G65" s="7">
        <v>1</v>
      </c>
      <c r="H65" s="13" t="s">
        <v>252</v>
      </c>
      <c r="I65" s="13">
        <v>42659.453831018516</v>
      </c>
      <c r="J65" s="7">
        <v>1</v>
      </c>
      <c r="K65" s="112" t="str">
        <f t="shared" si="19"/>
        <v>4039/4040</v>
      </c>
      <c r="L65" s="22" t="str">
        <f>VLOOKUP(A65,'Trips&amp;Operators'!$C$1:$E$10000,3,FALSE)</f>
        <v>STRICKLAND</v>
      </c>
      <c r="M65" s="6">
        <f t="shared" si="20"/>
        <v>2.6469907403225079E-2</v>
      </c>
      <c r="N65" s="7">
        <f t="shared" si="21"/>
        <v>38.116666660644114</v>
      </c>
      <c r="O65" s="7"/>
      <c r="P65" s="7"/>
      <c r="Q65" s="23"/>
      <c r="R65" s="23"/>
      <c r="S65" s="35">
        <f t="shared" si="59"/>
        <v>1</v>
      </c>
      <c r="T65" s="50" t="str">
        <f t="shared" si="22"/>
        <v>NorthBound</v>
      </c>
      <c r="U65" s="14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09:12:04-0600',mode:absolute,to:'2016-10-16 11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5" s="52" t="str">
        <f t="shared" si="24"/>
        <v>N</v>
      </c>
      <c r="X65" s="149">
        <f t="shared" si="25"/>
        <v>1</v>
      </c>
      <c r="Y65" s="67">
        <f t="shared" si="26"/>
        <v>4.5699999999999998E-2</v>
      </c>
      <c r="Z65" s="67">
        <f t="shared" si="27"/>
        <v>23.329799999999999</v>
      </c>
      <c r="AA65" s="67">
        <f t="shared" si="28"/>
        <v>23.284099999999999</v>
      </c>
      <c r="AB65" s="64" t="str">
        <f>VLOOKUP(A65,Enforcements!$C$7:$K$21,8,0)</f>
        <v>Speed (6)</v>
      </c>
      <c r="AC65" s="60" t="str">
        <f>VLOOKUP(A65,Enforcements!$C$7:$E$21,3,0)</f>
        <v>PERMANENT SPEED RESTRICTION</v>
      </c>
      <c r="AD65" s="61" t="str">
        <f t="shared" si="29"/>
        <v>0153-16</v>
      </c>
      <c r="AE65" s="91" t="str">
        <f t="shared" si="30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65" s="88" t="str">
        <f t="shared" si="31"/>
        <v>"C:\Program Files (x86)\AstroGrep\AstroGrep.exe" /spath="%USERPROFILE%\AppData\Local\Temp\OnboardLogs" /stypes="app*4040*20161016*" /stext=" 16:.+((SYSTEM_STATE.+slice.+state.+changed )|(ment ac)|(system.+state.+changed )|(\[timeout)|(PRM\|1\|D)|(kpr)|(kdp)|(\|lc)|(penalty))" /e /r /s</v>
      </c>
      <c r="AG65" s="1" t="str">
        <f t="shared" si="32"/>
        <v>EC</v>
      </c>
      <c r="AH65" s="92" t="str">
        <f t="shared" si="17"/>
        <v>"%USERPROFILE%\Documents\GitHub\eaglep3\Utilities\RefineRTDCRunTimes.py" --tripid 153-16 --locoid 4040 --swversion DE.1.0.7.0 --startMP 204:457 --initTime 2016-10-16T10:12:04 --startdatetime 2016-10-16T10:15:24 --delay 1 --endMP 204:233298 --enddatetime 2016-10-16T10:53:31 --enforcementcount 1 &gt;&gt;C:\Users\stu\Documents\GitHub\eaglep3-reporting\EC\2016-10-16-refined-times.txt</v>
      </c>
      <c r="AI6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{"issue":{"subject":"","project_id":79,"tracker_id":40,"status_id":1,"priority_id":2,"assigned_to_id":23,"start_date":"2016-10-16","description":"","custom_fields":[{"id":1,"name":"Subdivision","value":"EC"},{"id":4,"name":"Milepost","value":"23.3298"},{"id":17,"name":"Train ID","value":"153-16"},{"id":16,"name":"Locomotive ID","value":"4040"},{"id":130,"name":"Impact","value":""},{"id":150,"name":"Time of Event (Mountain Time)","value":"10:53:31"},{"id":151,"name":"Denver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415</v>
      </c>
      <c r="B66" s="7">
        <v>4039</v>
      </c>
      <c r="C66" s="22" t="s">
        <v>99</v>
      </c>
      <c r="D66" s="22" t="s">
        <v>632</v>
      </c>
      <c r="E66" s="13">
        <v>42659.462094907409</v>
      </c>
      <c r="F66" s="13">
        <v>42659.466145833336</v>
      </c>
      <c r="G66" s="7">
        <v>1</v>
      </c>
      <c r="H66" s="13" t="s">
        <v>176</v>
      </c>
      <c r="I66" s="13">
        <v>42659.49386574074</v>
      </c>
      <c r="J66" s="7">
        <v>1</v>
      </c>
      <c r="K66" s="112" t="str">
        <f t="shared" si="19"/>
        <v>4039/4040</v>
      </c>
      <c r="L66" s="22" t="str">
        <f>VLOOKUP(A66,'Trips&amp;Operators'!$C$1:$E$10000,3,FALSE)</f>
        <v>STRICKLAND</v>
      </c>
      <c r="M66" s="6">
        <f t="shared" si="20"/>
        <v>2.7719907404389232E-2</v>
      </c>
      <c r="N66" s="7">
        <f t="shared" si="21"/>
        <v>39.916666662320495</v>
      </c>
      <c r="O66" s="7"/>
      <c r="P66" s="7"/>
      <c r="Q66" s="23"/>
      <c r="R66" s="23"/>
      <c r="S66" s="35">
        <f t="shared" si="59"/>
        <v>1</v>
      </c>
      <c r="T66" s="50" t="str">
        <f t="shared" si="22"/>
        <v>Southbound</v>
      </c>
      <c r="U66" s="14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10:05:25-0600',mode:absolute,to:'2016-10-16 12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6" s="52" t="str">
        <f t="shared" si="24"/>
        <v>N</v>
      </c>
      <c r="X66" s="149">
        <f t="shared" si="25"/>
        <v>1</v>
      </c>
      <c r="Y66" s="67">
        <f t="shared" si="26"/>
        <v>23.2972</v>
      </c>
      <c r="Z66" s="67">
        <f t="shared" si="27"/>
        <v>1.47E-2</v>
      </c>
      <c r="AA66" s="67">
        <f t="shared" si="28"/>
        <v>23.282499999999999</v>
      </c>
      <c r="AB66" s="64" t="str">
        <f>VLOOKUP(A66,Enforcements!$C$7:$K$21,8,0)</f>
        <v>Speed (6)</v>
      </c>
      <c r="AC66" s="60" t="str">
        <f>VLOOKUP(A66,Enforcements!$C$7:$E$21,3,0)</f>
        <v>PERMANENT SPEED RESTRICTION</v>
      </c>
      <c r="AD66" s="61" t="str">
        <f t="shared" si="29"/>
        <v>0154-16</v>
      </c>
      <c r="AE66" s="91" t="str">
        <f t="shared" si="30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66" s="88" t="str">
        <f t="shared" si="31"/>
        <v>"C:\Program Files (x86)\AstroGrep\AstroGrep.exe" /spath="%USERPROFILE%\AppData\Local\Temp\OnboardLogs" /stypes="app*4039*20161016*" /stext=" 17:.+((SYSTEM_STATE.+slice.+state.+changed )|(ment ac)|(system.+state.+changed )|(\[timeout)|(PRM\|1\|D)|(kpr)|(kdp)|(\|lc)|(penalty))" /e /r /s</v>
      </c>
      <c r="AG66" s="1" t="str">
        <f t="shared" si="32"/>
        <v>EC</v>
      </c>
      <c r="AH66" s="92" t="str">
        <f t="shared" si="17"/>
        <v>"%USERPROFILE%\Documents\GitHub\eaglep3\Utilities\RefineRTDCRunTimes.py" --tripid 154-16 --locoid 4039 --swversion DE.1.0.7.0 --startMP 204:232972 --initTime 2016-10-16T11:05:25 --startdatetime 2016-10-16T11:11:15 --delay 1 --endMP 204:147 --enddatetime 2016-10-16T11:51:10 --enforcementcount 1 &gt;&gt;C:\Users\stu\Documents\GitHub\eaglep3-reporting\EC\2016-10-16-refined-times.txt</v>
      </c>
      <c r="AI66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{"issue":{"subject":"","project_id":79,"tracker_id":40,"status_id":1,"priority_id":2,"assigned_to_id":23,"start_date":"2016-10-16","description":"","custom_fields":[{"id":1,"name":"Subdivision","value":"EC"},{"id":4,"name":"Milepost","value":"0.0147"},{"id":17,"name":"Train ID","value":"154-16"},{"id":16,"name":"Locomotive ID","value":"4039"},{"id":130,"name":"Impact","value":""},{"id":150,"name":"Time of Event (Mountain Time)","value":"11:51:10"},{"id":151,"name":"Denver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491</v>
      </c>
      <c r="B67" s="7">
        <v>4046</v>
      </c>
      <c r="C67" s="22" t="s">
        <v>99</v>
      </c>
      <c r="D67" s="22" t="s">
        <v>248</v>
      </c>
      <c r="E67" s="13">
        <v>42659.432685185187</v>
      </c>
      <c r="F67" s="13">
        <v>42659.437685185185</v>
      </c>
      <c r="G67" s="7">
        <v>1</v>
      </c>
      <c r="H67" s="13" t="s">
        <v>633</v>
      </c>
      <c r="I67" s="13">
        <v>42659.463738425926</v>
      </c>
      <c r="J67" s="7">
        <v>1</v>
      </c>
      <c r="K67" s="112" t="str">
        <f t="shared" si="19"/>
        <v>4045/4046</v>
      </c>
      <c r="L67" s="22" t="str">
        <f>VLOOKUP(A67,'Trips&amp;Operators'!$C$1:$E$10000,3,FALSE)</f>
        <v>CLARK</v>
      </c>
      <c r="M67" s="6">
        <f t="shared" si="20"/>
        <v>2.6053240741021E-2</v>
      </c>
      <c r="N67" s="7">
        <f t="shared" si="21"/>
        <v>37.51666666707024</v>
      </c>
      <c r="O67" s="7"/>
      <c r="P67" s="7"/>
      <c r="Q67" s="23"/>
      <c r="R67" s="23"/>
      <c r="S67" s="35">
        <f t="shared" si="59"/>
        <v>1</v>
      </c>
      <c r="T67" s="50" t="str">
        <f t="shared" si="22"/>
        <v>NorthBound</v>
      </c>
      <c r="U67" s="14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09:23:04-0600',mode:absolute,to:'2016-10-16 12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7" s="52" t="str">
        <f t="shared" si="24"/>
        <v>N</v>
      </c>
      <c r="X67" s="149">
        <f t="shared" si="25"/>
        <v>1</v>
      </c>
      <c r="Y67" s="67">
        <f t="shared" si="26"/>
        <v>4.5499999999999999E-2</v>
      </c>
      <c r="Z67" s="67">
        <f t="shared" si="27"/>
        <v>23.325500000000002</v>
      </c>
      <c r="AA67" s="67">
        <f t="shared" si="28"/>
        <v>23.28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29"/>
        <v>0155-16</v>
      </c>
      <c r="AE67" s="91" t="str">
        <f t="shared" si="30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67" s="88" t="str">
        <f t="shared" si="31"/>
        <v>"C:\Program Files (x86)\AstroGrep\AstroGrep.exe" /spath="%USERPROFILE%\AppData\Local\Temp\OnboardLogs" /stypes="app*4046*20161016*" /stext=" 17:.+((SYSTEM_STATE.+slice.+state.+changed )|(ment ac)|(system.+state.+changed )|(\[timeout)|(PRM\|1\|D)|(kpr)|(kdp)|(\|lc)|(penalty))" /e /r /s</v>
      </c>
      <c r="AG67" s="1" t="str">
        <f t="shared" si="32"/>
        <v>EC</v>
      </c>
      <c r="AH67" s="92" t="str">
        <f t="shared" si="17"/>
        <v>"%USERPROFILE%\Documents\GitHub\eaglep3\Utilities\RefineRTDCRunTimes.py" --tripid 155-16 --locoid 4046 --swversion DE.1.0.7.0 --startMP 204:455 --initTime 2016-10-16T10:23:04 --startdatetime 2016-10-16T10:30:16 --delay 1 --endMP 204:233255 --enddatetime 2016-10-16T11:07:47 --enforcementcount 1 &gt;&gt;C:\Users\stu\Documents\GitHub\eaglep3-reporting\EC\2016-10-16-refined-times.txt</v>
      </c>
      <c r="AI6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{"issue":{"subject":"","project_id":79,"tracker_id":40,"status_id":1,"priority_id":2,"assigned_to_id":23,"start_date":"2016-10-16","description":"","custom_fields":[{"id":1,"name":"Subdivision","value":"EC"},{"id":4,"name":"Milepost","value":"23.3255"},{"id":17,"name":"Train ID","value":"155-16"},{"id":16,"name":"Locomotive ID","value":"4046"},{"id":130,"name":"Impact","value":""},{"id":150,"name":"Time of Event (Mountain Time)","value":"11:07:47"},{"id":151,"name":"Denver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500</v>
      </c>
      <c r="B68" s="7">
        <v>4045</v>
      </c>
      <c r="C68" s="22" t="s">
        <v>99</v>
      </c>
      <c r="D68" s="22" t="s">
        <v>634</v>
      </c>
      <c r="E68" s="13">
        <v>42659.473460648151</v>
      </c>
      <c r="F68" s="13">
        <v>42659.4766087963</v>
      </c>
      <c r="G68" s="7">
        <v>1</v>
      </c>
      <c r="H68" s="13" t="s">
        <v>635</v>
      </c>
      <c r="I68" s="13">
        <v>42659.505127314813</v>
      </c>
      <c r="J68" s="7">
        <v>1</v>
      </c>
      <c r="K68" s="112" t="str">
        <f t="shared" si="19"/>
        <v>4045/4046</v>
      </c>
      <c r="L68" s="22" t="str">
        <f>VLOOKUP(A68,'Trips&amp;Operators'!$C$1:$E$10000,3,FALSE)</f>
        <v>CLARK</v>
      </c>
      <c r="M68" s="6">
        <f t="shared" si="20"/>
        <v>2.8518518513010349E-2</v>
      </c>
      <c r="N68" s="7">
        <f t="shared" si="21"/>
        <v>41.066666658734903</v>
      </c>
      <c r="O68" s="7"/>
      <c r="P68" s="7"/>
      <c r="Q68" s="23"/>
      <c r="R68" s="23"/>
      <c r="S68" s="35">
        <f t="shared" si="59"/>
        <v>1</v>
      </c>
      <c r="T68" s="50" t="str">
        <f t="shared" si="22"/>
        <v>Southbound</v>
      </c>
      <c r="U68" s="14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10:21:47-0600',mode:absolute,to:'2016-10-16 13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8" s="52" t="str">
        <f t="shared" si="24"/>
        <v>N</v>
      </c>
      <c r="X68" s="149">
        <f t="shared" si="25"/>
        <v>1</v>
      </c>
      <c r="Y68" s="67">
        <f t="shared" si="26"/>
        <v>23.2942</v>
      </c>
      <c r="Z68" s="67">
        <f t="shared" si="27"/>
        <v>1.7999999999999999E-2</v>
      </c>
      <c r="AA68" s="67">
        <f t="shared" si="28"/>
        <v>23.276199999999999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29"/>
        <v>0156-16</v>
      </c>
      <c r="AE68" s="91" t="str">
        <f t="shared" si="30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68" s="88" t="str">
        <f t="shared" si="31"/>
        <v>"C:\Program Files (x86)\AstroGrep\AstroGrep.exe" /spath="%USERPROFILE%\AppData\Local\Temp\OnboardLogs" /stypes="app*4045*20161016*" /stext=" 18:.+((SYSTEM_STATE.+slice.+state.+changed )|(ment ac)|(system.+state.+changed )|(\[timeout)|(PRM\|1\|D)|(kpr)|(kdp)|(\|lc)|(penalty))" /e /r /s</v>
      </c>
      <c r="AG68" s="1" t="str">
        <f t="shared" si="32"/>
        <v>EC</v>
      </c>
      <c r="AH68" s="92" t="str">
        <f t="shared" si="17"/>
        <v>"%USERPROFILE%\Documents\GitHub\eaglep3\Utilities\RefineRTDCRunTimes.py" --tripid 156-16 --locoid 4045 --swversion DE.1.0.7.0 --startMP 204:232942 --initTime 2016-10-16T11:21:47 --startdatetime 2016-10-16T11:26:19 --delay 1 --endMP 204:180 --enddatetime 2016-10-16T12:07:23 --enforcementcount 1 &gt;&gt;C:\Users\stu\Documents\GitHub\eaglep3-reporting\EC\2016-10-16-refined-times.txt</v>
      </c>
      <c r="AI6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{"issue":{"subject":"","project_id":79,"tracker_id":40,"status_id":1,"priority_id":2,"assigned_to_id":23,"start_date":"2016-10-16","description":"","custom_fields":[{"id":1,"name":"Subdivision","value":"EC"},{"id":4,"name":"Milepost","value":"0.018"},{"id":17,"name":"Train ID","value":"156-16"},{"id":16,"name":"Locomotive ID","value":"4045"},{"id":130,"name":"Impact","value":""},{"id":150,"name":"Time of Event (Mountain Time)","value":"12:07:23"},{"id":151,"name":"Denver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494</v>
      </c>
      <c r="B69" s="7">
        <v>4029</v>
      </c>
      <c r="C69" s="22" t="s">
        <v>99</v>
      </c>
      <c r="D69" s="22" t="s">
        <v>251</v>
      </c>
      <c r="E69" s="13">
        <v>42659.445405092592</v>
      </c>
      <c r="F69" s="13">
        <v>42659.448564814818</v>
      </c>
      <c r="G69" s="7">
        <v>0</v>
      </c>
      <c r="H69" s="13" t="s">
        <v>269</v>
      </c>
      <c r="I69" s="13">
        <v>42659.472754629627</v>
      </c>
      <c r="J69" s="7">
        <v>1</v>
      </c>
      <c r="K69" s="112" t="str">
        <f t="shared" si="19"/>
        <v>4029/4030</v>
      </c>
      <c r="L69" s="22" t="str">
        <f>VLOOKUP(A69,'Trips&amp;Operators'!$C$1:$E$10000,3,FALSE)</f>
        <v>YORK</v>
      </c>
      <c r="M69" s="6">
        <f t="shared" si="20"/>
        <v>2.4189814808778465E-2</v>
      </c>
      <c r="N69" s="7">
        <f t="shared" si="21"/>
        <v>34.833333324640989</v>
      </c>
      <c r="O69" s="7"/>
      <c r="P69" s="7"/>
      <c r="Q69" s="23"/>
      <c r="R69" s="23"/>
      <c r="S69" s="35">
        <f t="shared" si="59"/>
        <v>1</v>
      </c>
      <c r="T69" s="50" t="str">
        <f t="shared" si="22"/>
        <v>NorthBound</v>
      </c>
      <c r="U69" s="14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09:41:23-0600',mode:absolute,to:'2016-10-16 12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9" s="52" t="str">
        <f t="shared" si="24"/>
        <v>N</v>
      </c>
      <c r="X69" s="149">
        <f t="shared" si="25"/>
        <v>1</v>
      </c>
      <c r="Y69" s="67">
        <f t="shared" si="26"/>
        <v>4.6699999999999998E-2</v>
      </c>
      <c r="Z69" s="67">
        <f t="shared" si="27"/>
        <v>23.3306</v>
      </c>
      <c r="AA69" s="67">
        <f t="shared" si="28"/>
        <v>23.283899999999999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29"/>
        <v>0157-16</v>
      </c>
      <c r="AE69" s="91" t="str">
        <f t="shared" si="30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69" s="88" t="str">
        <f t="shared" si="31"/>
        <v>"C:\Program Files (x86)\AstroGrep\AstroGrep.exe" /spath="%USERPROFILE%\AppData\Local\Temp\OnboardLogs" /stypes="app*4029*20161016*" /stext=" 17:.+((SYSTEM_STATE.+slice.+state.+changed )|(ment ac)|(system.+state.+changed )|(\[timeout)|(PRM\|1\|D)|(kpr)|(kdp)|(\|lc)|(penalty))" /e /r /s</v>
      </c>
      <c r="AG69" s="1" t="str">
        <f t="shared" si="32"/>
        <v>EC</v>
      </c>
      <c r="AH69" s="92" t="str">
        <f t="shared" si="17"/>
        <v>"%USERPROFILE%\Documents\GitHub\eaglep3\Utilities\RefineRTDCRunTimes.py" --tripid 157-16 --locoid 4029 --swversion DE.1.0.7.0 --startMP 204:467 --initTime 2016-10-16T10:41:23 --startdatetime 2016-10-16T10:45:56 --delay 0 --endMP 204:233306 --enddatetime 2016-10-16T11:20:46 --enforcementcount 1 &gt;&gt;C:\Users\stu\Documents\GitHub\eaglep3-reporting\EC\2016-10-16-refined-times.txt</v>
      </c>
      <c r="AI6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{"issue":{"subject":"","project_id":79,"tracker_id":40,"status_id":1,"priority_id":2,"assigned_to_id":23,"start_date":"2016-10-16","description":"","custom_fields":[{"id":1,"name":"Subdivision","value":"EC"},{"id":4,"name":"Milepost","value":"23.3306"},{"id":17,"name":"Train ID","value":"157-16"},{"id":16,"name":"Locomotive ID","value":"4029"},{"id":130,"name":"Impact","value":""},{"id":150,"name":"Time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501</v>
      </c>
      <c r="B70" s="7">
        <v>4030</v>
      </c>
      <c r="C70" s="22" t="s">
        <v>99</v>
      </c>
      <c r="D70" s="22" t="s">
        <v>303</v>
      </c>
      <c r="E70" s="13">
        <v>42659.473912037036</v>
      </c>
      <c r="F70" s="13">
        <v>42659.487557870372</v>
      </c>
      <c r="G70" s="7">
        <v>0</v>
      </c>
      <c r="H70" s="13" t="s">
        <v>238</v>
      </c>
      <c r="I70" s="13">
        <v>42659.512650462966</v>
      </c>
      <c r="J70" s="7">
        <v>1</v>
      </c>
      <c r="K70" s="112" t="str">
        <f t="shared" si="19"/>
        <v>4029/4030</v>
      </c>
      <c r="L70" s="22" t="str">
        <f>VLOOKUP(A70,'Trips&amp;Operators'!$C$1:$E$10000,3,FALSE)</f>
        <v>YORK</v>
      </c>
      <c r="M70" s="6">
        <f t="shared" si="20"/>
        <v>2.5092592593864538E-2</v>
      </c>
      <c r="N70" s="7">
        <f t="shared" si="21"/>
        <v>36.133333335164934</v>
      </c>
      <c r="O70" s="7"/>
      <c r="P70" s="7"/>
      <c r="Q70" s="23"/>
      <c r="R70" s="23"/>
      <c r="S70" s="35">
        <f t="shared" si="59"/>
        <v>1</v>
      </c>
      <c r="T70" s="50" t="str">
        <f t="shared" si="22"/>
        <v>Southbound</v>
      </c>
      <c r="U70" s="14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10:22:26-0600',mode:absolute,to:'2016-10-16 13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0" s="52" t="str">
        <f t="shared" si="24"/>
        <v>N</v>
      </c>
      <c r="X70" s="149">
        <f t="shared" si="25"/>
        <v>1</v>
      </c>
      <c r="Y70" s="67">
        <f t="shared" si="26"/>
        <v>23.299399999999999</v>
      </c>
      <c r="Z70" s="67">
        <f t="shared" si="27"/>
        <v>1.49E-2</v>
      </c>
      <c r="AA70" s="67">
        <f t="shared" si="28"/>
        <v>23.284499999999998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29"/>
        <v>0158-16</v>
      </c>
      <c r="AE70" s="91" t="str">
        <f t="shared" si="30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70" s="88" t="str">
        <f t="shared" si="31"/>
        <v>"C:\Program Files (x86)\AstroGrep\AstroGrep.exe" /spath="%USERPROFILE%\AppData\Local\Temp\OnboardLogs" /stypes="app*4030*20161016*" /stext=" 18:.+((SYSTEM_STATE.+slice.+state.+changed )|(ment ac)|(system.+state.+changed )|(\[timeout)|(PRM\|1\|D)|(kpr)|(kdp)|(\|lc)|(penalty))" /e /r /s</v>
      </c>
      <c r="AG70" s="1" t="str">
        <f t="shared" si="32"/>
        <v>EC</v>
      </c>
      <c r="AH70" s="92" t="str">
        <f t="shared" si="17"/>
        <v>"%USERPROFILE%\Documents\GitHub\eaglep3\Utilities\RefineRTDCRunTimes.py" --tripid 158-16 --locoid 4030 --swversion DE.1.0.7.0 --startMP 204:232994 --initTime 2016-10-16T11:22:26 --startdatetime 2016-10-16T11:42:05 --delay 0 --endMP 204:149 --enddatetime 2016-10-16T12:18:13 --enforcementcount 1 &gt;&gt;C:\Users\stu\Documents\GitHub\eaglep3-reporting\EC\2016-10-16-refined-times.txt</v>
      </c>
      <c r="AI70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ID","value":"158-16"},{"id":16,"name":"Locomotive ID","value":"4030"},{"id":130,"name":"Impact","value":""},{"id":150,"name":"Time of Event (Mountain Time)","value":"12:18:13"},{"id":151,"name":"Denver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496</v>
      </c>
      <c r="B71" s="7">
        <v>4031</v>
      </c>
      <c r="C71" s="22" t="s">
        <v>99</v>
      </c>
      <c r="D71" s="22" t="s">
        <v>251</v>
      </c>
      <c r="E71" s="13">
        <v>42659.455092592594</v>
      </c>
      <c r="F71" s="13">
        <v>42659.458587962959</v>
      </c>
      <c r="G71" s="7">
        <v>1</v>
      </c>
      <c r="H71" s="13" t="s">
        <v>263</v>
      </c>
      <c r="I71" s="13">
        <v>42659.483703703707</v>
      </c>
      <c r="J71" s="7">
        <v>1</v>
      </c>
      <c r="K71" s="112" t="str">
        <f t="shared" si="19"/>
        <v>4031/4032</v>
      </c>
      <c r="L71" s="22" t="str">
        <f>VLOOKUP(A71,'Trips&amp;Operators'!$C$1:$E$10000,3,FALSE)</f>
        <v>STEWART</v>
      </c>
      <c r="M71" s="6">
        <f t="shared" si="20"/>
        <v>2.5115740747423843E-2</v>
      </c>
      <c r="N71" s="7">
        <f t="shared" si="21"/>
        <v>36.166666676290333</v>
      </c>
      <c r="O71" s="7"/>
      <c r="P71" s="7"/>
      <c r="Q71" s="23"/>
      <c r="R71" s="23"/>
      <c r="S71" s="35">
        <f t="shared" si="59"/>
        <v>1</v>
      </c>
      <c r="T71" s="50" t="str">
        <f t="shared" si="22"/>
        <v>NorthBound</v>
      </c>
      <c r="U71" s="14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09:55:20-0600',mode:absolute,to:'2016-10-16 12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 t="shared" si="24"/>
        <v>N</v>
      </c>
      <c r="X71" s="149">
        <f t="shared" si="25"/>
        <v>1</v>
      </c>
      <c r="Y71" s="67">
        <f t="shared" si="26"/>
        <v>4.6699999999999998E-2</v>
      </c>
      <c r="Z71" s="67">
        <f t="shared" si="27"/>
        <v>23.329899999999999</v>
      </c>
      <c r="AA71" s="67">
        <f t="shared" si="28"/>
        <v>23.283199999999997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29"/>
        <v>0159-16</v>
      </c>
      <c r="AE71" s="91" t="str">
        <f t="shared" si="30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71" s="88" t="str">
        <f t="shared" si="31"/>
        <v>"C:\Program Files (x86)\AstroGrep\AstroGrep.exe" /spath="%USERPROFILE%\AppData\Local\Temp\OnboardLogs" /stypes="app*4031*20161016*" /stext=" 17:.+((SYSTEM_STATE.+slice.+state.+changed )|(ment ac)|(system.+state.+changed )|(\[timeout)|(PRM\|1\|D)|(kpr)|(kdp)|(\|lc)|(penalty))" /e /r /s</v>
      </c>
      <c r="AG71" s="1" t="str">
        <f t="shared" si="32"/>
        <v>EC</v>
      </c>
      <c r="AH71" s="92" t="str">
        <f t="shared" si="17"/>
        <v>"%USERPROFILE%\Documents\GitHub\eaglep3\Utilities\RefineRTDCRunTimes.py" --tripid 159-16 --locoid 4031 --swversion DE.1.0.7.0 --startMP 204:467 --initTime 2016-10-16T10:55:20 --startdatetime 2016-10-16T11:00:22 --delay 1 --endMP 204:233299 --enddatetime 2016-10-16T11:36:32 --enforcementcount 1 &gt;&gt;C:\Users\stu\Documents\GitHub\eaglep3-reporting\EC\2016-10-16-refined-times.txt</v>
      </c>
      <c r="AI71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{"issue":{"subject":"","project_id":79,"tracker_id":40,"status_id":1,"priority_id":2,"assigned_to_id":23,"start_date":"2016-10-16","description":"","custom_fields":[{"id":1,"name":"Subdivision","value":"EC"},{"id":4,"name":"Milepost","value":"23.3299"},{"id":17,"name":"Train ID","value":"159-16"},{"id":16,"name":"Locomotive ID","value":"4031"},{"id":130,"name":"Impact","value":""},{"id":150,"name":"Time of Event (Mountain Time)","value":"11:36:32"},{"id":151,"name":"Denver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505</v>
      </c>
      <c r="B72" s="7">
        <v>4032</v>
      </c>
      <c r="C72" s="22" t="s">
        <v>99</v>
      </c>
      <c r="D72" s="22" t="s">
        <v>306</v>
      </c>
      <c r="E72" s="13">
        <v>42659.494375000002</v>
      </c>
      <c r="F72" s="13">
        <v>42659.497511574074</v>
      </c>
      <c r="G72" s="7">
        <v>2</v>
      </c>
      <c r="H72" s="13" t="s">
        <v>246</v>
      </c>
      <c r="I72" s="13">
        <v>42659.524652777778</v>
      </c>
      <c r="J72" s="7">
        <v>1</v>
      </c>
      <c r="K72" s="112" t="str">
        <f t="shared" si="19"/>
        <v>4031/4032</v>
      </c>
      <c r="L72" s="22" t="str">
        <f>VLOOKUP(A72,'Trips&amp;Operators'!$C$1:$E$10000,3,FALSE)</f>
        <v>STEWART</v>
      </c>
      <c r="M72" s="6">
        <f t="shared" si="20"/>
        <v>2.7141203703649808E-2</v>
      </c>
      <c r="N72" s="7">
        <f t="shared" si="21"/>
        <v>39.083333333255723</v>
      </c>
      <c r="O72" s="7"/>
      <c r="P72" s="7"/>
      <c r="Q72" s="23"/>
      <c r="R72" s="23"/>
      <c r="S72" s="35">
        <f t="shared" si="59"/>
        <v>1</v>
      </c>
      <c r="T72" s="50" t="str">
        <f t="shared" si="22"/>
        <v>Southbound</v>
      </c>
      <c r="U72" s="14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10:51:54-0600',mode:absolute,to:'2016-10-16 13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 t="shared" si="24"/>
        <v>N</v>
      </c>
      <c r="X72" s="149">
        <f t="shared" si="25"/>
        <v>1</v>
      </c>
      <c r="Y72" s="67">
        <f t="shared" si="26"/>
        <v>23.2988</v>
      </c>
      <c r="Z72" s="67">
        <f t="shared" si="27"/>
        <v>1.6299999999999999E-2</v>
      </c>
      <c r="AA72" s="67">
        <f t="shared" si="28"/>
        <v>23.282499999999999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29"/>
        <v>0160-16</v>
      </c>
      <c r="AE72" s="91" t="str">
        <f t="shared" si="30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72" s="88" t="str">
        <f t="shared" si="31"/>
        <v>"C:\Program Files (x86)\AstroGrep\AstroGrep.exe" /spath="%USERPROFILE%\AppData\Local\Temp\OnboardLogs" /stypes="app*4032*20161016*" /stext=" 18:.+((SYSTEM_STATE.+slice.+state.+changed )|(ment ac)|(system.+state.+changed )|(\[timeout)|(PRM\|1\|D)|(kpr)|(kdp)|(\|lc)|(penalty))" /e /r /s</v>
      </c>
      <c r="AG72" s="1" t="str">
        <f t="shared" si="32"/>
        <v>EC</v>
      </c>
      <c r="AH72" s="92" t="str">
        <f t="shared" si="17"/>
        <v>"%USERPROFILE%\Documents\GitHub\eaglep3\Utilities\RefineRTDCRunTimes.py" --tripid 160-16 --locoid 4032 --swversion DE.1.0.7.0 --startMP 204:232988 --initTime 2016-10-16T11:51:54 --startdatetime 2016-10-16T11:56:25 --delay 2 --endMP 204:163 --enddatetime 2016-10-16T12:35:30 --enforcementcount 1 &gt;&gt;C:\Users\stu\Documents\GitHub\eaglep3-reporting\EC\2016-10-16-refined-times.txt</v>
      </c>
      <c r="AI72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{"issue":{"subject":"","project_id":79,"tracker_id":40,"status_id":1,"priority_id":2,"assigned_to_id":23,"start_date":"2016-10-16","description":"","custom_fields":[{"id":1,"name":"Subdivision","value":"EC"},{"id":4,"name":"Milepost","value":"0.0163"},{"id":17,"name":"Train ID","value":"160-16"},{"id":16,"name":"Locomotive ID","value":"4032"},{"id":130,"name":"Impact","value":""},{"id":150,"name":"Time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497</v>
      </c>
      <c r="B73" s="7">
        <v>4027</v>
      </c>
      <c r="C73" s="22" t="s">
        <v>99</v>
      </c>
      <c r="D73" s="22" t="s">
        <v>349</v>
      </c>
      <c r="E73" s="13">
        <v>42659.463935185187</v>
      </c>
      <c r="F73" s="13">
        <v>42659.468969907408</v>
      </c>
      <c r="G73" s="7">
        <v>1</v>
      </c>
      <c r="H73" s="13" t="s">
        <v>383</v>
      </c>
      <c r="I73" s="13">
        <v>42659.49496527778</v>
      </c>
      <c r="J73" s="7">
        <v>1</v>
      </c>
      <c r="K73" s="112" t="str">
        <f t="shared" si="19"/>
        <v>4027/4028</v>
      </c>
      <c r="L73" s="22" t="str">
        <f>VLOOKUP(A73,'Trips&amp;Operators'!$C$1:$E$10000,3,FALSE)</f>
        <v>BARTLETT</v>
      </c>
      <c r="M73" s="6">
        <f t="shared" si="20"/>
        <v>2.5995370371674653E-2</v>
      </c>
      <c r="N73" s="7">
        <f t="shared" si="21"/>
        <v>37.433333335211501</v>
      </c>
      <c r="O73" s="7"/>
      <c r="P73" s="7"/>
      <c r="Q73" s="23"/>
      <c r="R73" s="23"/>
      <c r="S73" s="35">
        <f t="shared" si="59"/>
        <v>1</v>
      </c>
      <c r="T73" s="50" t="str">
        <f t="shared" si="22"/>
        <v>NorthBound</v>
      </c>
      <c r="U73" s="14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10:08:04-0600',mode:absolute,to:'2016-10-16 12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3" s="52" t="str">
        <f t="shared" si="24"/>
        <v>N</v>
      </c>
      <c r="X73" s="149">
        <f t="shared" si="25"/>
        <v>1</v>
      </c>
      <c r="Y73" s="67">
        <f t="shared" si="26"/>
        <v>4.4400000000000002E-2</v>
      </c>
      <c r="Z73" s="67">
        <f t="shared" si="27"/>
        <v>23.330200000000001</v>
      </c>
      <c r="AA73" s="67">
        <f t="shared" si="28"/>
        <v>23.285800000000002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29"/>
        <v>0161-16</v>
      </c>
      <c r="AE73" s="91" t="str">
        <f t="shared" si="30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73" s="88" t="str">
        <f t="shared" si="31"/>
        <v>"C:\Program Files (x86)\AstroGrep\AstroGrep.exe" /spath="%USERPROFILE%\AppData\Local\Temp\OnboardLogs" /stypes="app*4027*20161016*" /stext=" 17:.+((SYSTEM_STATE.+slice.+state.+changed )|(ment ac)|(system.+state.+changed )|(\[timeout)|(PRM\|1\|D)|(kpr)|(kdp)|(\|lc)|(penalty))" /e /r /s</v>
      </c>
      <c r="AG73" s="1" t="str">
        <f t="shared" si="32"/>
        <v>EC</v>
      </c>
      <c r="AH73" s="92" t="str">
        <f t="shared" si="17"/>
        <v>"%USERPROFILE%\Documents\GitHub\eaglep3\Utilities\RefineRTDCRunTimes.py" --tripid 161-16 --locoid 4027 --swversion DE.1.0.7.0 --startMP 204:444 --initTime 2016-10-16T11:08:04 --startdatetime 2016-10-16T11:15:19 --delay 1 --endMP 204:233302 --enddatetime 2016-10-16T11:52:45 --enforcementcount 1 &gt;&gt;C:\Users\stu\Documents\GitHub\eaglep3-reporting\EC\2016-10-16-refined-times.txt</v>
      </c>
      <c r="AI73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{"issue":{"subject":"","project_id":79,"tracker_id":40,"status_id":1,"priority_id":2,"assigned_to_id":23,"start_date":"2016-10-16","description":"","custom_fields":[{"id":1,"name":"Subdivision","value":"EC"},{"id":4,"name":"Milepost","value":"23.3302"},{"id":17,"name":"Train ID","value":"161-16"},{"id":16,"name":"Locomotive ID","value":"4027"},{"id":130,"name":"Impact","value":""},{"id":150,"name":"Time of Event (Mountain Time)","value":"11:52:45"},{"id":151,"name":"Denver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417</v>
      </c>
      <c r="B74" s="7">
        <v>4028</v>
      </c>
      <c r="C74" s="22" t="s">
        <v>99</v>
      </c>
      <c r="D74" s="22" t="s">
        <v>351</v>
      </c>
      <c r="E74" s="13">
        <v>42659.49790509259</v>
      </c>
      <c r="F74" s="13">
        <v>42659.508159722223</v>
      </c>
      <c r="G74" s="7">
        <v>1</v>
      </c>
      <c r="H74" s="13" t="s">
        <v>241</v>
      </c>
      <c r="I74" s="13">
        <v>42659.534930555557</v>
      </c>
      <c r="J74" s="7">
        <v>1</v>
      </c>
      <c r="K74" s="112" t="str">
        <f t="shared" si="19"/>
        <v>4027/4028</v>
      </c>
      <c r="L74" s="22" t="str">
        <f>VLOOKUP(A74,'Trips&amp;Operators'!$C$1:$E$10000,3,FALSE)</f>
        <v>BARTLETT</v>
      </c>
      <c r="M74" s="6">
        <f t="shared" si="20"/>
        <v>2.6770833334012423E-2</v>
      </c>
      <c r="N74" s="7">
        <f t="shared" si="21"/>
        <v>38.550000000977889</v>
      </c>
      <c r="O74" s="7"/>
      <c r="P74" s="7"/>
      <c r="Q74" s="23"/>
      <c r="R74" s="23"/>
      <c r="S74" s="35">
        <f t="shared" si="59"/>
        <v>1</v>
      </c>
      <c r="T74" s="50" t="str">
        <f t="shared" si="22"/>
        <v>Southbound</v>
      </c>
      <c r="U74" s="14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10:56:59-0600',mode:absolute,to:'2016-10-16 13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4" s="52" t="str">
        <f t="shared" si="24"/>
        <v>N</v>
      </c>
      <c r="X74" s="149">
        <f t="shared" si="25"/>
        <v>1</v>
      </c>
      <c r="Y74" s="67">
        <f t="shared" si="26"/>
        <v>23.2987</v>
      </c>
      <c r="Z74" s="67">
        <f t="shared" si="27"/>
        <v>1.4999999999999999E-2</v>
      </c>
      <c r="AA74" s="67">
        <f t="shared" si="28"/>
        <v>23.2837</v>
      </c>
      <c r="AB74" s="64" t="str">
        <f>VLOOKUP(A74,Enforcements!$C$7:$K$21,8,0)</f>
        <v>Signal based authority (5)</v>
      </c>
      <c r="AC74" s="60" t="str">
        <f>VLOOKUP(A74,Enforcements!$C$7:$E$21,3,0)</f>
        <v>SIGNAL</v>
      </c>
      <c r="AD74" s="61" t="str">
        <f t="shared" si="29"/>
        <v>0162-16</v>
      </c>
      <c r="AE74" s="91" t="str">
        <f t="shared" si="30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74" s="88" t="str">
        <f t="shared" si="31"/>
        <v>"C:\Program Files (x86)\AstroGrep\AstroGrep.exe" /spath="%USERPROFILE%\AppData\Local\Temp\OnboardLogs" /stypes="app*4028*20161016*" /stext=" 18:.+((SYSTEM_STATE.+slice.+state.+changed )|(ment ac)|(system.+state.+changed )|(\[timeout)|(PRM\|1\|D)|(kpr)|(kdp)|(\|lc)|(penalty))" /e /r /s</v>
      </c>
      <c r="AG74" s="1" t="str">
        <f t="shared" si="32"/>
        <v>EC</v>
      </c>
      <c r="AH74" s="92" t="str">
        <f t="shared" si="17"/>
        <v>"%USERPROFILE%\Documents\GitHub\eaglep3\Utilities\RefineRTDCRunTimes.py" --tripid 162-16 --locoid 4028 --swversion DE.1.0.7.0 --startMP 204:232987 --initTime 2016-10-16T11:56:59 --startdatetime 2016-10-16T12:11:45 --delay 1 --endMP 204:150 --enddatetime 2016-10-16T12:50:18 --enforcementcount 1 &gt;&gt;C:\Users\stu\Documents\GitHub\eaglep3-reporting\EC\2016-10-16-refined-times.txt</v>
      </c>
      <c r="AI74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{"issue":{"subject":"","project_id":79,"tracker_id":40,"status_id":1,"priority_id":2,"assigned_to_id":23,"start_date":"2016-10-16","description":"","custom_fields":[{"id":1,"name":"Subdivision","value":"EC"},{"id":4,"name":"Milepost","value":"0.015"},{"id":17,"name":"Train ID","value":"162-16"},{"id":16,"name":"Locomotive ID","value":"4028"},{"id":130,"name":"Impact","value":""},{"id":150,"name":"Time of Event (Mountain Time)","value":"12:50:18"},{"id":151,"name":"Denver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502</v>
      </c>
      <c r="B75" s="7">
        <v>4042</v>
      </c>
      <c r="C75" s="22" t="s">
        <v>99</v>
      </c>
      <c r="D75" s="22" t="s">
        <v>378</v>
      </c>
      <c r="E75" s="13">
        <v>42659.476423611108</v>
      </c>
      <c r="F75" s="13">
        <v>42659.479363425926</v>
      </c>
      <c r="G75" s="7">
        <v>2</v>
      </c>
      <c r="H75" s="13" t="s">
        <v>398</v>
      </c>
      <c r="I75" s="13">
        <v>42659.504942129628</v>
      </c>
      <c r="J75" s="7">
        <v>1</v>
      </c>
      <c r="K75" s="112" t="str">
        <f t="shared" si="19"/>
        <v>4041/4042</v>
      </c>
      <c r="L75" s="22" t="str">
        <f>VLOOKUP(A75,'Trips&amp;Operators'!$C$1:$E$10000,3,FALSE)</f>
        <v>BRUDER</v>
      </c>
      <c r="M75" s="6">
        <f t="shared" si="20"/>
        <v>2.5578703702194616E-2</v>
      </c>
      <c r="N75" s="7">
        <f t="shared" si="21"/>
        <v>36.833333331160247</v>
      </c>
      <c r="O75" s="7"/>
      <c r="P75" s="7"/>
      <c r="Q75" s="23"/>
      <c r="R75" s="23"/>
      <c r="S75" s="35">
        <f t="shared" si="59"/>
        <v>1</v>
      </c>
      <c r="T75" s="50" t="str">
        <f t="shared" si="22"/>
        <v>NorthBound</v>
      </c>
      <c r="U75" s="14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10:26:03-0600',mode:absolute,to:'2016-10-16 13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si="24"/>
        <v>N</v>
      </c>
      <c r="X75" s="149">
        <f t="shared" si="25"/>
        <v>1</v>
      </c>
      <c r="Y75" s="67">
        <f t="shared" si="26"/>
        <v>4.3299999999999998E-2</v>
      </c>
      <c r="Z75" s="67">
        <f t="shared" si="27"/>
        <v>23.330300000000001</v>
      </c>
      <c r="AA75" s="67">
        <f t="shared" si="28"/>
        <v>23.287000000000003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29"/>
        <v>0163-16</v>
      </c>
      <c r="AE75" s="91" t="str">
        <f t="shared" si="30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75" s="88" t="str">
        <f t="shared" si="31"/>
        <v>"C:\Program Files (x86)\AstroGrep\AstroGrep.exe" /spath="%USERPROFILE%\AppData\Local\Temp\OnboardLogs" /stypes="app*4042*20161016*" /stext=" 18:.+((SYSTEM_STATE.+slice.+state.+changed )|(ment ac)|(system.+state.+changed )|(\[timeout)|(PRM\|1\|D)|(kpr)|(kdp)|(\|lc)|(penalty))" /e /r /s</v>
      </c>
      <c r="AG75" s="1" t="str">
        <f t="shared" si="32"/>
        <v>EC</v>
      </c>
      <c r="AH75" s="92" t="str">
        <f t="shared" si="17"/>
        <v>"%USERPROFILE%\Documents\GitHub\eaglep3\Utilities\RefineRTDCRunTimes.py" --tripid 163-16 --locoid 4042 --swversion DE.1.0.7.0 --startMP 204:433 --initTime 2016-10-16T11:26:03 --startdatetime 2016-10-16T11:30:17 --delay 2 --endMP 204:233303 --enddatetime 2016-10-16T12:07:07 --enforcementcount 1 &gt;&gt;C:\Users\stu\Documents\GitHub\eaglep3-reporting\EC\2016-10-16-refined-times.txt</v>
      </c>
      <c r="AI75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{"issue":{"subject":"","project_id":79,"tracker_id":40,"status_id":1,"priority_id":2,"assigned_to_id":23,"start_date":"2016-10-16","description":"","custom_fields":[{"id":1,"name":"Subdivision","value":"EC"},{"id":4,"name":"Milepost","value":"23.3303"},{"id":17,"name":"Train ID","value":"163-16"},{"id":16,"name":"Locomotive ID","value":"4042"},{"id":130,"name":"Impact","value":""},{"id":150,"name":"Time of Event (Mountain Time)","value":"12:07:07"},{"id":151,"name":"Denver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418</v>
      </c>
      <c r="B76" s="7">
        <v>4041</v>
      </c>
      <c r="C76" s="22" t="s">
        <v>99</v>
      </c>
      <c r="D76" s="22" t="s">
        <v>301</v>
      </c>
      <c r="E76" s="13">
        <v>42659.513321759259</v>
      </c>
      <c r="F76" s="13">
        <v>42659.518275462964</v>
      </c>
      <c r="G76" s="7">
        <v>1</v>
      </c>
      <c r="H76" s="13" t="s">
        <v>234</v>
      </c>
      <c r="I76" s="13">
        <v>42659.546863425923</v>
      </c>
      <c r="J76" s="7">
        <v>1</v>
      </c>
      <c r="K76" s="112" t="str">
        <f t="shared" si="19"/>
        <v>4041/4042</v>
      </c>
      <c r="L76" s="22" t="str">
        <f>VLOOKUP(A76,'Trips&amp;Operators'!$C$1:$E$10000,3,FALSE)</f>
        <v>BRUDER</v>
      </c>
      <c r="M76" s="6">
        <f t="shared" si="20"/>
        <v>2.8587962959136348E-2</v>
      </c>
      <c r="N76" s="7">
        <f t="shared" si="21"/>
        <v>41.166666661156341</v>
      </c>
      <c r="O76" s="7"/>
      <c r="P76" s="7"/>
      <c r="Q76" s="23"/>
      <c r="R76" s="23"/>
      <c r="S76" s="35">
        <f t="shared" si="59"/>
        <v>1</v>
      </c>
      <c r="T76" s="50" t="str">
        <f t="shared" si="22"/>
        <v>Southbound</v>
      </c>
      <c r="U76" s="14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11:19:11-0600',mode:absolute,to:'2016-10-16 14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24"/>
        <v>N</v>
      </c>
      <c r="X76" s="149">
        <f t="shared" si="25"/>
        <v>1</v>
      </c>
      <c r="Y76" s="67">
        <f t="shared" si="26"/>
        <v>23.297999999999998</v>
      </c>
      <c r="Z76" s="67">
        <f t="shared" si="27"/>
        <v>1.61E-2</v>
      </c>
      <c r="AA76" s="67">
        <f t="shared" si="28"/>
        <v>23.281899999999997</v>
      </c>
      <c r="AB76" s="64" t="str">
        <f>VLOOKUP(A76,Enforcements!$C$7:$K$21,8,0)</f>
        <v>Speed (6)</v>
      </c>
      <c r="AC76" s="60" t="str">
        <f>VLOOKUP(A76,Enforcements!$C$7:$E$21,3,0)</f>
        <v>PERMANENT SPEED RESTRICTION</v>
      </c>
      <c r="AD76" s="61" t="str">
        <f t="shared" si="29"/>
        <v>0164-16</v>
      </c>
      <c r="AE76" s="91" t="str">
        <f t="shared" si="30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76" s="88" t="str">
        <f t="shared" si="31"/>
        <v>"C:\Program Files (x86)\AstroGrep\AstroGrep.exe" /spath="%USERPROFILE%\AppData\Local\Temp\OnboardLogs" /stypes="app*4041*20161016*" /stext=" 19:.+((SYSTEM_STATE.+slice.+state.+changed )|(ment ac)|(system.+state.+changed )|(\[timeout)|(PRM\|1\|D)|(kpr)|(kdp)|(\|lc)|(penalty))" /e /r /s</v>
      </c>
      <c r="AG76" s="1" t="str">
        <f t="shared" si="32"/>
        <v>EC</v>
      </c>
      <c r="AH76" s="92" t="str">
        <f t="shared" si="17"/>
        <v>"%USERPROFILE%\Documents\GitHub\eaglep3\Utilities\RefineRTDCRunTimes.py" --tripid 164-16 --locoid 4041 --swversion DE.1.0.7.0 --startMP 204:232980 --initTime 2016-10-16T12:19:11 --startdatetime 2016-10-16T12:26:19 --delay 1 --endMP 204:161 --enddatetime 2016-10-16T13:07:29 --enforcementcount 1 &gt;&gt;C:\Users\stu\Documents\GitHub\eaglep3-reporting\EC\2016-10-16-refined-times.txt</v>
      </c>
      <c r="AI76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{"issue":{"subject":"","project_id":79,"tracker_id":40,"status_id":1,"priority_id":2,"assigned_to_id":23,"start_date":"2016-10-16","description":"","custom_fields":[{"id":1,"name":"Subdivision","value":"EC"},{"id":4,"name":"Milepost","value":"0.0161"},{"id":17,"name":"Train ID","value":"164-16"},{"id":16,"name":"Locomotive ID","value":"4041"},{"id":130,"name":"Impact","value":""},{"id":150,"name":"Time of Event (Mountain Time)","value":"13:07:29"},{"id":151,"name":"Denver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504</v>
      </c>
      <c r="B77" s="7">
        <v>4018</v>
      </c>
      <c r="C77" s="22" t="s">
        <v>99</v>
      </c>
      <c r="D77" s="22" t="s">
        <v>237</v>
      </c>
      <c r="E77" s="13">
        <v>42659.485486111109</v>
      </c>
      <c r="F77" s="13">
        <v>42659.490219907406</v>
      </c>
      <c r="G77" s="7">
        <v>1</v>
      </c>
      <c r="H77" s="13" t="s">
        <v>636</v>
      </c>
      <c r="I77" s="13">
        <v>42659.515486111108</v>
      </c>
      <c r="J77" s="7">
        <v>1</v>
      </c>
      <c r="K77" s="112" t="str">
        <f t="shared" si="19"/>
        <v>4017/4018</v>
      </c>
      <c r="L77" s="22" t="str">
        <f>VLOOKUP(A77,'Trips&amp;Operators'!$C$1:$E$10000,3,FALSE)</f>
        <v>MOSES</v>
      </c>
      <c r="M77" s="6">
        <f t="shared" si="20"/>
        <v>2.5266203701903578E-2</v>
      </c>
      <c r="N77" s="7">
        <f t="shared" si="21"/>
        <v>36.383333330741152</v>
      </c>
      <c r="O77" s="7"/>
      <c r="P77" s="7"/>
      <c r="Q77" s="23"/>
      <c r="R77" s="23"/>
      <c r="S77" s="35">
        <f t="shared" si="59"/>
        <v>1</v>
      </c>
      <c r="T77" s="50" t="str">
        <f t="shared" si="22"/>
        <v>NorthBound</v>
      </c>
      <c r="U77" s="14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10:39:06-0600',mode:absolute,to:'2016-10-16 13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7" s="52" t="str">
        <f t="shared" si="24"/>
        <v>N</v>
      </c>
      <c r="X77" s="149">
        <f t="shared" si="25"/>
        <v>1</v>
      </c>
      <c r="Y77" s="67">
        <f t="shared" si="26"/>
        <v>4.58E-2</v>
      </c>
      <c r="Z77" s="67">
        <f t="shared" si="27"/>
        <v>23.330400000000001</v>
      </c>
      <c r="AA77" s="67">
        <f t="shared" si="28"/>
        <v>23.284600000000001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29"/>
        <v>0165-16</v>
      </c>
      <c r="AE77" s="91" t="str">
        <f t="shared" si="30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77" s="88" t="str">
        <f t="shared" si="31"/>
        <v>"C:\Program Files (x86)\AstroGrep\AstroGrep.exe" /spath="%USERPROFILE%\AppData\Local\Temp\OnboardLogs" /stypes="app*4018*20161016*" /stext=" 18:.+((SYSTEM_STATE.+slice.+state.+changed )|(ment ac)|(system.+state.+changed )|(\[timeout)|(PRM\|1\|D)|(kpr)|(kdp)|(\|lc)|(penalty))" /e /r /s</v>
      </c>
      <c r="AG77" s="1" t="str">
        <f t="shared" si="32"/>
        <v>EC</v>
      </c>
      <c r="AH77" s="92" t="str">
        <f t="shared" si="17"/>
        <v>"%USERPROFILE%\Documents\GitHub\eaglep3\Utilities\RefineRTDCRunTimes.py" --tripid 165-16 --locoid 4018 --swversion DE.1.0.7.0 --startMP 204:458 --initTime 2016-10-16T11:39:06 --startdatetime 2016-10-16T11:45:55 --delay 1 --endMP 204:233304 --enddatetime 2016-10-16T12:22:18 --enforcementcount 1 &gt;&gt;C:\Users\stu\Documents\GitHub\eaglep3-reporting\EC\2016-10-16-refined-times.txt</v>
      </c>
      <c r="AI77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{"issue":{"subject":"","project_id":79,"tracker_id":40,"status_id":1,"priority_id":2,"assigned_to_id":23,"start_date":"2016-10-16","description":"","custom_fields":[{"id":1,"name":"Subdivision","value":"EC"},{"id":4,"name":"Milepost","value":"23.3304"},{"id":17,"name":"Train ID","value":"165-16"},{"id":16,"name":"Locomotive ID","value":"4018"},{"id":130,"name":"Impact","value":""},{"id":150,"name":"Time of Event (Mountain Time)","value":"12:22:18"},{"id":151,"name":"Denver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512</v>
      </c>
      <c r="B78" s="7">
        <v>4017</v>
      </c>
      <c r="C78" s="22" t="s">
        <v>99</v>
      </c>
      <c r="D78" s="22" t="s">
        <v>637</v>
      </c>
      <c r="E78" s="13">
        <v>42659.524629629632</v>
      </c>
      <c r="F78" s="13">
        <v>42659.528900462959</v>
      </c>
      <c r="G78" s="7">
        <v>1</v>
      </c>
      <c r="H78" s="13" t="s">
        <v>238</v>
      </c>
      <c r="I78" s="13">
        <v>42659.555648148147</v>
      </c>
      <c r="J78" s="7">
        <v>1</v>
      </c>
      <c r="K78" s="112" t="str">
        <f t="shared" si="19"/>
        <v>4017/4018</v>
      </c>
      <c r="L78" s="22" t="str">
        <f>VLOOKUP(A78,'Trips&amp;Operators'!$C$1:$E$10000,3,FALSE)</f>
        <v>MOSES</v>
      </c>
      <c r="M78" s="6">
        <f t="shared" si="20"/>
        <v>2.6747685187729076E-2</v>
      </c>
      <c r="N78" s="7">
        <f t="shared" si="21"/>
        <v>38.516666670329869</v>
      </c>
      <c r="O78" s="7"/>
      <c r="P78" s="7"/>
      <c r="Q78" s="23"/>
      <c r="R78" s="23"/>
      <c r="S78" s="35">
        <f t="shared" si="59"/>
        <v>1</v>
      </c>
      <c r="T78" s="50" t="str">
        <f t="shared" si="22"/>
        <v>Southbound</v>
      </c>
      <c r="U78" s="14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https://search-rtdc-monitor-bjffxe2xuh6vdkpspy63sjmuny.us-east-1.es.amazonaws.com/_plugin/kibana/#/discover/Steve-Slow-Train-Analysis-(2080s-and-2083s)?_g=(refreshInterval:(display:Off,section:0,value:0),time:(from:'2016-10-16 11:35:28-0600',mode:absolute,to:'2016-10-16 14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8" s="52" t="str">
        <f t="shared" si="24"/>
        <v>N</v>
      </c>
      <c r="X78" s="149">
        <f t="shared" si="25"/>
        <v>1</v>
      </c>
      <c r="Y78" s="67">
        <f t="shared" si="26"/>
        <v>23.299299999999999</v>
      </c>
      <c r="Z78" s="67">
        <f t="shared" si="27"/>
        <v>1.49E-2</v>
      </c>
      <c r="AA78" s="67">
        <f t="shared" si="28"/>
        <v>23.284399999999998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29"/>
        <v>0166-16</v>
      </c>
      <c r="AE78" s="91" t="str">
        <f t="shared" si="30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78" s="88" t="str">
        <f t="shared" si="31"/>
        <v>"C:\Program Files (x86)\AstroGrep\AstroGrep.exe" /spath="%USERPROFILE%\AppData\Local\Temp\OnboardLogs" /stypes="app*4017*20161016*" /stext=" 19:.+((SYSTEM_STATE.+slice.+state.+changed )|(ment ac)|(system.+state.+changed )|(\[timeout)|(PRM\|1\|D)|(kpr)|(kdp)|(\|lc)|(penalty))" /e /r /s</v>
      </c>
      <c r="AG78" s="1" t="str">
        <f t="shared" si="32"/>
        <v>EC</v>
      </c>
      <c r="AH78" s="92" t="str">
        <f t="shared" si="17"/>
        <v>"%USERPROFILE%\Documents\GitHub\eaglep3\Utilities\RefineRTDCRunTimes.py" --tripid 166-16 --locoid 4017 --swversion DE.1.0.7.0 --startMP 204:232993 --initTime 2016-10-16T12:35:28 --startdatetime 2016-10-16T12:41:37 --delay 1 --endMP 204:149 --enddatetime 2016-10-16T13:20:08 --enforcementcount 1 &gt;&gt;C:\Users\stu\Documents\GitHub\eaglep3-reporting\EC\2016-10-16-refined-times.txt</v>
      </c>
      <c r="AI78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ID","value":"166-16"},{"id":16,"name":"Locomotive ID","value":"4017"},{"id":130,"name":"Impact","value":""},{"id":150,"name":"Time of Event (Mountain Time)","value":"13:20:08"},{"id":151,"name":"Denver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416</v>
      </c>
      <c r="B79" s="7">
        <v>4040</v>
      </c>
      <c r="C79" s="22" t="s">
        <v>99</v>
      </c>
      <c r="D79" s="22" t="s">
        <v>259</v>
      </c>
      <c r="E79" s="13">
        <v>42659.496793981481</v>
      </c>
      <c r="F79" s="13">
        <v>42659.500277777777</v>
      </c>
      <c r="G79" s="7">
        <v>1</v>
      </c>
      <c r="H79" s="13" t="s">
        <v>638</v>
      </c>
      <c r="I79" s="13">
        <v>42659.526990740742</v>
      </c>
      <c r="J79" s="7">
        <v>1</v>
      </c>
      <c r="K79" s="112" t="str">
        <f t="shared" ref="K79:K110" si="60">IF(ISEVEN(B79),(B79-1)&amp;"/"&amp;B79,B79&amp;"/"&amp;(B79+1))</f>
        <v>4039/4040</v>
      </c>
      <c r="L79" s="22" t="str">
        <f>VLOOKUP(A79,'Trips&amp;Operators'!$C$1:$E$10000,3,FALSE)</f>
        <v>YOUNG</v>
      </c>
      <c r="M79" s="6">
        <f t="shared" ref="M79:M110" si="61">I79-F79</f>
        <v>2.6712962964666076E-2</v>
      </c>
      <c r="N79" s="7">
        <f t="shared" ref="N79:N110" si="62">24*60*SUM($M79:$M79)</f>
        <v>38.466666669119149</v>
      </c>
      <c r="O79" s="7"/>
      <c r="P79" s="7"/>
      <c r="Q79" s="23"/>
      <c r="R79" s="23"/>
      <c r="S79" s="35">
        <f t="shared" ref="S79:S110" si="63">SUM(U79:U79)/IF(AG79="EC",12,1)</f>
        <v>1</v>
      </c>
      <c r="T79" s="50" t="str">
        <f t="shared" ref="T79:T110" si="64">IF(ISEVEN(LEFT(AD79,4)),"Southbound","NorthBound")</f>
        <v>NorthBound</v>
      </c>
      <c r="U79" s="14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ref="V79:V110" si="65"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https://search-rtdc-monitor-bjffxe2xuh6vdkpspy63sjmuny.us-east-1.es.amazonaws.com/_plugin/kibana/#/discover/Steve-Slow-Train-Analysis-(2080s-and-2083s)?_g=(refreshInterval:(display:Off,section:0,value:0),time:(from:'2016-10-16 10:55:23-0600',mode:absolute,to:'2016-10-16 13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9" s="52" t="str">
        <f t="shared" ref="W79:W110" si="66">IF(AA79&lt;IF(AG79="EC",23,5.65),"Y","N")</f>
        <v>N</v>
      </c>
      <c r="X79" s="149">
        <f t="shared" ref="X79:X110" si="67">VALUE(LEFT(AD79,4))-VALUE(LEFT(AD78,4))</f>
        <v>1</v>
      </c>
      <c r="Y79" s="67">
        <f t="shared" ref="Y79:Y110" si="68">RIGHT(D79,LEN(D79)-4)/10000</f>
        <v>4.7800000000000002E-2</v>
      </c>
      <c r="Z79" s="67">
        <f t="shared" ref="Z79:Z110" si="69">RIGHT(H79,LEN(H79)-4)/10000</f>
        <v>23.331800000000001</v>
      </c>
      <c r="AA79" s="67">
        <f t="shared" ref="AA79:AA110" si="70">ABS(Z79-Y79)</f>
        <v>23.284000000000002</v>
      </c>
      <c r="AB79" s="64" t="str">
        <f>VLOOKUP(A79,Enforcements!$C$7:$K$21,8,0)</f>
        <v>Speed (6)</v>
      </c>
      <c r="AC79" s="60" t="str">
        <f>VLOOKUP(A79,Enforcements!$C$7:$E$21,3,0)</f>
        <v>PERMANENT SPEED RESTRICTION</v>
      </c>
      <c r="AD79" s="61" t="str">
        <f t="shared" ref="AD79:AD110" si="71">IF(LEN(A79)=6,"0"&amp;A79,A79)</f>
        <v>0167-16</v>
      </c>
      <c r="AE79" s="91" t="str">
        <f t="shared" ref="AE79:AE110" si="72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79" s="88" t="str">
        <f t="shared" ref="AF79:AF110" si="73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/stypes="app*4040*20161016*" /stext=" 18:.+((SYSTEM_STATE.+slice.+state.+changed )|(ment ac)|(system.+state.+changed )|(\[timeout)|(PRM\|1\|D)|(kpr)|(kdp)|(\|lc)|(penalty))" /e /r /s</v>
      </c>
      <c r="AG79" s="1" t="str">
        <f t="shared" ref="AG79:AG110" si="74">IFERROR(IF(VALUE(LEFT(AD79,2))&lt;=2,"EC",IF(OR(VALUE(LEFT(AD79,2))=8,VALUE(LEFT(AD79,2))=18),"NW","Other")),"Other")</f>
        <v>EC</v>
      </c>
      <c r="AH79" s="92" t="str">
        <f t="shared" si="17"/>
        <v>"%USERPROFILE%\Documents\GitHub\eaglep3\Utilities\RefineRTDCRunTimes.py" --tripid 167-16 --locoid 4040 --swversion DE.1.0.7.0 --startMP 204:478 --initTime 2016-10-16T11:55:23 --startdatetime 2016-10-16T12:00:24 --delay 1 --endMP 204:233318 --enddatetime 2016-10-16T12:38:52 --enforcementcount 1 &gt;&gt;C:\Users\stu\Documents\GitHub\eaglep3-reporting\EC\2016-10-16-refined-times.txt</v>
      </c>
      <c r="AI79" s="122" t="str">
        <f t="shared" si="18"/>
        <v>echo {"issue":{"subject":"","project_id":79,"tracker_id":40,"status_id":1,"priority_id":2,"assigned_to_id":23,"start_date":"2016-10-16","description":"","custom_fields":[{"id":1,"name":"Subdivision","value":"EC"},{"id":4,"name":"Milepost","value":"23.3318"},{"id":17,"name":"Train ID","value":"167-16"},{"id":16,"name":"Locomotive ID","value":"4040"},{"id":130,"name":"Impact","value":""},{"id":150,"name":"Time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514</v>
      </c>
      <c r="B80" s="7">
        <v>4039</v>
      </c>
      <c r="C80" s="22" t="s">
        <v>99</v>
      </c>
      <c r="D80" s="22" t="s">
        <v>381</v>
      </c>
      <c r="E80" s="13">
        <v>42659.530335648145</v>
      </c>
      <c r="F80" s="13">
        <v>42659.539097222223</v>
      </c>
      <c r="G80" s="7">
        <v>1</v>
      </c>
      <c r="H80" s="13" t="s">
        <v>238</v>
      </c>
      <c r="I80" s="13">
        <v>42659.567210648151</v>
      </c>
      <c r="J80" s="7">
        <v>1</v>
      </c>
      <c r="K80" s="112" t="str">
        <f t="shared" si="60"/>
        <v>4039/4040</v>
      </c>
      <c r="L80" s="22" t="str">
        <f>VLOOKUP(A80,'Trips&amp;Operators'!$C$1:$E$10000,3,FALSE)</f>
        <v>YOUNG</v>
      </c>
      <c r="M80" s="6">
        <f t="shared" si="61"/>
        <v>2.8113425927585922E-2</v>
      </c>
      <c r="N80" s="7">
        <f t="shared" si="62"/>
        <v>40.483333335723728</v>
      </c>
      <c r="O80" s="7"/>
      <c r="P80" s="7"/>
      <c r="Q80" s="23"/>
      <c r="R80" s="23"/>
      <c r="S80" s="35">
        <f t="shared" si="63"/>
        <v>1</v>
      </c>
      <c r="T80" s="50" t="str">
        <f t="shared" si="64"/>
        <v>Southbound</v>
      </c>
      <c r="U80" s="14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11:43:41-0600',mode:absolute,to:'2016-10-16 14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0" s="52" t="str">
        <f t="shared" si="66"/>
        <v>N</v>
      </c>
      <c r="X80" s="149">
        <f t="shared" si="67"/>
        <v>1</v>
      </c>
      <c r="Y80" s="67">
        <f t="shared" si="68"/>
        <v>23.3</v>
      </c>
      <c r="Z80" s="67">
        <f t="shared" si="69"/>
        <v>1.49E-2</v>
      </c>
      <c r="AA80" s="67">
        <f t="shared" si="70"/>
        <v>23.2851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71"/>
        <v>0168-16</v>
      </c>
      <c r="AE80" s="91" t="str">
        <f t="shared" si="72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80" s="88" t="str">
        <f t="shared" si="73"/>
        <v>"C:\Program Files (x86)\AstroGrep\AstroGrep.exe" /spath="%USERPROFILE%\AppData\Local\Temp\OnboardLogs" /stypes="app*4039*20161016*" /stext=" 19:.+((SYSTEM_STATE.+slice.+state.+changed )|(ment ac)|(system.+state.+changed )|(\[timeout)|(PRM\|1\|D)|(kpr)|(kdp)|(\|lc)|(penalty))" /e /r /s</v>
      </c>
      <c r="AG80" s="1" t="str">
        <f t="shared" si="74"/>
        <v>EC</v>
      </c>
      <c r="AH80" s="92" t="str">
        <f t="shared" ref="AH80:AH143" si="75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168-16 --locoid 4039 --swversion DE.1.0.7.0 --startMP 204:233000 --initTime 2016-10-16T12:43:41 --startdatetime 2016-10-16T12:56:18 --delay 1 --endMP 204:149 --enddatetime 2016-10-16T13:36:47 --enforcementcount 1 &gt;&gt;C:\Users\stu\Documents\GitHub\eaglep3-reporting\EC\2016-10-16-refined-times.txt</v>
      </c>
      <c r="AI80" s="122" t="str">
        <f t="shared" ref="AI80:AI143" si="76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ID","value":"168-16"},{"id":16,"name":"Locomotive ID","value":"4039"},{"id":130,"name":"Impact","value":""},{"id":150,"name":"Time of Event (Mountain Time)","value":"13:36:47"},{"id":151,"name":"Denver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508</v>
      </c>
      <c r="B81" s="7">
        <v>4046</v>
      </c>
      <c r="C81" s="22" t="s">
        <v>99</v>
      </c>
      <c r="D81" s="22" t="s">
        <v>385</v>
      </c>
      <c r="E81" s="13">
        <v>42659.506493055553</v>
      </c>
      <c r="F81" s="13">
        <v>42659.510601851849</v>
      </c>
      <c r="G81" s="7">
        <v>1</v>
      </c>
      <c r="H81" s="13" t="s">
        <v>396</v>
      </c>
      <c r="I81" s="13">
        <v>42659.536805555559</v>
      </c>
      <c r="J81" s="7">
        <v>1</v>
      </c>
      <c r="K81" s="112" t="str">
        <f t="shared" si="60"/>
        <v>4045/4046</v>
      </c>
      <c r="L81" s="22" t="str">
        <f>VLOOKUP(A81,'Trips&amp;Operators'!$C$1:$E$10000,3,FALSE)</f>
        <v>CLARK</v>
      </c>
      <c r="M81" s="6">
        <f t="shared" si="61"/>
        <v>2.620370371005265E-2</v>
      </c>
      <c r="N81" s="7">
        <f t="shared" si="62"/>
        <v>37.733333342475817</v>
      </c>
      <c r="O81" s="7"/>
      <c r="P81" s="7"/>
      <c r="Q81" s="23"/>
      <c r="R81" s="23"/>
      <c r="S81" s="35">
        <f t="shared" si="63"/>
        <v>1</v>
      </c>
      <c r="T81" s="50" t="str">
        <f t="shared" si="64"/>
        <v>NorthBound</v>
      </c>
      <c r="U81" s="14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11:09:21-0600',mode:absolute,to:'2016-10-16 13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1" s="52" t="str">
        <f t="shared" si="66"/>
        <v>N</v>
      </c>
      <c r="X81" s="149">
        <f t="shared" si="67"/>
        <v>1</v>
      </c>
      <c r="Y81" s="67">
        <f t="shared" si="68"/>
        <v>4.8899999999999999E-2</v>
      </c>
      <c r="Z81" s="67">
        <f t="shared" si="69"/>
        <v>23.328700000000001</v>
      </c>
      <c r="AA81" s="67">
        <f t="shared" si="70"/>
        <v>23.279800000000002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71"/>
        <v>0169-16</v>
      </c>
      <c r="AE81" s="91" t="str">
        <f t="shared" si="72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81" s="88" t="str">
        <f t="shared" si="73"/>
        <v>"C:\Program Files (x86)\AstroGrep\AstroGrep.exe" /spath="%USERPROFILE%\AppData\Local\Temp\OnboardLogs" /stypes="app*4046*20161016*" /stext=" 18:.+((SYSTEM_STATE.+slice.+state.+changed )|(ment ac)|(system.+state.+changed )|(\[timeout)|(PRM\|1\|D)|(kpr)|(kdp)|(\|lc)|(penalty))" /e /r /s</v>
      </c>
      <c r="AG81" s="1" t="str">
        <f t="shared" si="74"/>
        <v>EC</v>
      </c>
      <c r="AH81" s="92" t="str">
        <f t="shared" si="75"/>
        <v>"%USERPROFILE%\Documents\GitHub\eaglep3\Utilities\RefineRTDCRunTimes.py" --tripid 169-16 --locoid 4046 --swversion DE.1.0.7.0 --startMP 204:489 --initTime 2016-10-16T12:09:21 --startdatetime 2016-10-16T12:15:16 --delay 1 --endMP 204:233287 --enddatetime 2016-10-16T12:53:00 --enforcementcount 1 &gt;&gt;C:\Users\stu\Documents\GitHub\eaglep3-reporting\EC\2016-10-16-refined-times.txt</v>
      </c>
      <c r="AI8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{"issue":{"subject":"","project_id":79,"tracker_id":40,"status_id":1,"priority_id":2,"assigned_to_id":23,"start_date":"2016-10-16","description":"","custom_fields":[{"id":1,"name":"Subdivision","value":"EC"},{"id":4,"name":"Milepost","value":"23.3287"},{"id":17,"name":"Train ID","value":"169-16"},{"id":16,"name":"Locomotive ID","value":"4046"},{"id":130,"name":"Impact","value":""},{"id":150,"name":"Time of Event (Mountain Time)","value":"12:53:00"},{"id":151,"name":"Denver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516</v>
      </c>
      <c r="B82" s="7">
        <v>4045</v>
      </c>
      <c r="C82" s="22" t="s">
        <v>99</v>
      </c>
      <c r="D82" s="22" t="s">
        <v>267</v>
      </c>
      <c r="E82" s="13">
        <v>42659.543321759258</v>
      </c>
      <c r="F82" s="13">
        <v>42659.549583333333</v>
      </c>
      <c r="G82" s="7">
        <v>1</v>
      </c>
      <c r="H82" s="13" t="s">
        <v>639</v>
      </c>
      <c r="I82" s="13">
        <v>42659.578692129631</v>
      </c>
      <c r="J82" s="7">
        <v>1</v>
      </c>
      <c r="K82" s="112" t="str">
        <f t="shared" si="60"/>
        <v>4045/4046</v>
      </c>
      <c r="L82" s="22" t="str">
        <f>VLOOKUP(A82,'Trips&amp;Operators'!$C$1:$E$10000,3,FALSE)</f>
        <v>CLARK</v>
      </c>
      <c r="M82" s="6">
        <f t="shared" si="61"/>
        <v>2.9108796297805384E-2</v>
      </c>
      <c r="N82" s="7">
        <f t="shared" si="62"/>
        <v>41.916666668839753</v>
      </c>
      <c r="O82" s="7"/>
      <c r="P82" s="7"/>
      <c r="Q82" s="23"/>
      <c r="R82" s="23"/>
      <c r="S82" s="35">
        <f t="shared" si="63"/>
        <v>1</v>
      </c>
      <c r="T82" s="50" t="str">
        <f t="shared" si="64"/>
        <v>Southbound</v>
      </c>
      <c r="U82" s="14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12:02:23-0600',mode:absolute,to:'2016-10-16 14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2" s="52" t="str">
        <f t="shared" si="66"/>
        <v>N</v>
      </c>
      <c r="X82" s="149">
        <f t="shared" si="67"/>
        <v>1</v>
      </c>
      <c r="Y82" s="67">
        <f t="shared" si="68"/>
        <v>23.297899999999998</v>
      </c>
      <c r="Z82" s="67">
        <f t="shared" si="69"/>
        <v>1.78E-2</v>
      </c>
      <c r="AA82" s="67">
        <f t="shared" si="70"/>
        <v>23.280099999999997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71"/>
        <v>0170-16</v>
      </c>
      <c r="AE82" s="91" t="str">
        <f t="shared" si="72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82" s="88" t="str">
        <f t="shared" si="73"/>
        <v>"C:\Program Files (x86)\AstroGrep\AstroGrep.exe" /spath="%USERPROFILE%\AppData\Local\Temp\OnboardLogs" /stypes="app*4045*20161016*" /stext=" 19:.+((SYSTEM_STATE.+slice.+state.+changed )|(ment ac)|(system.+state.+changed )|(\[timeout)|(PRM\|1\|D)|(kpr)|(kdp)|(\|lc)|(penalty))" /e /r /s</v>
      </c>
      <c r="AG82" s="1" t="str">
        <f t="shared" si="74"/>
        <v>EC</v>
      </c>
      <c r="AH82" s="92" t="str">
        <f t="shared" si="75"/>
        <v>"%USERPROFILE%\Documents\GitHub\eaglep3\Utilities\RefineRTDCRunTimes.py" --tripid 170-16 --locoid 4045 --swversion DE.1.0.7.0 --startMP 204:232979 --initTime 2016-10-16T13:02:23 --startdatetime 2016-10-16T13:11:24 --delay 1 --endMP 204:178 --enddatetime 2016-10-16T13:53:19 --enforcementcount 1 &gt;&gt;C:\Users\stu\Documents\GitHub\eaglep3-reporting\EC\2016-10-16-refined-times.txt</v>
      </c>
      <c r="AI8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{"issue":{"subject":"","project_id":79,"tracker_id":40,"status_id":1,"priority_id":2,"assigned_to_id":23,"start_date":"2016-10-16","description":"","custom_fields":[{"id":1,"name":"Subdivision","value":"EC"},{"id":4,"name":"Milepost","value":"0.0178"},{"id":17,"name":"Train ID","value":"170-16"},{"id":16,"name":"Locomotive ID","value":"4045"},{"id":130,"name":"Impact","value":""},{"id":150,"name":"Time of Event (Mountain Time)","value":"13:53:19"},{"id":151,"name":"Denver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510</v>
      </c>
      <c r="B83" s="7">
        <v>4029</v>
      </c>
      <c r="C83" s="22" t="s">
        <v>99</v>
      </c>
      <c r="D83" s="22" t="s">
        <v>256</v>
      </c>
      <c r="E83" s="13">
        <v>42659.515185185184</v>
      </c>
      <c r="F83" s="13">
        <v>42659.521018518521</v>
      </c>
      <c r="G83" s="7">
        <v>1</v>
      </c>
      <c r="H83" s="13" t="s">
        <v>640</v>
      </c>
      <c r="I83" s="13">
        <v>42659.546377314815</v>
      </c>
      <c r="J83" s="7">
        <v>1</v>
      </c>
      <c r="K83" s="112" t="str">
        <f t="shared" si="60"/>
        <v>4029/4030</v>
      </c>
      <c r="L83" s="22" t="str">
        <f>VLOOKUP(A83,'Trips&amp;Operators'!$C$1:$E$10000,3,FALSE)</f>
        <v>SHOOK</v>
      </c>
      <c r="M83" s="6">
        <f t="shared" si="61"/>
        <v>2.5358796294312924E-2</v>
      </c>
      <c r="N83" s="7">
        <f t="shared" si="62"/>
        <v>36.516666663810611</v>
      </c>
      <c r="O83" s="7"/>
      <c r="P83" s="7"/>
      <c r="Q83" s="23"/>
      <c r="R83" s="23"/>
      <c r="S83" s="35">
        <f t="shared" si="63"/>
        <v>1</v>
      </c>
      <c r="T83" s="50" t="str">
        <f t="shared" si="64"/>
        <v>NorthBound</v>
      </c>
      <c r="U83" s="14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11:21:52-0600',mode:absolute,to:'2016-10-16 14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3" s="52" t="str">
        <f t="shared" si="66"/>
        <v>N</v>
      </c>
      <c r="X83" s="149">
        <f t="shared" si="67"/>
        <v>1</v>
      </c>
      <c r="Y83" s="67">
        <f t="shared" si="68"/>
        <v>4.6199999999999998E-2</v>
      </c>
      <c r="Z83" s="67">
        <f t="shared" si="69"/>
        <v>23.337</v>
      </c>
      <c r="AA83" s="67">
        <f t="shared" si="70"/>
        <v>23.290800000000001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71"/>
        <v>0171-16</v>
      </c>
      <c r="AE83" s="91" t="str">
        <f t="shared" si="72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83" s="88" t="str">
        <f t="shared" si="73"/>
        <v>"C:\Program Files (x86)\AstroGrep\AstroGrep.exe" /spath="%USERPROFILE%\AppData\Local\Temp\OnboardLogs" /stypes="app*4029*20161016*" /stext=" 19:.+((SYSTEM_STATE.+slice.+state.+changed )|(ment ac)|(system.+state.+changed )|(\[timeout)|(PRM\|1\|D)|(kpr)|(kdp)|(\|lc)|(penalty))" /e /r /s</v>
      </c>
      <c r="AG83" s="1" t="str">
        <f t="shared" si="74"/>
        <v>EC</v>
      </c>
      <c r="AH83" s="92" t="str">
        <f t="shared" si="75"/>
        <v>"%USERPROFILE%\Documents\GitHub\eaglep3\Utilities\RefineRTDCRunTimes.py" --tripid 171-16 --locoid 4029 --swversion DE.1.0.7.0 --startMP 204:462 --initTime 2016-10-16T12:21:52 --startdatetime 2016-10-16T12:30:16 --delay 1 --endMP 204:233370 --enddatetime 2016-10-16T13:06:47 --enforcementcount 1 &gt;&gt;C:\Users\stu\Documents\GitHub\eaglep3-reporting\EC\2016-10-16-refined-times.txt</v>
      </c>
      <c r="AI8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{"issue":{"subject":"","project_id":79,"tracker_id":40,"status_id":1,"priority_id":2,"assigned_to_id":23,"start_date":"2016-10-16","description":"","custom_fields":[{"id":1,"name":"Subdivision","value":"EC"},{"id":4,"name":"Milepost","value":"23.337"},{"id":17,"name":"Train ID","value":"171-16"},{"id":16,"name":"Locomotive ID","value":"4029"},{"id":130,"name":"Impact","value":""},{"id":150,"name":"Time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519</v>
      </c>
      <c r="B84" s="7">
        <v>4030</v>
      </c>
      <c r="C84" s="22" t="s">
        <v>99</v>
      </c>
      <c r="D84" s="22" t="s">
        <v>641</v>
      </c>
      <c r="E84" s="13">
        <v>42659.554525462961</v>
      </c>
      <c r="F84" s="13">
        <v>42659.559930555559</v>
      </c>
      <c r="G84" s="7">
        <v>1</v>
      </c>
      <c r="H84" s="13" t="s">
        <v>177</v>
      </c>
      <c r="I84" s="13">
        <v>42659.586840277778</v>
      </c>
      <c r="J84" s="7">
        <v>1</v>
      </c>
      <c r="K84" s="112" t="str">
        <f t="shared" si="60"/>
        <v>4029/4030</v>
      </c>
      <c r="L84" s="22" t="str">
        <f>VLOOKUP(A84,'Trips&amp;Operators'!$C$1:$E$10000,3,FALSE)</f>
        <v>SHOOK</v>
      </c>
      <c r="M84" s="6">
        <f t="shared" si="61"/>
        <v>2.6909722218988463E-2</v>
      </c>
      <c r="N84" s="7">
        <f t="shared" si="62"/>
        <v>38.749999995343387</v>
      </c>
      <c r="O84" s="7"/>
      <c r="P84" s="7"/>
      <c r="Q84" s="23"/>
      <c r="R84" s="23"/>
      <c r="S84" s="35">
        <f t="shared" si="63"/>
        <v>1</v>
      </c>
      <c r="T84" s="50" t="str">
        <f t="shared" si="64"/>
        <v>Southbound</v>
      </c>
      <c r="U84" s="14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12:18:31-0600',mode:absolute,to:'2016-10-16 15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4" s="52" t="str">
        <f t="shared" si="66"/>
        <v>N</v>
      </c>
      <c r="X84" s="149">
        <f t="shared" si="67"/>
        <v>1</v>
      </c>
      <c r="Y84" s="67">
        <f t="shared" si="68"/>
        <v>23.3019</v>
      </c>
      <c r="Z84" s="67">
        <f t="shared" si="69"/>
        <v>1.52E-2</v>
      </c>
      <c r="AA84" s="67">
        <f t="shared" si="70"/>
        <v>23.2867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71"/>
        <v>0172-16</v>
      </c>
      <c r="AE84" s="91" t="str">
        <f t="shared" si="72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84" s="88" t="str">
        <f t="shared" si="73"/>
        <v>"C:\Program Files (x86)\AstroGrep\AstroGrep.exe" /spath="%USERPROFILE%\AppData\Local\Temp\OnboardLogs" /stypes="app*4030*20161016*" /stext=" 20:.+((SYSTEM_STATE.+slice.+state.+changed )|(ment ac)|(system.+state.+changed )|(\[timeout)|(PRM\|1\|D)|(kpr)|(kdp)|(\|lc)|(penalty))" /e /r /s</v>
      </c>
      <c r="AG84" s="1" t="str">
        <f t="shared" si="74"/>
        <v>EC</v>
      </c>
      <c r="AH84" s="92" t="str">
        <f t="shared" si="75"/>
        <v>"%USERPROFILE%\Documents\GitHub\eaglep3\Utilities\RefineRTDCRunTimes.py" --tripid 172-16 --locoid 4030 --swversion DE.1.0.7.0 --startMP 204:233019 --initTime 2016-10-16T13:18:31 --startdatetime 2016-10-16T13:26:18 --delay 1 --endMP 204:152 --enddatetime 2016-10-16T14:05:03 --enforcementcount 1 &gt;&gt;C:\Users\stu\Documents\GitHub\eaglep3-reporting\EC\2016-10-16-refined-times.txt</v>
      </c>
      <c r="AI84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ID","value":"172-16"},{"id":16,"name":"Locomotive ID","value":"4030"},{"id":130,"name":"Impact","value":""},{"id":150,"name":"Time of Event (Mountain Time)","value":"14:05:03"},{"id":151,"name":"Denver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419</v>
      </c>
      <c r="B85" s="7">
        <v>4031</v>
      </c>
      <c r="C85" s="22" t="s">
        <v>99</v>
      </c>
      <c r="D85" s="22" t="s">
        <v>258</v>
      </c>
      <c r="E85" s="13">
        <v>42659.527002314811</v>
      </c>
      <c r="F85" s="13">
        <v>42659.531712962962</v>
      </c>
      <c r="G85" s="7">
        <v>1</v>
      </c>
      <c r="H85" s="13" t="s">
        <v>245</v>
      </c>
      <c r="I85" s="13">
        <v>42659.557662037034</v>
      </c>
      <c r="J85" s="7">
        <v>1</v>
      </c>
      <c r="K85" s="112" t="str">
        <f t="shared" si="60"/>
        <v>4031/4032</v>
      </c>
      <c r="L85" s="22" t="str">
        <f>VLOOKUP(A85,'Trips&amp;Operators'!$C$1:$E$10000,3,FALSE)</f>
        <v>STEWART</v>
      </c>
      <c r="M85" s="6">
        <f t="shared" si="61"/>
        <v>2.5949074071832001E-2</v>
      </c>
      <c r="N85" s="7">
        <f t="shared" si="62"/>
        <v>37.366666663438082</v>
      </c>
      <c r="O85" s="7"/>
      <c r="P85" s="7"/>
      <c r="Q85" s="23"/>
      <c r="R85" s="23"/>
      <c r="S85" s="35">
        <f t="shared" si="63"/>
        <v>1</v>
      </c>
      <c r="T85" s="50" t="str">
        <f t="shared" si="64"/>
        <v>NorthBound</v>
      </c>
      <c r="U85" s="14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11:38:53-0600',mode:absolute,to:'2016-10-16 14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66"/>
        <v>N</v>
      </c>
      <c r="X85" s="149">
        <f t="shared" si="67"/>
        <v>1</v>
      </c>
      <c r="Y85" s="67">
        <f t="shared" si="68"/>
        <v>4.6600000000000003E-2</v>
      </c>
      <c r="Z85" s="67">
        <f t="shared" si="69"/>
        <v>23.33</v>
      </c>
      <c r="AA85" s="67">
        <f t="shared" si="70"/>
        <v>23.283399999999997</v>
      </c>
      <c r="AB85" s="64" t="str">
        <f>VLOOKUP(A85,Enforcements!$C$7:$K$21,8,0)</f>
        <v>Signal based authority (5)</v>
      </c>
      <c r="AC85" s="60" t="str">
        <f>VLOOKUP(A85,Enforcements!$C$7:$E$21,3,0)</f>
        <v>SIGNAL</v>
      </c>
      <c r="AD85" s="61" t="str">
        <f t="shared" si="71"/>
        <v>0173-16</v>
      </c>
      <c r="AE85" s="91" t="str">
        <f t="shared" si="72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85" s="88" t="str">
        <f t="shared" si="73"/>
        <v>"C:\Program Files (x86)\AstroGrep\AstroGrep.exe" /spath="%USERPROFILE%\AppData\Local\Temp\OnboardLogs" /stypes="app*4031*20161016*" /stext=" 19:.+((SYSTEM_STATE.+slice.+state.+changed )|(ment ac)|(system.+state.+changed )|(\[timeout)|(PRM\|1\|D)|(kpr)|(kdp)|(\|lc)|(penalty))" /e /r /s</v>
      </c>
      <c r="AG85" s="1" t="str">
        <f t="shared" si="74"/>
        <v>EC</v>
      </c>
      <c r="AH85" s="92" t="str">
        <f t="shared" si="75"/>
        <v>"%USERPROFILE%\Documents\GitHub\eaglep3\Utilities\RefineRTDCRunTimes.py" --tripid 173-16 --locoid 4031 --swversion DE.1.0.7.0 --startMP 204:466 --initTime 2016-10-16T12:38:53 --startdatetime 2016-10-16T12:45:40 --delay 1 --endMP 204:233300 --enddatetime 2016-10-16T13:23:02 --enforcementcount 1 &gt;&gt;C:\Users\stu\Documents\GitHub\eaglep3-reporting\EC\2016-10-16-refined-times.txt</v>
      </c>
      <c r="AI85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{"issue":{"subject":"","project_id":79,"tracker_id":40,"status_id":1,"priority_id":2,"assigned_to_id":23,"start_date":"2016-10-16","description":"","custom_fields":[{"id":1,"name":"Subdivision","value":"EC"},{"id":4,"name":"Milepost","value":"23.33"},{"id":17,"name":"Train ID","value":"173-16"},{"id":16,"name":"Locomotive ID","value":"4031"},{"id":130,"name":"Impact","value":""},{"id":150,"name":"Time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523</v>
      </c>
      <c r="B86" s="7">
        <v>4032</v>
      </c>
      <c r="C86" s="22" t="s">
        <v>99</v>
      </c>
      <c r="D86" s="22" t="s">
        <v>626</v>
      </c>
      <c r="E86" s="13">
        <v>42659.569189814814</v>
      </c>
      <c r="F86" s="13">
        <v>42659.570694444446</v>
      </c>
      <c r="G86" s="7">
        <v>1</v>
      </c>
      <c r="H86" s="13" t="s">
        <v>254</v>
      </c>
      <c r="I86" s="13">
        <v>42659.598229166666</v>
      </c>
      <c r="J86" s="7">
        <v>1</v>
      </c>
      <c r="K86" s="112" t="str">
        <f t="shared" si="60"/>
        <v>4031/4032</v>
      </c>
      <c r="L86" s="22" t="str">
        <f>VLOOKUP(A86,'Trips&amp;Operators'!$C$1:$E$10000,3,FALSE)</f>
        <v>STEWART</v>
      </c>
      <c r="M86" s="6">
        <f t="shared" si="61"/>
        <v>2.753472221957054E-2</v>
      </c>
      <c r="N86" s="7">
        <f t="shared" si="62"/>
        <v>39.649999996181577</v>
      </c>
      <c r="O86" s="7"/>
      <c r="P86" s="7"/>
      <c r="Q86" s="23"/>
      <c r="R86" s="23"/>
      <c r="S86" s="35">
        <f t="shared" si="63"/>
        <v>1</v>
      </c>
      <c r="T86" s="50" t="str">
        <f t="shared" si="64"/>
        <v>Southbound</v>
      </c>
      <c r="U86" s="14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12:39:38-0600',mode:absolute,to:'2016-10-16 15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66"/>
        <v>N</v>
      </c>
      <c r="X86" s="149">
        <f t="shared" si="67"/>
        <v>1</v>
      </c>
      <c r="Y86" s="67">
        <f t="shared" si="68"/>
        <v>23.298100000000002</v>
      </c>
      <c r="Z86" s="67">
        <f t="shared" si="69"/>
        <v>1.34E-2</v>
      </c>
      <c r="AA86" s="67">
        <f t="shared" si="70"/>
        <v>23.284700000000001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71"/>
        <v>0174-16</v>
      </c>
      <c r="AE86" s="91" t="str">
        <f t="shared" si="72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86" s="88" t="str">
        <f t="shared" si="73"/>
        <v>"C:\Program Files (x86)\AstroGrep\AstroGrep.exe" /spath="%USERPROFILE%\AppData\Local\Temp\OnboardLogs" /stypes="app*4032*20161016*" /stext=" 20:.+((SYSTEM_STATE.+slice.+state.+changed )|(ment ac)|(system.+state.+changed )|(\[timeout)|(PRM\|1\|D)|(kpr)|(kdp)|(\|lc)|(penalty))" /e /r /s</v>
      </c>
      <c r="AG86" s="1" t="str">
        <f t="shared" si="74"/>
        <v>EC</v>
      </c>
      <c r="AH86" s="92" t="str">
        <f t="shared" si="75"/>
        <v>"%USERPROFILE%\Documents\GitHub\eaglep3\Utilities\RefineRTDCRunTimes.py" --tripid 174-16 --locoid 4032 --swversion DE.1.0.7.0 --startMP 204:232981 --initTime 2016-10-16T13:39:38 --startdatetime 2016-10-16T13:41:48 --delay 1 --endMP 204:134 --enddatetime 2016-10-16T14:21:27 --enforcementcount 1 &gt;&gt;C:\Users\stu\Documents\GitHub\eaglep3-reporting\EC\2016-10-16-refined-times.txt</v>
      </c>
      <c r="AI86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{"issue":{"subject":"","project_id":79,"tracker_id":40,"status_id":1,"priority_id":2,"assigned_to_id":23,"start_date":"2016-10-16","description":"","custom_fields":[{"id":1,"name":"Subdivision","value":"EC"},{"id":4,"name":"Milepost","value":"0.0134"},{"id":17,"name":"Train ID","value":"174-16"},{"id":16,"name":"Locomotive ID","value":"4032"},{"id":130,"name":"Impact","value":""},{"id":150,"name":"Time of Event (Mountain Time)","value":"14:21:27"},{"id":151,"name":"Denver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515</v>
      </c>
      <c r="B87" s="7">
        <v>4027</v>
      </c>
      <c r="C87" s="22" t="s">
        <v>99</v>
      </c>
      <c r="D87" s="22" t="s">
        <v>248</v>
      </c>
      <c r="E87" s="13">
        <v>42659.537268518521</v>
      </c>
      <c r="F87" s="13">
        <v>42659.542245370372</v>
      </c>
      <c r="G87" s="7">
        <v>1</v>
      </c>
      <c r="H87" s="13" t="s">
        <v>642</v>
      </c>
      <c r="I87" s="13">
        <v>42659.567835648151</v>
      </c>
      <c r="J87" s="7">
        <v>1</v>
      </c>
      <c r="K87" s="112" t="str">
        <f t="shared" si="60"/>
        <v>4027/4028</v>
      </c>
      <c r="L87" s="22" t="str">
        <f>VLOOKUP(A87,'Trips&amp;Operators'!$C$1:$E$10000,3,FALSE)</f>
        <v>BARTLETT</v>
      </c>
      <c r="M87" s="6">
        <f t="shared" si="61"/>
        <v>2.5590277778974269E-2</v>
      </c>
      <c r="N87" s="7">
        <f t="shared" si="62"/>
        <v>36.850000001722947</v>
      </c>
      <c r="O87" s="7"/>
      <c r="P87" s="7"/>
      <c r="Q87" s="23"/>
      <c r="R87" s="23"/>
      <c r="S87" s="35">
        <f t="shared" si="63"/>
        <v>1</v>
      </c>
      <c r="T87" s="50" t="str">
        <f t="shared" si="64"/>
        <v>NorthBound</v>
      </c>
      <c r="U87" s="14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11:53:40-0600',mode:absolute,to:'2016-10-16 14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7" s="52" t="str">
        <f t="shared" si="66"/>
        <v>N</v>
      </c>
      <c r="X87" s="149">
        <f t="shared" si="67"/>
        <v>1</v>
      </c>
      <c r="Y87" s="67">
        <f t="shared" si="68"/>
        <v>4.5499999999999999E-2</v>
      </c>
      <c r="Z87" s="67">
        <f t="shared" si="69"/>
        <v>23.3324</v>
      </c>
      <c r="AA87" s="67">
        <f t="shared" si="70"/>
        <v>23.286899999999999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71"/>
        <v>0175-16</v>
      </c>
      <c r="AE87" s="91" t="str">
        <f t="shared" si="72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87" s="88" t="str">
        <f t="shared" si="73"/>
        <v>"C:\Program Files (x86)\AstroGrep\AstroGrep.exe" /spath="%USERPROFILE%\AppData\Local\Temp\OnboardLogs" /stypes="app*4027*20161016*" /stext=" 19:.+((SYSTEM_STATE.+slice.+state.+changed )|(ment ac)|(system.+state.+changed )|(\[timeout)|(PRM\|1\|D)|(kpr)|(kdp)|(\|lc)|(penalty))" /e /r /s</v>
      </c>
      <c r="AG87" s="1" t="str">
        <f t="shared" si="74"/>
        <v>EC</v>
      </c>
      <c r="AH87" s="92" t="str">
        <f t="shared" si="75"/>
        <v>"%USERPROFILE%\Documents\GitHub\eaglep3\Utilities\RefineRTDCRunTimes.py" --tripid 175-16 --locoid 4027 --swversion DE.1.0.7.0 --startMP 204:455 --initTime 2016-10-16T12:53:40 --startdatetime 2016-10-16T13:00:50 --delay 1 --endMP 204:233324 --enddatetime 2016-10-16T13:37:41 --enforcementcount 1 &gt;&gt;C:\Users\stu\Documents\GitHub\eaglep3-reporting\EC\2016-10-16-refined-times.txt</v>
      </c>
      <c r="AI87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{"issue":{"subject":"","project_id":79,"tracker_id":40,"status_id":1,"priority_id":2,"assigned_to_id":23,"start_date":"2016-10-16","description":"","custom_fields":[{"id":1,"name":"Subdivision","value":"EC"},{"id":4,"name":"Milepost","value":"23.3324"},{"id":17,"name":"Train ID","value":"175-16"},{"id":16,"name":"Locomotive ID","value":"4027"},{"id":130,"name":"Impact","value":""},{"id":150,"name":"Time of Event (Mountain Time)","value":"13:37:41"},{"id":151,"name":"Denver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421</v>
      </c>
      <c r="B88" s="7">
        <v>4028</v>
      </c>
      <c r="C88" s="22" t="s">
        <v>99</v>
      </c>
      <c r="D88" s="22" t="s">
        <v>306</v>
      </c>
      <c r="E88" s="13">
        <v>42659.5702662037</v>
      </c>
      <c r="F88" s="13">
        <v>42659.580833333333</v>
      </c>
      <c r="G88" s="7">
        <v>1</v>
      </c>
      <c r="H88" s="13" t="s">
        <v>246</v>
      </c>
      <c r="I88" s="13">
        <v>42659.608888888892</v>
      </c>
      <c r="J88" s="7">
        <v>1</v>
      </c>
      <c r="K88" s="112" t="str">
        <f t="shared" si="60"/>
        <v>4027/4028</v>
      </c>
      <c r="L88" s="22" t="str">
        <f>VLOOKUP(A88,'Trips&amp;Operators'!$C$1:$E$10000,3,FALSE)</f>
        <v>BARTLETT</v>
      </c>
      <c r="M88" s="6">
        <f t="shared" si="61"/>
        <v>2.8055555558239575E-2</v>
      </c>
      <c r="N88" s="7">
        <f t="shared" si="62"/>
        <v>40.400000003864989</v>
      </c>
      <c r="O88" s="7"/>
      <c r="P88" s="7"/>
      <c r="Q88" s="23"/>
      <c r="R88" s="23"/>
      <c r="S88" s="35">
        <f t="shared" si="63"/>
        <v>1</v>
      </c>
      <c r="T88" s="50" t="str">
        <f t="shared" si="64"/>
        <v>Southbound</v>
      </c>
      <c r="U88" s="14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12:41:11-0600',mode:absolute,to:'2016-10-16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8" s="52" t="str">
        <f t="shared" si="66"/>
        <v>N</v>
      </c>
      <c r="X88" s="149">
        <f t="shared" si="67"/>
        <v>1</v>
      </c>
      <c r="Y88" s="67">
        <f t="shared" si="68"/>
        <v>23.2988</v>
      </c>
      <c r="Z88" s="67">
        <f t="shared" si="69"/>
        <v>1.6299999999999999E-2</v>
      </c>
      <c r="AA88" s="67">
        <f t="shared" si="70"/>
        <v>23.282499999999999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71"/>
        <v>0176-16</v>
      </c>
      <c r="AE88" s="91" t="str">
        <f t="shared" si="72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88" s="88" t="str">
        <f t="shared" si="73"/>
        <v>"C:\Program Files (x86)\AstroGrep\AstroGrep.exe" /spath="%USERPROFILE%\AppData\Local\Temp\OnboardLogs" /stypes="app*4028*20161016*" /stext=" 20:.+((SYSTEM_STATE.+slice.+state.+changed )|(ment ac)|(system.+state.+changed )|(\[timeout)|(PRM\|1\|D)|(kpr)|(kdp)|(\|lc)|(penalty))" /e /r /s</v>
      </c>
      <c r="AG88" s="1" t="str">
        <f t="shared" si="74"/>
        <v>EC</v>
      </c>
      <c r="AH88" s="92" t="str">
        <f t="shared" si="75"/>
        <v>"%USERPROFILE%\Documents\GitHub\eaglep3\Utilities\RefineRTDCRunTimes.py" --tripid 176-16 --locoid 4028 --swversion DE.1.0.7.0 --startMP 204:232988 --initTime 2016-10-16T13:41:11 --startdatetime 2016-10-16T13:56:24 --delay 1 --endMP 204:163 --enddatetime 2016-10-16T14:36:48 --enforcementcount 1 &gt;&gt;C:\Users\stu\Documents\GitHub\eaglep3-reporting\EC\2016-10-16-refined-times.txt</v>
      </c>
      <c r="AI88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{"issue":{"subject":"","project_id":79,"tracker_id":40,"status_id":1,"priority_id":2,"assigned_to_id":23,"start_date":"2016-10-16","description":"","custom_fields":[{"id":1,"name":"Subdivision","value":"EC"},{"id":4,"name":"Milepost","value":"0.0163"},{"id":17,"name":"Train ID","value":"176-16"},{"id":16,"name":"Locomotive ID","value":"4028"},{"id":130,"name":"Impact","value":""},{"id":150,"name":"Time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517</v>
      </c>
      <c r="B89" s="7">
        <v>4042</v>
      </c>
      <c r="C89" s="22" t="s">
        <v>99</v>
      </c>
      <c r="D89" s="22" t="s">
        <v>268</v>
      </c>
      <c r="E89" s="13">
        <v>42659.549085648148</v>
      </c>
      <c r="F89" s="13">
        <v>42659.55232638889</v>
      </c>
      <c r="G89" s="7">
        <v>1</v>
      </c>
      <c r="H89" s="13" t="s">
        <v>239</v>
      </c>
      <c r="I89" s="13">
        <v>42659.578703703701</v>
      </c>
      <c r="J89" s="7">
        <v>1</v>
      </c>
      <c r="K89" s="112" t="str">
        <f t="shared" si="60"/>
        <v>4041/4042</v>
      </c>
      <c r="L89" s="22" t="str">
        <f>VLOOKUP(A89,'Trips&amp;Operators'!$C$1:$E$10000,3,FALSE)</f>
        <v>BRUDER</v>
      </c>
      <c r="M89" s="6">
        <f t="shared" si="61"/>
        <v>2.6377314810815733E-2</v>
      </c>
      <c r="N89" s="7">
        <f t="shared" si="62"/>
        <v>37.983333327574655</v>
      </c>
      <c r="O89" s="7"/>
      <c r="P89" s="7"/>
      <c r="Q89" s="23"/>
      <c r="R89" s="23"/>
      <c r="S89" s="35">
        <f t="shared" si="63"/>
        <v>1</v>
      </c>
      <c r="T89" s="50" t="str">
        <f t="shared" si="64"/>
        <v>NorthBound</v>
      </c>
      <c r="U89" s="14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12:10:41-0600',mode:absolute,to:'2016-10-16 14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66"/>
        <v>N</v>
      </c>
      <c r="X89" s="149">
        <f t="shared" si="67"/>
        <v>1</v>
      </c>
      <c r="Y89" s="67">
        <f t="shared" si="68"/>
        <v>4.5999999999999999E-2</v>
      </c>
      <c r="Z89" s="67">
        <f t="shared" si="69"/>
        <v>23.3293</v>
      </c>
      <c r="AA89" s="67">
        <f t="shared" si="70"/>
        <v>23.283300000000001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71"/>
        <v>0177-16</v>
      </c>
      <c r="AE89" s="91" t="str">
        <f t="shared" si="72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89" s="88" t="str">
        <f t="shared" si="73"/>
        <v>"C:\Program Files (x86)\AstroGrep\AstroGrep.exe" /spath="%USERPROFILE%\AppData\Local\Temp\OnboardLogs" /stypes="app*4042*20161016*" /stext=" 19:.+((SYSTEM_STATE.+slice.+state.+changed )|(ment ac)|(system.+state.+changed )|(\[timeout)|(PRM\|1\|D)|(kpr)|(kdp)|(\|lc)|(penalty))" /e /r /s</v>
      </c>
      <c r="AG89" s="1" t="str">
        <f t="shared" si="74"/>
        <v>EC</v>
      </c>
      <c r="AH89" s="92" t="str">
        <f t="shared" si="75"/>
        <v>"%USERPROFILE%\Documents\GitHub\eaglep3\Utilities\RefineRTDCRunTimes.py" --tripid 177-16 --locoid 4042 --swversion DE.1.0.7.0 --startMP 204:460 --initTime 2016-10-16T13:10:41 --startdatetime 2016-10-16T13:15:21 --delay 1 --endMP 204:233293 --enddatetime 2016-10-16T13:53:20 --enforcementcount 1 &gt;&gt;C:\Users\stu\Documents\GitHub\eaglep3-reporting\EC\2016-10-16-refined-times.txt</v>
      </c>
      <c r="AI89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{"issue":{"subject":"","project_id":79,"tracker_id":40,"status_id":1,"priority_id":2,"assigned_to_id":23,"start_date":"2016-10-16","description":"","custom_fields":[{"id":1,"name":"Subdivision","value":"EC"},{"id":4,"name":"Milepost","value":"23.3293"},{"id":17,"name":"Train ID","value":"177-16"},{"id":16,"name":"Locomotive ID","value":"4042"},{"id":130,"name":"Impact","value":""},{"id":150,"name":"Time of Event (Mountain Time)","value":"13:53:20"},{"id":151,"name":"Denver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525</v>
      </c>
      <c r="B90" s="7">
        <v>4041</v>
      </c>
      <c r="C90" s="22" t="s">
        <v>99</v>
      </c>
      <c r="D90" s="22" t="s">
        <v>351</v>
      </c>
      <c r="E90" s="13">
        <v>42659.58625</v>
      </c>
      <c r="F90" s="13">
        <v>42659.591192129628</v>
      </c>
      <c r="G90" s="7">
        <v>1</v>
      </c>
      <c r="H90" s="13" t="s">
        <v>234</v>
      </c>
      <c r="I90" s="13">
        <v>42659.620370370372</v>
      </c>
      <c r="J90" s="7">
        <v>1</v>
      </c>
      <c r="K90" s="112" t="str">
        <f t="shared" si="60"/>
        <v>4041/4042</v>
      </c>
      <c r="L90" s="22" t="str">
        <f>VLOOKUP(A90,'Trips&amp;Operators'!$C$1:$E$10000,3,FALSE)</f>
        <v>BRUDER</v>
      </c>
      <c r="M90" s="6">
        <f t="shared" si="61"/>
        <v>2.9178240743931383E-2</v>
      </c>
      <c r="N90" s="7">
        <f t="shared" si="62"/>
        <v>42.016666671261191</v>
      </c>
      <c r="O90" s="7"/>
      <c r="P90" s="7"/>
      <c r="Q90" s="23"/>
      <c r="R90" s="23"/>
      <c r="S90" s="35">
        <f t="shared" si="63"/>
        <v>1</v>
      </c>
      <c r="T90" s="50" t="str">
        <f t="shared" si="64"/>
        <v>Southbound</v>
      </c>
      <c r="U90" s="14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13:04:12-0600',mode:absolute,to:'2016-10-16 15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66"/>
        <v>N</v>
      </c>
      <c r="X90" s="149">
        <f t="shared" si="67"/>
        <v>1</v>
      </c>
      <c r="Y90" s="67">
        <f t="shared" si="68"/>
        <v>23.2987</v>
      </c>
      <c r="Z90" s="67">
        <f t="shared" si="69"/>
        <v>1.61E-2</v>
      </c>
      <c r="AA90" s="67">
        <f t="shared" si="70"/>
        <v>23.282599999999999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71"/>
        <v>0178-16</v>
      </c>
      <c r="AE90" s="91" t="str">
        <f t="shared" si="72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90" s="88" t="str">
        <f t="shared" si="73"/>
        <v>"C:\Program Files (x86)\AstroGrep\AstroGrep.exe" /spath="%USERPROFILE%\AppData\Local\Temp\OnboardLogs" /stypes="app*4041*20161016*" /stext=" 20:.+((SYSTEM_STATE.+slice.+state.+changed )|(ment ac)|(system.+state.+changed )|(\[timeout)|(PRM\|1\|D)|(kpr)|(kdp)|(\|lc)|(penalty))" /e /r /s</v>
      </c>
      <c r="AG90" s="1" t="str">
        <f t="shared" si="74"/>
        <v>EC</v>
      </c>
      <c r="AH90" s="92" t="str">
        <f t="shared" si="75"/>
        <v>"%USERPROFILE%\Documents\GitHub\eaglep3\Utilities\RefineRTDCRunTimes.py" --tripid 178-16 --locoid 4041 --swversion DE.1.0.7.0 --startMP 204:232987 --initTime 2016-10-16T14:04:12 --startdatetime 2016-10-16T14:11:19 --delay 1 --endMP 204:161 --enddatetime 2016-10-16T14:53:20 --enforcementcount 1 &gt;&gt;C:\Users\stu\Documents\GitHub\eaglep3-reporting\EC\2016-10-16-refined-times.txt</v>
      </c>
      <c r="AI90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{"issue":{"subject":"","project_id":79,"tracker_id":40,"status_id":1,"priority_id":2,"assigned_to_id":23,"start_date":"2016-10-16","description":"","custom_fields":[{"id":1,"name":"Subdivision","value":"EC"},{"id":4,"name":"Milepost","value":"0.0161"},{"id":17,"name":"Train ID","value":"178-16"},{"id":16,"name":"Locomotive ID","value":"4041"},{"id":130,"name":"Impact","value":""},{"id":150,"name":"Time of Event (Mountain Time)","value":"14:53:20"},{"id":151,"name":"Denver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520</v>
      </c>
      <c r="B91" s="7">
        <v>4018</v>
      </c>
      <c r="C91" s="22" t="s">
        <v>99</v>
      </c>
      <c r="D91" s="22" t="s">
        <v>268</v>
      </c>
      <c r="E91" s="13">
        <v>42659.559583333335</v>
      </c>
      <c r="F91" s="13">
        <v>42659.562731481485</v>
      </c>
      <c r="G91" s="7">
        <v>4</v>
      </c>
      <c r="H91" s="13" t="s">
        <v>197</v>
      </c>
      <c r="I91" s="13">
        <v>42659.587708333333</v>
      </c>
      <c r="J91" s="7">
        <v>1</v>
      </c>
      <c r="K91" s="112" t="str">
        <f t="shared" si="60"/>
        <v>4017/4018</v>
      </c>
      <c r="L91" s="22" t="str">
        <f>VLOOKUP(A91,'Trips&amp;Operators'!$C$1:$E$10000,3,FALSE)</f>
        <v>MOSES</v>
      </c>
      <c r="M91" s="6">
        <f t="shared" si="61"/>
        <v>2.4976851847895887E-2</v>
      </c>
      <c r="N91" s="7">
        <f t="shared" si="62"/>
        <v>35.966666660970077</v>
      </c>
      <c r="O91" s="7"/>
      <c r="P91" s="7"/>
      <c r="Q91" s="23"/>
      <c r="R91" s="23"/>
      <c r="S91" s="35">
        <f t="shared" si="63"/>
        <v>1</v>
      </c>
      <c r="T91" s="50" t="str">
        <f t="shared" si="64"/>
        <v>NorthBound</v>
      </c>
      <c r="U91" s="14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12:25:48-0600',mode:absolute,to:'2016-10-16 15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1" s="52" t="str">
        <f t="shared" si="66"/>
        <v>N</v>
      </c>
      <c r="X91" s="149">
        <f t="shared" si="67"/>
        <v>1</v>
      </c>
      <c r="Y91" s="67">
        <f t="shared" si="68"/>
        <v>4.5999999999999999E-2</v>
      </c>
      <c r="Z91" s="67">
        <f t="shared" si="69"/>
        <v>23.329699999999999</v>
      </c>
      <c r="AA91" s="67">
        <f t="shared" si="70"/>
        <v>23.2837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71"/>
        <v>0179-16</v>
      </c>
      <c r="AE91" s="91" t="str">
        <f t="shared" si="72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91" s="88" t="str">
        <f t="shared" si="73"/>
        <v>"C:\Program Files (x86)\AstroGrep\AstroGrep.exe" /spath="%USERPROFILE%\AppData\Local\Temp\OnboardLogs" /stypes="app*4018*20161016*" /stext=" 20:.+((SYSTEM_STATE.+slice.+state.+changed )|(ment ac)|(system.+state.+changed )|(\[timeout)|(PRM\|1\|D)|(kpr)|(kdp)|(\|lc)|(penalty))" /e /r /s</v>
      </c>
      <c r="AG91" s="1" t="str">
        <f t="shared" si="74"/>
        <v>EC</v>
      </c>
      <c r="AH91" s="92" t="str">
        <f t="shared" si="75"/>
        <v>"%USERPROFILE%\Documents\GitHub\eaglep3\Utilities\RefineRTDCRunTimes.py" --tripid 179-16 --locoid 4018 --swversion DE.1.0.7.0 --startMP 204:460 --initTime 2016-10-16T13:25:48 --startdatetime 2016-10-16T13:30:20 --delay 4 --endMP 204:233297 --enddatetime 2016-10-16T14:06:18 --enforcementcount 1 &gt;&gt;C:\Users\stu\Documents\GitHub\eaglep3-reporting\EC\2016-10-16-refined-times.txt</v>
      </c>
      <c r="AI9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ID","value":"179-16"},{"id":16,"name":"Locomotive ID","value":"4018"},{"id":130,"name":"Impact","value":""},{"id":150,"name":"Time of Event (Mountain Time)","value":"14:06:18"},{"id":151,"name":"Denver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527</v>
      </c>
      <c r="B92" s="7">
        <v>4017</v>
      </c>
      <c r="C92" s="22" t="s">
        <v>99</v>
      </c>
      <c r="D92" s="22" t="s">
        <v>350</v>
      </c>
      <c r="E92" s="13">
        <v>42659.596967592595</v>
      </c>
      <c r="F92" s="13">
        <v>42659.601631944446</v>
      </c>
      <c r="G92" s="7">
        <v>1</v>
      </c>
      <c r="H92" s="13" t="s">
        <v>177</v>
      </c>
      <c r="I92" s="13">
        <v>42659.628564814811</v>
      </c>
      <c r="J92" s="7">
        <v>1</v>
      </c>
      <c r="K92" s="112" t="str">
        <f t="shared" si="60"/>
        <v>4017/4018</v>
      </c>
      <c r="L92" s="22" t="str">
        <f>VLOOKUP(A92,'Trips&amp;Operators'!$C$1:$E$10000,3,FALSE)</f>
        <v>MOSES</v>
      </c>
      <c r="M92" s="6">
        <f t="shared" si="61"/>
        <v>2.693287036527181E-2</v>
      </c>
      <c r="N92" s="7">
        <f t="shared" si="62"/>
        <v>38.783333325991407</v>
      </c>
      <c r="O92" s="7"/>
      <c r="P92" s="7"/>
      <c r="Q92" s="23"/>
      <c r="R92" s="23"/>
      <c r="S92" s="35">
        <f t="shared" si="63"/>
        <v>1</v>
      </c>
      <c r="T92" s="50" t="str">
        <f t="shared" si="64"/>
        <v>Southbound</v>
      </c>
      <c r="U92" s="14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13:19:38-0600',mode:absolute,to:'2016-10-16 16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2" s="52" t="str">
        <f t="shared" si="66"/>
        <v>N</v>
      </c>
      <c r="X92" s="149">
        <f t="shared" si="67"/>
        <v>1</v>
      </c>
      <c r="Y92" s="67">
        <f t="shared" si="68"/>
        <v>23.296299999999999</v>
      </c>
      <c r="Z92" s="67">
        <f t="shared" si="69"/>
        <v>1.52E-2</v>
      </c>
      <c r="AA92" s="67">
        <f t="shared" si="70"/>
        <v>23.281099999999999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71"/>
        <v>0180-16</v>
      </c>
      <c r="AE92" s="91" t="str">
        <f t="shared" si="72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92" s="88" t="str">
        <f t="shared" si="73"/>
        <v>"C:\Program Files (x86)\AstroGrep\AstroGrep.exe" /spath="%USERPROFILE%\AppData\Local\Temp\OnboardLogs" /stypes="app*4017*20161016*" /stext=" 21:.+((SYSTEM_STATE.+slice.+state.+changed )|(ment ac)|(system.+state.+changed )|(\[timeout)|(PRM\|1\|D)|(kpr)|(kdp)|(\|lc)|(penalty))" /e /r /s</v>
      </c>
      <c r="AG92" s="1" t="str">
        <f t="shared" si="74"/>
        <v>EC</v>
      </c>
      <c r="AH92" s="92" t="str">
        <f t="shared" si="75"/>
        <v>"%USERPROFILE%\Documents\GitHub\eaglep3\Utilities\RefineRTDCRunTimes.py" --tripid 180-16 --locoid 4017 --swversion DE.1.0.7.0 --startMP 204:232963 --initTime 2016-10-16T14:19:38 --startdatetime 2016-10-16T14:26:21 --delay 1 --endMP 204:152 --enddatetime 2016-10-16T15:05:08 --enforcementcount 1 &gt;&gt;C:\Users\stu\Documents\GitHub\eaglep3-reporting\EC\2016-10-16-refined-times.txt</v>
      </c>
      <c r="AI9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ID","value":"180-16"},{"id":16,"name":"Locomotive ID","value":"4017"},{"id":130,"name":"Impact","value":""},{"id":150,"name":"Time of Event (Mountain Time)","value":"15:05:08"},{"id":151,"name":"Denver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522</v>
      </c>
      <c r="B93" s="7">
        <v>4040</v>
      </c>
      <c r="C93" s="22" t="s">
        <v>99</v>
      </c>
      <c r="D93" s="22" t="s">
        <v>255</v>
      </c>
      <c r="E93" s="13">
        <v>42659.568564814814</v>
      </c>
      <c r="F93" s="13">
        <v>42659.573333333334</v>
      </c>
      <c r="G93" s="7">
        <v>1</v>
      </c>
      <c r="H93" s="13" t="s">
        <v>183</v>
      </c>
      <c r="I93" s="13">
        <v>42659.601076388892</v>
      </c>
      <c r="J93" s="7">
        <v>1</v>
      </c>
      <c r="K93" s="112" t="str">
        <f t="shared" si="60"/>
        <v>4039/4040</v>
      </c>
      <c r="L93" s="22" t="str">
        <f>VLOOKUP(A93,'Trips&amp;Operators'!$C$1:$E$10000,3,FALSE)</f>
        <v>YOUNG</v>
      </c>
      <c r="M93" s="6">
        <f t="shared" si="61"/>
        <v>2.7743055557948537E-2</v>
      </c>
      <c r="N93" s="7">
        <f t="shared" si="62"/>
        <v>39.950000003445894</v>
      </c>
      <c r="O93" s="7"/>
      <c r="P93" s="7"/>
      <c r="Q93" s="23"/>
      <c r="R93" s="23"/>
      <c r="S93" s="35">
        <f t="shared" si="63"/>
        <v>1</v>
      </c>
      <c r="T93" s="50" t="str">
        <f t="shared" si="64"/>
        <v>NorthBound</v>
      </c>
      <c r="U93" s="14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12:38:44-0600',mode:absolute,to:'2016-10-16 15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3" s="52" t="str">
        <f t="shared" si="66"/>
        <v>N</v>
      </c>
      <c r="X93" s="149">
        <f t="shared" si="67"/>
        <v>1</v>
      </c>
      <c r="Y93" s="67">
        <f t="shared" si="68"/>
        <v>4.5699999999999998E-2</v>
      </c>
      <c r="Z93" s="67">
        <f t="shared" si="69"/>
        <v>23.331199999999999</v>
      </c>
      <c r="AA93" s="67">
        <f t="shared" si="70"/>
        <v>23.285499999999999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71"/>
        <v>0181-16</v>
      </c>
      <c r="AE93" s="91" t="str">
        <f t="shared" si="72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93" s="88" t="str">
        <f t="shared" si="73"/>
        <v>"C:\Program Files (x86)\AstroGrep\AstroGrep.exe" /spath="%USERPROFILE%\AppData\Local\Temp\OnboardLogs" /stypes="app*4040*20161016*" /stext=" 20:.+((SYSTEM_STATE.+slice.+state.+changed )|(ment ac)|(system.+state.+changed )|(\[timeout)|(PRM\|1\|D)|(kpr)|(kdp)|(\|lc)|(penalty))" /e /r /s</v>
      </c>
      <c r="AG93" s="1" t="str">
        <f t="shared" si="74"/>
        <v>EC</v>
      </c>
      <c r="AH93" s="92" t="str">
        <f t="shared" si="75"/>
        <v>"%USERPROFILE%\Documents\GitHub\eaglep3\Utilities\RefineRTDCRunTimes.py" --tripid 181-16 --locoid 4040 --swversion DE.1.0.7.0 --startMP 204:457 --initTime 2016-10-16T13:38:44 --startdatetime 2016-10-16T13:45:36 --delay 1 --endMP 204:233312 --enddatetime 2016-10-16T14:25:33 --enforcementcount 1 &gt;&gt;C:\Users\stu\Documents\GitHub\eaglep3-reporting\EC\2016-10-16-refined-times.txt</v>
      </c>
      <c r="AI9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{"issue":{"subject":"","project_id":79,"tracker_id":40,"status_id":1,"priority_id":2,"assigned_to_id":23,"start_date":"2016-10-16","description":"","custom_fields":[{"id":1,"name":"Subdivision","value":"EC"},{"id":4,"name":"Milepost","value":"23.3312"},{"id":17,"name":"Train ID","value":"181-16"},{"id":16,"name":"Locomotive ID","value":"4040"},{"id":130,"name":"Impact","value":""},{"id":150,"name":"Time of Event (Mountain Time)","value":"14:25:33"},{"id":151,"name":"Denver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529</v>
      </c>
      <c r="B94" s="7">
        <v>4039</v>
      </c>
      <c r="C94" s="22" t="s">
        <v>99</v>
      </c>
      <c r="D94" s="22" t="s">
        <v>300</v>
      </c>
      <c r="E94" s="13">
        <v>42659.605462962965</v>
      </c>
      <c r="F94" s="13">
        <v>42659.612199074072</v>
      </c>
      <c r="G94" s="7">
        <v>1</v>
      </c>
      <c r="H94" s="13" t="s">
        <v>665</v>
      </c>
      <c r="I94" s="13">
        <v>42659.640717592592</v>
      </c>
      <c r="J94" s="7">
        <v>1</v>
      </c>
      <c r="K94" s="112" t="str">
        <f t="shared" si="60"/>
        <v>4039/4040</v>
      </c>
      <c r="L94" s="22" t="str">
        <f>VLOOKUP(A94,'Trips&amp;Operators'!$C$1:$E$10000,3,FALSE)</f>
        <v>YOUNG</v>
      </c>
      <c r="M94" s="6">
        <f t="shared" si="61"/>
        <v>2.8518518520286307E-2</v>
      </c>
      <c r="N94" s="7">
        <f t="shared" si="62"/>
        <v>41.066666669212282</v>
      </c>
      <c r="O94" s="7"/>
      <c r="P94" s="7"/>
      <c r="Q94" s="23"/>
      <c r="R94" s="23"/>
      <c r="S94" s="35">
        <f t="shared" si="63"/>
        <v>1</v>
      </c>
      <c r="T94" s="50" t="str">
        <f t="shared" si="64"/>
        <v>Southbound</v>
      </c>
      <c r="U94" s="14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13:31:52-0600',mode:absolute,to:'2016-10-16 16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4" s="52" t="str">
        <f t="shared" si="66"/>
        <v>N</v>
      </c>
      <c r="X94" s="149">
        <f t="shared" si="67"/>
        <v>1</v>
      </c>
      <c r="Y94" s="67">
        <f t="shared" si="68"/>
        <v>23.299800000000001</v>
      </c>
      <c r="Z94" s="67">
        <f t="shared" si="69"/>
        <v>1.9599999999999999E-2</v>
      </c>
      <c r="AA94" s="67">
        <f t="shared" si="70"/>
        <v>23.280200000000001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71"/>
        <v>0182-16</v>
      </c>
      <c r="AE94" s="91" t="str">
        <f t="shared" si="72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94" s="88" t="str">
        <f t="shared" si="73"/>
        <v>"C:\Program Files (x86)\AstroGrep\AstroGrep.exe" /spath="%USERPROFILE%\AppData\Local\Temp\OnboardLogs" /stypes="app*4039*20161016*" /stext=" 21:.+((SYSTEM_STATE.+slice.+state.+changed )|(ment ac)|(system.+state.+changed )|(\[timeout)|(PRM\|1\|D)|(kpr)|(kdp)|(\|lc)|(penalty))" /e /r /s</v>
      </c>
      <c r="AG94" s="1" t="str">
        <f t="shared" si="74"/>
        <v>EC</v>
      </c>
      <c r="AH94" s="92" t="str">
        <f t="shared" si="75"/>
        <v>"%USERPROFILE%\Documents\GitHub\eaglep3\Utilities\RefineRTDCRunTimes.py" --tripid 182-16 --locoid 4039 --swversion DE.1.0.7.0 --startMP 204:232998 --initTime 2016-10-16T14:31:52 --startdatetime 2016-10-16T14:41:34 --delay 1 --endMP 204:196 --enddatetime 2016-10-16T15:22:38 --enforcementcount 1 &gt;&gt;C:\Users\stu\Documents\GitHub\eaglep3-reporting\EC\2016-10-16-refined-times.txt</v>
      </c>
      <c r="AI94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{"issue":{"subject":"","project_id":79,"tracker_id":40,"status_id":1,"priority_id":2,"assigned_to_id":23,"start_date":"2016-10-16","description":"","custom_fields":[{"id":1,"name":"Subdivision","value":"EC"},{"id":4,"name":"Milepost","value":"0.0196"},{"id":17,"name":"Train ID","value":"182-16"},{"id":16,"name":"Locomotive ID","value":"4039"},{"id":130,"name":"Impact","value":""},{"id":150,"name":"Time of Event (Mountain Time)","value":"15:22:38"},{"id":151,"name":"Denver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524</v>
      </c>
      <c r="B95" s="7">
        <v>4046</v>
      </c>
      <c r="C95" s="22" t="s">
        <v>99</v>
      </c>
      <c r="D95" s="22" t="s">
        <v>675</v>
      </c>
      <c r="E95" s="13">
        <v>42659.580069444448</v>
      </c>
      <c r="F95" s="13">
        <v>42659.583518518521</v>
      </c>
      <c r="G95" s="7">
        <v>1</v>
      </c>
      <c r="H95" s="13" t="s">
        <v>633</v>
      </c>
      <c r="I95" s="13">
        <v>42659.608993055554</v>
      </c>
      <c r="J95" s="7">
        <v>1</v>
      </c>
      <c r="K95" s="112" t="str">
        <f t="shared" si="60"/>
        <v>4045/4046</v>
      </c>
      <c r="L95" s="22" t="str">
        <f>VLOOKUP(A95,'Trips&amp;Operators'!$C$1:$E$10000,3,FALSE)</f>
        <v>CLARK</v>
      </c>
      <c r="M95" s="6">
        <f t="shared" si="61"/>
        <v>2.5474537033005618E-2</v>
      </c>
      <c r="N95" s="7">
        <f t="shared" si="62"/>
        <v>36.683333327528089</v>
      </c>
      <c r="O95" s="7"/>
      <c r="P95" s="7"/>
      <c r="Q95" s="23"/>
      <c r="R95" s="23"/>
      <c r="S95" s="35">
        <f t="shared" si="63"/>
        <v>1</v>
      </c>
      <c r="T95" s="50" t="str">
        <f t="shared" si="64"/>
        <v>NorthBound</v>
      </c>
      <c r="U95" s="14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12:55:18-0600',mode:absolute,to:'2016-10-16 15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5" s="52" t="str">
        <f t="shared" si="66"/>
        <v>N</v>
      </c>
      <c r="X95" s="149">
        <f t="shared" si="67"/>
        <v>1</v>
      </c>
      <c r="Y95" s="67">
        <f t="shared" si="68"/>
        <v>0.05</v>
      </c>
      <c r="Z95" s="67">
        <f t="shared" si="69"/>
        <v>23.325500000000002</v>
      </c>
      <c r="AA95" s="67">
        <f t="shared" si="70"/>
        <v>23.275500000000001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71"/>
        <v>0183-16</v>
      </c>
      <c r="AE95" s="91" t="str">
        <f t="shared" si="72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95" s="88" t="str">
        <f t="shared" si="73"/>
        <v>"C:\Program Files (x86)\AstroGrep\AstroGrep.exe" /spath="%USERPROFILE%\AppData\Local\Temp\OnboardLogs" /stypes="app*4046*20161016*" /stext=" 20:.+((SYSTEM_STATE.+slice.+state.+changed )|(ment ac)|(system.+state.+changed )|(\[timeout)|(PRM\|1\|D)|(kpr)|(kdp)|(\|lc)|(penalty))" /e /r /s</v>
      </c>
      <c r="AG95" s="1" t="str">
        <f t="shared" si="74"/>
        <v>EC</v>
      </c>
      <c r="AH95" s="92" t="str">
        <f t="shared" si="75"/>
        <v>"%USERPROFILE%\Documents\GitHub\eaglep3\Utilities\RefineRTDCRunTimes.py" --tripid 183-16 --locoid 4046 --swversion DE.1.0.7.0 --startMP 204:500 --initTime 2016-10-16T13:55:18 --startdatetime 2016-10-16T14:00:16 --delay 1 --endMP 204:233255 --enddatetime 2016-10-16T14:36:57 --enforcementcount 1 &gt;&gt;C:\Users\stu\Documents\GitHub\eaglep3-reporting\EC\2016-10-16-refined-times.txt</v>
      </c>
      <c r="AI95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{"issue":{"subject":"","project_id":79,"tracker_id":40,"status_id":1,"priority_id":2,"assigned_to_id":23,"start_date":"2016-10-16","description":"","custom_fields":[{"id":1,"name":"Subdivision","value":"EC"},{"id":4,"name":"Milepost","value":"23.3255"},{"id":17,"name":"Train ID","value":"183-16"},{"id":16,"name":"Locomotive ID","value":"4046"},{"id":130,"name":"Impact","value":""},{"id":150,"name":"Time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532</v>
      </c>
      <c r="B96" s="7">
        <v>4045</v>
      </c>
      <c r="C96" s="22" t="s">
        <v>99</v>
      </c>
      <c r="D96" s="22" t="s">
        <v>679</v>
      </c>
      <c r="E96" s="13">
        <v>42659.617384259262</v>
      </c>
      <c r="F96" s="13">
        <v>42659.622384259259</v>
      </c>
      <c r="G96" s="7">
        <v>1</v>
      </c>
      <c r="H96" s="13" t="s">
        <v>384</v>
      </c>
      <c r="I96" s="13">
        <v>42659.650682870371</v>
      </c>
      <c r="J96" s="7">
        <v>1</v>
      </c>
      <c r="K96" s="112" t="str">
        <f t="shared" si="60"/>
        <v>4045/4046</v>
      </c>
      <c r="L96" s="22" t="str">
        <f>VLOOKUP(A96,'Trips&amp;Operators'!$C$1:$E$10000,3,FALSE)</f>
        <v>CLARK</v>
      </c>
      <c r="M96" s="6">
        <f t="shared" si="61"/>
        <v>2.8298611112404615E-2</v>
      </c>
      <c r="N96" s="7">
        <f t="shared" si="62"/>
        <v>40.750000001862645</v>
      </c>
      <c r="O96" s="7"/>
      <c r="P96" s="7"/>
      <c r="Q96" s="23"/>
      <c r="R96" s="23"/>
      <c r="S96" s="35">
        <f t="shared" si="63"/>
        <v>1</v>
      </c>
      <c r="T96" s="50" t="str">
        <f t="shared" si="64"/>
        <v>Southbound</v>
      </c>
      <c r="U96" s="14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13:49:02-0600',mode:absolute,to:'2016-10-16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6" s="52" t="str">
        <f t="shared" si="66"/>
        <v>N</v>
      </c>
      <c r="X96" s="149">
        <f t="shared" si="67"/>
        <v>1</v>
      </c>
      <c r="Y96" s="67">
        <f t="shared" si="68"/>
        <v>23.293800000000001</v>
      </c>
      <c r="Z96" s="67">
        <f t="shared" si="69"/>
        <v>1.89E-2</v>
      </c>
      <c r="AA96" s="67">
        <f t="shared" si="70"/>
        <v>23.274900000000002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71"/>
        <v>0184-16</v>
      </c>
      <c r="AE96" s="91" t="str">
        <f t="shared" si="72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96" s="88" t="str">
        <f t="shared" si="73"/>
        <v>"C:\Program Files (x86)\AstroGrep\AstroGrep.exe" /spath="%USERPROFILE%\AppData\Local\Temp\OnboardLogs" /stypes="app*4045*20161016*" /stext=" 21:.+((SYSTEM_STATE.+slice.+state.+changed )|(ment ac)|(system.+state.+changed )|(\[timeout)|(PRM\|1\|D)|(kpr)|(kdp)|(\|lc)|(penalty))" /e /r /s</v>
      </c>
      <c r="AG96" s="1" t="str">
        <f t="shared" si="74"/>
        <v>EC</v>
      </c>
      <c r="AH96" s="92" t="str">
        <f t="shared" si="75"/>
        <v>"%USERPROFILE%\Documents\GitHub\eaglep3\Utilities\RefineRTDCRunTimes.py" --tripid 184-16 --locoid 4045 --swversion DE.1.0.7.0 --startMP 204:232938 --initTime 2016-10-16T14:49:02 --startdatetime 2016-10-16T14:56:14 --delay 1 --endMP 204:189 --enddatetime 2016-10-16T15:36:59 --enforcementcount 1 &gt;&gt;C:\Users\stu\Documents\GitHub\eaglep3-reporting\EC\2016-10-16-refined-times.txt</v>
      </c>
      <c r="AI96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{"issue":{"subject":"","project_id":79,"tracker_id":40,"status_id":1,"priority_id":2,"assigned_to_id":23,"start_date":"2016-10-16","description":"","custom_fields":[{"id":1,"name":"Subdivision","value":"EC"},{"id":4,"name":"Milepost","value":"0.0189"},{"id":17,"name":"Train ID","value":"184-16"},{"id":16,"name":"Locomotive ID","value":"4045"},{"id":130,"name":"Impact","value":""},{"id":150,"name":"Time of Event (Mountain Time)","value":"15:36:59"},{"id":151,"name":"Denver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420</v>
      </c>
      <c r="B97" s="7">
        <v>4029</v>
      </c>
      <c r="C97" s="22" t="s">
        <v>99</v>
      </c>
      <c r="D97" s="22" t="s">
        <v>237</v>
      </c>
      <c r="E97" s="13">
        <v>42659.588680555556</v>
      </c>
      <c r="F97" s="13">
        <v>42659.593946759262</v>
      </c>
      <c r="G97" s="7">
        <v>1</v>
      </c>
      <c r="H97" s="13" t="s">
        <v>614</v>
      </c>
      <c r="I97" s="13">
        <v>42659.61922453704</v>
      </c>
      <c r="J97" s="7">
        <v>1</v>
      </c>
      <c r="K97" s="112" t="str">
        <f t="shared" si="60"/>
        <v>4029/4030</v>
      </c>
      <c r="L97" s="22" t="str">
        <f>VLOOKUP(A97,'Trips&amp;Operators'!$C$1:$E$10000,3,FALSE)</f>
        <v>SHOOK</v>
      </c>
      <c r="M97" s="6">
        <f t="shared" si="61"/>
        <v>2.527777777868323E-2</v>
      </c>
      <c r="N97" s="7">
        <f t="shared" si="62"/>
        <v>36.400000001303852</v>
      </c>
      <c r="O97" s="7"/>
      <c r="P97" s="7"/>
      <c r="Q97" s="23"/>
      <c r="R97" s="23"/>
      <c r="S97" s="35">
        <f t="shared" si="63"/>
        <v>1</v>
      </c>
      <c r="T97" s="50" t="str">
        <f t="shared" si="64"/>
        <v>NorthBound</v>
      </c>
      <c r="U97" s="14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13:07:42-0600',mode:absolute,to:'2016-10-16 15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66"/>
        <v>N</v>
      </c>
      <c r="X97" s="149">
        <f t="shared" si="67"/>
        <v>1</v>
      </c>
      <c r="Y97" s="67">
        <f t="shared" si="68"/>
        <v>4.58E-2</v>
      </c>
      <c r="Z97" s="67">
        <f t="shared" si="69"/>
        <v>23.339099999999998</v>
      </c>
      <c r="AA97" s="67">
        <f t="shared" si="70"/>
        <v>23.293299999999999</v>
      </c>
      <c r="AB97" s="64" t="str">
        <f>VLOOKUP(A97,Enforcements!$C$7:$K$21,8,0)</f>
        <v>Speed (6)</v>
      </c>
      <c r="AC97" s="60" t="str">
        <f>VLOOKUP(A97,Enforcements!$C$7:$E$21,3,0)</f>
        <v>PERMANENT SPEED RESTRICTION</v>
      </c>
      <c r="AD97" s="61" t="str">
        <f t="shared" si="71"/>
        <v>0185-16</v>
      </c>
      <c r="AE97" s="91" t="str">
        <f t="shared" si="72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97" s="88" t="str">
        <f t="shared" si="73"/>
        <v>"C:\Program Files (x86)\AstroGrep\AstroGrep.exe" /spath="%USERPROFILE%\AppData\Local\Temp\OnboardLogs" /stypes="app*4029*20161016*" /stext=" 20:.+((SYSTEM_STATE.+slice.+state.+changed )|(ment ac)|(system.+state.+changed )|(\[timeout)|(PRM\|1\|D)|(kpr)|(kdp)|(\|lc)|(penalty))" /e /r /s</v>
      </c>
      <c r="AG97" s="1" t="str">
        <f t="shared" si="74"/>
        <v>EC</v>
      </c>
      <c r="AH97" s="92" t="str">
        <f t="shared" si="75"/>
        <v>"%USERPROFILE%\Documents\GitHub\eaglep3\Utilities\RefineRTDCRunTimes.py" --tripid 185-16 --locoid 4029 --swversion DE.1.0.7.0 --startMP 204:458 --initTime 2016-10-16T14:07:42 --startdatetime 2016-10-16T14:15:17 --delay 1 --endMP 204:233391 --enddatetime 2016-10-16T14:51:41 --enforcementcount 1 &gt;&gt;C:\Users\stu\Documents\GitHub\eaglep3-reporting\EC\2016-10-16-refined-times.txt</v>
      </c>
      <c r="AI97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{"issue":{"subject":"","project_id":79,"tracker_id":40,"status_id":1,"priority_id":2,"assigned_to_id":23,"start_date":"2016-10-16","description":"","custom_fields":[{"id":1,"name":"Subdivision","value":"EC"},{"id":4,"name":"Milepost","value":"23.3391"},{"id":17,"name":"Train ID","value":"185-16"},{"id":16,"name":"Locomotive ID","value":"4029"},{"id":130,"name":"Impact","value":""},{"id":150,"name":"Time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534</v>
      </c>
      <c r="B98" s="7">
        <v>4030</v>
      </c>
      <c r="C98" s="22" t="s">
        <v>99</v>
      </c>
      <c r="D98" s="22" t="s">
        <v>680</v>
      </c>
      <c r="E98" s="13">
        <v>42659.627291666664</v>
      </c>
      <c r="F98" s="13">
        <v>42659.632835648146</v>
      </c>
      <c r="G98" s="7">
        <v>1</v>
      </c>
      <c r="H98" s="13" t="s">
        <v>238</v>
      </c>
      <c r="I98" s="13">
        <v>42659.659849537034</v>
      </c>
      <c r="J98" s="7">
        <v>1</v>
      </c>
      <c r="K98" s="112" t="str">
        <f t="shared" si="60"/>
        <v>4029/4030</v>
      </c>
      <c r="L98" s="22" t="str">
        <f>VLOOKUP(A98,'Trips&amp;Operators'!$C$1:$E$10000,3,FALSE)</f>
        <v>SHOOK</v>
      </c>
      <c r="M98" s="6">
        <f t="shared" si="61"/>
        <v>2.7013888888177462E-2</v>
      </c>
      <c r="N98" s="7">
        <f t="shared" si="62"/>
        <v>38.899999998975545</v>
      </c>
      <c r="O98" s="7"/>
      <c r="P98" s="7"/>
      <c r="Q98" s="23"/>
      <c r="R98" s="23"/>
      <c r="S98" s="35">
        <f t="shared" si="63"/>
        <v>1</v>
      </c>
      <c r="T98" s="50" t="str">
        <f t="shared" si="64"/>
        <v>Southbound</v>
      </c>
      <c r="U98" s="14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14:03:18-0600',mode:absolute,to:'2016-10-16 16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66"/>
        <v>N</v>
      </c>
      <c r="X98" s="149">
        <f t="shared" si="67"/>
        <v>1</v>
      </c>
      <c r="Y98" s="67">
        <f t="shared" si="68"/>
        <v>23.3047</v>
      </c>
      <c r="Z98" s="67">
        <f t="shared" si="69"/>
        <v>1.49E-2</v>
      </c>
      <c r="AA98" s="67">
        <f t="shared" si="70"/>
        <v>23.2898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71"/>
        <v>0186-16</v>
      </c>
      <c r="AE98" s="91" t="str">
        <f t="shared" si="72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98" s="88" t="str">
        <f t="shared" si="73"/>
        <v>"C:\Program Files (x86)\AstroGrep\AstroGrep.exe" /spath="%USERPROFILE%\AppData\Local\Temp\OnboardLogs" /stypes="app*4030*20161016*" /stext=" 21:.+((SYSTEM_STATE.+slice.+state.+changed )|(ment ac)|(system.+state.+changed )|(\[timeout)|(PRM\|1\|D)|(kpr)|(kdp)|(\|lc)|(penalty))" /e /r /s</v>
      </c>
      <c r="AG98" s="1" t="str">
        <f t="shared" si="74"/>
        <v>EC</v>
      </c>
      <c r="AH98" s="92" t="str">
        <f t="shared" si="75"/>
        <v>"%USERPROFILE%\Documents\GitHub\eaglep3\Utilities\RefineRTDCRunTimes.py" --tripid 186-16 --locoid 4030 --swversion DE.1.0.7.0 --startMP 204:233047 --initTime 2016-10-16T15:03:18 --startdatetime 2016-10-16T15:11:17 --delay 1 --endMP 204:149 --enddatetime 2016-10-16T15:50:11 --enforcementcount 1 &gt;&gt;C:\Users\stu\Documents\GitHub\eaglep3-reporting\EC\2016-10-16-refined-times.txt</v>
      </c>
      <c r="AI98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ID","value":"186-16"},{"id":16,"name":"Locomotive ID","value":"4030"},{"id":130,"name":"Impact","value":""},{"id":150,"name":"Time of Event (Mountain Time)","value":"15:50:11"},{"id":151,"name":"Denver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528</v>
      </c>
      <c r="B99" s="7">
        <v>4031</v>
      </c>
      <c r="C99" s="22" t="s">
        <v>99</v>
      </c>
      <c r="D99" s="22" t="s">
        <v>251</v>
      </c>
      <c r="E99" s="13">
        <v>42659.60056712963</v>
      </c>
      <c r="F99" s="13">
        <v>42659.604421296295</v>
      </c>
      <c r="G99" s="7">
        <v>1</v>
      </c>
      <c r="H99" s="13" t="s">
        <v>270</v>
      </c>
      <c r="I99" s="13">
        <v>42659.629525462966</v>
      </c>
      <c r="J99" s="7">
        <v>1</v>
      </c>
      <c r="K99" s="112" t="str">
        <f t="shared" si="60"/>
        <v>4031/4032</v>
      </c>
      <c r="L99" s="22" t="str">
        <f>VLOOKUP(A99,'Trips&amp;Operators'!$C$1:$E$10000,3,FALSE)</f>
        <v>STEWART</v>
      </c>
      <c r="M99" s="6">
        <f t="shared" si="61"/>
        <v>2.510416667064419E-2</v>
      </c>
      <c r="N99" s="7">
        <f t="shared" si="62"/>
        <v>36.150000005727634</v>
      </c>
      <c r="O99" s="7"/>
      <c r="P99" s="7"/>
      <c r="Q99" s="23"/>
      <c r="R99" s="23"/>
      <c r="S99" s="35">
        <f t="shared" si="63"/>
        <v>1</v>
      </c>
      <c r="T99" s="50" t="str">
        <f t="shared" si="64"/>
        <v>NorthBound</v>
      </c>
      <c r="U99" s="14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13:24:49-0600',mode:absolute,to:'2016-10-16 16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66"/>
        <v>N</v>
      </c>
      <c r="X99" s="149">
        <f t="shared" si="67"/>
        <v>1</v>
      </c>
      <c r="Y99" s="67">
        <f t="shared" si="68"/>
        <v>4.6699999999999998E-2</v>
      </c>
      <c r="Z99" s="67">
        <f t="shared" si="69"/>
        <v>23.328900000000001</v>
      </c>
      <c r="AA99" s="67">
        <f t="shared" si="70"/>
        <v>23.2822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71"/>
        <v>0187-16</v>
      </c>
      <c r="AE99" s="91" t="str">
        <f t="shared" si="72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99" s="88" t="str">
        <f t="shared" si="73"/>
        <v>"C:\Program Files (x86)\AstroGrep\AstroGrep.exe" /spath="%USERPROFILE%\AppData\Local\Temp\OnboardLogs" /stypes="app*4031*20161016*" /stext=" 21:.+((SYSTEM_STATE.+slice.+state.+changed )|(ment ac)|(system.+state.+changed )|(\[timeout)|(PRM\|1\|D)|(kpr)|(kdp)|(\|lc)|(penalty))" /e /r /s</v>
      </c>
      <c r="AG99" s="1" t="str">
        <f t="shared" si="74"/>
        <v>EC</v>
      </c>
      <c r="AH99" s="92" t="str">
        <f t="shared" si="75"/>
        <v>"%USERPROFILE%\Documents\GitHub\eaglep3\Utilities\RefineRTDCRunTimes.py" --tripid 187-16 --locoid 4031 --swversion DE.1.0.7.0 --startMP 204:467 --initTime 2016-10-16T14:24:49 --startdatetime 2016-10-16T14:30:22 --delay 1 --endMP 204:233289 --enddatetime 2016-10-16T15:06:31 --enforcementcount 1 &gt;&gt;C:\Users\stu\Documents\GitHub\eaglep3-reporting\EC\2016-10-16-refined-times.txt</v>
      </c>
      <c r="AI99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{"issue":{"subject":"","project_id":79,"tracker_id":40,"status_id":1,"priority_id":2,"assigned_to_id":23,"start_date":"2016-10-16","description":"","custom_fields":[{"id":1,"name":"Subdivision","value":"EC"},{"id":4,"name":"Milepost","value":"23.3289"},{"id":17,"name":"Train ID","value":"187-16"},{"id":16,"name":"Locomotive ID","value":"4031"},{"id":130,"name":"Impact","value":""},{"id":150,"name":"Time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537</v>
      </c>
      <c r="B100" s="7">
        <v>4032</v>
      </c>
      <c r="C100" s="22" t="s">
        <v>99</v>
      </c>
      <c r="D100" s="22" t="s">
        <v>249</v>
      </c>
      <c r="E100" s="13">
        <v>42659.639432870368</v>
      </c>
      <c r="F100" s="13">
        <v>42659.643321759257</v>
      </c>
      <c r="G100" s="7">
        <v>1</v>
      </c>
      <c r="H100" s="13" t="s">
        <v>234</v>
      </c>
      <c r="I100" s="13">
        <v>42659.669976851852</v>
      </c>
      <c r="J100" s="7">
        <v>1</v>
      </c>
      <c r="K100" s="112" t="str">
        <f t="shared" si="60"/>
        <v>4031/4032</v>
      </c>
      <c r="L100" s="22" t="str">
        <f>VLOOKUP(A100,'Trips&amp;Operators'!$C$1:$E$10000,3,FALSE)</f>
        <v>STEWART</v>
      </c>
      <c r="M100" s="6">
        <f t="shared" si="61"/>
        <v>2.6655092595319729E-2</v>
      </c>
      <c r="N100" s="7">
        <f t="shared" si="62"/>
        <v>38.38333333726041</v>
      </c>
      <c r="O100" s="7"/>
      <c r="P100" s="7"/>
      <c r="Q100" s="23"/>
      <c r="R100" s="23"/>
      <c r="S100" s="35">
        <f t="shared" si="63"/>
        <v>1</v>
      </c>
      <c r="T100" s="50" t="str">
        <f t="shared" si="64"/>
        <v>Southbound</v>
      </c>
      <c r="U100" s="14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14:20:47-0600',mode:absolute,to:'2016-10-16 17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66"/>
        <v>N</v>
      </c>
      <c r="X100" s="149">
        <f t="shared" si="67"/>
        <v>1</v>
      </c>
      <c r="Y100" s="67">
        <f t="shared" si="68"/>
        <v>23.298200000000001</v>
      </c>
      <c r="Z100" s="67">
        <f t="shared" si="69"/>
        <v>1.61E-2</v>
      </c>
      <c r="AA100" s="67">
        <f t="shared" si="70"/>
        <v>23.2821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71"/>
        <v>0188-16</v>
      </c>
      <c r="AE100" s="91" t="str">
        <f t="shared" si="72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100" s="88" t="str">
        <f t="shared" si="73"/>
        <v>"C:\Program Files (x86)\AstroGrep\AstroGrep.exe" /spath="%USERPROFILE%\AppData\Local\Temp\OnboardLogs" /stypes="app*4032*20161016*" /stext=" 22:.+((SYSTEM_STATE.+slice.+state.+changed )|(ment ac)|(system.+state.+changed )|(\[timeout)|(PRM\|1\|D)|(kpr)|(kdp)|(\|lc)|(penalty))" /e /r /s</v>
      </c>
      <c r="AG100" s="1" t="str">
        <f t="shared" si="74"/>
        <v>EC</v>
      </c>
      <c r="AH100" s="92" t="str">
        <f t="shared" si="75"/>
        <v>"%USERPROFILE%\Documents\GitHub\eaglep3\Utilities\RefineRTDCRunTimes.py" --tripid 188-16 --locoid 4032 --swversion DE.1.0.7.0 --startMP 204:232982 --initTime 2016-10-16T15:20:47 --startdatetime 2016-10-16T15:26:23 --delay 1 --endMP 204:161 --enddatetime 2016-10-16T16:04:46 --enforcementcount 1 &gt;&gt;C:\Users\stu\Documents\GitHub\eaglep3-reporting\EC\2016-10-16-refined-times.txt</v>
      </c>
      <c r="AI100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{"issue":{"subject":"","project_id":79,"tracker_id":40,"status_id":1,"priority_id":2,"assigned_to_id":23,"start_date":"2016-10-16","description":"","custom_fields":[{"id":1,"name":"Subdivision","value":"EC"},{"id":4,"name":"Milepost","value":"0.0161"},{"id":17,"name":"Train ID","value":"188-16"},{"id":16,"name":"Locomotive ID","value":"4032"},{"id":130,"name":"Impact","value":""},{"id":150,"name":"Time of Event (Mountain Time)","value":"16:04:46"},{"id":151,"name":"Denver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531</v>
      </c>
      <c r="B101" s="7">
        <v>4027</v>
      </c>
      <c r="C101" s="22" t="s">
        <v>99</v>
      </c>
      <c r="D101" s="22" t="s">
        <v>272</v>
      </c>
      <c r="E101" s="13">
        <v>42659.611157407409</v>
      </c>
      <c r="F101" s="13">
        <v>42659.614837962959</v>
      </c>
      <c r="G101" s="7">
        <v>1</v>
      </c>
      <c r="H101" s="13" t="s">
        <v>636</v>
      </c>
      <c r="I101" s="13">
        <v>42659.640231481484</v>
      </c>
      <c r="J101" s="7">
        <v>1</v>
      </c>
      <c r="K101" s="112" t="str">
        <f t="shared" si="60"/>
        <v>4027/4028</v>
      </c>
      <c r="L101" s="22" t="str">
        <f>VLOOKUP(A101,'Trips&amp;Operators'!$C$1:$E$10000,3,FALSE)</f>
        <v>BARTLETT</v>
      </c>
      <c r="M101" s="6">
        <f t="shared" si="61"/>
        <v>2.5393518524651881E-2</v>
      </c>
      <c r="N101" s="7">
        <f t="shared" si="62"/>
        <v>36.566666675498709</v>
      </c>
      <c r="O101" s="7"/>
      <c r="P101" s="7"/>
      <c r="Q101" s="23"/>
      <c r="R101" s="23"/>
      <c r="S101" s="35">
        <f t="shared" si="63"/>
        <v>1</v>
      </c>
      <c r="T101" s="50" t="str">
        <f t="shared" si="64"/>
        <v>NorthBound</v>
      </c>
      <c r="U101" s="14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13:40:04-0600',mode:absolute,to:'2016-10-16 16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1" s="52" t="str">
        <f t="shared" si="66"/>
        <v>N</v>
      </c>
      <c r="X101" s="149">
        <f t="shared" si="67"/>
        <v>1</v>
      </c>
      <c r="Y101" s="67">
        <f t="shared" si="68"/>
        <v>4.6899999999999997E-2</v>
      </c>
      <c r="Z101" s="67">
        <f t="shared" si="69"/>
        <v>23.330400000000001</v>
      </c>
      <c r="AA101" s="67">
        <f t="shared" si="70"/>
        <v>23.2835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71"/>
        <v>0189-16</v>
      </c>
      <c r="AE101" s="91" t="str">
        <f t="shared" si="72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101" s="88" t="str">
        <f t="shared" si="73"/>
        <v>"C:\Program Files (x86)\AstroGrep\AstroGrep.exe" /spath="%USERPROFILE%\AppData\Local\Temp\OnboardLogs" /stypes="app*4027*20161016*" /stext=" 21:.+((SYSTEM_STATE.+slice.+state.+changed )|(ment ac)|(system.+state.+changed )|(\[timeout)|(PRM\|1\|D)|(kpr)|(kdp)|(\|lc)|(penalty))" /e /r /s</v>
      </c>
      <c r="AG101" s="1" t="str">
        <f t="shared" si="74"/>
        <v>EC</v>
      </c>
      <c r="AH101" s="92" t="str">
        <f t="shared" si="75"/>
        <v>"%USERPROFILE%\Documents\GitHub\eaglep3\Utilities\RefineRTDCRunTimes.py" --tripid 189-16 --locoid 4027 --swversion DE.1.0.7.0 --startMP 204:469 --initTime 2016-10-16T14:40:04 --startdatetime 2016-10-16T14:45:22 --delay 1 --endMP 204:233304 --enddatetime 2016-10-16T15:21:56 --enforcementcount 1 &gt;&gt;C:\Users\stu\Documents\GitHub\eaglep3-reporting\EC\2016-10-16-refined-times.txt</v>
      </c>
      <c r="AI10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{"issue":{"subject":"","project_id":79,"tracker_id":40,"status_id":1,"priority_id":2,"assigned_to_id":23,"start_date":"2016-10-16","description":"","custom_fields":[{"id":1,"name":"Subdivision","value":"EC"},{"id":4,"name":"Milepost","value":"23.3304"},{"id":17,"name":"Train ID","value":"189-16"},{"id":16,"name":"Locomotive ID","value":"4027"},{"id":130,"name":"Impact","value":""},{"id":150,"name":"Time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539</v>
      </c>
      <c r="B102" s="7">
        <v>4028</v>
      </c>
      <c r="C102" s="22" t="s">
        <v>99</v>
      </c>
      <c r="D102" s="22" t="s">
        <v>681</v>
      </c>
      <c r="E102" s="13">
        <v>42659.642592592594</v>
      </c>
      <c r="F102" s="13">
        <v>42659.654131944444</v>
      </c>
      <c r="G102" s="7">
        <v>1</v>
      </c>
      <c r="H102" s="13" t="s">
        <v>235</v>
      </c>
      <c r="I102" s="13">
        <v>42659.680810185186</v>
      </c>
      <c r="J102" s="7">
        <v>1</v>
      </c>
      <c r="K102" s="112" t="str">
        <f t="shared" si="60"/>
        <v>4027/4028</v>
      </c>
      <c r="L102" s="22" t="str">
        <f>VLOOKUP(A102,'Trips&amp;Operators'!$C$1:$E$10000,3,FALSE)</f>
        <v>BARTLETT</v>
      </c>
      <c r="M102" s="6">
        <f t="shared" si="61"/>
        <v>2.6678240741603076E-2</v>
      </c>
      <c r="N102" s="7">
        <f t="shared" si="62"/>
        <v>38.41666666790843</v>
      </c>
      <c r="O102" s="7"/>
      <c r="P102" s="7"/>
      <c r="Q102" s="23"/>
      <c r="R102" s="23"/>
      <c r="S102" s="35">
        <f t="shared" si="63"/>
        <v>1</v>
      </c>
      <c r="T102" s="50" t="str">
        <f t="shared" si="64"/>
        <v>Southbound</v>
      </c>
      <c r="U102" s="14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14:25:20-0600',mode:absolute,to:'2016-10-16 17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2" s="52" t="str">
        <f t="shared" si="66"/>
        <v>N</v>
      </c>
      <c r="X102" s="149">
        <f t="shared" si="67"/>
        <v>1</v>
      </c>
      <c r="Y102" s="67">
        <f t="shared" si="68"/>
        <v>23.300799999999999</v>
      </c>
      <c r="Z102" s="67">
        <f t="shared" si="69"/>
        <v>1.54E-2</v>
      </c>
      <c r="AA102" s="67">
        <f t="shared" si="70"/>
        <v>23.285399999999999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71"/>
        <v>0190-16</v>
      </c>
      <c r="AE102" s="91" t="str">
        <f t="shared" si="72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102" s="88" t="str">
        <f t="shared" si="73"/>
        <v>"C:\Program Files (x86)\AstroGrep\AstroGrep.exe" /spath="%USERPROFILE%\AppData\Local\Temp\OnboardLogs" /stypes="app*4028*20161016*" /stext=" 22:.+((SYSTEM_STATE.+slice.+state.+changed )|(ment ac)|(system.+state.+changed )|(\[timeout)|(PRM\|1\|D)|(kpr)|(kdp)|(\|lc)|(penalty))" /e /r /s</v>
      </c>
      <c r="AG102" s="1" t="str">
        <f t="shared" si="74"/>
        <v>EC</v>
      </c>
      <c r="AH102" s="92" t="str">
        <f t="shared" si="75"/>
        <v>"%USERPROFILE%\Documents\GitHub\eaglep3\Utilities\RefineRTDCRunTimes.py" --tripid 190-16 --locoid 4028 --swversion DE.1.0.7.0 --startMP 204:233008 --initTime 2016-10-16T15:25:20 --startdatetime 2016-10-16T15:41:57 --delay 1 --endMP 204:154 --enddatetime 2016-10-16T16:20:22 --enforcementcount 1 &gt;&gt;C:\Users\stu\Documents\GitHub\eaglep3-reporting\EC\2016-10-16-refined-times.txt</v>
      </c>
      <c r="AI10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{"issue":{"subject":"","project_id":79,"tracker_id":40,"status_id":1,"priority_id":2,"assigned_to_id":23,"start_date":"2016-10-16","description":"","custom_fields":[{"id":1,"name":"Subdivision","value":"EC"},{"id":4,"name":"Milepost","value":"0.0154"},{"id":17,"name":"Train ID","value":"190-16"},{"id":16,"name":"Locomotive ID","value":"4028"},{"id":130,"name":"Impact","value":""},{"id":150,"name":"Time of Event (Mountain Time)","value":"16:20:22"},{"id":151,"name":"Denver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533</v>
      </c>
      <c r="B103" s="7">
        <v>4042</v>
      </c>
      <c r="C103" s="22" t="s">
        <v>99</v>
      </c>
      <c r="D103" s="22" t="s">
        <v>684</v>
      </c>
      <c r="E103" s="13">
        <v>42659.621689814812</v>
      </c>
      <c r="F103" s="13">
        <v>42659.625231481485</v>
      </c>
      <c r="G103" s="7">
        <v>1</v>
      </c>
      <c r="H103" s="13" t="s">
        <v>197</v>
      </c>
      <c r="I103" s="13">
        <v>42659.650451388887</v>
      </c>
      <c r="J103" s="7">
        <v>1</v>
      </c>
      <c r="K103" s="112" t="str">
        <f t="shared" si="60"/>
        <v>4041/4042</v>
      </c>
      <c r="L103" s="22" t="str">
        <f>VLOOKUP(A103,'Trips&amp;Operators'!$C$1:$E$10000,3,FALSE)</f>
        <v>BRUDER</v>
      </c>
      <c r="M103" s="6">
        <f t="shared" si="61"/>
        <v>2.5219907402060926E-2</v>
      </c>
      <c r="N103" s="7">
        <f t="shared" si="62"/>
        <v>36.316666658967733</v>
      </c>
      <c r="O103" s="7"/>
      <c r="P103" s="7"/>
      <c r="Q103" s="23"/>
      <c r="R103" s="23"/>
      <c r="S103" s="35">
        <f t="shared" si="63"/>
        <v>1</v>
      </c>
      <c r="T103" s="50" t="str">
        <f t="shared" si="64"/>
        <v>NorthBound</v>
      </c>
      <c r="U103" s="14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13:55:14-0600',mode:absolute,to:'2016-10-16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66"/>
        <v>N</v>
      </c>
      <c r="X103" s="149">
        <f t="shared" si="67"/>
        <v>1</v>
      </c>
      <c r="Y103" s="67">
        <f t="shared" si="68"/>
        <v>4.8399999999999999E-2</v>
      </c>
      <c r="Z103" s="67">
        <f t="shared" si="69"/>
        <v>23.329699999999999</v>
      </c>
      <c r="AA103" s="67">
        <f t="shared" si="70"/>
        <v>23.281299999999998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71"/>
        <v>0191-16</v>
      </c>
      <c r="AE103" s="91" t="str">
        <f t="shared" si="72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103" s="88" t="str">
        <f t="shared" si="73"/>
        <v>"C:\Program Files (x86)\AstroGrep\AstroGrep.exe" /spath="%USERPROFILE%\AppData\Local\Temp\OnboardLogs" /stypes="app*4042*20161016*" /stext=" 21:.+((SYSTEM_STATE.+slice.+state.+changed )|(ment ac)|(system.+state.+changed )|(\[timeout)|(PRM\|1\|D)|(kpr)|(kdp)|(\|lc)|(penalty))" /e /r /s</v>
      </c>
      <c r="AG103" s="1" t="str">
        <f t="shared" si="74"/>
        <v>EC</v>
      </c>
      <c r="AH103" s="92" t="str">
        <f t="shared" si="75"/>
        <v>"%USERPROFILE%\Documents\GitHub\eaglep3\Utilities\RefineRTDCRunTimes.py" --tripid 191-16 --locoid 4042 --swversion DE.1.0.7.0 --startMP 204:484 --initTime 2016-10-16T14:55:14 --startdatetime 2016-10-16T15:00:20 --delay 1 --endMP 204:233297 --enddatetime 2016-10-16T15:36:39 --enforcementcount 1 &gt;&gt;C:\Users\stu\Documents\GitHub\eaglep3-reporting\EC\2016-10-16-refined-times.txt</v>
      </c>
      <c r="AI10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ID","value":"191-16"},{"id":16,"name":"Locomotive ID","value":"4042"},{"id":130,"name":"Impact","value":""},{"id":150,"name":"Time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542</v>
      </c>
      <c r="B104" s="7">
        <v>4041</v>
      </c>
      <c r="C104" s="22" t="s">
        <v>99</v>
      </c>
      <c r="D104" s="22" t="s">
        <v>304</v>
      </c>
      <c r="E104" s="13">
        <v>42659.654490740744</v>
      </c>
      <c r="F104" s="13">
        <v>42659.664097222223</v>
      </c>
      <c r="G104" s="7">
        <v>1</v>
      </c>
      <c r="H104" s="13" t="s">
        <v>240</v>
      </c>
      <c r="I104" s="13">
        <v>42659.691608796296</v>
      </c>
      <c r="J104" s="7">
        <v>1</v>
      </c>
      <c r="K104" s="112" t="str">
        <f t="shared" si="60"/>
        <v>4041/4042</v>
      </c>
      <c r="L104" s="22" t="str">
        <f>VLOOKUP(A104,'Trips&amp;Operators'!$C$1:$E$10000,3,FALSE)</f>
        <v>BRUDER</v>
      </c>
      <c r="M104" s="6">
        <f t="shared" si="61"/>
        <v>2.7511574073287193E-2</v>
      </c>
      <c r="N104" s="7">
        <f t="shared" si="62"/>
        <v>39.616666665533558</v>
      </c>
      <c r="O104" s="7"/>
      <c r="P104" s="7"/>
      <c r="Q104" s="23"/>
      <c r="R104" s="23"/>
      <c r="S104" s="35">
        <f t="shared" si="63"/>
        <v>1</v>
      </c>
      <c r="T104" s="50" t="str">
        <f t="shared" si="64"/>
        <v>Southbound</v>
      </c>
      <c r="U104" s="14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14:42:28-0600',mode:absolute,to:'2016-10-16 17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66"/>
        <v>N</v>
      </c>
      <c r="X104" s="149">
        <f t="shared" si="67"/>
        <v>1</v>
      </c>
      <c r="Y104" s="67">
        <f t="shared" si="68"/>
        <v>23.298400000000001</v>
      </c>
      <c r="Z104" s="67">
        <f t="shared" si="69"/>
        <v>1.43E-2</v>
      </c>
      <c r="AA104" s="67">
        <f t="shared" si="70"/>
        <v>23.284100000000002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71"/>
        <v>0192-16</v>
      </c>
      <c r="AE104" s="91" t="str">
        <f t="shared" si="72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04" s="88" t="str">
        <f t="shared" si="73"/>
        <v>"C:\Program Files (x86)\AstroGrep\AstroGrep.exe" /spath="%USERPROFILE%\AppData\Local\Temp\OnboardLogs" /stypes="app*4041*20161016*" /stext=" 22:.+((SYSTEM_STATE.+slice.+state.+changed )|(ment ac)|(system.+state.+changed )|(\[timeout)|(PRM\|1\|D)|(kpr)|(kdp)|(\|lc)|(penalty))" /e /r /s</v>
      </c>
      <c r="AG104" s="1" t="str">
        <f t="shared" si="74"/>
        <v>EC</v>
      </c>
      <c r="AH104" s="92" t="str">
        <f t="shared" si="75"/>
        <v>"%USERPROFILE%\Documents\GitHub\eaglep3\Utilities\RefineRTDCRunTimes.py" --tripid 192-16 --locoid 4041 --swversion DE.1.0.7.0 --startMP 204:232984 --initTime 2016-10-16T15:42:28 --startdatetime 2016-10-16T15:56:18 --delay 1 --endMP 204:143 --enddatetime 2016-10-16T16:35:55 --enforcementcount 1 &gt;&gt;C:\Users\stu\Documents\GitHub\eaglep3-reporting\EC\2016-10-16-refined-times.txt</v>
      </c>
      <c r="AI104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{"issue":{"subject":"","project_id":79,"tracker_id":40,"status_id":1,"priority_id":2,"assigned_to_id":23,"start_date":"2016-10-16","description":"","custom_fields":[{"id":1,"name":"Subdivision","value":"EC"},{"id":4,"name":"Milepost","value":"0.0143"},{"id":17,"name":"Train ID","value":"192-16"},{"id":16,"name":"Locomotive ID","value":"4041"},{"id":130,"name":"Impact","value":""},{"id":150,"name":"Time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535</v>
      </c>
      <c r="B105" s="7">
        <v>4018</v>
      </c>
      <c r="C105" s="22" t="s">
        <v>99</v>
      </c>
      <c r="D105" s="22" t="s">
        <v>275</v>
      </c>
      <c r="E105" s="13">
        <v>42659.633113425924</v>
      </c>
      <c r="F105" s="13">
        <v>42659.635810185187</v>
      </c>
      <c r="G105" s="7">
        <v>1</v>
      </c>
      <c r="H105" s="13" t="s">
        <v>245</v>
      </c>
      <c r="I105" s="13">
        <v>42659.661307870374</v>
      </c>
      <c r="J105" s="7">
        <v>1</v>
      </c>
      <c r="K105" s="112" t="str">
        <f t="shared" si="60"/>
        <v>4017/4018</v>
      </c>
      <c r="L105" s="22" t="str">
        <f>VLOOKUP(A105,'Trips&amp;Operators'!$C$1:$E$10000,3,FALSE)</f>
        <v>MOSES</v>
      </c>
      <c r="M105" s="6">
        <f t="shared" si="61"/>
        <v>2.5497685186564922E-2</v>
      </c>
      <c r="N105" s="7">
        <f t="shared" si="62"/>
        <v>36.716666668653488</v>
      </c>
      <c r="O105" s="7"/>
      <c r="P105" s="7"/>
      <c r="Q105" s="23"/>
      <c r="R105" s="23"/>
      <c r="S105" s="35">
        <f t="shared" si="63"/>
        <v>1</v>
      </c>
      <c r="T105" s="50" t="str">
        <f t="shared" si="64"/>
        <v>NorthBound</v>
      </c>
      <c r="U105" s="14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14:11:41-0600',mode:absolute,to:'2016-10-16 16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5" s="52" t="str">
        <f t="shared" si="66"/>
        <v>N</v>
      </c>
      <c r="X105" s="149">
        <f t="shared" si="67"/>
        <v>1</v>
      </c>
      <c r="Y105" s="67">
        <f t="shared" si="68"/>
        <v>4.5100000000000001E-2</v>
      </c>
      <c r="Z105" s="67">
        <f t="shared" si="69"/>
        <v>23.33</v>
      </c>
      <c r="AA105" s="67">
        <f t="shared" si="70"/>
        <v>23.284899999999997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71"/>
        <v>0193-16</v>
      </c>
      <c r="AE105" s="91" t="str">
        <f t="shared" si="72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105" s="88" t="str">
        <f t="shared" si="73"/>
        <v>"C:\Program Files (x86)\AstroGrep\AstroGrep.exe" /spath="%USERPROFILE%\AppData\Local\Temp\OnboardLogs" /stypes="app*4018*20161016*" /stext=" 21:.+((SYSTEM_STATE.+slice.+state.+changed )|(ment ac)|(system.+state.+changed )|(\[timeout)|(PRM\|1\|D)|(kpr)|(kdp)|(\|lc)|(penalty))" /e /r /s</v>
      </c>
      <c r="AG105" s="1" t="str">
        <f t="shared" si="74"/>
        <v>EC</v>
      </c>
      <c r="AH105" s="92" t="str">
        <f t="shared" si="75"/>
        <v>"%USERPROFILE%\Documents\GitHub\eaglep3\Utilities\RefineRTDCRunTimes.py" --tripid 193-16 --locoid 4018 --swversion DE.1.0.7.0 --startMP 204:451 --initTime 2016-10-16T15:11:41 --startdatetime 2016-10-16T15:15:34 --delay 1 --endMP 204:233300 --enddatetime 2016-10-16T15:52:17 --enforcementcount 1 &gt;&gt;C:\Users\stu\Documents\GitHub\eaglep3-reporting\EC\2016-10-16-refined-times.txt</v>
      </c>
      <c r="AI105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{"issue":{"subject":"","project_id":79,"tracker_id":40,"status_id":1,"priority_id":2,"assigned_to_id":23,"start_date":"2016-10-16","description":"","custom_fields":[{"id":1,"name":"Subdivision","value":"EC"},{"id":4,"name":"Milepost","value":"23.33"},{"id":17,"name":"Train ID","value":"193-16"},{"id":16,"name":"Locomotive ID","value":"4018"},{"id":130,"name":"Impact","value":""},{"id":150,"name":"Time of Event (Mountain Time)","value":"15:52:17"},{"id":151,"name":"Denver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544</v>
      </c>
      <c r="B106" s="7">
        <v>4017</v>
      </c>
      <c r="C106" s="22" t="s">
        <v>99</v>
      </c>
      <c r="D106" s="22" t="s">
        <v>637</v>
      </c>
      <c r="E106" s="13">
        <v>42659.6719212963</v>
      </c>
      <c r="F106" s="13">
        <v>42659.674641203703</v>
      </c>
      <c r="G106" s="7">
        <v>1</v>
      </c>
      <c r="H106" s="13" t="s">
        <v>616</v>
      </c>
      <c r="I106" s="13">
        <v>42659.701412037037</v>
      </c>
      <c r="J106" s="7">
        <v>1</v>
      </c>
      <c r="K106" s="112" t="str">
        <f t="shared" si="60"/>
        <v>4017/4018</v>
      </c>
      <c r="L106" s="22" t="str">
        <f>VLOOKUP(A106,'Trips&amp;Operators'!$C$1:$E$10000,3,FALSE)</f>
        <v>MOSES</v>
      </c>
      <c r="M106" s="6">
        <f t="shared" si="61"/>
        <v>2.6770833334012423E-2</v>
      </c>
      <c r="N106" s="7">
        <f t="shared" si="62"/>
        <v>38.550000000977889</v>
      </c>
      <c r="O106" s="7"/>
      <c r="P106" s="7"/>
      <c r="Q106" s="23"/>
      <c r="R106" s="23"/>
      <c r="S106" s="35">
        <f t="shared" si="63"/>
        <v>1</v>
      </c>
      <c r="T106" s="50" t="str">
        <f t="shared" si="64"/>
        <v>Southbound</v>
      </c>
      <c r="U106" s="14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15:07:34-0600',mode:absolute,to:'2016-10-16 17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6" s="52" t="str">
        <f t="shared" si="66"/>
        <v>N</v>
      </c>
      <c r="X106" s="149">
        <f t="shared" si="67"/>
        <v>1</v>
      </c>
      <c r="Y106" s="67">
        <f t="shared" si="68"/>
        <v>23.299299999999999</v>
      </c>
      <c r="Z106" s="67">
        <f t="shared" si="69"/>
        <v>1.3899999999999999E-2</v>
      </c>
      <c r="AA106" s="67">
        <f t="shared" si="70"/>
        <v>23.285399999999999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71"/>
        <v>0194-16</v>
      </c>
      <c r="AE106" s="91" t="str">
        <f t="shared" si="72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106" s="88" t="str">
        <f t="shared" si="73"/>
        <v>"C:\Program Files (x86)\AstroGrep\AstroGrep.exe" /spath="%USERPROFILE%\AppData\Local\Temp\OnboardLogs" /stypes="app*4017*20161016*" /stext=" 22:.+((SYSTEM_STATE.+slice.+state.+changed )|(ment ac)|(system.+state.+changed )|(\[timeout)|(PRM\|1\|D)|(kpr)|(kdp)|(\|lc)|(penalty))" /e /r /s</v>
      </c>
      <c r="AG106" s="1" t="str">
        <f t="shared" si="74"/>
        <v>EC</v>
      </c>
      <c r="AH106" s="92" t="str">
        <f t="shared" si="75"/>
        <v>"%USERPROFILE%\Documents\GitHub\eaglep3\Utilities\RefineRTDCRunTimes.py" --tripid 194-16 --locoid 4017 --swversion DE.1.0.7.0 --startMP 204:232993 --initTime 2016-10-16T16:07:34 --startdatetime 2016-10-16T16:11:29 --delay 1 --endMP 204:139 --enddatetime 2016-10-16T16:50:02 --enforcementcount 1 &gt;&gt;C:\Users\stu\Documents\GitHub\eaglep3-reporting\EC\2016-10-16-refined-times.txt</v>
      </c>
      <c r="AI106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{"issue":{"subject":"","project_id":79,"tracker_id":40,"status_id":1,"priority_id":2,"assigned_to_id":23,"start_date":"2016-10-16","description":"","custom_fields":[{"id":1,"name":"Subdivision","value":"EC"},{"id":4,"name":"Milepost","value":"0.0139"},{"id":17,"name":"Train ID","value":"194-16"},{"id":16,"name":"Locomotive ID","value":"4017"},{"id":130,"name":"Impact","value":""},{"id":150,"name":"Time of Event (Mountain Time)","value":"16:50:02"},{"id":151,"name":"Denver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538</v>
      </c>
      <c r="B107" s="7">
        <v>4040</v>
      </c>
      <c r="C107" s="22" t="s">
        <v>99</v>
      </c>
      <c r="D107" s="22" t="s">
        <v>273</v>
      </c>
      <c r="E107" s="13">
        <v>42659.642152777778</v>
      </c>
      <c r="F107" s="13">
        <v>42659.64603009259</v>
      </c>
      <c r="G107" s="7">
        <v>1</v>
      </c>
      <c r="H107" s="13" t="s">
        <v>685</v>
      </c>
      <c r="I107" s="13">
        <v>42659.672037037039</v>
      </c>
      <c r="J107" s="7">
        <v>1</v>
      </c>
      <c r="K107" s="112" t="str">
        <f t="shared" si="60"/>
        <v>4039/4040</v>
      </c>
      <c r="L107" s="22" t="str">
        <f>VLOOKUP(A107,'Trips&amp;Operators'!$C$1:$E$10000,3,FALSE)</f>
        <v>YOUNG</v>
      </c>
      <c r="M107" s="6">
        <f t="shared" si="61"/>
        <v>2.6006944448454306E-2</v>
      </c>
      <c r="N107" s="7">
        <f t="shared" si="62"/>
        <v>37.4500000057742</v>
      </c>
      <c r="O107" s="7"/>
      <c r="P107" s="7"/>
      <c r="Q107" s="23"/>
      <c r="R107" s="23"/>
      <c r="S107" s="35">
        <f t="shared" si="63"/>
        <v>1</v>
      </c>
      <c r="T107" s="50" t="str">
        <f t="shared" si="64"/>
        <v>NorthBound</v>
      </c>
      <c r="U107" s="14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14:24:42-0600',mode:absolute,to:'2016-10-16 17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7" s="52" t="str">
        <f t="shared" si="66"/>
        <v>N</v>
      </c>
      <c r="X107" s="149">
        <f t="shared" si="67"/>
        <v>1</v>
      </c>
      <c r="Y107" s="67">
        <f t="shared" si="68"/>
        <v>4.82E-2</v>
      </c>
      <c r="Z107" s="67">
        <f t="shared" si="69"/>
        <v>23.3309</v>
      </c>
      <c r="AA107" s="67">
        <f t="shared" si="70"/>
        <v>23.282699999999998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71"/>
        <v>0195-16</v>
      </c>
      <c r="AE107" s="91" t="str">
        <f t="shared" si="72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107" s="88" t="str">
        <f t="shared" si="73"/>
        <v>"C:\Program Files (x86)\AstroGrep\AstroGrep.exe" /spath="%USERPROFILE%\AppData\Local\Temp\OnboardLogs" /stypes="app*4040*20161016*" /stext=" 22:.+((SYSTEM_STATE.+slice.+state.+changed )|(ment ac)|(system.+state.+changed )|(\[timeout)|(PRM\|1\|D)|(kpr)|(kdp)|(\|lc)|(penalty))" /e /r /s</v>
      </c>
      <c r="AG107" s="1" t="str">
        <f t="shared" si="74"/>
        <v>EC</v>
      </c>
      <c r="AH107" s="92" t="str">
        <f t="shared" si="75"/>
        <v>"%USERPROFILE%\Documents\GitHub\eaglep3\Utilities\RefineRTDCRunTimes.py" --tripid 195-16 --locoid 4040 --swversion DE.1.0.7.0 --startMP 204:482 --initTime 2016-10-16T15:24:42 --startdatetime 2016-10-16T15:30:17 --delay 1 --endMP 204:233309 --enddatetime 2016-10-16T16:07:44 --enforcementcount 1 &gt;&gt;C:\Users\stu\Documents\GitHub\eaglep3-reporting\EC\2016-10-16-refined-times.txt</v>
      </c>
      <c r="AI107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{"issue":{"subject":"","project_id":79,"tracker_id":40,"status_id":1,"priority_id":2,"assigned_to_id":23,"start_date":"2016-10-16","description":"","custom_fields":[{"id":1,"name":"Subdivision","value":"EC"},{"id":4,"name":"Milepost","value":"23.3309"},{"id":17,"name":"Train ID","value":"195-16"},{"id":16,"name":"Locomotive ID","value":"4040"},{"id":130,"name":"Impact","value":""},{"id":150,"name":"Time of Event (Mountain Time)","value":"16:07:44"},{"id":151,"name":"Denver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422</v>
      </c>
      <c r="B108" s="7">
        <v>4039</v>
      </c>
      <c r="C108" s="22" t="s">
        <v>99</v>
      </c>
      <c r="D108" s="22" t="s">
        <v>303</v>
      </c>
      <c r="E108" s="13">
        <v>42659.678217592591</v>
      </c>
      <c r="F108" s="13">
        <v>42659.685069444444</v>
      </c>
      <c r="G108" s="7">
        <v>1</v>
      </c>
      <c r="H108" s="13" t="s">
        <v>235</v>
      </c>
      <c r="I108" s="13">
        <v>42659.712962962964</v>
      </c>
      <c r="J108" s="7">
        <v>1</v>
      </c>
      <c r="K108" s="112" t="str">
        <f t="shared" si="60"/>
        <v>4039/4040</v>
      </c>
      <c r="L108" s="22" t="str">
        <f>VLOOKUP(A108,'Trips&amp;Operators'!$C$1:$E$10000,3,FALSE)</f>
        <v>YOUNG</v>
      </c>
      <c r="M108" s="6">
        <f t="shared" si="61"/>
        <v>2.789351851970423E-2</v>
      </c>
      <c r="N108" s="7">
        <f t="shared" si="62"/>
        <v>40.166666668374091</v>
      </c>
      <c r="O108" s="7"/>
      <c r="P108" s="7"/>
      <c r="Q108" s="23"/>
      <c r="R108" s="23"/>
      <c r="S108" s="35">
        <f t="shared" si="63"/>
        <v>1</v>
      </c>
      <c r="T108" s="50" t="str">
        <f t="shared" si="64"/>
        <v>Southbound</v>
      </c>
      <c r="U108" s="14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15:16:38-0600',mode:absolute,to:'2016-10-16 18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8" s="52" t="str">
        <f t="shared" si="66"/>
        <v>N</v>
      </c>
      <c r="X108" s="149">
        <f t="shared" si="67"/>
        <v>1</v>
      </c>
      <c r="Y108" s="67">
        <f t="shared" si="68"/>
        <v>23.299399999999999</v>
      </c>
      <c r="Z108" s="67">
        <f t="shared" si="69"/>
        <v>1.54E-2</v>
      </c>
      <c r="AA108" s="67">
        <f t="shared" si="70"/>
        <v>23.283999999999999</v>
      </c>
      <c r="AB108" s="64" t="str">
        <f>VLOOKUP(A108,Enforcements!$C$7:$K$21,8,0)</f>
        <v>Bulletin (2)</v>
      </c>
      <c r="AC108" s="60" t="str">
        <f>VLOOKUP(A108,Enforcements!$C$7:$E$21,3,0)</f>
        <v>GRADE CROSSING</v>
      </c>
      <c r="AD108" s="61" t="str">
        <f t="shared" si="71"/>
        <v>0196-16</v>
      </c>
      <c r="AE108" s="91" t="str">
        <f t="shared" si="72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108" s="88" t="str">
        <f t="shared" si="73"/>
        <v>"C:\Program Files (x86)\AstroGrep\AstroGrep.exe" /spath="%USERPROFILE%\AppData\Local\Temp\OnboardLogs" /stypes="app*4039*20161016*" /stext=" 23:.+((SYSTEM_STATE.+slice.+state.+changed )|(ment ac)|(system.+state.+changed )|(\[timeout)|(PRM\|1\|D)|(kpr)|(kdp)|(\|lc)|(penalty))" /e /r /s</v>
      </c>
      <c r="AG108" s="1" t="str">
        <f t="shared" si="74"/>
        <v>EC</v>
      </c>
      <c r="AH108" s="92" t="str">
        <f t="shared" si="75"/>
        <v>"%USERPROFILE%\Documents\GitHub\eaglep3\Utilities\RefineRTDCRunTimes.py" --tripid 196-16 --locoid 4039 --swversion DE.1.0.7.0 --startMP 204:232994 --initTime 2016-10-16T16:16:38 --startdatetime 2016-10-16T16:26:30 --delay 1 --endMP 204:154 --enddatetime 2016-10-16T17:06:40 --enforcementcount 1 &gt;&gt;C:\Users\stu\Documents\GitHub\eaglep3-reporting\EC\2016-10-16-refined-times.txt</v>
      </c>
      <c r="AI108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{"issue":{"subject":"","project_id":79,"tracker_id":40,"status_id":1,"priority_id":2,"assigned_to_id":23,"start_date":"2016-10-16","description":"","custom_fields":[{"id":1,"name":"Subdivision","value":"EC"},{"id":4,"name":"Milepost","value":"0.0154"},{"id":17,"name":"Train ID","value":"196-16"},{"id":16,"name":"Locomotive ID","value":"4039"},{"id":130,"name":"Impact","value":""},{"id":150,"name":"Time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541</v>
      </c>
      <c r="B109" s="7">
        <v>4046</v>
      </c>
      <c r="C109" s="22" t="s">
        <v>99</v>
      </c>
      <c r="D109" s="22" t="s">
        <v>684</v>
      </c>
      <c r="E109" s="13">
        <v>42659.65320601852</v>
      </c>
      <c r="F109" s="13">
        <v>42659.656423611108</v>
      </c>
      <c r="G109" s="7">
        <v>1</v>
      </c>
      <c r="H109" s="13" t="s">
        <v>271</v>
      </c>
      <c r="I109" s="13">
        <v>42659.682835648149</v>
      </c>
      <c r="J109" s="7">
        <v>1</v>
      </c>
      <c r="K109" s="112" t="str">
        <f t="shared" si="60"/>
        <v>4045/4046</v>
      </c>
      <c r="L109" s="22" t="str">
        <f>VLOOKUP(A109,'Trips&amp;Operators'!$C$1:$E$10000,3,FALSE)</f>
        <v>CLARK</v>
      </c>
      <c r="M109" s="6">
        <f t="shared" si="61"/>
        <v>2.641203704115469E-2</v>
      </c>
      <c r="N109" s="7">
        <f t="shared" si="62"/>
        <v>38.033333339262754</v>
      </c>
      <c r="O109" s="7"/>
      <c r="P109" s="7"/>
      <c r="Q109" s="23"/>
      <c r="R109" s="23"/>
      <c r="S109" s="35">
        <f t="shared" si="63"/>
        <v>1</v>
      </c>
      <c r="T109" s="50" t="str">
        <f t="shared" si="64"/>
        <v>NorthBound</v>
      </c>
      <c r="U109" s="14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14:40:37-0600',mode:absolute,to:'2016-10-16 17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9" s="52" t="str">
        <f t="shared" si="66"/>
        <v>N</v>
      </c>
      <c r="X109" s="149">
        <f t="shared" si="67"/>
        <v>1</v>
      </c>
      <c r="Y109" s="67">
        <f t="shared" si="68"/>
        <v>4.8399999999999999E-2</v>
      </c>
      <c r="Z109" s="67">
        <f t="shared" si="69"/>
        <v>23.3291</v>
      </c>
      <c r="AA109" s="67">
        <f t="shared" si="70"/>
        <v>23.2807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71"/>
        <v>0197-16</v>
      </c>
      <c r="AE109" s="91" t="str">
        <f t="shared" si="72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109" s="88" t="str">
        <f t="shared" si="73"/>
        <v>"C:\Program Files (x86)\AstroGrep\AstroGrep.exe" /spath="%USERPROFILE%\AppData\Local\Temp\OnboardLogs" /stypes="app*4046*20161016*" /stext=" 22:.+((SYSTEM_STATE.+slice.+state.+changed )|(ment ac)|(system.+state.+changed )|(\[timeout)|(PRM\|1\|D)|(kpr)|(kdp)|(\|lc)|(penalty))" /e /r /s</v>
      </c>
      <c r="AG109" s="1" t="str">
        <f t="shared" si="74"/>
        <v>EC</v>
      </c>
      <c r="AH109" s="92" t="str">
        <f t="shared" si="75"/>
        <v>"%USERPROFILE%\Documents\GitHub\eaglep3\Utilities\RefineRTDCRunTimes.py" --tripid 197-16 --locoid 4046 --swversion DE.1.0.7.0 --startMP 204:484 --initTime 2016-10-16T15:40:37 --startdatetime 2016-10-16T15:45:15 --delay 1 --endMP 204:233291 --enddatetime 2016-10-16T16:23:17 --enforcementcount 1 &gt;&gt;C:\Users\stu\Documents\GitHub\eaglep3-reporting\EC\2016-10-16-refined-times.txt</v>
      </c>
      <c r="AI109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{"issue":{"subject":"","project_id":79,"tracker_id":40,"status_id":1,"priority_id":2,"assigned_to_id":23,"start_date":"2016-10-16","description":"","custom_fields":[{"id":1,"name":"Subdivision","value":"EC"},{"id":4,"name":"Milepost","value":"23.3291"},{"id":17,"name":"Train ID","value":"197-16"},{"id":16,"name":"Locomotive ID","value":"4046"},{"id":130,"name":"Impact","value":""},{"id":150,"name":"Time of Event (Mountain Time)","value":"16:23:17"},{"id":151,"name":"Denver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548</v>
      </c>
      <c r="B110" s="7">
        <v>4045</v>
      </c>
      <c r="C110" s="22" t="s">
        <v>99</v>
      </c>
      <c r="D110" s="22" t="s">
        <v>686</v>
      </c>
      <c r="E110" s="13">
        <v>42659.689525462964</v>
      </c>
      <c r="F110" s="13">
        <v>42659.6953125</v>
      </c>
      <c r="G110" s="7">
        <v>1</v>
      </c>
      <c r="H110" s="13" t="s">
        <v>264</v>
      </c>
      <c r="I110" s="13">
        <v>42659.723495370374</v>
      </c>
      <c r="J110" s="7">
        <v>1</v>
      </c>
      <c r="K110" s="112" t="str">
        <f t="shared" si="60"/>
        <v>4045/4046</v>
      </c>
      <c r="L110" s="22" t="str">
        <f>VLOOKUP(A110,'Trips&amp;Operators'!$C$1:$E$10000,3,FALSE)</f>
        <v>CLARK</v>
      </c>
      <c r="M110" s="6">
        <f t="shared" si="61"/>
        <v>2.8182870373711921E-2</v>
      </c>
      <c r="N110" s="7">
        <f t="shared" si="62"/>
        <v>40.583333338145167</v>
      </c>
      <c r="O110" s="7"/>
      <c r="P110" s="7"/>
      <c r="Q110" s="23"/>
      <c r="R110" s="23"/>
      <c r="S110" s="35">
        <f t="shared" si="63"/>
        <v>1</v>
      </c>
      <c r="T110" s="50" t="str">
        <f t="shared" si="64"/>
        <v>Southbound</v>
      </c>
      <c r="U110" s="14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https://search-rtdc-monitor-bjffxe2xuh6vdkpspy63sjmuny.us-east-1.es.amazonaws.com/_plugin/kibana/#/discover/Steve-Slow-Train-Analysis-(2080s-and-2083s)?_g=(refreshInterval:(display:Off,section:0,value:0),time:(from:'2016-10-16 15:32:55-0600',mode:absolute,to:'2016-10-16 18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0" s="52" t="str">
        <f t="shared" si="66"/>
        <v>N</v>
      </c>
      <c r="X110" s="149">
        <f t="shared" si="67"/>
        <v>1</v>
      </c>
      <c r="Y110" s="67">
        <f t="shared" si="68"/>
        <v>23.296800000000001</v>
      </c>
      <c r="Z110" s="67">
        <f t="shared" si="69"/>
        <v>1.67E-2</v>
      </c>
      <c r="AA110" s="67">
        <f t="shared" si="70"/>
        <v>23.280100000000001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71"/>
        <v>0198-16</v>
      </c>
      <c r="AE110" s="91" t="str">
        <f t="shared" si="72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110" s="88" t="str">
        <f t="shared" si="73"/>
        <v>"C:\Program Files (x86)\AstroGrep\AstroGrep.exe" /spath="%USERPROFILE%\AppData\Local\Temp\OnboardLogs" /stypes="app*4045*20161016*" /stext=" 23:.+((SYSTEM_STATE.+slice.+state.+changed )|(ment ac)|(system.+state.+changed )|(\[timeout)|(PRM\|1\|D)|(kpr)|(kdp)|(\|lc)|(penalty))" /e /r /s</v>
      </c>
      <c r="AG110" s="1" t="str">
        <f t="shared" si="74"/>
        <v>EC</v>
      </c>
      <c r="AH110" s="92" t="str">
        <f t="shared" si="75"/>
        <v>"%USERPROFILE%\Documents\GitHub\eaglep3\Utilities\RefineRTDCRunTimes.py" --tripid 198-16 --locoid 4045 --swversion DE.1.0.7.0 --startMP 204:232968 --initTime 2016-10-16T16:32:55 --startdatetime 2016-10-16T16:41:15 --delay 1 --endMP 204:167 --enddatetime 2016-10-16T17:21:50 --enforcementcount 1 &gt;&gt;C:\Users\stu\Documents\GitHub\eaglep3-reporting\EC\2016-10-16-refined-times.txt</v>
      </c>
      <c r="AI110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{"issue":{"subject":"","project_id":79,"tracker_id":40,"status_id":1,"priority_id":2,"assigned_to_id":23,"start_date":"2016-10-16","description":"","custom_fields":[{"id":1,"name":"Subdivision","value":"EC"},{"id":4,"name":"Milepost","value":"0.0167"},{"id":17,"name":"Train ID","value":"198-16"},{"id":16,"name":"Locomotive ID","value":"4045"},{"id":130,"name":"Impact","value":""},{"id":150,"name":"Time of Event (Mountain Time)","value":"17:21:50"},{"id":151,"name":"Denver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543</v>
      </c>
      <c r="B111" s="7">
        <v>4029</v>
      </c>
      <c r="C111" s="22" t="s">
        <v>99</v>
      </c>
      <c r="D111" s="22" t="s">
        <v>312</v>
      </c>
      <c r="E111" s="13">
        <v>42659.661944444444</v>
      </c>
      <c r="F111" s="13">
        <v>42659.666921296295</v>
      </c>
      <c r="G111" s="7">
        <v>1</v>
      </c>
      <c r="H111" s="13" t="s">
        <v>352</v>
      </c>
      <c r="I111" s="13">
        <v>42659.692060185182</v>
      </c>
      <c r="J111" s="7">
        <v>1</v>
      </c>
      <c r="K111" s="112" t="str">
        <f t="shared" ref="K111:K142" si="77">IF(ISEVEN(B111),(B111-1)&amp;"/"&amp;B111,B111&amp;"/"&amp;(B111+1))</f>
        <v>4029/4030</v>
      </c>
      <c r="L111" s="22" t="str">
        <f>VLOOKUP(A111,'Trips&amp;Operators'!$C$1:$E$10000,3,FALSE)</f>
        <v>SHOOK</v>
      </c>
      <c r="M111" s="6">
        <f t="shared" ref="M111:M142" si="78">I111-F111</f>
        <v>2.5138888886431232E-2</v>
      </c>
      <c r="N111" s="7">
        <f t="shared" ref="N111:N142" si="79">24*60*SUM($M111:$M111)</f>
        <v>36.199999996460974</v>
      </c>
      <c r="O111" s="7"/>
      <c r="P111" s="7"/>
      <c r="Q111" s="23"/>
      <c r="R111" s="23"/>
      <c r="S111" s="35">
        <f t="shared" ref="S111:S142" si="80">SUM(U111:U111)/IF(AG111="EC",12,1)</f>
        <v>1</v>
      </c>
      <c r="T111" s="50" t="str">
        <f t="shared" ref="T111:T142" si="81">IF(ISEVEN(LEFT(AD111,4)),"Southbound","NorthBound")</f>
        <v>NorthBound</v>
      </c>
      <c r="U111" s="14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ref="V111:V142" si="82"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https://search-rtdc-monitor-bjffxe2xuh6vdkpspy63sjmuny.us-east-1.es.amazonaws.com/_plugin/kibana/#/discover/Steve-Slow-Train-Analysis-(2080s-and-2083s)?_g=(refreshInterval:(display:Off,section:0,value:0),time:(from:'2016-10-16 14:53:12-0600',mode:absolute,to:'2016-10-16 17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ref="W111:W142" si="83">IF(AA111&lt;IF(AG111="EC",23,5.65),"Y","N")</f>
        <v>N</v>
      </c>
      <c r="X111" s="149">
        <f t="shared" ref="X111:X142" si="84">VALUE(LEFT(AD111,4))-VALUE(LEFT(AD110,4))</f>
        <v>1</v>
      </c>
      <c r="Y111" s="67">
        <f t="shared" ref="Y111:Y142" si="85">RIGHT(D111,LEN(D111)-4)/10000</f>
        <v>4.7100000000000003E-2</v>
      </c>
      <c r="Z111" s="67">
        <f t="shared" ref="Z111:Z142" si="86">RIGHT(H111,LEN(H111)-4)/10000</f>
        <v>23.333600000000001</v>
      </c>
      <c r="AA111" s="67">
        <f t="shared" ref="AA111:AA142" si="87">ABS(Z111-Y111)</f>
        <v>23.2865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ref="AD111:AD142" si="88">IF(LEN(A111)=6,"0"&amp;A111,A111)</f>
        <v>0199-16</v>
      </c>
      <c r="AE111" s="91" t="str">
        <f t="shared" ref="AE111:AE142" si="89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111" s="88" t="str">
        <f t="shared" ref="AF111:AF142" si="90"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/stypes="app*4029*20161016*" /stext=" 22:.+((SYSTEM_STATE.+slice.+state.+changed )|(ment ac)|(system.+state.+changed )|(\[timeout)|(PRM\|1\|D)|(kpr)|(kdp)|(\|lc)|(penalty))" /e /r /s</v>
      </c>
      <c r="AG111" s="1" t="str">
        <f t="shared" ref="AG111:AG142" si="91">IFERROR(IF(VALUE(LEFT(AD111,2))&lt;=2,"EC",IF(OR(VALUE(LEFT(AD111,2))=8,VALUE(LEFT(AD111,2))=18),"NW","Other")),"Other")</f>
        <v>EC</v>
      </c>
      <c r="AH111" s="92" t="str">
        <f t="shared" si="75"/>
        <v>"%USERPROFILE%\Documents\GitHub\eaglep3\Utilities\RefineRTDCRunTimes.py" --tripid 199-16 --locoid 4029 --swversion DE.1.0.7.0 --startMP 204:471 --initTime 2016-10-16T15:53:12 --startdatetime 2016-10-16T16:00:22 --delay 1 --endMP 204:233336 --enddatetime 2016-10-16T16:36:34 --enforcementcount 1 &gt;&gt;C:\Users\stu\Documents\GitHub\eaglep3-reporting\EC\2016-10-16-refined-times.txt</v>
      </c>
      <c r="AI11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{"issue":{"subject":"","project_id":79,"tracker_id":40,"status_id":1,"priority_id":2,"assigned_to_id":23,"start_date":"2016-10-16","description":"","custom_fields":[{"id":1,"name":"Subdivision","value":"EC"},{"id":4,"name":"Milepost","value":"23.3336"},{"id":17,"name":"Train ID","value":"199-16"},{"id":16,"name":"Locomotive ID","value":"4029"},{"id":130,"name":"Impact","value":""},{"id":150,"name":"Time of Event (Mountain Time)","value":"16:36:34"},{"id":151,"name":"Denver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s="21" customFormat="1" x14ac:dyDescent="0.25">
      <c r="A112" s="37" t="s">
        <v>551</v>
      </c>
      <c r="B112" s="7">
        <v>4030</v>
      </c>
      <c r="C112" s="22" t="s">
        <v>99</v>
      </c>
      <c r="D112" s="22" t="s">
        <v>687</v>
      </c>
      <c r="E112" s="13">
        <v>42659.701423611114</v>
      </c>
      <c r="F112" s="13">
        <v>42659.705787037034</v>
      </c>
      <c r="G112" s="7">
        <v>0</v>
      </c>
      <c r="H112" s="13" t="s">
        <v>240</v>
      </c>
      <c r="I112" s="13">
        <v>42659.732546296298</v>
      </c>
      <c r="J112" s="7">
        <v>1</v>
      </c>
      <c r="K112" s="112" t="str">
        <f t="shared" si="77"/>
        <v>4029/4030</v>
      </c>
      <c r="L112" s="22" t="str">
        <f>VLOOKUP(A112,'Trips&amp;Operators'!$C$1:$E$10000,3,FALSE)</f>
        <v>SHOOK</v>
      </c>
      <c r="M112" s="6">
        <f t="shared" si="78"/>
        <v>2.6759259264508728E-2</v>
      </c>
      <c r="N112" s="7">
        <f t="shared" si="79"/>
        <v>38.533333340892568</v>
      </c>
      <c r="O112" s="7"/>
      <c r="P112" s="7"/>
      <c r="Q112" s="23"/>
      <c r="R112" s="23"/>
      <c r="S112" s="35">
        <f t="shared" si="80"/>
        <v>1</v>
      </c>
      <c r="T112" s="50" t="str">
        <f t="shared" si="81"/>
        <v>Southbound</v>
      </c>
      <c r="U112" s="14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15:50:03-0600',mode:absolute,to:'2016-10-16 18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83"/>
        <v>N</v>
      </c>
      <c r="X112" s="149">
        <f t="shared" si="84"/>
        <v>1</v>
      </c>
      <c r="Y112" s="67">
        <f t="shared" si="85"/>
        <v>23.302600000000002</v>
      </c>
      <c r="Z112" s="67">
        <f t="shared" si="86"/>
        <v>1.43E-2</v>
      </c>
      <c r="AA112" s="67">
        <f t="shared" si="87"/>
        <v>23.288300000000003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88"/>
        <v>0200-16</v>
      </c>
      <c r="AE112" s="91" t="str">
        <f t="shared" si="89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112" s="88" t="str">
        <f t="shared" si="90"/>
        <v>"C:\Program Files (x86)\AstroGrep\AstroGrep.exe" /spath="%USERPROFILE%\AppData\Local\Temp\OnboardLogs" /stypes="app*4030*20161016*" /stext=" 23:.+((SYSTEM_STATE.+slice.+state.+changed )|(ment ac)|(system.+state.+changed )|(\[timeout)|(PRM\|1\|D)|(kpr)|(kdp)|(\|lc)|(penalty))" /e /r /s</v>
      </c>
      <c r="AG112" s="1" t="str">
        <f t="shared" si="91"/>
        <v>EC</v>
      </c>
      <c r="AH112" s="92" t="str">
        <f t="shared" si="75"/>
        <v>"%USERPROFILE%\Documents\GitHub\eaglep3\Utilities\RefineRTDCRunTimes.py" --tripid 200-16 --locoid 4030 --swversion DE.1.0.7.0 --startMP 204:233026 --initTime 2016-10-16T16:50:03 --startdatetime 2016-10-16T16:56:20 --delay 0 --endMP 204:143 --enddatetime 2016-10-16T17:34:52 --enforcementcount 1 &gt;&gt;C:\Users\stu\Documents\GitHub\eaglep3-reporting\EC\2016-10-16-refined-times.txt</v>
      </c>
      <c r="AI11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{"issue":{"subject":"","project_id":79,"tracker_id":40,"status_id":1,"priority_id":2,"assigned_to_id":23,"start_date":"2016-10-16","description":"","custom_fields":[{"id":1,"name":"Subdivision","value":"EC"},{"id":4,"name":"Milepost","value":"0.0143"},{"id":17,"name":"Train ID","value":"200-16"},{"id":16,"name":"Locomotive ID","value":"4030"},{"id":130,"name":"Impact","value":""},{"id":150,"name":"Time of Event (Mountain Time)","value":"17:34:52"},{"id":151,"name":"Denver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545</v>
      </c>
      <c r="B113" s="7">
        <v>4031</v>
      </c>
      <c r="C113" s="22" t="s">
        <v>99</v>
      </c>
      <c r="D113" s="22" t="s">
        <v>247</v>
      </c>
      <c r="E113" s="13">
        <v>42659.672743055555</v>
      </c>
      <c r="F113" s="13">
        <v>42659.677361111113</v>
      </c>
      <c r="G113" s="7">
        <v>1</v>
      </c>
      <c r="H113" s="13" t="s">
        <v>308</v>
      </c>
      <c r="I113" s="13">
        <v>42659.702777777777</v>
      </c>
      <c r="J113" s="7">
        <v>1</v>
      </c>
      <c r="K113" s="112" t="str">
        <f t="shared" si="77"/>
        <v>4031/4032</v>
      </c>
      <c r="L113" s="22" t="str">
        <f>VLOOKUP(A113,'Trips&amp;Operators'!$C$1:$E$10000,3,FALSE)</f>
        <v>STEWART</v>
      </c>
      <c r="M113" s="6">
        <f t="shared" si="78"/>
        <v>2.5416666663659271E-2</v>
      </c>
      <c r="N113" s="7">
        <f t="shared" si="79"/>
        <v>36.59999999566935</v>
      </c>
      <c r="O113" s="7"/>
      <c r="P113" s="7"/>
      <c r="Q113" s="23"/>
      <c r="R113" s="23"/>
      <c r="S113" s="35">
        <f t="shared" si="80"/>
        <v>1</v>
      </c>
      <c r="T113" s="50" t="str">
        <f t="shared" si="81"/>
        <v>NorthBound</v>
      </c>
      <c r="U113" s="14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15:08:45-0600',mode:absolute,to:'2016-10-16 17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83"/>
        <v>N</v>
      </c>
      <c r="X113" s="149">
        <f t="shared" si="84"/>
        <v>1</v>
      </c>
      <c r="Y113" s="67">
        <f t="shared" si="85"/>
        <v>4.6399999999999997E-2</v>
      </c>
      <c r="Z113" s="67">
        <f t="shared" si="86"/>
        <v>23.331499999999998</v>
      </c>
      <c r="AA113" s="67">
        <f t="shared" si="87"/>
        <v>23.2851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88"/>
        <v>0201-16</v>
      </c>
      <c r="AE113" s="91" t="str">
        <f t="shared" si="89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113" s="88" t="str">
        <f t="shared" si="90"/>
        <v>"C:\Program Files (x86)\AstroGrep\AstroGrep.exe" /spath="%USERPROFILE%\AppData\Local\Temp\OnboardLogs" /stypes="app*4031*20161016*" /stext=" 22:.+((SYSTEM_STATE.+slice.+state.+changed )|(ment ac)|(system.+state.+changed )|(\[timeout)|(PRM\|1\|D)|(kpr)|(kdp)|(\|lc)|(penalty))" /e /r /s</v>
      </c>
      <c r="AG113" s="1" t="str">
        <f t="shared" si="91"/>
        <v>EC</v>
      </c>
      <c r="AH113" s="92" t="str">
        <f t="shared" si="75"/>
        <v>"%USERPROFILE%\Documents\GitHub\eaglep3\Utilities\RefineRTDCRunTimes.py" --tripid 201-16 --locoid 4031 --swversion DE.1.0.7.0 --startMP 204:464 --initTime 2016-10-16T16:08:45 --startdatetime 2016-10-16T16:15:24 --delay 1 --endMP 204:233315 --enddatetime 2016-10-16T16:52:00 --enforcementcount 1 &gt;&gt;C:\Users\stu\Documents\GitHub\eaglep3-reporting\EC\2016-10-16-refined-times.txt</v>
      </c>
      <c r="AI11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{"issue":{"subject":"","project_id":79,"tracker_id":40,"status_id":1,"priority_id":2,"assigned_to_id":23,"start_date":"2016-10-16","description":"","custom_fields":[{"id":1,"name":"Subdivision","value":"EC"},{"id":4,"name":"Milepost","value":"23.3315"},{"id":17,"name":"Train ID","value":"201-16"},{"id":16,"name":"Locomotive ID","value":"4031"},{"id":130,"name":"Impact","value":""},{"id":150,"name":"Time of Event (Mountain Time)","value":"16:52:00"},{"id":151,"name":"Denver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553</v>
      </c>
      <c r="B114" s="7">
        <v>4032</v>
      </c>
      <c r="C114" s="22" t="s">
        <v>99</v>
      </c>
      <c r="D114" s="22" t="s">
        <v>300</v>
      </c>
      <c r="E114" s="13">
        <v>42659.713541666664</v>
      </c>
      <c r="F114" s="13">
        <v>42659.716307870367</v>
      </c>
      <c r="G114" s="7">
        <v>1</v>
      </c>
      <c r="H114" s="13" t="s">
        <v>236</v>
      </c>
      <c r="I114" s="13">
        <v>42659.742881944447</v>
      </c>
      <c r="J114" s="7">
        <v>1</v>
      </c>
      <c r="K114" s="112" t="str">
        <f t="shared" si="77"/>
        <v>4031/4032</v>
      </c>
      <c r="L114" s="22" t="str">
        <f>VLOOKUP(A114,'Trips&amp;Operators'!$C$1:$E$10000,3,FALSE)</f>
        <v>STEWART</v>
      </c>
      <c r="M114" s="6">
        <f t="shared" si="78"/>
        <v>2.6574074079690035E-2</v>
      </c>
      <c r="N114" s="7">
        <f t="shared" si="79"/>
        <v>38.266666674753651</v>
      </c>
      <c r="O114" s="7"/>
      <c r="P114" s="7"/>
      <c r="Q114" s="23"/>
      <c r="R114" s="23"/>
      <c r="S114" s="35">
        <f t="shared" si="80"/>
        <v>1</v>
      </c>
      <c r="T114" s="50" t="str">
        <f t="shared" si="81"/>
        <v>Southbound</v>
      </c>
      <c r="U114" s="14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16:07:30-0600',mode:absolute,to:'2016-10-16 18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83"/>
        <v>N</v>
      </c>
      <c r="X114" s="149">
        <f t="shared" si="84"/>
        <v>1</v>
      </c>
      <c r="Y114" s="67">
        <f t="shared" si="85"/>
        <v>23.299800000000001</v>
      </c>
      <c r="Z114" s="67">
        <f t="shared" si="86"/>
        <v>1.4500000000000001E-2</v>
      </c>
      <c r="AA114" s="67">
        <f t="shared" si="87"/>
        <v>23.285299999999999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88"/>
        <v>0202-16</v>
      </c>
      <c r="AE114" s="91" t="str">
        <f t="shared" si="89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114" s="88" t="str">
        <f t="shared" si="90"/>
        <v>"C:\Program Files (x86)\AstroGrep\AstroGrep.exe" /spath="%USERPROFILE%\AppData\Local\Temp\OnboardLogs" /stypes="app*4032*20161016*" /stext=" 23:.+((SYSTEM_STATE.+slice.+state.+changed )|(ment ac)|(system.+state.+changed )|(\[timeout)|(PRM\|1\|D)|(kpr)|(kdp)|(\|lc)|(penalty))" /e /r /s</v>
      </c>
      <c r="AG114" s="1" t="str">
        <f t="shared" si="91"/>
        <v>EC</v>
      </c>
      <c r="AH114" s="92" t="str">
        <f t="shared" si="75"/>
        <v>"%USERPROFILE%\Documents\GitHub\eaglep3\Utilities\RefineRTDCRunTimes.py" --tripid 202-16 --locoid 4032 --swversion DE.1.0.7.0 --startMP 204:232998 --initTime 2016-10-16T17:07:30 --startdatetime 2016-10-16T17:11:29 --delay 1 --endMP 204:145 --enddatetime 2016-10-16T17:49:45 --enforcementcount 1 &gt;&gt;C:\Users\stu\Documents\GitHub\eaglep3-reporting\EC\2016-10-16-refined-times.txt</v>
      </c>
      <c r="AI114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{"issue":{"subject":"","project_id":79,"tracker_id":40,"status_id":1,"priority_id":2,"assigned_to_id":23,"start_date":"2016-10-16","description":"","custom_fields":[{"id":1,"name":"Subdivision","value":"EC"},{"id":4,"name":"Milepost","value":"0.0145"},{"id":17,"name":"Train ID","value":"202-16"},{"id":16,"name":"Locomotive ID","value":"4032"},{"id":130,"name":"Impact","value":""},{"id":150,"name":"Time of Event (Mountain Time)","value":"17:49:45"},{"id":151,"name":"Denver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547</v>
      </c>
      <c r="B115" s="7">
        <v>4027</v>
      </c>
      <c r="C115" s="22" t="s">
        <v>99</v>
      </c>
      <c r="D115" s="22" t="s">
        <v>244</v>
      </c>
      <c r="E115" s="13">
        <v>42659.683437500003</v>
      </c>
      <c r="F115" s="13">
        <v>42659.687789351854</v>
      </c>
      <c r="G115" s="7">
        <v>1</v>
      </c>
      <c r="H115" s="13" t="s">
        <v>260</v>
      </c>
      <c r="I115" s="13">
        <v>42659.713113425925</v>
      </c>
      <c r="J115" s="7">
        <v>1</v>
      </c>
      <c r="K115" s="112" t="str">
        <f t="shared" si="77"/>
        <v>4027/4028</v>
      </c>
      <c r="L115" s="22" t="str">
        <f>VLOOKUP(A115,'Trips&amp;Operators'!$C$1:$E$10000,3,FALSE)</f>
        <v>BARTLETT</v>
      </c>
      <c r="M115" s="6">
        <f t="shared" si="78"/>
        <v>2.5324074071249925E-2</v>
      </c>
      <c r="N115" s="7">
        <f t="shared" si="79"/>
        <v>36.466666662599891</v>
      </c>
      <c r="O115" s="7"/>
      <c r="P115" s="7"/>
      <c r="Q115" s="23"/>
      <c r="R115" s="23"/>
      <c r="S115" s="35">
        <f t="shared" si="80"/>
        <v>1</v>
      </c>
      <c r="T115" s="50" t="str">
        <f t="shared" si="81"/>
        <v>NorthBound</v>
      </c>
      <c r="U115" s="14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15:24:09-0600',mode:absolute,to:'2016-10-16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5" s="52" t="str">
        <f t="shared" si="83"/>
        <v>N</v>
      </c>
      <c r="X115" s="149">
        <f t="shared" si="84"/>
        <v>1</v>
      </c>
      <c r="Y115" s="67">
        <f t="shared" si="85"/>
        <v>4.53E-2</v>
      </c>
      <c r="Z115" s="67">
        <f t="shared" si="86"/>
        <v>23.329499999999999</v>
      </c>
      <c r="AA115" s="67">
        <f t="shared" si="87"/>
        <v>23.284199999999998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88"/>
        <v>0203-16</v>
      </c>
      <c r="AE115" s="91" t="str">
        <f t="shared" si="89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115" s="88" t="str">
        <f t="shared" si="90"/>
        <v>"C:\Program Files (x86)\AstroGrep\AstroGrep.exe" /spath="%USERPROFILE%\AppData\Local\Temp\OnboardLogs" /stypes="app*4027*20161016*" /stext=" 23:.+((SYSTEM_STATE.+slice.+state.+changed )|(ment ac)|(system.+state.+changed )|(\[timeout)|(PRM\|1\|D)|(kpr)|(kdp)|(\|lc)|(penalty))" /e /r /s</v>
      </c>
      <c r="AG115" s="1" t="str">
        <f t="shared" si="91"/>
        <v>EC</v>
      </c>
      <c r="AH115" s="92" t="str">
        <f t="shared" si="75"/>
        <v>"%USERPROFILE%\Documents\GitHub\eaglep3\Utilities\RefineRTDCRunTimes.py" --tripid 203-16 --locoid 4027 --swversion DE.1.0.7.0 --startMP 204:453 --initTime 2016-10-16T16:24:09 --startdatetime 2016-10-16T16:30:25 --delay 1 --endMP 204:233295 --enddatetime 2016-10-16T17:06:53 --enforcementcount 1 &gt;&gt;C:\Users\stu\Documents\GitHub\eaglep3-reporting\EC\2016-10-16-refined-times.txt</v>
      </c>
      <c r="AI115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{"issue":{"subject":"","project_id":79,"tracker_id":40,"status_id":1,"priority_id":2,"assigned_to_id":23,"start_date":"2016-10-16","description":"","custom_fields":[{"id":1,"name":"Subdivision","value":"EC"},{"id":4,"name":"Milepost","value":"23.3295"},{"id":17,"name":"Train ID","value":"203-16"},{"id":16,"name":"Locomotive ID","value":"4027"},{"id":130,"name":"Impact","value":""},{"id":150,"name":"Time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554</v>
      </c>
      <c r="B116" s="7">
        <v>4028</v>
      </c>
      <c r="C116" s="22" t="s">
        <v>99</v>
      </c>
      <c r="D116" s="22" t="s">
        <v>381</v>
      </c>
      <c r="E116" s="13">
        <v>42659.71565972222</v>
      </c>
      <c r="F116" s="13">
        <v>42659.726909722223</v>
      </c>
      <c r="G116" s="7">
        <v>1</v>
      </c>
      <c r="H116" s="13" t="s">
        <v>236</v>
      </c>
      <c r="I116" s="13">
        <v>42659.753182870372</v>
      </c>
      <c r="J116" s="7">
        <v>1</v>
      </c>
      <c r="K116" s="112" t="str">
        <f t="shared" si="77"/>
        <v>4027/4028</v>
      </c>
      <c r="L116" s="22" t="str">
        <f>VLOOKUP(A116,'Trips&amp;Operators'!$C$1:$E$10000,3,FALSE)</f>
        <v>BARTLETT</v>
      </c>
      <c r="M116" s="6">
        <f t="shared" si="78"/>
        <v>2.6273148148902692E-2</v>
      </c>
      <c r="N116" s="7">
        <f t="shared" si="79"/>
        <v>37.833333334419876</v>
      </c>
      <c r="O116" s="7"/>
      <c r="P116" s="7"/>
      <c r="Q116" s="23"/>
      <c r="R116" s="23"/>
      <c r="S116" s="35">
        <f t="shared" si="80"/>
        <v>1</v>
      </c>
      <c r="T116" s="50" t="str">
        <f t="shared" si="81"/>
        <v>Southbound</v>
      </c>
      <c r="U116" s="14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16:10:33-0600',mode:absolute,to:'2016-10-16 19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6" s="52" t="str">
        <f t="shared" si="83"/>
        <v>N</v>
      </c>
      <c r="X116" s="149">
        <f t="shared" si="84"/>
        <v>1</v>
      </c>
      <c r="Y116" s="67">
        <f t="shared" si="85"/>
        <v>23.3</v>
      </c>
      <c r="Z116" s="67">
        <f t="shared" si="86"/>
        <v>1.4500000000000001E-2</v>
      </c>
      <c r="AA116" s="67">
        <f t="shared" si="87"/>
        <v>23.285499999999999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88"/>
        <v>0204-16</v>
      </c>
      <c r="AE116" s="91" t="str">
        <f t="shared" si="89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116" s="88" t="str">
        <f t="shared" si="90"/>
        <v>"C:\Program Files (x86)\AstroGrep\AstroGrep.exe" /spath="%USERPROFILE%\AppData\Local\Temp\OnboardLogs" /stypes="app*4028*20161017*" /stext=" 00:.+((SYSTEM_STATE.+slice.+state.+changed )|(ment ac)|(system.+state.+changed )|(\[timeout)|(PRM\|1\|D)|(kpr)|(kdp)|(\|lc)|(penalty))" /e /r /s</v>
      </c>
      <c r="AG116" s="1" t="str">
        <f t="shared" si="91"/>
        <v>EC</v>
      </c>
      <c r="AH116" s="92" t="str">
        <f t="shared" si="75"/>
        <v>"%USERPROFILE%\Documents\GitHub\eaglep3\Utilities\RefineRTDCRunTimes.py" --tripid 204-16 --locoid 4028 --swversion DE.1.0.7.0 --startMP 204:233000 --initTime 2016-10-16T17:10:33 --startdatetime 2016-10-16T17:26:45 --delay 1 --endMP 204:145 --enddatetime 2016-10-16T18:04:35 --enforcementcount 1 &gt;&gt;C:\Users\stu\Documents\GitHub\eaglep3-reporting\EC\2016-10-16-refined-times.txt</v>
      </c>
      <c r="AI116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{"issue":{"subject":"","project_id":79,"tracker_id":40,"status_id":1,"priority_id":2,"assigned_to_id":23,"start_date":"2016-10-16","description":"","custom_fields":[{"id":1,"name":"Subdivision","value":"EC"},{"id":4,"name":"Milepost","value":"0.0145"},{"id":17,"name":"Train ID","value":"204-16"},{"id":16,"name":"Locomotive ID","value":"4028"},{"id":130,"name":"Impact","value":""},{"id":150,"name":"Time of Event (Mountain Time)","value":"18:04:35"},{"id":151,"name":"Denver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550</v>
      </c>
      <c r="B117" s="7">
        <v>4042</v>
      </c>
      <c r="C117" s="22" t="s">
        <v>99</v>
      </c>
      <c r="D117" s="22" t="s">
        <v>307</v>
      </c>
      <c r="E117" s="13">
        <v>42659.693680555552</v>
      </c>
      <c r="F117" s="13">
        <v>42659.698136574072</v>
      </c>
      <c r="G117" s="7">
        <v>1</v>
      </c>
      <c r="H117" s="13" t="s">
        <v>376</v>
      </c>
      <c r="I117" s="13">
        <v>42659.723877314813</v>
      </c>
      <c r="J117" s="7">
        <v>1</v>
      </c>
      <c r="K117" s="112" t="str">
        <f t="shared" si="77"/>
        <v>4041/4042</v>
      </c>
      <c r="L117" s="22" t="str">
        <f>VLOOKUP(A117,'Trips&amp;Operators'!$C$1:$E$10000,3,FALSE)</f>
        <v>BRUDER</v>
      </c>
      <c r="M117" s="6">
        <f t="shared" si="78"/>
        <v>2.5740740740729962E-2</v>
      </c>
      <c r="N117" s="7">
        <f t="shared" si="79"/>
        <v>37.066666666651145</v>
      </c>
      <c r="O117" s="7"/>
      <c r="P117" s="7"/>
      <c r="Q117" s="23"/>
      <c r="R117" s="23"/>
      <c r="S117" s="35">
        <f t="shared" si="80"/>
        <v>1</v>
      </c>
      <c r="T117" s="50" t="str">
        <f t="shared" si="81"/>
        <v>NorthBound</v>
      </c>
      <c r="U117" s="14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15:38:54-0600',mode:absolute,to:'2016-10-16 18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83"/>
        <v>N</v>
      </c>
      <c r="X117" s="149">
        <f t="shared" si="84"/>
        <v>1</v>
      </c>
      <c r="Y117" s="67">
        <f t="shared" si="85"/>
        <v>4.7500000000000001E-2</v>
      </c>
      <c r="Z117" s="67">
        <f t="shared" si="86"/>
        <v>23.3325</v>
      </c>
      <c r="AA117" s="67">
        <f t="shared" si="87"/>
        <v>23.285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88"/>
        <v>0205-16</v>
      </c>
      <c r="AE117" s="91" t="str">
        <f t="shared" si="89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117" s="88" t="str">
        <f t="shared" si="90"/>
        <v>"C:\Program Files (x86)\AstroGrep\AstroGrep.exe" /spath="%USERPROFILE%\AppData\Local\Temp\OnboardLogs" /stypes="app*4042*20161016*" /stext=" 23:.+((SYSTEM_STATE.+slice.+state.+changed )|(ment ac)|(system.+state.+changed )|(\[timeout)|(PRM\|1\|D)|(kpr)|(kdp)|(\|lc)|(penalty))" /e /r /s</v>
      </c>
      <c r="AG117" s="1" t="str">
        <f t="shared" si="91"/>
        <v>EC</v>
      </c>
      <c r="AH117" s="92" t="str">
        <f t="shared" si="75"/>
        <v>"%USERPROFILE%\Documents\GitHub\eaglep3\Utilities\RefineRTDCRunTimes.py" --tripid 205-16 --locoid 4042 --swversion DE.1.0.7.0 --startMP 204:475 --initTime 2016-10-16T16:38:54 --startdatetime 2016-10-16T16:45:19 --delay 1 --endMP 204:233325 --enddatetime 2016-10-16T17:22:23 --enforcementcount 1 &gt;&gt;C:\Users\stu\Documents\GitHub\eaglep3-reporting\EC\2016-10-16-refined-times.txt</v>
      </c>
      <c r="AI117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{"issue":{"subject":"","project_id":79,"tracker_id":40,"status_id":1,"priority_id":2,"assigned_to_id":23,"start_date":"2016-10-16","description":"","custom_fields":[{"id":1,"name":"Subdivision","value":"EC"},{"id":4,"name":"Milepost","value":"23.3325"},{"id":17,"name":"Train ID","value":"205-16"},{"id":16,"name":"Locomotive ID","value":"4042"},{"id":130,"name":"Impact","value":""},{"id":150,"name":"Time of Event (Mountain Time)","value":"17:22:23"},{"id":151,"name":"Denver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560</v>
      </c>
      <c r="B118" s="7">
        <v>4041</v>
      </c>
      <c r="C118" s="22" t="s">
        <v>99</v>
      </c>
      <c r="D118" s="22" t="s">
        <v>381</v>
      </c>
      <c r="E118" s="13">
        <v>42659.73164351852</v>
      </c>
      <c r="F118" s="13">
        <v>42659.737037037034</v>
      </c>
      <c r="G118" s="7">
        <v>1</v>
      </c>
      <c r="H118" s="13" t="s">
        <v>620</v>
      </c>
      <c r="I118" s="13">
        <v>42659.764247685183</v>
      </c>
      <c r="J118" s="7">
        <v>1</v>
      </c>
      <c r="K118" s="112" t="str">
        <f t="shared" si="77"/>
        <v>4041/4042</v>
      </c>
      <c r="L118" s="22" t="str">
        <f>VLOOKUP(A118,'Trips&amp;Operators'!$C$1:$E$10000,3,FALSE)</f>
        <v>BRUDER</v>
      </c>
      <c r="M118" s="6">
        <f t="shared" si="78"/>
        <v>2.7210648149775807E-2</v>
      </c>
      <c r="N118" s="7">
        <f t="shared" si="79"/>
        <v>39.183333335677162</v>
      </c>
      <c r="O118" s="7"/>
      <c r="P118" s="7"/>
      <c r="Q118" s="23"/>
      <c r="R118" s="23"/>
      <c r="S118" s="35">
        <f t="shared" si="80"/>
        <v>1</v>
      </c>
      <c r="T118" s="50" t="str">
        <f t="shared" si="81"/>
        <v>Southbound</v>
      </c>
      <c r="U118" s="14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16:33:34-0600',mode:absolute,to:'2016-10-16 19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83"/>
        <v>N</v>
      </c>
      <c r="X118" s="149">
        <f t="shared" si="84"/>
        <v>1</v>
      </c>
      <c r="Y118" s="67">
        <f t="shared" si="85"/>
        <v>23.3</v>
      </c>
      <c r="Z118" s="67">
        <f t="shared" si="86"/>
        <v>1.6500000000000001E-2</v>
      </c>
      <c r="AA118" s="67">
        <f t="shared" si="87"/>
        <v>23.2835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88"/>
        <v>0206-16</v>
      </c>
      <c r="AE118" s="91" t="str">
        <f t="shared" si="89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18" s="88" t="str">
        <f t="shared" si="90"/>
        <v>"C:\Program Files (x86)\AstroGrep\AstroGrep.exe" /spath="%USERPROFILE%\AppData\Local\Temp\OnboardLogs" /stypes="app*4041*20161017*" /stext=" 00:.+((SYSTEM_STATE.+slice.+state.+changed )|(ment ac)|(system.+state.+changed )|(\[timeout)|(PRM\|1\|D)|(kpr)|(kdp)|(\|lc)|(penalty))" /e /r /s</v>
      </c>
      <c r="AG118" s="1" t="str">
        <f t="shared" si="91"/>
        <v>EC</v>
      </c>
      <c r="AH118" s="92" t="str">
        <f t="shared" si="75"/>
        <v>"%USERPROFILE%\Documents\GitHub\eaglep3\Utilities\RefineRTDCRunTimes.py" --tripid 206-16 --locoid 4041 --swversion DE.1.0.7.0 --startMP 204:233000 --initTime 2016-10-16T17:33:34 --startdatetime 2016-10-16T17:41:20 --delay 1 --endMP 204:165 --enddatetime 2016-10-16T18:20:31 --enforcementcount 1 &gt;&gt;C:\Users\stu\Documents\GitHub\eaglep3-reporting\EC\2016-10-16-refined-times.txt</v>
      </c>
      <c r="AI118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{"issue":{"subject":"","project_id":79,"tracker_id":40,"status_id":1,"priority_id":2,"assigned_to_id":23,"start_date":"2016-10-16","description":"","custom_fields":[{"id":1,"name":"Subdivision","value":"EC"},{"id":4,"name":"Milepost","value":"0.0165"},{"id":17,"name":"Train ID","value":"206-16"},{"id":16,"name":"Locomotive ID","value":"4041"},{"id":130,"name":"Impact","value":""},{"id":150,"name":"Time of Event (Mountain Time)","value":"18:20:31"},{"id":151,"name":"Denver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552</v>
      </c>
      <c r="B119" s="7">
        <v>4018</v>
      </c>
      <c r="C119" s="22" t="s">
        <v>99</v>
      </c>
      <c r="D119" s="22" t="s">
        <v>258</v>
      </c>
      <c r="E119" s="13">
        <v>42659.70548611111</v>
      </c>
      <c r="F119" s="13">
        <v>42659.708518518521</v>
      </c>
      <c r="G119" s="7">
        <v>1</v>
      </c>
      <c r="H119" s="13" t="s">
        <v>197</v>
      </c>
      <c r="I119" s="13">
        <v>42659.733668981484</v>
      </c>
      <c r="J119" s="7">
        <v>1</v>
      </c>
      <c r="K119" s="112" t="str">
        <f t="shared" si="77"/>
        <v>4017/4018</v>
      </c>
      <c r="L119" s="22" t="str">
        <f>VLOOKUP(A119,'Trips&amp;Operators'!$C$1:$E$10000,3,FALSE)</f>
        <v>MOSES</v>
      </c>
      <c r="M119" s="6">
        <f t="shared" si="78"/>
        <v>2.5150462963210884E-2</v>
      </c>
      <c r="N119" s="7">
        <f t="shared" si="79"/>
        <v>36.216666667023674</v>
      </c>
      <c r="O119" s="7"/>
      <c r="P119" s="7"/>
      <c r="Q119" s="23"/>
      <c r="R119" s="23"/>
      <c r="S119" s="35">
        <f t="shared" si="80"/>
        <v>1</v>
      </c>
      <c r="T119" s="50" t="str">
        <f t="shared" si="81"/>
        <v>NorthBound</v>
      </c>
      <c r="U119" s="14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15:55:54-0600',mode:absolute,to:'2016-10-16 18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9" s="52" t="str">
        <f t="shared" si="83"/>
        <v>N</v>
      </c>
      <c r="X119" s="149">
        <f t="shared" si="84"/>
        <v>1</v>
      </c>
      <c r="Y119" s="67">
        <f t="shared" si="85"/>
        <v>4.6600000000000003E-2</v>
      </c>
      <c r="Z119" s="67">
        <f t="shared" si="86"/>
        <v>23.329699999999999</v>
      </c>
      <c r="AA119" s="67">
        <f t="shared" si="87"/>
        <v>23.283099999999997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88"/>
        <v>0207-16</v>
      </c>
      <c r="AE119" s="91" t="str">
        <f t="shared" si="89"/>
        <v>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 &amp; 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</v>
      </c>
      <c r="AF119" s="88" t="str">
        <f t="shared" si="90"/>
        <v>"C:\Program Files (x86)\AstroGrep\AstroGrep.exe" /spath="%USERPROFILE%\AppData\Local\Temp\OnboardLogs" /stypes="app*4018*20161016*" /stext=" 23:.+((SYSTEM_STATE.+slice.+state.+changed )|(ment ac)|(system.+state.+changed )|(\[timeout)|(PRM\|1\|D)|(kpr)|(kdp)|(\|lc)|(penalty))" /e /r /s</v>
      </c>
      <c r="AG119" s="1" t="str">
        <f t="shared" si="91"/>
        <v>EC</v>
      </c>
      <c r="AH119" s="92" t="str">
        <f t="shared" si="75"/>
        <v>"%USERPROFILE%\Documents\GitHub\eaglep3\Utilities\RefineRTDCRunTimes.py" --tripid 207-16 --locoid 4018 --swversion DE.1.0.7.0 --startMP 204:466 --initTime 2016-10-16T16:55:54 --startdatetime 2016-10-16T17:00:16 --delay 1 --endMP 204:233297 --enddatetime 2016-10-16T17:36:29 --enforcementcount 1 &gt;&gt;C:\Users\stu\Documents\GitHub\eaglep3-reporting\EC\2016-10-16-refined-times.txt</v>
      </c>
      <c r="AI119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ID","value":"207-16"},{"id":16,"name":"Locomotive ID","value":"4018"},{"id":130,"name":"Impact","value":""},{"id":150,"name":"Time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564</v>
      </c>
      <c r="B120" s="7">
        <v>4017</v>
      </c>
      <c r="C120" s="22" t="s">
        <v>99</v>
      </c>
      <c r="D120" s="22" t="s">
        <v>299</v>
      </c>
      <c r="E120" s="13">
        <v>42659.743564814817</v>
      </c>
      <c r="F120" s="13">
        <v>42659.747465277775</v>
      </c>
      <c r="G120" s="7">
        <v>1</v>
      </c>
      <c r="H120" s="13" t="s">
        <v>238</v>
      </c>
      <c r="I120" s="13">
        <v>42659.774560185186</v>
      </c>
      <c r="J120" s="7">
        <v>1</v>
      </c>
      <c r="K120" s="112" t="str">
        <f t="shared" si="77"/>
        <v>4017/4018</v>
      </c>
      <c r="L120" s="22" t="str">
        <f>VLOOKUP(A120,'Trips&amp;Operators'!$C$1:$E$10000,3,FALSE)</f>
        <v>MOSES</v>
      </c>
      <c r="M120" s="6">
        <f t="shared" si="78"/>
        <v>2.7094907411083113E-2</v>
      </c>
      <c r="N120" s="7">
        <f t="shared" si="79"/>
        <v>39.016666671959683</v>
      </c>
      <c r="O120" s="7"/>
      <c r="P120" s="7"/>
      <c r="Q120" s="23"/>
      <c r="R120" s="23"/>
      <c r="S120" s="35">
        <f t="shared" si="80"/>
        <v>1</v>
      </c>
      <c r="T120" s="50" t="str">
        <f t="shared" si="81"/>
        <v>Southbound</v>
      </c>
      <c r="U120" s="14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16:50:44-0600',mode:absolute,to:'2016-10-16 19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0" s="52" t="str">
        <f t="shared" si="83"/>
        <v>N</v>
      </c>
      <c r="X120" s="149">
        <f t="shared" si="84"/>
        <v>1</v>
      </c>
      <c r="Y120" s="67">
        <f t="shared" si="85"/>
        <v>23.297699999999999</v>
      </c>
      <c r="Z120" s="67">
        <f t="shared" si="86"/>
        <v>1.49E-2</v>
      </c>
      <c r="AA120" s="67">
        <f t="shared" si="87"/>
        <v>23.282799999999998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88"/>
        <v>0208-16</v>
      </c>
      <c r="AE120" s="91" t="str">
        <f t="shared" si="89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120" s="88" t="str">
        <f t="shared" si="90"/>
        <v>"C:\Program Files (x86)\AstroGrep\AstroGrep.exe" /spath="%USERPROFILE%\AppData\Local\Temp\OnboardLogs" /stypes="app*4017*20161017*" /stext=" 00:.+((SYSTEM_STATE.+slice.+state.+changed )|(ment ac)|(system.+state.+changed )|(\[timeout)|(PRM\|1\|D)|(kpr)|(kdp)|(\|lc)|(penalty))" /e /r /s</v>
      </c>
      <c r="AG120" s="1" t="str">
        <f t="shared" si="91"/>
        <v>EC</v>
      </c>
      <c r="AH120" s="92" t="str">
        <f t="shared" si="75"/>
        <v>"%USERPROFILE%\Documents\GitHub\eaglep3\Utilities\RefineRTDCRunTimes.py" --tripid 208-16 --locoid 4017 --swversion DE.1.0.7.0 --startMP 204:232977 --initTime 2016-10-16T17:50:44 --startdatetime 2016-10-16T17:56:21 --delay 1 --endMP 204:149 --enddatetime 2016-10-16T18:35:22 --enforcementcount 1 &gt;&gt;C:\Users\stu\Documents\GitHub\eaglep3-reporting\EC\2016-10-16-refined-times.txt</v>
      </c>
      <c r="AI120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{"issue":{"subject":"","project_id":79,"tracker_id":40,"status_id":1,"priority_id":2,"assigned_to_id":23,"start_date":"2016-10-16","description":"","custom_fields":[{"id":1,"name":"Subdivision","value":"EC"},{"id":4,"name":"Milepost","value":"0.0149"},{"id":17,"name":"Train ID","value":"208-16"},{"id":16,"name":"Locomotive ID","value":"4017"},{"id":130,"name":"Impact","value":""},{"id":150,"name":"Time of Event (Mountain Time)","value":"18:35:22"},{"id":151,"name":"Denver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555</v>
      </c>
      <c r="B121" s="7">
        <v>4040</v>
      </c>
      <c r="C121" s="22" t="s">
        <v>99</v>
      </c>
      <c r="D121" s="22" t="s">
        <v>256</v>
      </c>
      <c r="E121" s="13">
        <v>42659.716608796298</v>
      </c>
      <c r="F121" s="13">
        <v>42659.718993055554</v>
      </c>
      <c r="G121" s="7">
        <v>3</v>
      </c>
      <c r="H121" s="13" t="s">
        <v>636</v>
      </c>
      <c r="I121" s="13">
        <v>42659.745520833334</v>
      </c>
      <c r="J121" s="7">
        <v>1</v>
      </c>
      <c r="K121" s="112" t="str">
        <f t="shared" si="77"/>
        <v>4039/4040</v>
      </c>
      <c r="L121" s="22" t="str">
        <f>VLOOKUP(A121,'Trips&amp;Operators'!$C$1:$E$10000,3,FALSE)</f>
        <v>BRANDNER</v>
      </c>
      <c r="M121" s="6">
        <f t="shared" si="78"/>
        <v>2.6527777779847383E-2</v>
      </c>
      <c r="N121" s="7">
        <f t="shared" si="79"/>
        <v>38.200000002980232</v>
      </c>
      <c r="O121" s="7"/>
      <c r="P121" s="7"/>
      <c r="Q121" s="23"/>
      <c r="R121" s="23"/>
      <c r="S121" s="35">
        <f t="shared" si="80"/>
        <v>1</v>
      </c>
      <c r="T121" s="50" t="str">
        <f t="shared" si="81"/>
        <v>NorthBound</v>
      </c>
      <c r="U121" s="14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16:11:55-0600',mode:absolute,to:'2016-10-16 18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1" s="52" t="str">
        <f t="shared" si="83"/>
        <v>N</v>
      </c>
      <c r="X121" s="149">
        <f t="shared" si="84"/>
        <v>1</v>
      </c>
      <c r="Y121" s="67">
        <f t="shared" si="85"/>
        <v>4.6199999999999998E-2</v>
      </c>
      <c r="Z121" s="67">
        <f t="shared" si="86"/>
        <v>23.330400000000001</v>
      </c>
      <c r="AA121" s="67">
        <f t="shared" si="87"/>
        <v>23.284200000000002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88"/>
        <v>0209-16</v>
      </c>
      <c r="AE121" s="91" t="str">
        <f t="shared" si="89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121" s="88" t="str">
        <f t="shared" si="90"/>
        <v>"C:\Program Files (x86)\AstroGrep\AstroGrep.exe" /spath="%USERPROFILE%\AppData\Local\Temp\OnboardLogs" /stypes="app*4040*20161016*" /stext=" 23:.+((SYSTEM_STATE.+slice.+state.+changed )|(ment ac)|(system.+state.+changed )|(\[timeout)|(PRM\|1\|D)|(kpr)|(kdp)|(\|lc)|(penalty))" /e /r /s</v>
      </c>
      <c r="AG121" s="1" t="str">
        <f t="shared" si="91"/>
        <v>EC</v>
      </c>
      <c r="AH121" s="92" t="str">
        <f t="shared" si="75"/>
        <v>"%USERPROFILE%\Documents\GitHub\eaglep3\Utilities\RefineRTDCRunTimes.py" --tripid 209-16 --locoid 4040 --swversion DE.1.0.7.0 --startMP 204:462 --initTime 2016-10-16T17:11:55 --startdatetime 2016-10-16T17:15:21 --delay 3 --endMP 204:233304 --enddatetime 2016-10-16T17:53:33 --enforcementcount 1 &gt;&gt;C:\Users\stu\Documents\GitHub\eaglep3-reporting\EC\2016-10-16-refined-times.txt</v>
      </c>
      <c r="AI12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{"issue":{"subject":"","project_id":79,"tracker_id":40,"status_id":1,"priority_id":2,"assigned_to_id":23,"start_date":"2016-10-16","description":"","custom_fields":[{"id":1,"name":"Subdivision","value":"EC"},{"id":4,"name":"Milepost","value":"23.3304"},{"id":17,"name":"Train ID","value":"209-16"},{"id":16,"name":"Locomotive ID","value":"4040"},{"id":130,"name":"Impact","value":""},{"id":150,"name":"Time of Event (Mountain Time)","value":"17:53:33"},{"id":151,"name":"Denver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566</v>
      </c>
      <c r="B122" s="7">
        <v>4039</v>
      </c>
      <c r="C122" s="22" t="s">
        <v>99</v>
      </c>
      <c r="D122" s="22" t="s">
        <v>265</v>
      </c>
      <c r="E122" s="13">
        <v>42659.752083333333</v>
      </c>
      <c r="F122" s="13">
        <v>42659.757824074077</v>
      </c>
      <c r="G122" s="7">
        <v>2</v>
      </c>
      <c r="H122" s="13" t="s">
        <v>250</v>
      </c>
      <c r="I122" s="13">
        <v>42659.785891203705</v>
      </c>
      <c r="J122" s="7">
        <v>1</v>
      </c>
      <c r="K122" s="112" t="str">
        <f t="shared" si="77"/>
        <v>4039/4040</v>
      </c>
      <c r="L122" s="22" t="str">
        <f>VLOOKUP(A122,'Trips&amp;Operators'!$C$1:$E$10000,3,FALSE)</f>
        <v>BRANDNER</v>
      </c>
      <c r="M122" s="6">
        <f t="shared" si="78"/>
        <v>2.806712962774327E-2</v>
      </c>
      <c r="N122" s="7">
        <f t="shared" si="79"/>
        <v>40.416666663950309</v>
      </c>
      <c r="O122" s="7"/>
      <c r="P122" s="7"/>
      <c r="Q122" s="23"/>
      <c r="R122" s="23"/>
      <c r="S122" s="35">
        <f t="shared" si="80"/>
        <v>1</v>
      </c>
      <c r="T122" s="50" t="str">
        <f t="shared" si="81"/>
        <v>Southbound</v>
      </c>
      <c r="U122" s="14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17:03:00-0600',mode:absolute,to:'2016-10-16 19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2" s="52" t="str">
        <f t="shared" si="83"/>
        <v>N</v>
      </c>
      <c r="X122" s="149">
        <f t="shared" si="84"/>
        <v>1</v>
      </c>
      <c r="Y122" s="67">
        <f t="shared" si="85"/>
        <v>23.2989</v>
      </c>
      <c r="Z122" s="67">
        <f t="shared" si="86"/>
        <v>1.3599999999999999E-2</v>
      </c>
      <c r="AA122" s="67">
        <f t="shared" si="87"/>
        <v>23.285299999999999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88"/>
        <v>0210-16</v>
      </c>
      <c r="AE122" s="91" t="str">
        <f t="shared" si="89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122" s="88" t="str">
        <f t="shared" si="90"/>
        <v>"C:\Program Files (x86)\AstroGrep\AstroGrep.exe" /spath="%USERPROFILE%\AppData\Local\Temp\OnboardLogs" /stypes="app*4039*20161017*" /stext=" 00:.+((SYSTEM_STATE.+slice.+state.+changed )|(ment ac)|(system.+state.+changed )|(\[timeout)|(PRM\|1\|D)|(kpr)|(kdp)|(\|lc)|(penalty))" /e /r /s</v>
      </c>
      <c r="AG122" s="1" t="str">
        <f t="shared" si="91"/>
        <v>EC</v>
      </c>
      <c r="AH122" s="92" t="str">
        <f t="shared" si="75"/>
        <v>"%USERPROFILE%\Documents\GitHub\eaglep3\Utilities\RefineRTDCRunTimes.py" --tripid 210-16 --locoid 4039 --swversion DE.1.0.7.0 --startMP 204:232989 --initTime 2016-10-16T18:03:00 --startdatetime 2016-10-16T18:11:16 --delay 2 --endMP 204:136 --enddatetime 2016-10-16T18:51:41 --enforcementcount 1 &gt;&gt;C:\Users\stu\Documents\GitHub\eaglep3-reporting\EC\2016-10-16-refined-times.txt</v>
      </c>
      <c r="AI12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{"issue":{"subject":"","project_id":79,"tracker_id":40,"status_id":1,"priority_id":2,"assigned_to_id":23,"start_date":"2016-10-16","description":"","custom_fields":[{"id":1,"name":"Subdivision","value":"EC"},{"id":4,"name":"Milepost","value":"0.0136"},{"id":17,"name":"Train ID","value":"210-16"},{"id":16,"name":"Locomotive ID","value":"4039"},{"id":130,"name":"Impact","value":""},{"id":150,"name":"Time of Event (Mountain Time)","value":"18:51:41"},{"id":151,"name":"Denver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559</v>
      </c>
      <c r="B123" s="7">
        <v>4046</v>
      </c>
      <c r="C123" s="22" t="s">
        <v>99</v>
      </c>
      <c r="D123" s="22" t="s">
        <v>688</v>
      </c>
      <c r="E123" s="13">
        <v>42659.7262962963</v>
      </c>
      <c r="F123" s="13">
        <v>42659.729432870372</v>
      </c>
      <c r="G123" s="7">
        <v>1</v>
      </c>
      <c r="H123" s="13" t="s">
        <v>302</v>
      </c>
      <c r="I123" s="13">
        <v>42659.755393518521</v>
      </c>
      <c r="J123" s="7">
        <v>1</v>
      </c>
      <c r="K123" s="112" t="str">
        <f t="shared" si="77"/>
        <v>4045/4046</v>
      </c>
      <c r="L123" s="22" t="str">
        <f>VLOOKUP(A123,'Trips&amp;Operators'!$C$1:$E$10000,3,FALSE)</f>
        <v>YOUNG</v>
      </c>
      <c r="M123" s="6">
        <f t="shared" si="78"/>
        <v>2.5960648148611654E-2</v>
      </c>
      <c r="N123" s="7">
        <f t="shared" si="79"/>
        <v>37.383333334000781</v>
      </c>
      <c r="O123" s="7"/>
      <c r="P123" s="7"/>
      <c r="Q123" s="23"/>
      <c r="R123" s="23"/>
      <c r="S123" s="35">
        <f t="shared" si="80"/>
        <v>1</v>
      </c>
      <c r="T123" s="50" t="str">
        <f t="shared" si="81"/>
        <v>NorthBound</v>
      </c>
      <c r="U123" s="14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16:25:52-0600',mode:absolute,to:'2016-10-16 19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3" s="52" t="str">
        <f t="shared" si="83"/>
        <v>N</v>
      </c>
      <c r="X123" s="149">
        <f t="shared" si="84"/>
        <v>1</v>
      </c>
      <c r="Y123" s="67">
        <f t="shared" si="85"/>
        <v>4.8800000000000003E-2</v>
      </c>
      <c r="Z123" s="67">
        <f t="shared" si="86"/>
        <v>23.330100000000002</v>
      </c>
      <c r="AA123" s="67">
        <f t="shared" si="87"/>
        <v>23.281300000000002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88"/>
        <v>0211-16</v>
      </c>
      <c r="AE123" s="91" t="str">
        <f t="shared" si="89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123" s="88" t="str">
        <f t="shared" si="90"/>
        <v>"C:\Program Files (x86)\AstroGrep\AstroGrep.exe" /spath="%USERPROFILE%\AppData\Local\Temp\OnboardLogs" /stypes="app*4046*20161017*" /stext=" 00:.+((SYSTEM_STATE.+slice.+state.+changed )|(ment ac)|(system.+state.+changed )|(\[timeout)|(PRM\|1\|D)|(kpr)|(kdp)|(\|lc)|(penalty))" /e /r /s</v>
      </c>
      <c r="AG123" s="1" t="str">
        <f t="shared" si="91"/>
        <v>EC</v>
      </c>
      <c r="AH123" s="92" t="str">
        <f t="shared" si="75"/>
        <v>"%USERPROFILE%\Documents\GitHub\eaglep3\Utilities\RefineRTDCRunTimes.py" --tripid 211-16 --locoid 4046 --swversion DE.1.0.7.0 --startMP 204:488 --initTime 2016-10-16T17:25:52 --startdatetime 2016-10-16T17:30:23 --delay 1 --endMP 204:233301 --enddatetime 2016-10-16T18:07:46 --enforcementcount 1 &gt;&gt;C:\Users\stu\Documents\GitHub\eaglep3-reporting\EC\2016-10-16-refined-times.txt</v>
      </c>
      <c r="AI12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{"issue":{"subject":"","project_id":79,"tracker_id":40,"status_id":1,"priority_id":2,"assigned_to_id":23,"start_date":"2016-10-16","description":"","custom_fields":[{"id":1,"name":"Subdivision","value":"EC"},{"id":4,"name":"Milepost","value":"23.3301"},{"id":17,"name":"Train ID","value":"211-16"},{"id":16,"name":"Locomotive ID","value":"4046"},{"id":130,"name":"Impact","value":""},{"id":150,"name":"Time of Event (Mountain Time)","value":"18:07:46"},{"id":151,"name":"Denver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569</v>
      </c>
      <c r="B124" s="7">
        <v>4045</v>
      </c>
      <c r="C124" s="22" t="s">
        <v>99</v>
      </c>
      <c r="D124" s="22" t="s">
        <v>304</v>
      </c>
      <c r="E124" s="13">
        <v>42659.760462962964</v>
      </c>
      <c r="F124" s="13">
        <v>42659.768425925926</v>
      </c>
      <c r="G124" s="7">
        <v>1</v>
      </c>
      <c r="H124" s="13" t="s">
        <v>177</v>
      </c>
      <c r="I124" s="13">
        <v>42659.798101851855</v>
      </c>
      <c r="J124" s="7">
        <v>1</v>
      </c>
      <c r="K124" s="112" t="str">
        <f t="shared" si="77"/>
        <v>4045/4046</v>
      </c>
      <c r="L124" s="22" t="str">
        <f>VLOOKUP(A124,'Trips&amp;Operators'!$C$1:$E$10000,3,FALSE)</f>
        <v>YOUNG</v>
      </c>
      <c r="M124" s="6">
        <f t="shared" si="78"/>
        <v>2.9675925929041114E-2</v>
      </c>
      <c r="N124" s="7">
        <f t="shared" si="79"/>
        <v>42.733333337819204</v>
      </c>
      <c r="O124" s="7"/>
      <c r="P124" s="7"/>
      <c r="Q124" s="23"/>
      <c r="R124" s="23"/>
      <c r="S124" s="35">
        <f t="shared" si="80"/>
        <v>1</v>
      </c>
      <c r="T124" s="50" t="str">
        <f t="shared" si="81"/>
        <v>Southbound</v>
      </c>
      <c r="U124" s="14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17:15:04-0600',mode:absolute,to:'2016-10-16 20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4" s="52" t="str">
        <f t="shared" si="83"/>
        <v>N</v>
      </c>
      <c r="X124" s="149">
        <f t="shared" si="84"/>
        <v>1</v>
      </c>
      <c r="Y124" s="67">
        <f t="shared" si="85"/>
        <v>23.298400000000001</v>
      </c>
      <c r="Z124" s="67">
        <f t="shared" si="86"/>
        <v>1.52E-2</v>
      </c>
      <c r="AA124" s="67">
        <f t="shared" si="87"/>
        <v>23.283200000000001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88"/>
        <v>0212-16</v>
      </c>
      <c r="AE124" s="91" t="str">
        <f t="shared" si="89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124" s="88" t="str">
        <f t="shared" si="90"/>
        <v>"C:\Program Files (x86)\AstroGrep\AstroGrep.exe" /spath="%USERPROFILE%\AppData\Local\Temp\OnboardLogs" /stypes="app*4045*20161017*" /stext=" 01:.+((SYSTEM_STATE.+slice.+state.+changed )|(ment ac)|(system.+state.+changed )|(\[timeout)|(PRM\|1\|D)|(kpr)|(kdp)|(\|lc)|(penalty))" /e /r /s</v>
      </c>
      <c r="AG124" s="1" t="str">
        <f t="shared" si="91"/>
        <v>EC</v>
      </c>
      <c r="AH124" s="92" t="str">
        <f t="shared" si="75"/>
        <v>"%USERPROFILE%\Documents\GitHub\eaglep3\Utilities\RefineRTDCRunTimes.py" --tripid 212-16 --locoid 4045 --swversion DE.1.0.7.0 --startMP 204:232984 --initTime 2016-10-16T18:15:04 --startdatetime 2016-10-16T18:26:32 --delay 1 --endMP 204:152 --enddatetime 2016-10-16T19:09:16 --enforcementcount 1 &gt;&gt;C:\Users\stu\Documents\GitHub\eaglep3-reporting\EC\2016-10-16-refined-times.txt</v>
      </c>
      <c r="AI124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ID","value":"212-16"},{"id":16,"name":"Locomotive ID","value":"4045"},{"id":130,"name":"Impact","value":""},{"id":150,"name":"Time of Event (Mountain Time)","value":"19:09:16"},{"id":151,"name":"Denver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562</v>
      </c>
      <c r="B125" s="7">
        <v>4029</v>
      </c>
      <c r="C125" s="22" t="s">
        <v>99</v>
      </c>
      <c r="D125" s="22" t="s">
        <v>275</v>
      </c>
      <c r="E125" s="13">
        <v>42659.735439814816</v>
      </c>
      <c r="F125" s="13">
        <v>42659.739745370367</v>
      </c>
      <c r="G125" s="7">
        <v>2</v>
      </c>
      <c r="H125" s="13" t="s">
        <v>197</v>
      </c>
      <c r="I125" s="13">
        <v>42659.765497685185</v>
      </c>
      <c r="J125" s="7">
        <v>1</v>
      </c>
      <c r="K125" s="112" t="str">
        <f t="shared" si="77"/>
        <v>4029/4030</v>
      </c>
      <c r="L125" s="22" t="str">
        <f>VLOOKUP(A125,'Trips&amp;Operators'!$C$1:$E$10000,3,FALSE)</f>
        <v>BERLING</v>
      </c>
      <c r="M125" s="6">
        <f t="shared" si="78"/>
        <v>2.5752314817509614E-2</v>
      </c>
      <c r="N125" s="7">
        <f t="shared" si="79"/>
        <v>37.083333337213844</v>
      </c>
      <c r="O125" s="7"/>
      <c r="P125" s="7"/>
      <c r="Q125" s="23"/>
      <c r="R125" s="23"/>
      <c r="S125" s="35">
        <f t="shared" si="80"/>
        <v>1</v>
      </c>
      <c r="T125" s="50" t="str">
        <f t="shared" si="81"/>
        <v>NorthBound</v>
      </c>
      <c r="U125" s="14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16:39:02-0600',mode:absolute,to:'2016-10-16 19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83"/>
        <v>N</v>
      </c>
      <c r="X125" s="149">
        <f t="shared" si="84"/>
        <v>1</v>
      </c>
      <c r="Y125" s="67">
        <f t="shared" si="85"/>
        <v>4.5100000000000001E-2</v>
      </c>
      <c r="Z125" s="67">
        <f t="shared" si="86"/>
        <v>23.329699999999999</v>
      </c>
      <c r="AA125" s="67">
        <f t="shared" si="87"/>
        <v>23.284599999999998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88"/>
        <v>0213-16</v>
      </c>
      <c r="AE125" s="91" t="str">
        <f t="shared" si="89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125" s="88" t="str">
        <f t="shared" si="90"/>
        <v>"C:\Program Files (x86)\AstroGrep\AstroGrep.exe" /spath="%USERPROFILE%\AppData\Local\Temp\OnboardLogs" /stypes="app*4029*20161017*" /stext=" 00:.+((SYSTEM_STATE.+slice.+state.+changed )|(ment ac)|(system.+state.+changed )|(\[timeout)|(PRM\|1\|D)|(kpr)|(kdp)|(\|lc)|(penalty))" /e /r /s</v>
      </c>
      <c r="AG125" s="1" t="str">
        <f t="shared" si="91"/>
        <v>EC</v>
      </c>
      <c r="AH125" s="92" t="str">
        <f t="shared" si="75"/>
        <v>"%USERPROFILE%\Documents\GitHub\eaglep3\Utilities\RefineRTDCRunTimes.py" --tripid 213-16 --locoid 4029 --swversion DE.1.0.7.0 --startMP 204:451 --initTime 2016-10-16T17:39:02 --startdatetime 2016-10-16T17:45:14 --delay 2 --endMP 204:233297 --enddatetime 2016-10-16T18:22:19 --enforcementcount 1 &gt;&gt;C:\Users\stu\Documents\GitHub\eaglep3-reporting\EC\2016-10-16-refined-times.txt</v>
      </c>
      <c r="AI125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ID","value":"213-16"},{"id":16,"name":"Locomotive ID","value":"4029"},{"id":130,"name":"Impact","value":""},{"id":150,"name":"Time of Event (Mountain Time)","value":"18:22:19"},{"id":151,"name":"Denver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571</v>
      </c>
      <c r="B126" s="7">
        <v>4030</v>
      </c>
      <c r="C126" s="22" t="s">
        <v>99</v>
      </c>
      <c r="D126" s="22" t="s">
        <v>311</v>
      </c>
      <c r="E126" s="13">
        <v>42659.774988425925</v>
      </c>
      <c r="F126" s="13">
        <v>42659.778715277775</v>
      </c>
      <c r="G126" s="7">
        <v>4</v>
      </c>
      <c r="H126" s="13" t="s">
        <v>176</v>
      </c>
      <c r="I126" s="13">
        <v>42659.805763888886</v>
      </c>
      <c r="J126" s="7">
        <v>1</v>
      </c>
      <c r="K126" s="112" t="str">
        <f t="shared" si="77"/>
        <v>4029/4030</v>
      </c>
      <c r="L126" s="22" t="str">
        <f>VLOOKUP(A126,'Trips&amp;Operators'!$C$1:$E$10000,3,FALSE)</f>
        <v>BERLING</v>
      </c>
      <c r="M126" s="6">
        <f t="shared" si="78"/>
        <v>2.7048611111240461E-2</v>
      </c>
      <c r="N126" s="7">
        <f t="shared" si="79"/>
        <v>38.950000000186265</v>
      </c>
      <c r="O126" s="7"/>
      <c r="P126" s="7"/>
      <c r="Q126" s="23"/>
      <c r="R126" s="23"/>
      <c r="S126" s="35">
        <f t="shared" si="80"/>
        <v>1</v>
      </c>
      <c r="T126" s="50" t="str">
        <f t="shared" si="81"/>
        <v>Southbound</v>
      </c>
      <c r="U126" s="14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17:35:59-0600',mode:absolute,to:'2016-10-16 20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83"/>
        <v>N</v>
      </c>
      <c r="X126" s="149">
        <f t="shared" si="84"/>
        <v>1</v>
      </c>
      <c r="Y126" s="67">
        <f t="shared" si="85"/>
        <v>23.299099999999999</v>
      </c>
      <c r="Z126" s="67">
        <f t="shared" si="86"/>
        <v>1.47E-2</v>
      </c>
      <c r="AA126" s="67">
        <f t="shared" si="87"/>
        <v>23.284399999999998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88"/>
        <v>0214-16</v>
      </c>
      <c r="AE126" s="91" t="str">
        <f t="shared" si="89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126" s="88" t="str">
        <f t="shared" si="90"/>
        <v>"C:\Program Files (x86)\AstroGrep\AstroGrep.exe" /spath="%USERPROFILE%\AppData\Local\Temp\OnboardLogs" /stypes="app*4030*20161017*" /stext=" 01:.+((SYSTEM_STATE.+slice.+state.+changed )|(ment ac)|(system.+state.+changed )|(\[timeout)|(PRM\|1\|D)|(kpr)|(kdp)|(\|lc)|(penalty))" /e /r /s</v>
      </c>
      <c r="AG126" s="1" t="str">
        <f t="shared" si="91"/>
        <v>EC</v>
      </c>
      <c r="AH126" s="92" t="str">
        <f t="shared" si="75"/>
        <v>"%USERPROFILE%\Documents\GitHub\eaglep3\Utilities\RefineRTDCRunTimes.py" --tripid 214-16 --locoid 4030 --swversion DE.1.0.7.0 --startMP 204:232991 --initTime 2016-10-16T18:35:59 --startdatetime 2016-10-16T18:41:21 --delay 4 --endMP 204:147 --enddatetime 2016-10-16T19:20:18 --enforcementcount 1 &gt;&gt;C:\Users\stu\Documents\GitHub\eaglep3-reporting\EC\2016-10-16-refined-times.txt</v>
      </c>
      <c r="AI126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{"issue":{"subject":"","project_id":79,"tracker_id":40,"status_id":1,"priority_id":2,"assigned_to_id":23,"start_date":"2016-10-16","description":"","custom_fields":[{"id":1,"name":"Subdivision","value":"EC"},{"id":4,"name":"Milepost","value":"0.0147"},{"id":17,"name":"Train ID","value":"214-16"},{"id":16,"name":"Locomotive ID","value":"4030"},{"id":130,"name":"Impact","value":""},{"id":150,"name":"Time of Event (Mountain Time)","value":"19:20:18"},{"id":151,"name":"Denver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565</v>
      </c>
      <c r="B127" s="7">
        <v>4031</v>
      </c>
      <c r="C127" s="22" t="s">
        <v>99</v>
      </c>
      <c r="D127" s="22" t="s">
        <v>307</v>
      </c>
      <c r="E127" s="13">
        <v>42659.745613425926</v>
      </c>
      <c r="F127" s="13">
        <v>42659.750196759262</v>
      </c>
      <c r="G127" s="7">
        <v>1</v>
      </c>
      <c r="H127" s="13" t="s">
        <v>689</v>
      </c>
      <c r="I127" s="13">
        <v>42659.775625000002</v>
      </c>
      <c r="J127" s="7">
        <v>1</v>
      </c>
      <c r="K127" s="112" t="str">
        <f t="shared" si="77"/>
        <v>4031/4032</v>
      </c>
      <c r="L127" s="22" t="str">
        <f>VLOOKUP(A127,'Trips&amp;Operators'!$C$1:$E$10000,3,FALSE)</f>
        <v>SHOOK</v>
      </c>
      <c r="M127" s="6">
        <f t="shared" si="78"/>
        <v>2.5428240740438923E-2</v>
      </c>
      <c r="N127" s="7">
        <f t="shared" si="79"/>
        <v>36.616666666232049</v>
      </c>
      <c r="O127" s="7"/>
      <c r="P127" s="7"/>
      <c r="Q127" s="23"/>
      <c r="R127" s="23"/>
      <c r="S127" s="35">
        <f t="shared" si="80"/>
        <v>1</v>
      </c>
      <c r="T127" s="50" t="str">
        <f t="shared" si="81"/>
        <v>NorthBound</v>
      </c>
      <c r="U127" s="14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16:53:41-0600',mode:absolute,to:'2016-10-16 19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83"/>
        <v>N</v>
      </c>
      <c r="X127" s="149">
        <f t="shared" si="84"/>
        <v>1</v>
      </c>
      <c r="Y127" s="67">
        <f t="shared" si="85"/>
        <v>4.7500000000000001E-2</v>
      </c>
      <c r="Z127" s="67">
        <f t="shared" si="86"/>
        <v>23.3337</v>
      </c>
      <c r="AA127" s="67">
        <f t="shared" si="87"/>
        <v>23.286200000000001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88"/>
        <v>0215-16</v>
      </c>
      <c r="AE127" s="91" t="str">
        <f t="shared" si="89"/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AF127" s="88" t="str">
        <f t="shared" si="90"/>
        <v>"C:\Program Files (x86)\AstroGrep\AstroGrep.exe" /spath="%USERPROFILE%\AppData\Local\Temp\OnboardLogs" /stypes="app*4031*20161017*" /stext=" 00:.+((SYSTEM_STATE.+slice.+state.+changed )|(ment ac)|(system.+state.+changed )|(\[timeout)|(PRM\|1\|D)|(kpr)|(kdp)|(\|lc)|(penalty))" /e /r /s</v>
      </c>
      <c r="AG127" s="1" t="str">
        <f t="shared" si="91"/>
        <v>EC</v>
      </c>
      <c r="AH127" s="92" t="str">
        <f t="shared" si="75"/>
        <v>"%USERPROFILE%\Documents\GitHub\eaglep3\Utilities\RefineRTDCRunTimes.py" --tripid 215-16 --locoid 4031 --swversion DE.1.0.7.0 --startMP 204:475 --initTime 2016-10-16T17:53:41 --startdatetime 2016-10-16T18:00:17 --delay 1 --endMP 204:233337 --enddatetime 2016-10-16T18:36:54 --enforcementcount 1 &gt;&gt;C:\Users\stu\Documents\GitHub\eaglep3-reporting\EC\2016-10-16-refined-times.txt</v>
      </c>
      <c r="AI127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{"issue":{"subject":"","project_id":79,"tracker_id":40,"status_id":1,"priority_id":2,"assigned_to_id":23,"start_date":"2016-10-16","description":"","custom_fields":[{"id":1,"name":"Subdivision","value":"EC"},{"id":4,"name":"Milepost","value":"23.3337"},{"id":17,"name":"Train ID","value":"215-16"},{"id":16,"name":"Locomotive ID","value":"4031"},{"id":130,"name":"Impact","value":""},{"id":150,"name":"Time of Event (Mountain Time)","value":"18:36:54"},{"id":151,"name":"Denver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573</v>
      </c>
      <c r="B128" s="7">
        <v>4032</v>
      </c>
      <c r="C128" s="22" t="s">
        <v>99</v>
      </c>
      <c r="D128" s="22" t="s">
        <v>397</v>
      </c>
      <c r="E128" s="13">
        <v>42659.784108796295</v>
      </c>
      <c r="F128" s="13">
        <v>42659.789120370369</v>
      </c>
      <c r="G128" s="7">
        <v>1</v>
      </c>
      <c r="H128" s="13" t="s">
        <v>690</v>
      </c>
      <c r="I128" s="13">
        <v>42659.816122685188</v>
      </c>
      <c r="J128" s="7">
        <v>1</v>
      </c>
      <c r="K128" s="112" t="str">
        <f t="shared" si="77"/>
        <v>4031/4032</v>
      </c>
      <c r="L128" s="22" t="str">
        <f>VLOOKUP(A128,'Trips&amp;Operators'!$C$1:$E$10000,3,FALSE)</f>
        <v>SHOOK</v>
      </c>
      <c r="M128" s="6">
        <f t="shared" si="78"/>
        <v>2.7002314818673767E-2</v>
      </c>
      <c r="N128" s="7">
        <f t="shared" si="79"/>
        <v>38.883333338890225</v>
      </c>
      <c r="O128" s="7"/>
      <c r="P128" s="7"/>
      <c r="Q128" s="23"/>
      <c r="R128" s="23"/>
      <c r="S128" s="35">
        <f t="shared" si="80"/>
        <v>1</v>
      </c>
      <c r="T128" s="50" t="str">
        <f t="shared" si="81"/>
        <v>Southbound</v>
      </c>
      <c r="U128" s="14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17:49:07-0600',mode:absolute,to:'2016-10-16 20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83"/>
        <v>N</v>
      </c>
      <c r="X128" s="149">
        <f t="shared" si="84"/>
        <v>1</v>
      </c>
      <c r="Y128" s="67">
        <f t="shared" si="85"/>
        <v>23.3017</v>
      </c>
      <c r="Z128" s="67">
        <f t="shared" si="86"/>
        <v>2.7400000000000001E-2</v>
      </c>
      <c r="AA128" s="67">
        <f t="shared" si="87"/>
        <v>23.2743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88"/>
        <v>0216-16</v>
      </c>
      <c r="AE128" s="91" t="str">
        <f t="shared" si="89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128" s="88" t="str">
        <f t="shared" si="90"/>
        <v>"C:\Program Files (x86)\AstroGrep\AstroGrep.exe" /spath="%USERPROFILE%\AppData\Local\Temp\OnboardLogs" /stypes="app*4032*20161017*" /stext=" 01:.+((SYSTEM_STATE.+slice.+state.+changed )|(ment ac)|(system.+state.+changed )|(\[timeout)|(PRM\|1\|D)|(kpr)|(kdp)|(\|lc)|(penalty))" /e /r /s</v>
      </c>
      <c r="AG128" s="1" t="str">
        <f t="shared" si="91"/>
        <v>EC</v>
      </c>
      <c r="AH128" s="92" t="str">
        <f t="shared" si="75"/>
        <v>"%USERPROFILE%\Documents\GitHub\eaglep3\Utilities\RefineRTDCRunTimes.py" --tripid 216-16 --locoid 4032 --swversion DE.1.0.7.0 --startMP 204:233017 --initTime 2016-10-16T18:49:07 --startdatetime 2016-10-16T18:56:20 --delay 1 --endMP 204:274 --enddatetime 2016-10-16T19:35:13 --enforcementcount 1 &gt;&gt;C:\Users\stu\Documents\GitHub\eaglep3-reporting\EC\2016-10-16-refined-times.txt</v>
      </c>
      <c r="AI128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{"issue":{"subject":"","project_id":79,"tracker_id":40,"status_id":1,"priority_id":2,"assigned_to_id":23,"start_date":"2016-10-16","description":"","custom_fields":[{"id":1,"name":"Subdivision","value":"EC"},{"id":4,"name":"Milepost","value":"0.0274"},{"id":17,"name":"Train ID","value":"216-16"},{"id":16,"name":"Locomotive ID","value":"4032"},{"id":130,"name":"Impact","value":""},{"id":150,"name":"Time of Event (Mountain Time)","value":"19:35:13"},{"id":151,"name":"Denver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568</v>
      </c>
      <c r="B129" s="7">
        <v>4027</v>
      </c>
      <c r="C129" s="22" t="s">
        <v>99</v>
      </c>
      <c r="D129" s="22" t="s">
        <v>261</v>
      </c>
      <c r="E129" s="13">
        <v>42659.756064814814</v>
      </c>
      <c r="F129" s="13">
        <v>42659.760659722226</v>
      </c>
      <c r="G129" s="7">
        <v>3</v>
      </c>
      <c r="H129" s="13" t="s">
        <v>226</v>
      </c>
      <c r="I129" s="13">
        <v>42659.78528935185</v>
      </c>
      <c r="J129" s="7">
        <v>1</v>
      </c>
      <c r="K129" s="112" t="str">
        <f t="shared" si="77"/>
        <v>4027/4028</v>
      </c>
      <c r="L129" s="22" t="str">
        <f>VLOOKUP(A129,'Trips&amp;Operators'!$C$1:$E$10000,3,FALSE)</f>
        <v>NEWELL</v>
      </c>
      <c r="M129" s="6">
        <f t="shared" si="78"/>
        <v>2.4629629624541849E-2</v>
      </c>
      <c r="N129" s="7">
        <f t="shared" si="79"/>
        <v>35.466666659340262</v>
      </c>
      <c r="O129" s="7"/>
      <c r="P129" s="7"/>
      <c r="Q129" s="23"/>
      <c r="R129" s="23"/>
      <c r="S129" s="35">
        <f t="shared" si="80"/>
        <v>1</v>
      </c>
      <c r="T129" s="50" t="str">
        <f t="shared" si="81"/>
        <v>NorthBound</v>
      </c>
      <c r="U129" s="14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17:08:44-0600',mode:absolute,to:'2016-10-16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9" s="52" t="str">
        <f t="shared" si="83"/>
        <v>N</v>
      </c>
      <c r="X129" s="149">
        <f t="shared" si="84"/>
        <v>1</v>
      </c>
      <c r="Y129" s="67">
        <f t="shared" si="85"/>
        <v>4.4600000000000001E-2</v>
      </c>
      <c r="Z129" s="67">
        <f t="shared" si="86"/>
        <v>23.331399999999999</v>
      </c>
      <c r="AA129" s="67">
        <f t="shared" si="87"/>
        <v>23.286799999999999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88"/>
        <v>0217-16</v>
      </c>
      <c r="AE129" s="91" t="str">
        <f t="shared" si="89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129" s="88" t="str">
        <f t="shared" si="90"/>
        <v>"C:\Program Files (x86)\AstroGrep\AstroGrep.exe" /spath="%USERPROFILE%\AppData\Local\Temp\OnboardLogs" /stypes="app*4027*20161017*" /stext=" 00:.+((SYSTEM_STATE.+slice.+state.+changed )|(ment ac)|(system.+state.+changed )|(\[timeout)|(PRM\|1\|D)|(kpr)|(kdp)|(\|lc)|(penalty))" /e /r /s</v>
      </c>
      <c r="AG129" s="1" t="str">
        <f t="shared" si="91"/>
        <v>EC</v>
      </c>
      <c r="AH129" s="92" t="str">
        <f t="shared" si="75"/>
        <v>"%USERPROFILE%\Documents\GitHub\eaglep3\Utilities\RefineRTDCRunTimes.py" --tripid 217-16 --locoid 4027 --swversion DE.1.0.7.0 --startMP 204:446 --initTime 2016-10-16T18:08:44 --startdatetime 2016-10-16T18:15:21 --delay 3 --endMP 204:233314 --enddatetime 2016-10-16T18:50:49 --enforcementcount 1 &gt;&gt;C:\Users\stu\Documents\GitHub\eaglep3-reporting\EC\2016-10-16-refined-times.txt</v>
      </c>
      <c r="AI129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{"issue":{"subject":"","project_id":79,"tracker_id":40,"status_id":1,"priority_id":2,"assigned_to_id":23,"start_date":"2016-10-16","description":"","custom_fields":[{"id":1,"name":"Subdivision","value":"EC"},{"id":4,"name":"Milepost","value":"23.3314"},{"id":17,"name":"Train ID","value":"217-16"},{"id":16,"name":"Locomotive ID","value":"4027"},{"id":130,"name":"Impact","value":""},{"id":150,"name":"Time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574</v>
      </c>
      <c r="B130" s="7">
        <v>4028</v>
      </c>
      <c r="C130" s="22" t="s">
        <v>99</v>
      </c>
      <c r="D130" s="22" t="s">
        <v>233</v>
      </c>
      <c r="E130" s="13">
        <v>42659.790798611109</v>
      </c>
      <c r="F130" s="13">
        <v>42659.799490740741</v>
      </c>
      <c r="G130" s="7">
        <v>1</v>
      </c>
      <c r="H130" s="13" t="s">
        <v>240</v>
      </c>
      <c r="I130" s="13">
        <v>42659.82576388889</v>
      </c>
      <c r="J130" s="7">
        <v>1</v>
      </c>
      <c r="K130" s="112" t="str">
        <f t="shared" si="77"/>
        <v>4027/4028</v>
      </c>
      <c r="L130" s="22" t="str">
        <f>VLOOKUP(A130,'Trips&amp;Operators'!$C$1:$E$10000,3,FALSE)</f>
        <v>NEWELL</v>
      </c>
      <c r="M130" s="6">
        <f t="shared" si="78"/>
        <v>2.6273148148902692E-2</v>
      </c>
      <c r="N130" s="7">
        <f t="shared" si="79"/>
        <v>37.833333334419876</v>
      </c>
      <c r="O130" s="7"/>
      <c r="P130" s="7"/>
      <c r="Q130" s="23"/>
      <c r="R130" s="23"/>
      <c r="S130" s="35">
        <f t="shared" si="80"/>
        <v>1</v>
      </c>
      <c r="T130" s="50" t="str">
        <f t="shared" si="81"/>
        <v>Southbound</v>
      </c>
      <c r="U130" s="14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17:58:45-0600',mode:absolute,to:'2016-10-16 20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0" s="52" t="str">
        <f t="shared" si="83"/>
        <v>N</v>
      </c>
      <c r="X130" s="149">
        <f t="shared" si="84"/>
        <v>1</v>
      </c>
      <c r="Y130" s="67">
        <f t="shared" si="85"/>
        <v>23.298500000000001</v>
      </c>
      <c r="Z130" s="67">
        <f t="shared" si="86"/>
        <v>1.43E-2</v>
      </c>
      <c r="AA130" s="67">
        <f t="shared" si="87"/>
        <v>23.284200000000002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88"/>
        <v>0218-16</v>
      </c>
      <c r="AE130" s="91" t="str">
        <f t="shared" si="89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130" s="88" t="str">
        <f t="shared" si="90"/>
        <v>"C:\Program Files (x86)\AstroGrep\AstroGrep.exe" /spath="%USERPROFILE%\AppData\Local\Temp\OnboardLogs" /stypes="app*4028*20161017*" /stext=" 01:.+((SYSTEM_STATE.+slice.+state.+changed )|(ment ac)|(system.+state.+changed )|(\[timeout)|(PRM\|1\|D)|(kpr)|(kdp)|(\|lc)|(penalty))" /e /r /s</v>
      </c>
      <c r="AG130" s="1" t="str">
        <f t="shared" si="91"/>
        <v>EC</v>
      </c>
      <c r="AH130" s="92" t="str">
        <f t="shared" si="75"/>
        <v>"%USERPROFILE%\Documents\GitHub\eaglep3\Utilities\RefineRTDCRunTimes.py" --tripid 218-16 --locoid 4028 --swversion DE.1.0.7.0 --startMP 204:232985 --initTime 2016-10-16T18:58:45 --startdatetime 2016-10-16T19:11:16 --delay 1 --endMP 204:143 --enddatetime 2016-10-16T19:49:06 --enforcementcount 1 &gt;&gt;C:\Users\stu\Documents\GitHub\eaglep3-reporting\EC\2016-10-16-refined-times.txt</v>
      </c>
      <c r="AI130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{"issue":{"subject":"","project_id":79,"tracker_id":40,"status_id":1,"priority_id":2,"assigned_to_id":23,"start_date":"2016-10-16","description":"","custom_fields":[{"id":1,"name":"Subdivision","value":"EC"},{"id":4,"name":"Milepost","value":"0.0143"},{"id":17,"name":"Train ID","value":"218-16"},{"id":16,"name":"Locomotive ID","value":"4028"},{"id":130,"name":"Impact","value":""},{"id":150,"name":"Time of Event (Mountain Time)","value":"19:49:06"},{"id":151,"name":"Denver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570</v>
      </c>
      <c r="B131" s="7">
        <v>4042</v>
      </c>
      <c r="C131" s="22" t="s">
        <v>99</v>
      </c>
      <c r="D131" s="22" t="s">
        <v>244</v>
      </c>
      <c r="E131" s="13">
        <v>42659.769421296296</v>
      </c>
      <c r="F131" s="13">
        <v>42659.771192129629</v>
      </c>
      <c r="G131" s="7">
        <v>1</v>
      </c>
      <c r="H131" s="13" t="s">
        <v>239</v>
      </c>
      <c r="I131" s="13">
        <v>42659.7966087963</v>
      </c>
      <c r="J131" s="7">
        <v>1</v>
      </c>
      <c r="K131" s="112" t="str">
        <f t="shared" si="77"/>
        <v>4041/4042</v>
      </c>
      <c r="L131" s="22" t="str">
        <f>VLOOKUP(A131,'Trips&amp;Operators'!$C$1:$E$10000,3,FALSE)</f>
        <v>CHANDLER</v>
      </c>
      <c r="M131" s="6">
        <f t="shared" si="78"/>
        <v>2.5416666670935228E-2</v>
      </c>
      <c r="N131" s="7">
        <f t="shared" si="79"/>
        <v>36.600000006146729</v>
      </c>
      <c r="O131" s="7"/>
      <c r="P131" s="7"/>
      <c r="Q131" s="23"/>
      <c r="R131" s="23"/>
      <c r="S131" s="35">
        <f t="shared" si="80"/>
        <v>1</v>
      </c>
      <c r="T131" s="50" t="str">
        <f t="shared" si="81"/>
        <v>NorthBound</v>
      </c>
      <c r="U131" s="14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17:27:58-0600',mode:absolute,to:'2016-10-16 20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1" s="52" t="str">
        <f t="shared" si="83"/>
        <v>N</v>
      </c>
      <c r="X131" s="149">
        <f t="shared" si="84"/>
        <v>1</v>
      </c>
      <c r="Y131" s="67">
        <f t="shared" si="85"/>
        <v>4.53E-2</v>
      </c>
      <c r="Z131" s="67">
        <f t="shared" si="86"/>
        <v>23.3293</v>
      </c>
      <c r="AA131" s="67">
        <f t="shared" si="87"/>
        <v>23.283999999999999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88"/>
        <v>0219-16</v>
      </c>
      <c r="AE131" s="91" t="str">
        <f t="shared" si="89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131" s="88" t="str">
        <f t="shared" si="90"/>
        <v>"C:\Program Files (x86)\AstroGrep\AstroGrep.exe" /spath="%USERPROFILE%\AppData\Local\Temp\OnboardLogs" /stypes="app*4042*20161017*" /stext=" 01:.+((SYSTEM_STATE.+slice.+state.+changed )|(ment ac)|(system.+state.+changed )|(\[timeout)|(PRM\|1\|D)|(kpr)|(kdp)|(\|lc)|(penalty))" /e /r /s</v>
      </c>
      <c r="AG131" s="1" t="str">
        <f t="shared" si="91"/>
        <v>EC</v>
      </c>
      <c r="AH131" s="92" t="str">
        <f t="shared" si="75"/>
        <v>"%USERPROFILE%\Documents\GitHub\eaglep3\Utilities\RefineRTDCRunTimes.py" --tripid 219-16 --locoid 4042 --swversion DE.1.0.7.0 --startMP 204:453 --initTime 2016-10-16T18:27:58 --startdatetime 2016-10-16T18:30:31 --delay 1 --endMP 204:233293 --enddatetime 2016-10-16T19:07:07 --enforcementcount 1 &gt;&gt;C:\Users\stu\Documents\GitHub\eaglep3-reporting\EC\2016-10-16-refined-times.txt</v>
      </c>
      <c r="AI13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{"issue":{"subject":"","project_id":79,"tracker_id":40,"status_id":1,"priority_id":2,"assigned_to_id":23,"start_date":"2016-10-16","description":"","custom_fields":[{"id":1,"name":"Subdivision","value":"EC"},{"id":4,"name":"Milepost","value":"23.3293"},{"id":17,"name":"Train ID","value":"219-16"},{"id":16,"name":"Locomotive ID","value":"4042"},{"id":130,"name":"Impact","value":""},{"id":150,"name":"Time of Event (Mountain Time)","value":"19:07:07"},{"id":151,"name":"Denver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7" t="s">
        <v>427</v>
      </c>
      <c r="B132" s="7">
        <v>4041</v>
      </c>
      <c r="C132" s="22" t="s">
        <v>99</v>
      </c>
      <c r="D132" s="22" t="s">
        <v>309</v>
      </c>
      <c r="E132" s="13">
        <v>42659.807268518518</v>
      </c>
      <c r="F132" s="13">
        <v>42659.81009259259</v>
      </c>
      <c r="G132" s="7">
        <v>1</v>
      </c>
      <c r="H132" s="13" t="s">
        <v>235</v>
      </c>
      <c r="I132" s="13">
        <v>42659.837488425925</v>
      </c>
      <c r="J132" s="7">
        <v>1</v>
      </c>
      <c r="K132" s="112" t="str">
        <f t="shared" si="77"/>
        <v>4041/4042</v>
      </c>
      <c r="L132" s="22" t="str">
        <f>VLOOKUP(A132,'Trips&amp;Operators'!$C$1:$E$10000,3,FALSE)</f>
        <v>CHANDLER</v>
      </c>
      <c r="M132" s="6">
        <f t="shared" si="78"/>
        <v>2.7395833334594499E-2</v>
      </c>
      <c r="N132" s="7">
        <f t="shared" si="79"/>
        <v>39.450000001816079</v>
      </c>
      <c r="O132" s="7"/>
      <c r="P132" s="7"/>
      <c r="Q132" s="23"/>
      <c r="R132" s="23"/>
      <c r="S132" s="35">
        <f t="shared" si="80"/>
        <v>1</v>
      </c>
      <c r="T132" s="50" t="str">
        <f t="shared" si="81"/>
        <v>Southbound</v>
      </c>
      <c r="U132" s="14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18:22:28-0600',mode:absolute,to:'2016-10-16 21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2" s="52" t="str">
        <f t="shared" si="83"/>
        <v>N</v>
      </c>
      <c r="X132" s="149">
        <f t="shared" si="84"/>
        <v>1</v>
      </c>
      <c r="Y132" s="67">
        <f t="shared" si="85"/>
        <v>23.2971</v>
      </c>
      <c r="Z132" s="67">
        <f t="shared" si="86"/>
        <v>1.54E-2</v>
      </c>
      <c r="AA132" s="67">
        <f t="shared" si="87"/>
        <v>23.281700000000001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88"/>
        <v>0220-16</v>
      </c>
      <c r="AE132" s="91" t="str">
        <f t="shared" si="89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32" s="88" t="str">
        <f t="shared" si="90"/>
        <v>"C:\Program Files (x86)\AstroGrep\AstroGrep.exe" /spath="%USERPROFILE%\AppData\Local\Temp\OnboardLogs" /stypes="app*4041*20161017*" /stext=" 02:.+((SYSTEM_STATE.+slice.+state.+changed )|(ment ac)|(system.+state.+changed )|(\[timeout)|(PRM\|1\|D)|(kpr)|(kdp)|(\|lc)|(penalty))" /e /r /s</v>
      </c>
      <c r="AG132" s="1" t="str">
        <f t="shared" si="91"/>
        <v>EC</v>
      </c>
      <c r="AH132" s="92" t="str">
        <f t="shared" si="75"/>
        <v>"%USERPROFILE%\Documents\GitHub\eaglep3\Utilities\RefineRTDCRunTimes.py" --tripid 220-16 --locoid 4041 --swversion DE.1.0.7.0 --startMP 204:232971 --initTime 2016-10-16T19:22:28 --startdatetime 2016-10-16T19:26:32 --delay 1 --endMP 204:154 --enddatetime 2016-10-16T20:05:59 --enforcementcount 1 &gt;&gt;C:\Users\stu\Documents\GitHub\eaglep3-reporting\EC\2016-10-16-refined-times.txt</v>
      </c>
      <c r="AI13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{"issue":{"subject":"","project_id":79,"tracker_id":40,"status_id":1,"priority_id":2,"assigned_to_id":23,"start_date":"2016-10-16","description":"","custom_fields":[{"id":1,"name":"Subdivision","value":"EC"},{"id":4,"name":"Milepost","value":"0.0154"},{"id":17,"name":"Train ID","value":"220-16"},{"id":16,"name":"Locomotive ID","value":"4041"},{"id":130,"name":"Impact","value":""},{"id":150,"name":"Time of Event (Mountain Time)","value":"20:05:59"},{"id":151,"name":"Denver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425</v>
      </c>
      <c r="B133" s="7">
        <v>4040</v>
      </c>
      <c r="C133" s="22" t="s">
        <v>99</v>
      </c>
      <c r="D133" s="22" t="s">
        <v>247</v>
      </c>
      <c r="E133" s="13">
        <v>42659.78802083333</v>
      </c>
      <c r="F133" s="13">
        <v>42659.791932870372</v>
      </c>
      <c r="G133" s="7">
        <v>1</v>
      </c>
      <c r="H133" s="13" t="s">
        <v>633</v>
      </c>
      <c r="I133" s="13">
        <v>42659.818159722221</v>
      </c>
      <c r="J133" s="7">
        <v>1</v>
      </c>
      <c r="K133" s="112" t="str">
        <f t="shared" si="77"/>
        <v>4039/4040</v>
      </c>
      <c r="L133" s="22" t="str">
        <f>VLOOKUP(A133,'Trips&amp;Operators'!$C$1:$E$10000,3,FALSE)</f>
        <v>BRANDNER</v>
      </c>
      <c r="M133" s="6">
        <f t="shared" si="78"/>
        <v>2.622685184906004E-2</v>
      </c>
      <c r="N133" s="7">
        <f t="shared" si="79"/>
        <v>37.766666662646458</v>
      </c>
      <c r="O133" s="7"/>
      <c r="P133" s="7"/>
      <c r="Q133" s="23"/>
      <c r="R133" s="23"/>
      <c r="S133" s="35">
        <f t="shared" si="80"/>
        <v>1</v>
      </c>
      <c r="T133" s="50" t="str">
        <f t="shared" si="81"/>
        <v>NorthBound</v>
      </c>
      <c r="U133" s="14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17:54:45-0600',mode:absolute,to:'2016-10-16 20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3" s="52" t="str">
        <f t="shared" si="83"/>
        <v>N</v>
      </c>
      <c r="X133" s="149">
        <f t="shared" si="84"/>
        <v>1</v>
      </c>
      <c r="Y133" s="67">
        <f t="shared" si="85"/>
        <v>4.6399999999999997E-2</v>
      </c>
      <c r="Z133" s="67">
        <f t="shared" si="86"/>
        <v>23.325500000000002</v>
      </c>
      <c r="AA133" s="67">
        <f t="shared" si="87"/>
        <v>23.279100000000003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88"/>
        <v>0221-16</v>
      </c>
      <c r="AE133" s="91" t="str">
        <f t="shared" si="89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133" s="88" t="str">
        <f t="shared" si="90"/>
        <v>"C:\Program Files (x86)\AstroGrep\AstroGrep.exe" /spath="%USERPROFILE%\AppData\Local\Temp\OnboardLogs" /stypes="app*4040*20161017*" /stext=" 01:.+((SYSTEM_STATE.+slice.+state.+changed )|(ment ac)|(system.+state.+changed )|(\[timeout)|(PRM\|1\|D)|(kpr)|(kdp)|(\|lc)|(penalty))" /e /r /s</v>
      </c>
      <c r="AG133" s="1" t="str">
        <f t="shared" si="91"/>
        <v>EC</v>
      </c>
      <c r="AH133" s="92" t="str">
        <f t="shared" si="75"/>
        <v>"%USERPROFILE%\Documents\GitHub\eaglep3\Utilities\RefineRTDCRunTimes.py" --tripid 221-16 --locoid 4040 --swversion DE.1.0.7.0 --startMP 204:464 --initTime 2016-10-16T18:54:45 --startdatetime 2016-10-16T19:00:23 --delay 1 --endMP 204:233255 --enddatetime 2016-10-16T19:38:09 --enforcementcount 1 &gt;&gt;C:\Users\stu\Documents\GitHub\eaglep3-reporting\EC\2016-10-16-refined-times.txt</v>
      </c>
      <c r="AI13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{"issue":{"subject":"","project_id":79,"tracker_id":40,"status_id":1,"priority_id":2,"assigned_to_id":23,"start_date":"2016-10-16","description":"","custom_fields":[{"id":1,"name":"Subdivision","value":"EC"},{"id":4,"name":"Milepost","value":"23.3255"},{"id":17,"name":"Train ID","value":"221-16"},{"id":16,"name":"Locomotive ID","value":"4040"},{"id":130,"name":"Impact","value":""},{"id":150,"name":"Time of Event (Mountain Time)","value":"19:38:09"},{"id":151,"name":"Denver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579</v>
      </c>
      <c r="B134" s="7">
        <v>4039</v>
      </c>
      <c r="C134" s="22" t="s">
        <v>99</v>
      </c>
      <c r="D134" s="22" t="s">
        <v>691</v>
      </c>
      <c r="E134" s="13">
        <v>42659.826458333337</v>
      </c>
      <c r="F134" s="13">
        <v>42659.83085648148</v>
      </c>
      <c r="G134" s="7">
        <v>2</v>
      </c>
      <c r="H134" s="13" t="s">
        <v>692</v>
      </c>
      <c r="I134" s="13">
        <v>42659.859837962962</v>
      </c>
      <c r="J134" s="7">
        <v>1</v>
      </c>
      <c r="K134" s="112" t="str">
        <f t="shared" si="77"/>
        <v>4039/4040</v>
      </c>
      <c r="L134" s="22" t="str">
        <f>VLOOKUP(A134,'Trips&amp;Operators'!$C$1:$E$10000,3,FALSE)</f>
        <v>BRANDNER</v>
      </c>
      <c r="M134" s="6">
        <f t="shared" si="78"/>
        <v>2.8981481482333038E-2</v>
      </c>
      <c r="N134" s="7">
        <f t="shared" si="79"/>
        <v>41.733333334559575</v>
      </c>
      <c r="O134" s="7"/>
      <c r="P134" s="7"/>
      <c r="Q134" s="23"/>
      <c r="R134" s="23"/>
      <c r="S134" s="35">
        <f t="shared" si="80"/>
        <v>1</v>
      </c>
      <c r="T134" s="50" t="str">
        <f t="shared" si="81"/>
        <v>Southbound</v>
      </c>
      <c r="U134" s="14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18:50:06-0600',mode:absolute,to:'2016-10-16 21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4" s="52" t="str">
        <f t="shared" si="83"/>
        <v>N</v>
      </c>
      <c r="X134" s="149">
        <f t="shared" si="84"/>
        <v>1</v>
      </c>
      <c r="Y134" s="67">
        <f t="shared" si="85"/>
        <v>23.293600000000001</v>
      </c>
      <c r="Z134" s="67">
        <f t="shared" si="86"/>
        <v>4.2599999999999999E-2</v>
      </c>
      <c r="AA134" s="67">
        <f t="shared" si="87"/>
        <v>23.251000000000001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88"/>
        <v>0222-16</v>
      </c>
      <c r="AE134" s="91" t="str">
        <f t="shared" si="89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134" s="88" t="str">
        <f t="shared" si="90"/>
        <v>"C:\Program Files (x86)\AstroGrep\AstroGrep.exe" /spath="%USERPROFILE%\AppData\Local\Temp\OnboardLogs" /stypes="app*4039*20161017*" /stext=" 02:.+((SYSTEM_STATE.+slice.+state.+changed )|(ment ac)|(system.+state.+changed )|(\[timeout)|(PRM\|1\|D)|(kpr)|(kdp)|(\|lc)|(penalty))" /e /r /s</v>
      </c>
      <c r="AG134" s="1" t="str">
        <f t="shared" si="91"/>
        <v>EC</v>
      </c>
      <c r="AH134" s="92" t="str">
        <f t="shared" si="75"/>
        <v>"%USERPROFILE%\Documents\GitHub\eaglep3\Utilities\RefineRTDCRunTimes.py" --tripid 222-16 --locoid 4039 --swversion DE.1.0.7.0 --startMP 204:232936 --initTime 2016-10-16T19:50:06 --startdatetime 2016-10-16T19:56:26 --delay 2 --endMP 204:426 --enddatetime 2016-10-16T20:38:10 --enforcementcount 1 &gt;&gt;C:\Users\stu\Documents\GitHub\eaglep3-reporting\EC\2016-10-16-refined-times.txt</v>
      </c>
      <c r="AI134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{"issue":{"subject":"","project_id":79,"tracker_id":40,"status_id":1,"priority_id":2,"assigned_to_id":23,"start_date":"2016-10-16","description":"","custom_fields":[{"id":1,"name":"Subdivision","value":"EC"},{"id":4,"name":"Milepost","value":"0.0426"},{"id":17,"name":"Train ID","value":"222-16"},{"id":16,"name":"Locomotive ID","value":"4039"},{"id":130,"name":"Impact","value":""},{"id":150,"name":"Time of Event (Mountain Time)","value":"20:38:10"},{"id":151,"name":"Denver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577</v>
      </c>
      <c r="B135" s="7">
        <v>4029</v>
      </c>
      <c r="C135" s="22" t="s">
        <v>99</v>
      </c>
      <c r="D135" s="22" t="s">
        <v>693</v>
      </c>
      <c r="E135" s="13">
        <v>42659.807824074072</v>
      </c>
      <c r="F135" s="13">
        <v>42659.813032407408</v>
      </c>
      <c r="G135" s="7">
        <v>1</v>
      </c>
      <c r="H135" s="13" t="s">
        <v>694</v>
      </c>
      <c r="I135" s="13">
        <v>42659.838877314818</v>
      </c>
      <c r="J135" s="7">
        <v>1</v>
      </c>
      <c r="K135" s="112" t="str">
        <f t="shared" si="77"/>
        <v>4029/4030</v>
      </c>
      <c r="L135" s="22" t="str">
        <f>VLOOKUP(A135,'Trips&amp;Operators'!$C$1:$E$10000,3,FALSE)</f>
        <v>BERLING</v>
      </c>
      <c r="M135" s="6">
        <f t="shared" si="78"/>
        <v>2.584490740991896E-2</v>
      </c>
      <c r="N135" s="7">
        <f t="shared" si="79"/>
        <v>37.216666670283303</v>
      </c>
      <c r="O135" s="7"/>
      <c r="P135" s="7"/>
      <c r="Q135" s="23"/>
      <c r="R135" s="23"/>
      <c r="S135" s="35">
        <f t="shared" si="80"/>
        <v>1</v>
      </c>
      <c r="T135" s="50" t="str">
        <f t="shared" si="81"/>
        <v>NorthBound</v>
      </c>
      <c r="U135" s="14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18:23:16-0600',mode:absolute,to:'2016-10-16 21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5" s="52" t="str">
        <f t="shared" si="83"/>
        <v>N</v>
      </c>
      <c r="X135" s="149">
        <f t="shared" si="84"/>
        <v>1</v>
      </c>
      <c r="Y135" s="67">
        <f t="shared" si="85"/>
        <v>4.3799999999999999E-2</v>
      </c>
      <c r="Z135" s="67">
        <f t="shared" si="86"/>
        <v>23.3338</v>
      </c>
      <c r="AA135" s="67">
        <f t="shared" si="87"/>
        <v>23.29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88"/>
        <v>0223-16</v>
      </c>
      <c r="AE135" s="91" t="str">
        <f t="shared" si="89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135" s="88" t="str">
        <f t="shared" si="90"/>
        <v>"C:\Program Files (x86)\AstroGrep\AstroGrep.exe" /spath="%USERPROFILE%\AppData\Local\Temp\OnboardLogs" /stypes="app*4029*20161017*" /stext=" 02:.+((SYSTEM_STATE.+slice.+state.+changed )|(ment ac)|(system.+state.+changed )|(\[timeout)|(PRM\|1\|D)|(kpr)|(kdp)|(\|lc)|(penalty))" /e /r /s</v>
      </c>
      <c r="AG135" s="1" t="str">
        <f t="shared" si="91"/>
        <v>EC</v>
      </c>
      <c r="AH135" s="92" t="str">
        <f t="shared" si="75"/>
        <v>"%USERPROFILE%\Documents\GitHub\eaglep3\Utilities\RefineRTDCRunTimes.py" --tripid 223-16 --locoid 4029 --swversion DE.1.0.7.0 --startMP 204:438 --initTime 2016-10-16T19:23:16 --startdatetime 2016-10-16T19:30:46 --delay 1 --endMP 204:233338 --enddatetime 2016-10-16T20:07:59 --enforcementcount 1 &gt;&gt;C:\Users\stu\Documents\GitHub\eaglep3-reporting\EC\2016-10-16-refined-times.txt</v>
      </c>
      <c r="AI135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{"issue":{"subject":"","project_id":79,"tracker_id":40,"status_id":1,"priority_id":2,"assigned_to_id":23,"start_date":"2016-10-16","description":"","custom_fields":[{"id":1,"name":"Subdivision","value":"EC"},{"id":4,"name":"Milepost","value":"23.3338"},{"id":17,"name":"Train ID","value":"223-16"},{"id":16,"name":"Locomotive ID","value":"4029"},{"id":130,"name":"Impact","value":""},{"id":150,"name":"Time of Event (Mountain Time)","value":"20:07:59"},{"id":151,"name":"Denver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582</v>
      </c>
      <c r="B136" s="7">
        <v>4030</v>
      </c>
      <c r="C136" s="22" t="s">
        <v>99</v>
      </c>
      <c r="D136" s="22" t="s">
        <v>695</v>
      </c>
      <c r="E136" s="13">
        <v>42659.848912037036</v>
      </c>
      <c r="F136" s="13">
        <v>42659.8516087963</v>
      </c>
      <c r="G136" s="7">
        <v>1</v>
      </c>
      <c r="H136" s="13" t="s">
        <v>696</v>
      </c>
      <c r="I136" s="13">
        <v>42659.880532407406</v>
      </c>
      <c r="J136" s="7">
        <v>1</v>
      </c>
      <c r="K136" s="112" t="str">
        <f t="shared" si="77"/>
        <v>4029/4030</v>
      </c>
      <c r="L136" s="22" t="str">
        <f>VLOOKUP(A136,'Trips&amp;Operators'!$C$1:$E$10000,3,FALSE)</f>
        <v>BERLING</v>
      </c>
      <c r="M136" s="6">
        <f t="shared" si="78"/>
        <v>2.8923611105710734E-2</v>
      </c>
      <c r="N136" s="7">
        <f t="shared" si="79"/>
        <v>41.649999992223457</v>
      </c>
      <c r="O136" s="7"/>
      <c r="P136" s="7"/>
      <c r="Q136" s="23"/>
      <c r="R136" s="23"/>
      <c r="S136" s="35">
        <f t="shared" si="80"/>
        <v>1</v>
      </c>
      <c r="T136" s="50" t="str">
        <f t="shared" si="81"/>
        <v>Southbound</v>
      </c>
      <c r="U136" s="14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19:22:26-0600',mode:absolute,to:'2016-10-16 22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6" s="52" t="str">
        <f t="shared" si="83"/>
        <v>N</v>
      </c>
      <c r="X136" s="149">
        <f t="shared" si="84"/>
        <v>1</v>
      </c>
      <c r="Y136" s="67">
        <f t="shared" si="85"/>
        <v>23.300599999999999</v>
      </c>
      <c r="Z136" s="67">
        <f t="shared" si="86"/>
        <v>0.04</v>
      </c>
      <c r="AA136" s="67">
        <f t="shared" si="87"/>
        <v>23.2606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88"/>
        <v>0224-16</v>
      </c>
      <c r="AE136" s="91" t="str">
        <f t="shared" si="89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136" s="88" t="str">
        <f t="shared" si="90"/>
        <v>"C:\Program Files (x86)\AstroGrep\AstroGrep.exe" /spath="%USERPROFILE%\AppData\Local\Temp\OnboardLogs" /stypes="app*4030*20161017*" /stext=" 03:.+((SYSTEM_STATE.+slice.+state.+changed )|(ment ac)|(system.+state.+changed )|(\[timeout)|(PRM\|1\|D)|(kpr)|(kdp)|(\|lc)|(penalty))" /e /r /s</v>
      </c>
      <c r="AG136" s="1" t="str">
        <f t="shared" si="91"/>
        <v>EC</v>
      </c>
      <c r="AH136" s="92" t="str">
        <f t="shared" si="75"/>
        <v>"%USERPROFILE%\Documents\GitHub\eaglep3\Utilities\RefineRTDCRunTimes.py" --tripid 224-16 --locoid 4030 --swversion DE.1.0.7.0 --startMP 204:233006 --initTime 2016-10-16T20:22:26 --startdatetime 2016-10-16T20:26:19 --delay 1 --endMP 204:400 --enddatetime 2016-10-16T21:07:58 --enforcementcount 1 &gt;&gt;C:\Users\stu\Documents\GitHub\eaglep3-reporting\EC\2016-10-16-refined-times.txt</v>
      </c>
      <c r="AI136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{"issue":{"subject":"","project_id":79,"tracker_id":40,"status_id":1,"priority_id":2,"assigned_to_id":23,"start_date":"2016-10-16","description":"","custom_fields":[{"id":1,"name":"Subdivision","value":"EC"},{"id":4,"name":"Milepost","value":"0.04"},{"id":17,"name":"Train ID","value":"224-16"},{"id":16,"name":"Locomotive ID","value":"4030"},{"id":130,"name":"Impact","value":""},{"id":150,"name":"Time of Event (Mountain Time)","value":"21:07:58"},{"id":151,"name":"Denver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580</v>
      </c>
      <c r="B137" s="7">
        <v>4027</v>
      </c>
      <c r="C137" s="22" t="s">
        <v>99</v>
      </c>
      <c r="D137" s="22" t="s">
        <v>349</v>
      </c>
      <c r="E137" s="13">
        <v>42659.827337962961</v>
      </c>
      <c r="F137" s="13">
        <v>42659.833495370367</v>
      </c>
      <c r="G137" s="7">
        <v>1</v>
      </c>
      <c r="H137" s="13" t="s">
        <v>383</v>
      </c>
      <c r="I137" s="13">
        <v>42659.857800925929</v>
      </c>
      <c r="J137" s="7">
        <v>1</v>
      </c>
      <c r="K137" s="112" t="str">
        <f t="shared" si="77"/>
        <v>4027/4028</v>
      </c>
      <c r="L137" s="22" t="str">
        <f>VLOOKUP(A137,'Trips&amp;Operators'!$C$1:$E$10000,3,FALSE)</f>
        <v>NEWELL</v>
      </c>
      <c r="M137" s="6">
        <f t="shared" si="78"/>
        <v>2.4305555562023073E-2</v>
      </c>
      <c r="N137" s="7">
        <f t="shared" si="79"/>
        <v>35.000000009313226</v>
      </c>
      <c r="O137" s="7"/>
      <c r="P137" s="7"/>
      <c r="Q137" s="23"/>
      <c r="R137" s="23"/>
      <c r="S137" s="35">
        <f t="shared" si="80"/>
        <v>1</v>
      </c>
      <c r="T137" s="50" t="str">
        <f t="shared" si="81"/>
        <v>NorthBound</v>
      </c>
      <c r="U137" s="14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18:51:22-0600',mode:absolute,to:'2016-10-16 21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7" s="52" t="str">
        <f t="shared" si="83"/>
        <v>N</v>
      </c>
      <c r="X137" s="149">
        <f t="shared" si="84"/>
        <v>1</v>
      </c>
      <c r="Y137" s="67">
        <f t="shared" si="85"/>
        <v>4.4400000000000002E-2</v>
      </c>
      <c r="Z137" s="67">
        <f t="shared" si="86"/>
        <v>23.330200000000001</v>
      </c>
      <c r="AA137" s="67">
        <f t="shared" si="87"/>
        <v>23.285800000000002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88"/>
        <v>0225-16</v>
      </c>
      <c r="AE137" s="91" t="str">
        <f t="shared" si="89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137" s="88" t="str">
        <f t="shared" si="90"/>
        <v>"C:\Program Files (x86)\AstroGrep\AstroGrep.exe" /spath="%USERPROFILE%\AppData\Local\Temp\OnboardLogs" /stypes="app*4027*20161017*" /stext=" 02:.+((SYSTEM_STATE.+slice.+state.+changed )|(ment ac)|(system.+state.+changed )|(\[timeout)|(PRM\|1\|D)|(kpr)|(kdp)|(\|lc)|(penalty))" /e /r /s</v>
      </c>
      <c r="AG137" s="1" t="str">
        <f t="shared" si="91"/>
        <v>EC</v>
      </c>
      <c r="AH137" s="92" t="str">
        <f t="shared" si="75"/>
        <v>"%USERPROFILE%\Documents\GitHub\eaglep3\Utilities\RefineRTDCRunTimes.py" --tripid 225-16 --locoid 4027 --swversion DE.1.0.7.0 --startMP 204:444 --initTime 2016-10-16T19:51:22 --startdatetime 2016-10-16T20:00:14 --delay 1 --endMP 204:233302 --enddatetime 2016-10-16T20:35:14 --enforcementcount 1 &gt;&gt;C:\Users\stu\Documents\GitHub\eaglep3-reporting\EC\2016-10-16-refined-times.txt</v>
      </c>
      <c r="AI137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{"issue":{"subject":"","project_id":79,"tracker_id":40,"status_id":1,"priority_id":2,"assigned_to_id":23,"start_date":"2016-10-16","description":"","custom_fields":[{"id":1,"name":"Subdivision","value":"EC"},{"id":4,"name":"Milepost","value":"23.3302"},{"id":17,"name":"Train ID","value":"225-16"},{"id":16,"name":"Locomotive ID","value":"4027"},{"id":130,"name":"Impact","value":""},{"id":150,"name":"Time of Event (Mountain Time)","value":"20:35:14"},{"id":151,"name":"Denver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584</v>
      </c>
      <c r="B138" s="7">
        <v>4028</v>
      </c>
      <c r="C138" s="22" t="s">
        <v>99</v>
      </c>
      <c r="D138" s="22" t="s">
        <v>303</v>
      </c>
      <c r="E138" s="13">
        <v>42659.862233796295</v>
      </c>
      <c r="F138" s="13">
        <v>42659.87259259259</v>
      </c>
      <c r="G138" s="7">
        <v>1</v>
      </c>
      <c r="H138" s="13" t="s">
        <v>697</v>
      </c>
      <c r="I138" s="13">
        <v>42659.903252314813</v>
      </c>
      <c r="J138" s="7">
        <v>1</v>
      </c>
      <c r="K138" s="112" t="str">
        <f t="shared" si="77"/>
        <v>4027/4028</v>
      </c>
      <c r="L138" s="22" t="str">
        <f>VLOOKUP(A138,'Trips&amp;Operators'!$C$1:$E$10000,3,FALSE)</f>
        <v>NEWELL</v>
      </c>
      <c r="M138" s="6">
        <f t="shared" si="78"/>
        <v>3.0659722222480923E-2</v>
      </c>
      <c r="N138" s="7">
        <f t="shared" si="79"/>
        <v>44.150000000372529</v>
      </c>
      <c r="O138" s="7"/>
      <c r="P138" s="7"/>
      <c r="Q138" s="23"/>
      <c r="R138" s="23"/>
      <c r="S138" s="35">
        <f t="shared" si="80"/>
        <v>1</v>
      </c>
      <c r="T138" s="50" t="str">
        <f t="shared" si="81"/>
        <v>Southbound</v>
      </c>
      <c r="U138" s="14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19:41:37-0600',mode:absolute,to:'2016-10-16 22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8" s="52" t="str">
        <f t="shared" si="83"/>
        <v>N</v>
      </c>
      <c r="X138" s="149">
        <f t="shared" si="84"/>
        <v>1</v>
      </c>
      <c r="Y138" s="67">
        <f t="shared" si="85"/>
        <v>23.299399999999999</v>
      </c>
      <c r="Z138" s="67">
        <f t="shared" si="86"/>
        <v>3.3099999999999997E-2</v>
      </c>
      <c r="AA138" s="67">
        <f t="shared" si="87"/>
        <v>23.266299999999998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88"/>
        <v>0226-16</v>
      </c>
      <c r="AE138" s="91" t="str">
        <f t="shared" si="89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138" s="88" t="str">
        <f t="shared" si="90"/>
        <v>"C:\Program Files (x86)\AstroGrep\AstroGrep.exe" /spath="%USERPROFILE%\AppData\Local\Temp\OnboardLogs" /stypes="app*4028*20161017*" /stext=" 03:.+((SYSTEM_STATE.+slice.+state.+changed )|(ment ac)|(system.+state.+changed )|(\[timeout)|(PRM\|1\|D)|(kpr)|(kdp)|(\|lc)|(penalty))" /e /r /s</v>
      </c>
      <c r="AG138" s="1" t="str">
        <f t="shared" si="91"/>
        <v>EC</v>
      </c>
      <c r="AH138" s="92" t="str">
        <f t="shared" si="75"/>
        <v>"%USERPROFILE%\Documents\GitHub\eaglep3\Utilities\RefineRTDCRunTimes.py" --tripid 226-16 --locoid 4028 --swversion DE.1.0.7.0 --startMP 204:232994 --initTime 2016-10-16T20:41:37 --startdatetime 2016-10-16T20:56:32 --delay 1 --endMP 204:331 --enddatetime 2016-10-16T21:40:41 --enforcementcount 1 &gt;&gt;C:\Users\stu\Documents\GitHub\eaglep3-reporting\EC\2016-10-16-refined-times.txt</v>
      </c>
      <c r="AI138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{"issue":{"subject":"","project_id":79,"tracker_id":40,"status_id":1,"priority_id":2,"assigned_to_id":23,"start_date":"2016-10-16","description":"","custom_fields":[{"id":1,"name":"Subdivision","value":"EC"},{"id":4,"name":"Milepost","value":"0.0331"},{"id":17,"name":"Train ID","value":"226-16"},{"id":16,"name":"Locomotive ID","value":"4028"},{"id":130,"name":"Impact","value":""},{"id":150,"name":"Time of Event (Mountain Time)","value":"21:40:41"},{"id":151,"name":"Denver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581</v>
      </c>
      <c r="B139" s="7">
        <v>4042</v>
      </c>
      <c r="C139" s="22" t="s">
        <v>99</v>
      </c>
      <c r="D139" s="22" t="s">
        <v>273</v>
      </c>
      <c r="E139" s="13">
        <v>42659.852152777778</v>
      </c>
      <c r="F139" s="13">
        <v>42659.937743055554</v>
      </c>
      <c r="G139" s="7">
        <v>1</v>
      </c>
      <c r="H139" s="13" t="s">
        <v>631</v>
      </c>
      <c r="I139" s="13">
        <v>42659.963321759256</v>
      </c>
      <c r="J139" s="7">
        <v>1</v>
      </c>
      <c r="K139" s="112" t="str">
        <f t="shared" si="77"/>
        <v>4041/4042</v>
      </c>
      <c r="L139" s="22" t="str">
        <f>VLOOKUP(A139,'Trips&amp;Operators'!$C$1:$E$10000,3,FALSE)</f>
        <v>CHANDLER</v>
      </c>
      <c r="M139" s="6">
        <f t="shared" si="78"/>
        <v>2.5578703702194616E-2</v>
      </c>
      <c r="N139" s="7">
        <f t="shared" si="79"/>
        <v>36.833333331160247</v>
      </c>
      <c r="O139" s="7"/>
      <c r="P139" s="7"/>
      <c r="Q139" s="23"/>
      <c r="R139" s="23"/>
      <c r="S139" s="35">
        <f t="shared" si="80"/>
        <v>1</v>
      </c>
      <c r="T139" s="50" t="str">
        <f t="shared" si="81"/>
        <v>NorthBound</v>
      </c>
      <c r="U139" s="14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19:27:06-0600',mode:absolute,to:'2016-10-17 00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 t="shared" si="83"/>
        <v>N</v>
      </c>
      <c r="X139" s="149">
        <f t="shared" si="84"/>
        <v>1</v>
      </c>
      <c r="Y139" s="67">
        <f t="shared" si="85"/>
        <v>4.82E-2</v>
      </c>
      <c r="Z139" s="67">
        <f t="shared" si="86"/>
        <v>23.3278</v>
      </c>
      <c r="AA139" s="67">
        <f t="shared" si="87"/>
        <v>23.279599999999999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88"/>
        <v>0227-16</v>
      </c>
      <c r="AE139" s="91" t="str">
        <f t="shared" si="89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139" s="88" t="str">
        <f t="shared" si="90"/>
        <v>"C:\Program Files (x86)\AstroGrep\AstroGrep.exe" /spath="%USERPROFILE%\AppData\Local\Temp\OnboardLogs" /stypes="app*4042*20161017*" /stext=" 05:.+((SYSTEM_STATE.+slice.+state.+changed )|(ment ac)|(system.+state.+changed )|(\[timeout)|(PRM\|1\|D)|(kpr)|(kdp)|(\|lc)|(penalty))" /e /r /s</v>
      </c>
      <c r="AG139" s="1" t="str">
        <f t="shared" si="91"/>
        <v>EC</v>
      </c>
      <c r="AH139" s="92" t="str">
        <f t="shared" si="75"/>
        <v>"%USERPROFILE%\Documents\GitHub\eaglep3\Utilities\RefineRTDCRunTimes.py" --tripid 227-16 --locoid 4042 --swversion DE.1.0.7.0 --startMP 204:482 --initTime 2016-10-16T20:27:06 --startdatetime 2016-10-16T22:30:21 --delay 1 --endMP 204:233278 --enddatetime 2016-10-16T23:07:11 --enforcementcount 1 &gt;&gt;C:\Users\stu\Documents\GitHub\eaglep3-reporting\EC\2016-10-16-refined-times.txt</v>
      </c>
      <c r="AI139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{"issue":{"subject":"","project_id":79,"tracker_id":40,"status_id":1,"priority_id":2,"assigned_to_id":23,"start_date":"2016-10-16","description":"","custom_fields":[{"id":1,"name":"Subdivision","value":"EC"},{"id":4,"name":"Milepost","value":"23.3278"},{"id":17,"name":"Train ID","value":"227-16"},{"id":16,"name":"Locomotive ID","value":"4042"},{"id":130,"name":"Impact","value":""},{"id":150,"name":"Time of Event (Mountain Time)","value":"23:07:11"},{"id":151,"name":"Denver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587</v>
      </c>
      <c r="B140" s="7">
        <v>4041</v>
      </c>
      <c r="C140" s="22" t="s">
        <v>99</v>
      </c>
      <c r="D140" s="22" t="s">
        <v>698</v>
      </c>
      <c r="E140" s="13">
        <v>42659.893009259256</v>
      </c>
      <c r="F140" s="13">
        <v>42659.89398148148</v>
      </c>
      <c r="G140" s="7">
        <v>1</v>
      </c>
      <c r="H140" s="13" t="s">
        <v>699</v>
      </c>
      <c r="I140" s="13">
        <v>42659.924884259257</v>
      </c>
      <c r="J140" s="7">
        <v>1</v>
      </c>
      <c r="K140" s="112" t="str">
        <f t="shared" si="77"/>
        <v>4041/4042</v>
      </c>
      <c r="L140" s="22" t="str">
        <f>VLOOKUP(A140,'Trips&amp;Operators'!$C$1:$E$10000,3,FALSE)</f>
        <v>CHANDLER</v>
      </c>
      <c r="M140" s="6">
        <f t="shared" si="78"/>
        <v>3.0902777776645962E-2</v>
      </c>
      <c r="N140" s="7">
        <f t="shared" si="79"/>
        <v>44.499999998370185</v>
      </c>
      <c r="O140" s="7"/>
      <c r="P140" s="7"/>
      <c r="Q140" s="23"/>
      <c r="R140" s="23"/>
      <c r="S140" s="35">
        <f t="shared" si="80"/>
        <v>1</v>
      </c>
      <c r="T140" s="50" t="str">
        <f t="shared" si="81"/>
        <v>Southbound</v>
      </c>
      <c r="U140" s="14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20:25:56-0600',mode:absolute,to:'2016-10-16 23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 t="shared" si="83"/>
        <v>N</v>
      </c>
      <c r="X140" s="149">
        <f t="shared" si="84"/>
        <v>1</v>
      </c>
      <c r="Y140" s="67">
        <f t="shared" si="85"/>
        <v>23.2622</v>
      </c>
      <c r="Z140" s="67">
        <f t="shared" si="86"/>
        <v>3.2500000000000001E-2</v>
      </c>
      <c r="AA140" s="67">
        <f t="shared" si="87"/>
        <v>23.229700000000001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88"/>
        <v>0228-16</v>
      </c>
      <c r="AE140" s="91" t="str">
        <f t="shared" si="89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40" s="88" t="str">
        <f t="shared" si="90"/>
        <v>"C:\Program Files (x86)\AstroGrep\AstroGrep.exe" /spath="%USERPROFILE%\AppData\Local\Temp\OnboardLogs" /stypes="app*4041*20161017*" /stext=" 04:.+((SYSTEM_STATE.+slice.+state.+changed )|(ment ac)|(system.+state.+changed )|(\[timeout)|(PRM\|1\|D)|(kpr)|(kdp)|(\|lc)|(penalty))" /e /r /s</v>
      </c>
      <c r="AG140" s="1" t="str">
        <f t="shared" si="91"/>
        <v>EC</v>
      </c>
      <c r="AH140" s="92" t="str">
        <f t="shared" si="75"/>
        <v>"%USERPROFILE%\Documents\GitHub\eaglep3\Utilities\RefineRTDCRunTimes.py" --tripid 228-16 --locoid 4041 --swversion DE.1.0.7.0 --startMP 204:232622 --initTime 2016-10-16T21:25:56 --startdatetime 2016-10-16T21:27:20 --delay 1 --endMP 204:325 --enddatetime 2016-10-16T22:11:50 --enforcementcount 1 &gt;&gt;C:\Users\stu\Documents\GitHub\eaglep3-reporting\EC\2016-10-16-refined-times.txt</v>
      </c>
      <c r="AI140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{"issue":{"subject":"","project_id":79,"tracker_id":40,"status_id":1,"priority_id":2,"assigned_to_id":23,"start_date":"2016-10-16","description":"","custom_fields":[{"id":1,"name":"Subdivision","value":"EC"},{"id":4,"name":"Milepost","value":"0.0325"},{"id":17,"name":"Train ID","value":"228-16"},{"id":16,"name":"Locomotive ID","value":"4041"},{"id":130,"name":"Impact","value":""},{"id":150,"name":"Time of Event (Mountain Time)","value":"22:11:50"},{"id":151,"name":"Denver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x14ac:dyDescent="0.25">
      <c r="A141" s="37" t="s">
        <v>585</v>
      </c>
      <c r="B141" s="7">
        <v>4040</v>
      </c>
      <c r="C141" s="22" t="s">
        <v>99</v>
      </c>
      <c r="D141" s="22" t="s">
        <v>362</v>
      </c>
      <c r="E141" s="13">
        <v>42659.869884259257</v>
      </c>
      <c r="F141" s="13">
        <v>42659.875208333331</v>
      </c>
      <c r="G141" s="7">
        <v>1</v>
      </c>
      <c r="H141" s="13" t="s">
        <v>305</v>
      </c>
      <c r="I141" s="13">
        <v>42659.901736111111</v>
      </c>
      <c r="J141" s="7">
        <v>1</v>
      </c>
      <c r="K141" s="112" t="str">
        <f t="shared" si="77"/>
        <v>4039/4040</v>
      </c>
      <c r="L141" s="22" t="str">
        <f>VLOOKUP(A141,'Trips&amp;Operators'!$C$1:$E$10000,3,FALSE)</f>
        <v>BRANDNER</v>
      </c>
      <c r="M141" s="6">
        <f t="shared" si="78"/>
        <v>2.6527777779847383E-2</v>
      </c>
      <c r="N141" s="7">
        <f t="shared" si="79"/>
        <v>38.200000002980232</v>
      </c>
      <c r="O141" s="7"/>
      <c r="P141" s="7"/>
      <c r="Q141" s="23"/>
      <c r="R141" s="23"/>
      <c r="S141" s="35">
        <f t="shared" si="80"/>
        <v>1</v>
      </c>
      <c r="T141" s="50" t="str">
        <f t="shared" si="81"/>
        <v>NorthBound</v>
      </c>
      <c r="U141" s="14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19:52:38-0600',mode:absolute,to:'2016-10-16 22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1" s="52" t="str">
        <f t="shared" si="83"/>
        <v>N</v>
      </c>
      <c r="X141" s="149">
        <f t="shared" si="84"/>
        <v>1</v>
      </c>
      <c r="Y141" s="67">
        <f t="shared" si="85"/>
        <v>7.5200000000000003E-2</v>
      </c>
      <c r="Z141" s="67">
        <f t="shared" si="86"/>
        <v>23.331</v>
      </c>
      <c r="AA141" s="67">
        <f t="shared" si="87"/>
        <v>23.255800000000001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88"/>
        <v>0229-16</v>
      </c>
      <c r="AE141" s="91" t="str">
        <f t="shared" si="89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141" s="88" t="str">
        <f t="shared" si="90"/>
        <v>"C:\Program Files (x86)\AstroGrep\AstroGrep.exe" /spath="%USERPROFILE%\AppData\Local\Temp\OnboardLogs" /stypes="app*4040*20161017*" /stext=" 03:.+((SYSTEM_STATE.+slice.+state.+changed )|(ment ac)|(system.+state.+changed )|(\[timeout)|(PRM\|1\|D)|(kpr)|(kdp)|(\|lc)|(penalty))" /e /r /s</v>
      </c>
      <c r="AG141" s="1" t="str">
        <f t="shared" si="91"/>
        <v>EC</v>
      </c>
      <c r="AH141" s="92" t="str">
        <f t="shared" si="75"/>
        <v>"%USERPROFILE%\Documents\GitHub\eaglep3\Utilities\RefineRTDCRunTimes.py" --tripid 229-16 --locoid 4040 --swversion DE.1.0.7.0 --startMP 204:752 --initTime 2016-10-16T20:52:38 --startdatetime 2016-10-16T21:00:18 --delay 1 --endMP 204:233310 --enddatetime 2016-10-16T21:38:30 --enforcementcount 1 &gt;&gt;C:\Users\stu\Documents\GitHub\eaglep3-reporting\EC\2016-10-16-refined-times.txt</v>
      </c>
      <c r="AI141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{"issue":{"subject":"","project_id":79,"tracker_id":40,"status_id":1,"priority_id":2,"assigned_to_id":23,"start_date":"2016-10-16","description":"","custom_fields":[{"id":1,"name":"Subdivision","value":"EC"},{"id":4,"name":"Milepost","value":"23.331"},{"id":17,"name":"Train ID","value":"229-16"},{"id":16,"name":"Locomotive ID","value":"4040"},{"id":130,"name":"Impact","value":""},{"id":150,"name":"Time of Event (Mountain Time)","value":"21:38:30"},{"id":151,"name":"Denver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590</v>
      </c>
      <c r="B142" s="7">
        <v>4039</v>
      </c>
      <c r="C142" s="22" t="s">
        <v>99</v>
      </c>
      <c r="D142" s="22" t="s">
        <v>311</v>
      </c>
      <c r="E142" s="13">
        <v>42659.908125000002</v>
      </c>
      <c r="F142" s="13">
        <v>42659.914120370369</v>
      </c>
      <c r="G142" s="7">
        <v>1</v>
      </c>
      <c r="H142" s="13" t="s">
        <v>700</v>
      </c>
      <c r="I142" s="13">
        <v>42659.944537037038</v>
      </c>
      <c r="J142" s="7">
        <v>1</v>
      </c>
      <c r="K142" s="112" t="str">
        <f t="shared" si="77"/>
        <v>4039/4040</v>
      </c>
      <c r="L142" s="22" t="str">
        <f>VLOOKUP(A142,'Trips&amp;Operators'!$C$1:$E$10000,3,FALSE)</f>
        <v>BRANDNER</v>
      </c>
      <c r="M142" s="6">
        <f t="shared" si="78"/>
        <v>3.0416666668315884E-2</v>
      </c>
      <c r="N142" s="7">
        <f t="shared" si="79"/>
        <v>43.800000002374873</v>
      </c>
      <c r="O142" s="7"/>
      <c r="P142" s="7"/>
      <c r="Q142" s="23"/>
      <c r="R142" s="23"/>
      <c r="S142" s="35">
        <f t="shared" si="80"/>
        <v>1</v>
      </c>
      <c r="T142" s="50" t="str">
        <f t="shared" si="81"/>
        <v>Southbound</v>
      </c>
      <c r="U142" s="14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https://search-rtdc-monitor-bjffxe2xuh6vdkpspy63sjmuny.us-east-1.es.amazonaws.com/_plugin/kibana/#/discover/Steve-Slow-Train-Analysis-(2080s-and-2083s)?_g=(refreshInterval:(display:Off,section:0,value:0),time:(from:'2016-10-16 20:47:42-0600',mode:absolute,to:'2016-10-16 23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2" s="52" t="str">
        <f t="shared" si="83"/>
        <v>N</v>
      </c>
      <c r="X142" s="149">
        <f t="shared" si="84"/>
        <v>1</v>
      </c>
      <c r="Y142" s="67">
        <f t="shared" si="85"/>
        <v>23.299099999999999</v>
      </c>
      <c r="Z142" s="67">
        <f t="shared" si="86"/>
        <v>3.6499999999999998E-2</v>
      </c>
      <c r="AA142" s="67">
        <f t="shared" si="87"/>
        <v>23.262599999999999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88"/>
        <v>0230-16</v>
      </c>
      <c r="AE142" s="91" t="str">
        <f t="shared" si="89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142" s="88" t="str">
        <f t="shared" si="90"/>
        <v>"C:\Program Files (x86)\AstroGrep\AstroGrep.exe" /spath="%USERPROFILE%\AppData\Local\Temp\OnboardLogs" /stypes="app*4039*20161017*" /stext=" 04:.+((SYSTEM_STATE.+slice.+state.+changed )|(ment ac)|(system.+state.+changed )|(\[timeout)|(PRM\|1\|D)|(kpr)|(kdp)|(\|lc)|(penalty))" /e /r /s</v>
      </c>
      <c r="AG142" s="1" t="str">
        <f t="shared" si="91"/>
        <v>EC</v>
      </c>
      <c r="AH142" s="92" t="str">
        <f t="shared" si="75"/>
        <v>"%USERPROFILE%\Documents\GitHub\eaglep3\Utilities\RefineRTDCRunTimes.py" --tripid 230-16 --locoid 4039 --swversion DE.1.0.7.0 --startMP 204:232991 --initTime 2016-10-16T21:47:42 --startdatetime 2016-10-16T21:56:20 --delay 1 --endMP 204:365 --enddatetime 2016-10-16T22:40:08 --enforcementcount 1 &gt;&gt;C:\Users\stu\Documents\GitHub\eaglep3-reporting\EC\2016-10-16-refined-times.txt</v>
      </c>
      <c r="AI142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{"issue":{"subject":"","project_id":79,"tracker_id":40,"status_id":1,"priority_id":2,"assigned_to_id":23,"start_date":"2016-10-16","description":"","custom_fields":[{"id":1,"name":"Subdivision","value":"EC"},{"id":4,"name":"Milepost","value":"0.0365"},{"id":17,"name":"Train ID","value":"230-16"},{"id":16,"name":"Locomotive ID","value":"4039"},{"id":130,"name":"Impact","value":""},{"id":150,"name":"Time of Event (Mountain Time)","value":"22:40:08"},{"id":151,"name":"Denver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586</v>
      </c>
      <c r="B143" s="7">
        <v>4029</v>
      </c>
      <c r="C143" s="22" t="s">
        <v>99</v>
      </c>
      <c r="D143" s="22" t="s">
        <v>701</v>
      </c>
      <c r="E143" s="13">
        <v>42659.888032407405</v>
      </c>
      <c r="F143" s="13">
        <v>42659.896319444444</v>
      </c>
      <c r="G143" s="7">
        <v>1</v>
      </c>
      <c r="H143" s="13" t="s">
        <v>702</v>
      </c>
      <c r="I143" s="13">
        <v>42659.922627314816</v>
      </c>
      <c r="J143" s="7">
        <v>1</v>
      </c>
      <c r="K143" s="112" t="str">
        <f t="shared" ref="K143:K171" si="92">IF(ISEVEN(B143),(B143-1)&amp;"/"&amp;B143,B143&amp;"/"&amp;(B143+1))</f>
        <v>4029/4030</v>
      </c>
      <c r="L143" s="22" t="str">
        <f>VLOOKUP(A143,'Trips&amp;Operators'!$C$1:$E$10000,3,FALSE)</f>
        <v>BERLING</v>
      </c>
      <c r="M143" s="6">
        <f t="shared" ref="M143:M171" si="93">I143-F143</f>
        <v>2.6307870371965691E-2</v>
      </c>
      <c r="N143" s="7">
        <f t="shared" ref="N143:N171" si="94">24*60*SUM($M143:$M143)</f>
        <v>37.883333335630596</v>
      </c>
      <c r="O143" s="7"/>
      <c r="P143" s="7"/>
      <c r="Q143" s="23"/>
      <c r="R143" s="23"/>
      <c r="S143" s="35">
        <f t="shared" ref="S143:S171" si="95">SUM(U143:U143)/IF(AG143="EC",12,1)</f>
        <v>1</v>
      </c>
      <c r="T143" s="50" t="str">
        <f t="shared" ref="T143:T171" si="96">IF(ISEVEN(LEFT(AD143,4)),"Southbound","NorthBound")</f>
        <v>NorthBound</v>
      </c>
      <c r="U143" s="14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ref="V143:V171" si="97"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https://search-rtdc-monitor-bjffxe2xuh6vdkpspy63sjmuny.us-east-1.es.amazonaws.com/_plugin/kibana/#/discover/Steve-Slow-Train-Analysis-(2080s-and-2083s)?_g=(refreshInterval:(display:Off,section:0,value:0),time:(from:'2016-10-16 20:18:46-0600',mode:absolute,to:'2016-10-16 23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3" s="52" t="str">
        <f t="shared" ref="W143:W171" si="98">IF(AA143&lt;IF(AG143="EC",23,5.65),"Y","N")</f>
        <v>N</v>
      </c>
      <c r="X143" s="149">
        <f t="shared" ref="X143:X171" si="99">VALUE(LEFT(AD143,4))-VALUE(LEFT(AD142,4))</f>
        <v>1</v>
      </c>
      <c r="Y143" s="67">
        <f t="shared" ref="Y143:Y171" si="100">RIGHT(D143,LEN(D143)-4)/10000</f>
        <v>7.2099999999999997E-2</v>
      </c>
      <c r="Z143" s="67">
        <f t="shared" ref="Z143:Z171" si="101">RIGHT(H143,LEN(H143)-4)/10000</f>
        <v>23.3385</v>
      </c>
      <c r="AA143" s="67">
        <f t="shared" ref="AA143:AA171" si="102">ABS(Z143-Y143)</f>
        <v>23.266400000000001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ref="AD143:AD171" si="103">IF(LEN(A143)=6,"0"&amp;A143,A143)</f>
        <v>0231-16</v>
      </c>
      <c r="AE143" s="91" t="str">
        <f t="shared" ref="AE143:AE171" si="104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143" s="88" t="str">
        <f t="shared" ref="AF143:AF171" si="105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/stypes="app*4029*20161017*" /stext=" 04:.+((SYSTEM_STATE.+slice.+state.+changed )|(ment ac)|(system.+state.+changed )|(\[timeout)|(PRM\|1\|D)|(kpr)|(kdp)|(\|lc)|(penalty))" /e /r /s</v>
      </c>
      <c r="AG143" s="1" t="str">
        <f t="shared" ref="AG143:AG171" si="106">IFERROR(IF(VALUE(LEFT(AD143,2))&lt;=2,"EC",IF(OR(VALUE(LEFT(AD143,2))=8,VALUE(LEFT(AD143,2))=18),"NW","Other")),"Other")</f>
        <v>EC</v>
      </c>
      <c r="AH143" s="92" t="str">
        <f t="shared" si="75"/>
        <v>"%USERPROFILE%\Documents\GitHub\eaglep3\Utilities\RefineRTDCRunTimes.py" --tripid 231-16 --locoid 4029 --swversion DE.1.0.7.0 --startMP 204:721 --initTime 2016-10-16T21:18:46 --startdatetime 2016-10-16T21:30:42 --delay 1 --endMP 204:233385 --enddatetime 2016-10-16T22:08:35 --enforcementcount 1 &gt;&gt;C:\Users\stu\Documents\GitHub\eaglep3-reporting\EC\2016-10-16-refined-times.txt</v>
      </c>
      <c r="AI143" s="122" t="str">
        <f t="shared" si="76"/>
        <v>echo {"issue":{"subject":"","project_id":79,"tracker_id":40,"status_id":1,"priority_id":2,"assigned_to_id":23,"start_date":"2016-10-16","description":"","custom_fields":[{"id":1,"name":"Subdivision","value":"EC"},{"id":4,"name":"Milepost","value":"23.3385"},{"id":17,"name":"Train ID","value":"231-16"},{"id":16,"name":"Locomotive ID","value":"4029"},{"id":130,"name":"Impact","value":""},{"id":150,"name":"Time of Event (Mountain Time)","value":"22:08:35"},{"id":151,"name":"Denver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592</v>
      </c>
      <c r="B144" s="7">
        <v>4030</v>
      </c>
      <c r="C144" s="22" t="s">
        <v>99</v>
      </c>
      <c r="D144" s="22" t="s">
        <v>703</v>
      </c>
      <c r="E144" s="13">
        <v>42659.929699074077</v>
      </c>
      <c r="F144" s="13">
        <v>42659.935046296298</v>
      </c>
      <c r="G144" s="7">
        <v>1</v>
      </c>
      <c r="H144" s="13" t="s">
        <v>704</v>
      </c>
      <c r="I144" s="13">
        <v>42659.966168981482</v>
      </c>
      <c r="J144" s="7">
        <v>1</v>
      </c>
      <c r="K144" s="112" t="str">
        <f t="shared" si="92"/>
        <v>4029/4030</v>
      </c>
      <c r="L144" s="22" t="str">
        <f>VLOOKUP(A144,'Trips&amp;Operators'!$C$1:$E$10000,3,FALSE)</f>
        <v>BERLING</v>
      </c>
      <c r="M144" s="6">
        <f t="shared" si="93"/>
        <v>3.1122685184527654E-2</v>
      </c>
      <c r="N144" s="7">
        <f t="shared" si="94"/>
        <v>44.816666665719822</v>
      </c>
      <c r="O144" s="7"/>
      <c r="P144" s="7"/>
      <c r="Q144" s="23"/>
      <c r="R144" s="23"/>
      <c r="S144" s="35">
        <f t="shared" si="95"/>
        <v>1</v>
      </c>
      <c r="T144" s="50" t="str">
        <f t="shared" si="96"/>
        <v>Southbound</v>
      </c>
      <c r="U144" s="14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21:18:46-0600',mode:absolute,to:'2016-10-17 00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4" s="52" t="str">
        <f t="shared" si="98"/>
        <v>N</v>
      </c>
      <c r="X144" s="149">
        <f t="shared" si="99"/>
        <v>1</v>
      </c>
      <c r="Y144" s="67">
        <f t="shared" si="100"/>
        <v>23.300999999999998</v>
      </c>
      <c r="Z144" s="67">
        <f t="shared" si="101"/>
        <v>3.9100000000000003E-2</v>
      </c>
      <c r="AA144" s="67">
        <f t="shared" si="102"/>
        <v>23.261899999999997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103"/>
        <v>0232-16</v>
      </c>
      <c r="AE144" s="91" t="str">
        <f t="shared" si="104"/>
        <v>aws s3 cp s3://rtdc.mdm.uploadarchive.raw/RTDC4030/ "%USERPROFILE%\AppData\Local\Temp\OnboardLogs"\RTDC4030\2016-10-16 --exclude "*" --recursive --include "*20161016*" &amp; "%USERPROFILE%\Documents\GitHub\mrs-test-scripts\Headless Mode &amp; Sideloading\WalkAndUnGZ.bat" "%USERPROFILE%\AppData\Local\Temp\OnboardLogs"\RTDC4030\2016-10-16 &amp; 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</v>
      </c>
      <c r="AF144" s="88" t="str">
        <f t="shared" si="105"/>
        <v>"C:\Program Files (x86)\AstroGrep\AstroGrep.exe" /spath="%USERPROFILE%\AppData\Local\Temp\OnboardLogs" /stypes="app*4030*20161017*" /stext=" 05:.+((SYSTEM_STATE.+slice.+state.+changed )|(ment ac)|(system.+state.+changed )|(\[timeout)|(PRM\|1\|D)|(kpr)|(kdp)|(\|lc)|(penalty))" /e /r /s</v>
      </c>
      <c r="AG144" s="1" t="str">
        <f t="shared" si="106"/>
        <v>EC</v>
      </c>
      <c r="AH144" s="92" t="str">
        <f t="shared" ref="AH144:AH205" si="107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232-16 --locoid 4030 --swversion DE.1.0.7.0 --startMP 204:233010 --initTime 2016-10-16T22:18:46 --startdatetime 2016-10-16T22:26:28 --delay 1 --endMP 204:391 --enddatetime 2016-10-16T23:11:17 --enforcementcount 1 &gt;&gt;C:\Users\stu\Documents\GitHub\eaglep3-reporting\EC\2016-10-16-refined-times.txt</v>
      </c>
      <c r="AI144" s="122" t="str">
        <f t="shared" ref="AI144:AI205" si="108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{"issue":{"subject":"","project_id":79,"tracker_id":40,"status_id":1,"priority_id":2,"assigned_to_id":23,"start_date":"2016-10-16","description":"","custom_fields":[{"id":1,"name":"Subdivision","value":"EC"},{"id":4,"name":"Milepost","value":"0.0391"},{"id":17,"name":"Train ID","value":"232-16"},{"id":16,"name":"Locomotive ID","value":"4030"},{"id":130,"name":"Impact","value":""},{"id":150,"name":"Time of Event (Mountain Time)","value":"23:11:17"},{"id":151,"name":"Denver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589</v>
      </c>
      <c r="B145" s="7">
        <v>4027</v>
      </c>
      <c r="C145" s="22" t="s">
        <v>99</v>
      </c>
      <c r="D145" s="22" t="s">
        <v>705</v>
      </c>
      <c r="E145" s="13">
        <v>42659.905069444445</v>
      </c>
      <c r="F145" s="13">
        <v>42659.916828703703</v>
      </c>
      <c r="G145" s="7">
        <v>1</v>
      </c>
      <c r="H145" s="13" t="s">
        <v>706</v>
      </c>
      <c r="I145" s="13">
        <v>42659.941122685188</v>
      </c>
      <c r="J145" s="7">
        <v>1</v>
      </c>
      <c r="K145" s="112" t="str">
        <f t="shared" si="92"/>
        <v>4027/4028</v>
      </c>
      <c r="L145" s="22" t="str">
        <f>VLOOKUP(A145,'Trips&amp;Operators'!$C$1:$E$10000,3,FALSE)</f>
        <v>NEWELL</v>
      </c>
      <c r="M145" s="6">
        <f t="shared" si="93"/>
        <v>2.4293981485243421E-2</v>
      </c>
      <c r="N145" s="7">
        <f t="shared" si="94"/>
        <v>34.983333338750526</v>
      </c>
      <c r="O145" s="7"/>
      <c r="P145" s="7"/>
      <c r="Q145" s="23"/>
      <c r="R145" s="23"/>
      <c r="S145" s="35">
        <f t="shared" si="95"/>
        <v>1</v>
      </c>
      <c r="T145" s="50" t="str">
        <f t="shared" si="96"/>
        <v>NorthBound</v>
      </c>
      <c r="U145" s="14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20:43:18-0600',mode:absolute,to:'2016-10-16 23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5" s="52" t="str">
        <f t="shared" si="98"/>
        <v>N</v>
      </c>
      <c r="X145" s="149">
        <f t="shared" si="99"/>
        <v>1</v>
      </c>
      <c r="Y145" s="67">
        <f t="shared" si="100"/>
        <v>6.1699999999999998E-2</v>
      </c>
      <c r="Z145" s="67">
        <f t="shared" si="101"/>
        <v>23.333200000000001</v>
      </c>
      <c r="AA145" s="67">
        <f t="shared" si="102"/>
        <v>23.271500000000003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103"/>
        <v>0233-16</v>
      </c>
      <c r="AE145" s="91" t="str">
        <f t="shared" si="104"/>
        <v>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 &amp; 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</v>
      </c>
      <c r="AF145" s="88" t="str">
        <f t="shared" si="105"/>
        <v>"C:\Program Files (x86)\AstroGrep\AstroGrep.exe" /spath="%USERPROFILE%\AppData\Local\Temp\OnboardLogs" /stypes="app*4027*20161017*" /stext=" 04:.+((SYSTEM_STATE.+slice.+state.+changed )|(ment ac)|(system.+state.+changed )|(\[timeout)|(PRM\|1\|D)|(kpr)|(kdp)|(\|lc)|(penalty))" /e /r /s</v>
      </c>
      <c r="AG145" s="1" t="str">
        <f t="shared" si="106"/>
        <v>EC</v>
      </c>
      <c r="AH145" s="92" t="str">
        <f t="shared" si="107"/>
        <v>"%USERPROFILE%\Documents\GitHub\eaglep3\Utilities\RefineRTDCRunTimes.py" --tripid 233-16 --locoid 4027 --swversion DE.1.0.7.0 --startMP 204:617 --initTime 2016-10-16T21:43:18 --startdatetime 2016-10-16T22:00:14 --delay 1 --endMP 204:233332 --enddatetime 2016-10-16T22:35:13 --enforcementcount 1 &gt;&gt;C:\Users\stu\Documents\GitHub\eaglep3-reporting\EC\2016-10-16-refined-times.txt</v>
      </c>
      <c r="AI145" s="122" t="str">
        <f t="shared" si="108"/>
        <v>echo {"issue":{"subject":"","project_id":79,"tracker_id":40,"status_id":1,"priority_id":2,"assigned_to_id":23,"start_date":"2016-10-16","description":"","custom_fields":[{"id":1,"name":"Subdivision","value":"EC"},{"id":4,"name":"Milepost","value":"23.3332"},{"id":17,"name":"Train ID","value":"233-16"},{"id":16,"name":"Locomotive ID","value":"4027"},{"id":130,"name":"Impact","value":""},{"id":150,"name":"Time of Event (Mountain Time)","value":"22:35:13"},{"id":151,"name":"Denver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428</v>
      </c>
      <c r="B146" s="7">
        <v>4028</v>
      </c>
      <c r="C146" s="22" t="s">
        <v>99</v>
      </c>
      <c r="D146" s="22" t="s">
        <v>306</v>
      </c>
      <c r="E146" s="13">
        <v>42659.949930555558</v>
      </c>
      <c r="F146" s="13">
        <v>42659.955879629626</v>
      </c>
      <c r="G146" s="7">
        <v>1</v>
      </c>
      <c r="H146" s="13" t="s">
        <v>707</v>
      </c>
      <c r="I146" s="13">
        <v>42659.995740740742</v>
      </c>
      <c r="J146" s="7">
        <v>1</v>
      </c>
      <c r="K146" s="112" t="str">
        <f t="shared" si="92"/>
        <v>4027/4028</v>
      </c>
      <c r="L146" s="22" t="str">
        <f>VLOOKUP(A146,'Trips&amp;Operators'!$C$1:$E$10000,3,FALSE)</f>
        <v>NEWELL</v>
      </c>
      <c r="M146" s="6">
        <f t="shared" si="93"/>
        <v>3.9861111115897074E-2</v>
      </c>
      <c r="N146" s="7">
        <f t="shared" si="94"/>
        <v>57.400000006891787</v>
      </c>
      <c r="O146" s="7"/>
      <c r="P146" s="7"/>
      <c r="Q146" s="23"/>
      <c r="R146" s="23"/>
      <c r="S146" s="35">
        <f t="shared" si="95"/>
        <v>1</v>
      </c>
      <c r="T146" s="50" t="str">
        <f t="shared" si="96"/>
        <v>Southbound</v>
      </c>
      <c r="U146" s="14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21:47:54-0600',mode:absolute,to:'2016-10-17 00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6" s="52" t="str">
        <f t="shared" si="98"/>
        <v>N</v>
      </c>
      <c r="X146" s="149">
        <f t="shared" si="99"/>
        <v>1</v>
      </c>
      <c r="Y146" s="67">
        <f t="shared" si="100"/>
        <v>23.2988</v>
      </c>
      <c r="Z146" s="67">
        <f t="shared" si="101"/>
        <v>3.44E-2</v>
      </c>
      <c r="AA146" s="67">
        <f t="shared" si="102"/>
        <v>23.264399999999998</v>
      </c>
      <c r="AB146" s="64" t="str">
        <f>VLOOKUP(A146,Enforcements!$C$7:$K$21,8,0)</f>
        <v>Signal based authority (5)</v>
      </c>
      <c r="AC146" s="60" t="str">
        <f>VLOOKUP(A146,Enforcements!$C$7:$E$21,3,0)</f>
        <v>SIGNAL</v>
      </c>
      <c r="AD146" s="61" t="str">
        <f t="shared" si="103"/>
        <v>0234-16</v>
      </c>
      <c r="AE146" s="91" t="str">
        <f t="shared" si="104"/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AF146" s="88" t="str">
        <f t="shared" si="105"/>
        <v>"C:\Program Files (x86)\AstroGrep\AstroGrep.exe" /spath="%USERPROFILE%\AppData\Local\Temp\OnboardLogs" /stypes="app*4028*20161017*" /stext=" 05:.+((SYSTEM_STATE.+slice.+state.+changed )|(ment ac)|(system.+state.+changed )|(\[timeout)|(PRM\|1\|D)|(kpr)|(kdp)|(\|lc)|(penalty))" /e /r /s</v>
      </c>
      <c r="AG146" s="1" t="str">
        <f t="shared" si="106"/>
        <v>EC</v>
      </c>
      <c r="AH146" s="92" t="str">
        <f t="shared" si="107"/>
        <v>"%USERPROFILE%\Documents\GitHub\eaglep3\Utilities\RefineRTDCRunTimes.py" --tripid 234-16 --locoid 4028 --swversion DE.1.0.7.0 --startMP 204:232988 --initTime 2016-10-16T22:47:54 --startdatetime 2016-10-16T22:56:28 --delay 1 --endMP 204:344 --enddatetime 2016-10-16T23:53:52 --enforcementcount 1 &gt;&gt;C:\Users\stu\Documents\GitHub\eaglep3-reporting\EC\2016-10-16-refined-times.txt</v>
      </c>
      <c r="AI146" s="122" t="str">
        <f t="shared" si="108"/>
        <v>echo {"issue":{"subject":"","project_id":79,"tracker_id":40,"status_id":1,"priority_id":2,"assigned_to_id":23,"start_date":"2016-10-16","description":"","custom_fields":[{"id":1,"name":"Subdivision","value":"EC"},{"id":4,"name":"Milepost","value":"0.0344"},{"id":17,"name":"Train ID","value":"234-16"},{"id":16,"name":"Locomotive ID","value":"4028"},{"id":130,"name":"Impact","value":""},{"id":150,"name":"Time of Event (Mountain Time)","value":"23:53:52"},{"id":151,"name":"Denver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593</v>
      </c>
      <c r="B147" s="7">
        <v>4042</v>
      </c>
      <c r="C147" s="22" t="s">
        <v>99</v>
      </c>
      <c r="D147" s="22" t="s">
        <v>708</v>
      </c>
      <c r="E147" s="13">
        <v>42659.932442129626</v>
      </c>
      <c r="F147" s="13">
        <v>42659.937743055554</v>
      </c>
      <c r="G147" s="7">
        <v>1</v>
      </c>
      <c r="H147" s="13" t="s">
        <v>621</v>
      </c>
      <c r="I147" s="13">
        <v>42659.963321759256</v>
      </c>
      <c r="J147" s="7">
        <v>1</v>
      </c>
      <c r="K147" s="112" t="str">
        <f t="shared" si="92"/>
        <v>4041/4042</v>
      </c>
      <c r="L147" s="22" t="str">
        <f>VLOOKUP(A147,'Trips&amp;Operators'!$C$1:$E$10000,3,FALSE)</f>
        <v>CHANDLER</v>
      </c>
      <c r="M147" s="6">
        <f t="shared" si="93"/>
        <v>2.5578703702194616E-2</v>
      </c>
      <c r="N147" s="7">
        <f t="shared" si="94"/>
        <v>36.833333331160247</v>
      </c>
      <c r="O147" s="7"/>
      <c r="P147" s="7"/>
      <c r="Q147" s="23"/>
      <c r="R147" s="23"/>
      <c r="S147" s="35">
        <f t="shared" si="95"/>
        <v>1</v>
      </c>
      <c r="T147" s="50" t="str">
        <f t="shared" si="96"/>
        <v>NorthBound</v>
      </c>
      <c r="U147" s="14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21:22:43-0600',mode:absolute,to:'2016-10-17 00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7" s="52" t="str">
        <f t="shared" si="98"/>
        <v>N</v>
      </c>
      <c r="X147" s="149">
        <f t="shared" si="99"/>
        <v>1</v>
      </c>
      <c r="Y147" s="67">
        <f t="shared" si="100"/>
        <v>6.3299999999999995E-2</v>
      </c>
      <c r="Z147" s="67">
        <f t="shared" si="101"/>
        <v>23.327999999999999</v>
      </c>
      <c r="AA147" s="67">
        <f t="shared" si="102"/>
        <v>23.264699999999998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103"/>
        <v>0235-16</v>
      </c>
      <c r="AE147" s="91" t="str">
        <f t="shared" si="104"/>
        <v>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 &amp; 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</v>
      </c>
      <c r="AF147" s="88" t="str">
        <f t="shared" si="105"/>
        <v>"C:\Program Files (x86)\AstroGrep\AstroGrep.exe" /spath="%USERPROFILE%\AppData\Local\Temp\OnboardLogs" /stypes="app*4042*20161017*" /stext=" 05:.+((SYSTEM_STATE.+slice.+state.+changed )|(ment ac)|(system.+state.+changed )|(\[timeout)|(PRM\|1\|D)|(kpr)|(kdp)|(\|lc)|(penalty))" /e /r /s</v>
      </c>
      <c r="AG147" s="1" t="str">
        <f t="shared" si="106"/>
        <v>EC</v>
      </c>
      <c r="AH147" s="92" t="str">
        <f t="shared" si="107"/>
        <v>"%USERPROFILE%\Documents\GitHub\eaglep3\Utilities\RefineRTDCRunTimes.py" --tripid 235-16 --locoid 4042 --swversion DE.1.0.7.0 --startMP 204:633 --initTime 2016-10-16T22:22:43 --startdatetime 2016-10-16T22:30:21 --delay 1 --endMP 204:233280 --enddatetime 2016-10-16T23:07:11 --enforcementcount 1 &gt;&gt;C:\Users\stu\Documents\GitHub\eaglep3-reporting\EC\2016-10-16-refined-times.txt</v>
      </c>
      <c r="AI147" s="122" t="str">
        <f t="shared" si="108"/>
        <v>echo {"issue":{"subject":"","project_id":79,"tracker_id":40,"status_id":1,"priority_id":2,"assigned_to_id":23,"start_date":"2016-10-16","description":"","custom_fields":[{"id":1,"name":"Subdivision","value":"EC"},{"id":4,"name":"Milepost","value":"23.328"},{"id":17,"name":"Train ID","value":"235-16"},{"id":16,"name":"Locomotive ID","value":"4042"},{"id":130,"name":"Impact","value":""},{"id":150,"name":"Time of Event (Mountain Time)","value":"23:07:11"},{"id":151,"name":"Denver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597</v>
      </c>
      <c r="B148" s="7">
        <v>4041</v>
      </c>
      <c r="C148" s="22" t="s">
        <v>99</v>
      </c>
      <c r="D148" s="22" t="s">
        <v>395</v>
      </c>
      <c r="E148" s="13">
        <v>42659.974166666667</v>
      </c>
      <c r="F148" s="13">
        <v>42659.976782407408</v>
      </c>
      <c r="G148" s="7">
        <v>1</v>
      </c>
      <c r="H148" s="13" t="s">
        <v>709</v>
      </c>
      <c r="I148" s="13">
        <v>42660.008425925924</v>
      </c>
      <c r="J148" s="7">
        <v>1</v>
      </c>
      <c r="K148" s="112" t="str">
        <f t="shared" si="92"/>
        <v>4041/4042</v>
      </c>
      <c r="L148" s="22" t="str">
        <f>VLOOKUP(A148,'Trips&amp;Operators'!$C$1:$E$10000,3,FALSE)</f>
        <v>CHANDLER</v>
      </c>
      <c r="M148" s="6">
        <f t="shared" si="93"/>
        <v>3.1643518515920732E-2</v>
      </c>
      <c r="N148" s="7">
        <f t="shared" si="94"/>
        <v>45.566666662925854</v>
      </c>
      <c r="O148" s="7"/>
      <c r="P148" s="7"/>
      <c r="Q148" s="23"/>
      <c r="R148" s="23"/>
      <c r="S148" s="35">
        <f t="shared" si="95"/>
        <v>1</v>
      </c>
      <c r="T148" s="50" t="str">
        <f t="shared" si="96"/>
        <v>Southbound</v>
      </c>
      <c r="U148" s="14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22:22:48-0600',mode:absolute,to:'2016-10-17 01:12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8" s="52" t="str">
        <f t="shared" si="98"/>
        <v>N</v>
      </c>
      <c r="X148" s="149">
        <f t="shared" si="99"/>
        <v>1</v>
      </c>
      <c r="Y148" s="67">
        <f t="shared" si="100"/>
        <v>23.2973</v>
      </c>
      <c r="Z148" s="67">
        <f t="shared" si="101"/>
        <v>3.0700000000000002E-2</v>
      </c>
      <c r="AA148" s="67">
        <f t="shared" si="102"/>
        <v>23.2666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103"/>
        <v>0236-16</v>
      </c>
      <c r="AE148" s="91" t="str">
        <f t="shared" si="104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48" s="88" t="str">
        <f t="shared" si="105"/>
        <v>"C:\Program Files (x86)\AstroGrep\AstroGrep.exe" /spath="%USERPROFILE%\AppData\Local\Temp\OnboardLogs" /stypes="app*4041*20161017*" /stext=" 06:.+((SYSTEM_STATE.+slice.+state.+changed )|(ment ac)|(system.+state.+changed )|(\[timeout)|(PRM\|1\|D)|(kpr)|(kdp)|(\|lc)|(penalty))" /e /r /s</v>
      </c>
      <c r="AG148" s="1" t="str">
        <f t="shared" si="106"/>
        <v>EC</v>
      </c>
      <c r="AH148" s="92" t="str">
        <f t="shared" si="107"/>
        <v>"%USERPROFILE%\Documents\GitHub\eaglep3\Utilities\RefineRTDCRunTimes.py" --tripid 236-16 --locoid 4041 --swversion DE.1.0.7.0 --startMP 204:232973 --initTime 2016-10-16T23:22:48 --startdatetime 2016-10-16T23:26:34 --delay 1 --endMP 204:307 --enddatetime 2016-10-17T00:12:08 --enforcementcount 1 &gt;&gt;C:\Users\stu\Documents\GitHub\eaglep3-reporting\EC\2016-10-16-refined-times.txt</v>
      </c>
      <c r="AI148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{"issue":{"subject":"","project_id":79,"tracker_id":40,"status_id":1,"priority_id":2,"assigned_to_id":23,"start_date":"2016-10-17","description":"","custom_fields":[{"id":1,"name":"Subdivision","value":"EC"},{"id":4,"name":"Milepost","value":"0.0307"},{"id":17,"name":"Train ID","value":"236-16"},{"id":16,"name":"Locomotive ID","value":"4041"},{"id":130,"name":"Impact","value":""},{"id":150,"name":"Time of Event (Mountain Time)","value":"00:12:08"},{"id":151,"name":"Denver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596</v>
      </c>
      <c r="B149" s="7">
        <v>4040</v>
      </c>
      <c r="C149" s="22" t="s">
        <v>99</v>
      </c>
      <c r="D149" s="22" t="s">
        <v>710</v>
      </c>
      <c r="E149" s="13">
        <v>42659.95244212963</v>
      </c>
      <c r="F149" s="13">
        <v>42659.958518518521</v>
      </c>
      <c r="G149" s="7">
        <v>1</v>
      </c>
      <c r="H149" s="13" t="s">
        <v>271</v>
      </c>
      <c r="I149" s="13">
        <v>42659.985578703701</v>
      </c>
      <c r="J149" s="7">
        <v>1</v>
      </c>
      <c r="K149" s="112" t="str">
        <f t="shared" si="92"/>
        <v>4039/4040</v>
      </c>
      <c r="L149" s="22" t="str">
        <f>VLOOKUP(A149,'Trips&amp;Operators'!$C$1:$E$10000,3,FALSE)</f>
        <v>BRANDNER</v>
      </c>
      <c r="M149" s="6">
        <f t="shared" si="93"/>
        <v>2.7060185180744156E-2</v>
      </c>
      <c r="N149" s="7">
        <f t="shared" si="94"/>
        <v>38.966666660271585</v>
      </c>
      <c r="O149" s="7"/>
      <c r="P149" s="7"/>
      <c r="Q149" s="23"/>
      <c r="R149" s="23"/>
      <c r="S149" s="35">
        <f t="shared" si="95"/>
        <v>1</v>
      </c>
      <c r="T149" s="50" t="str">
        <f t="shared" si="96"/>
        <v>NorthBound</v>
      </c>
      <c r="U149" s="14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21:51:31-0600',mode:absolute,to:'2016-10-17 00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9" s="52" t="str">
        <f t="shared" si="98"/>
        <v>N</v>
      </c>
      <c r="X149" s="149">
        <f t="shared" si="99"/>
        <v>1</v>
      </c>
      <c r="Y149" s="67">
        <f t="shared" si="100"/>
        <v>6.8400000000000002E-2</v>
      </c>
      <c r="Z149" s="67">
        <f t="shared" si="101"/>
        <v>23.3291</v>
      </c>
      <c r="AA149" s="67">
        <f t="shared" si="102"/>
        <v>23.2607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103"/>
        <v>0237-16</v>
      </c>
      <c r="AE149" s="91" t="str">
        <f t="shared" si="104"/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AF149" s="88" t="str">
        <f t="shared" si="105"/>
        <v>"C:\Program Files (x86)\AstroGrep\AstroGrep.exe" /spath="%USERPROFILE%\AppData\Local\Temp\OnboardLogs" /stypes="app*4040*20161017*" /stext=" 05:.+((SYSTEM_STATE.+slice.+state.+changed )|(ment ac)|(system.+state.+changed )|(\[timeout)|(PRM\|1\|D)|(kpr)|(kdp)|(\|lc)|(penalty))" /e /r /s</v>
      </c>
      <c r="AG149" s="1" t="str">
        <f t="shared" si="106"/>
        <v>EC</v>
      </c>
      <c r="AH149" s="92" t="str">
        <f t="shared" si="107"/>
        <v>"%USERPROFILE%\Documents\GitHub\eaglep3\Utilities\RefineRTDCRunTimes.py" --tripid 237-16 --locoid 4040 --swversion DE.1.0.7.0 --startMP 204:684 --initTime 2016-10-16T22:51:31 --startdatetime 2016-10-16T23:00:16 --delay 1 --endMP 204:233291 --enddatetime 2016-10-16T23:39:14 --enforcementcount 1 &gt;&gt;C:\Users\stu\Documents\GitHub\eaglep3-reporting\EC\2016-10-16-refined-times.txt</v>
      </c>
      <c r="AI149" s="122" t="str">
        <f t="shared" si="108"/>
        <v>echo {"issue":{"subject":"","project_id":79,"tracker_id":40,"status_id":1,"priority_id":2,"assigned_to_id":23,"start_date":"2016-10-16","description":"","custom_fields":[{"id":1,"name":"Subdivision","value":"EC"},{"id":4,"name":"Milepost","value":"23.3291"},{"id":17,"name":"Train ID","value":"237-16"},{"id":16,"name":"Locomotive ID","value":"4040"},{"id":130,"name":"Impact","value":""},{"id":150,"name":"Time of Event (Mountain Time)","value":"23:39:14"},{"id":151,"name":"Denver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599</v>
      </c>
      <c r="B150" s="7">
        <v>4039</v>
      </c>
      <c r="C150" s="22" t="s">
        <v>99</v>
      </c>
      <c r="D150" s="22" t="s">
        <v>309</v>
      </c>
      <c r="E150" s="13">
        <v>42659.991770833331</v>
      </c>
      <c r="F150" s="13">
        <v>42659.998182870368</v>
      </c>
      <c r="G150" s="7">
        <v>1</v>
      </c>
      <c r="H150" s="13" t="s">
        <v>235</v>
      </c>
      <c r="I150" s="13">
        <v>42660.027881944443</v>
      </c>
      <c r="J150" s="7">
        <v>1</v>
      </c>
      <c r="K150" s="112" t="str">
        <f t="shared" si="92"/>
        <v>4039/4040</v>
      </c>
      <c r="L150" s="22" t="str">
        <f>VLOOKUP(A150,'Trips&amp;Operators'!$C$1:$E$10000,3,FALSE)</f>
        <v>BRANDNER</v>
      </c>
      <c r="M150" s="6">
        <f t="shared" si="93"/>
        <v>2.9699074075324461E-2</v>
      </c>
      <c r="N150" s="7">
        <f t="shared" si="94"/>
        <v>42.766666668467224</v>
      </c>
      <c r="O150" s="7"/>
      <c r="P150" s="7"/>
      <c r="Q150" s="23"/>
      <c r="R150" s="23"/>
      <c r="S150" s="35">
        <f t="shared" si="95"/>
        <v>1</v>
      </c>
      <c r="T150" s="50" t="str">
        <f t="shared" si="96"/>
        <v>Southbound</v>
      </c>
      <c r="U150" s="14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22:48:09-0600',mode:absolute,to:'2016-10-17 01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0" s="52" t="str">
        <f t="shared" si="98"/>
        <v>N</v>
      </c>
      <c r="X150" s="149">
        <f t="shared" si="99"/>
        <v>1</v>
      </c>
      <c r="Y150" s="67">
        <f t="shared" si="100"/>
        <v>23.2971</v>
      </c>
      <c r="Z150" s="67">
        <f t="shared" si="101"/>
        <v>1.54E-2</v>
      </c>
      <c r="AA150" s="67">
        <f t="shared" si="102"/>
        <v>23.281700000000001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103"/>
        <v>0238-16</v>
      </c>
      <c r="AE150" s="91" t="str">
        <f t="shared" si="104"/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AF150" s="88" t="str">
        <f t="shared" si="105"/>
        <v>"C:\Program Files (x86)\AstroGrep\AstroGrep.exe" /spath="%USERPROFILE%\AppData\Local\Temp\OnboardLogs" /stypes="app*4039*20161017*" /stext=" 06:.+((SYSTEM_STATE.+slice.+state.+changed )|(ment ac)|(system.+state.+changed )|(\[timeout)|(PRM\|1\|D)|(kpr)|(kdp)|(\|lc)|(penalty))" /e /r /s</v>
      </c>
      <c r="AG150" s="1" t="str">
        <f t="shared" si="106"/>
        <v>EC</v>
      </c>
      <c r="AH150" s="92" t="str">
        <f t="shared" si="107"/>
        <v>"%USERPROFILE%\Documents\GitHub\eaglep3\Utilities\RefineRTDCRunTimes.py" --tripid 238-16 --locoid 4039 --swversion DE.1.0.7.0 --startMP 204:232971 --initTime 2016-10-16T23:48:09 --startdatetime 2016-10-16T23:57:23 --delay 1 --endMP 204:154 --enddatetime 2016-10-17T00:40:09 --enforcementcount 1 &gt;&gt;C:\Users\stu\Documents\GitHub\eaglep3-reporting\EC\2016-10-16-refined-times.txt</v>
      </c>
      <c r="AI150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ID","value":"238-16"},{"id":16,"name":"Locomotive ID","value":"4039"},{"id":130,"name":"Impact","value":""},{"id":150,"name":"Time of Event (Mountain Time)","value":"00:40:09"},{"id":151,"name":"Denver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598</v>
      </c>
      <c r="B151" s="7">
        <v>4029</v>
      </c>
      <c r="C151" s="22" t="s">
        <v>99</v>
      </c>
      <c r="D151" s="22" t="s">
        <v>711</v>
      </c>
      <c r="E151" s="13">
        <v>42659.979247685187</v>
      </c>
      <c r="F151" s="13">
        <v>42659.980543981481</v>
      </c>
      <c r="G151" s="7">
        <v>1</v>
      </c>
      <c r="H151" s="13" t="s">
        <v>711</v>
      </c>
      <c r="I151" s="13">
        <v>42659.980543981481</v>
      </c>
      <c r="J151" s="7">
        <v>0</v>
      </c>
      <c r="K151" s="112" t="str">
        <f t="shared" si="92"/>
        <v>4029/4030</v>
      </c>
      <c r="L151" s="22" t="str">
        <f>VLOOKUP(A151,'Trips&amp;Operators'!$C$1:$E$10000,3,FALSE)</f>
        <v>BERLING</v>
      </c>
      <c r="M151" s="6">
        <f t="shared" si="93"/>
        <v>0</v>
      </c>
      <c r="N151" s="7"/>
      <c r="O151" s="7"/>
      <c r="P151" s="7">
        <v>1</v>
      </c>
      <c r="Q151" s="23"/>
      <c r="R151" s="23" t="s">
        <v>739</v>
      </c>
      <c r="S151" s="35">
        <f t="shared" si="95"/>
        <v>0</v>
      </c>
      <c r="T151" s="50" t="str">
        <f t="shared" si="96"/>
        <v>NorthBound</v>
      </c>
      <c r="U151" s="14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22:30:07-0600',mode:absolute,to:'2016-10-17 00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1" s="52" t="str">
        <f t="shared" si="98"/>
        <v>Y</v>
      </c>
      <c r="X151" s="149">
        <f t="shared" si="99"/>
        <v>1</v>
      </c>
      <c r="Y151" s="67">
        <f t="shared" si="100"/>
        <v>8.2600000000000007E-2</v>
      </c>
      <c r="Z151" s="67">
        <f t="shared" si="101"/>
        <v>8.2600000000000007E-2</v>
      </c>
      <c r="AA151" s="67">
        <f t="shared" si="102"/>
        <v>0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103"/>
        <v>0239-16</v>
      </c>
      <c r="AE151" s="91" t="str">
        <f t="shared" si="104"/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AF151" s="88" t="str">
        <f t="shared" si="105"/>
        <v>"C:\Program Files (x86)\AstroGrep\AstroGrep.exe" /spath="%USERPROFILE%\AppData\Local\Temp\OnboardLogs" /stypes="app*4029*20161017*" /stext=" 05:.+((SYSTEM_STATE.+slice.+state.+changed )|(ment ac)|(system.+state.+changed )|(\[timeout)|(PRM\|1\|D)|(kpr)|(kdp)|(\|lc)|(penalty))" /e /r /s</v>
      </c>
      <c r="AG151" s="1" t="str">
        <f t="shared" si="106"/>
        <v>EC</v>
      </c>
      <c r="AH151" s="92" t="str">
        <f t="shared" si="107"/>
        <v>"%USERPROFILE%\Documents\GitHub\eaglep3\Utilities\RefineRTDCRunTimes.py" --tripid 239-16 --locoid 4029 --swversion DE.1.0.7.0 --startMP 204:826 --initTime 2016-10-16T23:30:07 --startdatetime 2016-10-16T23:31:59 --delay 1 --endMP 204:826 --enddatetime 2016-10-16T23:31:59 --enforcementcount 0 &gt;&gt;C:\Users\stu\Documents\GitHub\eaglep3-reporting\EC\2016-10-16-refined-times.txt</v>
      </c>
      <c r="AI151" s="122" t="str">
        <f t="shared" si="108"/>
        <v>echo {"issue":{"subject":"Onboard in-route failure","project_id":79,"tracker_id":40,"status_id":1,"priority_id":2,"assigned_to_id":23,"start_date":"2016-10-16","description":"Multiple cpu faults at 2016-10-16 23:32:31","custom_fields":[{"id":1,"name":"Subdivision","value":"EC"},{"id":4,"name":"Milepost","value":"0.0826"},{"id":17,"name":"Train ID","value":"239-16"},{"id":16,"name":"Locomotive ID","value":"4029"},{"id":130,"name":"Impact","value":"Failed State"},{"id":150,"name":"Time of Event (Mountain Time)","value":"23:31:59"},{"id":151,"name":"Denver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1" s="53" t="s">
        <v>740</v>
      </c>
      <c r="AK151" s="53" t="s">
        <v>129</v>
      </c>
      <c r="AL151" s="53" t="s">
        <v>179</v>
      </c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601</v>
      </c>
      <c r="B152" s="7">
        <v>4030</v>
      </c>
      <c r="C152" s="22" t="s">
        <v>99</v>
      </c>
      <c r="D152" s="22" t="s">
        <v>634</v>
      </c>
      <c r="E152" s="13">
        <v>42660.016597222224</v>
      </c>
      <c r="F152" s="13">
        <v>42660.018541666665</v>
      </c>
      <c r="G152" s="7">
        <v>1</v>
      </c>
      <c r="H152" s="13" t="s">
        <v>712</v>
      </c>
      <c r="I152" s="13">
        <v>42660.046203703707</v>
      </c>
      <c r="J152" s="7">
        <v>1</v>
      </c>
      <c r="K152" s="112" t="str">
        <f t="shared" si="92"/>
        <v>4029/4030</v>
      </c>
      <c r="L152" s="22" t="str">
        <f>VLOOKUP(A152,'Trips&amp;Operators'!$C$1:$E$10000,3,FALSE)</f>
        <v>BERLING</v>
      </c>
      <c r="M152" s="6">
        <f t="shared" si="93"/>
        <v>2.7662037042318843E-2</v>
      </c>
      <c r="N152" s="7">
        <f t="shared" si="94"/>
        <v>39.833333340939134</v>
      </c>
      <c r="O152" s="7"/>
      <c r="P152" s="7"/>
      <c r="Q152" s="23"/>
      <c r="R152" s="23"/>
      <c r="S152" s="35">
        <f t="shared" si="95"/>
        <v>1</v>
      </c>
      <c r="T152" s="50" t="str">
        <f t="shared" si="96"/>
        <v>Southbound</v>
      </c>
      <c r="U152" s="14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23:23:54-0600',mode:absolute,to:'2016-10-17 02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2" s="52" t="str">
        <f t="shared" si="98"/>
        <v>N</v>
      </c>
      <c r="X152" s="149">
        <f t="shared" si="99"/>
        <v>1</v>
      </c>
      <c r="Y152" s="67">
        <f t="shared" si="100"/>
        <v>23.2942</v>
      </c>
      <c r="Z152" s="67">
        <f t="shared" si="101"/>
        <v>9.1999999999999998E-3</v>
      </c>
      <c r="AA152" s="67">
        <f t="shared" si="102"/>
        <v>23.285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103"/>
        <v>0240-16</v>
      </c>
      <c r="AE152" s="91" t="str">
        <f t="shared" si="104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52" s="88" t="str">
        <f t="shared" si="105"/>
        <v>"C:\Program Files (x86)\AstroGrep\AstroGrep.exe" /spath="%USERPROFILE%\AppData\Local\Temp\OnboardLogs" /stypes="app*4030*20161017*" /stext=" 07:.+((SYSTEM_STATE.+slice.+state.+changed )|(ment ac)|(system.+state.+changed )|(\[timeout)|(PRM\|1\|D)|(kpr)|(kdp)|(\|lc)|(penalty))" /e /r /s</v>
      </c>
      <c r="AG152" s="1" t="str">
        <f t="shared" si="106"/>
        <v>EC</v>
      </c>
      <c r="AH152" s="92" t="str">
        <f t="shared" si="107"/>
        <v>"%USERPROFILE%\Documents\GitHub\eaglep3\Utilities\RefineRTDCRunTimes.py" --tripid 240-16 --locoid 4030 --swversion DE.1.0.7.0 --startMP 204:232942 --initTime 2016-10-17T00:23:54 --startdatetime 2016-10-17T00:26:42 --delay 1 --endMP 204:92 --enddatetime 2016-10-17T01:06:32 --enforcementcount 1 &gt;&gt;C:\Users\stu\Documents\GitHub\eaglep3-reporting\EC\2016-10-16-refined-times.txt</v>
      </c>
      <c r="AI152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{"issue":{"subject":"","project_id":79,"tracker_id":40,"status_id":1,"priority_id":2,"assigned_to_id":23,"start_date":"2016-10-17","description":"","custom_fields":[{"id":1,"name":"Subdivision","value":"EC"},{"id":4,"name":"Milepost","value":"0.0092"},{"id":17,"name":"Train ID","value":"240-16"},{"id":16,"name":"Locomotive ID","value":"4030"},{"id":130,"name":"Impact","value":""},{"id":150,"name":"Time of Event (Mountain Time)","value":"01:06:32"},{"id":151,"name":"Denver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600</v>
      </c>
      <c r="B153" s="7">
        <v>4027</v>
      </c>
      <c r="C153" s="22" t="s">
        <v>99</v>
      </c>
      <c r="D153" s="22" t="s">
        <v>713</v>
      </c>
      <c r="E153" s="13">
        <v>42659.997187499997</v>
      </c>
      <c r="F153" s="13">
        <v>42660.000150462962</v>
      </c>
      <c r="G153" s="7">
        <v>1</v>
      </c>
      <c r="H153" s="13" t="s">
        <v>197</v>
      </c>
      <c r="I153" s="13">
        <v>42660.024259259262</v>
      </c>
      <c r="J153" s="7">
        <v>1</v>
      </c>
      <c r="K153" s="112" t="str">
        <f t="shared" si="92"/>
        <v>4027/4028</v>
      </c>
      <c r="L153" s="22" t="str">
        <f>VLOOKUP(A153,'Trips&amp;Operators'!$C$1:$E$10000,3,FALSE)</f>
        <v>NEWELL</v>
      </c>
      <c r="M153" s="6">
        <f t="shared" si="93"/>
        <v>2.4108796300424729E-2</v>
      </c>
      <c r="N153" s="7">
        <f t="shared" si="94"/>
        <v>34.716666672611609</v>
      </c>
      <c r="O153" s="7"/>
      <c r="P153" s="7"/>
      <c r="Q153" s="23"/>
      <c r="R153" s="23"/>
      <c r="S153" s="35">
        <f t="shared" si="95"/>
        <v>1</v>
      </c>
      <c r="T153" s="50" t="str">
        <f t="shared" si="96"/>
        <v>NorthBound</v>
      </c>
      <c r="U153" s="14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22:55:57-0600',mode:absolute,to:'2016-10-17 01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3" s="52" t="str">
        <f t="shared" si="98"/>
        <v>N</v>
      </c>
      <c r="X153" s="149">
        <f t="shared" si="99"/>
        <v>1</v>
      </c>
      <c r="Y153" s="67">
        <f t="shared" si="100"/>
        <v>6.4100000000000004E-2</v>
      </c>
      <c r="Z153" s="67">
        <f t="shared" si="101"/>
        <v>23.329699999999999</v>
      </c>
      <c r="AA153" s="67">
        <f t="shared" si="102"/>
        <v>23.265599999999999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103"/>
        <v>0241-16</v>
      </c>
      <c r="AE153" s="91" t="str">
        <f t="shared" si="104"/>
        <v>aws s3 cp s3://rtdc.mdm.uploadarchive.raw/RTDC4027/ "%USERPROFILE%\AppData\Local\Temp\OnboardLogs"\RTDC4027\2016-10-17 --exclude "*" --recursive --include "*20161017*" &amp; "%USERPROFILE%\Documents\GitHub\mrs-test-scripts\Headless Mode &amp; Sideloading\WalkAndUnGZ.bat" "%USERPROFILE%\AppData\Local\Temp\OnboardLogs"\RTDC4027\2016-10-17 &amp; aws s3 cp s3://rtdc.mdm.uploadarchive.raw/RTDC4027/ "%USERPROFILE%\AppData\Local\Temp\OnboardLogs"\RTDC4027\2016-10-18 --exclude "*" --recursive --include "*20161018*" &amp; "%USERPROFILE%\Documents\GitHub\mrs-test-scripts\Headless Mode &amp; Sideloading\WalkAndUnGZ.bat" "%USERPROFILE%\AppData\Local\Temp\OnboardLogs"\RTDC4027\2016-10-18</v>
      </c>
      <c r="AF153" s="88" t="str">
        <f t="shared" si="105"/>
        <v>"C:\Program Files (x86)\AstroGrep\AstroGrep.exe" /spath="%USERPROFILE%\AppData\Local\Temp\OnboardLogs" /stypes="app*4027*20161017*" /stext=" 06:.+((SYSTEM_STATE.+slice.+state.+changed )|(ment ac)|(system.+state.+changed )|(\[timeout)|(PRM\|1\|D)|(kpr)|(kdp)|(\|lc)|(penalty))" /e /r /s</v>
      </c>
      <c r="AG153" s="1" t="str">
        <f t="shared" si="106"/>
        <v>EC</v>
      </c>
      <c r="AH153" s="92" t="str">
        <f t="shared" si="107"/>
        <v>"%USERPROFILE%\Documents\GitHub\eaglep3\Utilities\RefineRTDCRunTimes.py" --tripid 241-16 --locoid 4027 --swversion DE.1.0.7.0 --startMP 204:641 --initTime 2016-10-16T23:55:57 --startdatetime 2016-10-17T00:00:13 --delay 1 --endMP 204:233297 --enddatetime 2016-10-17T00:34:56 --enforcementcount 1 &gt;&gt;C:\Users\stu\Documents\GitHub\eaglep3-reporting\EC\2016-10-16-refined-times.txt</v>
      </c>
      <c r="AI153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ID","value":"241-16"},{"id":16,"name":"Locomotive ID","value":"4027"},{"id":130,"name":"Impact","value":""},{"id":150,"name":"Time of Event (Mountain Time)","value":"00:34:56"},{"id":151,"name":"Denver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604</v>
      </c>
      <c r="B154" s="7">
        <v>4028</v>
      </c>
      <c r="C154" s="22" t="s">
        <v>99</v>
      </c>
      <c r="D154" s="22" t="s">
        <v>301</v>
      </c>
      <c r="E154" s="13">
        <v>42660.033460648148</v>
      </c>
      <c r="F154" s="13">
        <v>42660.039050925923</v>
      </c>
      <c r="G154" s="7">
        <v>1</v>
      </c>
      <c r="H154" s="13" t="s">
        <v>235</v>
      </c>
      <c r="I154" s="13">
        <v>42660.065532407411</v>
      </c>
      <c r="J154" s="7">
        <v>1</v>
      </c>
      <c r="K154" s="112" t="str">
        <f t="shared" si="92"/>
        <v>4027/4028</v>
      </c>
      <c r="L154" s="22" t="str">
        <f>VLOOKUP(A154,'Trips&amp;Operators'!$C$1:$E$10000,3,FALSE)</f>
        <v>NEWELL</v>
      </c>
      <c r="M154" s="6">
        <f t="shared" si="93"/>
        <v>2.6481481487280689E-2</v>
      </c>
      <c r="N154" s="7">
        <f t="shared" si="94"/>
        <v>38.133333341684192</v>
      </c>
      <c r="O154" s="7"/>
      <c r="P154" s="7"/>
      <c r="Q154" s="23"/>
      <c r="R154" s="23"/>
      <c r="S154" s="35">
        <f t="shared" si="95"/>
        <v>1</v>
      </c>
      <c r="T154" s="50" t="str">
        <f t="shared" si="96"/>
        <v>Southbound</v>
      </c>
      <c r="U154" s="14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23:48:11-0600',mode:absolute,to:'2016-10-17 02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4" s="52" t="str">
        <f t="shared" si="98"/>
        <v>N</v>
      </c>
      <c r="X154" s="149">
        <f t="shared" si="99"/>
        <v>1</v>
      </c>
      <c r="Y154" s="67">
        <f t="shared" si="100"/>
        <v>23.297999999999998</v>
      </c>
      <c r="Z154" s="67">
        <f t="shared" si="101"/>
        <v>1.54E-2</v>
      </c>
      <c r="AA154" s="67">
        <f t="shared" si="102"/>
        <v>23.282599999999999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103"/>
        <v>0242-16</v>
      </c>
      <c r="AE154" s="91" t="str">
        <f t="shared" si="104"/>
        <v>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 &amp; aws s3 cp s3://rtdc.mdm.uploadarchive.raw/RTDC4028/ "%USERPROFILE%\AppData\Local\Temp\OnboardLogs"\RTDC4028\2016-10-18 --exclude "*" --recursive --include "*20161018*" &amp; "%USERPROFILE%\Documents\GitHub\mrs-test-scripts\Headless Mode &amp; Sideloading\WalkAndUnGZ.bat" "%USERPROFILE%\AppData\Local\Temp\OnboardLogs"\RTDC4028\2016-10-18</v>
      </c>
      <c r="AF154" s="88" t="str">
        <f t="shared" si="105"/>
        <v>"C:\Program Files (x86)\AstroGrep\AstroGrep.exe" /spath="%USERPROFILE%\AppData\Local\Temp\OnboardLogs" /stypes="app*4028*20161017*" /stext=" 07:.+((SYSTEM_STATE.+slice.+state.+changed )|(ment ac)|(system.+state.+changed )|(\[timeout)|(PRM\|1\|D)|(kpr)|(kdp)|(\|lc)|(penalty))" /e /r /s</v>
      </c>
      <c r="AG154" s="1" t="str">
        <f t="shared" si="106"/>
        <v>EC</v>
      </c>
      <c r="AH154" s="92" t="str">
        <f t="shared" si="107"/>
        <v>"%USERPROFILE%\Documents\GitHub\eaglep3\Utilities\RefineRTDCRunTimes.py" --tripid 242-16 --locoid 4028 --swversion DE.1.0.7.0 --startMP 204:232980 --initTime 2016-10-17T00:48:11 --startdatetime 2016-10-17T00:56:14 --delay 1 --endMP 204:154 --enddatetime 2016-10-17T01:34:22 --enforcementcount 1 &gt;&gt;C:\Users\stu\Documents\GitHub\eaglep3-reporting\EC\2016-10-16-refined-times.txt</v>
      </c>
      <c r="AI154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ID","value":"242-16"},{"id":16,"name":"Locomotive ID","value":"4028"},{"id":130,"name":"Impact","value":""},{"id":150,"name":"Time of Event (Mountain Time)","value":"01:34:22"},{"id":151,"name":"Denver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602</v>
      </c>
      <c r="B155" s="7">
        <v>4042</v>
      </c>
      <c r="C155" s="22" t="s">
        <v>99</v>
      </c>
      <c r="D155" s="22" t="s">
        <v>714</v>
      </c>
      <c r="E155" s="13">
        <v>42660.019618055558</v>
      </c>
      <c r="F155" s="13">
        <v>42660.021099537036</v>
      </c>
      <c r="G155" s="7">
        <v>1</v>
      </c>
      <c r="H155" s="13" t="s">
        <v>398</v>
      </c>
      <c r="I155" s="13">
        <v>42660.045925925922</v>
      </c>
      <c r="J155" s="7">
        <v>1</v>
      </c>
      <c r="K155" s="112" t="str">
        <f t="shared" si="92"/>
        <v>4041/4042</v>
      </c>
      <c r="L155" s="22" t="str">
        <f>VLOOKUP(A155,'Trips&amp;Operators'!$C$1:$E$10000,3,FALSE)</f>
        <v>CHANDLER</v>
      </c>
      <c r="M155" s="6">
        <f t="shared" si="93"/>
        <v>2.4826388886140194E-2</v>
      </c>
      <c r="N155" s="7">
        <f t="shared" si="94"/>
        <v>35.749999996041879</v>
      </c>
      <c r="O155" s="7"/>
      <c r="P155" s="7"/>
      <c r="Q155" s="23"/>
      <c r="R155" s="23"/>
      <c r="S155" s="35">
        <f t="shared" si="95"/>
        <v>1</v>
      </c>
      <c r="T155" s="50" t="str">
        <f t="shared" si="96"/>
        <v>NorthBound</v>
      </c>
      <c r="U155" s="14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23:28:15-0600',mode:absolute,to:'2016-10-17 02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5" s="52" t="str">
        <f t="shared" si="98"/>
        <v>N</v>
      </c>
      <c r="X155" s="149">
        <f t="shared" si="99"/>
        <v>1</v>
      </c>
      <c r="Y155" s="67">
        <f t="shared" si="100"/>
        <v>6.4799999999999996E-2</v>
      </c>
      <c r="Z155" s="67">
        <f t="shared" si="101"/>
        <v>23.330300000000001</v>
      </c>
      <c r="AA155" s="67">
        <f t="shared" si="102"/>
        <v>23.265499999999999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103"/>
        <v>0243-16</v>
      </c>
      <c r="AE155" s="91" t="str">
        <f t="shared" si="104"/>
        <v>aws s3 cp s3://rtdc.mdm.uploadarchive.raw/RTDC4042/ "%USERPROFILE%\AppData\Local\Temp\OnboardLogs"\RTDC4042\2016-10-17 --exclude "*" --recursive --include "*20161017*" &amp; "%USERPROFILE%\Documents\GitHub\mrs-test-scripts\Headless Mode &amp; Sideloading\WalkAndUnGZ.bat" "%USERPROFILE%\AppData\Local\Temp\OnboardLogs"\RTDC4042\2016-10-17 &amp; 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</v>
      </c>
      <c r="AF155" s="88" t="str">
        <f t="shared" si="105"/>
        <v>"C:\Program Files (x86)\AstroGrep\AstroGrep.exe" /spath="%USERPROFILE%\AppData\Local\Temp\OnboardLogs" /stypes="app*4042*20161017*" /stext=" 07:.+((SYSTEM_STATE.+slice.+state.+changed )|(ment ac)|(system.+state.+changed )|(\[timeout)|(PRM\|1\|D)|(kpr)|(kdp)|(\|lc)|(penalty))" /e /r /s</v>
      </c>
      <c r="AG155" s="1" t="str">
        <f t="shared" si="106"/>
        <v>EC</v>
      </c>
      <c r="AH155" s="92" t="str">
        <f t="shared" si="107"/>
        <v>"%USERPROFILE%\Documents\GitHub\eaglep3\Utilities\RefineRTDCRunTimes.py" --tripid 243-16 --locoid 4042 --swversion DE.1.0.7.0 --startMP 204:648 --initTime 2016-10-17T00:28:15 --startdatetime 2016-10-17T00:30:23 --delay 1 --endMP 204:233303 --enddatetime 2016-10-17T01:06:08 --enforcementcount 1 &gt;&gt;C:\Users\stu\Documents\GitHub\eaglep3-reporting\EC\2016-10-16-refined-times.txt</v>
      </c>
      <c r="AI155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{"issue":{"subject":"","project_id":79,"tracker_id":40,"status_id":1,"priority_id":2,"assigned_to_id":23,"start_date":"2016-10-17","description":"","custom_fields":[{"id":1,"name":"Subdivision","value":"EC"},{"id":4,"name":"Milepost","value":"23.3303"},{"id":17,"name":"Train ID","value":"243-16"},{"id":16,"name":"Locomotive ID","value":"4042"},{"id":130,"name":"Impact","value":""},{"id":150,"name":"Time of Event (Mountain Time)","value":"01:06:08"},{"id":151,"name":"Denver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606</v>
      </c>
      <c r="B156" s="7">
        <v>4041</v>
      </c>
      <c r="C156" s="22" t="s">
        <v>99</v>
      </c>
      <c r="D156" s="22" t="s">
        <v>350</v>
      </c>
      <c r="E156" s="13">
        <v>42660.059039351851</v>
      </c>
      <c r="F156" s="13">
        <v>42660.060277777775</v>
      </c>
      <c r="G156" s="7">
        <v>1</v>
      </c>
      <c r="H156" s="13" t="s">
        <v>266</v>
      </c>
      <c r="I156" s="13">
        <v>42660.087361111109</v>
      </c>
      <c r="J156" s="7">
        <v>1</v>
      </c>
      <c r="K156" s="112" t="str">
        <f t="shared" si="92"/>
        <v>4041/4042</v>
      </c>
      <c r="L156" s="22" t="str">
        <f>VLOOKUP(A156,'Trips&amp;Operators'!$C$1:$E$10000,3,FALSE)</f>
        <v>CHANDLER</v>
      </c>
      <c r="M156" s="6">
        <f t="shared" si="93"/>
        <v>2.7083333334303461E-2</v>
      </c>
      <c r="N156" s="7">
        <f t="shared" si="94"/>
        <v>39.000000001396984</v>
      </c>
      <c r="O156" s="7"/>
      <c r="P156" s="7"/>
      <c r="Q156" s="23"/>
      <c r="R156" s="23"/>
      <c r="S156" s="35">
        <f t="shared" si="95"/>
        <v>1</v>
      </c>
      <c r="T156" s="50" t="str">
        <f t="shared" si="96"/>
        <v>Southbound</v>
      </c>
      <c r="U156" s="14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https://search-rtdc-monitor-bjffxe2xuh6vdkpspy63sjmuny.us-east-1.es.amazonaws.com/_plugin/kibana/#/discover/Steve-Slow-Train-Analysis-(2080s-and-2083s)?_g=(refreshInterval:(display:Off,section:0,value:0),time:(from:'2016-10-17 00:25:01-0600',mode:absolute,to:'2016-10-17 03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52" t="str">
        <f t="shared" si="98"/>
        <v>N</v>
      </c>
      <c r="X156" s="149">
        <f t="shared" si="99"/>
        <v>1</v>
      </c>
      <c r="Y156" s="67">
        <f t="shared" si="100"/>
        <v>23.296299999999999</v>
      </c>
      <c r="Z156" s="67">
        <f t="shared" si="101"/>
        <v>1.6E-2</v>
      </c>
      <c r="AA156" s="67">
        <f t="shared" si="102"/>
        <v>23.2803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103"/>
        <v>0244-16</v>
      </c>
      <c r="AE156" s="91" t="str">
        <f t="shared" si="104"/>
        <v>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 &amp; 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</v>
      </c>
      <c r="AF156" s="88" t="str">
        <f t="shared" si="105"/>
        <v>"C:\Program Files (x86)\AstroGrep\AstroGrep.exe" /spath="%USERPROFILE%\AppData\Local\Temp\OnboardLogs" /stypes="app*4041*20161017*" /stext=" 08:.+((SYSTEM_STATE.+slice.+state.+changed )|(ment ac)|(system.+state.+changed )|(\[timeout)|(PRM\|1\|D)|(kpr)|(kdp)|(\|lc)|(penalty))" /e /r /s</v>
      </c>
      <c r="AG156" s="1" t="str">
        <f t="shared" si="106"/>
        <v>EC</v>
      </c>
      <c r="AH156" s="92" t="str">
        <f t="shared" si="107"/>
        <v>"%USERPROFILE%\Documents\GitHub\eaglep3\Utilities\RefineRTDCRunTimes.py" --tripid 244-16 --locoid 4041 --swversion DE.1.0.7.0 --startMP 204:232963 --initTime 2016-10-17T01:25:01 --startdatetime 2016-10-17T01:26:48 --delay 1 --endMP 204:160 --enddatetime 2016-10-17T02:05:48 --enforcementcount 1 &gt;&gt;C:\Users\stu\Documents\GitHub\eaglep3-reporting\EC\2016-10-16-refined-times.txt</v>
      </c>
      <c r="AI156" s="122" t="str">
        <f t="shared" si="10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ID","value":"244-16"},{"id":16,"name":"Locomotive ID","value":"4041"},{"id":130,"name":"Impact","value":""},{"id":150,"name":"Time of Event (Mountain Time)","value":"02:05:48"},{"id":151,"name":"Denver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448</v>
      </c>
      <c r="B157" s="7">
        <v>4043</v>
      </c>
      <c r="C157" s="22" t="s">
        <v>99</v>
      </c>
      <c r="D157" s="22" t="s">
        <v>643</v>
      </c>
      <c r="E157" s="13">
        <v>42659.235335648147</v>
      </c>
      <c r="F157" s="13">
        <v>42659.238333333335</v>
      </c>
      <c r="G157" s="7">
        <v>2</v>
      </c>
      <c r="H157" s="13" t="s">
        <v>644</v>
      </c>
      <c r="I157" s="13">
        <v>42659.247615740744</v>
      </c>
      <c r="J157" s="7">
        <v>1</v>
      </c>
      <c r="K157" s="112" t="str">
        <f t="shared" si="92"/>
        <v>4043/4044</v>
      </c>
      <c r="L157" s="22" t="str">
        <f>VLOOKUP(A157,'Trips&amp;Operators'!$C$1:$E$10000,3,FALSE)</f>
        <v>STARKS</v>
      </c>
      <c r="M157" s="6">
        <f t="shared" si="93"/>
        <v>9.2824074090458453E-3</v>
      </c>
      <c r="N157" s="7">
        <f t="shared" si="94"/>
        <v>13.366666669026017</v>
      </c>
      <c r="O157" s="7"/>
      <c r="P157" s="7"/>
      <c r="Q157" s="23"/>
      <c r="R157" s="23"/>
      <c r="S157" s="35">
        <f t="shared" si="95"/>
        <v>1</v>
      </c>
      <c r="T157" s="50" t="str">
        <f t="shared" si="96"/>
        <v>Southbound</v>
      </c>
      <c r="U157" s="14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04:38:53-0600',mode:absolute,to:'2016-10-16 06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7" s="52" t="str">
        <f t="shared" si="98"/>
        <v>N</v>
      </c>
      <c r="X157" s="149">
        <f t="shared" si="99"/>
        <v>1556</v>
      </c>
      <c r="Y157" s="67">
        <f t="shared" si="100"/>
        <v>5.8615000000000004</v>
      </c>
      <c r="Z157" s="67">
        <f t="shared" si="101"/>
        <v>7.3400000000000007E-2</v>
      </c>
      <c r="AA157" s="67">
        <f t="shared" si="102"/>
        <v>5.7881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103"/>
        <v>1800-16</v>
      </c>
      <c r="AE157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57" s="88" t="str">
        <f t="shared" si="105"/>
        <v>"C:\Program Files (x86)\AstroGrep\AstroGrep.exe" /spath="%USERPROFILE%\AppData\Local\Temp\OnboardLogs" /stypes="app*4043*20161016*" /stext=" 11:.+((SYSTEM_STATE.+slice.+state.+changed )|(ment ac)|(system.+state.+changed )|(\[timeout)|(PRM\|1\|D)|(kpr)|(kdp)|(\|lc)|(penalty))" /e /r /s</v>
      </c>
      <c r="AG157" s="1" t="str">
        <f t="shared" si="106"/>
        <v>NW</v>
      </c>
      <c r="AH157" s="92" t="str">
        <f t="shared" si="107"/>
        <v>"%USERPROFILE%\Documents\GitHub\eaglep3\Utilities\RefineRTDCRunTimes.py" --tripid 1800-16 --locoid 4043 --swversion DE.1.0.7.0 --startMP 300:58615 --initTime 2016-10-16T05:38:53 --startdatetime 2016-10-16T05:43:12 --delay 2 --endMP 204:734 --enddatetime 2016-10-16T05:56:34 --enforcementcount 1 &gt;&gt;C:\Users\stu\Documents\GitHub\eaglep3-reporting\EC\2016-10-16-refined-times.txt</v>
      </c>
      <c r="AI157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{"issue":{"subject":"","project_id":79,"tracker_id":40,"status_id":1,"priority_id":2,"assigned_to_id":23,"start_date":"2016-10-16","description":"","custom_fields":[{"id":1,"name":"Subdivision","value":"NW"},{"id":4,"name":"Milepost","value":"0.0734"},{"id":17,"name":"Train ID","value":"1800-16"},{"id":16,"name":"Locomotive ID","value":"4043"},{"id":130,"name":"Impact","value":""},{"id":150,"name":"Time of Event (Mountain Time)","value":"05:56:34"},{"id":151,"name":"Denver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453</v>
      </c>
      <c r="B158" s="7">
        <v>4044</v>
      </c>
      <c r="C158" s="22" t="s">
        <v>99</v>
      </c>
      <c r="D158" s="22" t="s">
        <v>645</v>
      </c>
      <c r="E158" s="13">
        <v>42659.262326388889</v>
      </c>
      <c r="F158" s="13">
        <v>42659.264780092592</v>
      </c>
      <c r="G158" s="7">
        <v>1</v>
      </c>
      <c r="H158" s="13" t="s">
        <v>358</v>
      </c>
      <c r="I158" s="13">
        <v>42659.274629629632</v>
      </c>
      <c r="J158" s="7">
        <v>1</v>
      </c>
      <c r="K158" s="112" t="str">
        <f t="shared" si="92"/>
        <v>4043/4044</v>
      </c>
      <c r="L158" s="22" t="str">
        <f>VLOOKUP(A158,'Trips&amp;Operators'!$C$1:$E$10000,3,FALSE)</f>
        <v>STARKS</v>
      </c>
      <c r="M158" s="6">
        <f t="shared" si="93"/>
        <v>9.8495370402815752E-3</v>
      </c>
      <c r="N158" s="7">
        <f t="shared" si="94"/>
        <v>14.183333338005468</v>
      </c>
      <c r="O158" s="7"/>
      <c r="P158" s="7"/>
      <c r="Q158" s="23"/>
      <c r="R158" s="23"/>
      <c r="S158" s="35">
        <f t="shared" si="95"/>
        <v>1</v>
      </c>
      <c r="T158" s="50" t="str">
        <f t="shared" si="96"/>
        <v>NorthBound</v>
      </c>
      <c r="U158" s="14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05:17:45-0600',mode:absolute,to:'2016-10-16 07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8" s="52" t="str">
        <f t="shared" si="98"/>
        <v>N</v>
      </c>
      <c r="X158" s="149">
        <f t="shared" si="99"/>
        <v>1</v>
      </c>
      <c r="Y158" s="67">
        <f t="shared" si="100"/>
        <v>0.10390000000000001</v>
      </c>
      <c r="Z158" s="67">
        <f t="shared" si="101"/>
        <v>5.8925999999999998</v>
      </c>
      <c r="AA158" s="67">
        <f t="shared" si="102"/>
        <v>5.7886999999999995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103"/>
        <v>1801-16</v>
      </c>
      <c r="AE158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58" s="88" t="str">
        <f t="shared" si="105"/>
        <v>"C:\Program Files (x86)\AstroGrep\AstroGrep.exe" /spath="%USERPROFILE%\AppData\Local\Temp\OnboardLogs" /stypes="app*4044*20161016*" /stext=" 12:.+((SYSTEM_STATE.+slice.+state.+changed )|(ment ac)|(system.+state.+changed )|(\[timeout)|(PRM\|1\|D)|(kpr)|(kdp)|(\|lc)|(penalty))" /e /r /s</v>
      </c>
      <c r="AG158" s="1" t="str">
        <f t="shared" si="106"/>
        <v>NW</v>
      </c>
      <c r="AH158" s="92" t="str">
        <f t="shared" si="107"/>
        <v>"%USERPROFILE%\Documents\GitHub\eaglep3\Utilities\RefineRTDCRunTimes.py" --tripid 1801-16 --locoid 4044 --swversion DE.1.0.7.0 --startMP 204:1039 --initTime 2016-10-16T06:17:45 --startdatetime 2016-10-16T06:21:17 --delay 1 --endMP 300:58926 --enddatetime 2016-10-16T06:35:28 --enforcementcount 1 &gt;&gt;C:\Users\stu\Documents\GitHub\eaglep3-reporting\EC\2016-10-16-refined-times.txt</v>
      </c>
      <c r="AI158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{"issue":{"subject":"","project_id":79,"tracker_id":40,"status_id":1,"priority_id":2,"assigned_to_id":23,"start_date":"2016-10-16","description":"","custom_fields":[{"id":1,"name":"Subdivision","value":"NW"},{"id":4,"name":"Milepost","value":"5.8926"},{"id":17,"name":"Train ID","value":"1801-16"},{"id":16,"name":"Locomotive ID","value":"4044"},{"id":130,"name":"Impact","value":""},{"id":150,"name":"Time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457</v>
      </c>
      <c r="B159" s="7">
        <v>4043</v>
      </c>
      <c r="C159" s="22" t="s">
        <v>99</v>
      </c>
      <c r="D159" s="22" t="s">
        <v>313</v>
      </c>
      <c r="E159" s="13">
        <v>42659.275937500002</v>
      </c>
      <c r="F159" s="13">
        <v>42659.277037037034</v>
      </c>
      <c r="G159" s="7">
        <v>0</v>
      </c>
      <c r="H159" s="13" t="s">
        <v>646</v>
      </c>
      <c r="I159" s="13">
        <v>42659.288611111115</v>
      </c>
      <c r="J159" s="7">
        <v>1</v>
      </c>
      <c r="K159" s="112" t="str">
        <f t="shared" si="92"/>
        <v>4043/4044</v>
      </c>
      <c r="L159" s="22" t="str">
        <f>VLOOKUP(A159,'Trips&amp;Operators'!$C$1:$E$10000,3,FALSE)</f>
        <v>STARKS</v>
      </c>
      <c r="M159" s="6">
        <f t="shared" si="93"/>
        <v>1.1574074080272112E-2</v>
      </c>
      <c r="N159" s="7">
        <f t="shared" si="94"/>
        <v>16.666666675591841</v>
      </c>
      <c r="O159" s="7"/>
      <c r="P159" s="7"/>
      <c r="Q159" s="23"/>
      <c r="R159" s="23"/>
      <c r="S159" s="35">
        <f t="shared" si="95"/>
        <v>1</v>
      </c>
      <c r="T159" s="50" t="str">
        <f t="shared" si="96"/>
        <v>Southbound</v>
      </c>
      <c r="U159" s="14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05:37:21-0600',mode:absolute,to:'2016-10-16 07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9" s="52" t="str">
        <f t="shared" si="98"/>
        <v>N</v>
      </c>
      <c r="X159" s="149">
        <f t="shared" si="99"/>
        <v>1</v>
      </c>
      <c r="Y159" s="67">
        <f t="shared" si="100"/>
        <v>5.8608000000000002</v>
      </c>
      <c r="Z159" s="67">
        <f t="shared" si="101"/>
        <v>7.1499999999999994E-2</v>
      </c>
      <c r="AA159" s="67">
        <f t="shared" si="102"/>
        <v>5.7892999999999999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103"/>
        <v>1802-16</v>
      </c>
      <c r="AE159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59" s="88" t="str">
        <f t="shared" si="105"/>
        <v>"C:\Program Files (x86)\AstroGrep\AstroGrep.exe" /spath="%USERPROFILE%\AppData\Local\Temp\OnboardLogs" /stypes="app*4043*20161016*" /stext=" 12:.+((SYSTEM_STATE.+slice.+state.+changed )|(ment ac)|(system.+state.+changed )|(\[timeout)|(PRM\|1\|D)|(kpr)|(kdp)|(\|lc)|(penalty))" /e /r /s</v>
      </c>
      <c r="AG159" s="1" t="str">
        <f t="shared" si="106"/>
        <v>NW</v>
      </c>
      <c r="AH159" s="92" t="str">
        <f t="shared" si="107"/>
        <v>"%USERPROFILE%\Documents\GitHub\eaglep3\Utilities\RefineRTDCRunTimes.py" --tripid 1802-16 --locoid 4043 --swversion DE.1.0.7.0 --startMP 300:58608 --initTime 2016-10-16T06:37:21 --startdatetime 2016-10-16T06:38:56 --delay 0 --endMP 204:715 --enddatetime 2016-10-16T06:55:36 --enforcementcount 1 &gt;&gt;C:\Users\stu\Documents\GitHub\eaglep3-reporting\EC\2016-10-16-refined-times.txt</v>
      </c>
      <c r="AI159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{"issue":{"subject":"","project_id":79,"tracker_id":40,"status_id":1,"priority_id":2,"assigned_to_id":23,"start_date":"2016-10-16","description":"","custom_fields":[{"id":1,"name":"Subdivision","value":"NW"},{"id":4,"name":"Milepost","value":"0.0715"},{"id":17,"name":"Train ID","value":"1802-16"},{"id":16,"name":"Locomotive ID","value":"4043"},{"id":130,"name":"Impact","value":""},{"id":150,"name":"Time of Event (Mountain Time)","value":"06:55:36"},{"id":151,"name":"Denver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462</v>
      </c>
      <c r="B160" s="7">
        <v>4044</v>
      </c>
      <c r="C160" s="22" t="s">
        <v>99</v>
      </c>
      <c r="D160" s="22" t="s">
        <v>647</v>
      </c>
      <c r="E160" s="13">
        <v>42659.305185185185</v>
      </c>
      <c r="F160" s="13">
        <v>42659.306446759256</v>
      </c>
      <c r="G160" s="7">
        <v>1</v>
      </c>
      <c r="H160" s="13" t="s">
        <v>648</v>
      </c>
      <c r="I160" s="13">
        <v>42659.316261574073</v>
      </c>
      <c r="J160" s="7">
        <v>1</v>
      </c>
      <c r="K160" s="112" t="str">
        <f t="shared" si="92"/>
        <v>4043/4044</v>
      </c>
      <c r="L160" s="22" t="str">
        <f>VLOOKUP(A160,'Trips&amp;Operators'!$C$1:$E$10000,3,FALSE)</f>
        <v>STARKS</v>
      </c>
      <c r="M160" s="6">
        <f t="shared" si="93"/>
        <v>9.8148148172185756E-3</v>
      </c>
      <c r="N160" s="7">
        <f t="shared" si="94"/>
        <v>14.133333336794749</v>
      </c>
      <c r="O160" s="7"/>
      <c r="P160" s="7"/>
      <c r="Q160" s="23"/>
      <c r="R160" s="23"/>
      <c r="S160" s="35">
        <f t="shared" si="95"/>
        <v>1</v>
      </c>
      <c r="T160" s="50" t="str">
        <f t="shared" si="96"/>
        <v>NorthBound</v>
      </c>
      <c r="U160" s="14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06:19:28-0600',mode:absolute,to:'2016-10-16 08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52" t="str">
        <f t="shared" si="98"/>
        <v>N</v>
      </c>
      <c r="X160" s="149">
        <f t="shared" si="99"/>
        <v>1</v>
      </c>
      <c r="Y160" s="67">
        <f t="shared" si="100"/>
        <v>0.1007</v>
      </c>
      <c r="Z160" s="67">
        <f t="shared" si="101"/>
        <v>5.8921999999999999</v>
      </c>
      <c r="AA160" s="67">
        <f t="shared" si="102"/>
        <v>5.7915000000000001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103"/>
        <v>1803-16</v>
      </c>
      <c r="AE160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60" s="88" t="str">
        <f t="shared" si="105"/>
        <v>"C:\Program Files (x86)\AstroGrep\AstroGrep.exe" /spath="%USERPROFILE%\AppData\Local\Temp\OnboardLogs" /stypes="app*4044*20161016*" /stext=" 13:.+((SYSTEM_STATE.+slice.+state.+changed )|(ment ac)|(system.+state.+changed )|(\[timeout)|(PRM\|1\|D)|(kpr)|(kdp)|(\|lc)|(penalty))" /e /r /s</v>
      </c>
      <c r="AG160" s="1" t="str">
        <f t="shared" si="106"/>
        <v>NW</v>
      </c>
      <c r="AH160" s="92" t="str">
        <f t="shared" si="107"/>
        <v>"%USERPROFILE%\Documents\GitHub\eaglep3\Utilities\RefineRTDCRunTimes.py" --tripid 1803-16 --locoid 4044 --swversion DE.1.0.7.0 --startMP 204:1007 --initTime 2016-10-16T07:19:28 --startdatetime 2016-10-16T07:21:17 --delay 1 --endMP 300:58922 --enddatetime 2016-10-16T07:35:25 --enforcementcount 1 &gt;&gt;C:\Users\stu\Documents\GitHub\eaglep3-reporting\EC\2016-10-16-refined-times.txt</v>
      </c>
      <c r="AI160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{"issue":{"subject":"","project_id":79,"tracker_id":40,"status_id":1,"priority_id":2,"assigned_to_id":23,"start_date":"2016-10-16","description":"","custom_fields":[{"id":1,"name":"Subdivision","value":"NW"},{"id":4,"name":"Milepost","value":"5.8922"},{"id":17,"name":"Train ID","value":"1803-16"},{"id":16,"name":"Locomotive ID","value":"4044"},{"id":130,"name":"Impact","value":""},{"id":150,"name":"Time of Event (Mountain Time)","value":"07:35:25"},{"id":151,"name":"Denver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465</v>
      </c>
      <c r="B161" s="7">
        <v>4043</v>
      </c>
      <c r="C161" s="22" t="s">
        <v>99</v>
      </c>
      <c r="D161" s="22" t="s">
        <v>649</v>
      </c>
      <c r="E161" s="13">
        <v>42659.317442129628</v>
      </c>
      <c r="F161" s="13">
        <v>42659.318726851852</v>
      </c>
      <c r="G161" s="7">
        <v>1</v>
      </c>
      <c r="H161" s="13" t="s">
        <v>650</v>
      </c>
      <c r="I161" s="13">
        <v>42659.330451388887</v>
      </c>
      <c r="J161" s="7">
        <v>1</v>
      </c>
      <c r="K161" s="112" t="str">
        <f t="shared" si="92"/>
        <v>4043/4044</v>
      </c>
      <c r="L161" s="22" t="str">
        <f>VLOOKUP(A161,'Trips&amp;Operators'!$C$1:$E$10000,3,FALSE)</f>
        <v>STARKS</v>
      </c>
      <c r="M161" s="6">
        <f t="shared" si="93"/>
        <v>1.1724537034751847E-2</v>
      </c>
      <c r="N161" s="7">
        <f t="shared" si="94"/>
        <v>16.88333333004266</v>
      </c>
      <c r="O161" s="7"/>
      <c r="P161" s="7"/>
      <c r="Q161" s="23"/>
      <c r="R161" s="23"/>
      <c r="S161" s="35">
        <f t="shared" si="95"/>
        <v>1</v>
      </c>
      <c r="T161" s="50" t="str">
        <f t="shared" si="96"/>
        <v>Southbound</v>
      </c>
      <c r="U161" s="14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06:37:07-0600',mode:absolute,to:'2016-10-16 08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2" t="str">
        <f t="shared" si="98"/>
        <v>N</v>
      </c>
      <c r="X161" s="149">
        <f t="shared" si="99"/>
        <v>1</v>
      </c>
      <c r="Y161" s="67">
        <f t="shared" si="100"/>
        <v>5.8609</v>
      </c>
      <c r="Z161" s="67">
        <f t="shared" si="101"/>
        <v>7.22E-2</v>
      </c>
      <c r="AA161" s="67">
        <f t="shared" si="102"/>
        <v>5.7887000000000004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103"/>
        <v>1804-16</v>
      </c>
      <c r="AE161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61" s="88" t="str">
        <f t="shared" si="105"/>
        <v>"C:\Program Files (x86)\AstroGrep\AstroGrep.exe" /spath="%USERPROFILE%\AppData\Local\Temp\OnboardLogs" /stypes="app*4043*20161016*" /stext=" 13:.+((SYSTEM_STATE.+slice.+state.+changed )|(ment ac)|(system.+state.+changed )|(\[timeout)|(PRM\|1\|D)|(kpr)|(kdp)|(\|lc)|(penalty))" /e /r /s</v>
      </c>
      <c r="AG161" s="1" t="str">
        <f t="shared" si="106"/>
        <v>NW</v>
      </c>
      <c r="AH161" s="92" t="str">
        <f t="shared" si="107"/>
        <v>"%USERPROFILE%\Documents\GitHub\eaglep3\Utilities\RefineRTDCRunTimes.py" --tripid 1804-16 --locoid 4043 --swversion DE.1.0.7.0 --startMP 300:58609 --initTime 2016-10-16T07:37:07 --startdatetime 2016-10-16T07:38:58 --delay 1 --endMP 204:722 --enddatetime 2016-10-16T07:55:51 --enforcementcount 1 &gt;&gt;C:\Users\stu\Documents\GitHub\eaglep3-reporting\EC\2016-10-16-refined-times.txt</v>
      </c>
      <c r="AI161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{"issue":{"subject":"","project_id":79,"tracker_id":40,"status_id":1,"priority_id":2,"assigned_to_id":23,"start_date":"2016-10-16","description":"","custom_fields":[{"id":1,"name":"Subdivision","value":"NW"},{"id":4,"name":"Milepost","value":"0.0722"},{"id":17,"name":"Train ID","value":"1804-16"},{"id":16,"name":"Locomotive ID","value":"4043"},{"id":130,"name":"Impact","value":""},{"id":150,"name":"Time of Event (Mountain Time)","value":"07:55:51"},{"id":151,"name":"Denver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x14ac:dyDescent="0.25">
      <c r="A162" s="37" t="s">
        <v>472</v>
      </c>
      <c r="B162" s="7">
        <v>4044</v>
      </c>
      <c r="C162" s="22" t="s">
        <v>99</v>
      </c>
      <c r="D162" s="22" t="s">
        <v>651</v>
      </c>
      <c r="E162" s="13">
        <v>42659.347187500003</v>
      </c>
      <c r="F162" s="13">
        <v>42659.348414351851</v>
      </c>
      <c r="G162" s="7">
        <v>1</v>
      </c>
      <c r="H162" s="13" t="s">
        <v>652</v>
      </c>
      <c r="I162" s="13">
        <v>42659.358298611114</v>
      </c>
      <c r="J162" s="7">
        <v>1</v>
      </c>
      <c r="K162" s="112" t="str">
        <f t="shared" si="92"/>
        <v>4043/4044</v>
      </c>
      <c r="L162" s="22" t="str">
        <f>VLOOKUP(A162,'Trips&amp;Operators'!$C$1:$E$10000,3,FALSE)</f>
        <v>STARKS</v>
      </c>
      <c r="M162" s="6">
        <f t="shared" si="93"/>
        <v>9.8842592633445747E-3</v>
      </c>
      <c r="N162" s="7">
        <f t="shared" si="94"/>
        <v>14.233333339216188</v>
      </c>
      <c r="O162" s="7"/>
      <c r="P162" s="7"/>
      <c r="Q162" s="23"/>
      <c r="R162" s="23"/>
      <c r="S162" s="35">
        <f t="shared" si="95"/>
        <v>1</v>
      </c>
      <c r="T162" s="50" t="str">
        <f t="shared" si="96"/>
        <v>NorthBound</v>
      </c>
      <c r="U162" s="14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07:19:57-0600',mode:absolute,to:'2016-10-16 09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52" t="str">
        <f t="shared" si="98"/>
        <v>N</v>
      </c>
      <c r="X162" s="149">
        <f t="shared" si="99"/>
        <v>1</v>
      </c>
      <c r="Y162" s="67">
        <f t="shared" si="100"/>
        <v>9.9900000000000003E-2</v>
      </c>
      <c r="Z162" s="67">
        <f t="shared" si="101"/>
        <v>5.8933</v>
      </c>
      <c r="AA162" s="67">
        <f t="shared" si="102"/>
        <v>5.7934000000000001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103"/>
        <v>1805-16</v>
      </c>
      <c r="AE162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62" s="88" t="str">
        <f t="shared" si="105"/>
        <v>"C:\Program Files (x86)\AstroGrep\AstroGrep.exe" /spath="%USERPROFILE%\AppData\Local\Temp\OnboardLogs" /stypes="app*4044*20161016*" /stext=" 14:.+((SYSTEM_STATE.+slice.+state.+changed )|(ment ac)|(system.+state.+changed )|(\[timeout)|(PRM\|1\|D)|(kpr)|(kdp)|(\|lc)|(penalty))" /e /r /s</v>
      </c>
      <c r="AG162" s="1" t="str">
        <f t="shared" si="106"/>
        <v>NW</v>
      </c>
      <c r="AH162" s="92" t="str">
        <f t="shared" si="107"/>
        <v>"%USERPROFILE%\Documents\GitHub\eaglep3\Utilities\RefineRTDCRunTimes.py" --tripid 1805-16 --locoid 4044 --swversion DE.1.0.7.0 --startMP 204:999 --initTime 2016-10-16T08:19:57 --startdatetime 2016-10-16T08:21:43 --delay 1 --endMP 300:58933 --enddatetime 2016-10-16T08:35:57 --enforcementcount 1 &gt;&gt;C:\Users\stu\Documents\GitHub\eaglep3-reporting\EC\2016-10-16-refined-times.txt</v>
      </c>
      <c r="AI162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{"issue":{"subject":"","project_id":79,"tracker_id":40,"status_id":1,"priority_id":2,"assigned_to_id":23,"start_date":"2016-10-16","description":"","custom_fields":[{"id":1,"name":"Subdivision","value":"NW"},{"id":4,"name":"Milepost","value":"5.8933"},{"id":17,"name":"Train ID","value":"1805-16"},{"id":16,"name":"Locomotive ID","value":"4044"},{"id":130,"name":"Impact","value":""},{"id":150,"name":"Time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475</v>
      </c>
      <c r="B163" s="7">
        <v>4043</v>
      </c>
      <c r="C163" s="22" t="s">
        <v>99</v>
      </c>
      <c r="D163" s="22" t="s">
        <v>653</v>
      </c>
      <c r="E163" s="13">
        <v>42659.3596875</v>
      </c>
      <c r="F163" s="13">
        <v>42659.389745370368</v>
      </c>
      <c r="G163" s="7">
        <v>1</v>
      </c>
      <c r="H163" s="13" t="s">
        <v>654</v>
      </c>
      <c r="I163" s="13">
        <v>42659.399351851855</v>
      </c>
      <c r="J163" s="7">
        <v>1</v>
      </c>
      <c r="K163" s="112" t="str">
        <f t="shared" si="92"/>
        <v>4043/4044</v>
      </c>
      <c r="L163" s="22" t="str">
        <f>VLOOKUP(A163,'Trips&amp;Operators'!$C$1:$E$10000,3,FALSE)</f>
        <v>STARKS</v>
      </c>
      <c r="M163" s="6">
        <f t="shared" si="93"/>
        <v>9.606481486116536E-3</v>
      </c>
      <c r="N163" s="7">
        <f t="shared" si="94"/>
        <v>13.833333340007812</v>
      </c>
      <c r="O163" s="7"/>
      <c r="P163" s="7"/>
      <c r="Q163" s="23"/>
      <c r="R163" s="23"/>
      <c r="S163" s="35">
        <f t="shared" si="95"/>
        <v>1</v>
      </c>
      <c r="T163" s="50" t="str">
        <f t="shared" si="96"/>
        <v>Southbound</v>
      </c>
      <c r="U163" s="14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07:37:57-0600',mode:absolute,to:'2016-10-16 10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52" t="str">
        <f t="shared" si="98"/>
        <v>N</v>
      </c>
      <c r="X163" s="149">
        <f t="shared" si="99"/>
        <v>1</v>
      </c>
      <c r="Y163" s="67">
        <f t="shared" si="100"/>
        <v>5.8620999999999999</v>
      </c>
      <c r="Z163" s="67">
        <f t="shared" si="101"/>
        <v>7.2900000000000006E-2</v>
      </c>
      <c r="AA163" s="67">
        <f t="shared" si="102"/>
        <v>5.7892000000000001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103"/>
        <v>1806-16</v>
      </c>
      <c r="AE163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63" s="88" t="str">
        <f t="shared" si="105"/>
        <v>"C:\Program Files (x86)\AstroGrep\AstroGrep.exe" /spath="%USERPROFILE%\AppData\Local\Temp\OnboardLogs" /stypes="app*4043*20161016*" /stext=" 15:.+((SYSTEM_STATE.+slice.+state.+changed )|(ment ac)|(system.+state.+changed )|(\[timeout)|(PRM\|1\|D)|(kpr)|(kdp)|(\|lc)|(penalty))" /e /r /s</v>
      </c>
      <c r="AG163" s="1" t="str">
        <f t="shared" si="106"/>
        <v>NW</v>
      </c>
      <c r="AH163" s="92" t="str">
        <f t="shared" si="107"/>
        <v>"%USERPROFILE%\Documents\GitHub\eaglep3\Utilities\RefineRTDCRunTimes.py" --tripid 1806-16 --locoid 4043 --swversion DE.1.0.7.0 --startMP 300:58621 --initTime 2016-10-16T08:37:57 --startdatetime 2016-10-16T09:21:14 --delay 1 --endMP 204:729 --enddatetime 2016-10-16T09:35:04 --enforcementcount 1 &gt;&gt;C:\Users\stu\Documents\GitHub\eaglep3-reporting\EC\2016-10-16-refined-times.txt</v>
      </c>
      <c r="AI163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{"issue":{"subject":"","project_id":79,"tracker_id":40,"status_id":1,"priority_id":2,"assigned_to_id":23,"start_date":"2016-10-16","description":"","custom_fields":[{"id":1,"name":"Subdivision","value":"NW"},{"id":4,"name":"Milepost","value":"0.0729"},{"id":17,"name":"Train ID","value":"1806-16"},{"id":16,"name":"Locomotive ID","value":"4043"},{"id":130,"name":"Impact","value":""},{"id":150,"name":"Time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478</v>
      </c>
      <c r="B164" s="7">
        <v>4044</v>
      </c>
      <c r="C164" s="22" t="s">
        <v>99</v>
      </c>
      <c r="D164" s="22" t="s">
        <v>392</v>
      </c>
      <c r="E164" s="13">
        <v>42659.374074074076</v>
      </c>
      <c r="F164" s="13">
        <v>42659.389745370368</v>
      </c>
      <c r="G164" s="7">
        <v>1</v>
      </c>
      <c r="H164" s="13" t="s">
        <v>655</v>
      </c>
      <c r="I164" s="13">
        <v>42659.399351851855</v>
      </c>
      <c r="J164" s="7">
        <v>1</v>
      </c>
      <c r="K164" s="112" t="str">
        <f t="shared" si="92"/>
        <v>4043/4044</v>
      </c>
      <c r="L164" s="22" t="str">
        <f>VLOOKUP(A164,'Trips&amp;Operators'!$C$1:$E$10000,3,FALSE)</f>
        <v>STARKS</v>
      </c>
      <c r="M164" s="6">
        <f t="shared" si="93"/>
        <v>9.606481486116536E-3</v>
      </c>
      <c r="N164" s="7">
        <f t="shared" si="94"/>
        <v>13.833333340007812</v>
      </c>
      <c r="O164" s="7"/>
      <c r="P164" s="7"/>
      <c r="Q164" s="23"/>
      <c r="R164" s="23"/>
      <c r="S164" s="35">
        <f t="shared" si="95"/>
        <v>1</v>
      </c>
      <c r="T164" s="50" t="str">
        <f t="shared" si="96"/>
        <v>NorthBound</v>
      </c>
      <c r="U164" s="14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07:58:40-0600',mode:absolute,to:'2016-10-16 10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4" s="52" t="str">
        <f t="shared" si="98"/>
        <v>N</v>
      </c>
      <c r="X164" s="149">
        <f t="shared" si="99"/>
        <v>1</v>
      </c>
      <c r="Y164" s="67">
        <f t="shared" si="100"/>
        <v>0.1009</v>
      </c>
      <c r="Z164" s="67">
        <f t="shared" si="101"/>
        <v>5.8936999999999999</v>
      </c>
      <c r="AA164" s="67">
        <f t="shared" si="102"/>
        <v>5.7927999999999997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103"/>
        <v>1807-16</v>
      </c>
      <c r="AE164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64" s="88" t="str">
        <f t="shared" si="105"/>
        <v>"C:\Program Files (x86)\AstroGrep\AstroGrep.exe" /spath="%USERPROFILE%\AppData\Local\Temp\OnboardLogs" /stypes="app*4044*20161016*" /stext=" 15:.+((SYSTEM_STATE.+slice.+state.+changed )|(ment ac)|(system.+state.+changed )|(\[timeout)|(PRM\|1\|D)|(kpr)|(kdp)|(\|lc)|(penalty))" /e /r /s</v>
      </c>
      <c r="AG164" s="1" t="str">
        <f t="shared" si="106"/>
        <v>NW</v>
      </c>
      <c r="AH164" s="92" t="str">
        <f t="shared" si="107"/>
        <v>"%USERPROFILE%\Documents\GitHub\eaglep3\Utilities\RefineRTDCRunTimes.py" --tripid 1807-16 --locoid 4044 --swversion DE.1.0.7.0 --startMP 204:1009 --initTime 2016-10-16T08:58:40 --startdatetime 2016-10-16T09:21:14 --delay 1 --endMP 300:58937 --enddatetime 2016-10-16T09:35:04 --enforcementcount 1 &gt;&gt;C:\Users\stu\Documents\GitHub\eaglep3-reporting\EC\2016-10-16-refined-times.txt</v>
      </c>
      <c r="AI164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{"issue":{"subject":"","project_id":79,"tracker_id":40,"status_id":1,"priority_id":2,"assigned_to_id":23,"start_date":"2016-10-16","description":"","custom_fields":[{"id":1,"name":"Subdivision","value":"NW"},{"id":4,"name":"Milepost","value":"5.8937"},{"id":17,"name":"Train ID","value":"1807-16"},{"id":16,"name":"Locomotive ID","value":"4044"},{"id":130,"name":"Impact","value":""},{"id":150,"name":"Time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482</v>
      </c>
      <c r="B165" s="7">
        <v>4043</v>
      </c>
      <c r="C165" s="22" t="s">
        <v>99</v>
      </c>
      <c r="D165" s="22" t="s">
        <v>653</v>
      </c>
      <c r="E165" s="13">
        <v>42659.400578703702</v>
      </c>
      <c r="F165" s="13">
        <v>42659.432476851849</v>
      </c>
      <c r="G165" s="7">
        <v>1</v>
      </c>
      <c r="H165" s="13" t="s">
        <v>644</v>
      </c>
      <c r="I165" s="13">
        <v>42659.441805555558</v>
      </c>
      <c r="J165" s="7">
        <v>1</v>
      </c>
      <c r="K165" s="112" t="str">
        <f t="shared" si="92"/>
        <v>4043/4044</v>
      </c>
      <c r="L165" s="22" t="str">
        <f>VLOOKUP(A165,'Trips&amp;Operators'!$C$1:$E$10000,3,FALSE)</f>
        <v>STARKS</v>
      </c>
      <c r="M165" s="6">
        <f t="shared" si="93"/>
        <v>9.3287037088884972E-3</v>
      </c>
      <c r="N165" s="7">
        <f t="shared" si="94"/>
        <v>13.433333340799436</v>
      </c>
      <c r="O165" s="7"/>
      <c r="P165" s="7"/>
      <c r="Q165" s="23"/>
      <c r="R165" s="23"/>
      <c r="S165" s="35">
        <f t="shared" si="95"/>
        <v>1</v>
      </c>
      <c r="T165" s="50" t="str">
        <f t="shared" si="96"/>
        <v>Southbound</v>
      </c>
      <c r="U165" s="14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08:36:50-0600',mode:absolute,to:'2016-10-16 11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5" s="52" t="str">
        <f t="shared" si="98"/>
        <v>N</v>
      </c>
      <c r="X165" s="149">
        <f t="shared" si="99"/>
        <v>1</v>
      </c>
      <c r="Y165" s="67">
        <f t="shared" si="100"/>
        <v>5.8620999999999999</v>
      </c>
      <c r="Z165" s="67">
        <f t="shared" si="101"/>
        <v>7.3400000000000007E-2</v>
      </c>
      <c r="AA165" s="67">
        <f t="shared" si="102"/>
        <v>5.7886999999999995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103"/>
        <v>1808-16</v>
      </c>
      <c r="AE165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65" s="88" t="str">
        <f t="shared" si="105"/>
        <v>"C:\Program Files (x86)\AstroGrep\AstroGrep.exe" /spath="%USERPROFILE%\AppData\Local\Temp\OnboardLogs" /stypes="app*4043*20161016*" /stext=" 16:.+((SYSTEM_STATE.+slice.+state.+changed )|(ment ac)|(system.+state.+changed )|(\[timeout)|(PRM\|1\|D)|(kpr)|(kdp)|(\|lc)|(penalty))" /e /r /s</v>
      </c>
      <c r="AG165" s="1" t="str">
        <f t="shared" si="106"/>
        <v>NW</v>
      </c>
      <c r="AH165" s="92" t="str">
        <f t="shared" si="107"/>
        <v>"%USERPROFILE%\Documents\GitHub\eaglep3\Utilities\RefineRTDCRunTimes.py" --tripid 1808-16 --locoid 4043 --swversion DE.1.0.7.0 --startMP 300:58621 --initTime 2016-10-16T09:36:50 --startdatetime 2016-10-16T10:22:46 --delay 1 --endMP 204:734 --enddatetime 2016-10-16T10:36:12 --enforcementcount 1 &gt;&gt;C:\Users\stu\Documents\GitHub\eaglep3-reporting\EC\2016-10-16-refined-times.txt</v>
      </c>
      <c r="AI165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{"issue":{"subject":"","project_id":79,"tracker_id":40,"status_id":1,"priority_id":2,"assigned_to_id":23,"start_date":"2016-10-16","description":"","custom_fields":[{"id":1,"name":"Subdivision","value":"NW"},{"id":4,"name":"Milepost","value":"0.0734"},{"id":17,"name":"Train ID","value":"1808-16"},{"id":16,"name":"Locomotive ID","value":"4043"},{"id":130,"name":"Impact","value":""},{"id":150,"name":"Time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490</v>
      </c>
      <c r="B166" s="7">
        <v>4044</v>
      </c>
      <c r="C166" s="22" t="s">
        <v>99</v>
      </c>
      <c r="D166" s="22" t="s">
        <v>391</v>
      </c>
      <c r="E166" s="13">
        <v>42659.431076388886</v>
      </c>
      <c r="F166" s="13">
        <v>42659.432476851849</v>
      </c>
      <c r="G166" s="7">
        <v>1</v>
      </c>
      <c r="H166" s="13" t="s">
        <v>652</v>
      </c>
      <c r="I166" s="13">
        <v>42659.441805555558</v>
      </c>
      <c r="J166" s="7">
        <v>1</v>
      </c>
      <c r="K166" s="112" t="str">
        <f t="shared" si="92"/>
        <v>4043/4044</v>
      </c>
      <c r="L166" s="22" t="str">
        <f>VLOOKUP(A166,'Trips&amp;Operators'!$C$1:$E$10000,3,FALSE)</f>
        <v>STARKS</v>
      </c>
      <c r="M166" s="6">
        <f t="shared" si="93"/>
        <v>9.3287037088884972E-3</v>
      </c>
      <c r="N166" s="7">
        <f t="shared" si="94"/>
        <v>13.433333340799436</v>
      </c>
      <c r="O166" s="7"/>
      <c r="P166" s="7"/>
      <c r="Q166" s="23"/>
      <c r="R166" s="23"/>
      <c r="S166" s="35">
        <f t="shared" si="95"/>
        <v>1</v>
      </c>
      <c r="T166" s="50" t="str">
        <f t="shared" si="96"/>
        <v>NorthBound</v>
      </c>
      <c r="U166" s="14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09:20:45-0600',mode:absolute,to:'2016-10-16 11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52" t="str">
        <f t="shared" si="98"/>
        <v>N</v>
      </c>
      <c r="X166" s="149">
        <f t="shared" si="99"/>
        <v>1</v>
      </c>
      <c r="Y166" s="67">
        <f t="shared" si="100"/>
        <v>0.1016</v>
      </c>
      <c r="Z166" s="67">
        <f t="shared" si="101"/>
        <v>5.8933</v>
      </c>
      <c r="AA166" s="67">
        <f t="shared" si="102"/>
        <v>5.7916999999999996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103"/>
        <v>1809-16</v>
      </c>
      <c r="AE166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66" s="88" t="str">
        <f t="shared" si="105"/>
        <v>"C:\Program Files (x86)\AstroGrep\AstroGrep.exe" /spath="%USERPROFILE%\AppData\Local\Temp\OnboardLogs" /stypes="app*4044*20161016*" /stext=" 16:.+((SYSTEM_STATE.+slice.+state.+changed )|(ment ac)|(system.+state.+changed )|(\[timeout)|(PRM\|1\|D)|(kpr)|(kdp)|(\|lc)|(penalty))" /e /r /s</v>
      </c>
      <c r="AG166" s="1" t="str">
        <f t="shared" si="106"/>
        <v>NW</v>
      </c>
      <c r="AH166" s="92" t="str">
        <f t="shared" si="107"/>
        <v>"%USERPROFILE%\Documents\GitHub\eaglep3\Utilities\RefineRTDCRunTimes.py" --tripid 1809-16 --locoid 4044 --swversion DE.1.0.7.0 --startMP 204:1016 --initTime 2016-10-16T10:20:45 --startdatetime 2016-10-16T10:22:46 --delay 1 --endMP 300:58933 --enddatetime 2016-10-16T10:36:12 --enforcementcount 1 &gt;&gt;C:\Users\stu\Documents\GitHub\eaglep3-reporting\EC\2016-10-16-refined-times.txt</v>
      </c>
      <c r="AI166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{"issue":{"subject":"","project_id":79,"tracker_id":40,"status_id":1,"priority_id":2,"assigned_to_id":23,"start_date":"2016-10-16","description":"","custom_fields":[{"id":1,"name":"Subdivision","value":"NW"},{"id":4,"name":"Milepost","value":"5.8933"},{"id":17,"name":"Train ID","value":"1809-16"},{"id":16,"name":"Locomotive ID","value":"4044"},{"id":130,"name":"Impact","value":""},{"id":150,"name":"Time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493</v>
      </c>
      <c r="B167" s="7">
        <v>4043</v>
      </c>
      <c r="C167" s="22" t="s">
        <v>99</v>
      </c>
      <c r="D167" s="22" t="s">
        <v>656</v>
      </c>
      <c r="E167" s="13">
        <v>42659.442870370367</v>
      </c>
      <c r="F167" s="13">
        <v>42659.443981481483</v>
      </c>
      <c r="G167" s="7">
        <v>1</v>
      </c>
      <c r="H167" s="13" t="s">
        <v>657</v>
      </c>
      <c r="I167" s="13">
        <v>42659.455405092594</v>
      </c>
      <c r="J167" s="7">
        <v>1</v>
      </c>
      <c r="K167" s="112" t="str">
        <f t="shared" si="92"/>
        <v>4043/4044</v>
      </c>
      <c r="L167" s="22" t="str">
        <f>VLOOKUP(A167,'Trips&amp;Operators'!$C$1:$E$10000,3,FALSE)</f>
        <v>STARKS</v>
      </c>
      <c r="M167" s="6">
        <f t="shared" si="93"/>
        <v>1.1423611111240461E-2</v>
      </c>
      <c r="N167" s="7">
        <f t="shared" si="94"/>
        <v>16.450000000186265</v>
      </c>
      <c r="O167" s="7"/>
      <c r="P167" s="7"/>
      <c r="Q167" s="23"/>
      <c r="R167" s="23"/>
      <c r="S167" s="35">
        <f t="shared" si="95"/>
        <v>1</v>
      </c>
      <c r="T167" s="50" t="str">
        <f t="shared" si="96"/>
        <v>Southbound</v>
      </c>
      <c r="U167" s="14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09:37:44-0600',mode:absolute,to:'2016-10-16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52" t="str">
        <f t="shared" si="98"/>
        <v>N</v>
      </c>
      <c r="X167" s="149">
        <f t="shared" si="99"/>
        <v>1</v>
      </c>
      <c r="Y167" s="67">
        <f t="shared" si="100"/>
        <v>5.8611000000000004</v>
      </c>
      <c r="Z167" s="67">
        <f t="shared" si="101"/>
        <v>7.3099999999999998E-2</v>
      </c>
      <c r="AA167" s="67">
        <f t="shared" si="102"/>
        <v>5.7880000000000003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103"/>
        <v>1810-16</v>
      </c>
      <c r="AE167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67" s="88" t="str">
        <f t="shared" si="105"/>
        <v>"C:\Program Files (x86)\AstroGrep\AstroGrep.exe" /spath="%USERPROFILE%\AppData\Local\Temp\OnboardLogs" /stypes="app*4043*20161016*" /stext=" 16:.+((SYSTEM_STATE.+slice.+state.+changed )|(ment ac)|(system.+state.+changed )|(\[timeout)|(PRM\|1\|D)|(kpr)|(kdp)|(\|lc)|(penalty))" /e /r /s</v>
      </c>
      <c r="AG167" s="1" t="str">
        <f t="shared" si="106"/>
        <v>NW</v>
      </c>
      <c r="AH167" s="92" t="str">
        <f t="shared" si="107"/>
        <v>"%USERPROFILE%\Documents\GitHub\eaglep3\Utilities\RefineRTDCRunTimes.py" --tripid 1810-16 --locoid 4043 --swversion DE.1.0.7.0 --startMP 300:58611 --initTime 2016-10-16T10:37:44 --startdatetime 2016-10-16T10:39:20 --delay 1 --endMP 204:731 --enddatetime 2016-10-16T10:55:47 --enforcementcount 1 &gt;&gt;C:\Users\stu\Documents\GitHub\eaglep3-reporting\EC\2016-10-16-refined-times.txt</v>
      </c>
      <c r="AI167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{"issue":{"subject":"","project_id":79,"tracker_id":40,"status_id":1,"priority_id":2,"assigned_to_id":23,"start_date":"2016-10-16","description":"","custom_fields":[{"id":1,"name":"Subdivision","value":"NW"},{"id":4,"name":"Milepost","value":"0.0731"},{"id":17,"name":"Train ID","value":"1810-16"},{"id":16,"name":"Locomotive ID","value":"4043"},{"id":130,"name":"Impact","value":""},{"id":150,"name":"Time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499</v>
      </c>
      <c r="B168" s="7">
        <v>4044</v>
      </c>
      <c r="C168" s="22" t="s">
        <v>99</v>
      </c>
      <c r="D168" s="22" t="s">
        <v>387</v>
      </c>
      <c r="E168" s="13">
        <v>42659.46943287037</v>
      </c>
      <c r="F168" s="13">
        <v>42659.473090277781</v>
      </c>
      <c r="G168" s="7">
        <v>1</v>
      </c>
      <c r="H168" s="13" t="s">
        <v>652</v>
      </c>
      <c r="I168" s="13">
        <v>42659.483518518522</v>
      </c>
      <c r="J168" s="7">
        <v>1</v>
      </c>
      <c r="K168" s="112" t="str">
        <f t="shared" si="92"/>
        <v>4043/4044</v>
      </c>
      <c r="L168" s="22" t="str">
        <f>VLOOKUP(A168,'Trips&amp;Operators'!$C$1:$E$10000,3,FALSE)</f>
        <v>STARKS</v>
      </c>
      <c r="M168" s="6">
        <f t="shared" si="93"/>
        <v>1.0428240741021E-2</v>
      </c>
      <c r="N168" s="7">
        <f t="shared" si="94"/>
        <v>15.01666666707024</v>
      </c>
      <c r="O168" s="7"/>
      <c r="P168" s="7"/>
      <c r="Q168" s="23"/>
      <c r="R168" s="23"/>
      <c r="S168" s="35">
        <f t="shared" si="95"/>
        <v>1</v>
      </c>
      <c r="T168" s="50" t="str">
        <f t="shared" si="96"/>
        <v>NorthBound</v>
      </c>
      <c r="U168" s="14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10:15:59-0600',mode:absolute,to:'2016-10-16 12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52" t="str">
        <f t="shared" si="98"/>
        <v>N</v>
      </c>
      <c r="X168" s="149">
        <f t="shared" si="99"/>
        <v>1</v>
      </c>
      <c r="Y168" s="67">
        <f t="shared" si="100"/>
        <v>0.1014</v>
      </c>
      <c r="Z168" s="67">
        <f t="shared" si="101"/>
        <v>5.8933</v>
      </c>
      <c r="AA168" s="67">
        <f t="shared" si="102"/>
        <v>5.7919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103"/>
        <v>1811-16</v>
      </c>
      <c r="AE168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68" s="88" t="str">
        <f t="shared" si="105"/>
        <v>"C:\Program Files (x86)\AstroGrep\AstroGrep.exe" /spath="%USERPROFILE%\AppData\Local\Temp\OnboardLogs" /stypes="app*4044*20161016*" /stext=" 17:.+((SYSTEM_STATE.+slice.+state.+changed )|(ment ac)|(system.+state.+changed )|(\[timeout)|(PRM\|1\|D)|(kpr)|(kdp)|(\|lc)|(penalty))" /e /r /s</v>
      </c>
      <c r="AG168" s="1" t="str">
        <f t="shared" si="106"/>
        <v>NW</v>
      </c>
      <c r="AH168" s="92" t="str">
        <f t="shared" si="107"/>
        <v>"%USERPROFILE%\Documents\GitHub\eaglep3\Utilities\RefineRTDCRunTimes.py" --tripid 1811-16 --locoid 4044 --swversion DE.1.0.7.0 --startMP 204:1014 --initTime 2016-10-16T11:15:59 --startdatetime 2016-10-16T11:21:15 --delay 1 --endMP 300:58933 --enddatetime 2016-10-16T11:36:16 --enforcementcount 1 &gt;&gt;C:\Users\stu\Documents\GitHub\eaglep3-reporting\EC\2016-10-16-refined-times.txt</v>
      </c>
      <c r="AI168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{"issue":{"subject":"","project_id":79,"tracker_id":40,"status_id":1,"priority_id":2,"assigned_to_id":23,"start_date":"2016-10-16","description":"","custom_fields":[{"id":1,"name":"Subdivision","value":"NW"},{"id":4,"name":"Milepost","value":"5.8933"},{"id":17,"name":"Train ID","value":"1811-16"},{"id":16,"name":"Locomotive ID","value":"4044"},{"id":130,"name":"Impact","value":""},{"id":150,"name":"Time of Event (Mountain Time)","value":"11:36:16"},{"id":151,"name":"Denver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503</v>
      </c>
      <c r="B169" s="7">
        <v>4043</v>
      </c>
      <c r="C169" s="22" t="s">
        <v>99</v>
      </c>
      <c r="D169" s="22" t="s">
        <v>653</v>
      </c>
      <c r="E169" s="13">
        <v>42659.484594907408</v>
      </c>
      <c r="F169" s="13">
        <v>42659.485902777778</v>
      </c>
      <c r="G169" s="7">
        <v>0</v>
      </c>
      <c r="H169" s="13" t="s">
        <v>644</v>
      </c>
      <c r="I169" s="13">
        <v>42659.498182870368</v>
      </c>
      <c r="J169" s="7">
        <v>1</v>
      </c>
      <c r="K169" s="112" t="str">
        <f t="shared" si="92"/>
        <v>4043/4044</v>
      </c>
      <c r="L169" s="22" t="str">
        <f>VLOOKUP(A169,'Trips&amp;Operators'!$C$1:$E$10000,3,FALSE)</f>
        <v>STARKS</v>
      </c>
      <c r="M169" s="6">
        <f t="shared" si="93"/>
        <v>1.2280092589207925E-2</v>
      </c>
      <c r="N169" s="7">
        <f t="shared" si="94"/>
        <v>17.683333328459412</v>
      </c>
      <c r="O169" s="7"/>
      <c r="P169" s="7"/>
      <c r="Q169" s="23"/>
      <c r="R169" s="23"/>
      <c r="S169" s="35">
        <f t="shared" si="95"/>
        <v>1</v>
      </c>
      <c r="T169" s="50" t="str">
        <f t="shared" si="96"/>
        <v>Southbound</v>
      </c>
      <c r="U169" s="14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10:37:49-0600',mode:absolute,to:'2016-10-16 12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52" t="str">
        <f t="shared" si="98"/>
        <v>N</v>
      </c>
      <c r="X169" s="149">
        <f t="shared" si="99"/>
        <v>1</v>
      </c>
      <c r="Y169" s="67">
        <f t="shared" si="100"/>
        <v>5.8620999999999999</v>
      </c>
      <c r="Z169" s="67">
        <f t="shared" si="101"/>
        <v>7.3400000000000007E-2</v>
      </c>
      <c r="AA169" s="67">
        <f t="shared" si="102"/>
        <v>5.7886999999999995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103"/>
        <v>1812-16</v>
      </c>
      <c r="AE169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69" s="88" t="str">
        <f t="shared" si="105"/>
        <v>"C:\Program Files (x86)\AstroGrep\AstroGrep.exe" /spath="%USERPROFILE%\AppData\Local\Temp\OnboardLogs" /stypes="app*4043*20161016*" /stext=" 17:.+((SYSTEM_STATE.+slice.+state.+changed )|(ment ac)|(system.+state.+changed )|(\[timeout)|(PRM\|1\|D)|(kpr)|(kdp)|(\|lc)|(penalty))" /e /r /s</v>
      </c>
      <c r="AG169" s="1" t="str">
        <f t="shared" si="106"/>
        <v>NW</v>
      </c>
      <c r="AH169" s="92" t="str">
        <f t="shared" si="107"/>
        <v>"%USERPROFILE%\Documents\GitHub\eaglep3\Utilities\RefineRTDCRunTimes.py" --tripid 1812-16 --locoid 4043 --swversion DE.1.0.7.0 --startMP 300:58621 --initTime 2016-10-16T11:37:49 --startdatetime 2016-10-16T11:39:42 --delay 0 --endMP 204:734 --enddatetime 2016-10-16T11:57:23 --enforcementcount 1 &gt;&gt;C:\Users\stu\Documents\GitHub\eaglep3-reporting\EC\2016-10-16-refined-times.txt</v>
      </c>
      <c r="AI169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{"issue":{"subject":"","project_id":79,"tracker_id":40,"status_id":1,"priority_id":2,"assigned_to_id":23,"start_date":"2016-10-16","description":"","custom_fields":[{"id":1,"name":"Subdivision","value":"NW"},{"id":4,"name":"Milepost","value":"0.0734"},{"id":17,"name":"Train ID","value":"1812-16"},{"id":16,"name":"Locomotive ID","value":"4043"},{"id":130,"name":"Impact","value":""},{"id":150,"name":"Time of Event (Mountain Time)","value":"11:57:23"},{"id":151,"name":"Denver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509</v>
      </c>
      <c r="B170" s="7">
        <v>4044</v>
      </c>
      <c r="C170" s="22" t="s">
        <v>99</v>
      </c>
      <c r="D170" s="22" t="s">
        <v>659</v>
      </c>
      <c r="E170" s="13">
        <v>42659.511122685188</v>
      </c>
      <c r="F170" s="13">
        <v>42659.514768518522</v>
      </c>
      <c r="G170" s="7">
        <v>1</v>
      </c>
      <c r="H170" s="13" t="s">
        <v>389</v>
      </c>
      <c r="I170" s="13">
        <v>42659.524988425925</v>
      </c>
      <c r="J170" s="7">
        <v>1</v>
      </c>
      <c r="K170" s="112" t="str">
        <f t="shared" si="92"/>
        <v>4043/4044</v>
      </c>
      <c r="L170" s="22" t="str">
        <f>VLOOKUP(A170,'Trips&amp;Operators'!$C$1:$E$10000,3,FALSE)</f>
        <v>STARKS</v>
      </c>
      <c r="M170" s="6">
        <f t="shared" si="93"/>
        <v>1.0219907402643003E-2</v>
      </c>
      <c r="N170" s="7">
        <f t="shared" si="94"/>
        <v>14.716666659805924</v>
      </c>
      <c r="O170" s="7"/>
      <c r="P170" s="7"/>
      <c r="Q170" s="23"/>
      <c r="R170" s="23"/>
      <c r="S170" s="35">
        <f t="shared" si="95"/>
        <v>1</v>
      </c>
      <c r="T170" s="50" t="str">
        <f t="shared" si="96"/>
        <v>NorthBound</v>
      </c>
      <c r="U170" s="14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11:16:01-0600',mode:absolute,to:'2016-10-16 13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52" t="str">
        <f t="shared" si="98"/>
        <v>N</v>
      </c>
      <c r="X170" s="149">
        <f t="shared" si="99"/>
        <v>1</v>
      </c>
      <c r="Y170" s="67">
        <f t="shared" si="100"/>
        <v>0.1002</v>
      </c>
      <c r="Z170" s="67">
        <f t="shared" si="101"/>
        <v>5.8924000000000003</v>
      </c>
      <c r="AA170" s="67">
        <f t="shared" si="102"/>
        <v>5.7922000000000002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103"/>
        <v>1813-16</v>
      </c>
      <c r="AE170" s="91" t="str">
        <f t="shared" si="10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70" s="88" t="str">
        <f t="shared" si="105"/>
        <v>"C:\Program Files (x86)\AstroGrep\AstroGrep.exe" /spath="%USERPROFILE%\AppData\Local\Temp\OnboardLogs" /stypes="app*4044*20161016*" /stext=" 18:.+((SYSTEM_STATE.+slice.+state.+changed )|(ment ac)|(system.+state.+changed )|(\[timeout)|(PRM\|1\|D)|(kpr)|(kdp)|(\|lc)|(penalty))" /e /r /s</v>
      </c>
      <c r="AG170" s="1" t="str">
        <f t="shared" si="106"/>
        <v>NW</v>
      </c>
      <c r="AH170" s="92" t="str">
        <f t="shared" si="107"/>
        <v>"%USERPROFILE%\Documents\GitHub\eaglep3\Utilities\RefineRTDCRunTimes.py" --tripid 1813-16 --locoid 4044 --swversion DE.1.0.7.0 --startMP 204:1002 --initTime 2016-10-16T12:16:01 --startdatetime 2016-10-16T12:21:16 --delay 1 --endMP 300:58924 --enddatetime 2016-10-16T12:35:59 --enforcementcount 1 &gt;&gt;C:\Users\stu\Documents\GitHub\eaglep3-reporting\EC\2016-10-16-refined-times.txt</v>
      </c>
      <c r="AI170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{"issue":{"subject":"","project_id":79,"tracker_id":40,"status_id":1,"priority_id":2,"assigned_to_id":23,"start_date":"2016-10-16","description":"","custom_fields":[{"id":1,"name":"Subdivision","value":"NW"},{"id":4,"name":"Milepost","value":"5.8924"},{"id":17,"name":"Train ID","value":"1813-16"},{"id":16,"name":"Locomotive ID","value":"4044"},{"id":130,"name":"Impact","value":""},{"id":150,"name":"Time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513</v>
      </c>
      <c r="B171" s="7">
        <v>4043</v>
      </c>
      <c r="C171" s="22" t="s">
        <v>99</v>
      </c>
      <c r="D171" s="22" t="s">
        <v>361</v>
      </c>
      <c r="E171" s="13">
        <v>42659.526273148149</v>
      </c>
      <c r="F171" s="13">
        <v>42659.52753472222</v>
      </c>
      <c r="G171" s="7">
        <v>0</v>
      </c>
      <c r="H171" s="13" t="s">
        <v>357</v>
      </c>
      <c r="I171" s="13">
        <v>42659.538472222222</v>
      </c>
      <c r="J171" s="7">
        <v>1</v>
      </c>
      <c r="K171" s="112" t="str">
        <f t="shared" si="92"/>
        <v>4043/4044</v>
      </c>
      <c r="L171" s="22" t="str">
        <f>VLOOKUP(A171,'Trips&amp;Operators'!$C$1:$E$10000,3,FALSE)</f>
        <v>STARKS</v>
      </c>
      <c r="M171" s="6">
        <f t="shared" si="93"/>
        <v>1.0937500002910383E-2</v>
      </c>
      <c r="N171" s="7">
        <f t="shared" si="94"/>
        <v>15.750000004190952</v>
      </c>
      <c r="O171" s="7"/>
      <c r="P171" s="7"/>
      <c r="Q171" s="23"/>
      <c r="R171" s="23"/>
      <c r="S171" s="35">
        <f t="shared" si="95"/>
        <v>1</v>
      </c>
      <c r="T171" s="50" t="str">
        <f t="shared" si="96"/>
        <v>Southbound</v>
      </c>
      <c r="U171" s="14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97"/>
        <v>https://search-rtdc-monitor-bjffxe2xuh6vdkpspy63sjmuny.us-east-1.es.amazonaws.com/_plugin/kibana/#/discover/Steve-Slow-Train-Analysis-(2080s-and-2083s)?_g=(refreshInterval:(display:Off,section:0,value:0),time:(from:'2016-10-16 11:37:50-0600',mode:absolute,to:'2016-10-16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52" t="str">
        <f t="shared" si="98"/>
        <v>N</v>
      </c>
      <c r="X171" s="149">
        <f t="shared" si="99"/>
        <v>1</v>
      </c>
      <c r="Y171" s="67">
        <f t="shared" si="100"/>
        <v>5.8619000000000003</v>
      </c>
      <c r="Z171" s="67">
        <f t="shared" si="101"/>
        <v>7.2400000000000006E-2</v>
      </c>
      <c r="AA171" s="67">
        <f t="shared" si="102"/>
        <v>5.7895000000000003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103"/>
        <v>1814-16</v>
      </c>
      <c r="AE171" s="91" t="str">
        <f t="shared" si="10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71" s="88" t="str">
        <f t="shared" si="105"/>
        <v>"C:\Program Files (x86)\AstroGrep\AstroGrep.exe" /spath="%USERPROFILE%\AppData\Local\Temp\OnboardLogs" /stypes="app*4043*20161016*" /stext=" 18:.+((SYSTEM_STATE.+slice.+state.+changed )|(ment ac)|(system.+state.+changed )|(\[timeout)|(PRM\|1\|D)|(kpr)|(kdp)|(\|lc)|(penalty))" /e /r /s</v>
      </c>
      <c r="AG171" s="1" t="str">
        <f t="shared" si="106"/>
        <v>NW</v>
      </c>
      <c r="AH171" s="92" t="str">
        <f t="shared" si="107"/>
        <v>"%USERPROFILE%\Documents\GitHub\eaglep3\Utilities\RefineRTDCRunTimes.py" --tripid 1814-16 --locoid 4043 --swversion DE.1.0.7.0 --startMP 300:58619 --initTime 2016-10-16T12:37:50 --startdatetime 2016-10-16T12:39:39 --delay 0 --endMP 204:724 --enddatetime 2016-10-16T12:55:24 --enforcementcount 1 &gt;&gt;C:\Users\stu\Documents\GitHub\eaglep3-reporting\EC\2016-10-16-refined-times.txt</v>
      </c>
      <c r="AI171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{"issue":{"subject":"","project_id":79,"tracker_id":40,"status_id":1,"priority_id":2,"assigned_to_id":23,"start_date":"2016-10-16","description":"","custom_fields":[{"id":1,"name":"Subdivision","value":"NW"},{"id":4,"name":"Milepost","value":"0.0724"},{"id":17,"name":"Train ID","value":"1814-16"},{"id":16,"name":"Locomotive ID","value":"4043"},{"id":130,"name":"Impact","value":""},{"id":150,"name":"Time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518</v>
      </c>
      <c r="B172" s="7">
        <v>4044</v>
      </c>
      <c r="C172" s="22" t="s">
        <v>99</v>
      </c>
      <c r="D172" s="22" t="s">
        <v>660</v>
      </c>
      <c r="E172" s="13">
        <v>42659.553854166668</v>
      </c>
      <c r="F172" s="13">
        <v>42659.556423611109</v>
      </c>
      <c r="G172" s="7">
        <v>1</v>
      </c>
      <c r="H172" s="13" t="s">
        <v>652</v>
      </c>
      <c r="I172" s="13">
        <v>42659.56627314815</v>
      </c>
      <c r="J172" s="7">
        <v>1</v>
      </c>
      <c r="K172" s="112" t="str">
        <f t="shared" ref="K172:K204" si="109">IF(ISEVEN(B172),(B172-1)&amp;"/"&amp;B172,B172&amp;"/"&amp;(B172+1))</f>
        <v>4043/4044</v>
      </c>
      <c r="L172" s="22" t="str">
        <f>VLOOKUP(A172,'Trips&amp;Operators'!$C$1:$E$10000,3,FALSE)</f>
        <v>STARKS</v>
      </c>
      <c r="M172" s="6">
        <f t="shared" ref="M172:M204" si="110">I172-F172</f>
        <v>9.8495370402815752E-3</v>
      </c>
      <c r="N172" s="7">
        <f t="shared" ref="N172:P204" si="111">24*60*SUM($M172:$M172)</f>
        <v>14.183333338005468</v>
      </c>
      <c r="O172" s="7"/>
      <c r="P172" s="7"/>
      <c r="Q172" s="23"/>
      <c r="R172" s="23"/>
      <c r="S172" s="35">
        <f t="shared" ref="S172:S204" si="112">SUM(U172:U172)/IF(AG172="EC",12,1)</f>
        <v>1</v>
      </c>
      <c r="T172" s="50" t="str">
        <f t="shared" ref="T172:T204" si="113">IF(ISEVEN(LEFT(AD172,4)),"Southbound","NorthBound")</f>
        <v>NorthBound</v>
      </c>
      <c r="U172" s="14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ref="V172:V204" si="114"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https://search-rtdc-monitor-bjffxe2xuh6vdkpspy63sjmuny.us-east-1.es.amazonaws.com/_plugin/kibana/#/discover/Steve-Slow-Train-Analysis-(2080s-and-2083s)?_g=(refreshInterval:(display:Off,section:0,value:0),time:(from:'2016-10-16 12:17:33-0600',mode:absolute,to:'2016-10-16 14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52" t="str">
        <f t="shared" ref="W172:W204" si="115">IF(AA172&lt;IF(AG172="EC",23,5.65),"Y","N")</f>
        <v>N</v>
      </c>
      <c r="X172" s="149">
        <f t="shared" ref="X172:X204" si="116">VALUE(LEFT(AD172,4))-VALUE(LEFT(AD171,4))</f>
        <v>1</v>
      </c>
      <c r="Y172" s="67">
        <f t="shared" ref="Y172:Y204" si="117">RIGHT(D172,LEN(D172)-4)/10000</f>
        <v>0.10059999999999999</v>
      </c>
      <c r="Z172" s="67">
        <f t="shared" ref="Z172:Z204" si="118">RIGHT(H172,LEN(H172)-4)/10000</f>
        <v>5.8933</v>
      </c>
      <c r="AA172" s="67">
        <f t="shared" ref="AA172:AA204" si="119">ABS(Z172-Y172)</f>
        <v>5.7927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ref="AD172:AD204" si="120">IF(LEN(A172)=6,"0"&amp;A172,A172)</f>
        <v>1815-16</v>
      </c>
      <c r="AE172" s="91" t="str">
        <f t="shared" ref="AE172:AE204" si="121"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72" s="88" t="str">
        <f t="shared" ref="AF172:AF204" si="122"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/stypes="app*4044*20161016*" /stext=" 19:.+((SYSTEM_STATE.+slice.+state.+changed )|(ment ac)|(system.+state.+changed )|(\[timeout)|(PRM\|1\|D)|(kpr)|(kdp)|(\|lc)|(penalty))" /e /r /s</v>
      </c>
      <c r="AG172" s="1" t="str">
        <f t="shared" ref="AG172:AG204" si="123">IFERROR(IF(VALUE(LEFT(AD172,2))&lt;=2,"EC",IF(OR(VALUE(LEFT(AD172,2))=8,VALUE(LEFT(AD172,2))=18),"NW","Other")),"Other")</f>
        <v>NW</v>
      </c>
      <c r="AH172" s="92" t="str">
        <f t="shared" si="107"/>
        <v>"%USERPROFILE%\Documents\GitHub\eaglep3\Utilities\RefineRTDCRunTimes.py" --tripid 1815-16 --locoid 4044 --swversion DE.1.0.7.0 --startMP 204:1006 --initTime 2016-10-16T13:17:33 --startdatetime 2016-10-16T13:21:15 --delay 1 --endMP 300:58933 --enddatetime 2016-10-16T13:35:26 --enforcementcount 1 &gt;&gt;C:\Users\stu\Documents\GitHub\eaglep3-reporting\EC\2016-10-16-refined-times.txt</v>
      </c>
      <c r="AI172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{"issue":{"subject":"","project_id":79,"tracker_id":40,"status_id":1,"priority_id":2,"assigned_to_id":23,"start_date":"2016-10-16","description":"","custom_fields":[{"id":1,"name":"Subdivision","value":"NW"},{"id":4,"name":"Milepost","value":"5.8933"},{"id":17,"name":"Train ID","value":"1815-16"},{"id":16,"name":"Locomotive ID","value":"4044"},{"id":130,"name":"Impact","value":""},{"id":150,"name":"Time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521</v>
      </c>
      <c r="B173" s="7">
        <v>4043</v>
      </c>
      <c r="C173" s="22" t="s">
        <v>99</v>
      </c>
      <c r="D173" s="22" t="s">
        <v>653</v>
      </c>
      <c r="E173" s="13">
        <v>42659.567673611113</v>
      </c>
      <c r="F173" s="13">
        <v>42659.568773148145</v>
      </c>
      <c r="G173" s="7">
        <v>1</v>
      </c>
      <c r="H173" s="13" t="s">
        <v>661</v>
      </c>
      <c r="I173" s="13">
        <v>42659.580150462964</v>
      </c>
      <c r="J173" s="7">
        <v>1</v>
      </c>
      <c r="K173" s="112" t="str">
        <f t="shared" si="109"/>
        <v>4043/4044</v>
      </c>
      <c r="L173" s="22" t="str">
        <f>VLOOKUP(A173,'Trips&amp;Operators'!$C$1:$E$10000,3,FALSE)</f>
        <v>STARKS</v>
      </c>
      <c r="M173" s="6">
        <f t="shared" si="110"/>
        <v>1.1377314818673767E-2</v>
      </c>
      <c r="N173" s="7">
        <f t="shared" si="111"/>
        <v>16.383333338890225</v>
      </c>
      <c r="O173" s="7"/>
      <c r="P173" s="7"/>
      <c r="Q173" s="23"/>
      <c r="R173" s="23"/>
      <c r="S173" s="35">
        <f t="shared" si="112"/>
        <v>1</v>
      </c>
      <c r="T173" s="50" t="str">
        <f t="shared" si="113"/>
        <v>Southbound</v>
      </c>
      <c r="U173" s="14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12:37:27-0600',mode:absolute,to:'2016-10-16 14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52" t="str">
        <f t="shared" si="115"/>
        <v>N</v>
      </c>
      <c r="X173" s="149">
        <f t="shared" si="116"/>
        <v>1</v>
      </c>
      <c r="Y173" s="67">
        <f t="shared" si="117"/>
        <v>5.8620999999999999</v>
      </c>
      <c r="Z173" s="67">
        <f t="shared" si="118"/>
        <v>7.1199999999999999E-2</v>
      </c>
      <c r="AA173" s="67">
        <f t="shared" si="119"/>
        <v>5.7908999999999997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20"/>
        <v>1816-16</v>
      </c>
      <c r="AE173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73" s="88" t="str">
        <f t="shared" si="122"/>
        <v>"C:\Program Files (x86)\AstroGrep\AstroGrep.exe" /spath="%USERPROFILE%\AppData\Local\Temp\OnboardLogs" /stypes="app*4043*20161016*" /stext=" 19:.+((SYSTEM_STATE.+slice.+state.+changed )|(ment ac)|(system.+state.+changed )|(\[timeout)|(PRM\|1\|D)|(kpr)|(kdp)|(\|lc)|(penalty))" /e /r /s</v>
      </c>
      <c r="AG173" s="1" t="str">
        <f t="shared" si="123"/>
        <v>NW</v>
      </c>
      <c r="AH173" s="92" t="str">
        <f t="shared" si="107"/>
        <v>"%USERPROFILE%\Documents\GitHub\eaglep3\Utilities\RefineRTDCRunTimes.py" --tripid 1816-16 --locoid 4043 --swversion DE.1.0.7.0 --startMP 300:58621 --initTime 2016-10-16T13:37:27 --startdatetime 2016-10-16T13:39:02 --delay 1 --endMP 204:712 --enddatetime 2016-10-16T13:55:25 --enforcementcount 1 &gt;&gt;C:\Users\stu\Documents\GitHub\eaglep3-reporting\EC\2016-10-16-refined-times.txt</v>
      </c>
      <c r="AI173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{"issue":{"subject":"","project_id":79,"tracker_id":40,"status_id":1,"priority_id":2,"assigned_to_id":23,"start_date":"2016-10-16","description":"","custom_fields":[{"id":1,"name":"Subdivision","value":"NW"},{"id":4,"name":"Milepost","value":"0.0712"},{"id":17,"name":"Train ID","value":"1816-16"},{"id":16,"name":"Locomotive ID","value":"4043"},{"id":130,"name":"Impact","value":""},{"id":150,"name":"Time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526</v>
      </c>
      <c r="B174" s="7">
        <v>4044</v>
      </c>
      <c r="C174" s="22" t="s">
        <v>99</v>
      </c>
      <c r="D174" s="22" t="s">
        <v>392</v>
      </c>
      <c r="E174" s="13">
        <v>42659.591909722221</v>
      </c>
      <c r="F174" s="13">
        <v>42659.598124999997</v>
      </c>
      <c r="G174" s="7">
        <v>2</v>
      </c>
      <c r="H174" s="13" t="s">
        <v>662</v>
      </c>
      <c r="I174" s="13">
        <v>42659.607488425929</v>
      </c>
      <c r="J174" s="7">
        <v>1</v>
      </c>
      <c r="K174" s="112" t="str">
        <f t="shared" si="109"/>
        <v>4043/4044</v>
      </c>
      <c r="L174" s="22" t="str">
        <f>VLOOKUP(A174,'Trips&amp;Operators'!$C$1:$E$10000,3,FALSE)</f>
        <v>BROWN</v>
      </c>
      <c r="M174" s="6">
        <f t="shared" si="110"/>
        <v>9.3634259319514968E-3</v>
      </c>
      <c r="N174" s="7">
        <f t="shared" si="111"/>
        <v>13.483333342010155</v>
      </c>
      <c r="O174" s="7"/>
      <c r="P174" s="7"/>
      <c r="Q174" s="23"/>
      <c r="R174" s="23"/>
      <c r="S174" s="35">
        <f t="shared" si="112"/>
        <v>1</v>
      </c>
      <c r="T174" s="50" t="str">
        <f t="shared" si="113"/>
        <v>NorthBound</v>
      </c>
      <c r="U174" s="14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13:12:21-0600',mode:absolute,to:'2016-10-16 15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4" s="52" t="str">
        <f t="shared" si="115"/>
        <v>N</v>
      </c>
      <c r="X174" s="149">
        <f t="shared" si="116"/>
        <v>1</v>
      </c>
      <c r="Y174" s="67">
        <f t="shared" si="117"/>
        <v>0.1009</v>
      </c>
      <c r="Z174" s="67">
        <f t="shared" si="118"/>
        <v>5.8959999999999999</v>
      </c>
      <c r="AA174" s="67">
        <f t="shared" si="119"/>
        <v>5.7950999999999997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20"/>
        <v>1817-16</v>
      </c>
      <c r="AE174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74" s="88" t="str">
        <f t="shared" si="122"/>
        <v>"C:\Program Files (x86)\AstroGrep\AstroGrep.exe" /spath="%USERPROFILE%\AppData\Local\Temp\OnboardLogs" /stypes="app*4044*20161016*" /stext=" 20:.+((SYSTEM_STATE.+slice.+state.+changed )|(ment ac)|(system.+state.+changed )|(\[timeout)|(PRM\|1\|D)|(kpr)|(kdp)|(\|lc)|(penalty))" /e /r /s</v>
      </c>
      <c r="AG174" s="1" t="str">
        <f t="shared" si="123"/>
        <v>NW</v>
      </c>
      <c r="AH174" s="92" t="str">
        <f t="shared" si="107"/>
        <v>"%USERPROFILE%\Documents\GitHub\eaglep3\Utilities\RefineRTDCRunTimes.py" --tripid 1817-16 --locoid 4044 --swversion DE.1.0.7.0 --startMP 204:1009 --initTime 2016-10-16T14:12:21 --startdatetime 2016-10-16T14:21:18 --delay 2 --endMP 300:58960 --enddatetime 2016-10-16T14:34:47 --enforcementcount 1 &gt;&gt;C:\Users\stu\Documents\GitHub\eaglep3-reporting\EC\2016-10-16-refined-times.txt</v>
      </c>
      <c r="AI174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{"issue":{"subject":"","project_id":79,"tracker_id":40,"status_id":1,"priority_id":2,"assigned_to_id":23,"start_date":"2016-10-16","description":"","custom_fields":[{"id":1,"name":"Subdivision","value":"NW"},{"id":4,"name":"Milepost","value":"5.896"},{"id":17,"name":"Train ID","value":"1817-16"},{"id":16,"name":"Locomotive ID","value":"4044"},{"id":130,"name":"Impact","value":""},{"id":150,"name":"Time of Event (Mountain Time)","value":"14:34:47"},{"id":151,"name":"Denver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530</v>
      </c>
      <c r="B175" s="7">
        <v>4043</v>
      </c>
      <c r="C175" s="22" t="s">
        <v>99</v>
      </c>
      <c r="D175" s="22" t="s">
        <v>663</v>
      </c>
      <c r="E175" s="13">
        <v>42659.608553240738</v>
      </c>
      <c r="F175" s="13">
        <v>42659.61</v>
      </c>
      <c r="G175" s="7">
        <v>1</v>
      </c>
      <c r="H175" s="13" t="s">
        <v>657</v>
      </c>
      <c r="I175" s="13">
        <v>42659.620891203704</v>
      </c>
      <c r="J175" s="7">
        <v>1</v>
      </c>
      <c r="K175" s="112" t="str">
        <f t="shared" si="109"/>
        <v>4043/4044</v>
      </c>
      <c r="L175" s="22" t="str">
        <f>VLOOKUP(A175,'Trips&amp;Operators'!$C$1:$E$10000,3,FALSE)</f>
        <v>BROWN</v>
      </c>
      <c r="M175" s="6">
        <f t="shared" si="110"/>
        <v>1.0891203703067731E-2</v>
      </c>
      <c r="N175" s="7">
        <f t="shared" si="111"/>
        <v>15.683333332417533</v>
      </c>
      <c r="O175" s="7"/>
      <c r="P175" s="7"/>
      <c r="Q175" s="23"/>
      <c r="R175" s="23"/>
      <c r="S175" s="35">
        <f t="shared" si="112"/>
        <v>1</v>
      </c>
      <c r="T175" s="50" t="str">
        <f t="shared" si="113"/>
        <v>Southbound</v>
      </c>
      <c r="U175" s="14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13:36:19-0600',mode:absolute,to:'2016-10-16 15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5" s="52" t="str">
        <f t="shared" si="115"/>
        <v>N</v>
      </c>
      <c r="X175" s="149">
        <f t="shared" si="116"/>
        <v>1</v>
      </c>
      <c r="Y175" s="67">
        <f t="shared" si="117"/>
        <v>5.8658000000000001</v>
      </c>
      <c r="Z175" s="67">
        <f t="shared" si="118"/>
        <v>7.3099999999999998E-2</v>
      </c>
      <c r="AA175" s="67">
        <f t="shared" si="119"/>
        <v>5.7927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20"/>
        <v>1818-16</v>
      </c>
      <c r="AE175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75" s="88" t="str">
        <f t="shared" si="122"/>
        <v>"C:\Program Files (x86)\AstroGrep\AstroGrep.exe" /spath="%USERPROFILE%\AppData\Local\Temp\OnboardLogs" /stypes="app*4043*20161016*" /stext=" 20:.+((SYSTEM_STATE.+slice.+state.+changed )|(ment ac)|(system.+state.+changed )|(\[timeout)|(PRM\|1\|D)|(kpr)|(kdp)|(\|lc)|(penalty))" /e /r /s</v>
      </c>
      <c r="AG175" s="1" t="str">
        <f t="shared" si="123"/>
        <v>NW</v>
      </c>
      <c r="AH175" s="92" t="str">
        <f t="shared" si="107"/>
        <v>"%USERPROFILE%\Documents\GitHub\eaglep3\Utilities\RefineRTDCRunTimes.py" --tripid 1818-16 --locoid 4043 --swversion DE.1.0.7.0 --startMP 300:58658 --initTime 2016-10-16T14:36:19 --startdatetime 2016-10-16T14:38:24 --delay 1 --endMP 204:731 --enddatetime 2016-10-16T14:54:05 --enforcementcount 1 &gt;&gt;C:\Users\stu\Documents\GitHub\eaglep3-reporting\EC\2016-10-16-refined-times.txt</v>
      </c>
      <c r="AI175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{"issue":{"subject":"","project_id":79,"tracker_id":40,"status_id":1,"priority_id":2,"assigned_to_id":23,"start_date":"2016-10-16","description":"","custom_fields":[{"id":1,"name":"Subdivision","value":"NW"},{"id":4,"name":"Milepost","value":"0.0731"},{"id":17,"name":"Train ID","value":"1818-16"},{"id":16,"name":"Locomotive ID","value":"4043"},{"id":130,"name":"Impact","value":""},{"id":150,"name":"Time of Event (Mountain Time)","value":"14:54:05"},{"id":151,"name":"Denver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536</v>
      </c>
      <c r="B176" s="7">
        <v>4044</v>
      </c>
      <c r="C176" s="22" t="s">
        <v>99</v>
      </c>
      <c r="D176" s="22" t="s">
        <v>359</v>
      </c>
      <c r="E176" s="13">
        <v>42659.635925925926</v>
      </c>
      <c r="F176" s="13">
        <v>42659.639918981484</v>
      </c>
      <c r="G176" s="7">
        <v>1</v>
      </c>
      <c r="H176" s="13" t="s">
        <v>664</v>
      </c>
      <c r="I176" s="13">
        <v>42659.649386574078</v>
      </c>
      <c r="J176" s="7">
        <v>1</v>
      </c>
      <c r="K176" s="112" t="str">
        <f t="shared" si="109"/>
        <v>4043/4044</v>
      </c>
      <c r="L176" s="22" t="str">
        <f>VLOOKUP(A176,'Trips&amp;Operators'!$C$1:$E$10000,3,FALSE)</f>
        <v>BROWN</v>
      </c>
      <c r="M176" s="6">
        <f t="shared" si="110"/>
        <v>9.4675925938645378E-3</v>
      </c>
      <c r="N176" s="7">
        <f t="shared" si="111"/>
        <v>13.633333335164934</v>
      </c>
      <c r="O176" s="7"/>
      <c r="P176" s="7"/>
      <c r="Q176" s="23"/>
      <c r="R176" s="23"/>
      <c r="S176" s="35">
        <f t="shared" si="112"/>
        <v>1</v>
      </c>
      <c r="T176" s="50" t="str">
        <f t="shared" si="113"/>
        <v>NorthBound</v>
      </c>
      <c r="U176" s="14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14:15:44-0600',mode:absolute,to:'2016-10-16 16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6" s="52" t="str">
        <f t="shared" si="115"/>
        <v>N</v>
      </c>
      <c r="X176" s="149">
        <f t="shared" si="116"/>
        <v>1</v>
      </c>
      <c r="Y176" s="67">
        <f t="shared" si="117"/>
        <v>0.1018</v>
      </c>
      <c r="Z176" s="67">
        <f t="shared" si="118"/>
        <v>5.8975</v>
      </c>
      <c r="AA176" s="67">
        <f t="shared" si="119"/>
        <v>5.7957000000000001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20"/>
        <v>1819-16</v>
      </c>
      <c r="AE176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76" s="88" t="str">
        <f t="shared" si="122"/>
        <v>"C:\Program Files (x86)\AstroGrep\AstroGrep.exe" /spath="%USERPROFILE%\AppData\Local\Temp\OnboardLogs" /stypes="app*4044*20161016*" /stext=" 21:.+((SYSTEM_STATE.+slice.+state.+changed )|(ment ac)|(system.+state.+changed )|(\[timeout)|(PRM\|1\|D)|(kpr)|(kdp)|(\|lc)|(penalty))" /e /r /s</v>
      </c>
      <c r="AG176" s="1" t="str">
        <f t="shared" si="123"/>
        <v>NW</v>
      </c>
      <c r="AH176" s="92" t="str">
        <f t="shared" si="107"/>
        <v>"%USERPROFILE%\Documents\GitHub\eaglep3\Utilities\RefineRTDCRunTimes.py" --tripid 1819-16 --locoid 4044 --swversion DE.1.0.7.0 --startMP 204:1018 --initTime 2016-10-16T15:15:44 --startdatetime 2016-10-16T15:21:29 --delay 1 --endMP 300:58975 --enddatetime 2016-10-16T15:35:07 --enforcementcount 1 &gt;&gt;C:\Users\stu\Documents\GitHub\eaglep3-reporting\EC\2016-10-16-refined-times.txt</v>
      </c>
      <c r="AI176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{"issue":{"subject":"","project_id":79,"tracker_id":40,"status_id":1,"priority_id":2,"assigned_to_id":23,"start_date":"2016-10-16","description":"","custom_fields":[{"id":1,"name":"Subdivision","value":"NW"},{"id":4,"name":"Milepost","value":"5.8975"},{"id":17,"name":"Train ID","value":"1819-16"},{"id":16,"name":"Locomotive ID","value":"4044"},{"id":130,"name":"Impact","value":""},{"id":150,"name":"Time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540</v>
      </c>
      <c r="B177" s="7">
        <v>4043</v>
      </c>
      <c r="C177" s="22" t="s">
        <v>99</v>
      </c>
      <c r="D177" s="22" t="s">
        <v>663</v>
      </c>
      <c r="E177" s="13">
        <v>42659.650231481479</v>
      </c>
      <c r="F177" s="13">
        <v>42659.681516203702</v>
      </c>
      <c r="G177" s="7">
        <v>1</v>
      </c>
      <c r="H177" s="13" t="s">
        <v>394</v>
      </c>
      <c r="I177" s="13">
        <v>42659.690520833334</v>
      </c>
      <c r="J177" s="7">
        <v>1</v>
      </c>
      <c r="K177" s="112" t="str">
        <f t="shared" si="109"/>
        <v>4043/4044</v>
      </c>
      <c r="L177" s="22" t="str">
        <f>VLOOKUP(A177,'Trips&amp;Operators'!$C$1:$E$10000,3,FALSE)</f>
        <v>BROWN</v>
      </c>
      <c r="M177" s="6">
        <f t="shared" si="110"/>
        <v>9.0046296318178065E-3</v>
      </c>
      <c r="N177" s="7">
        <f t="shared" si="111"/>
        <v>12.966666669817641</v>
      </c>
      <c r="O177" s="7"/>
      <c r="P177" s="7"/>
      <c r="Q177" s="23"/>
      <c r="R177" s="23"/>
      <c r="S177" s="35">
        <f t="shared" si="112"/>
        <v>1</v>
      </c>
      <c r="T177" s="50" t="str">
        <f t="shared" si="113"/>
        <v>Southbound</v>
      </c>
      <c r="U177" s="14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14:36:20-0600',mode:absolute,to:'2016-10-16 17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7" s="52" t="str">
        <f t="shared" si="115"/>
        <v>N</v>
      </c>
      <c r="X177" s="149">
        <f t="shared" si="116"/>
        <v>1</v>
      </c>
      <c r="Y177" s="67">
        <f t="shared" si="117"/>
        <v>5.8658000000000001</v>
      </c>
      <c r="Z177" s="67">
        <f t="shared" si="118"/>
        <v>7.17E-2</v>
      </c>
      <c r="AA177" s="67">
        <f t="shared" si="119"/>
        <v>5.7941000000000003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20"/>
        <v>1820-16</v>
      </c>
      <c r="AE177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77" s="88" t="str">
        <f t="shared" si="122"/>
        <v>"C:\Program Files (x86)\AstroGrep\AstroGrep.exe" /spath="%USERPROFILE%\AppData\Local\Temp\OnboardLogs" /stypes="app*4043*20161016*" /stext=" 22:.+((SYSTEM_STATE.+slice.+state.+changed )|(ment ac)|(system.+state.+changed )|(\[timeout)|(PRM\|1\|D)|(kpr)|(kdp)|(\|lc)|(penalty))" /e /r /s</v>
      </c>
      <c r="AG177" s="1" t="str">
        <f t="shared" si="123"/>
        <v>NW</v>
      </c>
      <c r="AH177" s="92" t="str">
        <f t="shared" si="107"/>
        <v>"%USERPROFILE%\Documents\GitHub\eaglep3\Utilities\RefineRTDCRunTimes.py" --tripid 1820-16 --locoid 4043 --swversion DE.1.0.7.0 --startMP 300:58658 --initTime 2016-10-16T15:36:20 --startdatetime 2016-10-16T16:21:23 --delay 1 --endMP 204:717 --enddatetime 2016-10-16T16:34:21 --enforcementcount 1 &gt;&gt;C:\Users\stu\Documents\GitHub\eaglep3-reporting\EC\2016-10-16-refined-times.txt</v>
      </c>
      <c r="AI177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{"issue":{"subject":"","project_id":79,"tracker_id":40,"status_id":1,"priority_id":2,"assigned_to_id":23,"start_date":"2016-10-16","description":"","custom_fields":[{"id":1,"name":"Subdivision","value":"NW"},{"id":4,"name":"Milepost","value":"0.0717"},{"id":17,"name":"Train ID","value":"1820-16"},{"id":16,"name":"Locomotive ID","value":"4043"},{"id":130,"name":"Impact","value":""},{"id":150,"name":"Time of Event (Mountain Time)","value":"16:34:21"},{"id":151,"name":"Denver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546</v>
      </c>
      <c r="B178" s="7">
        <v>4044</v>
      </c>
      <c r="C178" s="22" t="s">
        <v>99</v>
      </c>
      <c r="D178" s="22" t="s">
        <v>666</v>
      </c>
      <c r="E178" s="13">
        <v>42659.673622685186</v>
      </c>
      <c r="F178" s="13">
        <v>42659.681516203702</v>
      </c>
      <c r="G178" s="7">
        <v>1</v>
      </c>
      <c r="H178" s="13" t="s">
        <v>667</v>
      </c>
      <c r="I178" s="13">
        <v>42659.690520833334</v>
      </c>
      <c r="J178" s="7">
        <v>1</v>
      </c>
      <c r="K178" s="112" t="str">
        <f t="shared" si="109"/>
        <v>4043/4044</v>
      </c>
      <c r="L178" s="22" t="str">
        <f>VLOOKUP(A178,'Trips&amp;Operators'!$C$1:$E$10000,3,FALSE)</f>
        <v>BROWN</v>
      </c>
      <c r="M178" s="6">
        <f t="shared" si="110"/>
        <v>9.0046296318178065E-3</v>
      </c>
      <c r="N178" s="7">
        <f t="shared" si="111"/>
        <v>12.966666669817641</v>
      </c>
      <c r="O178" s="7"/>
      <c r="P178" s="7"/>
      <c r="Q178" s="23"/>
      <c r="R178" s="23"/>
      <c r="S178" s="35">
        <f t="shared" si="112"/>
        <v>1</v>
      </c>
      <c r="T178" s="50" t="str">
        <f t="shared" si="113"/>
        <v>NorthBound</v>
      </c>
      <c r="U178" s="14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15:10:01-0600',mode:absolute,to:'2016-10-16 17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52" t="str">
        <f t="shared" si="115"/>
        <v>N</v>
      </c>
      <c r="X178" s="149">
        <f t="shared" si="116"/>
        <v>1</v>
      </c>
      <c r="Y178" s="67">
        <f t="shared" si="117"/>
        <v>0.1013</v>
      </c>
      <c r="Z178" s="67">
        <f t="shared" si="118"/>
        <v>5.8948</v>
      </c>
      <c r="AA178" s="67">
        <f t="shared" si="119"/>
        <v>5.7934999999999999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20"/>
        <v>1821-16</v>
      </c>
      <c r="AE178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78" s="88" t="str">
        <f t="shared" si="122"/>
        <v>"C:\Program Files (x86)\AstroGrep\AstroGrep.exe" /spath="%USERPROFILE%\AppData\Local\Temp\OnboardLogs" /stypes="app*4044*20161016*" /stext=" 22:.+((SYSTEM_STATE.+slice.+state.+changed )|(ment ac)|(system.+state.+changed )|(\[timeout)|(PRM\|1\|D)|(kpr)|(kdp)|(\|lc)|(penalty))" /e /r /s</v>
      </c>
      <c r="AG178" s="1" t="str">
        <f t="shared" si="123"/>
        <v>NW</v>
      </c>
      <c r="AH178" s="92" t="str">
        <f t="shared" si="107"/>
        <v>"%USERPROFILE%\Documents\GitHub\eaglep3\Utilities\RefineRTDCRunTimes.py" --tripid 1821-16 --locoid 4044 --swversion DE.1.0.7.0 --startMP 204:1013 --initTime 2016-10-16T16:10:01 --startdatetime 2016-10-16T16:21:23 --delay 1 --endMP 300:58948 --enddatetime 2016-10-16T16:34:21 --enforcementcount 1 &gt;&gt;C:\Users\stu\Documents\GitHub\eaglep3-reporting\EC\2016-10-16-refined-times.txt</v>
      </c>
      <c r="AI178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{"issue":{"subject":"","project_id":79,"tracker_id":40,"status_id":1,"priority_id":2,"assigned_to_id":23,"start_date":"2016-10-16","description":"","custom_fields":[{"id":1,"name":"Subdivision","value":"NW"},{"id":4,"name":"Milepost","value":"5.8948"},{"id":17,"name":"Train ID","value":"1821-16"},{"id":16,"name":"Locomotive ID","value":"4044"},{"id":130,"name":"Impact","value":""},{"id":150,"name":"Time of Event (Mountain Time)","value":"16:34:21"},{"id":151,"name":"Denver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549</v>
      </c>
      <c r="B179" s="7">
        <v>4043</v>
      </c>
      <c r="C179" s="22" t="s">
        <v>99</v>
      </c>
      <c r="D179" s="22" t="s">
        <v>668</v>
      </c>
      <c r="E179" s="13">
        <v>42659.691446759258</v>
      </c>
      <c r="F179" s="13">
        <v>42659.692615740743</v>
      </c>
      <c r="G179" s="7">
        <v>0</v>
      </c>
      <c r="H179" s="13" t="s">
        <v>388</v>
      </c>
      <c r="I179" s="13">
        <v>42659.704259259262</v>
      </c>
      <c r="J179" s="7">
        <v>1</v>
      </c>
      <c r="K179" s="112" t="str">
        <f t="shared" si="109"/>
        <v>4043/4044</v>
      </c>
      <c r="L179" s="22" t="str">
        <f>VLOOKUP(A179,'Trips&amp;Operators'!$C$1:$E$10000,3,FALSE)</f>
        <v>BROWN</v>
      </c>
      <c r="M179" s="6">
        <f t="shared" si="110"/>
        <v>1.1643518519122154E-2</v>
      </c>
      <c r="N179" s="7">
        <f t="shared" si="111"/>
        <v>16.766666667535901</v>
      </c>
      <c r="O179" s="7"/>
      <c r="P179" s="7"/>
      <c r="Q179" s="23"/>
      <c r="R179" s="23"/>
      <c r="S179" s="35">
        <f t="shared" si="112"/>
        <v>1</v>
      </c>
      <c r="T179" s="50" t="str">
        <f t="shared" si="113"/>
        <v>Southbound</v>
      </c>
      <c r="U179" s="14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15:35:41-0600',mode:absolute,to:'2016-10-16 17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9" s="52" t="str">
        <f t="shared" si="115"/>
        <v>N</v>
      </c>
      <c r="X179" s="149">
        <f t="shared" si="116"/>
        <v>1</v>
      </c>
      <c r="Y179" s="67">
        <f t="shared" si="117"/>
        <v>5.8632</v>
      </c>
      <c r="Z179" s="67">
        <f t="shared" si="118"/>
        <v>7.2599999999999998E-2</v>
      </c>
      <c r="AA179" s="67">
        <f t="shared" si="119"/>
        <v>5.7905999999999995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20"/>
        <v>1822-16</v>
      </c>
      <c r="AE179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79" s="88" t="str">
        <f t="shared" si="122"/>
        <v>"C:\Program Files (x86)\AstroGrep\AstroGrep.exe" /spath="%USERPROFILE%\AppData\Local\Temp\OnboardLogs" /stypes="app*4043*20161016*" /stext=" 22:.+((SYSTEM_STATE.+slice.+state.+changed )|(ment ac)|(system.+state.+changed )|(\[timeout)|(PRM\|1\|D)|(kpr)|(kdp)|(\|lc)|(penalty))" /e /r /s</v>
      </c>
      <c r="AG179" s="1" t="str">
        <f t="shared" si="123"/>
        <v>NW</v>
      </c>
      <c r="AH179" s="92" t="str">
        <f t="shared" si="107"/>
        <v>"%USERPROFILE%\Documents\GitHub\eaglep3\Utilities\RefineRTDCRunTimes.py" --tripid 1822-16 --locoid 4043 --swversion DE.1.0.7.0 --startMP 300:58632 --initTime 2016-10-16T16:35:41 --startdatetime 2016-10-16T16:37:22 --delay 0 --endMP 204:726 --enddatetime 2016-10-16T16:54:08 --enforcementcount 1 &gt;&gt;C:\Users\stu\Documents\GitHub\eaglep3-reporting\EC\2016-10-16-refined-times.txt</v>
      </c>
      <c r="AI179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{"issue":{"subject":"","project_id":79,"tracker_id":40,"status_id":1,"priority_id":2,"assigned_to_id":23,"start_date":"2016-10-16","description":"","custom_fields":[{"id":1,"name":"Subdivision","value":"NW"},{"id":4,"name":"Milepost","value":"0.0726"},{"id":17,"name":"Train ID","value":"1822-16"},{"id":16,"name":"Locomotive ID","value":"4043"},{"id":130,"name":"Impact","value":""},{"id":150,"name":"Time of Event (Mountain Time)","value":"16:54:08"},{"id":151,"name":"Denver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558</v>
      </c>
      <c r="B180" s="7">
        <v>4044</v>
      </c>
      <c r="C180" s="22" t="s">
        <v>99</v>
      </c>
      <c r="D180" s="22" t="s">
        <v>391</v>
      </c>
      <c r="E180" s="13">
        <v>42659.720833333333</v>
      </c>
      <c r="F180" s="13">
        <v>42659.72314814815</v>
      </c>
      <c r="G180" s="7">
        <v>1</v>
      </c>
      <c r="H180" s="13" t="s">
        <v>669</v>
      </c>
      <c r="I180" s="13">
        <v>42659.732245370367</v>
      </c>
      <c r="J180" s="7">
        <v>1</v>
      </c>
      <c r="K180" s="112" t="str">
        <f t="shared" si="109"/>
        <v>4043/4044</v>
      </c>
      <c r="L180" s="22" t="str">
        <f>VLOOKUP(A180,'Trips&amp;Operators'!$C$1:$E$10000,3,FALSE)</f>
        <v>BROWN</v>
      </c>
      <c r="M180" s="6">
        <f t="shared" si="110"/>
        <v>9.0972222169511952E-3</v>
      </c>
      <c r="N180" s="7">
        <f t="shared" si="111"/>
        <v>13.099999992409721</v>
      </c>
      <c r="O180" s="7"/>
      <c r="P180" s="7"/>
      <c r="Q180" s="23"/>
      <c r="R180" s="23"/>
      <c r="S180" s="35">
        <f t="shared" si="112"/>
        <v>1</v>
      </c>
      <c r="T180" s="50" t="str">
        <f t="shared" si="113"/>
        <v>NorthBound</v>
      </c>
      <c r="U180" s="14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16:18:00-0600',mode:absolute,to:'2016-10-16 18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0" s="52" t="str">
        <f t="shared" si="115"/>
        <v>N</v>
      </c>
      <c r="X180" s="149">
        <f t="shared" si="116"/>
        <v>1</v>
      </c>
      <c r="Y180" s="67">
        <f t="shared" si="117"/>
        <v>0.1016</v>
      </c>
      <c r="Z180" s="67">
        <f t="shared" si="118"/>
        <v>5.8973000000000004</v>
      </c>
      <c r="AA180" s="67">
        <f t="shared" si="119"/>
        <v>5.7957000000000001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20"/>
        <v>1823-16</v>
      </c>
      <c r="AE180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80" s="88" t="str">
        <f t="shared" si="122"/>
        <v>"C:\Program Files (x86)\AstroGrep\AstroGrep.exe" /spath="%USERPROFILE%\AppData\Local\Temp\OnboardLogs" /stypes="app*4044*20161016*" /stext=" 23:.+((SYSTEM_STATE.+slice.+state.+changed )|(ment ac)|(system.+state.+changed )|(\[timeout)|(PRM\|1\|D)|(kpr)|(kdp)|(\|lc)|(penalty))" /e /r /s</v>
      </c>
      <c r="AG180" s="1" t="str">
        <f t="shared" si="123"/>
        <v>NW</v>
      </c>
      <c r="AH180" s="92" t="str">
        <f t="shared" si="107"/>
        <v>"%USERPROFILE%\Documents\GitHub\eaglep3\Utilities\RefineRTDCRunTimes.py" --tripid 1823-16 --locoid 4044 --swversion DE.1.0.7.0 --startMP 204:1016 --initTime 2016-10-16T17:18:00 --startdatetime 2016-10-16T17:21:20 --delay 1 --endMP 300:58973 --enddatetime 2016-10-16T17:34:26 --enforcementcount 1 &gt;&gt;C:\Users\stu\Documents\GitHub\eaglep3-reporting\EC\2016-10-16-refined-times.txt</v>
      </c>
      <c r="AI180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{"issue":{"subject":"","project_id":79,"tracker_id":40,"status_id":1,"priority_id":2,"assigned_to_id":23,"start_date":"2016-10-16","description":"","custom_fields":[{"id":1,"name":"Subdivision","value":"NW"},{"id":4,"name":"Milepost","value":"5.8973"},{"id":17,"name":"Train ID","value":"1823-16"},{"id":16,"name":"Locomotive ID","value":"4044"},{"id":130,"name":"Impact","value":""},{"id":150,"name":"Time of Event (Mountain Time)","value":"17:34:26"},{"id":151,"name":"Denver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423</v>
      </c>
      <c r="B181" s="7">
        <v>4043</v>
      </c>
      <c r="C181" s="22" t="s">
        <v>99</v>
      </c>
      <c r="D181" s="22" t="s">
        <v>670</v>
      </c>
      <c r="E181" s="13">
        <v>42659.733414351853</v>
      </c>
      <c r="F181" s="13">
        <v>42659.735625000001</v>
      </c>
      <c r="G181" s="7">
        <v>1</v>
      </c>
      <c r="H181" s="13" t="s">
        <v>644</v>
      </c>
      <c r="I181" s="13">
        <v>42659.74596064815</v>
      </c>
      <c r="J181" s="7">
        <v>1</v>
      </c>
      <c r="K181" s="112" t="str">
        <f t="shared" si="109"/>
        <v>4043/4044</v>
      </c>
      <c r="L181" s="22" t="str">
        <f>VLOOKUP(A181,'Trips&amp;Operators'!$C$1:$E$10000,3,FALSE)</f>
        <v>BROWN</v>
      </c>
      <c r="M181" s="6">
        <f t="shared" si="110"/>
        <v>1.0335648148611654E-2</v>
      </c>
      <c r="N181" s="7">
        <f t="shared" si="111"/>
        <v>14.883333334000781</v>
      </c>
      <c r="O181" s="7"/>
      <c r="P181" s="7"/>
      <c r="Q181" s="23"/>
      <c r="R181" s="23"/>
      <c r="S181" s="35">
        <f t="shared" si="112"/>
        <v>1</v>
      </c>
      <c r="T181" s="50" t="str">
        <f t="shared" si="113"/>
        <v>Southbound</v>
      </c>
      <c r="U181" s="14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16:36:07-0600',mode:absolute,to:'2016-10-16 18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1" s="52" t="str">
        <f t="shared" si="115"/>
        <v>N</v>
      </c>
      <c r="X181" s="149">
        <f t="shared" si="116"/>
        <v>1</v>
      </c>
      <c r="Y181" s="67">
        <f t="shared" si="117"/>
        <v>5.8654999999999999</v>
      </c>
      <c r="Z181" s="67">
        <f t="shared" si="118"/>
        <v>7.3400000000000007E-2</v>
      </c>
      <c r="AA181" s="67">
        <f t="shared" si="119"/>
        <v>5.7920999999999996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20"/>
        <v>1824-16</v>
      </c>
      <c r="AE181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81" s="88" t="str">
        <f t="shared" si="122"/>
        <v>"C:\Program Files (x86)\AstroGrep\AstroGrep.exe" /spath="%USERPROFILE%\AppData\Local\Temp\OnboardLogs" /stypes="app*4043*20161016*" /stext=" 23:.+((SYSTEM_STATE.+slice.+state.+changed )|(ment ac)|(system.+state.+changed )|(\[timeout)|(PRM\|1\|D)|(kpr)|(kdp)|(\|lc)|(penalty))" /e /r /s</v>
      </c>
      <c r="AG181" s="1" t="str">
        <f t="shared" si="123"/>
        <v>NW</v>
      </c>
      <c r="AH181" s="92" t="str">
        <f t="shared" si="107"/>
        <v>"%USERPROFILE%\Documents\GitHub\eaglep3\Utilities\RefineRTDCRunTimes.py" --tripid 1824-16 --locoid 4043 --swversion DE.1.0.7.0 --startMP 300:58655 --initTime 2016-10-16T17:36:07 --startdatetime 2016-10-16T17:39:18 --delay 1 --endMP 204:734 --enddatetime 2016-10-16T17:54:11 --enforcementcount 1 &gt;&gt;C:\Users\stu\Documents\GitHub\eaglep3-reporting\EC\2016-10-16-refined-times.txt</v>
      </c>
      <c r="AI181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{"issue":{"subject":"","project_id":79,"tracker_id":40,"status_id":1,"priority_id":2,"assigned_to_id":23,"start_date":"2016-10-16","description":"","custom_fields":[{"id":1,"name":"Subdivision","value":"NW"},{"id":4,"name":"Milepost","value":"0.0734"},{"id":17,"name":"Train ID","value":"1824-16"},{"id":16,"name":"Locomotive ID","value":"4043"},{"id":130,"name":"Impact","value":""},{"id":150,"name":"Time of Event (Mountain Time)","value":"17:54:11"},{"id":151,"name":"Denver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567</v>
      </c>
      <c r="B182" s="7">
        <v>4044</v>
      </c>
      <c r="C182" s="22" t="s">
        <v>99</v>
      </c>
      <c r="D182" s="22" t="s">
        <v>658</v>
      </c>
      <c r="E182" s="13">
        <v>42659.755104166667</v>
      </c>
      <c r="F182" s="13">
        <v>42659.765046296299</v>
      </c>
      <c r="G182" s="7">
        <v>1</v>
      </c>
      <c r="H182" s="13" t="s">
        <v>360</v>
      </c>
      <c r="I182" s="13">
        <v>42659.774583333332</v>
      </c>
      <c r="J182" s="7">
        <v>1</v>
      </c>
      <c r="K182" s="112" t="str">
        <f t="shared" si="109"/>
        <v>4043/4044</v>
      </c>
      <c r="L182" s="22" t="str">
        <f>VLOOKUP(A182,'Trips&amp;Operators'!$C$1:$E$10000,3,FALSE)</f>
        <v>BROWN</v>
      </c>
      <c r="M182" s="6">
        <f t="shared" si="110"/>
        <v>9.5370370327145793E-3</v>
      </c>
      <c r="N182" s="7">
        <f t="shared" si="111"/>
        <v>13.733333327108994</v>
      </c>
      <c r="O182" s="7"/>
      <c r="P182" s="7"/>
      <c r="Q182" s="23"/>
      <c r="R182" s="23"/>
      <c r="S182" s="35">
        <f t="shared" si="112"/>
        <v>1</v>
      </c>
      <c r="T182" s="50" t="str">
        <f t="shared" si="113"/>
        <v>NorthBound</v>
      </c>
      <c r="U182" s="14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17:07:21-0600',mode:absolute,to:'2016-10-16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2" s="52" t="str">
        <f t="shared" si="115"/>
        <v>N</v>
      </c>
      <c r="X182" s="149">
        <f t="shared" si="116"/>
        <v>1</v>
      </c>
      <c r="Y182" s="67">
        <f t="shared" si="117"/>
        <v>0.10249999999999999</v>
      </c>
      <c r="Z182" s="67">
        <f t="shared" si="118"/>
        <v>5.8964999999999996</v>
      </c>
      <c r="AA182" s="67">
        <f t="shared" si="119"/>
        <v>5.7939999999999996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20"/>
        <v>1825-16</v>
      </c>
      <c r="AE182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82" s="88" t="str">
        <f t="shared" si="122"/>
        <v>"C:\Program Files (x86)\AstroGrep\AstroGrep.exe" /spath="%USERPROFILE%\AppData\Local\Temp\OnboardLogs" /stypes="app*4044*20161017*" /stext=" 00:.+((SYSTEM_STATE.+slice.+state.+changed )|(ment ac)|(system.+state.+changed )|(\[timeout)|(PRM\|1\|D)|(kpr)|(kdp)|(\|lc)|(penalty))" /e /r /s</v>
      </c>
      <c r="AG182" s="1" t="str">
        <f t="shared" si="123"/>
        <v>NW</v>
      </c>
      <c r="AH182" s="92" t="str">
        <f t="shared" si="107"/>
        <v>"%USERPROFILE%\Documents\GitHub\eaglep3\Utilities\RefineRTDCRunTimes.py" --tripid 1825-16 --locoid 4044 --swversion DE.1.0.7.0 --startMP 204:1025 --initTime 2016-10-16T18:07:21 --startdatetime 2016-10-16T18:21:40 --delay 1 --endMP 300:58965 --enddatetime 2016-10-16T18:35:24 --enforcementcount 1 &gt;&gt;C:\Users\stu\Documents\GitHub\eaglep3-reporting\EC\2016-10-16-refined-times.txt</v>
      </c>
      <c r="AI182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{"issue":{"subject":"","project_id":79,"tracker_id":40,"status_id":1,"priority_id":2,"assigned_to_id":23,"start_date":"2016-10-16","description":"","custom_fields":[{"id":1,"name":"Subdivision","value":"NW"},{"id":4,"name":"Milepost","value":"5.8965"},{"id":17,"name":"Train ID","value":"1825-16"},{"id":16,"name":"Locomotive ID","value":"4044"},{"id":130,"name":"Impact","value":""},{"id":150,"name":"Time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424</v>
      </c>
      <c r="B183" s="7">
        <v>4043</v>
      </c>
      <c r="C183" s="22" t="s">
        <v>99</v>
      </c>
      <c r="D183" s="22" t="s">
        <v>393</v>
      </c>
      <c r="E183" s="13">
        <v>42659.77548611111</v>
      </c>
      <c r="F183" s="13">
        <v>42659.776747685188</v>
      </c>
      <c r="G183" s="7">
        <v>1</v>
      </c>
      <c r="H183" s="13" t="s">
        <v>671</v>
      </c>
      <c r="I183" s="13">
        <v>42659.790439814817</v>
      </c>
      <c r="J183" s="7">
        <v>1</v>
      </c>
      <c r="K183" s="112" t="str">
        <f t="shared" si="109"/>
        <v>4043/4044</v>
      </c>
      <c r="L183" s="22" t="str">
        <f>VLOOKUP(A183,'Trips&amp;Operators'!$C$1:$E$10000,3,FALSE)</f>
        <v>BROWN</v>
      </c>
      <c r="M183" s="6">
        <f t="shared" si="110"/>
        <v>1.3692129628907423E-2</v>
      </c>
      <c r="N183" s="7">
        <f t="shared" si="111"/>
        <v>19.71666666562669</v>
      </c>
      <c r="O183" s="7"/>
      <c r="P183" s="7"/>
      <c r="Q183" s="23"/>
      <c r="R183" s="23"/>
      <c r="S183" s="35">
        <f t="shared" si="112"/>
        <v>1</v>
      </c>
      <c r="T183" s="50" t="str">
        <f t="shared" si="113"/>
        <v>Southbound</v>
      </c>
      <c r="U183" s="14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17:36:42-0600',mode:absolute,to:'2016-10-16 19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3" s="52" t="str">
        <f t="shared" si="115"/>
        <v>N</v>
      </c>
      <c r="X183" s="149">
        <f t="shared" si="116"/>
        <v>1</v>
      </c>
      <c r="Y183" s="67">
        <f t="shared" si="117"/>
        <v>5.8653000000000004</v>
      </c>
      <c r="Z183" s="67">
        <f t="shared" si="118"/>
        <v>7.5700000000000003E-2</v>
      </c>
      <c r="AA183" s="67">
        <f t="shared" si="119"/>
        <v>5.7896000000000001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20"/>
        <v>1826-16</v>
      </c>
      <c r="AE183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83" s="88" t="str">
        <f t="shared" si="122"/>
        <v>"C:\Program Files (x86)\AstroGrep\AstroGrep.exe" /spath="%USERPROFILE%\AppData\Local\Temp\OnboardLogs" /stypes="app*4043*20161017*" /stext=" 00:.+((SYSTEM_STATE.+slice.+state.+changed )|(ment ac)|(system.+state.+changed )|(\[timeout)|(PRM\|1\|D)|(kpr)|(kdp)|(\|lc)|(penalty))" /e /r /s</v>
      </c>
      <c r="AG183" s="1" t="str">
        <f t="shared" si="123"/>
        <v>NW</v>
      </c>
      <c r="AH183" s="92" t="str">
        <f t="shared" si="107"/>
        <v>"%USERPROFILE%\Documents\GitHub\eaglep3\Utilities\RefineRTDCRunTimes.py" --tripid 1826-16 --locoid 4043 --swversion DE.1.0.7.0 --startMP 300:58653 --initTime 2016-10-16T18:36:42 --startdatetime 2016-10-16T18:38:31 --delay 1 --endMP 204:757 --enddatetime 2016-10-16T18:58:14 --enforcementcount 1 &gt;&gt;C:\Users\stu\Documents\GitHub\eaglep3-reporting\EC\2016-10-16-refined-times.txt</v>
      </c>
      <c r="AI183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{"issue":{"subject":"","project_id":79,"tracker_id":40,"status_id":1,"priority_id":2,"assigned_to_id":23,"start_date":"2016-10-16","description":"","custom_fields":[{"id":1,"name":"Subdivision","value":"NW"},{"id":4,"name":"Milepost","value":"0.0757"},{"id":17,"name":"Train ID","value":"1826-16"},{"id":16,"name":"Locomotive ID","value":"4043"},{"id":130,"name":"Impact","value":""},{"id":150,"name":"Time of Event (Mountain Time)","value":"18:58:14"},{"id":151,"name":"Denver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741</v>
      </c>
      <c r="B184" s="7">
        <v>4044</v>
      </c>
      <c r="C184" s="22" t="s">
        <v>99</v>
      </c>
      <c r="D184" s="22" t="s">
        <v>393</v>
      </c>
      <c r="E184" s="13">
        <v>42659.77548611111</v>
      </c>
      <c r="F184" s="13"/>
      <c r="G184" s="7">
        <v>1</v>
      </c>
      <c r="H184" s="13" t="s">
        <v>671</v>
      </c>
      <c r="I184" s="13"/>
      <c r="J184" s="7">
        <v>1</v>
      </c>
      <c r="K184" s="112" t="str">
        <f t="shared" ref="K184" si="124">IF(ISEVEN(B184),(B184-1)&amp;"/"&amp;B184,B184&amp;"/"&amp;(B184+1))</f>
        <v>4043/4044</v>
      </c>
      <c r="L184" s="22" t="e">
        <f>VLOOKUP(A184,'Trips&amp;Operators'!$C$1:$E$10000,3,FALSE)</f>
        <v>#N/A</v>
      </c>
      <c r="M184" s="6">
        <f t="shared" ref="M184" si="125">I184-F184</f>
        <v>0</v>
      </c>
      <c r="N184" s="7"/>
      <c r="O184" s="7"/>
      <c r="P184" s="7">
        <v>1</v>
      </c>
      <c r="Q184" s="23"/>
      <c r="R184" s="23" t="s">
        <v>742</v>
      </c>
      <c r="S184" s="35">
        <f t="shared" ref="S184" si="126">SUM(U184:U184)/IF(AG184="EC",12,1)</f>
        <v>0</v>
      </c>
      <c r="T184" s="50" t="str">
        <f t="shared" ref="T184" si="127">IF(ISEVEN(LEFT(AD184,4)),"Southbound","NorthBound")</f>
        <v>NorthBound</v>
      </c>
      <c r="U184" s="14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98" t="str">
        <f t="shared" ref="V184" si="128"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https://search-rtdc-monitor-bjffxe2xuh6vdkpspy63sjmuny.us-east-1.es.amazonaws.com/_plugin/kibana/#/discover/Steve-Slow-Train-Analysis-(2080s-and-2083s)?_g=(refreshInterval:(display:Off,section:0,value:0),time:(from:'2016-10-16 17:36:42-0600',mode:absolute,to:'1900-01-00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4" s="52" t="str">
        <f t="shared" ref="W184" si="129">IF(AA184&lt;IF(AG184="EC",23,5.65),"Y","N")</f>
        <v>N</v>
      </c>
      <c r="X184" s="149">
        <f t="shared" si="116"/>
        <v>1</v>
      </c>
      <c r="Y184" s="67">
        <f t="shared" ref="Y184" si="130">RIGHT(D184,LEN(D184)-4)/10000</f>
        <v>5.8653000000000004</v>
      </c>
      <c r="Z184" s="67">
        <f t="shared" ref="Z184" si="131">RIGHT(H184,LEN(H184)-4)/10000</f>
        <v>7.5700000000000003E-2</v>
      </c>
      <c r="AA184" s="67">
        <f t="shared" ref="AA184" si="132">ABS(Z184-Y184)</f>
        <v>5.7896000000000001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ref="AD184" si="133">IF(LEN(A184)=6,"0"&amp;A184,A184)</f>
        <v>1827-16</v>
      </c>
      <c r="AE184" s="91" t="str">
        <f t="shared" ref="AE184" si="134"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s3://rtdc.mdm.uploadarchive.raw/RTDC4044/ "%USERPROFILE%\AppData\Local\Temp\OnboardLogs"\RTDC4044\1900-01-00 --exclude "*" --recursive --include "*19000100*" &amp; "%USERPROFILE%\Documents\GitHub\mrs-test-scripts\Headless Mode &amp; Sideloading\WalkAndUnGZ.bat" "%USERPROFILE%\AppData\Local\Temp\OnboardLogs"\RTDC4044\1900-01-00 &amp; aws s3 cp s3://rtdc.mdm.uploadarchive.raw/RTDC4044/ "%USERPROFILE%\AppData\Local\Temp\OnboardLogs"\RTDC4044\1900-01-01 --exclude "*" --recursive --include "*19000101*" &amp; "%USERPROFILE%\Documents\GitHub\mrs-test-scripts\Headless Mode &amp; Sideloading\WalkAndUnGZ.bat" "%USERPROFILE%\AppData\Local\Temp\OnboardLogs"\RTDC4044\1900-01-01</v>
      </c>
      <c r="AF184" s="88" t="str">
        <f t="shared" ref="AF184" si="135"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/stypes="app*4044*19000100*" /stext=" 06:.+((SYSTEM_STATE.+slice.+state.+changed )|(ment ac)|(system.+state.+changed )|(\[timeout)|(PRM\|1\|D)|(kpr)|(kdp)|(\|lc)|(penalty))" /e /r /s</v>
      </c>
      <c r="AG184" s="1" t="str">
        <f t="shared" ref="AG184" si="136">IFERROR(IF(VALUE(LEFT(AD184,2))&lt;=2,"EC",IF(OR(VALUE(LEFT(AD184,2))=8,VALUE(LEFT(AD184,2))=18),"NW","Other")),"Other")</f>
        <v>NW</v>
      </c>
      <c r="AH184" s="92" t="str">
        <f t="shared" ref="AH184" si="137"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1827-16 --locoid 4044 --swversion DE.1.0.7.0 --startMP 300:58653 --initTime 2016-10-16T18:36:42 --startdatetime 1900-01-00T00:00:00 --delay 1 --endMP 204:757 --enddatetime 1900-01-00T00:00:00 --enforcementcount 1 &gt;&gt;C:\Users\stu\Documents\GitHub\eaglep3-reporting\EC\2016-10-16-refined-times.txt</v>
      </c>
      <c r="AI184" s="122" t="str">
        <f t="shared" ref="AI184" si="138"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init","project_id":79,"tracker_id":40,"status_id":1,"priority_id":2,"assigned_to_id":23,"start_date":"1900-01-00","description":"","custom_fields":[{"id":1,"name":"Subdivision","value":"NW"},{"id":4,"name":"Milepost","value":"0.0757"},{"id":17,"name":"Train ID","value":"1827-16"},{"id":16,"name":"Locomotive ID","value":"4044"},{"id":130,"name":"Impact","value":""},{"id":150,"name":"Time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426</v>
      </c>
      <c r="B185" s="7">
        <v>4043</v>
      </c>
      <c r="C185" s="22" t="s">
        <v>99</v>
      </c>
      <c r="D185" s="22" t="s">
        <v>672</v>
      </c>
      <c r="E185" s="13">
        <v>42659.816689814812</v>
      </c>
      <c r="F185" s="13">
        <v>42659.819062499999</v>
      </c>
      <c r="G185" s="7">
        <v>1</v>
      </c>
      <c r="H185" s="13" t="s">
        <v>673</v>
      </c>
      <c r="I185" s="13">
        <v>42659.830324074072</v>
      </c>
      <c r="J185" s="7">
        <v>1</v>
      </c>
      <c r="K185" s="112" t="str">
        <f t="shared" si="109"/>
        <v>4043/4044</v>
      </c>
      <c r="L185" s="22" t="str">
        <f>VLOOKUP(A185,'Trips&amp;Operators'!$C$1:$E$10000,3,FALSE)</f>
        <v>BROWN</v>
      </c>
      <c r="M185" s="6">
        <f t="shared" si="110"/>
        <v>1.1261574072705116E-2</v>
      </c>
      <c r="N185" s="7">
        <f t="shared" si="111"/>
        <v>16.216666664695367</v>
      </c>
      <c r="O185" s="7"/>
      <c r="P185" s="7"/>
      <c r="Q185" s="23"/>
      <c r="R185" s="23"/>
      <c r="S185" s="35">
        <f t="shared" si="112"/>
        <v>1</v>
      </c>
      <c r="T185" s="50" t="str">
        <f t="shared" si="113"/>
        <v>Southbound</v>
      </c>
      <c r="U185" s="14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18:36:02-0600',mode:absolute,to:'2016-10-16 20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52" t="str">
        <f t="shared" si="115"/>
        <v>N</v>
      </c>
      <c r="X185" s="149">
        <f t="shared" si="116"/>
        <v>1</v>
      </c>
      <c r="Y185" s="67">
        <f t="shared" si="117"/>
        <v>5.8647</v>
      </c>
      <c r="Z185" s="67">
        <f t="shared" si="118"/>
        <v>7.3300000000000004E-2</v>
      </c>
      <c r="AA185" s="67">
        <f t="shared" si="119"/>
        <v>5.7914000000000003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20"/>
        <v>1828-16</v>
      </c>
      <c r="AE185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85" s="88" t="str">
        <f t="shared" si="122"/>
        <v>"C:\Program Files (x86)\AstroGrep\AstroGrep.exe" /spath="%USERPROFILE%\AppData\Local\Temp\OnboardLogs" /stypes="app*4043*20161017*" /stext=" 01:.+((SYSTEM_STATE.+slice.+state.+changed )|(ment ac)|(system.+state.+changed )|(\[timeout)|(PRM\|1\|D)|(kpr)|(kdp)|(\|lc)|(penalty))" /e /r /s</v>
      </c>
      <c r="AG185" s="1" t="str">
        <f t="shared" si="123"/>
        <v>NW</v>
      </c>
      <c r="AH185" s="92" t="str">
        <f t="shared" si="107"/>
        <v>"%USERPROFILE%\Documents\GitHub\eaglep3\Utilities\RefineRTDCRunTimes.py" --tripid 1828-16 --locoid 4043 --swversion DE.1.0.7.0 --startMP 300:58647 --initTime 2016-10-16T19:36:02 --startdatetime 2016-10-16T19:39:27 --delay 1 --endMP 204:733 --enddatetime 2016-10-16T19:55:40 --enforcementcount 1 &gt;&gt;C:\Users\stu\Documents\GitHub\eaglep3-reporting\EC\2016-10-16-refined-times.txt</v>
      </c>
      <c r="AI185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{"issue":{"subject":"","project_id":79,"tracker_id":40,"status_id":1,"priority_id":2,"assigned_to_id":23,"start_date":"2016-10-16","description":"","custom_fields":[{"id":1,"name":"Subdivision","value":"NW"},{"id":4,"name":"Milepost","value":"0.0733"},{"id":17,"name":"Train ID","value":"1828-16"},{"id":16,"name":"Locomotive ID","value":"4043"},{"id":130,"name":"Impact","value":""},{"id":150,"name":"Time of Event (Mountain Time)","value":"19:55:40"},{"id":151,"name":"Denver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576</v>
      </c>
      <c r="B186" s="7">
        <v>4044</v>
      </c>
      <c r="C186" s="22" t="s">
        <v>99</v>
      </c>
      <c r="D186" s="22" t="s">
        <v>386</v>
      </c>
      <c r="E186" s="13">
        <v>42659.803611111114</v>
      </c>
      <c r="F186" s="13">
        <v>42659.806400462963</v>
      </c>
      <c r="G186" s="7">
        <v>1</v>
      </c>
      <c r="H186" s="13" t="s">
        <v>674</v>
      </c>
      <c r="I186" s="13">
        <v>42659.815601851849</v>
      </c>
      <c r="J186" s="7">
        <v>1</v>
      </c>
      <c r="K186" s="112" t="str">
        <f t="shared" si="109"/>
        <v>4043/4044</v>
      </c>
      <c r="L186" s="22" t="str">
        <f>VLOOKUP(A186,'Trips&amp;Operators'!$C$1:$E$10000,3,FALSE)</f>
        <v>BROWN</v>
      </c>
      <c r="M186" s="6">
        <f t="shared" si="110"/>
        <v>9.2013888861401938E-3</v>
      </c>
      <c r="N186" s="7">
        <f t="shared" si="111"/>
        <v>13.249999996041879</v>
      </c>
      <c r="O186" s="7"/>
      <c r="P186" s="7"/>
      <c r="Q186" s="23"/>
      <c r="R186" s="23"/>
      <c r="S186" s="35">
        <f t="shared" si="112"/>
        <v>1</v>
      </c>
      <c r="T186" s="50" t="str">
        <f t="shared" si="113"/>
        <v>NorthBound</v>
      </c>
      <c r="U186" s="14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18:17:12-0600',mode:absolute,to:'2016-10-16 20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6" s="52" t="str">
        <f t="shared" si="115"/>
        <v>N</v>
      </c>
      <c r="X186" s="149">
        <f t="shared" si="116"/>
        <v>1</v>
      </c>
      <c r="Y186" s="67">
        <f t="shared" si="117"/>
        <v>0.1023</v>
      </c>
      <c r="Z186" s="67">
        <f t="shared" si="118"/>
        <v>5.8956</v>
      </c>
      <c r="AA186" s="67">
        <f t="shared" si="119"/>
        <v>5.7933000000000003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20"/>
        <v>1829-16</v>
      </c>
      <c r="AE186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86" s="88" t="str">
        <f t="shared" si="122"/>
        <v>"C:\Program Files (x86)\AstroGrep\AstroGrep.exe" /spath="%USERPROFILE%\AppData\Local\Temp\OnboardLogs" /stypes="app*4044*20161017*" /stext=" 01:.+((SYSTEM_STATE.+slice.+state.+changed )|(ment ac)|(system.+state.+changed )|(\[timeout)|(PRM\|1\|D)|(kpr)|(kdp)|(\|lc)|(penalty))" /e /r /s</v>
      </c>
      <c r="AG186" s="1" t="str">
        <f t="shared" si="123"/>
        <v>NW</v>
      </c>
      <c r="AH186" s="92" t="str">
        <f t="shared" si="107"/>
        <v>"%USERPROFILE%\Documents\GitHub\eaglep3\Utilities\RefineRTDCRunTimes.py" --tripid 1829-16 --locoid 4044 --swversion DE.1.0.7.0 --startMP 204:1023 --initTime 2016-10-16T19:17:12 --startdatetime 2016-10-16T19:21:13 --delay 1 --endMP 300:58956 --enddatetime 2016-10-16T19:34:28 --enforcementcount 1 &gt;&gt;C:\Users\stu\Documents\GitHub\eaglep3-reporting\EC\2016-10-16-refined-times.txt</v>
      </c>
      <c r="AI186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{"issue":{"subject":"","project_id":79,"tracker_id":40,"status_id":1,"priority_id":2,"assigned_to_id":23,"start_date":"2016-10-16","description":"","custom_fields":[{"id":1,"name":"Subdivision","value":"NW"},{"id":4,"name":"Milepost","value":"5.8956"},{"id":17,"name":"Train ID","value":"1829-16"},{"id":16,"name":"Locomotive ID","value":"4044"},{"id":130,"name":"Impact","value":""},{"id":150,"name":"Time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583</v>
      </c>
      <c r="B187" s="7">
        <v>4043</v>
      </c>
      <c r="C187" s="22" t="s">
        <v>99</v>
      </c>
      <c r="D187" s="22" t="s">
        <v>676</v>
      </c>
      <c r="E187" s="13">
        <v>42659.858749999999</v>
      </c>
      <c r="F187" s="13">
        <v>42659.860208333332</v>
      </c>
      <c r="G187" s="7">
        <v>0</v>
      </c>
      <c r="H187" s="13" t="s">
        <v>654</v>
      </c>
      <c r="I187" s="13">
        <v>42659.861273148148</v>
      </c>
      <c r="J187" s="7">
        <v>1</v>
      </c>
      <c r="K187" s="112" t="str">
        <f t="shared" si="109"/>
        <v>4043/4044</v>
      </c>
      <c r="L187" s="22" t="str">
        <f>VLOOKUP(A187,'Trips&amp;Operators'!$C$1:$E$10000,3,FALSE)</f>
        <v>BROWN</v>
      </c>
      <c r="M187" s="6">
        <f t="shared" si="110"/>
        <v>1.0648148163454607E-3</v>
      </c>
      <c r="N187" s="7"/>
      <c r="O187" s="7"/>
      <c r="P187" s="7">
        <f t="shared" si="111"/>
        <v>1.5333333355374634</v>
      </c>
      <c r="Q187" s="23"/>
      <c r="R187" s="23" t="s">
        <v>744</v>
      </c>
      <c r="S187" s="35">
        <f t="shared" si="112"/>
        <v>0</v>
      </c>
      <c r="T187" s="50" t="str">
        <f t="shared" si="113"/>
        <v>Southbound</v>
      </c>
      <c r="U187" s="14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19:36:36-0600',mode:absolute,to:'2016-10-16 21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7" s="52" t="str">
        <f t="shared" si="115"/>
        <v>Y</v>
      </c>
      <c r="X187" s="149">
        <f t="shared" si="116"/>
        <v>1</v>
      </c>
      <c r="Y187" s="67">
        <f t="shared" si="117"/>
        <v>5.8663999999999996</v>
      </c>
      <c r="Z187" s="67">
        <v>5.8663999999999996</v>
      </c>
      <c r="AA187" s="67">
        <f t="shared" si="119"/>
        <v>0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20"/>
        <v>1830-16</v>
      </c>
      <c r="AE187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87" s="88" t="str">
        <f t="shared" si="122"/>
        <v>"C:\Program Files (x86)\AstroGrep\AstroGrep.exe" /spath="%USERPROFILE%\AppData\Local\Temp\OnboardLogs" /stypes="app*4043*20161017*" /stext=" 02:.+((SYSTEM_STATE.+slice.+state.+changed )|(ment ac)|(system.+state.+changed )|(\[timeout)|(PRM\|1\|D)|(kpr)|(kdp)|(\|lc)|(penalty))" /e /r /s</v>
      </c>
      <c r="AG187" s="1" t="str">
        <f t="shared" si="123"/>
        <v>NW</v>
      </c>
      <c r="AH187" s="92" t="str">
        <f t="shared" si="107"/>
        <v>"%USERPROFILE%\Documents\GitHub\eaglep3\Utilities\RefineRTDCRunTimes.py" --tripid 1830-16 --locoid 4043 --swversion DE.1.0.7.0 --startMP 300:58664 --initTime 2016-10-16T20:36:36 --startdatetime 2016-10-16T20:38:42 --delay 0 --endMP 204:729 --enddatetime 2016-10-16T20:40:14 --enforcementcount 1 &gt;&gt;C:\Users\stu\Documents\GitHub\eaglep3-reporting\EC\2016-10-16-refined-times.txt</v>
      </c>
      <c r="AI187" s="122" t="str">
        <f t="shared" si="108"/>
        <v>echo {"issue":{"subject":"Onboard in-route failure, then went from Westminster to DUS in ATC only","project_id":79,"tracker_id":40,"status_id":1,"priority_id":2,"assigned_to_id":23,"start_date":"2016-10-16","description":"Starting at 2016/10/17 02:37:39 UTC, slices 2 and 3 fought for primary, preventing the system from going active","custom_fields":[{"id":1,"name":"Subdivision","value":"NW"},{"id":4,"name":"Milepost","value":"5.8664"},{"id":17,"name":"Train ID","value":"1830-16"},{"id":16,"name":"Locomotive ID","value":"4043"},{"id":130,"name":"Impact","value":"Initialization Problem"},{"id":150,"name":"Time of Event (Mountain Time)","value":"20:40:14"},{"id":151,"name":"Denver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7" s="53" t="s">
        <v>743</v>
      </c>
      <c r="AK187" s="53" t="s">
        <v>134</v>
      </c>
      <c r="AL187" s="53" t="s">
        <v>179</v>
      </c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588</v>
      </c>
      <c r="B188" s="7">
        <v>4044</v>
      </c>
      <c r="C188" s="22" t="s">
        <v>99</v>
      </c>
      <c r="D188" s="22" t="s">
        <v>676</v>
      </c>
      <c r="E188" s="13">
        <v>42659.858749999999</v>
      </c>
      <c r="F188" s="13">
        <v>42659.892743055556</v>
      </c>
      <c r="G188" s="7">
        <v>0</v>
      </c>
      <c r="H188" s="13" t="s">
        <v>654</v>
      </c>
      <c r="I188" s="13">
        <v>42659.896979166668</v>
      </c>
      <c r="J188" s="7">
        <v>1</v>
      </c>
      <c r="K188" s="112" t="str">
        <f t="shared" ref="K188" si="139">IF(ISEVEN(B188),(B188-1)&amp;"/"&amp;B188,B188&amp;"/"&amp;(B188+1))</f>
        <v>4043/4044</v>
      </c>
      <c r="L188" s="22" t="str">
        <f>VLOOKUP(A188,'Trips&amp;Operators'!$C$1:$E$10000,3,FALSE)</f>
        <v>BROWN</v>
      </c>
      <c r="M188" s="6">
        <f t="shared" ref="M188" si="140">I188-F188</f>
        <v>4.2361111118225381E-3</v>
      </c>
      <c r="N188" s="7"/>
      <c r="O188" s="7"/>
      <c r="P188" s="7">
        <f t="shared" si="111"/>
        <v>6.1000000010244548</v>
      </c>
      <c r="Q188" s="23"/>
      <c r="R188" s="23" t="s">
        <v>752</v>
      </c>
      <c r="S188" s="35">
        <f t="shared" ref="S188" si="141">SUM(U188:U188)/IF(AG188="EC",12,1)</f>
        <v>0</v>
      </c>
      <c r="T188" s="50" t="str">
        <f t="shared" ref="T188" si="142">IF(ISEVEN(LEFT(AD188,4)),"Southbound","NorthBound")</f>
        <v>NorthBound</v>
      </c>
      <c r="U188" s="14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98" t="str">
        <f t="shared" ref="V188" si="143"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https://search-rtdc-monitor-bjffxe2xuh6vdkpspy63sjmuny.us-east-1.es.amazonaws.com/_plugin/kibana/#/discover/Steve-Slow-Train-Analysis-(2080s-and-2083s)?_g=(refreshInterval:(display:Off,section:0,value:0),time:(from:'2016-10-16 19:36:36-0600',mode:absolute,to:'2016-10-16 22:31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52" t="str">
        <f t="shared" ref="W188" si="144">IF(AA188&lt;IF(AG188="EC",23,5.65),"Y","N")</f>
        <v>Y</v>
      </c>
      <c r="X188" s="149">
        <f t="shared" si="116"/>
        <v>1</v>
      </c>
      <c r="Y188" s="67">
        <v>0</v>
      </c>
      <c r="Z188" s="67">
        <v>0</v>
      </c>
      <c r="AA188" s="67">
        <f t="shared" ref="AA188" si="145">ABS(Z188-Y188)</f>
        <v>0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ref="AD188" si="146">IF(LEN(A188)=6,"0"&amp;A188,A188)</f>
        <v>1831-16</v>
      </c>
      <c r="AE188" s="91" t="str">
        <f t="shared" ref="AE188" si="147"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88" s="88" t="str">
        <f t="shared" ref="AF188" si="148"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/stypes="app*4044*20161017*" /stext=" 03:.+((SYSTEM_STATE.+slice.+state.+changed )|(ment ac)|(system.+state.+changed )|(\[timeout)|(PRM\|1\|D)|(kpr)|(kdp)|(\|lc)|(penalty))" /e /r /s</v>
      </c>
      <c r="AG188" s="1" t="str">
        <f t="shared" ref="AG188" si="149">IFERROR(IF(VALUE(LEFT(AD188,2))&lt;=2,"EC",IF(OR(VALUE(LEFT(AD188,2))=8,VALUE(LEFT(AD188,2))=18),"NW","Other")),"Other")</f>
        <v>NW</v>
      </c>
      <c r="AH188" s="92" t="str">
        <f t="shared" ref="AH188" si="150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1831-16 --locoid 4044 --swversion DE.1.0.7.0 --startMP 300:58664 --initTime 2016-10-16T20:36:36 --startdatetime 2016-10-16T21:25:33 --delay 0 --endMP 204:729 --enddatetime 2016-10-16T21:31:39 --enforcementcount 1 &gt;&gt;C:\Users\stu\Documents\GitHub\eaglep3-reporting\EC\2016-10-16-refined-times.txt</v>
      </c>
      <c r="AI188" s="122" t="str">
        <f t="shared" ref="AI188" si="151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{"issue":{"subject":"Onboard in-route failure - multiple init attempts mixed with multiple self-restarts. Power cycled and then ran ATC.","project_id":79,"tracker_id":40,"status_id":1,"priority_id":2,"assigned_to_id":23,"start_date":"2016-10-16","description":"","custom_fields":[{"id":1,"name":"Subdivision","value":"NW"},{"id":4,"name":"Milepost","value":"0"},{"id":17,"name":"Train ID","value":"1831-16"},{"id":16,"name":"Locomotive ID","value":"4044"},{"id":130,"name":"Impact","value":""},{"id":150,"name":"Time of Event (Mountain Time)","value":"21:31:39"},{"id":151,"name":"Denver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591</v>
      </c>
      <c r="B189" s="7">
        <v>4043</v>
      </c>
      <c r="C189" s="22" t="s">
        <v>99</v>
      </c>
      <c r="D189" s="22" t="s">
        <v>677</v>
      </c>
      <c r="E189" s="13">
        <v>42659.920983796299</v>
      </c>
      <c r="F189" s="13">
        <v>42659.92291666667</v>
      </c>
      <c r="G189" s="7">
        <v>1</v>
      </c>
      <c r="H189" s="13" t="s">
        <v>654</v>
      </c>
      <c r="I189" s="13">
        <v>42659.932222222225</v>
      </c>
      <c r="J189" s="7">
        <v>1</v>
      </c>
      <c r="K189" s="112" t="str">
        <f t="shared" si="109"/>
        <v>4043/4044</v>
      </c>
      <c r="L189" s="22" t="str">
        <f>VLOOKUP(A189,'Trips&amp;Operators'!$C$1:$E$10000,3,FALSE)</f>
        <v>BROWN</v>
      </c>
      <c r="M189" s="6">
        <f t="shared" si="110"/>
        <v>9.3055555553291924E-3</v>
      </c>
      <c r="N189" s="7">
        <f t="shared" si="111"/>
        <v>13.399999999674037</v>
      </c>
      <c r="O189" s="7"/>
      <c r="P189" s="7"/>
      <c r="Q189" s="23"/>
      <c r="R189" s="23"/>
      <c r="S189" s="35">
        <f t="shared" si="112"/>
        <v>1</v>
      </c>
      <c r="T189" s="50" t="str">
        <f t="shared" si="113"/>
        <v>Southbound</v>
      </c>
      <c r="U189" s="14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21:06:13-0600',mode:absolute,to:'2016-10-16 23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52" t="str">
        <f t="shared" si="115"/>
        <v>N</v>
      </c>
      <c r="X189" s="149">
        <f t="shared" si="116"/>
        <v>1</v>
      </c>
      <c r="Y189" s="67">
        <v>5.85</v>
      </c>
      <c r="Z189" s="67">
        <f t="shared" si="118"/>
        <v>7.2900000000000006E-2</v>
      </c>
      <c r="AA189" s="67">
        <f t="shared" si="119"/>
        <v>5.7770999999999999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20"/>
        <v>1832-16</v>
      </c>
      <c r="AE189" s="91" t="str">
        <f t="shared" si="121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189" s="88" t="str">
        <f t="shared" si="122"/>
        <v>"C:\Program Files (x86)\AstroGrep\AstroGrep.exe" /spath="%USERPROFILE%\AppData\Local\Temp\OnboardLogs" /stypes="app*4043*20161017*" /stext=" 04:.+((SYSTEM_STATE.+slice.+state.+changed )|(ment ac)|(system.+state.+changed )|(\[timeout)|(PRM\|1\|D)|(kpr)|(kdp)|(\|lc)|(penalty))" /e /r /s</v>
      </c>
      <c r="AG189" s="1" t="str">
        <f t="shared" si="123"/>
        <v>NW</v>
      </c>
      <c r="AH189" s="92" t="str">
        <f t="shared" si="107"/>
        <v>"%USERPROFILE%\Documents\GitHub\eaglep3\Utilities\RefineRTDCRunTimes.py" --tripid 1832-16 --locoid 4043 --swversion DE.1.0.7.0 --startMP 300:58649 --initTime 2016-10-16T22:06:13 --startdatetime 2016-10-16T22:09:00 --delay 1 --endMP 204:729 --enddatetime 2016-10-16T22:22:24 --enforcementcount 1 &gt;&gt;C:\Users\stu\Documents\GitHub\eaglep3-reporting\EC\2016-10-16-refined-times.txt</v>
      </c>
      <c r="AI189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{"issue":{"subject":"","project_id":79,"tracker_id":40,"status_id":1,"priority_id":2,"assigned_to_id":23,"start_date":"2016-10-16","description":"","custom_fields":[{"id":1,"name":"Subdivision","value":"NW"},{"id":4,"name":"Milepost","value":"0.0729"},{"id":17,"name":"Train ID","value":"1832-16"},{"id":16,"name":"Locomotive ID","value":"4043"},{"id":130,"name":"Impact","value":""},{"id":150,"name":"Time of Event (Mountain Time)","value":"22:22:24"},{"id":151,"name":"Denver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594</v>
      </c>
      <c r="B190" s="7">
        <v>4044</v>
      </c>
      <c r="C190" s="22" t="s">
        <v>99</v>
      </c>
      <c r="D190" s="22" t="s">
        <v>387</v>
      </c>
      <c r="E190" s="13">
        <v>42659.933032407411</v>
      </c>
      <c r="F190" s="13">
        <v>42659.936296296299</v>
      </c>
      <c r="G190" s="7">
        <v>2</v>
      </c>
      <c r="H190" s="13" t="s">
        <v>678</v>
      </c>
      <c r="I190" s="13">
        <v>42659.947256944448</v>
      </c>
      <c r="J190" s="7">
        <v>1</v>
      </c>
      <c r="K190" s="112" t="str">
        <f t="shared" si="109"/>
        <v>4043/4044</v>
      </c>
      <c r="L190" s="22" t="str">
        <f>VLOOKUP(A190,'Trips&amp;Operators'!$C$1:$E$10000,3,FALSE)</f>
        <v>BROWN</v>
      </c>
      <c r="M190" s="6">
        <f t="shared" si="110"/>
        <v>1.096064814919373E-2</v>
      </c>
      <c r="N190" s="7">
        <f t="shared" si="111"/>
        <v>15.783333334838971</v>
      </c>
      <c r="O190" s="7"/>
      <c r="P190" s="7"/>
      <c r="Q190" s="23"/>
      <c r="R190" s="23"/>
      <c r="S190" s="35">
        <f t="shared" si="112"/>
        <v>1</v>
      </c>
      <c r="T190" s="50" t="str">
        <f t="shared" si="113"/>
        <v>NorthBound</v>
      </c>
      <c r="U190" s="14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21:23:34-0600',mode:absolute,to:'2016-10-16 23:44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0" s="52" t="str">
        <f t="shared" si="115"/>
        <v>N</v>
      </c>
      <c r="X190" s="149">
        <f t="shared" si="116"/>
        <v>1</v>
      </c>
      <c r="Y190" s="67">
        <f t="shared" si="117"/>
        <v>0.1014</v>
      </c>
      <c r="Z190" s="67">
        <f t="shared" si="118"/>
        <v>5.8949999999999996</v>
      </c>
      <c r="AA190" s="67">
        <f t="shared" si="119"/>
        <v>5.7935999999999996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20"/>
        <v>1833-16</v>
      </c>
      <c r="AE190" s="91" t="str">
        <f t="shared" si="121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190" s="88" t="str">
        <f t="shared" si="122"/>
        <v>"C:\Program Files (x86)\AstroGrep\AstroGrep.exe" /spath="%USERPROFILE%\AppData\Local\Temp\OnboardLogs" /stypes="app*4044*20161017*" /stext=" 04:.+((SYSTEM_STATE.+slice.+state.+changed )|(ment ac)|(system.+state.+changed )|(\[timeout)|(PRM\|1\|D)|(kpr)|(kdp)|(\|lc)|(penalty))" /e /r /s</v>
      </c>
      <c r="AG190" s="1" t="str">
        <f t="shared" si="123"/>
        <v>NW</v>
      </c>
      <c r="AH190" s="92" t="str">
        <f t="shared" si="107"/>
        <v>"%USERPROFILE%\Documents\GitHub\eaglep3\Utilities\RefineRTDCRunTimes.py" --tripid 1833-16 --locoid 4044 --swversion DE.1.0.7.0 --startMP 204:1014 --initTime 2016-10-16T22:23:34 --startdatetime 2016-10-16T22:28:16 --delay 2 --endMP 300:58950 --enddatetime 2016-10-16T22:44:03 --enforcementcount 1 &gt;&gt;C:\Users\stu\Documents\GitHub\eaglep3-reporting\EC\2016-10-16-refined-times.txt</v>
      </c>
      <c r="AI190" s="122" t="str">
        <f t="shared" si="108"/>
        <v>echo {"issue":{"subject":"","project_id":79,"tracker_id":40,"status_id":1,"priority_id":2,"assigned_to_id":23,"start_date":"2016-10-16","description":"","custom_fields":[{"id":1,"name":"Subdivision","value":"NW"},{"id":4,"name":"Milepost","value":"5.895"},{"id":17,"name":"Train ID","value":"1833-16"},{"id":16,"name":"Locomotive ID","value":"4044"},{"id":130,"name":"Impact","value":""},{"id":150,"name":"Time of Event (Mountain Time)","value":"22:44:03"},{"id":151,"name":"Denver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429</v>
      </c>
      <c r="B191" s="7">
        <v>4045</v>
      </c>
      <c r="C191" s="22" t="s">
        <v>99</v>
      </c>
      <c r="D191" s="22" t="s">
        <v>715</v>
      </c>
      <c r="E191" s="13">
        <v>42659.113854166666</v>
      </c>
      <c r="F191" s="13">
        <v>42659.119340277779</v>
      </c>
      <c r="G191" s="7">
        <v>7</v>
      </c>
      <c r="H191" s="13" t="s">
        <v>235</v>
      </c>
      <c r="I191" s="13">
        <v>42659.126203703701</v>
      </c>
      <c r="J191" s="7">
        <v>1</v>
      </c>
      <c r="K191" s="112" t="str">
        <f t="shared" si="109"/>
        <v>4045/4046</v>
      </c>
      <c r="L191" s="22" t="str">
        <f>VLOOKUP(A191,'Trips&amp;Operators'!$C$1:$E$10000,3,FALSE)</f>
        <v>KILLION</v>
      </c>
      <c r="M191" s="6">
        <f t="shared" si="110"/>
        <v>6.8634259223472327E-3</v>
      </c>
      <c r="N191" s="7">
        <f t="shared" si="111"/>
        <v>9.8833333281800151</v>
      </c>
      <c r="O191" s="7"/>
      <c r="P191" s="7"/>
      <c r="Q191" s="23"/>
      <c r="R191" s="23"/>
      <c r="S191" s="35">
        <f t="shared" si="112"/>
        <v>1</v>
      </c>
      <c r="T191" s="50" t="str">
        <f t="shared" si="113"/>
        <v>Southbound</v>
      </c>
      <c r="U191" s="14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01:43:57-0600',mode:absolute,to:'2016-10-16 04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1" s="52" t="str">
        <f t="shared" si="115"/>
        <v>Y</v>
      </c>
      <c r="X191" s="149">
        <f t="shared" si="116"/>
        <v>-1531</v>
      </c>
      <c r="Y191" s="67">
        <f t="shared" si="117"/>
        <v>2.3279000000000001</v>
      </c>
      <c r="Z191" s="67">
        <f t="shared" si="118"/>
        <v>1.54E-2</v>
      </c>
      <c r="AA191" s="67">
        <f t="shared" si="119"/>
        <v>2.3125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20"/>
        <v>0302-16</v>
      </c>
      <c r="AE191" s="91" t="str">
        <f t="shared" si="121"/>
        <v>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 &amp; 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</v>
      </c>
      <c r="AF191" s="88" t="str">
        <f t="shared" si="122"/>
        <v>"C:\Program Files (x86)\AstroGrep\AstroGrep.exe" /spath="%USERPROFILE%\AppData\Local\Temp\OnboardLogs" /stypes="app*4045*20161016*" /stext=" 09:.+((SYSTEM_STATE.+slice.+state.+changed )|(ment ac)|(system.+state.+changed )|(\[timeout)|(PRM\|1\|D)|(kpr)|(kdp)|(\|lc)|(penalty))" /e /r /s</v>
      </c>
      <c r="AG191" s="1" t="str">
        <f t="shared" si="123"/>
        <v>Other</v>
      </c>
      <c r="AH191" s="92" t="str">
        <f t="shared" si="107"/>
        <v>"%USERPROFILE%\Documents\GitHub\eaglep3\Utilities\RefineRTDCRunTimes.py" --tripid 302-16 --locoid 4045 --swversion DE.1.0.7.0 --startMP 300:23279 --initTime 2016-10-16T02:43:57 --startdatetime 2016-10-16T02:51:51 --delay 7 --endMP 204:154 --enddatetime 2016-10-16T03:01:44 --enforcementcount 1 &gt;&gt;C:\Users\stu\Documents\GitHub\eaglep3-reporting\EC\2016-10-16-refined-times.txt</v>
      </c>
      <c r="AI191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{"issue":{"subject":"","project_id":79,"tracker_id":40,"status_id":1,"priority_id":2,"assigned_to_id":23,"start_date":"2016-10-16","description":"","custom_fields":[{"id":1,"name":"Subdivision","value":"Other"},{"id":4,"name":"Milepost","value":"0.0154"},{"id":17,"name":"Train ID","value":"302-16"},{"id":16,"name":"Locomotive ID","value":"4045"},{"id":130,"name":"Impact","value":""},{"id":150,"name":"Time of Event (Mountain Time)","value":"03:01:44"},{"id":151,"name":"Denver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609</v>
      </c>
      <c r="B192" s="7">
        <v>4017</v>
      </c>
      <c r="C192" s="22" t="s">
        <v>99</v>
      </c>
      <c r="D192" s="22" t="s">
        <v>716</v>
      </c>
      <c r="E192" s="13">
        <v>42660.111203703702</v>
      </c>
      <c r="F192" s="13">
        <v>42660.11246527778</v>
      </c>
      <c r="G192" s="7">
        <v>1</v>
      </c>
      <c r="H192" s="13" t="s">
        <v>377</v>
      </c>
      <c r="I192" s="13">
        <v>42660.120995370373</v>
      </c>
      <c r="J192" s="7">
        <v>1</v>
      </c>
      <c r="K192" s="112" t="str">
        <f t="shared" si="109"/>
        <v>4017/4018</v>
      </c>
      <c r="L192" s="22" t="str">
        <f>VLOOKUP(A192,'Trips&amp;Operators'!$C$1:$E$10000,3,FALSE)</f>
        <v>KILLION</v>
      </c>
      <c r="M192" s="6">
        <f t="shared" si="110"/>
        <v>8.5300925929914229E-3</v>
      </c>
      <c r="N192" s="7">
        <f t="shared" si="111"/>
        <v>12.283333333907649</v>
      </c>
      <c r="O192" s="7"/>
      <c r="P192" s="7"/>
      <c r="Q192" s="23"/>
      <c r="R192" s="23"/>
      <c r="S192" s="35">
        <f t="shared" si="112"/>
        <v>1</v>
      </c>
      <c r="T192" s="50" t="str">
        <f t="shared" si="113"/>
        <v>Southbound</v>
      </c>
      <c r="U192" s="14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https://search-rtdc-monitor-bjffxe2xuh6vdkpspy63sjmuny.us-east-1.es.amazonaws.com/_plugin/kibana/#/discover/Steve-Slow-Train-Analysis-(2080s-and-2083s)?_g=(refreshInterval:(display:Off,section:0,value:0),time:(from:'2016-10-17 01:40:08-0600',mode:absolute,to:'2016-10-17 03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52" t="str">
        <f t="shared" si="115"/>
        <v>Y</v>
      </c>
      <c r="X192" s="149">
        <f t="shared" si="116"/>
        <v>0</v>
      </c>
      <c r="Y192" s="67">
        <f t="shared" si="117"/>
        <v>2.3163</v>
      </c>
      <c r="Z192" s="67">
        <f t="shared" si="118"/>
        <v>1.5599999999999999E-2</v>
      </c>
      <c r="AA192" s="67">
        <f t="shared" si="119"/>
        <v>2.3007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20"/>
        <v>0302-17</v>
      </c>
      <c r="AE192" s="91" t="str">
        <f t="shared" si="121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92" s="88" t="str">
        <f t="shared" si="122"/>
        <v>"C:\Program Files (x86)\AstroGrep\AstroGrep.exe" /spath="%USERPROFILE%\AppData\Local\Temp\OnboardLogs" /stypes="app*4017*20161017*" /stext=" 08:.+((SYSTEM_STATE.+slice.+state.+changed )|(ment ac)|(system.+state.+changed )|(\[timeout)|(PRM\|1\|D)|(kpr)|(kdp)|(\|lc)|(penalty))" /e /r /s</v>
      </c>
      <c r="AG192" s="1" t="str">
        <f t="shared" si="123"/>
        <v>Other</v>
      </c>
      <c r="AH192" s="92" t="str">
        <f t="shared" si="107"/>
        <v>"%USERPROFILE%\Documents\GitHub\eaglep3\Utilities\RefineRTDCRunTimes.py" --tripid 302-17 --locoid 4017 --swversion DE.1.0.7.0 --startMP 300:23163 --initTime 2016-10-17T02:40:08 --startdatetime 2016-10-17T02:41:57 --delay 1 --endMP 204:156 --enddatetime 2016-10-17T02:54:14 --enforcementcount 1 &gt;&gt;C:\Users\stu\Documents\GitHub\eaglep3-reporting\EC\2016-10-16-refined-times.txt</v>
      </c>
      <c r="AI192" s="122" t="str">
        <f t="shared" si="108"/>
        <v>echo {"issue":{"subject":"","project_id":79,"tracker_id":40,"status_id":1,"priority_id":2,"assigned_to_id":23,"start_date":"2016-10-17","description":"","custom_fields":[{"id":1,"name":"Subdivision","value":"Other"},{"id":4,"name":"Milepost","value":"0.0156"},{"id":17,"name":"Train ID","value":"302-17"},{"id":16,"name":"Locomotive ID","value":"4017"},{"id":130,"name":"Impact","value":""},{"id":150,"name":"Time of Event (Mountain Time)","value":"02:54:14"},{"id":151,"name":"Denver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572</v>
      </c>
      <c r="B193" s="7">
        <v>4018</v>
      </c>
      <c r="C193" s="22" t="s">
        <v>99</v>
      </c>
      <c r="D193" s="22" t="s">
        <v>237</v>
      </c>
      <c r="E193" s="13">
        <v>42659.77721064815</v>
      </c>
      <c r="F193" s="13">
        <v>25568.708333333332</v>
      </c>
      <c r="G193" s="7">
        <v>1</v>
      </c>
      <c r="H193" s="13" t="s">
        <v>399</v>
      </c>
      <c r="I193" s="13">
        <v>25568.708333333332</v>
      </c>
      <c r="J193" s="7">
        <v>1</v>
      </c>
      <c r="K193" s="112" t="str">
        <f t="shared" si="109"/>
        <v>4017/4018</v>
      </c>
      <c r="L193" s="22" t="str">
        <f>VLOOKUP(A193,'Trips&amp;Operators'!$C$1:$E$10000,3,FALSE)</f>
        <v>MOSES</v>
      </c>
      <c r="M193" s="6">
        <f t="shared" si="110"/>
        <v>0</v>
      </c>
      <c r="N193" s="7">
        <f t="shared" si="111"/>
        <v>0</v>
      </c>
      <c r="O193" s="7"/>
      <c r="P193" s="7"/>
      <c r="Q193" s="23"/>
      <c r="R193" s="23"/>
      <c r="S193" s="35">
        <f t="shared" si="112"/>
        <v>1</v>
      </c>
      <c r="T193" s="50" t="str">
        <f t="shared" si="113"/>
        <v>NorthBound</v>
      </c>
      <c r="U193" s="14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17:39:11-0600',mode:absolute,to:'1969-12-31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3" s="52" t="str">
        <f t="shared" si="115"/>
        <v>Y</v>
      </c>
      <c r="X193" s="149">
        <f t="shared" si="116"/>
        <v>1</v>
      </c>
      <c r="Y193" s="67">
        <f t="shared" si="117"/>
        <v>4.58E-2</v>
      </c>
      <c r="Z193" s="67">
        <f t="shared" si="118"/>
        <v>2.3306</v>
      </c>
      <c r="AA193" s="67">
        <f t="shared" si="119"/>
        <v>2.2848000000000002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20"/>
        <v>0303-16</v>
      </c>
      <c r="AE193" s="91" t="str">
        <f t="shared" si="12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3" s="88" t="str">
        <f t="shared" si="122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193" s="1" t="str">
        <f t="shared" si="123"/>
        <v>Other</v>
      </c>
      <c r="AH193" s="92" t="str">
        <f t="shared" si="107"/>
        <v>"%USERPROFILE%\Documents\GitHub\eaglep3\Utilities\RefineRTDCRunTimes.py" --tripid 303-16 --locoid 4018 --swversion DE.1.0.7.0 --startMP 204:458 --initTime 2016-10-16T18:39:11 --startdatetime 1969-12-31T17:00:00 --delay 1 --endMP 300:23306 --enddatetime 1969-12-31T17:00:00 --enforcementcount 1 &gt;&gt;C:\Users\stu\Documents\GitHub\eaglep3-reporting\EC\2016-10-16-refined-times.txt</v>
      </c>
      <c r="AI193" s="122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ID","value":"303-16"},{"id":16,"name":"Locomotive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430</v>
      </c>
      <c r="B194" s="7">
        <v>4032</v>
      </c>
      <c r="C194" s="22" t="s">
        <v>99</v>
      </c>
      <c r="D194" s="22" t="s">
        <v>717</v>
      </c>
      <c r="E194" s="13">
        <v>42659.14162037037</v>
      </c>
      <c r="F194" s="13">
        <v>42659.142939814818</v>
      </c>
      <c r="G194" s="7">
        <v>1</v>
      </c>
      <c r="H194" s="13" t="s">
        <v>718</v>
      </c>
      <c r="I194" s="13">
        <v>42659.149178240739</v>
      </c>
      <c r="J194" s="7">
        <v>1</v>
      </c>
      <c r="K194" s="112" t="str">
        <f t="shared" si="109"/>
        <v>4031/4032</v>
      </c>
      <c r="L194" s="22" t="str">
        <f>VLOOKUP(A194,'Trips&amp;Operators'!$C$1:$E$10000,3,FALSE)</f>
        <v>ACKERMAN</v>
      </c>
      <c r="M194" s="6">
        <f t="shared" si="110"/>
        <v>6.2384259217651561E-3</v>
      </c>
      <c r="N194" s="7">
        <f t="shared" si="111"/>
        <v>8.9833333273418248</v>
      </c>
      <c r="O194" s="7"/>
      <c r="P194" s="7"/>
      <c r="Q194" s="23"/>
      <c r="R194" s="23"/>
      <c r="S194" s="35">
        <f t="shared" si="112"/>
        <v>1</v>
      </c>
      <c r="T194" s="50" t="str">
        <f t="shared" si="113"/>
        <v>Southbound</v>
      </c>
      <c r="U194" s="14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02:23:56-0600',mode:absolute,to:'2016-10-16 04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4" s="52" t="str">
        <f t="shared" si="115"/>
        <v>Y</v>
      </c>
      <c r="X194" s="149">
        <f t="shared" si="116"/>
        <v>1</v>
      </c>
      <c r="Y194" s="67">
        <f t="shared" si="117"/>
        <v>2.238</v>
      </c>
      <c r="Z194" s="67">
        <f t="shared" si="118"/>
        <v>7.1999999999999998E-3</v>
      </c>
      <c r="AA194" s="67">
        <f t="shared" si="119"/>
        <v>2.2307999999999999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20"/>
        <v>0304-16</v>
      </c>
      <c r="AE194" s="91" t="str">
        <f t="shared" si="121"/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AF194" s="88" t="str">
        <f t="shared" si="122"/>
        <v>"C:\Program Files (x86)\AstroGrep\AstroGrep.exe" /spath="%USERPROFILE%\AppData\Local\Temp\OnboardLogs" /stypes="app*4032*20161016*" /stext=" 09:.+((SYSTEM_STATE.+slice.+state.+changed )|(ment ac)|(system.+state.+changed )|(\[timeout)|(PRM\|1\|D)|(kpr)|(kdp)|(\|lc)|(penalty))" /e /r /s</v>
      </c>
      <c r="AG194" s="1" t="str">
        <f t="shared" si="123"/>
        <v>Other</v>
      </c>
      <c r="AH194" s="92" t="str">
        <f t="shared" si="107"/>
        <v>"%USERPROFILE%\Documents\GitHub\eaglep3\Utilities\RefineRTDCRunTimes.py" --tripid 304-16 --locoid 4032 --swversion DE.1.0.7.0 --startMP 300:22380 --initTime 2016-10-16T03:23:56 --startdatetime 2016-10-16T03:25:50 --delay 1 --endMP 204:72 --enddatetime 2016-10-16T03:34:49 --enforcementcount 1 &gt;&gt;C:\Users\stu\Documents\GitHub\eaglep3-reporting\EC\2016-10-16-refined-times.txt</v>
      </c>
      <c r="AI194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{"issue":{"subject":"","project_id":79,"tracker_id":40,"status_id":1,"priority_id":2,"assigned_to_id":23,"start_date":"2016-10-16","description":"","custom_fields":[{"id":1,"name":"Subdivision","value":"Other"},{"id":4,"name":"Milepost","value":"0.0072"},{"id":17,"name":"Train ID","value":"304-16"},{"id":16,"name":"Locomotive ID","value":"4032"},{"id":130,"name":"Impact","value":""},{"id":150,"name":"Time of Event (Mountain Time)","value":"03:34:49"},{"id":151,"name":"Denver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575</v>
      </c>
      <c r="B195" s="7">
        <v>4046</v>
      </c>
      <c r="C195" s="22" t="s">
        <v>99</v>
      </c>
      <c r="D195" s="22" t="s">
        <v>275</v>
      </c>
      <c r="E195" s="13">
        <v>42659.800034722219</v>
      </c>
      <c r="F195" s="13">
        <v>42659.802604166667</v>
      </c>
      <c r="G195" s="7">
        <v>1</v>
      </c>
      <c r="H195" s="13" t="s">
        <v>355</v>
      </c>
      <c r="I195" s="13">
        <v>42659.80945601852</v>
      </c>
      <c r="J195" s="7">
        <v>1</v>
      </c>
      <c r="K195" s="112" t="str">
        <f t="shared" si="109"/>
        <v>4045/4046</v>
      </c>
      <c r="L195" s="22" t="str">
        <f>VLOOKUP(A195,'Trips&amp;Operators'!$C$1:$E$10000,3,FALSE)</f>
        <v>YOUNG</v>
      </c>
      <c r="M195" s="6">
        <f t="shared" si="110"/>
        <v>6.8518518528435379E-3</v>
      </c>
      <c r="N195" s="7">
        <f t="shared" si="111"/>
        <v>9.8666666680946946</v>
      </c>
      <c r="O195" s="7"/>
      <c r="P195" s="7"/>
      <c r="Q195" s="23"/>
      <c r="R195" s="23"/>
      <c r="S195" s="35">
        <f t="shared" si="112"/>
        <v>1</v>
      </c>
      <c r="T195" s="50" t="str">
        <f t="shared" si="113"/>
        <v>NorthBound</v>
      </c>
      <c r="U195" s="14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18:12:03-0600',mode:absolute,to:'2016-10-16 20:25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5" s="52" t="str">
        <f t="shared" si="115"/>
        <v>Y</v>
      </c>
      <c r="X195" s="149">
        <f t="shared" si="116"/>
        <v>1</v>
      </c>
      <c r="Y195" s="67">
        <f t="shared" si="117"/>
        <v>4.5100000000000001E-2</v>
      </c>
      <c r="Z195" s="67">
        <f t="shared" si="118"/>
        <v>2.3308</v>
      </c>
      <c r="AA195" s="67">
        <f t="shared" si="119"/>
        <v>2.2856999999999998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20"/>
        <v>0305-16</v>
      </c>
      <c r="AE195" s="91" t="str">
        <f t="shared" si="121"/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AF195" s="88" t="str">
        <f t="shared" si="122"/>
        <v>"C:\Program Files (x86)\AstroGrep\AstroGrep.exe" /spath="%USERPROFILE%\AppData\Local\Temp\OnboardLogs" /stypes="app*4046*20161017*" /stext=" 01:.+((SYSTEM_STATE.+slice.+state.+changed )|(ment ac)|(system.+state.+changed )|(\[timeout)|(PRM\|1\|D)|(kpr)|(kdp)|(\|lc)|(penalty))" /e /r /s</v>
      </c>
      <c r="AG195" s="1" t="str">
        <f t="shared" si="123"/>
        <v>Other</v>
      </c>
      <c r="AH195" s="92" t="str">
        <f t="shared" si="107"/>
        <v>"%USERPROFILE%\Documents\GitHub\eaglep3\Utilities\RefineRTDCRunTimes.py" --tripid 305-16 --locoid 4046 --swversion DE.1.0.7.0 --startMP 204:451 --initTime 2016-10-16T19:12:03 --startdatetime 2016-10-16T19:15:45 --delay 1 --endMP 300:23308 --enddatetime 2016-10-16T19:25:37 --enforcementcount 1 &gt;&gt;C:\Users\stu\Documents\GitHub\eaglep3-reporting\EC\2016-10-16-refined-times.txt</v>
      </c>
      <c r="AI195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{"issue":{"subject":"","project_id":79,"tracker_id":40,"status_id":1,"priority_id":2,"assigned_to_id":23,"start_date":"2016-10-16","description":"","custom_fields":[{"id":1,"name":"Subdivision","value":"Other"},{"id":4,"name":"Milepost","value":"2.3308"},{"id":17,"name":"Train ID","value":"305-16"},{"id":16,"name":"Locomotive ID","value":"4046"},{"id":130,"name":"Impact","value":""},{"id":150,"name":"Time of Event (Mountain Time)","value":"19:25:37"},{"id":151,"name":"Denver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433</v>
      </c>
      <c r="B196" s="7">
        <v>4041</v>
      </c>
      <c r="C196" s="22" t="s">
        <v>99</v>
      </c>
      <c r="D196" s="22" t="s">
        <v>719</v>
      </c>
      <c r="E196" s="13">
        <v>42659.161145833335</v>
      </c>
      <c r="F196" s="13">
        <v>42659.162685185183</v>
      </c>
      <c r="G196" s="7">
        <v>1</v>
      </c>
      <c r="H196" s="13" t="s">
        <v>243</v>
      </c>
      <c r="I196" s="13">
        <v>42659.168923611112</v>
      </c>
      <c r="J196" s="7">
        <v>1</v>
      </c>
      <c r="K196" s="112" t="str">
        <f t="shared" si="109"/>
        <v>4041/4042</v>
      </c>
      <c r="L196" s="22" t="str">
        <f>VLOOKUP(A196,'Trips&amp;Operators'!$C$1:$E$10000,3,FALSE)</f>
        <v>MAELZER</v>
      </c>
      <c r="M196" s="6">
        <f t="shared" si="110"/>
        <v>6.2384259290411137E-3</v>
      </c>
      <c r="N196" s="7">
        <f t="shared" si="111"/>
        <v>8.9833333378192037</v>
      </c>
      <c r="O196" s="7"/>
      <c r="P196" s="7"/>
      <c r="Q196" s="23"/>
      <c r="R196" s="23"/>
      <c r="S196" s="35">
        <f t="shared" si="112"/>
        <v>1</v>
      </c>
      <c r="T196" s="50" t="str">
        <f t="shared" si="113"/>
        <v>Southbound</v>
      </c>
      <c r="U196" s="14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02:52:03-0600',mode:absolute,to:'2016-10-16 05:03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6" s="52" t="str">
        <f t="shared" si="115"/>
        <v>Y</v>
      </c>
      <c r="X196" s="149">
        <f t="shared" si="116"/>
        <v>1</v>
      </c>
      <c r="Y196" s="67">
        <f t="shared" si="117"/>
        <v>2.3138999999999998</v>
      </c>
      <c r="Z196" s="67">
        <f t="shared" si="118"/>
        <v>1.32E-2</v>
      </c>
      <c r="AA196" s="67">
        <f t="shared" si="119"/>
        <v>2.3007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20"/>
        <v>0306-16</v>
      </c>
      <c r="AE196" s="91" t="str">
        <f t="shared" si="121"/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AF196" s="88" t="str">
        <f t="shared" si="122"/>
        <v>"C:\Program Files (x86)\AstroGrep\AstroGrep.exe" /spath="%USERPROFILE%\AppData\Local\Temp\OnboardLogs" /stypes="app*4041*20161016*" /stext=" 10:.+((SYSTEM_STATE.+slice.+state.+changed )|(ment ac)|(system.+state.+changed )|(\[timeout)|(PRM\|1\|D)|(kpr)|(kdp)|(\|lc)|(penalty))" /e /r /s</v>
      </c>
      <c r="AG196" s="1" t="str">
        <f t="shared" si="123"/>
        <v>Other</v>
      </c>
      <c r="AH196" s="92" t="str">
        <f t="shared" si="107"/>
        <v>"%USERPROFILE%\Documents\GitHub\eaglep3\Utilities\RefineRTDCRunTimes.py" --tripid 306-16 --locoid 4041 --swversion DE.1.0.7.0 --startMP 300:23139 --initTime 2016-10-16T03:52:03 --startdatetime 2016-10-16T03:54:16 --delay 1 --endMP 204:132 --enddatetime 2016-10-16T04:03:15 --enforcementcount 1 &gt;&gt;C:\Users\stu\Documents\GitHub\eaglep3-reporting\EC\2016-10-16-refined-times.txt</v>
      </c>
      <c r="AI196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{"issue":{"subject":"","project_id":79,"tracker_id":40,"status_id":1,"priority_id":2,"assigned_to_id":23,"start_date":"2016-10-16","description":"","custom_fields":[{"id":1,"name":"Subdivision","value":"Other"},{"id":4,"name":"Milepost","value":"0.0132"},{"id":17,"name":"Train ID","value":"306-16"},{"id":16,"name":"Locomotive ID","value":"4041"},{"id":130,"name":"Impact","value":""},{"id":150,"name":"Time of Event (Mountain Time)","value":"04:03:15"},{"id":151,"name":"Denver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578</v>
      </c>
      <c r="B197" s="7">
        <v>4031</v>
      </c>
      <c r="C197" s="22" t="s">
        <v>99</v>
      </c>
      <c r="D197" s="22" t="s">
        <v>720</v>
      </c>
      <c r="E197" s="13">
        <v>42659.819016203706</v>
      </c>
      <c r="F197" s="13">
        <v>25568.708333333332</v>
      </c>
      <c r="G197" s="7">
        <v>1</v>
      </c>
      <c r="H197" s="13" t="s">
        <v>399</v>
      </c>
      <c r="I197" s="13">
        <v>25568.708333333332</v>
      </c>
      <c r="J197" s="7">
        <v>1</v>
      </c>
      <c r="K197" s="112" t="str">
        <f t="shared" si="109"/>
        <v>4031/4032</v>
      </c>
      <c r="L197" s="22" t="str">
        <f>VLOOKUP(A197,'Trips&amp;Operators'!$C$1:$E$10000,3,FALSE)</f>
        <v>SHOOK</v>
      </c>
      <c r="M197" s="6">
        <f t="shared" si="110"/>
        <v>0</v>
      </c>
      <c r="N197" s="7">
        <f t="shared" si="111"/>
        <v>0</v>
      </c>
      <c r="O197" s="7"/>
      <c r="P197" s="7"/>
      <c r="Q197" s="23"/>
      <c r="R197" s="23"/>
      <c r="S197" s="35">
        <f t="shared" si="112"/>
        <v>1</v>
      </c>
      <c r="T197" s="50" t="str">
        <f t="shared" si="113"/>
        <v>NorthBound</v>
      </c>
      <c r="U197" s="14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18:39:23-0600',mode:absolute,to:'1969-12-31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7" s="52" t="str">
        <f t="shared" si="115"/>
        <v>Y</v>
      </c>
      <c r="X197" s="149">
        <f t="shared" si="116"/>
        <v>1</v>
      </c>
      <c r="Y197" s="67">
        <f t="shared" si="117"/>
        <v>5.7700000000000001E-2</v>
      </c>
      <c r="Z197" s="67">
        <f t="shared" si="118"/>
        <v>2.3306</v>
      </c>
      <c r="AA197" s="67">
        <f t="shared" si="119"/>
        <v>2.2728999999999999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20"/>
        <v>0307-16</v>
      </c>
      <c r="AE197" s="91" t="str">
        <f t="shared" si="12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7" s="88" t="str">
        <f t="shared" si="122"/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197" s="1" t="str">
        <f t="shared" si="123"/>
        <v>Other</v>
      </c>
      <c r="AH197" s="92" t="str">
        <f t="shared" si="107"/>
        <v>"%USERPROFILE%\Documents\GitHub\eaglep3\Utilities\RefineRTDCRunTimes.py" --tripid 307-16 --locoid 4031 --swversion DE.1.0.7.0 --startMP 204:577 --initTime 2016-10-16T19:39:23 --startdatetime 1969-12-31T17:00:00 --delay 1 --endMP 300:23306 --enddatetime 1969-12-31T17:00:00 --enforcementcount 1 &gt;&gt;C:\Users\stu\Documents\GitHub\eaglep3-reporting\EC\2016-10-16-refined-times.txt</v>
      </c>
      <c r="AI197" s="122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437</v>
      </c>
      <c r="B198" s="7">
        <v>4026</v>
      </c>
      <c r="C198" s="22" t="s">
        <v>99</v>
      </c>
      <c r="D198" s="22" t="s">
        <v>721</v>
      </c>
      <c r="E198" s="13">
        <v>42659.175717592596</v>
      </c>
      <c r="F198" s="13">
        <v>42659.177210648151</v>
      </c>
      <c r="G198" s="7">
        <v>1</v>
      </c>
      <c r="H198" s="13" t="s">
        <v>238</v>
      </c>
      <c r="I198" s="13">
        <v>42659.184560185182</v>
      </c>
      <c r="J198" s="7">
        <v>1</v>
      </c>
      <c r="K198" s="112" t="str">
        <f t="shared" si="109"/>
        <v>4025/4026</v>
      </c>
      <c r="L198" s="22" t="str">
        <f>VLOOKUP(A198,'Trips&amp;Operators'!$C$1:$E$10000,3,FALSE)</f>
        <v>DAVIS</v>
      </c>
      <c r="M198" s="6">
        <f t="shared" si="110"/>
        <v>7.3495370306773111E-3</v>
      </c>
      <c r="N198" s="7">
        <f t="shared" si="111"/>
        <v>10.583333324175328</v>
      </c>
      <c r="O198" s="7"/>
      <c r="P198" s="7"/>
      <c r="Q198" s="23"/>
      <c r="R198" s="23"/>
      <c r="S198" s="35">
        <f t="shared" si="112"/>
        <v>1</v>
      </c>
      <c r="T198" s="50" t="str">
        <f t="shared" si="113"/>
        <v>Southbound</v>
      </c>
      <c r="U198" s="14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03:13:02-0600',mode:absolute,to:'2016-10-16 05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8" s="52" t="str">
        <f t="shared" si="115"/>
        <v>Y</v>
      </c>
      <c r="X198" s="149">
        <f t="shared" si="116"/>
        <v>1</v>
      </c>
      <c r="Y198" s="67">
        <f t="shared" si="117"/>
        <v>2.3451</v>
      </c>
      <c r="Z198" s="67">
        <f t="shared" si="118"/>
        <v>1.49E-2</v>
      </c>
      <c r="AA198" s="67">
        <f t="shared" si="119"/>
        <v>2.3302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20"/>
        <v>0308-16</v>
      </c>
      <c r="AE198" s="91" t="str">
        <f t="shared" si="121"/>
        <v>aws s3 cp s3://rtdc.mdm.uploadarchive.raw/RTDC4026/ "%USERPROFILE%\AppData\Local\Temp\OnboardLogs"\RTDC4026\2016-10-16 --exclude "*" --recursive --include "*20161016*" &amp; "%USERPROFILE%\Documents\GitHub\mrs-test-scripts\Headless Mode &amp; Sideloading\WalkAndUnGZ.bat" "%USERPROFILE%\AppData\Local\Temp\OnboardLogs"\RTDC4026\2016-10-16 &amp; 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</v>
      </c>
      <c r="AF198" s="88" t="str">
        <f t="shared" si="122"/>
        <v>"C:\Program Files (x86)\AstroGrep\AstroGrep.exe" /spath="%USERPROFILE%\AppData\Local\Temp\OnboardLogs" /stypes="app*4026*20161016*" /stext=" 10:.+((SYSTEM_STATE.+slice.+state.+changed )|(ment ac)|(system.+state.+changed )|(\[timeout)|(PRM\|1\|D)|(kpr)|(kdp)|(\|lc)|(penalty))" /e /r /s</v>
      </c>
      <c r="AG198" s="1" t="str">
        <f t="shared" si="123"/>
        <v>Other</v>
      </c>
      <c r="AH198" s="92" t="str">
        <f t="shared" si="107"/>
        <v>"%USERPROFILE%\Documents\GitHub\eaglep3\Utilities\RefineRTDCRunTimes.py" --tripid 308-16 --locoid 4026 --swversion DE.1.0.7.0 --startMP 300:23451 --initTime 2016-10-16T04:13:02 --startdatetime 2016-10-16T04:15:11 --delay 1 --endMP 204:149 --enddatetime 2016-10-16T04:25:46 --enforcementcount 1 &gt;&gt;C:\Users\stu\Documents\GitHub\eaglep3-reporting\EC\2016-10-16-refined-times.txt</v>
      </c>
      <c r="AI198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{"issue":{"subject":"","project_id":79,"tracker_id":40,"status_id":1,"priority_id":2,"assigned_to_id":23,"start_date":"2016-10-16","description":"","custom_fields":[{"id":1,"name":"Subdivision","value":"Other"},{"id":4,"name":"Milepost","value":"0.0149"},{"id":17,"name":"Train ID","value":"308-16"},{"id":16,"name":"Locomotive ID","value":"4026"},{"id":130,"name":"Impact","value":""},{"id":150,"name":"Time of Event (Mountain Time)","value":"04:25:46"},{"id":151,"name":"Denver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603</v>
      </c>
      <c r="B199" s="7">
        <v>4040</v>
      </c>
      <c r="C199" s="22" t="s">
        <v>99</v>
      </c>
      <c r="D199" s="22" t="s">
        <v>256</v>
      </c>
      <c r="E199" s="13">
        <v>42660.031655092593</v>
      </c>
      <c r="F199" s="13">
        <v>42660.033715277779</v>
      </c>
      <c r="G199" s="7">
        <v>2</v>
      </c>
      <c r="H199" s="13" t="s">
        <v>722</v>
      </c>
      <c r="I199" s="13">
        <v>42660.038784722223</v>
      </c>
      <c r="J199" s="7">
        <v>1</v>
      </c>
      <c r="K199" s="112" t="str">
        <f t="shared" si="109"/>
        <v>4039/4040</v>
      </c>
      <c r="L199" s="22" t="str">
        <f>VLOOKUP(A199,'Trips&amp;Operators'!$C$1:$E$10000,3,FALSE)</f>
        <v>BRANDNER</v>
      </c>
      <c r="M199" s="6">
        <f t="shared" si="110"/>
        <v>5.0694444435066544E-3</v>
      </c>
      <c r="N199" s="7">
        <f t="shared" si="111"/>
        <v>7.2999999986495823</v>
      </c>
      <c r="O199" s="7"/>
      <c r="P199" s="7"/>
      <c r="Q199" s="23"/>
      <c r="R199" s="23"/>
      <c r="S199" s="35">
        <f t="shared" si="112"/>
        <v>1</v>
      </c>
      <c r="T199" s="50" t="str">
        <f t="shared" si="113"/>
        <v>NorthBound</v>
      </c>
      <c r="U199" s="14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23:45:35-0600',mode:absolute,to:'2016-10-17 01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9" s="52" t="str">
        <f t="shared" si="115"/>
        <v>Y</v>
      </c>
      <c r="X199" s="149">
        <f t="shared" si="116"/>
        <v>1</v>
      </c>
      <c r="Y199" s="67">
        <f t="shared" si="117"/>
        <v>4.6199999999999998E-2</v>
      </c>
      <c r="Z199" s="67">
        <f t="shared" si="118"/>
        <v>2.2168000000000001</v>
      </c>
      <c r="AA199" s="67">
        <f t="shared" si="119"/>
        <v>2.1706000000000003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20"/>
        <v>0309-16</v>
      </c>
      <c r="AE199" s="91" t="str">
        <f t="shared" si="121"/>
        <v>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 &amp; aws s3 cp s3://rtdc.mdm.uploadarchive.raw/RTDC4040/ "%USERPROFILE%\AppData\Local\Temp\OnboardLogs"\RTDC4040\2016-10-18 --exclude "*" --recursive --include "*20161018*" &amp; "%USERPROFILE%\Documents\GitHub\mrs-test-scripts\Headless Mode &amp; Sideloading\WalkAndUnGZ.bat" "%USERPROFILE%\AppData\Local\Temp\OnboardLogs"\RTDC4040\2016-10-18</v>
      </c>
      <c r="AF199" s="88" t="str">
        <f t="shared" si="122"/>
        <v>"C:\Program Files (x86)\AstroGrep\AstroGrep.exe" /spath="%USERPROFILE%\AppData\Local\Temp\OnboardLogs" /stypes="app*4040*20161017*" /stext=" 06:.+((SYSTEM_STATE.+slice.+state.+changed )|(ment ac)|(system.+state.+changed )|(\[timeout)|(PRM\|1\|D)|(kpr)|(kdp)|(\|lc)|(penalty))" /e /r /s</v>
      </c>
      <c r="AG199" s="1" t="str">
        <f t="shared" si="123"/>
        <v>Other</v>
      </c>
      <c r="AH199" s="92" t="str">
        <f t="shared" si="107"/>
        <v>"%USERPROFILE%\Documents\GitHub\eaglep3\Utilities\RefineRTDCRunTimes.py" --tripid 309-16 --locoid 4040 --swversion DE.1.0.7.0 --startMP 204:462 --initTime 2016-10-17T00:45:35 --startdatetime 2016-10-17T00:48:33 --delay 2 --endMP 300:22168 --enddatetime 2016-10-17T00:55:51 --enforcementcount 1 &gt;&gt;C:\Users\stu\Documents\GitHub\eaglep3-reporting\EC\2016-10-16-refined-times.txt</v>
      </c>
      <c r="AI199" s="122" t="str">
        <f t="shared" si="108"/>
        <v>echo {"issue":{"subject":"","project_id":79,"tracker_id":40,"status_id":1,"priority_id":2,"assigned_to_id":23,"start_date":"2016-10-17","description":"","custom_fields":[{"id":1,"name":"Subdivision","value":"Other"},{"id":4,"name":"Milepost","value":"2.2168"},{"id":17,"name":"Train ID","value":"309-16"},{"id":16,"name":"Locomotive ID","value":"4040"},{"id":130,"name":"Impact","value":""},{"id":150,"name":"Time of Event (Mountain Time)","value":"00:55:51"},{"id":151,"name":"Denver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404</v>
      </c>
      <c r="B200" s="7">
        <v>4017</v>
      </c>
      <c r="C200" s="22" t="s">
        <v>99</v>
      </c>
      <c r="D200" s="22" t="s">
        <v>723</v>
      </c>
      <c r="E200" s="13">
        <v>42659.180601851855</v>
      </c>
      <c r="F200" s="13">
        <v>42659.181851851848</v>
      </c>
      <c r="G200" s="7">
        <v>1</v>
      </c>
      <c r="H200" s="13" t="s">
        <v>266</v>
      </c>
      <c r="I200" s="13">
        <v>42659.191331018519</v>
      </c>
      <c r="J200" s="7">
        <v>1</v>
      </c>
      <c r="K200" s="112" t="str">
        <f t="shared" si="109"/>
        <v>4017/4018</v>
      </c>
      <c r="L200" s="22" t="str">
        <f>VLOOKUP(A200,'Trips&amp;Operators'!$C$1:$E$10000,3,FALSE)</f>
        <v>MALAVE</v>
      </c>
      <c r="M200" s="6">
        <f t="shared" si="110"/>
        <v>9.4791666706441902E-3</v>
      </c>
      <c r="N200" s="7">
        <f t="shared" si="111"/>
        <v>13.650000005727634</v>
      </c>
      <c r="O200" s="7"/>
      <c r="P200" s="7"/>
      <c r="Q200" s="23"/>
      <c r="R200" s="23"/>
      <c r="S200" s="35">
        <f t="shared" si="112"/>
        <v>1</v>
      </c>
      <c r="T200" s="50" t="str">
        <f t="shared" si="113"/>
        <v>Southbound</v>
      </c>
      <c r="U200" s="14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03:20:04-0600',mode:absolute,to:'2016-10-16 05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0" s="52" t="str">
        <f t="shared" si="115"/>
        <v>Y</v>
      </c>
      <c r="X200" s="149">
        <f t="shared" si="116"/>
        <v>1</v>
      </c>
      <c r="Y200" s="67">
        <f t="shared" si="117"/>
        <v>2.3435999999999999</v>
      </c>
      <c r="Z200" s="67">
        <f t="shared" si="118"/>
        <v>1.6E-2</v>
      </c>
      <c r="AA200" s="67">
        <f t="shared" si="119"/>
        <v>2.3275999999999999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20"/>
        <v>0310-16</v>
      </c>
      <c r="AE200" s="91" t="str">
        <f t="shared" si="121"/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AF200" s="88" t="str">
        <f t="shared" si="122"/>
        <v>"C:\Program Files (x86)\AstroGrep\AstroGrep.exe" /spath="%USERPROFILE%\AppData\Local\Temp\OnboardLogs" /stypes="app*4017*20161016*" /stext=" 10:.+((SYSTEM_STATE.+slice.+state.+changed )|(ment ac)|(system.+state.+changed )|(\[timeout)|(PRM\|1\|D)|(kpr)|(kdp)|(\|lc)|(penalty))" /e /r /s</v>
      </c>
      <c r="AG200" s="1" t="str">
        <f t="shared" si="123"/>
        <v>Other</v>
      </c>
      <c r="AH200" s="92" t="str">
        <f t="shared" si="107"/>
        <v>"%USERPROFILE%\Documents\GitHub\eaglep3\Utilities\RefineRTDCRunTimes.py" --tripid 310-16 --locoid 4017 --swversion DE.1.0.7.0 --startMP 300:23436 --initTime 2016-10-16T04:20:04 --startdatetime 2016-10-16T04:21:52 --delay 1 --endMP 204:160 --enddatetime 2016-10-16T04:35:31 --enforcementcount 1 &gt;&gt;C:\Users\stu\Documents\GitHub\eaglep3-reporting\EC\2016-10-16-refined-times.txt</v>
      </c>
      <c r="AI200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{"issue":{"subject":"","project_id":79,"tracker_id":40,"status_id":1,"priority_id":2,"assigned_to_id":23,"start_date":"2016-10-16","description":"","custom_fields":[{"id":1,"name":"Subdivision","value":"Other"},{"id":4,"name":"Milepost","value":"0.016"},{"id":17,"name":"Train ID","value":"310-16"},{"id":16,"name":"Locomotive ID","value":"4017"},{"id":130,"name":"Impact","value":""},{"id":150,"name":"Time of Event (Mountain Time)","value":"04:35:31"},{"id":151,"name":"Denver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372</v>
      </c>
      <c r="B201" s="7">
        <v>4003</v>
      </c>
      <c r="C201" s="22" t="s">
        <v>99</v>
      </c>
      <c r="D201" s="22" t="s">
        <v>400</v>
      </c>
      <c r="E201" s="13">
        <v>42659.074282407404</v>
      </c>
      <c r="F201" s="13">
        <v>42659.075636574074</v>
      </c>
      <c r="G201" s="7">
        <v>1</v>
      </c>
      <c r="H201" s="13" t="s">
        <v>401</v>
      </c>
      <c r="I201" s="13">
        <v>42659.075775462959</v>
      </c>
      <c r="J201" s="7">
        <v>1</v>
      </c>
      <c r="K201" s="112" t="str">
        <f t="shared" si="109"/>
        <v>4003/4004</v>
      </c>
      <c r="L201" s="22" t="str">
        <f>VLOOKUP(A201,'Trips&amp;Operators'!$C$1:$E$10000,3,FALSE)</f>
        <v>CHANDLER</v>
      </c>
      <c r="M201" s="6">
        <f t="shared" si="110"/>
        <v>1.3888888497604057E-4</v>
      </c>
      <c r="N201" s="7">
        <f t="shared" si="111"/>
        <v>0.19999999436549842</v>
      </c>
      <c r="O201" s="7"/>
      <c r="P201" s="7"/>
      <c r="Q201" s="23"/>
      <c r="R201" s="23"/>
      <c r="S201" s="35">
        <f t="shared" si="112"/>
        <v>0</v>
      </c>
      <c r="T201" s="50" t="str">
        <f t="shared" si="113"/>
        <v>NorthBound</v>
      </c>
      <c r="U201" s="14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00:46:58-0600',mode:absolute,to:'2016-10-16 02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1" s="52" t="str">
        <f t="shared" si="115"/>
        <v>Y</v>
      </c>
      <c r="X201" s="149">
        <f t="shared" si="116"/>
        <v>1</v>
      </c>
      <c r="Y201" s="67">
        <f t="shared" si="117"/>
        <v>0.15160000000000001</v>
      </c>
      <c r="Z201" s="67">
        <f t="shared" si="118"/>
        <v>0.186</v>
      </c>
      <c r="AA201" s="67">
        <f t="shared" si="119"/>
        <v>3.4399999999999986E-2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20"/>
        <v>0311-15</v>
      </c>
      <c r="AE201" s="91" t="str">
        <f t="shared" si="121"/>
        <v>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 &amp; aws s3 cp s3://rtdc.mdm.uploadarchive.raw/RTDC4003/ "%USERPROFILE%\AppData\Local\Temp\OnboardLogs"\RTDC4003\2016-10-17 --exclude "*" --recursive --include "*20161017*" &amp; "%USERPROFILE%\Documents\GitHub\mrs-test-scripts\Headless Mode &amp; Sideloading\WalkAndUnGZ.bat" "%USERPROFILE%\AppData\Local\Temp\OnboardLogs"\RTDC4003\2016-10-17</v>
      </c>
      <c r="AF201" s="88" t="str">
        <f t="shared" si="122"/>
        <v>"C:\Program Files (x86)\AstroGrep\AstroGrep.exe" /spath="%USERPROFILE%\AppData\Local\Temp\OnboardLogs" /stypes="app*4003*20161016*" /stext=" 07:.+((SYSTEM_STATE.+slice.+state.+changed )|(ment ac)|(system.+state.+changed )|(\[timeout)|(PRM\|1\|D)|(kpr)|(kdp)|(\|lc)|(penalty))" /e /r /s</v>
      </c>
      <c r="AG201" s="1" t="str">
        <f t="shared" si="123"/>
        <v>Other</v>
      </c>
      <c r="AH201" s="92" t="str">
        <f t="shared" si="107"/>
        <v>"%USERPROFILE%\Documents\GitHub\eaglep3\Utilities\RefineRTDCRunTimes.py" --tripid 311-15 --locoid 4003 --swversion DE.1.0.7.0 --startMP 204:1516 --initTime 2016-10-16T01:46:58 --startdatetime 2016-10-16T01:48:55 --delay 1 --endMP 204:1860 --enddatetime 2016-10-16T01:49:07 --enforcementcount 1 &gt;&gt;C:\Users\stu\Documents\GitHub\eaglep3-reporting\EC\2016-10-16-refined-times.txt</v>
      </c>
      <c r="AI201" s="122" t="str">
        <f t="shared" si="108"/>
        <v>echo {"issue":{"subject":"","project_id":79,"tracker_id":40,"status_id":1,"priority_id":2,"assigned_to_id":23,"start_date":"2016-10-16","description":"","custom_fields":[{"id":1,"name":"Subdivision","value":"Other"},{"id":4,"name":"Milepost","value":"0.186"},{"id":17,"name":"Train ID","value":"311-15"},{"id":16,"name":"Locomotive ID","value":"4003"},{"id":130,"name":"Impact","value":""},{"id":150,"name":"Time of Event (Mountain Time)","value":"01:49:07"},{"id":151,"name":"Denver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373</v>
      </c>
      <c r="B202" s="7">
        <v>4016</v>
      </c>
      <c r="C202" s="22" t="s">
        <v>99</v>
      </c>
      <c r="D202" s="22" t="s">
        <v>312</v>
      </c>
      <c r="E202" s="13">
        <v>42659.09134259259</v>
      </c>
      <c r="F202" s="13">
        <v>25568.708333333332</v>
      </c>
      <c r="G202" s="7">
        <v>1</v>
      </c>
      <c r="H202" s="13" t="s">
        <v>402</v>
      </c>
      <c r="I202" s="13">
        <v>25568.708333333332</v>
      </c>
      <c r="J202" s="7">
        <v>1</v>
      </c>
      <c r="K202" s="112" t="str">
        <f t="shared" si="109"/>
        <v>4015/4016</v>
      </c>
      <c r="L202" s="22" t="str">
        <f>VLOOKUP(A202,'Trips&amp;Operators'!$C$1:$E$10000,3,FALSE)</f>
        <v>BRANDNER</v>
      </c>
      <c r="M202" s="6">
        <f t="shared" si="110"/>
        <v>0</v>
      </c>
      <c r="N202" s="7">
        <f t="shared" si="111"/>
        <v>0</v>
      </c>
      <c r="O202" s="7"/>
      <c r="P202" s="7"/>
      <c r="Q202" s="23"/>
      <c r="R202" s="23"/>
      <c r="S202" s="35">
        <f t="shared" si="112"/>
        <v>1</v>
      </c>
      <c r="T202" s="50" t="str">
        <f t="shared" si="113"/>
        <v>NorthBound</v>
      </c>
      <c r="U202" s="14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01:11:32-0600',mode:absolute,to:'1969-12-31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2" s="52" t="str">
        <f t="shared" si="115"/>
        <v>Y</v>
      </c>
      <c r="X202" s="149">
        <f t="shared" si="116"/>
        <v>2</v>
      </c>
      <c r="Y202" s="67">
        <f t="shared" si="117"/>
        <v>4.7100000000000003E-2</v>
      </c>
      <c r="Z202" s="67">
        <f t="shared" si="118"/>
        <v>2.3300999999999998</v>
      </c>
      <c r="AA202" s="67">
        <f t="shared" si="119"/>
        <v>2.2829999999999999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20"/>
        <v>0313-15</v>
      </c>
      <c r="AE202" s="91" t="str">
        <f t="shared" si="12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2" s="88" t="str">
        <f t="shared" si="122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02" s="1" t="str">
        <f t="shared" si="123"/>
        <v>Other</v>
      </c>
      <c r="AH202" s="92" t="str">
        <f t="shared" si="107"/>
        <v>"%USERPROFILE%\Documents\GitHub\eaglep3\Utilities\RefineRTDCRunTimes.py" --tripid 313-15 --locoid 4016 --swversion DE.1.0.7.0 --startMP 204:471 --initTime 2016-10-16T02:11:32 --startdatetime 1969-12-31T17:00:00 --delay 1 --endMP 300:23301 --enddatetime 1969-12-31T17:00:00 --enforcementcount 1 &gt;&gt;C:\Users\stu\Documents\GitHub\eaglep3-reporting\EC\2016-10-16-refined-times.txt</v>
      </c>
      <c r="AI202" s="122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ID","value":"313-15"},{"id":16,"name":"Locomotive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607</v>
      </c>
      <c r="B203" s="7">
        <v>4027</v>
      </c>
      <c r="C203" s="22" t="s">
        <v>99</v>
      </c>
      <c r="D203" s="22" t="s">
        <v>272</v>
      </c>
      <c r="E203" s="13">
        <v>42660.069780092592</v>
      </c>
      <c r="F203" s="13">
        <v>25568.708333333332</v>
      </c>
      <c r="G203" s="7">
        <v>1</v>
      </c>
      <c r="H203" s="13" t="s">
        <v>355</v>
      </c>
      <c r="I203" s="13">
        <v>25568.708333333332</v>
      </c>
      <c r="J203" s="7">
        <v>1</v>
      </c>
      <c r="K203" s="112" t="str">
        <f t="shared" si="109"/>
        <v>4027/4028</v>
      </c>
      <c r="L203" s="22" t="str">
        <f>VLOOKUP(A203,'Trips&amp;Operators'!$C$1:$E$10000,3,FALSE)</f>
        <v>NEWELL</v>
      </c>
      <c r="M203" s="6">
        <f t="shared" si="110"/>
        <v>0</v>
      </c>
      <c r="N203" s="7">
        <f t="shared" si="111"/>
        <v>0</v>
      </c>
      <c r="O203" s="7"/>
      <c r="P203" s="7"/>
      <c r="Q203" s="23"/>
      <c r="R203" s="23"/>
      <c r="S203" s="35">
        <f t="shared" si="112"/>
        <v>1</v>
      </c>
      <c r="T203" s="50" t="str">
        <f t="shared" si="113"/>
        <v>NorthBound</v>
      </c>
      <c r="U203" s="14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https://search-rtdc-monitor-bjffxe2xuh6vdkpspy63sjmuny.us-east-1.es.amazonaws.com/_plugin/kibana/#/discover/Steve-Slow-Train-Analysis-(2080s-and-2083s)?_g=(refreshInterval:(display:Off,section:0,value:0),time:(from:'2016-10-17 00:40:29-0600',mode:absolute,to:'1969-12-31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3" s="52" t="str">
        <f t="shared" si="115"/>
        <v>Y</v>
      </c>
      <c r="X203" s="149">
        <f t="shared" si="116"/>
        <v>0</v>
      </c>
      <c r="Y203" s="67">
        <f t="shared" si="117"/>
        <v>4.6899999999999997E-2</v>
      </c>
      <c r="Z203" s="67">
        <f t="shared" si="118"/>
        <v>2.3308</v>
      </c>
      <c r="AA203" s="67">
        <f t="shared" si="119"/>
        <v>2.2839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20"/>
        <v>0313-16</v>
      </c>
      <c r="AE203" s="91" t="str">
        <f t="shared" si="12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3" s="88" t="str">
        <f t="shared" si="122"/>
        <v>"C:\Program Files (x86)\AstroGrep\AstroGrep.exe" /spath="%USERPROFILE%\AppData\Local\Temp\OnboardLogs" /stypes="app*4027*19691231*" /stext=" 23:.+((SYSTEM_STATE.+slice.+state.+changed )|(ment ac)|(system.+state.+changed )|(\[timeout)|(PRM\|1\|D)|(kpr)|(kdp)|(\|lc)|(penalty))" /e /r /s</v>
      </c>
      <c r="AG203" s="1" t="str">
        <f t="shared" si="123"/>
        <v>Other</v>
      </c>
      <c r="AH203" s="92" t="str">
        <f t="shared" si="107"/>
        <v>"%USERPROFILE%\Documents\GitHub\eaglep3\Utilities\RefineRTDCRunTimes.py" --tripid 313-16 --locoid 4027 --swversion DE.1.0.7.0 --startMP 204:469 --initTime 2016-10-17T01:40:29 --startdatetime 1969-12-31T17:00:00 --delay 1 --endMP 300:23308 --enddatetime 1969-12-31T17:00:00 --enforcementcount 1 &gt;&gt;C:\Users\stu\Documents\GitHub\eaglep3-reporting\EC\2016-10-16-refined-times.txt</v>
      </c>
      <c r="AI203" s="122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ID","value":"313-16"},{"id":16,"name":"Locomotive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374</v>
      </c>
      <c r="B204" s="7">
        <v>4020</v>
      </c>
      <c r="C204" s="22" t="s">
        <v>99</v>
      </c>
      <c r="D204" s="22" t="s">
        <v>247</v>
      </c>
      <c r="E204" s="13">
        <v>42659.108032407406</v>
      </c>
      <c r="F204" s="13">
        <v>25568.708333333332</v>
      </c>
      <c r="G204" s="7">
        <v>1</v>
      </c>
      <c r="H204" s="13" t="s">
        <v>354</v>
      </c>
      <c r="I204" s="13">
        <v>25568.708333333332</v>
      </c>
      <c r="J204" s="7">
        <v>1</v>
      </c>
      <c r="K204" s="112" t="str">
        <f t="shared" si="109"/>
        <v>4019/4020</v>
      </c>
      <c r="L204" s="22" t="str">
        <f>VLOOKUP(A204,'Trips&amp;Operators'!$C$1:$E$10000,3,FALSE)</f>
        <v>LEVIN</v>
      </c>
      <c r="M204" s="6">
        <f t="shared" si="110"/>
        <v>0</v>
      </c>
      <c r="N204" s="7">
        <f t="shared" si="111"/>
        <v>0</v>
      </c>
      <c r="O204" s="7"/>
      <c r="P204" s="7"/>
      <c r="Q204" s="23"/>
      <c r="R204" s="23"/>
      <c r="S204" s="35">
        <f t="shared" si="112"/>
        <v>1</v>
      </c>
      <c r="T204" s="50" t="str">
        <f t="shared" si="113"/>
        <v>NorthBound</v>
      </c>
      <c r="U204" s="14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14"/>
        <v>https://search-rtdc-monitor-bjffxe2xuh6vdkpspy63sjmuny.us-east-1.es.amazonaws.com/_plugin/kibana/#/discover/Steve-Slow-Train-Analysis-(2080s-and-2083s)?_g=(refreshInterval:(display:Off,section:0,value:0),time:(from:'2016-10-16 01:35:34-0600',mode:absolute,to:'1969-12-31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4" s="52" t="str">
        <f t="shared" si="115"/>
        <v>Y</v>
      </c>
      <c r="X204" s="149">
        <f t="shared" si="116"/>
        <v>2</v>
      </c>
      <c r="Y204" s="67">
        <f t="shared" si="117"/>
        <v>4.6399999999999997E-2</v>
      </c>
      <c r="Z204" s="67">
        <f t="shared" si="118"/>
        <v>2.3311999999999999</v>
      </c>
      <c r="AA204" s="67">
        <f t="shared" si="119"/>
        <v>2.2847999999999997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20"/>
        <v>0315-15</v>
      </c>
      <c r="AE204" s="91" t="str">
        <f t="shared" si="12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4" s="88" t="str">
        <f t="shared" si="122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04" s="1" t="str">
        <f t="shared" si="123"/>
        <v>Other</v>
      </c>
      <c r="AH204" s="92" t="str">
        <f t="shared" si="107"/>
        <v>"%USERPROFILE%\Documents\GitHub\eaglep3\Utilities\RefineRTDCRunTimes.py" --tripid 315-15 --locoid 4020 --swversion DE.1.0.7.0 --startMP 204:464 --initTime 2016-10-16T02:35:34 --startdatetime 1969-12-31T17:00:00 --delay 1 --endMP 300:23312 --enddatetime 1969-12-31T17:00:00 --enforcementcount 1 &gt;&gt;C:\Users\stu\Documents\GitHub\eaglep3-reporting\EC\2016-10-16-refined-times.txt</v>
      </c>
      <c r="AI204" s="122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ID","value":"315-15"},{"id":16,"name":"Locomotive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608</v>
      </c>
      <c r="B205" s="7">
        <v>4042</v>
      </c>
      <c r="C205" s="22" t="s">
        <v>99</v>
      </c>
      <c r="D205" s="22" t="s">
        <v>259</v>
      </c>
      <c r="E205" s="13">
        <v>42660.090694444443</v>
      </c>
      <c r="F205" s="13">
        <v>25568.708333333332</v>
      </c>
      <c r="G205" s="7">
        <v>1</v>
      </c>
      <c r="H205" s="13" t="s">
        <v>724</v>
      </c>
      <c r="I205" s="13">
        <v>25568.708333333332</v>
      </c>
      <c r="J205" s="7">
        <v>1</v>
      </c>
      <c r="K205" s="112" t="str">
        <f t="shared" ref="K205:K211" si="152">IF(ISEVEN(B205),(B205-1)&amp;"/"&amp;B205,B205&amp;"/"&amp;(B205+1))</f>
        <v>4041/4042</v>
      </c>
      <c r="L205" s="22" t="str">
        <f>VLOOKUP(A205,'Trips&amp;Operators'!$C$1:$E$10000,3,FALSE)</f>
        <v>CHANDLER</v>
      </c>
      <c r="M205" s="6">
        <f t="shared" ref="M205:M211" si="153">I205-F205</f>
        <v>0</v>
      </c>
      <c r="N205" s="7">
        <f t="shared" ref="N205:N211" si="154">24*60*SUM($M205:$M205)</f>
        <v>0</v>
      </c>
      <c r="O205" s="7"/>
      <c r="P205" s="7"/>
      <c r="Q205" s="23"/>
      <c r="R205" s="23"/>
      <c r="S205" s="35">
        <f t="shared" ref="S205:S211" si="155">SUM(U205:U205)/IF(AG205="EC",12,1)</f>
        <v>1</v>
      </c>
      <c r="T205" s="50" t="str">
        <f t="shared" ref="T205:T211" si="156">IF(ISEVEN(LEFT(AD205,4)),"Southbound","NorthBound")</f>
        <v>NorthBound</v>
      </c>
      <c r="U205" s="14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11" si="157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https://search-rtdc-monitor-bjffxe2xuh6vdkpspy63sjmuny.us-east-1.es.amazonaws.com/_plugin/kibana/#/discover/Steve-Slow-Train-Analysis-(2080s-and-2083s)?_g=(refreshInterval:(display:Off,section:0,value:0),time:(from:'2016-10-17 01:10:36-0600',mode:absolute,to:'1969-12-31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ref="W205:W211" si="158">IF(AA205&lt;IF(AG205="EC",23,5.65),"Y","N")</f>
        <v>Y</v>
      </c>
      <c r="X205" s="149">
        <f t="shared" ref="X205:X211" si="159">VALUE(LEFT(AD205,4))-VALUE(LEFT(AD204,4))</f>
        <v>0</v>
      </c>
      <c r="Y205" s="67">
        <f t="shared" ref="Y205:Y211" si="160">RIGHT(D205,LEN(D205)-4)/10000</f>
        <v>4.7800000000000002E-2</v>
      </c>
      <c r="Z205" s="67">
        <f t="shared" ref="Z205:Z211" si="161">RIGHT(H205,LEN(H205)-4)/10000</f>
        <v>1.379</v>
      </c>
      <c r="AA205" s="67">
        <f t="shared" ref="AA205:AA211" si="162">ABS(Z205-Y205)</f>
        <v>1.3311999999999999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11" si="163">IF(LEN(A205)=6,"0"&amp;A205,A205)</f>
        <v>0315-16</v>
      </c>
      <c r="AE205" s="91" t="str">
        <f t="shared" ref="AE205:AE211" si="16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5" s="88" t="str">
        <f t="shared" ref="AF205:AF211" si="16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5" s="1" t="str">
        <f t="shared" ref="AG205:AG211" si="166">IFERROR(IF(VALUE(LEFT(AD205,2))&lt;=2,"EC",IF(OR(VALUE(LEFT(AD205,2))=8,VALUE(LEFT(AD205,2))=18),"NW","Other")),"Other")</f>
        <v>Other</v>
      </c>
      <c r="AH205" s="92" t="str">
        <f t="shared" si="107"/>
        <v>"%USERPROFILE%\Documents\GitHub\eaglep3\Utilities\RefineRTDCRunTimes.py" --tripid 315-16 --locoid 4042 --swversion DE.1.0.7.0 --startMP 204:478 --initTime 2016-10-17T02:10:36 --startdatetime 1969-12-31T17:00:00 --delay 1 --endMP 300:13790 --enddatetime 1969-12-31T17:00:00 --enforcementcount 1 &gt;&gt;C:\Users\stu\Documents\GitHub\eaglep3-reporting\EC\2016-10-16-refined-times.txt</v>
      </c>
      <c r="AI205" s="122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{"issue":{"subject":"","project_id":79,"tracker_id":40,"status_id":1,"priority_id":2,"assigned_to_id":23,"start_date":"1969-12-31","description":"","custom_fields":[{"id":1,"name":"Subdivision","value":"Other"},{"id":4,"name":"Milepost","value":"1.379"},{"id":17,"name":"Train ID","value":"315-16"},{"id":16,"name":"Locomotive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444</v>
      </c>
      <c r="B206" s="7">
        <v>4044</v>
      </c>
      <c r="C206" s="22" t="s">
        <v>99</v>
      </c>
      <c r="D206" s="22" t="s">
        <v>682</v>
      </c>
      <c r="E206" s="13">
        <v>42659.22415509259</v>
      </c>
      <c r="F206" s="13">
        <v>42659.228043981479</v>
      </c>
      <c r="G206" s="7">
        <v>5</v>
      </c>
      <c r="H206" s="13" t="s">
        <v>356</v>
      </c>
      <c r="I206" s="13">
        <v>42659.233877314815</v>
      </c>
      <c r="J206" s="7">
        <v>1</v>
      </c>
      <c r="K206" s="112" t="str">
        <f t="shared" si="152"/>
        <v>4043/4044</v>
      </c>
      <c r="L206" s="22" t="str">
        <f>VLOOKUP(A206,'Trips&amp;Operators'!$C$1:$E$10000,3,FALSE)</f>
        <v>STARKS</v>
      </c>
      <c r="M206" s="6">
        <f t="shared" si="153"/>
        <v>5.8333333363407291E-3</v>
      </c>
      <c r="N206" s="7">
        <f t="shared" si="154"/>
        <v>8.40000000433065</v>
      </c>
      <c r="O206" s="7"/>
      <c r="P206" s="7"/>
      <c r="Q206" s="23"/>
      <c r="R206" s="23"/>
      <c r="S206" s="35">
        <f t="shared" si="155"/>
        <v>0</v>
      </c>
      <c r="T206" s="50" t="str">
        <f t="shared" si="156"/>
        <v>NorthBound</v>
      </c>
      <c r="U206" s="14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157"/>
        <v>https://search-rtdc-monitor-bjffxe2xuh6vdkpspy63sjmuny.us-east-1.es.amazonaws.com/_plugin/kibana/#/discover/Steve-Slow-Train-Analysis-(2080s-and-2083s)?_g=(refreshInterval:(display:Off,section:0,value:0),time:(from:'2016-10-16 04:22:47-0600',mode:absolute,to:'2016-10-16 06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6" s="52" t="str">
        <f t="shared" si="158"/>
        <v>Y</v>
      </c>
      <c r="X206" s="149">
        <f t="shared" si="159"/>
        <v>1586</v>
      </c>
      <c r="Y206" s="67">
        <f t="shared" si="160"/>
        <v>2.9626999999999999</v>
      </c>
      <c r="Z206" s="67">
        <f t="shared" si="161"/>
        <v>5.8929</v>
      </c>
      <c r="AA206" s="67">
        <f t="shared" si="162"/>
        <v>2.9302000000000001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63"/>
        <v>1901-16</v>
      </c>
      <c r="AE206" s="91" t="str">
        <f t="shared" si="164"/>
        <v>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 &amp; 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</v>
      </c>
      <c r="AF206" s="88" t="str">
        <f t="shared" si="165"/>
        <v>"C:\Program Files (x86)\AstroGrep\AstroGrep.exe" /spath="%USERPROFILE%\AppData\Local\Temp\OnboardLogs" /stypes="app*4044*20161016*" /stext=" 11:.+((SYSTEM_STATE.+slice.+state.+changed )|(ment ac)|(system.+state.+changed )|(\[timeout)|(PRM\|1\|D)|(kpr)|(kdp)|(\|lc)|(penalty))" /e /r /s</v>
      </c>
      <c r="AG206" s="1" t="str">
        <f t="shared" si="166"/>
        <v>Other</v>
      </c>
      <c r="AH206" s="92" t="str">
        <f t="shared" ref="AH206:AH211" si="16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1901-16 --locoid 4044 --swversion DE.1.0.7.0 --startMP 300:29627 --initTime 2016-10-16T05:22:47 --startdatetime 2016-10-16T05:28:23 --delay 5 --endMP 300:58929 --enddatetime 2016-10-16T05:36:47 --enforcementcount 1 &gt;&gt;C:\Users\stu\Documents\GitHub\eaglep3-reporting\EC\2016-10-16-refined-times.txt</v>
      </c>
      <c r="AI206" s="122" t="str">
        <f t="shared" ref="AI206:AI211" si="16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{"issue":{"subject":"","project_id":79,"tracker_id":40,"status_id":1,"priority_id":2,"assigned_to_id":23,"start_date":"2016-10-16","description":"","custom_fields":[{"id":1,"name":"Subdivision","value":"Other"},{"id":4,"name":"Milepost","value":"5.8929"},{"id":17,"name":"Train ID","value":"1901-16"},{"id":16,"name":"Locomotive ID","value":"4044"},{"id":130,"name":"Impact","value":""},{"id":150,"name":"Time of Event (Mountain Time)","value":"05:36:47"},{"id":151,"name":"Denver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595</v>
      </c>
      <c r="B207" s="7">
        <v>4043</v>
      </c>
      <c r="C207" s="22" t="s">
        <v>99</v>
      </c>
      <c r="D207" s="22" t="s">
        <v>390</v>
      </c>
      <c r="E207" s="13">
        <v>42659.948530092595</v>
      </c>
      <c r="F207" s="13">
        <v>42659.949861111112</v>
      </c>
      <c r="G207" s="7">
        <v>1</v>
      </c>
      <c r="H207" s="13" t="s">
        <v>683</v>
      </c>
      <c r="I207" s="13">
        <v>42659.954525462963</v>
      </c>
      <c r="J207" s="7">
        <v>1</v>
      </c>
      <c r="K207" s="112" t="str">
        <f t="shared" si="152"/>
        <v>4043/4044</v>
      </c>
      <c r="L207" s="22" t="str">
        <f>VLOOKUP(A207,'Trips&amp;Operators'!$C$1:$E$10000,3,FALSE)</f>
        <v>BROWN</v>
      </c>
      <c r="M207" s="6">
        <f t="shared" si="153"/>
        <v>4.6643518508062698E-3</v>
      </c>
      <c r="N207" s="7">
        <f t="shared" si="154"/>
        <v>6.7166666651610285</v>
      </c>
      <c r="O207" s="7"/>
      <c r="P207" s="7"/>
      <c r="Q207" s="23"/>
      <c r="R207" s="23"/>
      <c r="S207" s="35">
        <f t="shared" si="155"/>
        <v>0</v>
      </c>
      <c r="T207" s="50" t="str">
        <f t="shared" si="156"/>
        <v>Southbound</v>
      </c>
      <c r="U207" s="14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57"/>
        <v>https://search-rtdc-monitor-bjffxe2xuh6vdkpspy63sjmuny.us-east-1.es.amazonaws.com/_plugin/kibana/#/discover/Steve-Slow-Train-Analysis-(2080s-and-2083s)?_g=(refreshInterval:(display:Off,section:0,value:0),time:(from:'2016-10-16 21:45:53-0600',mode:absolute,to:'2016-10-16 23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7" s="52" t="str">
        <f t="shared" si="158"/>
        <v>Y</v>
      </c>
      <c r="X207" s="149">
        <f t="shared" si="159"/>
        <v>1</v>
      </c>
      <c r="Y207" s="67">
        <f t="shared" si="160"/>
        <v>5.8639999999999999</v>
      </c>
      <c r="Z207" s="67">
        <f t="shared" si="161"/>
        <v>2.1749999999999998</v>
      </c>
      <c r="AA207" s="67">
        <f t="shared" si="162"/>
        <v>3.6890000000000001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63"/>
        <v>1902-16</v>
      </c>
      <c r="AE207" s="91" t="str">
        <f t="shared" si="164"/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AF207" s="88" t="str">
        <f t="shared" si="165"/>
        <v>"C:\Program Files (x86)\AstroGrep\AstroGrep.exe" /spath="%USERPROFILE%\AppData\Local\Temp\OnboardLogs" /stypes="app*4043*20161017*" /stext=" 04:.+((SYSTEM_STATE.+slice.+state.+changed )|(ment ac)|(system.+state.+changed )|(\[timeout)|(PRM\|1\|D)|(kpr)|(kdp)|(\|lc)|(penalty))" /e /r /s</v>
      </c>
      <c r="AG207" s="1" t="str">
        <f t="shared" si="166"/>
        <v>Other</v>
      </c>
      <c r="AH207" s="92" t="str">
        <f t="shared" si="167"/>
        <v>"%USERPROFILE%\Documents\GitHub\eaglep3\Utilities\RefineRTDCRunTimes.py" --tripid 1902-16 --locoid 4043 --swversion DE.1.0.7.0 --startMP 300:58640 --initTime 2016-10-16T22:45:53 --startdatetime 2016-10-16T22:47:48 --delay 1 --endMP 300:21750 --enddatetime 2016-10-16T22:54:31 --enforcementcount 1 &gt;&gt;C:\Users\stu\Documents\GitHub\eaglep3-reporting\EC\2016-10-16-refined-times.txt</v>
      </c>
      <c r="AI207" s="122" t="str">
        <f t="shared" si="168"/>
        <v>echo {"issue":{"subject":"","project_id":79,"tracker_id":40,"status_id":1,"priority_id":2,"assigned_to_id":23,"start_date":"2016-10-16","description":"","custom_fields":[{"id":1,"name":"Subdivision","value":"Other"},{"id":4,"name":"Milepost","value":"2.175"},{"id":17,"name":"Train ID","value":"1902-16"},{"id":16,"name":"Locomotive ID","value":"4043"},{"id":130,"name":"Impact","value":""},{"id":150,"name":"Time of Event (Mountain Time)","value":"22:54:31"},{"id":151,"name":"Denver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507</v>
      </c>
      <c r="B208" s="7">
        <v>4008</v>
      </c>
      <c r="C208" s="22" t="s">
        <v>99</v>
      </c>
      <c r="D208" s="22" t="s">
        <v>725</v>
      </c>
      <c r="E208" s="13">
        <v>42659.498842592591</v>
      </c>
      <c r="F208" s="13">
        <v>42659.500104166669</v>
      </c>
      <c r="G208" s="7">
        <v>1</v>
      </c>
      <c r="H208" s="13" t="s">
        <v>726</v>
      </c>
      <c r="I208" s="13">
        <v>42659.507071759261</v>
      </c>
      <c r="J208" s="7">
        <v>1</v>
      </c>
      <c r="K208" s="112" t="str">
        <f t="shared" si="152"/>
        <v>4007/4008</v>
      </c>
      <c r="L208" s="22" t="str">
        <f>VLOOKUP(A208,'Trips&amp;Operators'!$C$1:$E$10000,3,FALSE)</f>
        <v>SHOOK</v>
      </c>
      <c r="M208" s="6">
        <f t="shared" si="153"/>
        <v>6.9675925915362313E-3</v>
      </c>
      <c r="N208" s="7">
        <f t="shared" si="154"/>
        <v>10.033333331812173</v>
      </c>
      <c r="O208" s="7"/>
      <c r="P208" s="7"/>
      <c r="Q208" s="23"/>
      <c r="R208" s="23"/>
      <c r="S208" s="35">
        <f t="shared" si="155"/>
        <v>0</v>
      </c>
      <c r="T208" s="50" t="e">
        <f t="shared" si="156"/>
        <v>#VALUE!</v>
      </c>
      <c r="U208" s="14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57"/>
        <v>https://search-rtdc-monitor-bjffxe2xuh6vdkpspy63sjmuny.us-east-1.es.amazonaws.com/_plugin/kibana/#/discover/Steve-Slow-Train-Analysis-(2080s-and-2083s)?_g=(refreshInterval:(display:Off,section:0,value:0),time:(from:'2016-10-16 10:58:20-0600',mode:absolute,to:'2016-10-16 13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8" s="52" t="str">
        <f t="shared" si="158"/>
        <v>Y</v>
      </c>
      <c r="X208" s="149" t="e">
        <f t="shared" si="159"/>
        <v>#VALUE!</v>
      </c>
      <c r="Y208" s="67">
        <f t="shared" si="160"/>
        <v>2.2761999999999998</v>
      </c>
      <c r="Z208" s="67">
        <f t="shared" si="161"/>
        <v>8.72E-2</v>
      </c>
      <c r="AA208" s="67">
        <f t="shared" si="162"/>
        <v>2.1889999999999996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63"/>
        <v>50-16</v>
      </c>
      <c r="AE208" s="91" t="str">
        <f t="shared" si="164"/>
        <v>aws s3 cp s3://rtdc.mdm.uploadarchive.raw/RTDC4008/ "%USERPROFILE%\AppData\Local\Temp\OnboardLogs"\RTDC4008\2016-10-16 --exclude "*" --recursive --include "*20161016*" &amp; "%USERPROFILE%\Documents\GitHub\mrs-test-scripts\Headless Mode &amp; Sideloading\WalkAndUnGZ.bat" "%USERPROFILE%\AppData\Local\Temp\OnboardLogs"\RTDC4008\2016-10-16 &amp; aws s3 cp s3://rtdc.mdm.uploadarchive.raw/RTDC4008/ "%USERPROFILE%\AppData\Local\Temp\OnboardLogs"\RTDC4008\2016-10-17 --exclude "*" --recursive --include "*20161017*" &amp; "%USERPROFILE%\Documents\GitHub\mrs-test-scripts\Headless Mode &amp; Sideloading\WalkAndUnGZ.bat" "%USERPROFILE%\AppData\Local\Temp\OnboardLogs"\RTDC4008\2016-10-17</v>
      </c>
      <c r="AF208" s="88" t="str">
        <f t="shared" si="165"/>
        <v>"C:\Program Files (x86)\AstroGrep\AstroGrep.exe" /spath="%USERPROFILE%\AppData\Local\Temp\OnboardLogs" /stypes="app*4008*20161016*" /stext=" 18:.+((SYSTEM_STATE.+slice.+state.+changed )|(ment ac)|(system.+state.+changed )|(\[timeout)|(PRM\|1\|D)|(kpr)|(kdp)|(\|lc)|(penalty))" /e /r /s</v>
      </c>
      <c r="AG208" s="1" t="str">
        <f t="shared" si="166"/>
        <v>Other</v>
      </c>
      <c r="AH208" s="92" t="str">
        <f t="shared" si="167"/>
        <v>"%USERPROFILE%\Documents\GitHub\eaglep3\Utilities\RefineRTDCRunTimes.py" --tripid 50-16 --locoid 4008 --swversion DE.1.0.7.0 --startMP 300:22762 --initTime 2016-10-16T11:58:20 --startdatetime 2016-10-16T12:00:09 --delay 1 --endMP 204:872 --enddatetime 2016-10-16T12:10:11 --enforcementcount 1 &gt;&gt;C:\Users\stu\Documents\GitHub\eaglep3-reporting\EC\2016-10-16-refined-times.txt</v>
      </c>
      <c r="AI208" s="122" t="str">
        <f t="shared" si="168"/>
        <v>echo {"issue":{"subject":"","project_id":79,"tracker_id":40,"status_id":1,"priority_id":2,"assigned_to_id":23,"start_date":"2016-10-16","description":"","custom_fields":[{"id":1,"name":"Subdivision","value":"Other"},{"id":4,"name":"Milepost","value":"0.0872"},{"id":17,"name":"Train ID","value":"50-16"},{"id":16,"name":"Locomotive ID","value":"4008"},{"id":130,"name":"Impact","value":""},{"id":150,"name":"Time of Event (Mountain Time)","value":"12:10:11"},{"id":151,"name":"Denver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511</v>
      </c>
      <c r="B209" s="7">
        <v>4007</v>
      </c>
      <c r="C209" s="22" t="s">
        <v>99</v>
      </c>
      <c r="D209" s="22" t="s">
        <v>727</v>
      </c>
      <c r="E209" s="13">
        <v>42659.51771990741</v>
      </c>
      <c r="F209" s="13">
        <v>42659.51903935185</v>
      </c>
      <c r="G209" s="7">
        <v>1</v>
      </c>
      <c r="H209" s="13" t="s">
        <v>728</v>
      </c>
      <c r="I209" s="13">
        <v>42659.523506944446</v>
      </c>
      <c r="J209" s="7">
        <v>1</v>
      </c>
      <c r="K209" s="112" t="str">
        <f t="shared" si="152"/>
        <v>4007/4008</v>
      </c>
      <c r="L209" s="22" t="str">
        <f>VLOOKUP(A209,'Trips&amp;Operators'!$C$1:$E$10000,3,FALSE)</f>
        <v>YORK</v>
      </c>
      <c r="M209" s="6">
        <f t="shared" si="153"/>
        <v>4.4675925964838825E-3</v>
      </c>
      <c r="N209" s="7">
        <f t="shared" si="154"/>
        <v>6.4333333389367908</v>
      </c>
      <c r="O209" s="7"/>
      <c r="P209" s="7"/>
      <c r="Q209" s="23"/>
      <c r="R209" s="23"/>
      <c r="S209" s="35">
        <f t="shared" si="155"/>
        <v>0</v>
      </c>
      <c r="T209" s="50" t="e">
        <f t="shared" si="156"/>
        <v>#VALUE!</v>
      </c>
      <c r="U209" s="14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57"/>
        <v>https://search-rtdc-monitor-bjffxe2xuh6vdkpspy63sjmuny.us-east-1.es.amazonaws.com/_plugin/kibana/#/discover/Steve-Slow-Train-Analysis-(2080s-and-2083s)?_g=(refreshInterval:(display:Off,section:0,value:0),time:(from:'2016-10-16 11:25:31-0600',mode:absolute,to:'2016-10-16 13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9" s="52" t="str">
        <f t="shared" si="158"/>
        <v>Y</v>
      </c>
      <c r="X209" s="149" t="e">
        <f t="shared" si="159"/>
        <v>#VALUE!</v>
      </c>
      <c r="Y209" s="67">
        <f t="shared" si="160"/>
        <v>0.11899999999999999</v>
      </c>
      <c r="Z209" s="67">
        <f t="shared" si="161"/>
        <v>2.4277000000000002</v>
      </c>
      <c r="AA209" s="67">
        <f t="shared" si="162"/>
        <v>2.3087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63"/>
        <v>51-16</v>
      </c>
      <c r="AE209" s="91" t="str">
        <f t="shared" si="164"/>
        <v>aws s3 cp s3://rtdc.mdm.uploadarchive.raw/RTDC4007/ "%USERPROFILE%\AppData\Local\Temp\OnboardLogs"\RTDC4007\2016-10-16 --exclude "*" --recursive --include "*20161016*" &amp; "%USERPROFILE%\Documents\GitHub\mrs-test-scripts\Headless Mode &amp; Sideloading\WalkAndUnGZ.bat" "%USERPROFILE%\AppData\Local\Temp\OnboardLogs"\RTDC4007\2016-10-16 &amp; aws s3 cp s3://rtdc.mdm.uploadarchive.raw/RTDC4007/ "%USERPROFILE%\AppData\Local\Temp\OnboardLogs"\RTDC4007\2016-10-17 --exclude "*" --recursive --include "*20161017*" &amp; "%USERPROFILE%\Documents\GitHub\mrs-test-scripts\Headless Mode &amp; Sideloading\WalkAndUnGZ.bat" "%USERPROFILE%\AppData\Local\Temp\OnboardLogs"\RTDC4007\2016-10-17</v>
      </c>
      <c r="AF209" s="88" t="str">
        <f t="shared" si="165"/>
        <v>"C:\Program Files (x86)\AstroGrep\AstroGrep.exe" /spath="%USERPROFILE%\AppData\Local\Temp\OnboardLogs" /stypes="app*4007*20161016*" /stext=" 18:.+((SYSTEM_STATE.+slice.+state.+changed )|(ment ac)|(system.+state.+changed )|(\[timeout)|(PRM\|1\|D)|(kpr)|(kdp)|(\|lc)|(penalty))" /e /r /s</v>
      </c>
      <c r="AG209" s="1" t="str">
        <f t="shared" si="166"/>
        <v>Other</v>
      </c>
      <c r="AH209" s="92" t="str">
        <f t="shared" si="167"/>
        <v>"%USERPROFILE%\Documents\GitHub\eaglep3\Utilities\RefineRTDCRunTimes.py" --tripid 51-16 --locoid 4007 --swversion DE.1.0.7.0 --startMP 204:1190 --initTime 2016-10-16T12:25:31 --startdatetime 2016-10-16T12:27:25 --delay 1 --endMP 300:24277 --enddatetime 2016-10-16T12:33:51 --enforcementcount 1 &gt;&gt;C:\Users\stu\Documents\GitHub\eaglep3-reporting\EC\2016-10-16-refined-times.txt</v>
      </c>
      <c r="AI209" s="122" t="str">
        <f t="shared" si="168"/>
        <v>echo {"issue":{"subject":"","project_id":79,"tracker_id":40,"status_id":1,"priority_id":2,"assigned_to_id":23,"start_date":"2016-10-16","description":"","custom_fields":[{"id":1,"name":"Subdivision","value":"Other"},{"id":4,"name":"Milepost","value":"2.4277"},{"id":17,"name":"Train ID","value":"51-16"},{"id":16,"name":"Locomotive ID","value":"4007"},{"id":130,"name":"Impact","value":""},{"id":150,"name":"Time of Event (Mountain Time)","value":"12:33:51"},{"id":151,"name":"Denver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561</v>
      </c>
      <c r="B210" s="7">
        <v>4012</v>
      </c>
      <c r="C210" s="22" t="s">
        <v>99</v>
      </c>
      <c r="D210" s="22" t="s">
        <v>729</v>
      </c>
      <c r="E210" s="13">
        <v>42659.734212962961</v>
      </c>
      <c r="F210" s="13">
        <v>42659.73709490741</v>
      </c>
      <c r="G210" s="7">
        <v>4</v>
      </c>
      <c r="H210" s="13" t="s">
        <v>730</v>
      </c>
      <c r="I210" s="13">
        <v>42659.743587962963</v>
      </c>
      <c r="J210" s="7">
        <v>1</v>
      </c>
      <c r="K210" s="112" t="str">
        <f t="shared" si="152"/>
        <v>4011/4012</v>
      </c>
      <c r="L210" s="22" t="str">
        <f>VLOOKUP(A210,'Trips&amp;Operators'!$C$1:$E$10000,3,FALSE)</f>
        <v>NEWELL</v>
      </c>
      <c r="M210" s="6">
        <f t="shared" si="153"/>
        <v>6.4930555527098477E-3</v>
      </c>
      <c r="N210" s="7">
        <f t="shared" si="154"/>
        <v>9.3499999959021807</v>
      </c>
      <c r="O210" s="7"/>
      <c r="P210" s="7"/>
      <c r="Q210" s="23"/>
      <c r="R210" s="23"/>
      <c r="S210" s="35">
        <f t="shared" si="155"/>
        <v>0</v>
      </c>
      <c r="T210" s="50" t="e">
        <f t="shared" si="156"/>
        <v>#VALUE!</v>
      </c>
      <c r="U210" s="14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57"/>
        <v>https://search-rtdc-monitor-bjffxe2xuh6vdkpspy63sjmuny.us-east-1.es.amazonaws.com/_plugin/kibana/#/discover/Steve-Slow-Train-Analysis-(2080s-and-2083s)?_g=(refreshInterval:(display:Off,section:0,value:0),time:(from:'2016-10-16 16:37:16-0600',mode:absolute,to:'2016-10-16 18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52" t="str">
        <f t="shared" si="158"/>
        <v>Y</v>
      </c>
      <c r="X210" s="149" t="e">
        <f t="shared" si="159"/>
        <v>#VALUE!</v>
      </c>
      <c r="Y210" s="67">
        <f t="shared" si="160"/>
        <v>2.2149000000000001</v>
      </c>
      <c r="Z210" s="67">
        <f t="shared" si="161"/>
        <v>8.8800000000000004E-2</v>
      </c>
      <c r="AA210" s="67">
        <f t="shared" si="162"/>
        <v>2.1261000000000001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63"/>
        <v>52-16</v>
      </c>
      <c r="AE210" s="91" t="str">
        <f t="shared" si="164"/>
        <v>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 &amp; 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</v>
      </c>
      <c r="AF210" s="88" t="str">
        <f t="shared" si="165"/>
        <v>"C:\Program Files (x86)\AstroGrep\AstroGrep.exe" /spath="%USERPROFILE%\AppData\Local\Temp\OnboardLogs" /stypes="app*4012*20161016*" /stext=" 23:.+((SYSTEM_STATE.+slice.+state.+changed )|(ment ac)|(system.+state.+changed )|(\[timeout)|(PRM\|1\|D)|(kpr)|(kdp)|(\|lc)|(penalty))" /e /r /s</v>
      </c>
      <c r="AG210" s="1" t="str">
        <f t="shared" si="166"/>
        <v>Other</v>
      </c>
      <c r="AH210" s="92" t="str">
        <f t="shared" si="167"/>
        <v>"%USERPROFILE%\Documents\GitHub\eaglep3\Utilities\RefineRTDCRunTimes.py" --tripid 52-16 --locoid 4012 --swversion DE.1.0.7.0 --startMP 300:22149 --initTime 2016-10-16T17:37:16 --startdatetime 2016-10-16T17:41:25 --delay 4 --endMP 204:888 --enddatetime 2016-10-16T17:50:46 --enforcementcount 1 &gt;&gt;C:\Users\stu\Documents\GitHub\eaglep3-reporting\EC\2016-10-16-refined-times.txt</v>
      </c>
      <c r="AI210" s="122" t="str">
        <f t="shared" si="168"/>
        <v>echo {"issue":{"subject":"","project_id":79,"tracker_id":40,"status_id":1,"priority_id":2,"assigned_to_id":23,"start_date":"2016-10-16","description":"","custom_fields":[{"id":1,"name":"Subdivision","value":"Other"},{"id":4,"name":"Milepost","value":"0.0888"},{"id":17,"name":"Train ID","value":"52-16"},{"id":16,"name":"Locomotive ID","value":"4012"},{"id":130,"name":"Impact","value":""},{"id":150,"name":"Time of Event (Mountain Time)","value":"17:50:46"},{"id":151,"name":"Denver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556</v>
      </c>
      <c r="B211" s="7">
        <v>4025</v>
      </c>
      <c r="C211" s="22" t="s">
        <v>99</v>
      </c>
      <c r="D211" s="22" t="s">
        <v>731</v>
      </c>
      <c r="E211" s="13">
        <v>42659.717800925922</v>
      </c>
      <c r="F211" s="13">
        <v>25568.708333333332</v>
      </c>
      <c r="G211" s="7">
        <v>1</v>
      </c>
      <c r="H211" s="13" t="s">
        <v>732</v>
      </c>
      <c r="I211" s="13">
        <v>25568.708333333332</v>
      </c>
      <c r="J211" s="7">
        <v>1</v>
      </c>
      <c r="K211" s="112" t="str">
        <f t="shared" si="152"/>
        <v>4025/4026</v>
      </c>
      <c r="L211" s="22" t="str">
        <f>VLOOKUP(A211,'Trips&amp;Operators'!$C$1:$E$10000,3,FALSE)</f>
        <v>SWANSON</v>
      </c>
      <c r="M211" s="6">
        <f t="shared" si="153"/>
        <v>0</v>
      </c>
      <c r="N211" s="7">
        <f t="shared" si="154"/>
        <v>0</v>
      </c>
      <c r="O211" s="7"/>
      <c r="P211" s="7"/>
      <c r="Q211" s="23"/>
      <c r="R211" s="23"/>
      <c r="S211" s="35">
        <f t="shared" si="155"/>
        <v>0</v>
      </c>
      <c r="T211" s="50" t="e">
        <f t="shared" si="156"/>
        <v>#VALUE!</v>
      </c>
      <c r="U211" s="14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57"/>
        <v>https://search-rtdc-monitor-bjffxe2xuh6vdkpspy63sjmuny.us-east-1.es.amazonaws.com/_plugin/kibana/#/discover/Steve-Slow-Train-Analysis-(2080s-and-2083s)?_g=(refreshInterval:(display:Off,section:0,value:0),time:(from:'2016-10-16 16:13:38-0600',mode:absolute,to:'1969-12-31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1" s="52" t="str">
        <f t="shared" si="158"/>
        <v>Y</v>
      </c>
      <c r="X211" s="149" t="e">
        <f t="shared" si="159"/>
        <v>#VALUE!</v>
      </c>
      <c r="Y211" s="67">
        <f t="shared" si="160"/>
        <v>0.15049999999999999</v>
      </c>
      <c r="Z211" s="67">
        <f t="shared" si="161"/>
        <v>2.3298999999999999</v>
      </c>
      <c r="AA211" s="67">
        <f t="shared" si="162"/>
        <v>2.1793999999999998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63"/>
        <v>63-16</v>
      </c>
      <c r="AE211" s="91" t="str">
        <f t="shared" si="16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1" s="88" t="str">
        <f t="shared" si="165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11" s="1" t="str">
        <f t="shared" si="166"/>
        <v>Other</v>
      </c>
      <c r="AH211" s="92" t="str">
        <f t="shared" si="167"/>
        <v>"%USERPROFILE%\Documents\GitHub\eaglep3\Utilities\RefineRTDCRunTimes.py" --tripid 63-16 --locoid 4025 --swversion DE.1.0.7.0 --startMP 204:1505 --initTime 2016-10-16T17:13:38 --startdatetime 1969-12-31T17:00:00 --delay 1 --endMP 300:23299 --enddatetime 1969-12-31T17:00:00 --enforcementcount 1 &gt;&gt;C:\Users\stu\Documents\GitHub\eaglep3-reporting\EC\2016-10-16-refined-times.txt</v>
      </c>
      <c r="AI211" s="122" t="str">
        <f t="shared" si="16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ID","value":"63-16"},{"id":16,"name":"Locomotive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</row>
    <row r="213" spans="1:3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</row>
    <row r="214" spans="1:3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</sheetData>
  <autoFilter ref="A12:AG257">
    <sortState ref="A13:AG257">
      <sortCondition ref="AG13:AG211"/>
      <sortCondition ref="AD13:AD211"/>
    </sortState>
  </autoFilter>
  <sortState ref="A13:AH200">
    <sortCondition ref="AG13:AG200"/>
    <sortCondition ref="AD13:AD200"/>
  </sortState>
  <mergeCells count="1">
    <mergeCell ref="A11:P11"/>
  </mergeCells>
  <conditionalFormatting sqref="W11:W12 W258:X1048576 W13:X211">
    <cfRule type="cellIs" dxfId="10" priority="344" operator="equal">
      <formula>"Y"</formula>
    </cfRule>
  </conditionalFormatting>
  <conditionalFormatting sqref="X258:X1048576 X13:X211">
    <cfRule type="cellIs" dxfId="9" priority="327" operator="greaterThan">
      <formula>1</formula>
    </cfRule>
  </conditionalFormatting>
  <conditionalFormatting sqref="X258:X1048576 X12:X211">
    <cfRule type="cellIs" dxfId="8" priority="324" operator="equal">
      <formula>0</formula>
    </cfRule>
  </conditionalFormatting>
  <conditionalFormatting sqref="A13:S211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AK13:AK211</xm:sqref>
        </x14:dataValidation>
        <x14:dataValidation type="list" allowBlank="1" showInputMessage="1" showErrorMessage="1">
          <x14:formula1>
            <xm:f>'Redmine List Values'!$C$2:$C$14</xm:f>
          </x14:formula1>
          <xm:sqref>AL13:AL211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K11" sqref="K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42" customWidth="1"/>
    <col min="5" max="5" width="18.5703125" style="142" customWidth="1"/>
    <col min="6" max="6" width="5.7109375" style="142" customWidth="1"/>
    <col min="7" max="7" width="5.85546875" style="142" customWidth="1"/>
    <col min="8" max="8" width="7.85546875" style="142" customWidth="1"/>
    <col min="9" max="9" width="9" style="142" customWidth="1"/>
    <col min="10" max="10" width="11.5703125" style="142" hidden="1" customWidth="1"/>
    <col min="11" max="11" width="9.140625" style="142" customWidth="1"/>
    <col min="12" max="12" width="7.85546875" style="142" customWidth="1"/>
    <col min="13" max="13" width="7.85546875" style="2" customWidth="1"/>
    <col min="14" max="14" width="11.85546875" style="138" customWidth="1"/>
    <col min="15" max="15" width="5.140625" style="142" customWidth="1"/>
    <col min="16" max="16" width="30.7109375" style="142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55" customWidth="1"/>
  </cols>
  <sheetData>
    <row r="1" spans="1:29" s="21" customFormat="1" ht="15.75" hidden="1" thickBot="1" x14ac:dyDescent="0.3">
      <c r="A1" s="8"/>
      <c r="D1" s="142"/>
      <c r="E1" s="142"/>
      <c r="F1" s="142"/>
      <c r="G1" s="142"/>
      <c r="H1" s="142"/>
      <c r="I1" s="142"/>
      <c r="J1" s="142"/>
      <c r="K1" s="142"/>
      <c r="L1" s="142"/>
      <c r="M1" s="2"/>
      <c r="N1" s="138"/>
      <c r="O1" s="142"/>
      <c r="P1" s="142"/>
      <c r="R1" s="89"/>
      <c r="S1" s="101"/>
      <c r="T1" s="86"/>
      <c r="V1" s="48"/>
      <c r="AC1" s="155"/>
    </row>
    <row r="2" spans="1:29" s="21" customFormat="1" x14ac:dyDescent="0.25">
      <c r="A2" s="8"/>
      <c r="D2" s="142"/>
      <c r="E2" s="142"/>
      <c r="F2" s="142"/>
      <c r="G2" s="142"/>
      <c r="H2" s="142"/>
      <c r="I2" s="142"/>
      <c r="J2" s="142"/>
      <c r="K2" s="142"/>
      <c r="L2" s="165" t="s">
        <v>80</v>
      </c>
      <c r="M2" s="134"/>
      <c r="N2" s="166"/>
      <c r="O2" s="151">
        <f>COUNTIF($O$7:$O$369,"=Y")</f>
        <v>1</v>
      </c>
      <c r="P2" s="136"/>
      <c r="R2" s="89"/>
      <c r="S2" s="101"/>
      <c r="T2" s="86"/>
      <c r="V2" s="48"/>
      <c r="AC2" s="156"/>
    </row>
    <row r="3" spans="1:29" s="21" customFormat="1" ht="15.75" thickBot="1" x14ac:dyDescent="0.3">
      <c r="A3" s="8"/>
      <c r="D3" s="142"/>
      <c r="E3" s="142"/>
      <c r="F3" s="142"/>
      <c r="G3" s="142"/>
      <c r="H3" s="142"/>
      <c r="I3" s="142"/>
      <c r="J3" s="142"/>
      <c r="K3" s="142"/>
      <c r="L3" s="167" t="s">
        <v>81</v>
      </c>
      <c r="M3" s="135"/>
      <c r="N3" s="168"/>
      <c r="O3" s="152">
        <f>COUNTA($O$7:$O$369)-O2</f>
        <v>28</v>
      </c>
      <c r="P3" s="136"/>
      <c r="R3" s="89"/>
      <c r="S3" s="101"/>
      <c r="T3" s="86"/>
      <c r="V3" s="48"/>
      <c r="AC3" s="156"/>
    </row>
    <row r="4" spans="1:29" s="21" customFormat="1" x14ac:dyDescent="0.25">
      <c r="A4" s="8"/>
      <c r="D4" s="142"/>
      <c r="E4" s="142"/>
      <c r="F4" s="142"/>
      <c r="G4" s="142"/>
      <c r="H4" s="142"/>
      <c r="I4" s="142"/>
      <c r="J4" s="142"/>
      <c r="K4" s="142"/>
      <c r="L4" s="142"/>
      <c r="M4" s="2"/>
      <c r="N4" s="138"/>
      <c r="O4" s="142"/>
      <c r="P4" s="142"/>
      <c r="R4" s="89"/>
      <c r="S4" s="101"/>
      <c r="T4" s="86"/>
      <c r="V4" s="48"/>
      <c r="AC4" s="156"/>
    </row>
    <row r="5" spans="1:29" s="10" customFormat="1" ht="15" customHeight="1" x14ac:dyDescent="0.25">
      <c r="A5" s="181" t="str">
        <f>"Eagle P3 Braking Events - "&amp;TEXT(Variables!$A$2,"YYYY-mm-dd")</f>
        <v>Eagle P3 Braking Events - 2016-10-16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69"/>
      <c r="R5" s="99"/>
      <c r="S5" s="102"/>
      <c r="T5" s="104"/>
      <c r="V5" s="49"/>
      <c r="AC5" s="15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53" t="s">
        <v>35</v>
      </c>
      <c r="E6" s="153" t="s">
        <v>34</v>
      </c>
      <c r="F6" s="153" t="s">
        <v>33</v>
      </c>
      <c r="G6" s="153" t="s">
        <v>32</v>
      </c>
      <c r="H6" s="153" t="s">
        <v>31</v>
      </c>
      <c r="I6" s="153" t="s">
        <v>159</v>
      </c>
      <c r="J6" s="153" t="s">
        <v>30</v>
      </c>
      <c r="K6" s="153" t="s">
        <v>29</v>
      </c>
      <c r="L6" s="153" t="s">
        <v>28</v>
      </c>
      <c r="M6" s="125" t="s">
        <v>160</v>
      </c>
      <c r="N6" s="170" t="s">
        <v>47</v>
      </c>
      <c r="O6" s="153" t="s">
        <v>27</v>
      </c>
      <c r="P6" s="15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58" t="s">
        <v>181</v>
      </c>
    </row>
    <row r="7" spans="1:29" s="1" customFormat="1" x14ac:dyDescent="0.25">
      <c r="A7" s="36">
        <v>42659.238738425927</v>
      </c>
      <c r="B7" s="31" t="s">
        <v>406</v>
      </c>
      <c r="C7" s="31" t="s">
        <v>407</v>
      </c>
      <c r="D7" s="31" t="s">
        <v>189</v>
      </c>
      <c r="E7" s="31" t="s">
        <v>155</v>
      </c>
      <c r="F7" s="47">
        <v>0</v>
      </c>
      <c r="G7" s="47">
        <v>465</v>
      </c>
      <c r="H7" s="47">
        <v>63303</v>
      </c>
      <c r="I7" s="47">
        <v>64434</v>
      </c>
      <c r="J7" s="31" t="s">
        <v>154</v>
      </c>
      <c r="K7" s="47">
        <v>63069</v>
      </c>
      <c r="L7" s="172" t="s">
        <v>50</v>
      </c>
      <c r="M7" s="173">
        <f t="shared" ref="M7:M35" si="0">CONVERT((I7-K7)/10000,"mi","ft")*IF(L7="Increasing Mileposts (1)",-1,1)</f>
        <v>-720.72</v>
      </c>
      <c r="N7" s="174" t="str">
        <f>VLOOKUP(C7,'Trips&amp;Operators'!$C$1:$E$99999,3,FALSE)</f>
        <v>YORK</v>
      </c>
      <c r="O7" s="154" t="s">
        <v>276</v>
      </c>
      <c r="P7" s="175" t="s">
        <v>745</v>
      </c>
      <c r="Q7" s="31"/>
      <c r="R7" s="100" t="str">
        <f>VLOOKUP(C7,'Train Runs'!$A$13:$AE$10001,31,0)</f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S7" s="103" t="str">
        <f>VLOOKUP(C7,'Train Runs'!$A$13:$AE$10001,22,0)</f>
        <v>https://search-rtdc-monitor-bjffxe2xuh6vdkpspy63sjmuny.us-east-1.es.amazonaws.com/_plugin/kibana/#/discover/Steve-Slow-Train-Analysis-(2080s-and-2083s)?_g=(refreshInterval:(display:Off,section:0,value:0),time:(from:'2016-10-16 04:24:04-0600',mode:absolute,to:'2016-10-16 07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7" s="105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/stypes="*4029*201610161*" /stext=" 11:.+((SYSTEM_STATE.+slice.+state.+changed )|(ment ac)|(system.+state.+changed )|(\[timeout)|(PRM\|1\|D)|(kpr)|(kdp)|(\|lc)|(penalty))" /e /r /s</v>
      </c>
      <c r="U7" s="9" t="str">
        <f t="shared" ref="U7:U35" si="2">MID(B7,13,4)</f>
        <v>4029</v>
      </c>
      <c r="V7" s="36">
        <f t="shared" ref="V7:V35" si="3">A7+6/24</f>
        <v>42659.488738425927</v>
      </c>
      <c r="W7" s="50" t="str">
        <f t="shared" ref="W7:W35" si="4">IF(VALUE(LEFT(IF(LEN(C7)=6,"0"&amp;C7,C7),2))&lt;=2,"EC",IF(OR(VALUE(LEFT(IF(LEN(C7)=6,"0"&amp;C7,C7),2))=8,VALUE(LEFT(IF(LEN(C7)=6,"0"&amp;C7,C7),2))=18),"NW","Other"))</f>
        <v>EC</v>
      </c>
      <c r="X7" s="50" t="str">
        <f t="shared" ref="X7:X35" si="5">IF(AND(E7="TRACK WARRANT AUTHORITY",G7&lt;10),"OMIT","KEEP")</f>
        <v>KEEP</v>
      </c>
      <c r="Y7" s="122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arrival","project_id":79,"tracker_id":40,"status_id":1,"priority_id":2,"assigned_to_id":23,"start_date":"2016-10-16","description":"","custom_fields":[{"id":1,"name":"Subdivision","value":"EC"},{"id":4,"name":"Milepost","value":"6.3069"},{"id":17,"name":"Train ID","value":"115-16"},{"id":16,"name":"Locomotive ID","value":"4029"},{"id":130,"name":"Impact","value":""},{"id":150,"name":"Time of Event (Mountain Time)","value":"05:43:47"},{"id":151,"name":"Denver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55" t="str">
        <f t="shared" ref="AC7:AC3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"%USERPROFILE%\AppData\Local\Temp\OnboardLogs"\RTDC4029\*4029*201610161* | grep -SE "((Enforcement Ac)|(PRM))" -</v>
      </c>
    </row>
    <row r="8" spans="1:29" s="1" customFormat="1" x14ac:dyDescent="0.25">
      <c r="A8" s="36">
        <v>42659.702731481484</v>
      </c>
      <c r="B8" s="31" t="s">
        <v>220</v>
      </c>
      <c r="C8" s="31" t="s">
        <v>422</v>
      </c>
      <c r="D8" s="31" t="s">
        <v>189</v>
      </c>
      <c r="E8" s="31" t="s">
        <v>155</v>
      </c>
      <c r="F8" s="47">
        <v>0</v>
      </c>
      <c r="G8" s="47">
        <v>142</v>
      </c>
      <c r="H8" s="47">
        <v>63173</v>
      </c>
      <c r="I8" s="47">
        <v>63052</v>
      </c>
      <c r="J8" s="31" t="s">
        <v>154</v>
      </c>
      <c r="K8" s="47">
        <v>63309</v>
      </c>
      <c r="L8" s="172" t="s">
        <v>51</v>
      </c>
      <c r="M8" s="173">
        <f t="shared" si="0"/>
        <v>-135.696</v>
      </c>
      <c r="N8" s="174" t="str">
        <f>VLOOKUP(C8,'Trips&amp;Operators'!$C$1:$E$99999,3,FALSE)</f>
        <v>YOUNG</v>
      </c>
      <c r="O8" s="154" t="s">
        <v>276</v>
      </c>
      <c r="P8" s="175" t="s">
        <v>745</v>
      </c>
      <c r="Q8" s="31"/>
      <c r="R8" s="100" t="str">
        <f>VLOOKUP(C8,'Train Runs'!$A$13:$AE$10001,31,0)</f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S8" s="103" t="str">
        <f>VLOOKUP(C8,'Train Runs'!$A$13:$AE$10001,22,0)</f>
        <v>https://search-rtdc-monitor-bjffxe2xuh6vdkpspy63sjmuny.us-east-1.es.amazonaws.com/_plugin/kibana/#/discover/Steve-Slow-Train-Analysis-(2080s-and-2083s)?_g=(refreshInterval:(display:Off,section:0,value:0),time:(from:'2016-10-16 15:16:38-0600',mode:absolute,to:'2016-10-16 18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8" s="105" t="str">
        <f t="shared" si="1"/>
        <v>"C:\Program Files (x86)\AstroGrep\AstroGrep.exe" /spath="%USERPROFILE%\AppData\Local\Temp\OnboardLogs" /stypes="*4039*201610162*" /stext=" 22:.+((SYSTEM_STATE.+slice.+state.+changed )|(ment ac)|(system.+state.+changed )|(\[timeout)|(PRM\|1\|D)|(kpr)|(kdp)|(\|lc)|(penalty))" /e /r /s</v>
      </c>
      <c r="U8" s="9" t="str">
        <f t="shared" si="2"/>
        <v>4039</v>
      </c>
      <c r="V8" s="36">
        <f t="shared" si="3"/>
        <v>42659.952731481484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arrival","project_id":79,"tracker_id":40,"status_id":1,"priority_id":2,"assigned_to_id":23,"start_date":"2016-10-16","description":"","custom_fields":[{"id":1,"name":"Subdivision","value":"EC"},{"id":4,"name":"Milepost","value":"6.3309"},{"id":17,"name":"Train ID","value":"196-16"},{"id":16,"name":"Locomotive ID","value":"4039"},{"id":130,"name":"Impact","value":""},{"id":150,"name":"Time of Event (Mountain Time)","value":"16:51:56"},{"id":151,"name":"Denver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55" t="str">
        <f t="shared" si="7"/>
        <v>grep -hSE -A100 "Enforcement Action" "%USERPROFILE%\AppData\Local\Temp\OnboardLogs"\RTDC4039\*4039*201610162* | grep -SE "((Enforcement Ac)|(PRM))" -</v>
      </c>
    </row>
    <row r="9" spans="1:29" s="1" customFormat="1" x14ac:dyDescent="0.25">
      <c r="A9" s="36">
        <v>42659.594826388886</v>
      </c>
      <c r="B9" s="31" t="s">
        <v>406</v>
      </c>
      <c r="C9" s="31" t="s">
        <v>420</v>
      </c>
      <c r="D9" s="31" t="s">
        <v>98</v>
      </c>
      <c r="E9" s="31" t="s">
        <v>277</v>
      </c>
      <c r="F9" s="47">
        <v>150</v>
      </c>
      <c r="G9" s="47">
        <v>202</v>
      </c>
      <c r="H9" s="47">
        <v>3177</v>
      </c>
      <c r="I9" s="47">
        <v>3515</v>
      </c>
      <c r="J9" s="31" t="s">
        <v>278</v>
      </c>
      <c r="K9" s="47">
        <v>0</v>
      </c>
      <c r="L9" s="172" t="s">
        <v>50</v>
      </c>
      <c r="M9" s="173">
        <f t="shared" si="0"/>
        <v>-1855.92</v>
      </c>
      <c r="N9" s="174" t="str">
        <f>VLOOKUP(C9,'Trips&amp;Operators'!$C$1:$E$99999,3,FALSE)</f>
        <v>SHOOK</v>
      </c>
      <c r="O9" s="154" t="s">
        <v>276</v>
      </c>
      <c r="P9" s="175"/>
      <c r="Q9" s="31"/>
      <c r="R9" s="100" t="str">
        <f>VLOOKUP(C9,'Train Runs'!$A$13:$AE$10001,31,0)</f>
        <v>aws s3 cp s3://rtdc.mdm.uploadarchive.raw/RTDC4029/ "%USERPROFILE%\AppData\Local\Temp\OnboardLogs"\RTDC4029\2016-10-16 --exclude "*" --recursive --include "*20161016*" &amp; "%USERPROFILE%\Documents\GitHub\mrs-test-scripts\Headless Mode &amp; Sideloading\WalkAndUnGZ.bat" "%USERPROFILE%\AppData\Local\Temp\OnboardLogs"\RTDC4029\2016-10-16 &amp; 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</v>
      </c>
      <c r="S9" s="103" t="str">
        <f>VLOOKUP(C9,'Train Runs'!$A$13:$AE$10001,22,0)</f>
        <v>https://search-rtdc-monitor-bjffxe2xuh6vdkpspy63sjmuny.us-east-1.es.amazonaws.com/_plugin/kibana/#/discover/Steve-Slow-Train-Analysis-(2080s-and-2083s)?_g=(refreshInterval:(display:Off,section:0,value:0),time:(from:'2016-10-16 13:07:42-0600',mode:absolute,to:'2016-10-16 15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9" s="105" t="str">
        <f t="shared" si="1"/>
        <v>"C:\Program Files (x86)\AstroGrep\AstroGrep.exe" /spath="%USERPROFILE%\AppData\Local\Temp\OnboardLogs" /stypes="*4029*201610162*" /stext=" 20:.+((SYSTEM_STATE.+slice.+state.+changed )|(ment ac)|(system.+state.+changed )|(\[timeout)|(PRM\|1\|D)|(kpr)|(kdp)|(\|lc)|(penalty))" /e /r /s</v>
      </c>
      <c r="U9" s="9" t="str">
        <f t="shared" si="2"/>
        <v>4029</v>
      </c>
      <c r="V9" s="36">
        <f t="shared" si="3"/>
        <v>42659.844826388886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{"issue":{"subject":"","project_id":79,"tracker_id":40,"status_id":1,"priority_id":2,"assigned_to_id":23,"start_date":"2016-10-16","description":"","custom_fields":[{"id":1,"name":"Subdivision","value":"EC"},{"id":4,"name":"Milepost","value":"0"},{"id":17,"name":"Train ID","value":"185-16"},{"id":16,"name":"Locomotive ID","value":"4029"},{"id":130,"name":"Impact","value":""},{"id":150,"name":"Time of Event (Mountain Time)","value":"14:16:33"},{"id":151,"name":"Denver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55" t="str">
        <f t="shared" si="7"/>
        <v>grep -hSE -A100 "Enforcement Action" "%USERPROFILE%\AppData\Local\Temp\OnboardLogs"\RTDC4029\*4029*201610162* | grep -SE "((Enforcement Ac)|(PRM))" -</v>
      </c>
    </row>
    <row r="10" spans="1:29" s="1" customFormat="1" x14ac:dyDescent="0.25">
      <c r="A10" s="36">
        <v>42659.54478009259</v>
      </c>
      <c r="B10" s="31" t="s">
        <v>294</v>
      </c>
      <c r="C10" s="31" t="s">
        <v>418</v>
      </c>
      <c r="D10" s="31" t="s">
        <v>49</v>
      </c>
      <c r="E10" s="31" t="s">
        <v>277</v>
      </c>
      <c r="F10" s="47">
        <v>200</v>
      </c>
      <c r="G10" s="47">
        <v>277</v>
      </c>
      <c r="H10" s="47">
        <v>6195</v>
      </c>
      <c r="I10" s="47">
        <v>5538</v>
      </c>
      <c r="J10" s="31" t="s">
        <v>278</v>
      </c>
      <c r="K10" s="47">
        <v>5457</v>
      </c>
      <c r="L10" s="172" t="s">
        <v>51</v>
      </c>
      <c r="M10" s="173">
        <f t="shared" si="0"/>
        <v>42.768000000000001</v>
      </c>
      <c r="N10" s="174" t="str">
        <f>VLOOKUP(C10,'Trips&amp;Operators'!$C$1:$E$99999,3,FALSE)</f>
        <v>BRUDER</v>
      </c>
      <c r="O10" s="154" t="s">
        <v>276</v>
      </c>
      <c r="P10" s="175"/>
      <c r="Q10" s="31"/>
      <c r="R10" s="100" t="str">
        <f>VLOOKUP(C10,'Train Runs'!$A$13:$AE$10001,31,0)</f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S10" s="103" t="str">
        <f>VLOOKUP(C10,'Train Runs'!$A$13:$AE$10001,22,0)</f>
        <v>https://search-rtdc-monitor-bjffxe2xuh6vdkpspy63sjmuny.us-east-1.es.amazonaws.com/_plugin/kibana/#/discover/Steve-Slow-Train-Analysis-(2080s-and-2083s)?_g=(refreshInterval:(display:Off,section:0,value:0),time:(from:'2016-10-16 11:19:11-0600',mode:absolute,to:'2016-10-16 14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0" s="105" t="str">
        <f t="shared" si="1"/>
        <v>"C:\Program Files (x86)\AstroGrep\AstroGrep.exe" /spath="%USERPROFILE%\AppData\Local\Temp\OnboardLogs" /stypes="*4041*201610161*" /stext=" 19:.+((SYSTEM_STATE.+slice.+state.+changed )|(ment ac)|(system.+state.+changed )|(\[timeout)|(PRM\|1\|D)|(kpr)|(kdp)|(\|lc)|(penalty))" /e /r /s</v>
      </c>
      <c r="U10" s="9" t="str">
        <f t="shared" si="2"/>
        <v>4041</v>
      </c>
      <c r="V10" s="36">
        <f t="shared" si="3"/>
        <v>42659.79478009259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{"issue":{"subject":"","project_id":79,"tracker_id":40,"status_id":1,"priority_id":2,"assigned_to_id":23,"start_date":"2016-10-16","description":"","custom_fields":[{"id":1,"name":"Subdivision","value":"EC"},{"id":4,"name":"Milepost","value":"0.5457"},{"id":17,"name":"Train ID","value":"164-16"},{"id":16,"name":"Locomotive ID","value":"4041"},{"id":130,"name":"Impact","value":""},{"id":150,"name":"Time of Event (Mountain Time)","value":"13:04:29"},{"id":151,"name":"Denver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55" t="str">
        <f t="shared" si="7"/>
        <v>grep -hSE -A100 "Enforcement Action" "%USERPROFILE%\AppData\Local\Temp\OnboardLogs"\RTDC4041\*4041*201610161* | grep -SE "((Enforcement Ac)|(PRM))" -</v>
      </c>
    </row>
    <row r="11" spans="1:29" s="1" customFormat="1" x14ac:dyDescent="0.25">
      <c r="A11" s="36">
        <v>42659.429710648146</v>
      </c>
      <c r="B11" s="31" t="s">
        <v>285</v>
      </c>
      <c r="C11" s="31" t="s">
        <v>414</v>
      </c>
      <c r="D11" s="31" t="s">
        <v>49</v>
      </c>
      <c r="E11" s="31" t="s">
        <v>277</v>
      </c>
      <c r="F11" s="47">
        <v>450</v>
      </c>
      <c r="G11" s="47">
        <v>503</v>
      </c>
      <c r="H11" s="47">
        <v>10147</v>
      </c>
      <c r="I11" s="47">
        <v>11826</v>
      </c>
      <c r="J11" s="31" t="s">
        <v>278</v>
      </c>
      <c r="K11" s="47">
        <v>11201</v>
      </c>
      <c r="L11" s="172" t="s">
        <v>50</v>
      </c>
      <c r="M11" s="173">
        <f t="shared" si="0"/>
        <v>-330</v>
      </c>
      <c r="N11" s="174" t="str">
        <f>VLOOKUP(C11,'Trips&amp;Operators'!$C$1:$E$99999,3,FALSE)</f>
        <v>STRICKLAND</v>
      </c>
      <c r="O11" s="154" t="s">
        <v>276</v>
      </c>
      <c r="P11" s="175"/>
      <c r="Q11" s="31"/>
      <c r="R11" s="100" t="str">
        <f>VLOOKUP(C11,'Train Runs'!$A$13:$AE$10001,31,0)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S11" s="103" t="str">
        <f>VLOOKUP(C11,'Train Runs'!$A$13:$AE$10001,22,0)</f>
        <v>https://search-rtdc-monitor-bjffxe2xuh6vdkpspy63sjmuny.us-east-1.es.amazonaws.com/_plugin/kibana/#/discover/Steve-Slow-Train-Analysis-(2080s-and-2083s)?_g=(refreshInterval:(display:Off,section:0,value:0),time:(from:'2016-10-16 09:12:04-0600',mode:absolute,to:'2016-10-16 11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1" s="105" t="str">
        <f t="shared" si="1"/>
        <v>"C:\Program Files (x86)\AstroGrep\AstroGrep.exe" /spath="%USERPROFILE%\AppData\Local\Temp\OnboardLogs" /stypes="*4040*201610161*" /stext=" 16:.+((SYSTEM_STATE.+slice.+state.+changed )|(ment ac)|(system.+state.+changed )|(\[timeout)|(PRM\|1\|D)|(kpr)|(kdp)|(\|lc)|(penalty))" /e /r /s</v>
      </c>
      <c r="U11" s="9" t="str">
        <f t="shared" si="2"/>
        <v>4040</v>
      </c>
      <c r="V11" s="36">
        <f t="shared" si="3"/>
        <v>42659.679710648146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{"issue":{"subject":"","project_id":79,"tracker_id":40,"status_id":1,"priority_id":2,"assigned_to_id":23,"start_date":"2016-10-16","description":"","custom_fields":[{"id":1,"name":"Subdivision","value":"EC"},{"id":4,"name":"Milepost","value":"1.1201"},{"id":17,"name":"Train ID","value":"153-16"},{"id":16,"name":"Locomotive ID","value":"4040"},{"id":130,"name":"Impact","value":""},{"id":150,"name":"Time of Event (Mountain Time)","value":"10:18:47"},{"id":151,"name":"Denver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55" t="str">
        <f t="shared" si="7"/>
        <v>grep -hSE -A100 "Enforcement Action" "%USERPROFILE%\AppData\Local\Temp\OnboardLogs"\RTDC4040\*4040*201610161* | grep -SE "((Enforcement Ac)|(PRM))" -</v>
      </c>
    </row>
    <row r="12" spans="1:29" s="1" customFormat="1" x14ac:dyDescent="0.25">
      <c r="A12" s="36">
        <v>42659.430706018517</v>
      </c>
      <c r="B12" s="31" t="s">
        <v>285</v>
      </c>
      <c r="C12" s="31" t="s">
        <v>414</v>
      </c>
      <c r="D12" s="31" t="s">
        <v>49</v>
      </c>
      <c r="E12" s="31" t="s">
        <v>277</v>
      </c>
      <c r="F12" s="47">
        <v>400</v>
      </c>
      <c r="G12" s="47">
        <v>450</v>
      </c>
      <c r="H12" s="47">
        <v>17156</v>
      </c>
      <c r="I12" s="47">
        <v>17988</v>
      </c>
      <c r="J12" s="31" t="s">
        <v>278</v>
      </c>
      <c r="K12" s="47">
        <v>17867</v>
      </c>
      <c r="L12" s="172" t="s">
        <v>50</v>
      </c>
      <c r="M12" s="173">
        <f t="shared" si="0"/>
        <v>-63.887999999999998</v>
      </c>
      <c r="N12" s="174" t="str">
        <f>VLOOKUP(C12,'Trips&amp;Operators'!$C$1:$E$99999,3,FALSE)</f>
        <v>STRICKLAND</v>
      </c>
      <c r="O12" s="154" t="s">
        <v>276</v>
      </c>
      <c r="P12" s="175"/>
      <c r="Q12" s="31"/>
      <c r="R12" s="100" t="str">
        <f>VLOOKUP(C12,'Train Runs'!$A$13:$AE$10001,31,0)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S12" s="103" t="str">
        <f>VLOOKUP(C12,'Train Runs'!$A$13:$AE$10001,22,0)</f>
        <v>https://search-rtdc-monitor-bjffxe2xuh6vdkpspy63sjmuny.us-east-1.es.amazonaws.com/_plugin/kibana/#/discover/Steve-Slow-Train-Analysis-(2080s-and-2083s)?_g=(refreshInterval:(display:Off,section:0,value:0),time:(from:'2016-10-16 09:12:04-0600',mode:absolute,to:'2016-10-16 11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2" s="105" t="str">
        <f t="shared" si="1"/>
        <v>"C:\Program Files (x86)\AstroGrep\AstroGrep.exe" /spath="%USERPROFILE%\AppData\Local\Temp\OnboardLogs" /stypes="*4040*201610161*" /stext=" 16:.+((SYSTEM_STATE.+slice.+state.+changed )|(ment ac)|(system.+state.+changed )|(\[timeout)|(PRM\|1\|D)|(kpr)|(kdp)|(\|lc)|(penalty))" /e /r /s</v>
      </c>
      <c r="U12" s="9" t="str">
        <f t="shared" si="2"/>
        <v>4040</v>
      </c>
      <c r="V12" s="36">
        <f t="shared" si="3"/>
        <v>42659.680706018517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{"issue":{"subject":"","project_id":79,"tracker_id":40,"status_id":1,"priority_id":2,"assigned_to_id":23,"start_date":"2016-10-16","description":"","custom_fields":[{"id":1,"name":"Subdivision","value":"EC"},{"id":4,"name":"Milepost","value":"1.7867"},{"id":17,"name":"Train ID","value":"153-16"},{"id":16,"name":"Locomotive ID","value":"4040"},{"id":130,"name":"Impact","value":""},{"id":150,"name":"Time of Event (Mountain Time)","value":"10:20:13"},{"id":151,"name":"Denver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55" t="str">
        <f t="shared" si="7"/>
        <v>grep -hSE -A100 "Enforcement Action" "%USERPROFILE%\AppData\Local\Temp\OnboardLogs"\RTDC4040\*4040*201610161* | grep -SE "((Enforcement Ac)|(PRM))" -</v>
      </c>
    </row>
    <row r="13" spans="1:29" s="1" customFormat="1" x14ac:dyDescent="0.25">
      <c r="A13" s="36">
        <v>42659.419537037036</v>
      </c>
      <c r="B13" s="31" t="s">
        <v>220</v>
      </c>
      <c r="C13" s="31" t="s">
        <v>413</v>
      </c>
      <c r="D13" s="31" t="s">
        <v>49</v>
      </c>
      <c r="E13" s="31" t="s">
        <v>277</v>
      </c>
      <c r="F13" s="47">
        <v>300</v>
      </c>
      <c r="G13" s="47">
        <v>421</v>
      </c>
      <c r="H13" s="47">
        <v>23458</v>
      </c>
      <c r="I13" s="47">
        <v>22094</v>
      </c>
      <c r="J13" s="31" t="s">
        <v>278</v>
      </c>
      <c r="K13" s="47">
        <v>21848</v>
      </c>
      <c r="L13" s="172" t="s">
        <v>51</v>
      </c>
      <c r="M13" s="173">
        <f t="shared" si="0"/>
        <v>129.88800000000001</v>
      </c>
      <c r="N13" s="174" t="str">
        <f>VLOOKUP(C13,'Trips&amp;Operators'!$C$1:$E$99999,3,FALSE)</f>
        <v>STRICKLAND</v>
      </c>
      <c r="O13" s="154" t="s">
        <v>276</v>
      </c>
      <c r="P13" s="175"/>
      <c r="Q13" s="31"/>
      <c r="R13" s="100" t="str">
        <f>VLOOKUP(C13,'Train Runs'!$A$13:$AE$10001,31,0)</f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S13" s="103" t="str">
        <f>VLOOKUP(C13,'Train Runs'!$A$13:$AE$10001,22,0)</f>
        <v>https://search-rtdc-monitor-bjffxe2xuh6vdkpspy63sjmuny.us-east-1.es.amazonaws.com/_plugin/kibana/#/discover/Steve-Slow-Train-Analysis-(2080s-and-2083s)?_g=(refreshInterval:(display:Off,section:0,value:0),time:(from:'2016-10-16 08:19:36-0600',mode:absolute,to:'2016-10-16 11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 t="shared" si="1"/>
        <v>"C:\Program Files (x86)\AstroGrep\AstroGrep.exe" /spath="%USERPROFILE%\AppData\Local\Temp\OnboardLogs" /stypes="*4039*201610161*" /stext=" 16:.+((SYSTEM_STATE.+slice.+state.+changed )|(ment ac)|(system.+state.+changed )|(\[timeout)|(PRM\|1\|D)|(kpr)|(kdp)|(\|lc)|(penalty))" /e /r /s</v>
      </c>
      <c r="U13" s="9" t="str">
        <f t="shared" si="2"/>
        <v>4039</v>
      </c>
      <c r="V13" s="36">
        <f t="shared" si="3"/>
        <v>42659.669537037036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{"issue":{"subject":"","project_id":79,"tracker_id":40,"status_id":1,"priority_id":2,"assigned_to_id":23,"start_date":"2016-10-16","description":"","custom_fields":[{"id":1,"name":"Subdivision","value":"EC"},{"id":4,"name":"Milepost","value":"2.1848"},{"id":17,"name":"Train ID","value":"140-16"},{"id":16,"name":"Locomotive ID","value":"4039"},{"id":130,"name":"Impact","value":""},{"id":150,"name":"Time of Event (Mountain Time)","value":"10:04:08"},{"id":151,"name":"Denver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55" t="str">
        <f t="shared" si="7"/>
        <v>grep -hSE -A100 "Enforcement Action" "%USERPROFILE%\AppData\Local\Temp\OnboardLogs"\RTDC4039\*4039*201610161* | grep -SE "((Enforcement Ac)|(PRM))" -</v>
      </c>
    </row>
    <row r="14" spans="1:29" s="1" customFormat="1" x14ac:dyDescent="0.25">
      <c r="A14" s="36">
        <v>42659.487650462965</v>
      </c>
      <c r="B14" s="31" t="s">
        <v>220</v>
      </c>
      <c r="C14" s="31" t="s">
        <v>415</v>
      </c>
      <c r="D14" s="31" t="s">
        <v>98</v>
      </c>
      <c r="E14" s="31" t="s">
        <v>277</v>
      </c>
      <c r="F14" s="47">
        <v>200</v>
      </c>
      <c r="G14" s="47">
        <v>250</v>
      </c>
      <c r="H14" s="47">
        <v>30281</v>
      </c>
      <c r="I14" s="47">
        <v>29801</v>
      </c>
      <c r="J14" s="31" t="s">
        <v>278</v>
      </c>
      <c r="K14" s="47">
        <v>30562</v>
      </c>
      <c r="L14" s="172" t="s">
        <v>51</v>
      </c>
      <c r="M14" s="173">
        <f t="shared" si="0"/>
        <v>-401.80799999999999</v>
      </c>
      <c r="N14" s="174" t="str">
        <f>VLOOKUP(C14,'Trips&amp;Operators'!$C$1:$E$99999,3,FALSE)</f>
        <v>STRICKLAND</v>
      </c>
      <c r="O14" s="154" t="s">
        <v>276</v>
      </c>
      <c r="P14" s="175"/>
      <c r="Q14" s="31"/>
      <c r="R14" s="100" t="str">
        <f>VLOOKUP(C14,'Train Runs'!$A$13:$AE$10001,31,0)</f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S14" s="103" t="str">
        <f>VLOOKUP(C14,'Train Runs'!$A$13:$AE$10001,22,0)</f>
        <v>https://search-rtdc-monitor-bjffxe2xuh6vdkpspy63sjmuny.us-east-1.es.amazonaws.com/_plugin/kibana/#/discover/Steve-Slow-Train-Analysis-(2080s-and-2083s)?_g=(refreshInterval:(display:Off,section:0,value:0),time:(from:'2016-10-16 10:05:25-0600',mode:absolute,to:'2016-10-16 12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4" s="105" t="str">
        <f t="shared" si="1"/>
        <v>"C:\Program Files (x86)\AstroGrep\AstroGrep.exe" /spath="%USERPROFILE%\AppData\Local\Temp\OnboardLogs" /stypes="*4039*201610161*" /stext=" 17:.+((SYSTEM_STATE.+slice.+state.+changed )|(ment ac)|(system.+state.+changed )|(\[timeout)|(PRM\|1\|D)|(kpr)|(kdp)|(\|lc)|(penalty))" /e /r /s</v>
      </c>
      <c r="U14" s="9" t="str">
        <f t="shared" si="2"/>
        <v>4039</v>
      </c>
      <c r="V14" s="36">
        <f t="shared" si="3"/>
        <v>42659.737650462965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{"issue":{"subject":"","project_id":79,"tracker_id":40,"status_id":1,"priority_id":2,"assigned_to_id":23,"start_date":"2016-10-16","description":"","custom_fields":[{"id":1,"name":"Subdivision","value":"EC"},{"id":4,"name":"Milepost","value":"3.0562"},{"id":17,"name":"Train ID","value":"154-16"},{"id":16,"name":"Locomotive ID","value":"4039"},{"id":130,"name":"Impact","value":""},{"id":150,"name":"Time of Event (Mountain Time)","value":"11:42:13"},{"id":151,"name":"Denver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55" t="str">
        <f t="shared" si="7"/>
        <v>grep -hSE -A100 "Enforcement Action" "%USERPROFILE%\AppData\Local\Temp\OnboardLogs"\RTDC4039\*4039*201610161* | grep -SE "((Enforcement Ac)|(PRM))" -</v>
      </c>
    </row>
    <row r="15" spans="1:29" s="1" customFormat="1" x14ac:dyDescent="0.25">
      <c r="A15" s="36">
        <v>42659.517152777778</v>
      </c>
      <c r="B15" s="31" t="s">
        <v>285</v>
      </c>
      <c r="C15" s="31" t="s">
        <v>416</v>
      </c>
      <c r="D15" s="31" t="s">
        <v>98</v>
      </c>
      <c r="E15" s="31" t="s">
        <v>277</v>
      </c>
      <c r="F15" s="47">
        <v>600</v>
      </c>
      <c r="G15" s="47">
        <v>650</v>
      </c>
      <c r="H15" s="47">
        <v>124136</v>
      </c>
      <c r="I15" s="47">
        <v>127039</v>
      </c>
      <c r="J15" s="31" t="s">
        <v>278</v>
      </c>
      <c r="K15" s="47">
        <v>119716</v>
      </c>
      <c r="L15" s="172" t="s">
        <v>50</v>
      </c>
      <c r="M15" s="173">
        <f t="shared" si="0"/>
        <v>-3866.5439999999999</v>
      </c>
      <c r="N15" s="174" t="str">
        <f>VLOOKUP(C15,'Trips&amp;Operators'!$C$1:$E$99999,3,FALSE)</f>
        <v>YOUNG</v>
      </c>
      <c r="O15" s="154" t="s">
        <v>276</v>
      </c>
      <c r="P15" s="175"/>
      <c r="Q15" s="31"/>
      <c r="R15" s="100" t="str">
        <f>VLOOKUP(C15,'Train Runs'!$A$13:$AE$10001,31,0)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S15" s="103" t="str">
        <f>VLOOKUP(C15,'Train Runs'!$A$13:$AE$10001,22,0)</f>
        <v>https://search-rtdc-monitor-bjffxe2xuh6vdkpspy63sjmuny.us-east-1.es.amazonaws.com/_plugin/kibana/#/discover/Steve-Slow-Train-Analysis-(2080s-and-2083s)?_g=(refreshInterval:(display:Off,section:0,value:0),time:(from:'2016-10-16 10:55:23-0600',mode:absolute,to:'2016-10-16 13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5" s="105" t="str">
        <f t="shared" si="1"/>
        <v>"C:\Program Files (x86)\AstroGrep\AstroGrep.exe" /spath="%USERPROFILE%\AppData\Local\Temp\OnboardLogs" /stypes="*4040*201610161*" /stext=" 18:.+((SYSTEM_STATE.+slice.+state.+changed )|(ment ac)|(system.+state.+changed )|(\[timeout)|(PRM\|1\|D)|(kpr)|(kdp)|(\|lc)|(penalty))" /e /r /s</v>
      </c>
      <c r="U15" s="9" t="str">
        <f t="shared" si="2"/>
        <v>4040</v>
      </c>
      <c r="V15" s="36">
        <f t="shared" si="3"/>
        <v>42659.767152777778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{"issue":{"subject":"","project_id":79,"tracker_id":40,"status_id":1,"priority_id":2,"assigned_to_id":23,"start_date":"2016-10-16","description":"","custom_fields":[{"id":1,"name":"Subdivision","value":"EC"},{"id":4,"name":"Milepost","value":"11.9716"},{"id":17,"name":"Train ID","value":"167-16"},{"id":16,"name":"Locomotive ID","value":"4040"},{"id":130,"name":"Impact","value":""},{"id":150,"name":"Time of Event (Mountain Time)","value":"12:24:42"},{"id":151,"name":"Denver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55" t="str">
        <f t="shared" si="7"/>
        <v>grep -hSE -A100 "Enforcement Action" "%USERPROFILE%\AppData\Local\Temp\OnboardLogs"\RTDC4040\*4040*201610161* | grep -SE "((Enforcement Ac)|(PRM))" -</v>
      </c>
    </row>
    <row r="16" spans="1:29" s="1" customFormat="1" x14ac:dyDescent="0.25">
      <c r="A16" s="36">
        <v>42659.453831018516</v>
      </c>
      <c r="B16" s="31" t="s">
        <v>285</v>
      </c>
      <c r="C16" s="31" t="s">
        <v>414</v>
      </c>
      <c r="D16" s="31" t="s">
        <v>49</v>
      </c>
      <c r="E16" s="31" t="s">
        <v>277</v>
      </c>
      <c r="F16" s="47">
        <v>150</v>
      </c>
      <c r="G16" s="47">
        <v>204</v>
      </c>
      <c r="H16" s="47">
        <v>231551</v>
      </c>
      <c r="I16" s="47">
        <v>231939</v>
      </c>
      <c r="J16" s="31" t="s">
        <v>278</v>
      </c>
      <c r="K16" s="47">
        <v>232107</v>
      </c>
      <c r="L16" s="172" t="s">
        <v>50</v>
      </c>
      <c r="M16" s="173">
        <f t="shared" si="0"/>
        <v>88.703999999999994</v>
      </c>
      <c r="N16" s="174" t="str">
        <f>VLOOKUP(C16,'Trips&amp;Operators'!$C$1:$E$99999,3,FALSE)</f>
        <v>STRICKLAND</v>
      </c>
      <c r="O16" s="154" t="s">
        <v>276</v>
      </c>
      <c r="P16" s="175"/>
      <c r="Q16" s="31"/>
      <c r="R16" s="100" t="str">
        <f>VLOOKUP(C16,'Train Runs'!$A$13:$AE$10001,31,0)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S16" s="103" t="str">
        <f>VLOOKUP(C16,'Train Runs'!$A$13:$AE$10001,22,0)</f>
        <v>https://search-rtdc-monitor-bjffxe2xuh6vdkpspy63sjmuny.us-east-1.es.amazonaws.com/_plugin/kibana/#/discover/Steve-Slow-Train-Analysis-(2080s-and-2083s)?_g=(refreshInterval:(display:Off,section:0,value:0),time:(from:'2016-10-16 09:12:04-0600',mode:absolute,to:'2016-10-16 11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6" s="105" t="str">
        <f t="shared" si="1"/>
        <v>"C:\Program Files (x86)\AstroGrep\AstroGrep.exe" /spath="%USERPROFILE%\AppData\Local\Temp\OnboardLogs" /stypes="*4040*201610161*" /stext=" 16:.+((SYSTEM_STATE.+slice.+state.+changed )|(ment ac)|(system.+state.+changed )|(\[timeout)|(PRM\|1\|D)|(kpr)|(kdp)|(\|lc)|(penalty))" /e /r /s</v>
      </c>
      <c r="U16" s="9" t="str">
        <f t="shared" si="2"/>
        <v>4040</v>
      </c>
      <c r="V16" s="36">
        <f t="shared" si="3"/>
        <v>42659.703831018516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{"issue":{"subject":"","project_id":79,"tracker_id":40,"status_id":1,"priority_id":2,"assigned_to_id":23,"start_date":"2016-10-16","description":"","custom_fields":[{"id":1,"name":"Subdivision","value":"EC"},{"id":4,"name":"Milepost","value":"23.2107"},{"id":17,"name":"Train ID","value":"153-16"},{"id":16,"name":"Locomotive ID","value":"4040"},{"id":130,"name":"Impact","value":""},{"id":150,"name":"Time of Event (Mountain Time)","value":"10:53:31"},{"id":151,"name":"Denver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55" t="str">
        <f t="shared" si="7"/>
        <v>grep -hSE -A100 "Enforcement Action" "%USERPROFILE%\AppData\Local\Temp\OnboardLogs"\RTDC4040\*4040*201610161* | grep -SE "((Enforcement Ac)|(PRM))" -</v>
      </c>
    </row>
    <row r="17" spans="1:30" s="1" customFormat="1" x14ac:dyDescent="0.25">
      <c r="A17" s="36">
        <v>42659.992222222223</v>
      </c>
      <c r="B17" s="31" t="s">
        <v>287</v>
      </c>
      <c r="C17" s="31" t="s">
        <v>428</v>
      </c>
      <c r="D17" s="31" t="s">
        <v>49</v>
      </c>
      <c r="E17" s="31" t="s">
        <v>281</v>
      </c>
      <c r="F17" s="47">
        <v>0</v>
      </c>
      <c r="G17" s="47">
        <v>25</v>
      </c>
      <c r="H17" s="47">
        <v>17220</v>
      </c>
      <c r="I17" s="47">
        <v>17159</v>
      </c>
      <c r="J17" s="31" t="s">
        <v>282</v>
      </c>
      <c r="K17" s="47">
        <v>17100</v>
      </c>
      <c r="L17" s="172" t="s">
        <v>51</v>
      </c>
      <c r="M17" s="173">
        <f t="shared" si="0"/>
        <v>31.152000000000001</v>
      </c>
      <c r="N17" s="174" t="str">
        <f>VLOOKUP(C17,'Trips&amp;Operators'!$C$1:$E$99999,3,FALSE)</f>
        <v>NEWELL</v>
      </c>
      <c r="O17" s="154" t="s">
        <v>276</v>
      </c>
      <c r="P17" s="175" t="s">
        <v>746</v>
      </c>
      <c r="Q17" s="31"/>
      <c r="R17" s="100" t="str">
        <f>VLOOKUP(C17,'Train Runs'!$A$13:$AE$10001,31,0)</f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S17" s="103" t="str">
        <f>VLOOKUP(C17,'Train Runs'!$A$13:$AE$10001,22,0)</f>
        <v>https://search-rtdc-monitor-bjffxe2xuh6vdkpspy63sjmuny.us-east-1.es.amazonaws.com/_plugin/kibana/#/discover/Steve-Slow-Train-Analysis-(2080s-and-2083s)?_g=(refreshInterval:(display:Off,section:0,value:0),time:(from:'2016-10-16 21:47:54-0600',mode:absolute,to:'2016-10-17 00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7" s="105" t="str">
        <f t="shared" si="1"/>
        <v>"C:\Program Files (x86)\AstroGrep\AstroGrep.exe" /spath="%USERPROFILE%\AppData\Local\Temp\OnboardLogs" /stypes="*4028*201610170*" /stext=" 05:.+((SYSTEM_STATE.+slice.+state.+changed )|(ment ac)|(system.+state.+changed )|(\[timeout)|(PRM\|1\|D)|(kpr)|(kdp)|(\|lc)|(penalty))" /e /r /s</v>
      </c>
      <c r="U17" s="9" t="str">
        <f t="shared" si="2"/>
        <v>4028</v>
      </c>
      <c r="V17" s="36">
        <f t="shared" si="3"/>
        <v>42660.242222222223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{"issue":{"subject":"Bright 4S STOP, cleared afterward","project_id":79,"tracker_id":40,"status_id":1,"priority_id":2,"assigned_to_id":23,"start_date":"2016-10-16","description":"","custom_fields":[{"id":1,"name":"Subdivision","value":"EC"},{"id":4,"name":"Milepost","value":"1.71"},{"id":17,"name":"Train ID","value":"234-16"},{"id":16,"name":"Locomotive ID","value":"4028"},{"id":130,"name":"Impact","value":""},{"id":150,"name":"Time of Event (Mountain Time)","value":"23:48:48"},{"id":151,"name":"Denver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55" t="str">
        <f t="shared" si="7"/>
        <v>grep -hSE -A100 "Enforcement Action" "%USERPROFILE%\AppData\Local\Temp\OnboardLogs"\RTDC4028\*4028*201610170* | grep -SE "((Enforcement Ac)|(PRM))" -</v>
      </c>
    </row>
    <row r="18" spans="1:30" s="1" customFormat="1" x14ac:dyDescent="0.25">
      <c r="A18" s="36">
        <v>42659.382025462961</v>
      </c>
      <c r="B18" s="31" t="s">
        <v>201</v>
      </c>
      <c r="C18" s="31" t="s">
        <v>412</v>
      </c>
      <c r="D18" s="31" t="s">
        <v>49</v>
      </c>
      <c r="E18" s="31" t="s">
        <v>281</v>
      </c>
      <c r="F18" s="47">
        <v>0</v>
      </c>
      <c r="G18" s="47">
        <v>80</v>
      </c>
      <c r="H18" s="47">
        <v>126384</v>
      </c>
      <c r="I18" s="47">
        <v>126468</v>
      </c>
      <c r="J18" s="31" t="s">
        <v>282</v>
      </c>
      <c r="K18" s="47">
        <v>126585</v>
      </c>
      <c r="L18" s="172" t="s">
        <v>50</v>
      </c>
      <c r="M18" s="173">
        <f t="shared" si="0"/>
        <v>61.776000000000003</v>
      </c>
      <c r="N18" s="174" t="str">
        <f>VLOOKUP(C18,'Trips&amp;Operators'!$C$1:$E$99999,3,FALSE)</f>
        <v>KILLION</v>
      </c>
      <c r="O18" s="154" t="s">
        <v>276</v>
      </c>
      <c r="P18" s="175" t="s">
        <v>747</v>
      </c>
      <c r="Q18" s="31"/>
      <c r="R18" s="100" t="str">
        <f>VLOOKUP(C18,'Train Runs'!$A$13:$AE$10001,31,0)</f>
        <v>aws s3 cp s3://rtdc.mdm.uploadarchive.raw/RTDC4046/ "%USERPROFILE%\AppData\Local\Temp\OnboardLogs"\RTDC4046\2016-10-16 --exclude "*" --recursive --include "*20161016*" &amp; "%USERPROFILE%\Documents\GitHub\mrs-test-scripts\Headless Mode &amp; Sideloading\WalkAndUnGZ.bat" "%USERPROFILE%\AppData\Local\Temp\OnboardLogs"\RTDC4046\2016-10-16 &amp; 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</v>
      </c>
      <c r="S18" s="103" t="str">
        <f>VLOOKUP(C18,'Train Runs'!$A$13:$AE$10001,22,0)</f>
        <v>https://search-rtdc-monitor-bjffxe2xuh6vdkpspy63sjmuny.us-east-1.es.amazonaws.com/_plugin/kibana/#/discover/Steve-Slow-Train-Analysis-(2080s-and-2083s)?_g=(refreshInterval:(display:Off,section:0,value:0),time:(from:'2016-10-16 07:39:24-0600',mode:absolute,to:'2016-10-16 10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8" s="105" t="str">
        <f t="shared" si="1"/>
        <v>"C:\Program Files (x86)\AstroGrep\AstroGrep.exe" /spath="%USERPROFILE%\AppData\Local\Temp\OnboardLogs" /stypes="*4046*201610161*" /stext=" 15:.+((SYSTEM_STATE.+slice.+state.+changed )|(ment ac)|(system.+state.+changed )|(\[timeout)|(PRM\|1\|D)|(kpr)|(kdp)|(\|lc)|(penalty))" /e /r /s</v>
      </c>
      <c r="U18" s="9" t="str">
        <f t="shared" si="2"/>
        <v>4046</v>
      </c>
      <c r="V18" s="36">
        <f t="shared" si="3"/>
        <v>42659.632025462961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{"issue":{"subject":"40th 2N STOP, cleared afterward","project_id":79,"tracker_id":40,"status_id":1,"priority_id":2,"assigned_to_id":23,"start_date":"2016-10-16","description":"","custom_fields":[{"id":1,"name":"Subdivision","value":"EC"},{"id":4,"name":"Milepost","value":"12.6585"},{"id":17,"name":"Train ID","value":"141-16"},{"id":16,"name":"Locomotive ID","value":"4046"},{"id":130,"name":"Impact","value":""},{"id":150,"name":"Time of Event (Mountain Time)","value":"09:10:07"},{"id":151,"name":"Denver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55" t="str">
        <f t="shared" si="7"/>
        <v>grep -hSE -A100 "Enforcement Action" "%USERPROFILE%\AppData\Local\Temp\OnboardLogs"\RTDC4046\*4046*201610161* | grep -SE "((Enforcement Ac)|(PRM))" -</v>
      </c>
    </row>
    <row r="19" spans="1:30" s="1" customFormat="1" x14ac:dyDescent="0.25">
      <c r="A19" s="36">
        <v>42659.517835648148</v>
      </c>
      <c r="B19" s="31" t="s">
        <v>287</v>
      </c>
      <c r="C19" s="31" t="s">
        <v>417</v>
      </c>
      <c r="D19" s="31" t="s">
        <v>49</v>
      </c>
      <c r="E19" s="31" t="s">
        <v>281</v>
      </c>
      <c r="F19" s="47">
        <v>0</v>
      </c>
      <c r="G19" s="47">
        <v>142</v>
      </c>
      <c r="H19" s="47">
        <v>128139</v>
      </c>
      <c r="I19" s="47">
        <v>127954</v>
      </c>
      <c r="J19" s="31" t="s">
        <v>282</v>
      </c>
      <c r="K19" s="47">
        <v>127587</v>
      </c>
      <c r="L19" s="172" t="s">
        <v>51</v>
      </c>
      <c r="M19" s="173">
        <f t="shared" si="0"/>
        <v>193.77600000000001</v>
      </c>
      <c r="N19" s="174" t="str">
        <f>VLOOKUP(C19,'Trips&amp;Operators'!$C$1:$E$99999,3,FALSE)</f>
        <v>BARTLETT</v>
      </c>
      <c r="O19" s="154" t="s">
        <v>276</v>
      </c>
      <c r="P19" s="175" t="s">
        <v>748</v>
      </c>
      <c r="Q19" s="31"/>
      <c r="R19" s="100" t="str">
        <f>VLOOKUP(C19,'Train Runs'!$A$13:$AE$10001,31,0)</f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S19" s="103" t="str">
        <f>VLOOKUP(C19,'Train Runs'!$A$13:$AE$10001,22,0)</f>
        <v>https://search-rtdc-monitor-bjffxe2xuh6vdkpspy63sjmuny.us-east-1.es.amazonaws.com/_plugin/kibana/#/discover/Steve-Slow-Train-Analysis-(2080s-and-2083s)?_g=(refreshInterval:(display:Off,section:0,value:0),time:(from:'2016-10-16 10:56:59-0600',mode:absolute,to:'2016-10-16 13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9" s="105" t="str">
        <f t="shared" si="1"/>
        <v>"C:\Program Files (x86)\AstroGrep\AstroGrep.exe" /spath="%USERPROFILE%\AppData\Local\Temp\OnboardLogs" /stypes="*4028*201610161*" /stext=" 18:.+((SYSTEM_STATE.+slice.+state.+changed )|(ment ac)|(system.+state.+changed )|(\[timeout)|(PRM\|1\|D)|(kpr)|(kdp)|(\|lc)|(penalty))" /e /r /s</v>
      </c>
      <c r="U19" s="9" t="str">
        <f t="shared" si="2"/>
        <v>4028</v>
      </c>
      <c r="V19" s="36">
        <f t="shared" si="3"/>
        <v>42659.767835648148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{"issue":{"subject":"40th 4S STOP, cleared afterward","project_id":79,"tracker_id":40,"status_id":1,"priority_id":2,"assigned_to_id":23,"start_date":"2016-10-16","description":"","custom_fields":[{"id":1,"name":"Subdivision","value":"EC"},{"id":4,"name":"Milepost","value":"12.7587"},{"id":17,"name":"Train ID","value":"162-16"},{"id":16,"name":"Locomotive ID","value":"4028"},{"id":130,"name":"Impact","value":""},{"id":150,"name":"Time of Event (Mountain Time)","value":"12:25:41"},{"id":151,"name":"Denver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55" t="str">
        <f t="shared" si="7"/>
        <v>grep -hSE -A100 "Enforcement Action" "%USERPROFILE%\AppData\Local\Temp\OnboardLogs"\RTDC4028\*4028*201610161* | grep -SE "((Enforcement Ac)|(PRM))" -</v>
      </c>
    </row>
    <row r="20" spans="1:30" x14ac:dyDescent="0.25">
      <c r="A20" s="36">
        <v>42659.549641203703</v>
      </c>
      <c r="B20" s="31" t="s">
        <v>224</v>
      </c>
      <c r="C20" s="31" t="s">
        <v>419</v>
      </c>
      <c r="D20" s="31" t="s">
        <v>49</v>
      </c>
      <c r="E20" s="31" t="s">
        <v>281</v>
      </c>
      <c r="F20" s="47">
        <v>0</v>
      </c>
      <c r="G20" s="47">
        <v>783</v>
      </c>
      <c r="H20" s="47">
        <v>145435</v>
      </c>
      <c r="I20" s="47">
        <v>149265</v>
      </c>
      <c r="J20" s="31" t="s">
        <v>282</v>
      </c>
      <c r="K20" s="47">
        <v>149694</v>
      </c>
      <c r="L20" s="172" t="s">
        <v>50</v>
      </c>
      <c r="M20" s="173">
        <f t="shared" si="0"/>
        <v>226.512</v>
      </c>
      <c r="N20" s="174" t="str">
        <f>VLOOKUP(C20,'Trips&amp;Operators'!$C$1:$E$99999,3,FALSE)</f>
        <v>STEWART</v>
      </c>
      <c r="O20" s="154" t="s">
        <v>207</v>
      </c>
      <c r="P20" s="175" t="s">
        <v>750</v>
      </c>
      <c r="Q20" s="31"/>
      <c r="R20" s="100" t="str">
        <f>VLOOKUP(C20,'Train Runs'!$A$13:$AE$10001,31,0)</f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S20" s="103" t="str">
        <f>VLOOKUP(C20,'Train Runs'!$A$13:$AE$10001,22,0)</f>
        <v>https://search-rtdc-monitor-bjffxe2xuh6vdkpspy63sjmuny.us-east-1.es.amazonaws.com/_plugin/kibana/#/discover/Steve-Slow-Train-Analysis-(2080s-and-2083s)?_g=(refreshInterval:(display:Off,section:0,value:0),time:(from:'2016-10-16 11:38:53-0600',mode:absolute,to:'2016-10-16 14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0" s="105" t="str">
        <f t="shared" si="1"/>
        <v>"C:\Program Files (x86)\AstroGrep\AstroGrep.exe" /spath="%USERPROFILE%\AppData\Local\Temp\OnboardLogs" /stypes="*4031*201610161*" /stext=" 19:.+((SYSTEM_STATE.+slice.+state.+changed )|(ment ac)|(system.+state.+changed )|(\[timeout)|(PRM\|1\|D)|(kpr)|(kdp)|(\|lc)|(penalty))" /e /r /s</v>
      </c>
      <c r="U20" s="9" t="str">
        <f t="shared" si="2"/>
        <v>4031</v>
      </c>
      <c r="V20" s="36">
        <f t="shared" si="3"/>
        <v>42659.799641203703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{"issue":{"subject":"Wi-MAX outage","project_id":79,"tracker_id":40,"status_id":1,"priority_id":2,"assigned_to_id":23,"start_date":"2016-10-16","description":"http://stevetu21.github.io/eaglep3/load_kml.html?kml=http://rtdc.gmaps-snips.s3.amazonaws.com/89332f50-d6cb-4fdb-b653-538e33cd103c.kml","custom_fields":[{"id":1,"name":"Subdivision","value":"EC"},{"id":4,"name":"Milepost","value":"14.9694"},{"id":17,"name":"Train ID","value":"173-16"},{"id":16,"name":"Locomotive ID","value":"4031"},{"id":130,"name":"Impact","value":"Enforcement"},{"id":150,"name":"Time of Event (Mountain Time)","value":"13:11:29"},{"id":151,"name":"Denver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t="s">
        <v>749</v>
      </c>
      <c r="AA20" s="53" t="s">
        <v>126</v>
      </c>
      <c r="AB20" s="53" t="s">
        <v>139</v>
      </c>
      <c r="AC20" s="155" t="str">
        <f t="shared" si="7"/>
        <v>grep -hSE -A100 "Enforcement Action" "%USERPROFILE%\AppData\Local\Temp\OnboardLogs"\RTDC4031\*4031*201610161* | grep -SE "((Enforcement Ac)|(PRM))" -</v>
      </c>
      <c r="AD20" s="1"/>
    </row>
    <row r="21" spans="1:30" s="1" customFormat="1" x14ac:dyDescent="0.25">
      <c r="A21" s="36">
        <v>42659.293020833335</v>
      </c>
      <c r="B21" s="31" t="s">
        <v>287</v>
      </c>
      <c r="C21" s="31" t="s">
        <v>409</v>
      </c>
      <c r="D21" s="31" t="s">
        <v>49</v>
      </c>
      <c r="E21" s="31" t="s">
        <v>281</v>
      </c>
      <c r="F21" s="47">
        <v>0</v>
      </c>
      <c r="G21" s="47">
        <v>342</v>
      </c>
      <c r="H21" s="47">
        <v>193416</v>
      </c>
      <c r="I21" s="47">
        <v>192653</v>
      </c>
      <c r="J21" s="31" t="s">
        <v>282</v>
      </c>
      <c r="K21" s="47">
        <v>191723</v>
      </c>
      <c r="L21" s="172" t="s">
        <v>51</v>
      </c>
      <c r="M21" s="173">
        <f t="shared" si="0"/>
        <v>491.04</v>
      </c>
      <c r="N21" s="174" t="str">
        <f>VLOOKUP(C21,'Trips&amp;Operators'!$C$1:$E$99999,3,FALSE)</f>
        <v>MAELZER</v>
      </c>
      <c r="O21" s="154" t="s">
        <v>276</v>
      </c>
      <c r="P21" s="175" t="s">
        <v>751</v>
      </c>
      <c r="Q21" s="31"/>
      <c r="R21" s="100" t="str">
        <f>VLOOKUP(C21,'Train Runs'!$A$13:$AE$10001,31,0)</f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S21" s="103" t="str">
        <f>VLOOKUP(C21,'Train Runs'!$A$13:$AE$10001,22,0)</f>
        <v>https://search-rtdc-monitor-bjffxe2xuh6vdkpspy63sjmuny.us-east-1.es.amazonaws.com/_plugin/kibana/#/discover/Steve-Slow-Train-Analysis-(2080s-and-2083s)?_g=(refreshInterval:(display:Off,section:0,value:0),time:(from:'2016-10-16 05:48:52-0600',mode:absolute,to:'2016-10-16 08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1" s="105" t="str">
        <f t="shared" si="1"/>
        <v>"C:\Program Files (x86)\AstroGrep\AstroGrep.exe" /spath="%USERPROFILE%\AppData\Local\Temp\OnboardLogs" /stypes="*4028*201610161*" /stext=" 13:.+((SYSTEM_STATE.+slice.+state.+changed )|(ment ac)|(system.+state.+changed )|(\[timeout)|(PRM\|1\|D)|(kpr)|(kdp)|(\|lc)|(penalty))" /e /r /s</v>
      </c>
      <c r="U21" s="9" t="str">
        <f t="shared" si="2"/>
        <v>4028</v>
      </c>
      <c r="V21" s="36">
        <f t="shared" si="3"/>
        <v>42659.543020833335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{"issue":{"subject":"Pena 4S STOP, cleared afterward","project_id":79,"tracker_id":40,"status_id":1,"priority_id":2,"assigned_to_id":23,"start_date":"2016-10-16","description":"","custom_fields":[{"id":1,"name":"Subdivision","value":"EC"},{"id":4,"name":"Milepost","value":"19.1723"},{"id":17,"name":"Train ID","value":"120-16"},{"id":16,"name":"Locomotive ID","value":"4028"},{"id":130,"name":"Impact","value":""},{"id":150,"name":"Time of Event (Mountain Time)","value":"07:01:57"},{"id":151,"name":"Denver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55" t="str">
        <f t="shared" si="7"/>
        <v>grep -hSE -A100 "Enforcement Action" "%USERPROFILE%\AppData\Local\Temp\OnboardLogs"\RTDC4028\*4028*201610161* | grep -SE "((Enforcement Ac)|(PRM))" -</v>
      </c>
    </row>
    <row r="22" spans="1:30" x14ac:dyDescent="0.25">
      <c r="A22" s="36">
        <v>42659.22315972222</v>
      </c>
      <c r="B22" s="31" t="s">
        <v>223</v>
      </c>
      <c r="C22" s="31" t="s">
        <v>405</v>
      </c>
      <c r="D22" s="31" t="s">
        <v>49</v>
      </c>
      <c r="E22" s="31" t="s">
        <v>283</v>
      </c>
      <c r="F22" s="47">
        <v>0</v>
      </c>
      <c r="G22" s="47">
        <v>65</v>
      </c>
      <c r="H22" s="47">
        <v>234</v>
      </c>
      <c r="I22" s="47">
        <v>191</v>
      </c>
      <c r="J22" s="31" t="s">
        <v>284</v>
      </c>
      <c r="K22" s="47">
        <v>1</v>
      </c>
      <c r="L22" s="172" t="s">
        <v>51</v>
      </c>
      <c r="M22" s="173">
        <f t="shared" si="0"/>
        <v>100.32</v>
      </c>
      <c r="N22" s="174" t="str">
        <f>VLOOKUP(C22,'Trips&amp;Operators'!$C$1:$E$99999,3,FALSE)</f>
        <v>ACKERMAN</v>
      </c>
      <c r="O22" s="154" t="s">
        <v>276</v>
      </c>
      <c r="P22" s="175"/>
      <c r="Q22" s="31"/>
      <c r="R22" s="100" t="str">
        <f>VLOOKUP(C22,'Train Runs'!$A$13:$AE$10001,31,0)</f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S22" s="103" t="str">
        <f>VLOOKUP(C22,'Train Runs'!$A$13:$AE$10001,22,0)</f>
        <v>https://search-rtdc-monitor-bjffxe2xuh6vdkpspy63sjmuny.us-east-1.es.amazonaws.com/_plugin/kibana/#/discover/Steve-Slow-Train-Analysis-(2080s-and-2083s)?_g=(refreshInterval:(display:Off,section:0,value:0),time:(from:'2016-10-16 03:30:51-0600',mode:absolute,to:'2016-10-16 06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5" t="str">
        <f t="shared" si="1"/>
        <v>"C:\Program Files (x86)\AstroGrep\AstroGrep.exe" /spath="%USERPROFILE%\AppData\Local\Temp\OnboardLogs" /stypes="*4032*201610161*" /stext=" 11:.+((SYSTEM_STATE.+slice.+state.+changed )|(ment ac)|(system.+state.+changed )|(\[timeout)|(PRM\|1\|D)|(kpr)|(kdp)|(\|lc)|(penalty))" /e /r /s</v>
      </c>
      <c r="U22" s="9" t="str">
        <f t="shared" si="2"/>
        <v>4032</v>
      </c>
      <c r="V22" s="36">
        <f t="shared" si="3"/>
        <v>42659.47315972222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ID","value":"104-16"},{"id":16,"name":"Locomotive ID","value":"4032"},{"id":130,"name":"Impact","value":""},{"id":150,"name":"Time of Event (Mountain Time)","value":"05:21:21"},{"id":151,"name":"Denver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55" t="str">
        <f t="shared" si="7"/>
        <v>grep -hSE -A100 "Enforcement Action" "%USERPROFILE%\AppData\Local\Temp\OnboardLogs"\RTDC4032\*4032*201610161* | grep -SE "((Enforcement Ac)|(PRM))" -</v>
      </c>
      <c r="AD22" s="1"/>
    </row>
    <row r="23" spans="1:30" x14ac:dyDescent="0.25">
      <c r="A23" s="36">
        <v>42659.223541666666</v>
      </c>
      <c r="B23" s="31" t="s">
        <v>223</v>
      </c>
      <c r="C23" s="31" t="s">
        <v>405</v>
      </c>
      <c r="D23" s="31" t="s">
        <v>49</v>
      </c>
      <c r="E23" s="31" t="s">
        <v>283</v>
      </c>
      <c r="F23" s="47">
        <v>0</v>
      </c>
      <c r="G23" s="47">
        <v>45</v>
      </c>
      <c r="H23" s="47">
        <v>152</v>
      </c>
      <c r="I23" s="47">
        <v>109</v>
      </c>
      <c r="J23" s="31" t="s">
        <v>284</v>
      </c>
      <c r="K23" s="47">
        <v>1</v>
      </c>
      <c r="L23" s="172" t="s">
        <v>51</v>
      </c>
      <c r="M23" s="173">
        <f t="shared" si="0"/>
        <v>57.024000000000001</v>
      </c>
      <c r="N23" s="174" t="str">
        <f>VLOOKUP(C23,'Trips&amp;Operators'!$C$1:$E$99999,3,FALSE)</f>
        <v>ACKERMAN</v>
      </c>
      <c r="O23" s="154" t="s">
        <v>276</v>
      </c>
      <c r="P23" s="175"/>
      <c r="Q23" s="31"/>
      <c r="R23" s="100" t="str">
        <f>VLOOKUP(C23,'Train Runs'!$A$13:$AE$10001,31,0)</f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S23" s="103" t="str">
        <f>VLOOKUP(C23,'Train Runs'!$A$13:$AE$10001,22,0)</f>
        <v>https://search-rtdc-monitor-bjffxe2xuh6vdkpspy63sjmuny.us-east-1.es.amazonaws.com/_plugin/kibana/#/discover/Steve-Slow-Train-Analysis-(2080s-and-2083s)?_g=(refreshInterval:(display:Off,section:0,value:0),time:(from:'2016-10-16 03:30:51-0600',mode:absolute,to:'2016-10-16 06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/stypes="*4032*201610161*" /stext=" 11:.+((SYSTEM_STATE.+slice.+state.+changed )|(ment ac)|(system.+state.+changed )|(\[timeout)|(PRM\|1\|D)|(kpr)|(kdp)|(\|lc)|(penalty))" /e /r /s</v>
      </c>
      <c r="U23" s="9" t="str">
        <f t="shared" si="2"/>
        <v>4032</v>
      </c>
      <c r="V23" s="36">
        <f t="shared" si="3"/>
        <v>42659.473541666666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ID","value":"104-16"},{"id":16,"name":"Locomotive ID","value":"4032"},{"id":130,"name":"Impact","value":""},{"id":150,"name":"Time of Event (Mountain Time)","value":"05:21:54"},{"id":151,"name":"Denver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55" t="str">
        <f t="shared" si="7"/>
        <v>grep -hSE -A100 "Enforcement Action" "%USERPROFILE%\AppData\Local\Temp\OnboardLogs"\RTDC4032\*4032*201610161* | grep -SE "((Enforcement Ac)|(PRM))" -</v>
      </c>
      <c r="AD23" s="1"/>
    </row>
    <row r="24" spans="1:30" x14ac:dyDescent="0.25">
      <c r="A24" s="36">
        <v>42659.306574074071</v>
      </c>
      <c r="B24" s="31" t="s">
        <v>223</v>
      </c>
      <c r="C24" s="31" t="s">
        <v>410</v>
      </c>
      <c r="D24" s="31" t="s">
        <v>49</v>
      </c>
      <c r="E24" s="31" t="s">
        <v>283</v>
      </c>
      <c r="F24" s="47">
        <v>0</v>
      </c>
      <c r="G24" s="47">
        <v>40</v>
      </c>
      <c r="H24" s="47">
        <v>141</v>
      </c>
      <c r="I24" s="47">
        <v>116</v>
      </c>
      <c r="J24" s="31" t="s">
        <v>284</v>
      </c>
      <c r="K24" s="47">
        <v>1</v>
      </c>
      <c r="L24" s="172" t="s">
        <v>51</v>
      </c>
      <c r="M24" s="173">
        <f t="shared" si="0"/>
        <v>60.72</v>
      </c>
      <c r="N24" s="174" t="str">
        <f>VLOOKUP(C24,'Trips&amp;Operators'!$C$1:$E$99999,3,FALSE)</f>
        <v>ACKERMAN</v>
      </c>
      <c r="O24" s="154" t="s">
        <v>276</v>
      </c>
      <c r="P24" s="175"/>
      <c r="Q24" s="31"/>
      <c r="R24" s="100" t="str">
        <f>VLOOKUP(C24,'Train Runs'!$A$13:$AE$10001,31,0)</f>
        <v>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 &amp; 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</v>
      </c>
      <c r="S24" s="103" t="str">
        <f>VLOOKUP(C24,'Train Runs'!$A$13:$AE$10001,22,0)</f>
        <v>https://search-rtdc-monitor-bjffxe2xuh6vdkpspy63sjmuny.us-east-1.es.amazonaws.com/_plugin/kibana/#/discover/Steve-Slow-Train-Analysis-(2080s-and-2083s)?_g=(refreshInterval:(display:Off,section:0,value:0),time:(from:'2016-10-16 05:31:48-0600',mode:absolute,to:'2016-10-16 08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4" s="105" t="str">
        <f t="shared" si="1"/>
        <v>"C:\Program Files (x86)\AstroGrep\AstroGrep.exe" /spath="%USERPROFILE%\AppData\Local\Temp\OnboardLogs" /stypes="*4032*201610161*" /stext=" 13:.+((SYSTEM_STATE.+slice.+state.+changed )|(ment ac)|(system.+state.+changed )|(\[timeout)|(PRM\|1\|D)|(kpr)|(kdp)|(\|lc)|(penalty))" /e /r /s</v>
      </c>
      <c r="U24" s="9" t="str">
        <f t="shared" si="2"/>
        <v>4032</v>
      </c>
      <c r="V24" s="36">
        <f t="shared" si="3"/>
        <v>42659.556574074071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ID","value":"118-16"},{"id":16,"name":"Locomotive ID","value":"4032"},{"id":130,"name":"Impact","value":""},{"id":150,"name":"Time of Event (Mountain Time)","value":"07:21:28"},{"id":151,"name":"Denver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55" t="str">
        <f t="shared" si="7"/>
        <v>grep -hSE -A100 "Enforcement Action" "%USERPROFILE%\AppData\Local\Temp\OnboardLogs"\RTDC4032\*4032*201610161* | grep -SE "((Enforcement Ac)|(PRM))" -</v>
      </c>
      <c r="AD24" s="1"/>
    </row>
    <row r="25" spans="1:30" ht="15" customHeight="1" x14ac:dyDescent="0.25">
      <c r="A25" s="36">
        <v>42659.34784722222</v>
      </c>
      <c r="B25" s="31" t="s">
        <v>220</v>
      </c>
      <c r="C25" s="31" t="s">
        <v>411</v>
      </c>
      <c r="D25" s="31" t="s">
        <v>49</v>
      </c>
      <c r="E25" s="31" t="s">
        <v>283</v>
      </c>
      <c r="F25" s="47">
        <v>0</v>
      </c>
      <c r="G25" s="47">
        <v>48</v>
      </c>
      <c r="H25" s="47">
        <v>160</v>
      </c>
      <c r="I25" s="47">
        <v>130</v>
      </c>
      <c r="J25" s="31" t="s">
        <v>284</v>
      </c>
      <c r="K25" s="47">
        <v>1</v>
      </c>
      <c r="L25" s="172" t="s">
        <v>51</v>
      </c>
      <c r="M25" s="173">
        <f t="shared" si="0"/>
        <v>68.111999999999995</v>
      </c>
      <c r="N25" s="174" t="str">
        <f>VLOOKUP(C25,'Trips&amp;Operators'!$C$1:$E$99999,3,FALSE)</f>
        <v>STRICKLAND</v>
      </c>
      <c r="O25" s="154" t="s">
        <v>276</v>
      </c>
      <c r="P25" s="175"/>
      <c r="Q25" s="31"/>
      <c r="R25" s="100" t="str">
        <f>VLOOKUP(C25,'Train Runs'!$A$13:$AE$10001,31,0)</f>
        <v>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 &amp; 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</v>
      </c>
      <c r="S25" s="103" t="str">
        <f>VLOOKUP(C25,'Train Runs'!$A$13:$AE$10001,22,0)</f>
        <v>https://search-rtdc-monitor-bjffxe2xuh6vdkpspy63sjmuny.us-east-1.es.amazonaws.com/_plugin/kibana/#/discover/Steve-Slow-Train-Analysis-(2080s-and-2083s)?_g=(refreshInterval:(display:Off,section:0,value:0),time:(from:'2016-10-16 06:36:18-0600',mode:absolute,to:'2016-10-16 09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5" s="105" t="str">
        <f t="shared" si="1"/>
        <v>"C:\Program Files (x86)\AstroGrep\AstroGrep.exe" /spath="%USERPROFILE%\AppData\Local\Temp\OnboardLogs" /stypes="*4039*201610161*" /stext=" 14:.+((SYSTEM_STATE.+slice.+state.+changed )|(ment ac)|(system.+state.+changed )|(\[timeout)|(PRM\|1\|D)|(kpr)|(kdp)|(\|lc)|(penalty))" /e /r /s</v>
      </c>
      <c r="U25" s="9" t="str">
        <f t="shared" si="2"/>
        <v>4039</v>
      </c>
      <c r="V25" s="36">
        <f t="shared" si="3"/>
        <v>42659.59784722222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ID","value":"126-16"},{"id":16,"name":"Locomotive ID","value":"4039"},{"id":130,"name":"Impact","value":""},{"id":150,"name":"Time of Event (Mountain Time)","value":"08:20:54"},{"id":151,"name":"Denver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55" t="str">
        <f t="shared" si="7"/>
        <v>grep -hSE -A100 "Enforcement Action" "%USERPROFILE%\AppData\Local\Temp\OnboardLogs"\RTDC4039\*4039*201610161* | grep -SE "((Enforcement Ac)|(PRM))" -</v>
      </c>
      <c r="AD25" s="1"/>
    </row>
    <row r="26" spans="1:30" x14ac:dyDescent="0.25">
      <c r="A26" s="36">
        <v>42659.608391203707</v>
      </c>
      <c r="B26" s="31" t="s">
        <v>287</v>
      </c>
      <c r="C26" s="31" t="s">
        <v>421</v>
      </c>
      <c r="D26" s="31" t="s">
        <v>49</v>
      </c>
      <c r="E26" s="31" t="s">
        <v>283</v>
      </c>
      <c r="F26" s="47">
        <v>0</v>
      </c>
      <c r="G26" s="47">
        <v>122</v>
      </c>
      <c r="H26" s="47">
        <v>509</v>
      </c>
      <c r="I26" s="47">
        <v>336</v>
      </c>
      <c r="J26" s="31" t="s">
        <v>284</v>
      </c>
      <c r="K26" s="47">
        <v>1</v>
      </c>
      <c r="L26" s="172" t="s">
        <v>51</v>
      </c>
      <c r="M26" s="173">
        <f t="shared" si="0"/>
        <v>176.88000000000002</v>
      </c>
      <c r="N26" s="174" t="str">
        <f>VLOOKUP(C26,'Trips&amp;Operators'!$C$1:$E$99999,3,FALSE)</f>
        <v>BARTLETT</v>
      </c>
      <c r="O26" s="154" t="s">
        <v>276</v>
      </c>
      <c r="P26" s="175"/>
      <c r="Q26" s="31"/>
      <c r="R26" s="100" t="str">
        <f>VLOOKUP(C26,'Train Runs'!$A$13:$AE$10001,31,0)</f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S26" s="103" t="str">
        <f>VLOOKUP(C26,'Train Runs'!$A$13:$AE$10001,22,0)</f>
        <v>https://search-rtdc-monitor-bjffxe2xuh6vdkpspy63sjmuny.us-east-1.es.amazonaws.com/_plugin/kibana/#/discover/Steve-Slow-Train-Analysis-(2080s-and-2083s)?_g=(refreshInterval:(display:Off,section:0,value:0),time:(from:'2016-10-16 12:41:11-0600',mode:absolute,to:'2016-10-16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6" s="105" t="str">
        <f t="shared" si="1"/>
        <v>"C:\Program Files (x86)\AstroGrep\AstroGrep.exe" /spath="%USERPROFILE%\AppData\Local\Temp\OnboardLogs" /stypes="*4028*201610162*" /stext=" 20:.+((SYSTEM_STATE.+slice.+state.+changed )|(ment ac)|(system.+state.+changed )|(\[timeout)|(PRM\|1\|D)|(kpr)|(kdp)|(\|lc)|(penalty))" /e /r /s</v>
      </c>
      <c r="U26" s="9" t="str">
        <f t="shared" si="2"/>
        <v>4028</v>
      </c>
      <c r="V26" s="36">
        <f t="shared" si="3"/>
        <v>42659.858391203707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ID","value":"176-16"},{"id":16,"name":"Locomotive ID","value":"4028"},{"id":130,"name":"Impact","value":""},{"id":150,"name":"Time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55" t="str">
        <f t="shared" si="7"/>
        <v>grep -hSE -A100 "Enforcement Action" "%USERPROFILE%\AppData\Local\Temp\OnboardLogs"\RTDC4028\*4028*201610162* | grep -SE "((Enforcement Ac)|(PRM))" -</v>
      </c>
      <c r="AD26" s="1"/>
    </row>
    <row r="27" spans="1:30" x14ac:dyDescent="0.25">
      <c r="A27" s="36">
        <v>42659.608900462961</v>
      </c>
      <c r="B27" s="31" t="s">
        <v>287</v>
      </c>
      <c r="C27" s="31" t="s">
        <v>421</v>
      </c>
      <c r="D27" s="31" t="s">
        <v>49</v>
      </c>
      <c r="E27" s="31" t="s">
        <v>283</v>
      </c>
      <c r="F27" s="47">
        <v>0</v>
      </c>
      <c r="G27" s="47">
        <v>47</v>
      </c>
      <c r="H27" s="47">
        <v>163</v>
      </c>
      <c r="I27" s="47">
        <v>134</v>
      </c>
      <c r="J27" s="31" t="s">
        <v>284</v>
      </c>
      <c r="K27" s="47">
        <v>1</v>
      </c>
      <c r="L27" s="172" t="s">
        <v>51</v>
      </c>
      <c r="M27" s="173">
        <f t="shared" si="0"/>
        <v>70.224000000000004</v>
      </c>
      <c r="N27" s="174" t="str">
        <f>VLOOKUP(C27,'Trips&amp;Operators'!$C$1:$E$99999,3,FALSE)</f>
        <v>BARTLETT</v>
      </c>
      <c r="O27" s="154" t="s">
        <v>276</v>
      </c>
      <c r="P27" s="175"/>
      <c r="Q27" s="31"/>
      <c r="R27" s="100" t="str">
        <f>VLOOKUP(C27,'Train Runs'!$A$13:$AE$10001,31,0)</f>
        <v>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 &amp; aws s3 cp s3://rtdc.mdm.uploadarchive.raw/RTDC4028/ "%USERPROFILE%\AppData\Local\Temp\OnboardLogs"\RTDC4028\2016-10-17 --exclude "*" --recursive --include "*20161017*" &amp; "%USERPROFILE%\Documents\GitHub\mrs-test-scripts\Headless Mode &amp; Sideloading\WalkAndUnGZ.bat" "%USERPROFILE%\AppData\Local\Temp\OnboardLogs"\RTDC4028\2016-10-17</v>
      </c>
      <c r="S27" s="103" t="str">
        <f>VLOOKUP(C27,'Train Runs'!$A$13:$AE$10001,22,0)</f>
        <v>https://search-rtdc-monitor-bjffxe2xuh6vdkpspy63sjmuny.us-east-1.es.amazonaws.com/_plugin/kibana/#/discover/Steve-Slow-Train-Analysis-(2080s-and-2083s)?_g=(refreshInterval:(display:Off,section:0,value:0),time:(from:'2016-10-16 12:41:11-0600',mode:absolute,to:'2016-10-16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7" s="105" t="str">
        <f t="shared" si="1"/>
        <v>"C:\Program Files (x86)\AstroGrep\AstroGrep.exe" /spath="%USERPROFILE%\AppData\Local\Temp\OnboardLogs" /stypes="*4028*201610162*" /stext=" 20:.+((SYSTEM_STATE.+slice.+state.+changed )|(ment ac)|(system.+state.+changed )|(\[timeout)|(PRM\|1\|D)|(kpr)|(kdp)|(\|lc)|(penalty))" /e /r /s</v>
      </c>
      <c r="U27" s="9" t="str">
        <f t="shared" si="2"/>
        <v>4028</v>
      </c>
      <c r="V27" s="36">
        <f t="shared" si="3"/>
        <v>42659.858900462961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ID","value":"176-16"},{"id":16,"name":"Locomotive ID","value":"4028"},{"id":130,"name":"Impact","value":""},{"id":150,"name":"Time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55" t="str">
        <f t="shared" si="7"/>
        <v>grep -hSE -A100 "Enforcement Action" "%USERPROFILE%\AppData\Local\Temp\OnboardLogs"\RTDC4028\*4028*201610162* | grep -SE "((Enforcement Ac)|(PRM))" -</v>
      </c>
      <c r="AD27" s="1"/>
    </row>
    <row r="28" spans="1:30" x14ac:dyDescent="0.25">
      <c r="A28" s="36">
        <v>42659.837488425925</v>
      </c>
      <c r="B28" s="31" t="s">
        <v>294</v>
      </c>
      <c r="C28" s="31" t="s">
        <v>427</v>
      </c>
      <c r="D28" s="31" t="s">
        <v>49</v>
      </c>
      <c r="E28" s="31" t="s">
        <v>283</v>
      </c>
      <c r="F28" s="47">
        <v>0</v>
      </c>
      <c r="G28" s="47">
        <v>42</v>
      </c>
      <c r="H28" s="47">
        <v>154</v>
      </c>
      <c r="I28" s="47">
        <v>127</v>
      </c>
      <c r="J28" s="31" t="s">
        <v>284</v>
      </c>
      <c r="K28" s="47">
        <v>1</v>
      </c>
      <c r="L28" s="172" t="s">
        <v>51</v>
      </c>
      <c r="M28" s="173">
        <f t="shared" si="0"/>
        <v>66.528000000000006</v>
      </c>
      <c r="N28" s="174" t="str">
        <f>VLOOKUP(C28,'Trips&amp;Operators'!$C$1:$E$99999,3,FALSE)</f>
        <v>CHANDLER</v>
      </c>
      <c r="O28" s="154" t="s">
        <v>276</v>
      </c>
      <c r="P28" s="175"/>
      <c r="Q28" s="31"/>
      <c r="R28" s="100" t="str">
        <f>VLOOKUP(C28,'Train Runs'!$A$13:$AE$10001,31,0)</f>
        <v>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 &amp; aws s3 cp s3://rtdc.mdm.uploadarchive.raw/RTDC4041/ "%USERPROFILE%\AppData\Local\Temp\OnboardLogs"\RTDC4041\2016-10-17 --exclude "*" --recursive --include "*20161017*" &amp; "%USERPROFILE%\Documents\GitHub\mrs-test-scripts\Headless Mode &amp; Sideloading\WalkAndUnGZ.bat" "%USERPROFILE%\AppData\Local\Temp\OnboardLogs"\RTDC4041\2016-10-17</v>
      </c>
      <c r="S28" s="103" t="str">
        <f>VLOOKUP(C28,'Train Runs'!$A$13:$AE$10001,22,0)</f>
        <v>https://search-rtdc-monitor-bjffxe2xuh6vdkpspy63sjmuny.us-east-1.es.amazonaws.com/_plugin/kibana/#/discover/Steve-Slow-Train-Analysis-(2080s-and-2083s)?_g=(refreshInterval:(display:Off,section:0,value:0),time:(from:'2016-10-16 18:22:28-0600',mode:absolute,to:'2016-10-16 21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8" s="105" t="str">
        <f t="shared" si="1"/>
        <v>"C:\Program Files (x86)\AstroGrep\AstroGrep.exe" /spath="%USERPROFILE%\AppData\Local\Temp\OnboardLogs" /stypes="*4041*201610170*" /stext=" 02:.+((SYSTEM_STATE.+slice.+state.+changed )|(ment ac)|(system.+state.+changed )|(\[timeout)|(PRM\|1\|D)|(kpr)|(kdp)|(\|lc)|(penalty))" /e /r /s</v>
      </c>
      <c r="U28" s="9" t="str">
        <f t="shared" si="2"/>
        <v>4041</v>
      </c>
      <c r="V28" s="36">
        <f t="shared" si="3"/>
        <v>42660.087488425925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{"issue":{"subject":"","project_id":79,"tracker_id":40,"status_id":1,"priority_id":2,"assigned_to_id":23,"start_date":"2016-10-16","description":"","custom_fields":[{"id":1,"name":"Subdivision","value":"EC"},{"id":4,"name":"Milepost","value":"0.0001"},{"id":17,"name":"Train ID","value":"220-16"},{"id":16,"name":"Locomotive ID","value":"4041"},{"id":130,"name":"Impact","value":""},{"id":150,"name":"Time of Event (Mountain Time)","value":"20:05:59"},{"id":151,"name":"Denver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55" t="str">
        <f t="shared" si="7"/>
        <v>grep -hSE -A100 "Enforcement Action" "%USERPROFILE%\AppData\Local\Temp\OnboardLogs"\RTDC4041\*4041*201610170* | grep -SE "((Enforcement Ac)|(PRM))" -</v>
      </c>
      <c r="AD28" s="1"/>
    </row>
    <row r="29" spans="1:30" x14ac:dyDescent="0.25">
      <c r="A29" s="36">
        <v>42659.16065972222</v>
      </c>
      <c r="B29" s="31" t="s">
        <v>285</v>
      </c>
      <c r="C29" s="31" t="s">
        <v>403</v>
      </c>
      <c r="D29" s="31" t="s">
        <v>49</v>
      </c>
      <c r="E29" s="31" t="s">
        <v>283</v>
      </c>
      <c r="F29" s="47">
        <v>0</v>
      </c>
      <c r="G29" s="47">
        <v>20</v>
      </c>
      <c r="H29" s="47">
        <v>233439</v>
      </c>
      <c r="I29" s="47">
        <v>233464</v>
      </c>
      <c r="J29" s="31" t="s">
        <v>284</v>
      </c>
      <c r="K29" s="47">
        <v>233491</v>
      </c>
      <c r="L29" s="172" t="s">
        <v>50</v>
      </c>
      <c r="M29" s="173">
        <f t="shared" si="0"/>
        <v>14.256</v>
      </c>
      <c r="N29" s="174" t="str">
        <f>VLOOKUP(C29,'Trips&amp;Operators'!$C$1:$E$99999,3,FALSE)</f>
        <v>KILLION</v>
      </c>
      <c r="O29" s="154" t="s">
        <v>276</v>
      </c>
      <c r="P29" s="175"/>
      <c r="Q29" s="31"/>
      <c r="R29" s="100" t="str">
        <f>VLOOKUP(C29,'Train Runs'!$A$13:$AE$10001,31,0)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S29" s="103" t="str">
        <f>VLOOKUP(C29,'Train Runs'!$A$13:$AE$10001,22,0)</f>
        <v>https://search-rtdc-monitor-bjffxe2xuh6vdkpspy63sjmuny.us-east-1.es.amazonaws.com/_plugin/kibana/#/discover/Steve-Slow-Train-Analysis-(2080s-and-2083s)?_g=(refreshInterval:(display:Off,section:0,value:0),time:(from:'2016-10-16 02:09:19-0600',mode:absolute,to:'2016-10-16 04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9" s="105" t="str">
        <f t="shared" si="1"/>
        <v>"C:\Program Files (x86)\AstroGrep\AstroGrep.exe" /spath="%USERPROFILE%\AppData\Local\Temp\OnboardLogs" /stypes="*4040*201610160*" /stext=" 09:.+((SYSTEM_STATE.+slice.+state.+changed )|(ment ac)|(system.+state.+changed )|(\[timeout)|(PRM\|1\|D)|(kpr)|(kdp)|(\|lc)|(penalty))" /e /r /s</v>
      </c>
      <c r="U29" s="9" t="str">
        <f t="shared" si="2"/>
        <v>4040</v>
      </c>
      <c r="V29" s="36">
        <f t="shared" si="3"/>
        <v>42659.41065972222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{"issue":{"subject":"","project_id":79,"tracker_id":40,"status_id":1,"priority_id":2,"assigned_to_id":23,"start_date":"2016-10-16","description":"","custom_fields":[{"id":1,"name":"Subdivision","value":"EC"},{"id":4,"name":"Milepost","value":"23.3491"},{"id":17,"name":"Train ID","value":"101-16"},{"id":16,"name":"Locomotive ID","value":"4040"},{"id":130,"name":"Impact","value":""},{"id":150,"name":"Time of Event (Mountain Time)","value":"03:51:21"},{"id":151,"name":"Denver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55" t="str">
        <f t="shared" si="7"/>
        <v>grep -hSE -A100 "Enforcement Action" "%USERPROFILE%\AppData\Local\Temp\OnboardLogs"\RTDC4040\*4040*201610160* | grep -SE "((Enforcement Ac)|(PRM))" -</v>
      </c>
      <c r="AD29" s="1"/>
    </row>
    <row r="30" spans="1:30" x14ac:dyDescent="0.25">
      <c r="A30" s="36">
        <v>42659.264710648145</v>
      </c>
      <c r="B30" s="31" t="s">
        <v>224</v>
      </c>
      <c r="C30" s="31" t="s">
        <v>408</v>
      </c>
      <c r="D30" s="31" t="s">
        <v>49</v>
      </c>
      <c r="E30" s="31" t="s">
        <v>283</v>
      </c>
      <c r="F30" s="47">
        <v>0</v>
      </c>
      <c r="G30" s="47">
        <v>58</v>
      </c>
      <c r="H30" s="47">
        <v>233276</v>
      </c>
      <c r="I30" s="47">
        <v>233326</v>
      </c>
      <c r="J30" s="31" t="s">
        <v>284</v>
      </c>
      <c r="K30" s="47">
        <v>233491</v>
      </c>
      <c r="L30" s="172" t="s">
        <v>50</v>
      </c>
      <c r="M30" s="173">
        <f t="shared" si="0"/>
        <v>87.12</v>
      </c>
      <c r="N30" s="174" t="str">
        <f>VLOOKUP(C30,'Trips&amp;Operators'!$C$1:$E$99999,3,FALSE)</f>
        <v>ACKERMAN</v>
      </c>
      <c r="O30" s="154" t="s">
        <v>276</v>
      </c>
      <c r="P30" s="175"/>
      <c r="Q30" s="31"/>
      <c r="R30" s="100" t="str">
        <f>VLOOKUP(C30,'Train Runs'!$A$13:$AE$10001,31,0)</f>
        <v>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 &amp; 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</v>
      </c>
      <c r="S30" s="103" t="str">
        <f>VLOOKUP(C30,'Train Runs'!$A$13:$AE$10001,22,0)</f>
        <v>https://search-rtdc-monitor-bjffxe2xuh6vdkpspy63sjmuny.us-east-1.es.amazonaws.com/_plugin/kibana/#/discover/Steve-Slow-Train-Analysis-(2080s-and-2083s)?_g=(refreshInterval:(display:Off,section:0,value:0),time:(from:'2016-10-16 04:36:23-0600',mode:absolute,to:'2016-10-16 07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0" s="105" t="str">
        <f t="shared" si="1"/>
        <v>"C:\Program Files (x86)\AstroGrep\AstroGrep.exe" /spath="%USERPROFILE%\AppData\Local\Temp\OnboardLogs" /stypes="*4031*201610161*" /stext=" 12:.+((SYSTEM_STATE.+slice.+state.+changed )|(ment ac)|(system.+state.+changed )|(\[timeout)|(PRM\|1\|D)|(kpr)|(kdp)|(\|lc)|(penalty))" /e /r /s</v>
      </c>
      <c r="U30" s="9" t="str">
        <f t="shared" si="2"/>
        <v>4031</v>
      </c>
      <c r="V30" s="36">
        <f t="shared" si="3"/>
        <v>42659.514710648145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{"issue":{"subject":"","project_id":79,"tracker_id":40,"status_id":1,"priority_id":2,"assigned_to_id":23,"start_date":"2016-10-16","description":"","custom_fields":[{"id":1,"name":"Subdivision","value":"EC"},{"id":4,"name":"Milepost","value":"23.3491"},{"id":17,"name":"Train ID","value":"117-16"},{"id":16,"name":"Locomotive ID","value":"4031"},{"id":130,"name":"Impact","value":""},{"id":150,"name":"Time of Event (Mountain Time)","value":"06:21:11"},{"id":151,"name":"Denver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55" t="str">
        <f t="shared" si="7"/>
        <v>grep -hSE -A100 "Enforcement Action" "%USERPROFILE%\AppData\Local\Temp\OnboardLogs"\RTDC4031\*4031*201610161* | grep -SE "((Enforcement Ac)|(PRM))" -</v>
      </c>
      <c r="AD30" s="1"/>
    </row>
    <row r="31" spans="1:30" ht="15" customHeight="1" x14ac:dyDescent="0.25">
      <c r="A31" s="36">
        <v>42659.818159722221</v>
      </c>
      <c r="B31" s="31" t="s">
        <v>285</v>
      </c>
      <c r="C31" s="31" t="s">
        <v>425</v>
      </c>
      <c r="D31" s="31" t="s">
        <v>49</v>
      </c>
      <c r="E31" s="31" t="s">
        <v>283</v>
      </c>
      <c r="F31" s="47">
        <v>0</v>
      </c>
      <c r="G31" s="47">
        <v>80</v>
      </c>
      <c r="H31" s="47">
        <v>233204</v>
      </c>
      <c r="I31" s="47">
        <v>233289</v>
      </c>
      <c r="J31" s="31" t="s">
        <v>284</v>
      </c>
      <c r="K31" s="47">
        <v>233491</v>
      </c>
      <c r="L31" s="172" t="s">
        <v>50</v>
      </c>
      <c r="M31" s="173">
        <f t="shared" si="0"/>
        <v>106.65600000000001</v>
      </c>
      <c r="N31" s="174" t="str">
        <f>VLOOKUP(C31,'Trips&amp;Operators'!$C$1:$E$99999,3,FALSE)</f>
        <v>BRANDNER</v>
      </c>
      <c r="O31" s="154" t="s">
        <v>276</v>
      </c>
      <c r="P31" s="175"/>
      <c r="Q31" s="31"/>
      <c r="R31" s="100" t="str">
        <f>VLOOKUP(C31,'Train Runs'!$A$13:$AE$10001,31,0)</f>
        <v>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 &amp; aws s3 cp s3://rtdc.mdm.uploadarchive.raw/RTDC4040/ "%USERPROFILE%\AppData\Local\Temp\OnboardLogs"\RTDC4040\2016-10-17 --exclude "*" --recursive --include "*20161017*" &amp; "%USERPROFILE%\Documents\GitHub\mrs-test-scripts\Headless Mode &amp; Sideloading\WalkAndUnGZ.bat" "%USERPROFILE%\AppData\Local\Temp\OnboardLogs"\RTDC4040\2016-10-17</v>
      </c>
      <c r="S31" s="103" t="str">
        <f>VLOOKUP(C31,'Train Runs'!$A$13:$AE$10001,22,0)</f>
        <v>https://search-rtdc-monitor-bjffxe2xuh6vdkpspy63sjmuny.us-east-1.es.amazonaws.com/_plugin/kibana/#/discover/Steve-Slow-Train-Analysis-(2080s-and-2083s)?_g=(refreshInterval:(display:Off,section:0,value:0),time:(from:'2016-10-16 17:54:45-0600',mode:absolute,to:'2016-10-16 20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1" s="105" t="str">
        <f t="shared" si="1"/>
        <v>"C:\Program Files (x86)\AstroGrep\AstroGrep.exe" /spath="%USERPROFILE%\AppData\Local\Temp\OnboardLogs" /stypes="*4040*201610170*" /stext=" 01:.+((SYSTEM_STATE.+slice.+state.+changed )|(ment ac)|(system.+state.+changed )|(\[timeout)|(PRM\|1\|D)|(kpr)|(kdp)|(\|lc)|(penalty))" /e /r /s</v>
      </c>
      <c r="U31" s="9" t="str">
        <f t="shared" si="2"/>
        <v>4040</v>
      </c>
      <c r="V31" s="36">
        <f t="shared" si="3"/>
        <v>42660.068159722221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{"issue":{"subject":"","project_id":79,"tracker_id":40,"status_id":1,"priority_id":2,"assigned_to_id":23,"start_date":"2016-10-16","description":"","custom_fields":[{"id":1,"name":"Subdivision","value":"EC"},{"id":4,"name":"Milepost","value":"23.3491"},{"id":17,"name":"Train ID","value":"221-16"},{"id":16,"name":"Locomotive ID","value":"4040"},{"id":130,"name":"Impact","value":""},{"id":150,"name":"Time of Event (Mountain Time)","value":"19:38:09"},{"id":151,"name":"Denver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55" t="str">
        <f t="shared" si="7"/>
        <v>grep -hSE -A100 "Enforcement Action" "%USERPROFILE%\AppData\Local\Temp\OnboardLogs"\RTDC4040\*4040*201610170* | grep -SE "((Enforcement Ac)|(PRM))" -</v>
      </c>
      <c r="AD31" s="1"/>
    </row>
    <row r="32" spans="1:30" x14ac:dyDescent="0.25">
      <c r="A32" s="36">
        <v>42659.826215277775</v>
      </c>
      <c r="B32" s="31" t="s">
        <v>217</v>
      </c>
      <c r="C32" s="31" t="s">
        <v>426</v>
      </c>
      <c r="D32" s="31" t="s">
        <v>49</v>
      </c>
      <c r="E32" s="31" t="s">
        <v>277</v>
      </c>
      <c r="F32" s="47">
        <v>150</v>
      </c>
      <c r="G32" s="47">
        <v>307</v>
      </c>
      <c r="H32" s="47">
        <v>15927</v>
      </c>
      <c r="I32" s="47">
        <v>15342</v>
      </c>
      <c r="J32" s="31" t="s">
        <v>278</v>
      </c>
      <c r="K32" s="47">
        <v>14977</v>
      </c>
      <c r="L32" s="172" t="s">
        <v>51</v>
      </c>
      <c r="M32" s="173">
        <f t="shared" si="0"/>
        <v>192.72</v>
      </c>
      <c r="N32" s="174" t="str">
        <f>VLOOKUP(C32,'Trips&amp;Operators'!$C$1:$E$99999,3,FALSE)</f>
        <v>BROWN</v>
      </c>
      <c r="O32" s="154" t="s">
        <v>276</v>
      </c>
      <c r="P32" s="175"/>
      <c r="Q32" s="31"/>
      <c r="R32" s="100" t="str">
        <f>VLOOKUP(C32,'Train Runs'!$A$13:$AE$10001,31,0)</f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S32" s="103" t="str">
        <f>VLOOKUP(C32,'Train Runs'!$A$13:$AE$10001,22,0)</f>
        <v>https://search-rtdc-monitor-bjffxe2xuh6vdkpspy63sjmuny.us-east-1.es.amazonaws.com/_plugin/kibana/#/discover/Steve-Slow-Train-Analysis-(2080s-and-2083s)?_g=(refreshInterval:(display:Off,section:0,value:0),time:(from:'2016-10-16 18:36:02-0600',mode:absolute,to:'2016-10-16 20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2" s="105" t="str">
        <f t="shared" si="1"/>
        <v>"C:\Program Files (x86)\AstroGrep\AstroGrep.exe" /spath="%USERPROFILE%\AppData\Local\Temp\OnboardLogs" /stypes="*4043*201610170*" /stext=" 01:.+((SYSTEM_STATE.+slice.+state.+changed )|(ment ac)|(system.+state.+changed )|(\[timeout)|(PRM\|1\|D)|(kpr)|(kdp)|(\|lc)|(penalty))" /e /r /s</v>
      </c>
      <c r="U32" s="9" t="str">
        <f t="shared" si="2"/>
        <v>4043</v>
      </c>
      <c r="V32" s="36">
        <f t="shared" si="3"/>
        <v>42660.076215277775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{"issue":{"subject":"","project_id":79,"tracker_id":40,"status_id":1,"priority_id":2,"assigned_to_id":23,"start_date":"2016-10-16","description":"","custom_fields":[{"id":1,"name":"Subdivision","value":"NW"},{"id":4,"name":"Milepost","value":"1.4977"},{"id":17,"name":"Train ID","value":"1828-16"},{"id":16,"name":"Locomotive ID","value":"4043"},{"id":130,"name":"Impact","value":""},{"id":150,"name":"Time of Event (Mountain Time)","value":"19:49:45"},{"id":151,"name":"Denver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55" t="str">
        <f t="shared" si="7"/>
        <v>grep -hSE -A100 "Enforcement Action" "%USERPROFILE%\AppData\Local\Temp\OnboardLogs"\RTDC4043\*4043*201610170* | grep -SE "((Enforcement Ac)|(PRM))" -</v>
      </c>
      <c r="AD32" s="1"/>
    </row>
    <row r="33" spans="1:30" ht="15" customHeight="1" x14ac:dyDescent="0.25">
      <c r="A33" s="36">
        <v>42659.783113425925</v>
      </c>
      <c r="B33" s="31" t="s">
        <v>217</v>
      </c>
      <c r="C33" s="31" t="s">
        <v>424</v>
      </c>
      <c r="D33" s="31" t="s">
        <v>98</v>
      </c>
      <c r="E33" s="31" t="s">
        <v>277</v>
      </c>
      <c r="F33" s="47">
        <v>400</v>
      </c>
      <c r="G33" s="47">
        <v>452</v>
      </c>
      <c r="H33" s="47">
        <v>38809</v>
      </c>
      <c r="I33" s="47">
        <v>37633</v>
      </c>
      <c r="J33" s="31" t="s">
        <v>278</v>
      </c>
      <c r="K33" s="47">
        <v>40977</v>
      </c>
      <c r="L33" s="172" t="s">
        <v>51</v>
      </c>
      <c r="M33" s="173">
        <f t="shared" si="0"/>
        <v>-1765.6320000000001</v>
      </c>
      <c r="N33" s="174" t="str">
        <f>VLOOKUP(C33,'Trips&amp;Operators'!$C$1:$E$99999,3,FALSE)</f>
        <v>BROWN</v>
      </c>
      <c r="O33" s="154" t="s">
        <v>276</v>
      </c>
      <c r="P33" s="175"/>
      <c r="Q33" s="31"/>
      <c r="R33" s="100" t="str">
        <f>VLOOKUP(C33,'Train Runs'!$A$13:$AE$10001,31,0)</f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S33" s="103" t="str">
        <f>VLOOKUP(C33,'Train Runs'!$A$13:$AE$10001,22,0)</f>
        <v>https://search-rtdc-monitor-bjffxe2xuh6vdkpspy63sjmuny.us-east-1.es.amazonaws.com/_plugin/kibana/#/discover/Steve-Slow-Train-Analysis-(2080s-and-2083s)?_g=(refreshInterval:(display:Off,section:0,value:0),time:(from:'2016-10-16 17:36:42-0600',mode:absolute,to:'2016-10-16 19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3" s="105" t="str">
        <f t="shared" si="1"/>
        <v>"C:\Program Files (x86)\AstroGrep\AstroGrep.exe" /spath="%USERPROFILE%\AppData\Local\Temp\OnboardLogs" /stypes="*4043*201610170*" /stext=" 00:.+((SYSTEM_STATE.+slice.+state.+changed )|(ment ac)|(system.+state.+changed )|(\[timeout)|(PRM\|1\|D)|(kpr)|(kdp)|(\|lc)|(penalty))" /e /r /s</v>
      </c>
      <c r="U33" s="9" t="str">
        <f t="shared" si="2"/>
        <v>4043</v>
      </c>
      <c r="V33" s="36">
        <f t="shared" si="3"/>
        <v>42660.033113425925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{"issue":{"subject":"","project_id":79,"tracker_id":40,"status_id":1,"priority_id":2,"assigned_to_id":23,"start_date":"2016-10-16","description":"","custom_fields":[{"id":1,"name":"Subdivision","value":"NW"},{"id":4,"name":"Milepost","value":"4.0977"},{"id":17,"name":"Train ID","value":"1826-16"},{"id":16,"name":"Locomotive ID","value":"4043"},{"id":130,"name":"Impact","value":""},{"id":150,"name":"Time of Event (Mountain Time)","value":"18:47:41"},{"id":151,"name":"Denver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55" t="str">
        <f t="shared" si="7"/>
        <v>grep -hSE -A100 "Enforcement Action" "%USERPROFILE%\AppData\Local\Temp\OnboardLogs"\RTDC4043\*4043*201610170* | grep -SE "((Enforcement Ac)|(PRM))" -</v>
      </c>
      <c r="AD33" s="1"/>
    </row>
    <row r="34" spans="1:30" x14ac:dyDescent="0.25">
      <c r="A34" s="36">
        <v>42659.74596064815</v>
      </c>
      <c r="B34" s="31" t="s">
        <v>217</v>
      </c>
      <c r="C34" s="31" t="s">
        <v>423</v>
      </c>
      <c r="D34" s="31" t="s">
        <v>49</v>
      </c>
      <c r="E34" s="31" t="s">
        <v>283</v>
      </c>
      <c r="F34" s="47">
        <v>0</v>
      </c>
      <c r="G34" s="47">
        <v>55</v>
      </c>
      <c r="H34" s="47">
        <v>755</v>
      </c>
      <c r="I34" s="47">
        <v>705</v>
      </c>
      <c r="J34" s="31" t="s">
        <v>284</v>
      </c>
      <c r="K34" s="47">
        <v>575</v>
      </c>
      <c r="L34" s="172" t="s">
        <v>51</v>
      </c>
      <c r="M34" s="173">
        <f t="shared" si="0"/>
        <v>68.64</v>
      </c>
      <c r="N34" s="174" t="str">
        <f>VLOOKUP(C34,'Trips&amp;Operators'!$C$1:$E$99999,3,FALSE)</f>
        <v>BROWN</v>
      </c>
      <c r="O34" s="154" t="s">
        <v>276</v>
      </c>
      <c r="P34" s="175"/>
      <c r="Q34" s="31"/>
      <c r="R34" s="100" t="str">
        <f>VLOOKUP(C34,'Train Runs'!$A$13:$AE$10001,31,0)</f>
        <v>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 &amp; 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</v>
      </c>
      <c r="S34" s="103" t="str">
        <f>VLOOKUP(C34,'Train Runs'!$A$13:$AE$10001,22,0)</f>
        <v>https://search-rtdc-monitor-bjffxe2xuh6vdkpspy63sjmuny.us-east-1.es.amazonaws.com/_plugin/kibana/#/discover/Steve-Slow-Train-Analysis-(2080s-and-2083s)?_g=(refreshInterval:(display:Off,section:0,value:0),time:(from:'2016-10-16 16:36:07-0600',mode:absolute,to:'2016-10-16 18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4" s="105" t="str">
        <f t="shared" si="1"/>
        <v>"C:\Program Files (x86)\AstroGrep\AstroGrep.exe" /spath="%USERPROFILE%\AppData\Local\Temp\OnboardLogs" /stypes="*4043*201610162*" /stext=" 23:.+((SYSTEM_STATE.+slice.+state.+changed )|(ment ac)|(system.+state.+changed )|(\[timeout)|(PRM\|1\|D)|(kpr)|(kdp)|(\|lc)|(penalty))" /e /r /s</v>
      </c>
      <c r="U34" s="9" t="str">
        <f t="shared" si="2"/>
        <v>4043</v>
      </c>
      <c r="V34" s="36">
        <f t="shared" si="3"/>
        <v>42659.99596064815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{"issue":{"subject":"","project_id":79,"tracker_id":40,"status_id":1,"priority_id":2,"assigned_to_id":23,"start_date":"2016-10-16","description":"","custom_fields":[{"id":1,"name":"Subdivision","value":"NW"},{"id":4,"name":"Milepost","value":"0.0575"},{"id":17,"name":"Train ID","value":"1824-16"},{"id":16,"name":"Locomotive ID","value":"4043"},{"id":130,"name":"Impact","value":""},{"id":150,"name":"Time of Event (Mountain Time)","value":"17:54:11"},{"id":151,"name":"Denver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55" t="str">
        <f t="shared" si="7"/>
        <v>grep -hSE -A100 "Enforcement Action" "%USERPROFILE%\AppData\Local\Temp\OnboardLogs"\RTDC4043\*4043*201610162* | grep -SE "((Enforcement Ac)|(PRM))" -</v>
      </c>
      <c r="AD34" s="1"/>
    </row>
    <row r="35" spans="1:30" x14ac:dyDescent="0.25">
      <c r="A35" s="36">
        <v>42659.18273148148</v>
      </c>
      <c r="B35" s="31" t="s">
        <v>280</v>
      </c>
      <c r="C35" s="31" t="s">
        <v>404</v>
      </c>
      <c r="D35" s="31" t="s">
        <v>98</v>
      </c>
      <c r="E35" s="31" t="s">
        <v>281</v>
      </c>
      <c r="F35" s="47">
        <v>200</v>
      </c>
      <c r="G35" s="47">
        <v>259</v>
      </c>
      <c r="H35" s="47">
        <v>21089</v>
      </c>
      <c r="I35" s="47">
        <v>20432</v>
      </c>
      <c r="J35" s="31" t="s">
        <v>282</v>
      </c>
      <c r="K35" s="47">
        <v>24161</v>
      </c>
      <c r="L35" s="172" t="s">
        <v>51</v>
      </c>
      <c r="M35" s="173">
        <f t="shared" si="0"/>
        <v>-1968.912</v>
      </c>
      <c r="N35" s="174" t="str">
        <f>VLOOKUP(C35,'Trips&amp;Operators'!$C$1:$E$99999,3,FALSE)</f>
        <v>MALAVE</v>
      </c>
      <c r="O35" s="154" t="s">
        <v>276</v>
      </c>
      <c r="P35" s="175"/>
      <c r="Q35" s="31"/>
      <c r="R35" s="100" t="str">
        <f>VLOOKUP(C35,'Train Runs'!$A$13:$AE$10001,31,0)</f>
        <v>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 &amp; 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</v>
      </c>
      <c r="S35" s="103" t="str">
        <f>VLOOKUP(C35,'Train Runs'!$A$13:$AE$10001,22,0)</f>
        <v>https://search-rtdc-monitor-bjffxe2xuh6vdkpspy63sjmuny.us-east-1.es.amazonaws.com/_plugin/kibana/#/discover/Steve-Slow-Train-Analysis-(2080s-and-2083s)?_g=(refreshInterval:(display:Off,section:0,value:0),time:(from:'2016-10-16 03:20:04-0600',mode:absolute,to:'2016-10-16 05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5" t="str">
        <f t="shared" si="1"/>
        <v>"C:\Program Files (x86)\AstroGrep\AstroGrep.exe" /spath="%USERPROFILE%\AppData\Local\Temp\OnboardLogs" /stypes="*4017*201610161*" /stext=" 10:.+((SYSTEM_STATE.+slice.+state.+changed )|(ment ac)|(system.+state.+changed )|(\[timeout)|(PRM\|1\|D)|(kpr)|(kdp)|(\|lc)|(penalty))" /e /r /s</v>
      </c>
      <c r="U35" s="9" t="str">
        <f t="shared" si="2"/>
        <v>4017</v>
      </c>
      <c r="V35" s="36">
        <f t="shared" si="3"/>
        <v>42659.43273148148</v>
      </c>
      <c r="W35" s="50" t="str">
        <f t="shared" si="4"/>
        <v>Other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{"issue":{"subject":"","project_id":79,"tracker_id":40,"status_id":1,"priority_id":2,"assigned_to_id":23,"start_date":"2016-10-16","description":"","custom_fields":[{"id":1,"name":"Subdivision","value":"Other"},{"id":4,"name":"Milepost","value":"2.4161"},{"id":17,"name":"Train ID","value":"310-16"},{"id":16,"name":"Locomotive ID","value":"4017"},{"id":130,"name":"Impact","value":""},{"id":150,"name":"Time of Event (Mountain Time)","value":"04:23:08"},{"id":151,"name":"Denver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55" t="str">
        <f t="shared" si="7"/>
        <v>grep -hSE -A100 "Enforcement Action" "%USERPROFILE%\AppData\Local\Temp\OnboardLogs"\RTDC4017\*4017*201610161* | grep -SE "((Enforcement Ac)|(PRM))" -</v>
      </c>
      <c r="AD35" s="1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30" ht="15" customHeight="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35"/>
      <sortCondition ref="E7:E35"/>
      <sortCondition ref="K7:K35"/>
      <sortCondition ref="F7:F35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35">
    <cfRule type="cellIs" dxfId="1" priority="2" operator="equal">
      <formula>"Y"</formula>
    </cfRule>
  </conditionalFormatting>
  <conditionalFormatting sqref="A7:P35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AB7:AB35</xm:sqref>
        </x14:dataValidation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/>
  </sheetViews>
  <sheetFormatPr defaultRowHeight="15" x14ac:dyDescent="0.25"/>
  <cols>
    <col min="1" max="1" width="9.140625" style="142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42"/>
      <c r="B1" s="182" t="str">
        <f>"Trips that did not appear in PTC Data "&amp;TEXT(Variables!$A$2,"YYYY-mm-dd")</f>
        <v>Trips that did not appear in PTC Data 2016-10-16</v>
      </c>
      <c r="C1" s="182"/>
      <c r="D1" s="182"/>
      <c r="E1" s="182"/>
      <c r="F1" s="182"/>
    </row>
    <row r="2" spans="1:11" s="24" customFormat="1" ht="45" x14ac:dyDescent="0.25">
      <c r="A2" s="15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64"/>
      <c r="B3" s="47" t="str">
        <f>A3&amp;"-"&amp;IF(DAY(Variables!$A$2)&lt;10,0,"")&amp;DAY(Variables!$A$2)</f>
        <v>-16</v>
      </c>
      <c r="C3" s="176"/>
      <c r="D3" s="177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2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3" s="31" t="e">
        <f>VLOOKUP(B3,'Train Runs'!$A$13:$A$99998,1,FALSE)</f>
        <v>#N/A</v>
      </c>
      <c r="K3" s="21" t="e">
        <f t="shared" ref="K3:K20" si="1">IF(VLOOKUP(A3,$K$59:$K$82,1,FALSE),"Cancelled")</f>
        <v>#N/A</v>
      </c>
    </row>
    <row r="4" spans="1:11" x14ac:dyDescent="0.25">
      <c r="A4" s="164"/>
      <c r="B4" s="47" t="str">
        <f>A4&amp;"-"&amp;IF(DAY(Variables!$A$2)&lt;10,0,"")&amp;DAY(Variables!$A$2)</f>
        <v>-16</v>
      </c>
      <c r="C4" s="176"/>
      <c r="D4" s="177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4" s="31" t="e">
        <f>VLOOKUP(B4,'Train Runs'!$A$13:$A$99998,1,FALSE)</f>
        <v>#N/A</v>
      </c>
      <c r="K4" s="21" t="e">
        <f t="shared" si="1"/>
        <v>#N/A</v>
      </c>
    </row>
    <row r="5" spans="1:11" x14ac:dyDescent="0.25">
      <c r="A5" s="164"/>
      <c r="B5" s="47" t="str">
        <f>A5&amp;"-"&amp;IF(DAY(Variables!$A$2)&lt;10,0,"")&amp;DAY(Variables!$A$2)</f>
        <v>-16</v>
      </c>
      <c r="C5" s="176"/>
      <c r="D5" s="177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5" s="31" t="e">
        <f>VLOOKUP(B5,'Train Runs'!$A$13:$A$99998,1,FALSE)</f>
        <v>#N/A</v>
      </c>
      <c r="K5" s="21" t="e">
        <f t="shared" si="1"/>
        <v>#N/A</v>
      </c>
    </row>
    <row r="6" spans="1:11" x14ac:dyDescent="0.25">
      <c r="A6" s="164"/>
      <c r="B6" s="47" t="str">
        <f>A6&amp;"-"&amp;IF(DAY(Variables!$A$2)&lt;10,0,"")&amp;DAY(Variables!$A$2)</f>
        <v>-16</v>
      </c>
      <c r="C6" s="176"/>
      <c r="D6" s="177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6" s="31" t="e">
        <f>VLOOKUP(B6,'Train Runs'!$A$13:$A$99998,1,FALSE)</f>
        <v>#N/A</v>
      </c>
      <c r="K6" s="21" t="e">
        <f t="shared" si="1"/>
        <v>#N/A</v>
      </c>
    </row>
    <row r="7" spans="1:11" s="21" customFormat="1" x14ac:dyDescent="0.25">
      <c r="A7" s="164"/>
      <c r="B7" s="47" t="str">
        <f>A7&amp;"-"&amp;IF(DAY(Variables!$A$2)&lt;10,0,"")&amp;DAY(Variables!$A$2)</f>
        <v>-16</v>
      </c>
      <c r="C7" s="176"/>
      <c r="D7" s="177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7" s="31" t="e">
        <f>VLOOKUP(B7,'Train Runs'!$A$13:$A$99998,1,FALSE)</f>
        <v>#N/A</v>
      </c>
      <c r="K7" s="21" t="e">
        <f t="shared" si="1"/>
        <v>#N/A</v>
      </c>
    </row>
    <row r="8" spans="1:11" x14ac:dyDescent="0.25">
      <c r="A8" s="164"/>
      <c r="B8" s="47" t="str">
        <f>A8&amp;"-"&amp;IF(DAY(Variables!$A$2)&lt;10,0,"")&amp;DAY(Variables!$A$2)</f>
        <v>-16</v>
      </c>
      <c r="C8" s="176"/>
      <c r="D8" s="177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8" s="31" t="e">
        <f>VLOOKUP(B8,'Train Runs'!$A$13:$A$99998,1,FALSE)</f>
        <v>#N/A</v>
      </c>
      <c r="K8" s="21" t="e">
        <f t="shared" si="1"/>
        <v>#N/A</v>
      </c>
    </row>
    <row r="9" spans="1:11" x14ac:dyDescent="0.25">
      <c r="A9" s="164"/>
      <c r="B9" s="47" t="str">
        <f>A9&amp;"-"&amp;IF(DAY(Variables!$A$2)&lt;10,0,"")&amp;DAY(Variables!$A$2)</f>
        <v>-16</v>
      </c>
      <c r="C9" s="176"/>
      <c r="D9" s="177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9" s="31" t="e">
        <f>VLOOKUP(B9,'Train Runs'!$A$13:$A$99998,1,FALSE)</f>
        <v>#N/A</v>
      </c>
      <c r="K9" s="21" t="e">
        <f t="shared" si="1"/>
        <v>#N/A</v>
      </c>
    </row>
    <row r="10" spans="1:11" x14ac:dyDescent="0.25">
      <c r="A10" s="164"/>
      <c r="B10" s="47" t="str">
        <f>A10&amp;"-"&amp;IF(DAY(Variables!$A$2)&lt;10,0,"")&amp;DAY(Variables!$A$2)</f>
        <v>-16</v>
      </c>
      <c r="C10" s="176"/>
      <c r="D10" s="177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0" s="31" t="e">
        <f>VLOOKUP(B10,'Train Runs'!$A$13:$A$99998,1,FALSE)</f>
        <v>#N/A</v>
      </c>
      <c r="K10" s="21" t="e">
        <f t="shared" si="1"/>
        <v>#N/A</v>
      </c>
    </row>
    <row r="11" spans="1:11" x14ac:dyDescent="0.25">
      <c r="A11" s="164"/>
      <c r="B11" s="47" t="str">
        <f>A11&amp;"-"&amp;IF(DAY(Variables!$A$2)&lt;10,0,"")&amp;DAY(Variables!$A$2)</f>
        <v>-16</v>
      </c>
      <c r="C11" s="176"/>
      <c r="D11" s="177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1" s="31" t="e">
        <f>VLOOKUP(B11,'Train Runs'!$A$13:$A$99998,1,FALSE)</f>
        <v>#N/A</v>
      </c>
      <c r="K11" s="21" t="e">
        <f t="shared" si="1"/>
        <v>#N/A</v>
      </c>
    </row>
    <row r="12" spans="1:11" x14ac:dyDescent="0.25">
      <c r="A12" s="164"/>
      <c r="B12" s="47" t="str">
        <f>A12&amp;"-"&amp;IF(DAY(Variables!$A$2)&lt;10,0,"")&amp;DAY(Variables!$A$2)</f>
        <v>-16</v>
      </c>
      <c r="C12" s="176"/>
      <c r="D12" s="177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2" s="31" t="e">
        <f>VLOOKUP(B12,'Train Runs'!$A$13:$A$99998,1,FALSE)</f>
        <v>#N/A</v>
      </c>
      <c r="K12" s="21" t="e">
        <f t="shared" si="1"/>
        <v>#N/A</v>
      </c>
    </row>
    <row r="13" spans="1:11" x14ac:dyDescent="0.25">
      <c r="A13" s="164"/>
      <c r="B13" s="47" t="str">
        <f>A13&amp;"-"&amp;IF(DAY(Variables!$A$2)&lt;10,0,"")&amp;DAY(Variables!$A$2)</f>
        <v>-16</v>
      </c>
      <c r="C13" s="176"/>
      <c r="D13" s="177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3" s="31" t="e">
        <f>VLOOKUP(B13,'Train Runs'!$A$13:$A$99998,1,FALSE)</f>
        <v>#N/A</v>
      </c>
      <c r="K13" s="21" t="e">
        <f t="shared" si="1"/>
        <v>#N/A</v>
      </c>
    </row>
    <row r="14" spans="1:11" x14ac:dyDescent="0.25">
      <c r="A14" s="164"/>
      <c r="B14" s="47" t="str">
        <f>A14&amp;"-"&amp;IF(DAY(Variables!$A$2)&lt;10,0,"")&amp;DAY(Variables!$A$2)</f>
        <v>-16</v>
      </c>
      <c r="C14" s="176"/>
      <c r="D14" s="177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4" s="31" t="e">
        <f>VLOOKUP(B14,'Train Runs'!$A$13:$A$99998,1,FALSE)</f>
        <v>#N/A</v>
      </c>
      <c r="K14" s="21" t="e">
        <f t="shared" si="1"/>
        <v>#N/A</v>
      </c>
    </row>
    <row r="15" spans="1:11" x14ac:dyDescent="0.25">
      <c r="A15" s="164"/>
      <c r="B15" s="47" t="str">
        <f>A15&amp;"-"&amp;IF(DAY(Variables!$A$2)&lt;10,0,"")&amp;DAY(Variables!$A$2)</f>
        <v>-16</v>
      </c>
      <c r="C15" s="176"/>
      <c r="D15" s="177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5" s="31" t="e">
        <f>VLOOKUP(B15,'Train Runs'!$A$13:$A$99998,1,FALSE)</f>
        <v>#N/A</v>
      </c>
      <c r="K15" s="21" t="e">
        <f t="shared" si="1"/>
        <v>#N/A</v>
      </c>
    </row>
    <row r="16" spans="1:11" x14ac:dyDescent="0.25">
      <c r="A16" s="164"/>
      <c r="B16" s="47" t="str">
        <f>A16&amp;"-"&amp;IF(DAY(Variables!$A$2)&lt;10,0,"")&amp;DAY(Variables!$A$2)</f>
        <v>-16</v>
      </c>
      <c r="C16" s="176"/>
      <c r="D16" s="177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6" s="31" t="e">
        <f>VLOOKUP(B16,'Train Runs'!$A$13:$A$99998,1,FALSE)</f>
        <v>#N/A</v>
      </c>
      <c r="K16" s="21" t="e">
        <f t="shared" si="1"/>
        <v>#N/A</v>
      </c>
    </row>
    <row r="17" spans="1:11" x14ac:dyDescent="0.25">
      <c r="A17" s="164"/>
      <c r="B17" s="47" t="str">
        <f>A17&amp;"-"&amp;IF(DAY(Variables!$A$2)&lt;10,0,"")&amp;DAY(Variables!$A$2)</f>
        <v>-16</v>
      </c>
      <c r="C17" s="176"/>
      <c r="D17" s="177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7" s="31" t="e">
        <f>VLOOKUP(B17,'Train Runs'!$A$13:$A$99998,1,FALSE)</f>
        <v>#N/A</v>
      </c>
      <c r="K17" s="21" t="e">
        <f t="shared" si="1"/>
        <v>#N/A</v>
      </c>
    </row>
    <row r="18" spans="1:11" x14ac:dyDescent="0.25">
      <c r="A18" s="164"/>
      <c r="B18" s="47" t="str">
        <f>A18&amp;"-"&amp;IF(DAY(Variables!$A$2)&lt;10,0,"")&amp;DAY(Variables!$A$2)</f>
        <v>-16</v>
      </c>
      <c r="C18" s="176"/>
      <c r="D18" s="177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8" s="31" t="e">
        <f>VLOOKUP(B18,'Train Runs'!$A$13:$A$99998,1,FALSE)</f>
        <v>#N/A</v>
      </c>
      <c r="K18" s="21" t="e">
        <f t="shared" si="1"/>
        <v>#N/A</v>
      </c>
    </row>
    <row r="19" spans="1:11" x14ac:dyDescent="0.25">
      <c r="A19" s="164"/>
      <c r="B19" s="47" t="str">
        <f>A19&amp;"-"&amp;IF(DAY(Variables!$A$2)&lt;10,0,"")&amp;DAY(Variables!$A$2)</f>
        <v>-16</v>
      </c>
      <c r="C19" s="176"/>
      <c r="D19" s="177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9" s="31" t="e">
        <f>VLOOKUP(B19,'Train Runs'!$A$13:$A$99998,1,FALSE)</f>
        <v>#N/A</v>
      </c>
      <c r="K19" s="21" t="e">
        <f t="shared" si="1"/>
        <v>#N/A</v>
      </c>
    </row>
    <row r="20" spans="1:11" x14ac:dyDescent="0.25">
      <c r="A20" s="164"/>
      <c r="B20" s="47" t="str">
        <f>A20&amp;"-"&amp;IF(DAY(Variables!$A$2)&lt;10,0,"")&amp;DAY(Variables!$A$2)</f>
        <v>-16</v>
      </c>
      <c r="C20" s="176"/>
      <c r="D20" s="177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20" s="31" t="e">
        <f>VLOOKUP(B20,'Train Runs'!$A$13:$A$99998,1,FALSE)</f>
        <v>#N/A</v>
      </c>
      <c r="K20" s="21" t="e">
        <f t="shared" si="1"/>
        <v>#N/A</v>
      </c>
    </row>
    <row r="21" spans="1:11" x14ac:dyDescent="0.25">
      <c r="C21" s="110"/>
      <c r="D21" s="110"/>
      <c r="E21" s="31"/>
      <c r="F21" s="22"/>
      <c r="G21" s="22"/>
      <c r="H21" s="30"/>
      <c r="I21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42659.034826388888</v>
      </c>
      <c r="B2" s="21" t="s">
        <v>293</v>
      </c>
      <c r="C2" s="21" t="s">
        <v>364</v>
      </c>
      <c r="D2" s="21">
        <v>1800000</v>
      </c>
      <c r="E2" s="21" t="s">
        <v>215</v>
      </c>
      <c r="F2" s="21" t="str">
        <f t="shared" ref="F2:F65" si="0">B2</f>
        <v>rtdc.l.rtdc.4001:itc</v>
      </c>
      <c r="G2" s="8">
        <f t="shared" ref="G2:G65" si="1">A2</f>
        <v>42659.034826388888</v>
      </c>
    </row>
    <row r="3" spans="1:7" x14ac:dyDescent="0.25">
      <c r="A3" s="8">
        <v>42659.039189814815</v>
      </c>
      <c r="B3" s="21" t="s">
        <v>214</v>
      </c>
      <c r="C3" s="21" t="s">
        <v>369</v>
      </c>
      <c r="D3" s="21">
        <v>1300000</v>
      </c>
      <c r="E3" s="21" t="s">
        <v>114</v>
      </c>
      <c r="F3" s="21" t="str">
        <f t="shared" si="0"/>
        <v>rtdc.l.rtdc.4020:itc</v>
      </c>
      <c r="G3" s="8">
        <f t="shared" si="1"/>
        <v>42659.039189814815</v>
      </c>
    </row>
    <row r="4" spans="1:7" x14ac:dyDescent="0.25">
      <c r="A4" s="8">
        <v>42659.05296296296</v>
      </c>
      <c r="B4" s="21" t="s">
        <v>222</v>
      </c>
      <c r="C4" s="21" t="s">
        <v>363</v>
      </c>
      <c r="D4" s="21">
        <v>0</v>
      </c>
      <c r="E4" s="21" t="s">
        <v>370</v>
      </c>
      <c r="F4" s="21" t="str">
        <f t="shared" si="0"/>
        <v>rtdc.l.rtdc.4015:itc</v>
      </c>
      <c r="G4" s="8">
        <f t="shared" si="1"/>
        <v>42659.05296296296</v>
      </c>
    </row>
    <row r="5" spans="1:7" x14ac:dyDescent="0.25">
      <c r="A5" s="8">
        <v>42659.073437500003</v>
      </c>
      <c r="B5" s="21" t="s">
        <v>286</v>
      </c>
      <c r="C5" s="21" t="s">
        <v>371</v>
      </c>
      <c r="D5" s="21">
        <v>1300000</v>
      </c>
      <c r="E5" s="21" t="s">
        <v>114</v>
      </c>
      <c r="F5" s="21" t="str">
        <f t="shared" si="0"/>
        <v>rtdc.l.rtdc.4019:itc</v>
      </c>
      <c r="G5" s="8">
        <f t="shared" si="1"/>
        <v>42659.073437500003</v>
      </c>
    </row>
    <row r="6" spans="1:7" x14ac:dyDescent="0.25">
      <c r="A6" s="8">
        <v>42659.074606481481</v>
      </c>
      <c r="B6" s="21" t="s">
        <v>196</v>
      </c>
      <c r="C6" s="21" t="s">
        <v>372</v>
      </c>
      <c r="D6" s="21">
        <v>1800000</v>
      </c>
      <c r="E6" s="21" t="s">
        <v>215</v>
      </c>
      <c r="F6" s="21" t="str">
        <f t="shared" si="0"/>
        <v>rtdc.l.rtdc.4003:itc</v>
      </c>
      <c r="G6" s="8">
        <f t="shared" si="1"/>
        <v>42659.074606481481</v>
      </c>
    </row>
    <row r="7" spans="1:7" x14ac:dyDescent="0.25">
      <c r="A7" s="8">
        <v>42659.091736111113</v>
      </c>
      <c r="B7" s="21" t="s">
        <v>279</v>
      </c>
      <c r="C7" s="21" t="s">
        <v>373</v>
      </c>
      <c r="D7" s="21">
        <v>2360000</v>
      </c>
      <c r="E7" s="21" t="s">
        <v>225</v>
      </c>
      <c r="F7" s="21" t="str">
        <f t="shared" si="0"/>
        <v>rtdc.l.rtdc.4016:itc</v>
      </c>
      <c r="G7" s="8">
        <f t="shared" si="1"/>
        <v>42659.091736111113</v>
      </c>
    </row>
    <row r="8" spans="1:7" x14ac:dyDescent="0.25">
      <c r="A8" s="8">
        <v>42659.108703703707</v>
      </c>
      <c r="B8" s="21" t="s">
        <v>214</v>
      </c>
      <c r="C8" s="21" t="s">
        <v>374</v>
      </c>
      <c r="D8" s="21">
        <v>1300000</v>
      </c>
      <c r="E8" s="21" t="s">
        <v>114</v>
      </c>
      <c r="F8" s="21" t="str">
        <f t="shared" si="0"/>
        <v>rtdc.l.rtdc.4020:itc</v>
      </c>
      <c r="G8" s="8">
        <f t="shared" si="1"/>
        <v>42659.108703703707</v>
      </c>
    </row>
    <row r="9" spans="1:7" ht="15.75" thickBot="1" x14ac:dyDescent="0.3">
      <c r="A9" s="25">
        <v>42659.118587962963</v>
      </c>
      <c r="B9" s="21" t="s">
        <v>315</v>
      </c>
      <c r="C9" s="21" t="s">
        <v>429</v>
      </c>
      <c r="D9" s="21">
        <v>2030000</v>
      </c>
      <c r="E9" s="21" t="s">
        <v>365</v>
      </c>
      <c r="F9" s="21" t="str">
        <f t="shared" si="0"/>
        <v>rtdc.l.rtdc.4045:itc</v>
      </c>
      <c r="G9" s="8">
        <f t="shared" si="1"/>
        <v>42659.118587962963</v>
      </c>
    </row>
    <row r="10" spans="1:7" x14ac:dyDescent="0.25">
      <c r="A10" s="8">
        <v>42659.132245370369</v>
      </c>
      <c r="B10" s="21" t="s">
        <v>285</v>
      </c>
      <c r="C10" s="21" t="s">
        <v>403</v>
      </c>
      <c r="D10" s="21">
        <v>2030000</v>
      </c>
      <c r="E10" s="21" t="s">
        <v>365</v>
      </c>
      <c r="F10" s="21" t="str">
        <f t="shared" si="0"/>
        <v>rtdc.l.rtdc.4040:itc</v>
      </c>
      <c r="G10" s="8">
        <f t="shared" si="1"/>
        <v>42659.132245370369</v>
      </c>
    </row>
    <row r="11" spans="1:7" x14ac:dyDescent="0.25">
      <c r="A11" s="8">
        <v>42659.142141203702</v>
      </c>
      <c r="B11" s="21" t="s">
        <v>223</v>
      </c>
      <c r="C11" s="21" t="s">
        <v>430</v>
      </c>
      <c r="D11" s="21">
        <v>1260000</v>
      </c>
      <c r="E11" s="21" t="s">
        <v>431</v>
      </c>
      <c r="F11" s="21" t="str">
        <f t="shared" si="0"/>
        <v>rtdc.l.rtdc.4032:itc</v>
      </c>
      <c r="G11" s="8">
        <f t="shared" si="1"/>
        <v>42659.142141203702</v>
      </c>
    </row>
    <row r="12" spans="1:7" x14ac:dyDescent="0.25">
      <c r="A12" s="8">
        <v>42659.153298611112</v>
      </c>
      <c r="B12" s="21" t="s">
        <v>406</v>
      </c>
      <c r="C12" s="21" t="s">
        <v>432</v>
      </c>
      <c r="D12" s="21">
        <v>1260000</v>
      </c>
      <c r="E12" s="21" t="s">
        <v>431</v>
      </c>
      <c r="F12" s="21" t="str">
        <f t="shared" si="0"/>
        <v>rtdc.l.rtdc.4029:itc</v>
      </c>
      <c r="G12" s="8">
        <f t="shared" si="1"/>
        <v>42659.153298611112</v>
      </c>
    </row>
    <row r="13" spans="1:7" x14ac:dyDescent="0.25">
      <c r="A13" s="8">
        <v>42659.161620370367</v>
      </c>
      <c r="B13" s="21" t="s">
        <v>294</v>
      </c>
      <c r="C13" s="21" t="s">
        <v>433</v>
      </c>
      <c r="D13" s="21">
        <v>2010000</v>
      </c>
      <c r="E13" s="21" t="s">
        <v>231</v>
      </c>
      <c r="F13" s="21" t="str">
        <f t="shared" si="0"/>
        <v>rtdc.l.rtdc.4041:itc</v>
      </c>
      <c r="G13" s="8">
        <f t="shared" si="1"/>
        <v>42659.161620370367</v>
      </c>
    </row>
    <row r="14" spans="1:7" x14ac:dyDescent="0.25">
      <c r="A14" s="8">
        <v>42659.167881944442</v>
      </c>
      <c r="B14" s="21" t="s">
        <v>315</v>
      </c>
      <c r="C14" s="21" t="s">
        <v>434</v>
      </c>
      <c r="D14" s="21">
        <v>2030000</v>
      </c>
      <c r="E14" s="21" t="s">
        <v>365</v>
      </c>
      <c r="F14" s="21" t="str">
        <f t="shared" si="0"/>
        <v>rtdc.l.rtdc.4045:itc</v>
      </c>
      <c r="G14" s="8">
        <f t="shared" si="1"/>
        <v>42659.167881944442</v>
      </c>
    </row>
    <row r="15" spans="1:7" x14ac:dyDescent="0.25">
      <c r="A15" s="8">
        <v>42659.172615740739</v>
      </c>
      <c r="B15" s="21" t="s">
        <v>298</v>
      </c>
      <c r="C15" s="21" t="s">
        <v>435</v>
      </c>
      <c r="D15" s="21">
        <v>2010000</v>
      </c>
      <c r="E15" s="21" t="s">
        <v>231</v>
      </c>
      <c r="F15" s="21" t="str">
        <f t="shared" si="0"/>
        <v>rtdc.l.rtdc.4027:itc</v>
      </c>
      <c r="G15" s="8">
        <f t="shared" si="1"/>
        <v>42659.172615740739</v>
      </c>
    </row>
    <row r="16" spans="1:7" x14ac:dyDescent="0.25">
      <c r="A16" s="8">
        <v>42659.176446759258</v>
      </c>
      <c r="B16" s="21" t="s">
        <v>436</v>
      </c>
      <c r="C16" s="21" t="s">
        <v>437</v>
      </c>
      <c r="D16" s="21">
        <v>1990000</v>
      </c>
      <c r="E16" s="21" t="s">
        <v>319</v>
      </c>
      <c r="F16" s="21" t="str">
        <f t="shared" si="0"/>
        <v>rtdc.l.rtdc.4026:itc</v>
      </c>
      <c r="G16" s="8">
        <f t="shared" si="1"/>
        <v>42659.176446759258</v>
      </c>
    </row>
    <row r="17" spans="1:7" x14ac:dyDescent="0.25">
      <c r="A17" s="8">
        <v>42659.181111111109</v>
      </c>
      <c r="B17" s="21" t="s">
        <v>280</v>
      </c>
      <c r="C17" s="21" t="s">
        <v>404</v>
      </c>
      <c r="D17" s="21">
        <v>1310000</v>
      </c>
      <c r="E17" s="21" t="s">
        <v>295</v>
      </c>
      <c r="F17" s="21" t="str">
        <f t="shared" si="0"/>
        <v>rtdc.l.rtdc.4017:itc</v>
      </c>
      <c r="G17" s="8">
        <f t="shared" si="1"/>
        <v>42659.181111111109</v>
      </c>
    </row>
    <row r="18" spans="1:7" x14ac:dyDescent="0.25">
      <c r="A18" s="8">
        <v>42659.186909722222</v>
      </c>
      <c r="B18" s="21" t="s">
        <v>438</v>
      </c>
      <c r="C18" s="21" t="s">
        <v>439</v>
      </c>
      <c r="D18" s="21">
        <v>1990000</v>
      </c>
      <c r="E18" s="21" t="s">
        <v>319</v>
      </c>
      <c r="F18" s="21" t="str">
        <f t="shared" si="0"/>
        <v>rtdc.l.rtdc.4025:itc</v>
      </c>
      <c r="G18" s="8">
        <f t="shared" si="1"/>
        <v>42659.186909722222</v>
      </c>
    </row>
    <row r="19" spans="1:7" x14ac:dyDescent="0.25">
      <c r="A19" s="8">
        <v>42659.189050925925</v>
      </c>
      <c r="B19" s="21" t="s">
        <v>223</v>
      </c>
      <c r="C19" s="21" t="s">
        <v>405</v>
      </c>
      <c r="D19" s="21">
        <v>1260000</v>
      </c>
      <c r="E19" s="21" t="s">
        <v>431</v>
      </c>
      <c r="F19" s="21" t="str">
        <f t="shared" si="0"/>
        <v>rtdc.l.rtdc.4032:itc</v>
      </c>
      <c r="G19" s="8">
        <f t="shared" si="1"/>
        <v>42659.189050925925</v>
      </c>
    </row>
    <row r="20" spans="1:7" x14ac:dyDescent="0.25">
      <c r="A20" s="8">
        <v>42659.197222222225</v>
      </c>
      <c r="B20" s="21" t="s">
        <v>188</v>
      </c>
      <c r="C20" s="21" t="s">
        <v>440</v>
      </c>
      <c r="D20" s="21">
        <v>1310000</v>
      </c>
      <c r="E20" s="21" t="s">
        <v>295</v>
      </c>
      <c r="F20" s="21" t="str">
        <f t="shared" si="0"/>
        <v>rtdc.l.rtdc.4018:itc</v>
      </c>
      <c r="G20" s="8">
        <f t="shared" si="1"/>
        <v>42659.197222222225</v>
      </c>
    </row>
    <row r="21" spans="1:7" x14ac:dyDescent="0.25">
      <c r="A21" s="8">
        <v>42659.204131944447</v>
      </c>
      <c r="B21" s="21" t="s">
        <v>285</v>
      </c>
      <c r="C21" s="21" t="s">
        <v>441</v>
      </c>
      <c r="D21" s="21">
        <v>1760000</v>
      </c>
      <c r="E21" s="21" t="s">
        <v>232</v>
      </c>
      <c r="F21" s="21" t="str">
        <f t="shared" si="0"/>
        <v>rtdc.l.rtdc.4040:itc</v>
      </c>
      <c r="G21" s="8">
        <f t="shared" si="1"/>
        <v>42659.204131944447</v>
      </c>
    </row>
    <row r="22" spans="1:7" x14ac:dyDescent="0.25">
      <c r="A22" s="27">
        <v>42659.20480324074</v>
      </c>
      <c r="B22" s="21" t="s">
        <v>285</v>
      </c>
      <c r="C22" s="21" t="s">
        <v>441</v>
      </c>
      <c r="D22" s="21">
        <v>1760000</v>
      </c>
      <c r="E22" s="21" t="s">
        <v>232</v>
      </c>
      <c r="F22" s="21" t="str">
        <f t="shared" si="0"/>
        <v>rtdc.l.rtdc.4040:itc</v>
      </c>
      <c r="G22" s="8">
        <f t="shared" si="1"/>
        <v>42659.20480324074</v>
      </c>
    </row>
    <row r="23" spans="1:7" x14ac:dyDescent="0.25">
      <c r="A23" s="8">
        <v>42659.205081018517</v>
      </c>
      <c r="B23" s="21" t="s">
        <v>201</v>
      </c>
      <c r="C23" s="21" t="s">
        <v>441</v>
      </c>
      <c r="D23" s="21">
        <v>2030000</v>
      </c>
      <c r="E23" s="21" t="s">
        <v>365</v>
      </c>
      <c r="F23" s="21" t="str">
        <f t="shared" si="0"/>
        <v>rtdc.l.rtdc.4046:itc</v>
      </c>
      <c r="G23" s="8">
        <f t="shared" si="1"/>
        <v>42659.205081018517</v>
      </c>
    </row>
    <row r="24" spans="1:7" x14ac:dyDescent="0.25">
      <c r="A24" s="8">
        <v>42659.206018518518</v>
      </c>
      <c r="B24" s="21" t="s">
        <v>285</v>
      </c>
      <c r="C24" s="21" t="s">
        <v>442</v>
      </c>
      <c r="D24" s="21">
        <v>1760000</v>
      </c>
      <c r="E24" s="21" t="s">
        <v>232</v>
      </c>
      <c r="F24" s="21" t="str">
        <f t="shared" si="0"/>
        <v>rtdc.l.rtdc.4040:itc</v>
      </c>
      <c r="G24" s="8">
        <f t="shared" si="1"/>
        <v>42659.206018518518</v>
      </c>
    </row>
    <row r="25" spans="1:7" x14ac:dyDescent="0.25">
      <c r="A25" s="8">
        <v>42659.20884259259</v>
      </c>
      <c r="B25" s="21" t="s">
        <v>294</v>
      </c>
      <c r="C25" s="21" t="s">
        <v>443</v>
      </c>
      <c r="D25" s="21">
        <v>2010000</v>
      </c>
      <c r="E25" s="21" t="s">
        <v>231</v>
      </c>
      <c r="F25" s="21" t="str">
        <f t="shared" si="0"/>
        <v>rtdc.l.rtdc.4041:itc</v>
      </c>
      <c r="G25" s="8">
        <f t="shared" si="1"/>
        <v>42659.20884259259</v>
      </c>
    </row>
    <row r="26" spans="1:7" x14ac:dyDescent="0.25">
      <c r="A26" s="8">
        <v>42659.220231481479</v>
      </c>
      <c r="B26" s="21" t="s">
        <v>199</v>
      </c>
      <c r="C26" s="21" t="s">
        <v>444</v>
      </c>
      <c r="D26" s="21">
        <v>1110000</v>
      </c>
      <c r="E26" s="21" t="s">
        <v>445</v>
      </c>
      <c r="F26" s="21" t="str">
        <f t="shared" si="0"/>
        <v>rtdc.l.rtdc.4044:itc</v>
      </c>
      <c r="G26" s="8">
        <f t="shared" si="1"/>
        <v>42659.220231481479</v>
      </c>
    </row>
    <row r="27" spans="1:7" x14ac:dyDescent="0.25">
      <c r="A27" s="8">
        <v>42659.220520833333</v>
      </c>
      <c r="B27" s="21" t="s">
        <v>436</v>
      </c>
      <c r="C27" s="21" t="s">
        <v>446</v>
      </c>
      <c r="D27" s="21">
        <v>1990000</v>
      </c>
      <c r="E27" s="21" t="s">
        <v>319</v>
      </c>
      <c r="F27" s="21" t="str">
        <f t="shared" si="0"/>
        <v>rtdc.l.rtdc.4026:itc</v>
      </c>
      <c r="G27" s="8">
        <f t="shared" si="1"/>
        <v>42659.220520833333</v>
      </c>
    </row>
    <row r="28" spans="1:7" x14ac:dyDescent="0.25">
      <c r="A28" s="8">
        <v>42659.22483796296</v>
      </c>
      <c r="B28" s="21" t="s">
        <v>199</v>
      </c>
      <c r="C28" s="21" t="s">
        <v>444</v>
      </c>
      <c r="D28" s="21">
        <v>1110000</v>
      </c>
      <c r="E28" s="21" t="s">
        <v>445</v>
      </c>
      <c r="F28" s="21" t="str">
        <f t="shared" si="0"/>
        <v>rtdc.l.rtdc.4044:itc</v>
      </c>
      <c r="G28" s="8">
        <f t="shared" si="1"/>
        <v>42659.22483796296</v>
      </c>
    </row>
    <row r="29" spans="1:7" x14ac:dyDescent="0.25">
      <c r="A29" s="8">
        <v>42659.225740740738</v>
      </c>
      <c r="B29" s="21" t="s">
        <v>406</v>
      </c>
      <c r="C29" s="21" t="s">
        <v>407</v>
      </c>
      <c r="D29" s="21">
        <v>1830000</v>
      </c>
      <c r="E29" s="21" t="s">
        <v>366</v>
      </c>
      <c r="F29" s="21" t="str">
        <f t="shared" si="0"/>
        <v>rtdc.l.rtdc.4029:itc</v>
      </c>
      <c r="G29" s="8">
        <f t="shared" si="1"/>
        <v>42659.225740740738</v>
      </c>
    </row>
    <row r="30" spans="1:7" x14ac:dyDescent="0.25">
      <c r="A30" s="8">
        <v>42659.232488425929</v>
      </c>
      <c r="B30" s="21" t="s">
        <v>280</v>
      </c>
      <c r="C30" s="21" t="s">
        <v>447</v>
      </c>
      <c r="D30" s="21">
        <v>1310000</v>
      </c>
      <c r="E30" s="21" t="s">
        <v>295</v>
      </c>
      <c r="F30" s="21" t="str">
        <f t="shared" si="0"/>
        <v>rtdc.l.rtdc.4017:itc</v>
      </c>
      <c r="G30" s="8">
        <f t="shared" si="1"/>
        <v>42659.232488425929</v>
      </c>
    </row>
    <row r="31" spans="1:7" x14ac:dyDescent="0.25">
      <c r="A31" s="8">
        <v>42659.234699074077</v>
      </c>
      <c r="B31" s="21" t="s">
        <v>224</v>
      </c>
      <c r="C31" s="21" t="s">
        <v>408</v>
      </c>
      <c r="D31" s="21">
        <v>1260000</v>
      </c>
      <c r="E31" s="21" t="s">
        <v>431</v>
      </c>
      <c r="F31" s="21" t="str">
        <f t="shared" si="0"/>
        <v>rtdc.l.rtdc.4031:itc</v>
      </c>
      <c r="G31" s="8">
        <f t="shared" si="1"/>
        <v>42659.234699074077</v>
      </c>
    </row>
    <row r="32" spans="1:7" x14ac:dyDescent="0.25">
      <c r="A32" s="8">
        <v>42659.235914351855</v>
      </c>
      <c r="B32" s="21" t="s">
        <v>217</v>
      </c>
      <c r="C32" s="21" t="s">
        <v>448</v>
      </c>
      <c r="D32" s="21">
        <v>1110000</v>
      </c>
      <c r="E32" s="21" t="s">
        <v>445</v>
      </c>
      <c r="F32" s="21" t="str">
        <f t="shared" si="0"/>
        <v>rtdc.l.rtdc.4043:itc</v>
      </c>
      <c r="G32" s="8">
        <f t="shared" si="1"/>
        <v>42659.235914351855</v>
      </c>
    </row>
    <row r="33" spans="1:7" x14ac:dyDescent="0.25">
      <c r="A33" s="8">
        <v>42659.242939814816</v>
      </c>
      <c r="B33" s="21" t="s">
        <v>220</v>
      </c>
      <c r="C33" s="21" t="s">
        <v>449</v>
      </c>
      <c r="D33" s="21">
        <v>1760000</v>
      </c>
      <c r="E33" s="21" t="s">
        <v>232</v>
      </c>
      <c r="F33" s="21" t="str">
        <f t="shared" si="0"/>
        <v>rtdc.l.rtdc.4039:itc</v>
      </c>
      <c r="G33" s="8">
        <f t="shared" si="1"/>
        <v>42659.242939814816</v>
      </c>
    </row>
    <row r="34" spans="1:7" x14ac:dyDescent="0.25">
      <c r="A34" s="8">
        <v>42659.247499999998</v>
      </c>
      <c r="B34" s="21" t="s">
        <v>298</v>
      </c>
      <c r="C34" s="21" t="s">
        <v>450</v>
      </c>
      <c r="D34" s="21">
        <v>2010000</v>
      </c>
      <c r="E34" s="21" t="s">
        <v>231</v>
      </c>
      <c r="F34" s="21" t="str">
        <f t="shared" si="0"/>
        <v>rtdc.l.rtdc.4027:itc</v>
      </c>
      <c r="G34" s="8">
        <f t="shared" si="1"/>
        <v>42659.247499999998</v>
      </c>
    </row>
    <row r="35" spans="1:7" x14ac:dyDescent="0.25">
      <c r="A35" s="8">
        <v>42659.250775462962</v>
      </c>
      <c r="B35" s="21" t="s">
        <v>315</v>
      </c>
      <c r="C35" s="21" t="s">
        <v>451</v>
      </c>
      <c r="D35" s="21">
        <v>2030000</v>
      </c>
      <c r="E35" s="21" t="s">
        <v>365</v>
      </c>
      <c r="F35" s="21" t="str">
        <f t="shared" si="0"/>
        <v>rtdc.l.rtdc.4045:itc</v>
      </c>
      <c r="G35" s="8">
        <f t="shared" si="1"/>
        <v>42659.250775462962</v>
      </c>
    </row>
    <row r="36" spans="1:7" x14ac:dyDescent="0.25">
      <c r="A36" s="8">
        <v>42659.258564814816</v>
      </c>
      <c r="B36" s="21" t="s">
        <v>438</v>
      </c>
      <c r="C36" s="21" t="s">
        <v>452</v>
      </c>
      <c r="D36" s="21">
        <v>1990000</v>
      </c>
      <c r="E36" s="21" t="s">
        <v>319</v>
      </c>
      <c r="F36" s="21" t="str">
        <f t="shared" si="0"/>
        <v>rtdc.l.rtdc.4025:itc</v>
      </c>
      <c r="G36" s="8">
        <f t="shared" si="1"/>
        <v>42659.258564814816</v>
      </c>
    </row>
    <row r="37" spans="1:7" x14ac:dyDescent="0.25">
      <c r="A37" s="8">
        <v>42659.262812499997</v>
      </c>
      <c r="B37" s="21" t="s">
        <v>199</v>
      </c>
      <c r="C37" s="21" t="s">
        <v>453</v>
      </c>
      <c r="D37" s="21">
        <v>1110000</v>
      </c>
      <c r="E37" s="21" t="s">
        <v>445</v>
      </c>
      <c r="F37" s="21" t="str">
        <f t="shared" si="0"/>
        <v>rtdc.l.rtdc.4044:itc</v>
      </c>
      <c r="G37" s="8">
        <f t="shared" si="1"/>
        <v>42659.262812499997</v>
      </c>
    </row>
    <row r="38" spans="1:7" x14ac:dyDescent="0.25">
      <c r="A38" s="8">
        <v>42659.266956018517</v>
      </c>
      <c r="B38" s="21" t="s">
        <v>454</v>
      </c>
      <c r="C38" s="21" t="s">
        <v>455</v>
      </c>
      <c r="D38" s="21">
        <v>1830000</v>
      </c>
      <c r="E38" s="21" t="s">
        <v>366</v>
      </c>
      <c r="F38" s="21" t="str">
        <f t="shared" si="0"/>
        <v>rtdc.l.rtdc.4030:itc</v>
      </c>
      <c r="G38" s="8">
        <f t="shared" si="1"/>
        <v>42659.266956018517</v>
      </c>
    </row>
    <row r="39" spans="1:7" x14ac:dyDescent="0.25">
      <c r="A39" s="8">
        <v>42659.267835648148</v>
      </c>
      <c r="B39" s="21" t="s">
        <v>454</v>
      </c>
      <c r="C39" s="21" t="s">
        <v>455</v>
      </c>
      <c r="D39" s="21">
        <v>1830000</v>
      </c>
      <c r="E39" s="21" t="s">
        <v>366</v>
      </c>
      <c r="F39" s="21" t="str">
        <f t="shared" si="0"/>
        <v>rtdc.l.rtdc.4030:itc</v>
      </c>
      <c r="G39" s="8">
        <f t="shared" si="1"/>
        <v>42659.267835648148</v>
      </c>
    </row>
    <row r="40" spans="1:7" x14ac:dyDescent="0.25">
      <c r="A40" s="8">
        <v>42659.26971064815</v>
      </c>
      <c r="B40" s="26" t="s">
        <v>188</v>
      </c>
      <c r="C40" s="21" t="s">
        <v>456</v>
      </c>
      <c r="D40" s="21">
        <v>1310000</v>
      </c>
      <c r="E40" s="21" t="s">
        <v>295</v>
      </c>
      <c r="F40" s="21" t="str">
        <f t="shared" si="0"/>
        <v>rtdc.l.rtdc.4018:itc</v>
      </c>
      <c r="G40" s="8">
        <f t="shared" si="1"/>
        <v>42659.26971064815</v>
      </c>
    </row>
    <row r="41" spans="1:7" x14ac:dyDescent="0.25">
      <c r="A41" s="8">
        <v>42659.272789351853</v>
      </c>
      <c r="B41" s="21" t="s">
        <v>223</v>
      </c>
      <c r="C41" s="21" t="s">
        <v>410</v>
      </c>
      <c r="D41" s="21">
        <v>1260000</v>
      </c>
      <c r="E41" s="21" t="s">
        <v>431</v>
      </c>
      <c r="F41" s="21" t="str">
        <f t="shared" si="0"/>
        <v>rtdc.l.rtdc.4032:itc</v>
      </c>
      <c r="G41" s="8">
        <f t="shared" si="1"/>
        <v>42659.272789351853</v>
      </c>
    </row>
    <row r="42" spans="1:7" x14ac:dyDescent="0.25">
      <c r="A42" s="8">
        <v>42659.276250000003</v>
      </c>
      <c r="B42" s="21" t="s">
        <v>217</v>
      </c>
      <c r="C42" s="21" t="s">
        <v>457</v>
      </c>
      <c r="D42" s="21">
        <v>1110000</v>
      </c>
      <c r="E42" s="21" t="s">
        <v>445</v>
      </c>
      <c r="F42" s="21" t="str">
        <f t="shared" si="0"/>
        <v>rtdc.l.rtdc.4043:itc</v>
      </c>
      <c r="G42" s="8">
        <f t="shared" si="1"/>
        <v>42659.276250000003</v>
      </c>
    </row>
    <row r="43" spans="1:7" x14ac:dyDescent="0.25">
      <c r="A43" s="8">
        <v>42659.277754629627</v>
      </c>
      <c r="B43" s="21" t="s">
        <v>285</v>
      </c>
      <c r="C43" s="21" t="s">
        <v>458</v>
      </c>
      <c r="D43" s="21">
        <v>1760000</v>
      </c>
      <c r="E43" s="21" t="s">
        <v>232</v>
      </c>
      <c r="F43" s="21" t="str">
        <f t="shared" si="0"/>
        <v>rtdc.l.rtdc.4040:itc</v>
      </c>
      <c r="G43" s="8">
        <f t="shared" si="1"/>
        <v>42659.277754629627</v>
      </c>
    </row>
    <row r="44" spans="1:7" x14ac:dyDescent="0.25">
      <c r="A44" s="8">
        <v>42659.284502314818</v>
      </c>
      <c r="B44" s="21" t="s">
        <v>287</v>
      </c>
      <c r="C44" s="21" t="s">
        <v>409</v>
      </c>
      <c r="D44" s="21">
        <v>2010000</v>
      </c>
      <c r="E44" s="21" t="s">
        <v>231</v>
      </c>
      <c r="F44" s="21" t="str">
        <f t="shared" si="0"/>
        <v>rtdc.l.rtdc.4028:itc</v>
      </c>
      <c r="G44" s="8">
        <f t="shared" si="1"/>
        <v>42659.284502314818</v>
      </c>
    </row>
    <row r="45" spans="1:7" x14ac:dyDescent="0.25">
      <c r="A45" s="8">
        <v>42659.285949074074</v>
      </c>
      <c r="B45" s="21" t="s">
        <v>201</v>
      </c>
      <c r="C45" s="21" t="s">
        <v>459</v>
      </c>
      <c r="D45" s="21">
        <v>2030000</v>
      </c>
      <c r="E45" s="21" t="s">
        <v>365</v>
      </c>
      <c r="F45" s="21" t="str">
        <f t="shared" si="0"/>
        <v>rtdc.l.rtdc.4046:itc</v>
      </c>
      <c r="G45" s="8">
        <f t="shared" si="1"/>
        <v>42659.285949074074</v>
      </c>
    </row>
    <row r="46" spans="1:7" x14ac:dyDescent="0.25">
      <c r="A46" s="8">
        <v>42659.294328703705</v>
      </c>
      <c r="B46" s="21" t="s">
        <v>436</v>
      </c>
      <c r="C46" s="21" t="s">
        <v>460</v>
      </c>
      <c r="D46" s="21">
        <v>1990000</v>
      </c>
      <c r="E46" s="21" t="s">
        <v>319</v>
      </c>
      <c r="F46" s="21" t="str">
        <f t="shared" si="0"/>
        <v>rtdc.l.rtdc.4026:itc</v>
      </c>
      <c r="G46" s="8">
        <f t="shared" si="1"/>
        <v>42659.294328703705</v>
      </c>
    </row>
    <row r="47" spans="1:7" x14ac:dyDescent="0.25">
      <c r="A47" s="8">
        <v>42659.296898148146</v>
      </c>
      <c r="B47" s="21" t="s">
        <v>406</v>
      </c>
      <c r="C47" s="21" t="s">
        <v>461</v>
      </c>
      <c r="D47" s="21">
        <v>1830000</v>
      </c>
      <c r="E47" s="21" t="s">
        <v>366</v>
      </c>
      <c r="F47" s="21" t="str">
        <f t="shared" si="0"/>
        <v>rtdc.l.rtdc.4029:itc</v>
      </c>
      <c r="G47" s="8">
        <f t="shared" si="1"/>
        <v>42659.296898148146</v>
      </c>
    </row>
    <row r="48" spans="1:7" x14ac:dyDescent="0.25">
      <c r="A48" s="8">
        <v>42659.305636574078</v>
      </c>
      <c r="B48" s="21" t="s">
        <v>199</v>
      </c>
      <c r="C48" s="21" t="s">
        <v>462</v>
      </c>
      <c r="D48" s="21">
        <v>1110000</v>
      </c>
      <c r="E48" s="21" t="s">
        <v>445</v>
      </c>
      <c r="F48" s="21" t="str">
        <f t="shared" si="0"/>
        <v>rtdc.l.rtdc.4044:itc</v>
      </c>
      <c r="G48" s="8">
        <f t="shared" si="1"/>
        <v>42659.305636574078</v>
      </c>
    </row>
    <row r="49" spans="1:7" x14ac:dyDescent="0.25">
      <c r="A49" s="8">
        <v>42659.308067129627</v>
      </c>
      <c r="B49" s="21" t="s">
        <v>280</v>
      </c>
      <c r="C49" s="21" t="s">
        <v>463</v>
      </c>
      <c r="D49" s="21">
        <v>1310000</v>
      </c>
      <c r="E49" s="21" t="s">
        <v>295</v>
      </c>
      <c r="F49" s="21" t="str">
        <f t="shared" si="0"/>
        <v>rtdc.l.rtdc.4017:itc</v>
      </c>
      <c r="G49" s="8">
        <f t="shared" si="1"/>
        <v>42659.308067129627</v>
      </c>
    </row>
    <row r="50" spans="1:7" x14ac:dyDescent="0.25">
      <c r="A50" s="8">
        <v>42659.309270833335</v>
      </c>
      <c r="B50" s="21" t="s">
        <v>224</v>
      </c>
      <c r="C50" s="21" t="s">
        <v>464</v>
      </c>
      <c r="D50" s="21">
        <v>1260000</v>
      </c>
      <c r="E50" s="21" t="s">
        <v>431</v>
      </c>
      <c r="F50" s="21" t="str">
        <f t="shared" si="0"/>
        <v>rtdc.l.rtdc.4031:itc</v>
      </c>
      <c r="G50" s="8">
        <f t="shared" si="1"/>
        <v>42659.309270833335</v>
      </c>
    </row>
    <row r="51" spans="1:7" x14ac:dyDescent="0.25">
      <c r="A51" s="8">
        <v>42659.317442129628</v>
      </c>
      <c r="B51" s="21" t="s">
        <v>220</v>
      </c>
      <c r="C51" s="21" t="s">
        <v>411</v>
      </c>
      <c r="D51" s="21">
        <v>1760000</v>
      </c>
      <c r="E51" s="21" t="s">
        <v>232</v>
      </c>
      <c r="F51" s="21" t="str">
        <f t="shared" si="0"/>
        <v>rtdc.l.rtdc.4039:itc</v>
      </c>
      <c r="G51" s="8">
        <f t="shared" si="1"/>
        <v>42659.317442129628</v>
      </c>
    </row>
    <row r="52" spans="1:7" x14ac:dyDescent="0.25">
      <c r="A52" s="8">
        <v>42659.317939814813</v>
      </c>
      <c r="B52" s="21" t="s">
        <v>217</v>
      </c>
      <c r="C52" s="21" t="s">
        <v>465</v>
      </c>
      <c r="D52" s="21">
        <v>1110000</v>
      </c>
      <c r="E52" s="21" t="s">
        <v>445</v>
      </c>
      <c r="F52" s="21" t="str">
        <f t="shared" si="0"/>
        <v>rtdc.l.rtdc.4043:itc</v>
      </c>
      <c r="G52" s="8">
        <f t="shared" si="1"/>
        <v>42659.317939814813</v>
      </c>
    </row>
    <row r="53" spans="1:7" x14ac:dyDescent="0.25">
      <c r="A53" s="8">
        <v>42659.318414351852</v>
      </c>
      <c r="B53" s="21" t="s">
        <v>298</v>
      </c>
      <c r="C53" s="21" t="s">
        <v>466</v>
      </c>
      <c r="D53" s="21">
        <v>2010000</v>
      </c>
      <c r="E53" s="21" t="s">
        <v>231</v>
      </c>
      <c r="F53" s="21" t="str">
        <f t="shared" si="0"/>
        <v>rtdc.l.rtdc.4027:itc</v>
      </c>
      <c r="G53" s="8">
        <f t="shared" si="1"/>
        <v>42659.318414351852</v>
      </c>
    </row>
    <row r="54" spans="1:7" x14ac:dyDescent="0.25">
      <c r="A54" s="8">
        <v>42659.323217592595</v>
      </c>
      <c r="B54" s="21" t="s">
        <v>315</v>
      </c>
      <c r="C54" s="21" t="s">
        <v>467</v>
      </c>
      <c r="D54" s="21">
        <v>2030000</v>
      </c>
      <c r="E54" s="21" t="s">
        <v>365</v>
      </c>
      <c r="F54" s="21" t="str">
        <f t="shared" si="0"/>
        <v>rtdc.l.rtdc.4045:itc</v>
      </c>
      <c r="G54" s="8">
        <f t="shared" si="1"/>
        <v>42659.323217592595</v>
      </c>
    </row>
    <row r="55" spans="1:7" x14ac:dyDescent="0.25">
      <c r="A55" s="8">
        <v>42659.327546296299</v>
      </c>
      <c r="B55" s="21" t="s">
        <v>454</v>
      </c>
      <c r="C55" s="21" t="s">
        <v>468</v>
      </c>
      <c r="D55" s="21">
        <v>1830000</v>
      </c>
      <c r="E55" s="21" t="s">
        <v>366</v>
      </c>
      <c r="F55" s="21" t="str">
        <f t="shared" si="0"/>
        <v>rtdc.l.rtdc.4030:itc</v>
      </c>
      <c r="G55" s="8">
        <f t="shared" si="1"/>
        <v>42659.327546296299</v>
      </c>
    </row>
    <row r="56" spans="1:7" x14ac:dyDescent="0.25">
      <c r="A56" s="8">
        <v>42659.330659722225</v>
      </c>
      <c r="B56" s="21" t="s">
        <v>438</v>
      </c>
      <c r="C56" s="21" t="s">
        <v>469</v>
      </c>
      <c r="D56" s="21">
        <v>1990000</v>
      </c>
      <c r="E56" s="21" t="s">
        <v>319</v>
      </c>
      <c r="F56" s="21" t="str">
        <f t="shared" si="0"/>
        <v>rtdc.l.rtdc.4025:itc</v>
      </c>
      <c r="G56" s="8">
        <f t="shared" si="1"/>
        <v>42659.330659722225</v>
      </c>
    </row>
    <row r="57" spans="1:7" x14ac:dyDescent="0.25">
      <c r="A57" s="8">
        <v>42659.34238425926</v>
      </c>
      <c r="B57" s="21" t="s">
        <v>188</v>
      </c>
      <c r="C57" s="21" t="s">
        <v>470</v>
      </c>
      <c r="D57" s="21">
        <v>1310000</v>
      </c>
      <c r="E57" s="21" t="s">
        <v>295</v>
      </c>
      <c r="F57" s="21" t="str">
        <f t="shared" si="0"/>
        <v>rtdc.l.rtdc.4018:itc</v>
      </c>
      <c r="G57" s="8">
        <f t="shared" si="1"/>
        <v>42659.34238425926</v>
      </c>
    </row>
    <row r="58" spans="1:7" x14ac:dyDescent="0.25">
      <c r="A58" s="8">
        <v>42659.345520833333</v>
      </c>
      <c r="B58" s="21" t="s">
        <v>223</v>
      </c>
      <c r="C58" s="21" t="s">
        <v>471</v>
      </c>
      <c r="D58" s="21">
        <v>1260000</v>
      </c>
      <c r="E58" s="21" t="s">
        <v>431</v>
      </c>
      <c r="F58" s="21" t="str">
        <f t="shared" si="0"/>
        <v>rtdc.l.rtdc.4032:itc</v>
      </c>
      <c r="G58" s="8">
        <f t="shared" si="1"/>
        <v>42659.345520833333</v>
      </c>
    </row>
    <row r="59" spans="1:7" x14ac:dyDescent="0.25">
      <c r="A59" s="8">
        <v>42659.347581018519</v>
      </c>
      <c r="B59" s="21" t="s">
        <v>199</v>
      </c>
      <c r="C59" s="21" t="s">
        <v>472</v>
      </c>
      <c r="D59" s="21">
        <v>1110000</v>
      </c>
      <c r="E59" s="21" t="s">
        <v>445</v>
      </c>
      <c r="F59" s="21" t="str">
        <f t="shared" si="0"/>
        <v>rtdc.l.rtdc.4044:itc</v>
      </c>
      <c r="G59" s="8">
        <f t="shared" si="1"/>
        <v>42659.347581018519</v>
      </c>
    </row>
    <row r="60" spans="1:7" x14ac:dyDescent="0.25">
      <c r="A60" s="8">
        <v>42659.350486111114</v>
      </c>
      <c r="B60" s="21" t="s">
        <v>285</v>
      </c>
      <c r="C60" s="21" t="s">
        <v>473</v>
      </c>
      <c r="D60" s="21">
        <v>1760000</v>
      </c>
      <c r="E60" s="21" t="s">
        <v>232</v>
      </c>
      <c r="F60" s="21" t="str">
        <f t="shared" si="0"/>
        <v>rtdc.l.rtdc.4040:itc</v>
      </c>
      <c r="G60" s="8">
        <f t="shared" si="1"/>
        <v>42659.350486111114</v>
      </c>
    </row>
    <row r="61" spans="1:7" x14ac:dyDescent="0.25">
      <c r="A61" s="8">
        <v>42659.353831018518</v>
      </c>
      <c r="B61" s="21" t="s">
        <v>287</v>
      </c>
      <c r="C61" s="21" t="s">
        <v>474</v>
      </c>
      <c r="D61" s="21">
        <v>2010000</v>
      </c>
      <c r="E61" s="21" t="s">
        <v>231</v>
      </c>
      <c r="F61" s="21" t="str">
        <f t="shared" si="0"/>
        <v>rtdc.l.rtdc.4028:itc</v>
      </c>
      <c r="G61" s="8">
        <f t="shared" si="1"/>
        <v>42659.353831018518</v>
      </c>
    </row>
    <row r="62" spans="1:7" x14ac:dyDescent="0.25">
      <c r="A62" s="8">
        <v>42659.360208333332</v>
      </c>
      <c r="B62" s="21" t="s">
        <v>217</v>
      </c>
      <c r="C62" s="21" t="s">
        <v>475</v>
      </c>
      <c r="D62" s="21">
        <v>1110000</v>
      </c>
      <c r="E62" s="21" t="s">
        <v>445</v>
      </c>
      <c r="F62" s="21" t="str">
        <f t="shared" si="0"/>
        <v>rtdc.l.rtdc.4043:itc</v>
      </c>
      <c r="G62" s="8">
        <f t="shared" si="1"/>
        <v>42659.360208333332</v>
      </c>
    </row>
    <row r="63" spans="1:7" x14ac:dyDescent="0.25">
      <c r="A63" s="8">
        <v>42659.361064814817</v>
      </c>
      <c r="B63" s="21" t="s">
        <v>201</v>
      </c>
      <c r="C63" s="21" t="s">
        <v>412</v>
      </c>
      <c r="D63" s="21">
        <v>2030000</v>
      </c>
      <c r="E63" s="21" t="s">
        <v>365</v>
      </c>
      <c r="F63" s="21" t="str">
        <f t="shared" si="0"/>
        <v>rtdc.l.rtdc.4046:itc</v>
      </c>
      <c r="G63" s="8">
        <f t="shared" si="1"/>
        <v>42659.361064814817</v>
      </c>
    </row>
    <row r="64" spans="1:7" x14ac:dyDescent="0.25">
      <c r="A64" s="27">
        <v>42659.369571759256</v>
      </c>
      <c r="B64" s="21" t="s">
        <v>436</v>
      </c>
      <c r="C64" s="21" t="s">
        <v>476</v>
      </c>
      <c r="D64" s="21">
        <v>1990000</v>
      </c>
      <c r="E64" s="21" t="s">
        <v>319</v>
      </c>
      <c r="F64" s="21" t="str">
        <f t="shared" si="0"/>
        <v>rtdc.l.rtdc.4026:itc</v>
      </c>
      <c r="G64" s="8">
        <f t="shared" si="1"/>
        <v>42659.369571759256</v>
      </c>
    </row>
    <row r="65" spans="1:7" x14ac:dyDescent="0.25">
      <c r="A65" s="8">
        <v>42659.370243055557</v>
      </c>
      <c r="B65" s="21" t="s">
        <v>406</v>
      </c>
      <c r="C65" s="21" t="s">
        <v>477</v>
      </c>
      <c r="D65" s="21">
        <v>1830000</v>
      </c>
      <c r="E65" s="21" t="s">
        <v>366</v>
      </c>
      <c r="F65" s="21" t="str">
        <f t="shared" si="0"/>
        <v>rtdc.l.rtdc.4029:itc</v>
      </c>
      <c r="G65" s="8">
        <f t="shared" si="1"/>
        <v>42659.370243055557</v>
      </c>
    </row>
    <row r="66" spans="1:7" x14ac:dyDescent="0.25">
      <c r="A66" s="8">
        <v>42659.373877314814</v>
      </c>
      <c r="B66" s="21" t="s">
        <v>199</v>
      </c>
      <c r="C66" s="21" t="s">
        <v>475</v>
      </c>
      <c r="D66" s="21">
        <v>1110000</v>
      </c>
      <c r="E66" s="21" t="s">
        <v>445</v>
      </c>
      <c r="F66" s="21" t="str">
        <f t="shared" ref="F66:F129" si="2">B66</f>
        <v>rtdc.l.rtdc.4044:itc</v>
      </c>
      <c r="G66" s="8">
        <f t="shared" ref="G66:G129" si="3">A66</f>
        <v>42659.373877314814</v>
      </c>
    </row>
    <row r="67" spans="1:7" x14ac:dyDescent="0.25">
      <c r="A67" s="8">
        <v>42659.374432870369</v>
      </c>
      <c r="B67" s="21" t="s">
        <v>199</v>
      </c>
      <c r="C67" s="21" t="s">
        <v>478</v>
      </c>
      <c r="D67" s="21">
        <v>1110000</v>
      </c>
      <c r="E67" s="21" t="s">
        <v>445</v>
      </c>
      <c r="F67" s="21" t="str">
        <f t="shared" si="2"/>
        <v>rtdc.l.rtdc.4044:itc</v>
      </c>
      <c r="G67" s="8">
        <f t="shared" si="3"/>
        <v>42659.374432870369</v>
      </c>
    </row>
    <row r="68" spans="1:7" x14ac:dyDescent="0.25">
      <c r="A68" s="8">
        <v>42659.381562499999</v>
      </c>
      <c r="B68" s="21" t="s">
        <v>280</v>
      </c>
      <c r="C68" s="21" t="s">
        <v>479</v>
      </c>
      <c r="D68" s="21">
        <v>1310000</v>
      </c>
      <c r="E68" s="21" t="s">
        <v>295</v>
      </c>
      <c r="F68" s="21" t="str">
        <f t="shared" si="2"/>
        <v>rtdc.l.rtdc.4017:itc</v>
      </c>
      <c r="G68" s="8">
        <f t="shared" si="3"/>
        <v>42659.381562499999</v>
      </c>
    </row>
    <row r="69" spans="1:7" x14ac:dyDescent="0.25">
      <c r="A69" s="8">
        <v>42659.382314814815</v>
      </c>
      <c r="B69" s="21" t="s">
        <v>224</v>
      </c>
      <c r="C69" s="21" t="s">
        <v>480</v>
      </c>
      <c r="D69" s="21">
        <v>1260000</v>
      </c>
      <c r="E69" s="21" t="s">
        <v>431</v>
      </c>
      <c r="F69" s="21" t="str">
        <f t="shared" si="2"/>
        <v>rtdc.l.rtdc.4031:itc</v>
      </c>
      <c r="G69" s="8">
        <f t="shared" si="3"/>
        <v>42659.382314814815</v>
      </c>
    </row>
    <row r="70" spans="1:7" x14ac:dyDescent="0.25">
      <c r="A70" s="8">
        <v>42659.389699074076</v>
      </c>
      <c r="B70" s="21" t="s">
        <v>220</v>
      </c>
      <c r="C70" s="21" t="s">
        <v>413</v>
      </c>
      <c r="D70" s="21">
        <v>1760000</v>
      </c>
      <c r="E70" s="21" t="s">
        <v>232</v>
      </c>
      <c r="F70" s="21" t="str">
        <f t="shared" si="2"/>
        <v>rtdc.l.rtdc.4039:itc</v>
      </c>
      <c r="G70" s="8">
        <f t="shared" si="3"/>
        <v>42659.389699074076</v>
      </c>
    </row>
    <row r="71" spans="1:7" x14ac:dyDescent="0.25">
      <c r="A71" s="8">
        <v>42659.391180555554</v>
      </c>
      <c r="B71" s="21" t="s">
        <v>298</v>
      </c>
      <c r="C71" s="21" t="s">
        <v>481</v>
      </c>
      <c r="D71" s="21">
        <v>2010000</v>
      </c>
      <c r="E71" s="21" t="s">
        <v>231</v>
      </c>
      <c r="F71" s="21" t="str">
        <f t="shared" si="2"/>
        <v>rtdc.l.rtdc.4027:itc</v>
      </c>
      <c r="G71" s="8">
        <f t="shared" si="3"/>
        <v>42659.391180555554</v>
      </c>
    </row>
    <row r="72" spans="1:7" x14ac:dyDescent="0.25">
      <c r="A72" s="8">
        <v>42659.400937500002</v>
      </c>
      <c r="B72" s="21" t="s">
        <v>217</v>
      </c>
      <c r="C72" s="21" t="s">
        <v>482</v>
      </c>
      <c r="D72" s="21">
        <v>1110000</v>
      </c>
      <c r="E72" s="21" t="s">
        <v>445</v>
      </c>
      <c r="F72" s="21" t="str">
        <f t="shared" si="2"/>
        <v>rtdc.l.rtdc.4043:itc</v>
      </c>
      <c r="G72" s="8">
        <f t="shared" si="3"/>
        <v>42659.400937500002</v>
      </c>
    </row>
    <row r="73" spans="1:7" x14ac:dyDescent="0.25">
      <c r="A73" s="8">
        <v>42659.401504629626</v>
      </c>
      <c r="B73" s="21" t="s">
        <v>315</v>
      </c>
      <c r="C73" s="21" t="s">
        <v>483</v>
      </c>
      <c r="D73" s="21">
        <v>2030000</v>
      </c>
      <c r="E73" s="21" t="s">
        <v>365</v>
      </c>
      <c r="F73" s="21" t="str">
        <f t="shared" si="2"/>
        <v>rtdc.l.rtdc.4045:itc</v>
      </c>
      <c r="G73" s="8">
        <f t="shared" si="3"/>
        <v>42659.401504629626</v>
      </c>
    </row>
    <row r="74" spans="1:7" x14ac:dyDescent="0.25">
      <c r="A74" s="8">
        <v>42659.403923611113</v>
      </c>
      <c r="B74" s="21" t="s">
        <v>454</v>
      </c>
      <c r="C74" s="21" t="s">
        <v>484</v>
      </c>
      <c r="D74" s="21">
        <v>1830000</v>
      </c>
      <c r="E74" s="21" t="s">
        <v>366</v>
      </c>
      <c r="F74" s="21" t="str">
        <f t="shared" si="2"/>
        <v>rtdc.l.rtdc.4030:itc</v>
      </c>
      <c r="G74" s="8">
        <f t="shared" si="3"/>
        <v>42659.403923611113</v>
      </c>
    </row>
    <row r="75" spans="1:7" x14ac:dyDescent="0.25">
      <c r="A75" s="8">
        <v>42659.40420138889</v>
      </c>
      <c r="B75" s="21" t="s">
        <v>292</v>
      </c>
      <c r="C75" s="21" t="s">
        <v>485</v>
      </c>
      <c r="D75" s="21">
        <v>1780000</v>
      </c>
      <c r="E75" s="21" t="s">
        <v>486</v>
      </c>
      <c r="F75" s="21" t="str">
        <f t="shared" si="2"/>
        <v>rtdc.l.rtdc.4042:itc</v>
      </c>
      <c r="G75" s="8">
        <f t="shared" si="3"/>
        <v>42659.40420138889</v>
      </c>
    </row>
    <row r="76" spans="1:7" x14ac:dyDescent="0.25">
      <c r="A76" s="8">
        <v>42659.416226851848</v>
      </c>
      <c r="B76" s="21" t="s">
        <v>199</v>
      </c>
      <c r="C76" s="21" t="s">
        <v>482</v>
      </c>
      <c r="D76" s="21">
        <v>1110000</v>
      </c>
      <c r="E76" s="21" t="s">
        <v>445</v>
      </c>
      <c r="F76" s="21" t="str">
        <f t="shared" si="2"/>
        <v>rtdc.l.rtdc.4044:itc</v>
      </c>
      <c r="G76" s="8">
        <f t="shared" si="3"/>
        <v>42659.416226851848</v>
      </c>
    </row>
    <row r="77" spans="1:7" x14ac:dyDescent="0.25">
      <c r="A77" s="8">
        <v>42659.41684027778</v>
      </c>
      <c r="B77" s="21" t="s">
        <v>188</v>
      </c>
      <c r="C77" s="21" t="s">
        <v>487</v>
      </c>
      <c r="D77" s="21">
        <v>1310000</v>
      </c>
      <c r="E77" s="21" t="s">
        <v>295</v>
      </c>
      <c r="F77" s="21" t="str">
        <f t="shared" si="2"/>
        <v>rtdc.l.rtdc.4018:itc</v>
      </c>
      <c r="G77" s="8">
        <f t="shared" si="3"/>
        <v>42659.41684027778</v>
      </c>
    </row>
    <row r="78" spans="1:7" x14ac:dyDescent="0.25">
      <c r="A78" s="8">
        <v>42659.419282407405</v>
      </c>
      <c r="B78" s="21" t="s">
        <v>223</v>
      </c>
      <c r="C78" s="21" t="s">
        <v>488</v>
      </c>
      <c r="D78" s="21">
        <v>1260000</v>
      </c>
      <c r="E78" s="21" t="s">
        <v>431</v>
      </c>
      <c r="F78" s="21" t="str">
        <f t="shared" si="2"/>
        <v>rtdc.l.rtdc.4032:itc</v>
      </c>
      <c r="G78" s="8">
        <f t="shared" si="3"/>
        <v>42659.419282407405</v>
      </c>
    </row>
    <row r="79" spans="1:7" x14ac:dyDescent="0.25">
      <c r="A79" s="8">
        <v>42659.425439814811</v>
      </c>
      <c r="B79" s="21" t="s">
        <v>285</v>
      </c>
      <c r="C79" s="21" t="s">
        <v>414</v>
      </c>
      <c r="D79" s="21">
        <v>1760000</v>
      </c>
      <c r="E79" s="21" t="s">
        <v>232</v>
      </c>
      <c r="F79" s="21" t="str">
        <f t="shared" si="2"/>
        <v>rtdc.l.rtdc.4040:itc</v>
      </c>
      <c r="G79" s="8">
        <f t="shared" si="3"/>
        <v>42659.425439814811</v>
      </c>
    </row>
    <row r="80" spans="1:7" x14ac:dyDescent="0.25">
      <c r="A80" s="8">
        <v>42659.427951388891</v>
      </c>
      <c r="B80" s="21" t="s">
        <v>287</v>
      </c>
      <c r="C80" s="21" t="s">
        <v>489</v>
      </c>
      <c r="D80" s="21">
        <v>2010000</v>
      </c>
      <c r="E80" s="21" t="s">
        <v>231</v>
      </c>
      <c r="F80" s="21" t="str">
        <f t="shared" si="2"/>
        <v>rtdc.l.rtdc.4028:itc</v>
      </c>
      <c r="G80" s="8">
        <f t="shared" si="3"/>
        <v>42659.427951388891</v>
      </c>
    </row>
    <row r="81" spans="1:7" x14ac:dyDescent="0.25">
      <c r="A81" s="8">
        <v>42659.428368055553</v>
      </c>
      <c r="B81" s="21" t="s">
        <v>199</v>
      </c>
      <c r="C81" s="21" t="s">
        <v>482</v>
      </c>
      <c r="D81" s="21">
        <v>1110000</v>
      </c>
      <c r="E81" s="21" t="s">
        <v>445</v>
      </c>
      <c r="F81" s="21" t="str">
        <f t="shared" si="2"/>
        <v>rtdc.l.rtdc.4044:itc</v>
      </c>
      <c r="G81" s="8">
        <f t="shared" si="3"/>
        <v>42659.428368055553</v>
      </c>
    </row>
    <row r="82" spans="1:7" x14ac:dyDescent="0.25">
      <c r="A82" s="8">
        <v>42659.4294212963</v>
      </c>
      <c r="B82" s="21" t="s">
        <v>199</v>
      </c>
      <c r="C82" s="21" t="s">
        <v>482</v>
      </c>
      <c r="D82" s="21">
        <v>1110000</v>
      </c>
      <c r="E82" s="21" t="s">
        <v>445</v>
      </c>
      <c r="F82" s="21" t="str">
        <f t="shared" si="2"/>
        <v>rtdc.l.rtdc.4044:itc</v>
      </c>
      <c r="G82" s="8">
        <f t="shared" si="3"/>
        <v>42659.4294212963</v>
      </c>
    </row>
    <row r="83" spans="1:7" x14ac:dyDescent="0.25">
      <c r="A83" s="8">
        <v>42659.430555555555</v>
      </c>
      <c r="B83" s="21" t="s">
        <v>199</v>
      </c>
      <c r="C83" s="21" t="s">
        <v>482</v>
      </c>
      <c r="D83" s="21">
        <v>1110000</v>
      </c>
      <c r="E83" s="21" t="s">
        <v>445</v>
      </c>
      <c r="F83" s="21" t="str">
        <f t="shared" si="2"/>
        <v>rtdc.l.rtdc.4044:itc</v>
      </c>
      <c r="G83" s="8">
        <f t="shared" si="3"/>
        <v>42659.430555555555</v>
      </c>
    </row>
    <row r="84" spans="1:7" x14ac:dyDescent="0.25">
      <c r="A84" s="8">
        <v>42659.431504629632</v>
      </c>
      <c r="B84" s="21" t="s">
        <v>199</v>
      </c>
      <c r="C84" s="21" t="s">
        <v>490</v>
      </c>
      <c r="D84" s="21">
        <v>1110000</v>
      </c>
      <c r="E84" s="21" t="s">
        <v>445</v>
      </c>
      <c r="F84" s="21" t="str">
        <f t="shared" si="2"/>
        <v>rtdc.l.rtdc.4044:itc</v>
      </c>
      <c r="G84" s="8">
        <f t="shared" si="3"/>
        <v>42659.431504629632</v>
      </c>
    </row>
    <row r="85" spans="1:7" x14ac:dyDescent="0.25">
      <c r="A85" s="8">
        <v>42659.433206018519</v>
      </c>
      <c r="B85" s="21" t="s">
        <v>201</v>
      </c>
      <c r="C85" s="21" t="s">
        <v>491</v>
      </c>
      <c r="D85" s="21">
        <v>930000</v>
      </c>
      <c r="E85" s="21" t="s">
        <v>322</v>
      </c>
      <c r="F85" s="21" t="str">
        <f t="shared" si="2"/>
        <v>rtdc.l.rtdc.4046:itc</v>
      </c>
      <c r="G85" s="8">
        <f t="shared" si="3"/>
        <v>42659.433206018519</v>
      </c>
    </row>
    <row r="86" spans="1:7" x14ac:dyDescent="0.25">
      <c r="A86" s="8">
        <v>42659.440208333333</v>
      </c>
      <c r="B86" s="21" t="s">
        <v>294</v>
      </c>
      <c r="C86" s="21" t="s">
        <v>492</v>
      </c>
      <c r="D86" s="21">
        <v>1780000</v>
      </c>
      <c r="E86" s="21" t="s">
        <v>486</v>
      </c>
      <c r="F86" s="21" t="str">
        <f t="shared" si="2"/>
        <v>rtdc.l.rtdc.4041:itc</v>
      </c>
      <c r="G86" s="8">
        <f t="shared" si="3"/>
        <v>42659.440208333333</v>
      </c>
    </row>
    <row r="87" spans="1:7" x14ac:dyDescent="0.25">
      <c r="A87" s="8">
        <v>42659.44321759259</v>
      </c>
      <c r="B87" s="21" t="s">
        <v>217</v>
      </c>
      <c r="C87" s="21" t="s">
        <v>493</v>
      </c>
      <c r="D87" s="21">
        <v>1110000</v>
      </c>
      <c r="E87" s="21" t="s">
        <v>445</v>
      </c>
      <c r="F87" s="21" t="str">
        <f t="shared" si="2"/>
        <v>rtdc.l.rtdc.4043:itc</v>
      </c>
      <c r="G87" s="8">
        <f t="shared" si="3"/>
        <v>42659.44321759259</v>
      </c>
    </row>
    <row r="88" spans="1:7" x14ac:dyDescent="0.25">
      <c r="A88" s="8">
        <v>42659.445659722223</v>
      </c>
      <c r="B88" s="21" t="s">
        <v>406</v>
      </c>
      <c r="C88" s="21" t="s">
        <v>494</v>
      </c>
      <c r="D88" s="21">
        <v>1830000</v>
      </c>
      <c r="E88" s="21" t="s">
        <v>366</v>
      </c>
      <c r="F88" s="21" t="str">
        <f t="shared" si="2"/>
        <v>rtdc.l.rtdc.4029:itc</v>
      </c>
      <c r="G88" s="8">
        <f t="shared" si="3"/>
        <v>42659.445659722223</v>
      </c>
    </row>
    <row r="89" spans="1:7" x14ac:dyDescent="0.25">
      <c r="A89" s="8">
        <v>42659.454317129632</v>
      </c>
      <c r="B89" s="21" t="s">
        <v>280</v>
      </c>
      <c r="C89" s="21" t="s">
        <v>495</v>
      </c>
      <c r="D89" s="21">
        <v>1310000</v>
      </c>
      <c r="E89" s="21" t="s">
        <v>295</v>
      </c>
      <c r="F89" s="21" t="str">
        <f t="shared" si="2"/>
        <v>rtdc.l.rtdc.4017:itc</v>
      </c>
      <c r="G89" s="8">
        <f t="shared" si="3"/>
        <v>42659.454317129632</v>
      </c>
    </row>
    <row r="90" spans="1:7" x14ac:dyDescent="0.25">
      <c r="A90" s="8">
        <v>42659.455682870372</v>
      </c>
      <c r="B90" s="21" t="s">
        <v>224</v>
      </c>
      <c r="C90" s="21" t="s">
        <v>496</v>
      </c>
      <c r="D90" s="21">
        <v>880000</v>
      </c>
      <c r="E90" s="21" t="s">
        <v>321</v>
      </c>
      <c r="F90" s="21" t="str">
        <f t="shared" si="2"/>
        <v>rtdc.l.rtdc.4031:itc</v>
      </c>
      <c r="G90" s="8">
        <f t="shared" si="3"/>
        <v>42659.455682870372</v>
      </c>
    </row>
    <row r="91" spans="1:7" x14ac:dyDescent="0.25">
      <c r="A91" s="8">
        <v>42659.46261574074</v>
      </c>
      <c r="B91" s="21" t="s">
        <v>220</v>
      </c>
      <c r="C91" s="21" t="s">
        <v>415</v>
      </c>
      <c r="D91" s="21">
        <v>1760000</v>
      </c>
      <c r="E91" s="21" t="s">
        <v>232</v>
      </c>
      <c r="F91" s="21" t="str">
        <f t="shared" si="2"/>
        <v>rtdc.l.rtdc.4039:itc</v>
      </c>
      <c r="G91" s="8">
        <f t="shared" si="3"/>
        <v>42659.46261574074</v>
      </c>
    </row>
    <row r="92" spans="1:7" x14ac:dyDescent="0.25">
      <c r="A92" s="8">
        <v>42659.464687500003</v>
      </c>
      <c r="B92" s="21" t="s">
        <v>298</v>
      </c>
      <c r="C92" s="21" t="s">
        <v>497</v>
      </c>
      <c r="D92" s="21">
        <v>1280000</v>
      </c>
      <c r="E92" s="21" t="s">
        <v>498</v>
      </c>
      <c r="F92" s="21" t="str">
        <f t="shared" si="2"/>
        <v>rtdc.l.rtdc.4027:itc</v>
      </c>
      <c r="G92" s="8">
        <f t="shared" si="3"/>
        <v>42659.464687500003</v>
      </c>
    </row>
    <row r="93" spans="1:7" x14ac:dyDescent="0.25">
      <c r="A93" s="8">
        <v>42659.469953703701</v>
      </c>
      <c r="B93" s="21" t="s">
        <v>199</v>
      </c>
      <c r="C93" s="21" t="s">
        <v>499</v>
      </c>
      <c r="D93" s="21">
        <v>1110000</v>
      </c>
      <c r="E93" s="21" t="s">
        <v>445</v>
      </c>
      <c r="F93" s="21" t="str">
        <f t="shared" si="2"/>
        <v>rtdc.l.rtdc.4044:itc</v>
      </c>
      <c r="G93" s="8">
        <f t="shared" si="3"/>
        <v>42659.469953703701</v>
      </c>
    </row>
    <row r="94" spans="1:7" x14ac:dyDescent="0.25">
      <c r="A94" s="8">
        <v>42659.471365740741</v>
      </c>
      <c r="B94" s="21" t="s">
        <v>199</v>
      </c>
      <c r="C94" s="21" t="s">
        <v>499</v>
      </c>
      <c r="D94" s="21">
        <v>1110000</v>
      </c>
      <c r="E94" s="21" t="s">
        <v>445</v>
      </c>
      <c r="F94" s="21" t="str">
        <f t="shared" si="2"/>
        <v>rtdc.l.rtdc.4044:itc</v>
      </c>
      <c r="G94" s="8">
        <f t="shared" si="3"/>
        <v>42659.471365740741</v>
      </c>
    </row>
    <row r="95" spans="1:7" x14ac:dyDescent="0.25">
      <c r="A95" s="8">
        <v>42659.474016203705</v>
      </c>
      <c r="B95" s="21" t="s">
        <v>315</v>
      </c>
      <c r="C95" s="21" t="s">
        <v>500</v>
      </c>
      <c r="D95" s="21">
        <v>930000</v>
      </c>
      <c r="E95" s="21" t="s">
        <v>322</v>
      </c>
      <c r="F95" s="21" t="str">
        <f t="shared" si="2"/>
        <v>rtdc.l.rtdc.4045:itc</v>
      </c>
      <c r="G95" s="8">
        <f t="shared" si="3"/>
        <v>42659.474016203705</v>
      </c>
    </row>
    <row r="96" spans="1:7" x14ac:dyDescent="0.25">
      <c r="A96" s="8">
        <v>42659.474212962959</v>
      </c>
      <c r="B96" s="21" t="s">
        <v>454</v>
      </c>
      <c r="C96" s="21" t="s">
        <v>501</v>
      </c>
      <c r="D96" s="21">
        <v>1830000</v>
      </c>
      <c r="E96" s="21" t="s">
        <v>366</v>
      </c>
      <c r="F96" s="21" t="str">
        <f t="shared" si="2"/>
        <v>rtdc.l.rtdc.4030:itc</v>
      </c>
      <c r="G96" s="8">
        <f t="shared" si="3"/>
        <v>42659.474212962959</v>
      </c>
    </row>
    <row r="97" spans="1:7" x14ac:dyDescent="0.25">
      <c r="A97" s="8">
        <v>42659.477766203701</v>
      </c>
      <c r="B97" s="21" t="s">
        <v>292</v>
      </c>
      <c r="C97" s="21" t="s">
        <v>502</v>
      </c>
      <c r="D97" s="21">
        <v>1770000</v>
      </c>
      <c r="E97" s="21" t="s">
        <v>367</v>
      </c>
      <c r="F97" s="21" t="str">
        <f t="shared" si="2"/>
        <v>rtdc.l.rtdc.4042:itc</v>
      </c>
      <c r="G97" s="8">
        <f t="shared" si="3"/>
        <v>42659.477766203701</v>
      </c>
    </row>
    <row r="98" spans="1:7" x14ac:dyDescent="0.25">
      <c r="A98" s="8">
        <v>42659.484918981485</v>
      </c>
      <c r="B98" s="21" t="s">
        <v>217</v>
      </c>
      <c r="C98" s="21" t="s">
        <v>503</v>
      </c>
      <c r="D98" s="21">
        <v>1110000</v>
      </c>
      <c r="E98" s="21" t="s">
        <v>445</v>
      </c>
      <c r="F98" s="21" t="str">
        <f t="shared" si="2"/>
        <v>rtdc.l.rtdc.4043:itc</v>
      </c>
      <c r="G98" s="8">
        <f t="shared" si="3"/>
        <v>42659.484918981485</v>
      </c>
    </row>
    <row r="99" spans="1:7" x14ac:dyDescent="0.25">
      <c r="A99" s="8">
        <v>42659.485925925925</v>
      </c>
      <c r="B99" s="21" t="s">
        <v>188</v>
      </c>
      <c r="C99" s="21" t="s">
        <v>504</v>
      </c>
      <c r="D99" s="21">
        <v>2040000</v>
      </c>
      <c r="E99" s="21" t="s">
        <v>296</v>
      </c>
      <c r="F99" s="21" t="str">
        <f t="shared" si="2"/>
        <v>rtdc.l.rtdc.4018:itc</v>
      </c>
      <c r="G99" s="8">
        <f t="shared" si="3"/>
        <v>42659.485925925925</v>
      </c>
    </row>
    <row r="100" spans="1:7" x14ac:dyDescent="0.25">
      <c r="A100" s="8">
        <v>42659.495439814818</v>
      </c>
      <c r="B100" s="21" t="s">
        <v>223</v>
      </c>
      <c r="C100" s="21" t="s">
        <v>505</v>
      </c>
      <c r="D100" s="21">
        <v>880000</v>
      </c>
      <c r="E100" s="21" t="s">
        <v>321</v>
      </c>
      <c r="F100" s="21" t="str">
        <f t="shared" si="2"/>
        <v>rtdc.l.rtdc.4032:itc</v>
      </c>
      <c r="G100" s="8">
        <f t="shared" si="3"/>
        <v>42659.495439814818</v>
      </c>
    </row>
    <row r="101" spans="1:7" x14ac:dyDescent="0.25">
      <c r="A101" s="8">
        <v>42659.49726851852</v>
      </c>
      <c r="B101" s="21" t="s">
        <v>285</v>
      </c>
      <c r="C101" s="21" t="s">
        <v>416</v>
      </c>
      <c r="D101" s="21">
        <v>1140000</v>
      </c>
      <c r="E101" s="21" t="s">
        <v>506</v>
      </c>
      <c r="F101" s="21" t="str">
        <f t="shared" si="2"/>
        <v>rtdc.l.rtdc.4040:itc</v>
      </c>
      <c r="G101" s="8">
        <f t="shared" si="3"/>
        <v>42659.49726851852</v>
      </c>
    </row>
    <row r="102" spans="1:7" x14ac:dyDescent="0.25">
      <c r="A102" s="8">
        <v>42659.498402777775</v>
      </c>
      <c r="B102" s="21" t="s">
        <v>287</v>
      </c>
      <c r="C102" s="21" t="s">
        <v>417</v>
      </c>
      <c r="D102" s="21">
        <v>1280000</v>
      </c>
      <c r="E102" s="21" t="s">
        <v>498</v>
      </c>
      <c r="F102" s="21" t="str">
        <f t="shared" si="2"/>
        <v>rtdc.l.rtdc.4028:itc</v>
      </c>
      <c r="G102" s="8">
        <f t="shared" si="3"/>
        <v>42659.498402777775</v>
      </c>
    </row>
    <row r="103" spans="1:7" x14ac:dyDescent="0.25">
      <c r="A103" s="8">
        <v>42659.499328703707</v>
      </c>
      <c r="B103" s="21" t="s">
        <v>198</v>
      </c>
      <c r="C103" s="21" t="s">
        <v>507</v>
      </c>
      <c r="D103" s="21">
        <v>2020000</v>
      </c>
      <c r="E103" s="21" t="s">
        <v>323</v>
      </c>
      <c r="F103" s="21" t="str">
        <f t="shared" si="2"/>
        <v>rtdc.l.rtdc.4008:itc</v>
      </c>
      <c r="G103" s="8">
        <f t="shared" si="3"/>
        <v>42659.499328703707</v>
      </c>
    </row>
    <row r="104" spans="1:7" x14ac:dyDescent="0.25">
      <c r="A104" s="8">
        <v>42659.506828703707</v>
      </c>
      <c r="B104" s="21" t="s">
        <v>201</v>
      </c>
      <c r="C104" s="21" t="s">
        <v>508</v>
      </c>
      <c r="D104" s="21">
        <v>930000</v>
      </c>
      <c r="E104" s="21" t="s">
        <v>322</v>
      </c>
      <c r="F104" s="21" t="str">
        <f t="shared" si="2"/>
        <v>rtdc.l.rtdc.4046:itc</v>
      </c>
      <c r="G104" s="8">
        <f t="shared" si="3"/>
        <v>42659.506828703707</v>
      </c>
    </row>
    <row r="105" spans="1:7" x14ac:dyDescent="0.25">
      <c r="A105" s="8">
        <v>42659.511620370373</v>
      </c>
      <c r="B105" s="21" t="s">
        <v>199</v>
      </c>
      <c r="C105" s="21" t="s">
        <v>509</v>
      </c>
      <c r="D105" s="21">
        <v>1110000</v>
      </c>
      <c r="E105" s="21" t="s">
        <v>445</v>
      </c>
      <c r="F105" s="21" t="str">
        <f t="shared" si="2"/>
        <v>rtdc.l.rtdc.4044:itc</v>
      </c>
      <c r="G105" s="8">
        <f t="shared" si="3"/>
        <v>42659.511620370373</v>
      </c>
    </row>
    <row r="106" spans="1:7" x14ac:dyDescent="0.25">
      <c r="A106" s="8">
        <v>42659.513958333337</v>
      </c>
      <c r="B106" s="21" t="s">
        <v>294</v>
      </c>
      <c r="C106" s="21" t="s">
        <v>418</v>
      </c>
      <c r="D106" s="21">
        <v>1770000</v>
      </c>
      <c r="E106" s="21" t="s">
        <v>367</v>
      </c>
      <c r="F106" s="21" t="str">
        <f t="shared" si="2"/>
        <v>rtdc.l.rtdc.4041:itc</v>
      </c>
      <c r="G106" s="8">
        <f t="shared" si="3"/>
        <v>42659.513958333337</v>
      </c>
    </row>
    <row r="107" spans="1:7" x14ac:dyDescent="0.25">
      <c r="A107" s="8">
        <v>42659.515821759262</v>
      </c>
      <c r="B107" s="21" t="s">
        <v>406</v>
      </c>
      <c r="C107" s="21" t="s">
        <v>510</v>
      </c>
      <c r="D107" s="21">
        <v>2020000</v>
      </c>
      <c r="E107" s="21" t="s">
        <v>323</v>
      </c>
      <c r="F107" s="21" t="str">
        <f t="shared" si="2"/>
        <v>rtdc.l.rtdc.4029:itc</v>
      </c>
      <c r="G107" s="8">
        <f t="shared" si="3"/>
        <v>42659.515821759262</v>
      </c>
    </row>
    <row r="108" spans="1:7" x14ac:dyDescent="0.25">
      <c r="A108" s="8">
        <v>42659.518437500003</v>
      </c>
      <c r="B108" s="21" t="s">
        <v>200</v>
      </c>
      <c r="C108" s="21" t="s">
        <v>511</v>
      </c>
      <c r="D108" s="21">
        <v>1830000</v>
      </c>
      <c r="E108" s="21" t="s">
        <v>366</v>
      </c>
      <c r="F108" s="21" t="str">
        <f t="shared" si="2"/>
        <v>rtdc.l.rtdc.4007:itc</v>
      </c>
      <c r="G108" s="8">
        <f t="shared" si="3"/>
        <v>42659.518437500003</v>
      </c>
    </row>
    <row r="109" spans="1:7" x14ac:dyDescent="0.25">
      <c r="A109" s="8">
        <v>42659.525405092594</v>
      </c>
      <c r="B109" s="21" t="s">
        <v>280</v>
      </c>
      <c r="C109" s="21" t="s">
        <v>512</v>
      </c>
      <c r="D109" s="21">
        <v>2040000</v>
      </c>
      <c r="E109" s="21" t="s">
        <v>296</v>
      </c>
      <c r="F109" s="21" t="str">
        <f t="shared" si="2"/>
        <v>rtdc.l.rtdc.4017:itc</v>
      </c>
      <c r="G109" s="8">
        <f t="shared" si="3"/>
        <v>42659.525405092594</v>
      </c>
    </row>
    <row r="110" spans="1:7" x14ac:dyDescent="0.25">
      <c r="A110" s="8">
        <v>42659.526620370372</v>
      </c>
      <c r="B110" s="21" t="s">
        <v>217</v>
      </c>
      <c r="C110" s="21" t="s">
        <v>513</v>
      </c>
      <c r="D110" s="21">
        <v>1110000</v>
      </c>
      <c r="E110" s="21" t="s">
        <v>445</v>
      </c>
      <c r="F110" s="21" t="str">
        <f t="shared" si="2"/>
        <v>rtdc.l.rtdc.4043:itc</v>
      </c>
      <c r="G110" s="8">
        <f t="shared" si="3"/>
        <v>42659.526620370372</v>
      </c>
    </row>
    <row r="111" spans="1:7" x14ac:dyDescent="0.25">
      <c r="A111" s="8">
        <v>42659.527731481481</v>
      </c>
      <c r="B111" s="21" t="s">
        <v>224</v>
      </c>
      <c r="C111" s="21" t="s">
        <v>419</v>
      </c>
      <c r="D111" s="21">
        <v>880000</v>
      </c>
      <c r="E111" s="21" t="s">
        <v>321</v>
      </c>
      <c r="F111" s="21" t="str">
        <f t="shared" si="2"/>
        <v>rtdc.l.rtdc.4031:itc</v>
      </c>
      <c r="G111" s="8">
        <f t="shared" si="3"/>
        <v>42659.527731481481</v>
      </c>
    </row>
    <row r="112" spans="1:7" x14ac:dyDescent="0.25">
      <c r="A112" s="8">
        <v>42659.530960648146</v>
      </c>
      <c r="B112" s="21" t="s">
        <v>220</v>
      </c>
      <c r="C112" s="21" t="s">
        <v>514</v>
      </c>
      <c r="D112" s="21">
        <v>1140000</v>
      </c>
      <c r="E112" s="21" t="s">
        <v>506</v>
      </c>
      <c r="F112" s="21" t="str">
        <f t="shared" si="2"/>
        <v>rtdc.l.rtdc.4039:itc</v>
      </c>
      <c r="G112" s="8">
        <f t="shared" si="3"/>
        <v>42659.530960648146</v>
      </c>
    </row>
    <row r="113" spans="1:7" x14ac:dyDescent="0.25">
      <c r="A113" s="8">
        <v>42659.537685185183</v>
      </c>
      <c r="B113" s="21" t="s">
        <v>298</v>
      </c>
      <c r="C113" s="21" t="s">
        <v>515</v>
      </c>
      <c r="D113" s="21">
        <v>1280000</v>
      </c>
      <c r="E113" s="21" t="s">
        <v>498</v>
      </c>
      <c r="F113" s="21" t="str">
        <f t="shared" si="2"/>
        <v>rtdc.l.rtdc.4027:itc</v>
      </c>
      <c r="G113" s="8">
        <f t="shared" si="3"/>
        <v>42659.537685185183</v>
      </c>
    </row>
    <row r="114" spans="1:7" x14ac:dyDescent="0.25">
      <c r="A114" s="8">
        <v>42659.543703703705</v>
      </c>
      <c r="B114" s="21" t="s">
        <v>315</v>
      </c>
      <c r="C114" s="21" t="s">
        <v>516</v>
      </c>
      <c r="D114" s="21">
        <v>930000</v>
      </c>
      <c r="E114" s="21" t="s">
        <v>322</v>
      </c>
      <c r="F114" s="21" t="str">
        <f t="shared" si="2"/>
        <v>rtdc.l.rtdc.4045:itc</v>
      </c>
      <c r="G114" s="8">
        <f t="shared" si="3"/>
        <v>42659.543703703705</v>
      </c>
    </row>
    <row r="115" spans="1:7" x14ac:dyDescent="0.25">
      <c r="A115" s="8">
        <v>42659.549560185187</v>
      </c>
      <c r="B115" s="21" t="s">
        <v>292</v>
      </c>
      <c r="C115" s="21" t="s">
        <v>517</v>
      </c>
      <c r="D115" s="21">
        <v>1770000</v>
      </c>
      <c r="E115" s="21" t="s">
        <v>367</v>
      </c>
      <c r="F115" s="21" t="str">
        <f t="shared" si="2"/>
        <v>rtdc.l.rtdc.4042:itc</v>
      </c>
      <c r="G115" s="8">
        <f t="shared" si="3"/>
        <v>42659.549560185187</v>
      </c>
    </row>
    <row r="116" spans="1:7" x14ac:dyDescent="0.25">
      <c r="A116" s="8">
        <v>42659.554259259261</v>
      </c>
      <c r="B116" s="21" t="s">
        <v>199</v>
      </c>
      <c r="C116" s="21" t="s">
        <v>518</v>
      </c>
      <c r="D116" s="21">
        <v>1110000</v>
      </c>
      <c r="E116" s="21" t="s">
        <v>445</v>
      </c>
      <c r="F116" s="21" t="str">
        <f t="shared" si="2"/>
        <v>rtdc.l.rtdc.4044:itc</v>
      </c>
      <c r="G116" s="8">
        <f t="shared" si="3"/>
        <v>42659.554259259261</v>
      </c>
    </row>
    <row r="117" spans="1:7" x14ac:dyDescent="0.25">
      <c r="A117" s="8">
        <v>42659.555069444446</v>
      </c>
      <c r="B117" s="21" t="s">
        <v>454</v>
      </c>
      <c r="C117" s="21" t="s">
        <v>519</v>
      </c>
      <c r="D117" s="21">
        <v>2020000</v>
      </c>
      <c r="E117" s="21" t="s">
        <v>323</v>
      </c>
      <c r="F117" s="21" t="str">
        <f t="shared" si="2"/>
        <v>rtdc.l.rtdc.4030:itc</v>
      </c>
      <c r="G117" s="8">
        <f t="shared" si="3"/>
        <v>42659.555069444446</v>
      </c>
    </row>
    <row r="118" spans="1:7" x14ac:dyDescent="0.25">
      <c r="A118" s="8">
        <v>42659.560057870367</v>
      </c>
      <c r="B118" s="21" t="s">
        <v>188</v>
      </c>
      <c r="C118" s="21" t="s">
        <v>520</v>
      </c>
      <c r="D118" s="21">
        <v>2040000</v>
      </c>
      <c r="E118" s="21" t="s">
        <v>296</v>
      </c>
      <c r="F118" s="21" t="str">
        <f t="shared" si="2"/>
        <v>rtdc.l.rtdc.4018:itc</v>
      </c>
      <c r="G118" s="8">
        <f t="shared" si="3"/>
        <v>42659.560057870367</v>
      </c>
    </row>
    <row r="119" spans="1:7" x14ac:dyDescent="0.25">
      <c r="A119" s="8">
        <v>42659.567986111113</v>
      </c>
      <c r="B119" s="21" t="s">
        <v>217</v>
      </c>
      <c r="C119" s="21" t="s">
        <v>521</v>
      </c>
      <c r="D119" s="21">
        <v>1110000</v>
      </c>
      <c r="E119" s="21" t="s">
        <v>445</v>
      </c>
      <c r="F119" s="21" t="str">
        <f t="shared" si="2"/>
        <v>rtdc.l.rtdc.4043:itc</v>
      </c>
      <c r="G119" s="8">
        <f t="shared" si="3"/>
        <v>42659.567986111113</v>
      </c>
    </row>
    <row r="120" spans="1:7" x14ac:dyDescent="0.25">
      <c r="A120" s="8">
        <v>42659.569016203706</v>
      </c>
      <c r="B120" s="21" t="s">
        <v>285</v>
      </c>
      <c r="C120" s="21" t="s">
        <v>522</v>
      </c>
      <c r="D120" s="21">
        <v>1140000</v>
      </c>
      <c r="E120" s="21" t="s">
        <v>506</v>
      </c>
      <c r="F120" s="21" t="str">
        <f t="shared" si="2"/>
        <v>rtdc.l.rtdc.4040:itc</v>
      </c>
      <c r="G120" s="8">
        <f t="shared" si="3"/>
        <v>42659.569016203706</v>
      </c>
    </row>
    <row r="121" spans="1:7" x14ac:dyDescent="0.25">
      <c r="A121" s="8">
        <v>42659.569722222222</v>
      </c>
      <c r="B121" s="21" t="s">
        <v>223</v>
      </c>
      <c r="C121" s="21" t="s">
        <v>523</v>
      </c>
      <c r="D121" s="21">
        <v>880000</v>
      </c>
      <c r="E121" s="21" t="s">
        <v>321</v>
      </c>
      <c r="F121" s="21" t="str">
        <f t="shared" si="2"/>
        <v>rtdc.l.rtdc.4032:itc</v>
      </c>
      <c r="G121" s="8">
        <f t="shared" si="3"/>
        <v>42659.569722222222</v>
      </c>
    </row>
    <row r="122" spans="1:7" x14ac:dyDescent="0.25">
      <c r="A122" s="8">
        <v>42659.5705787037</v>
      </c>
      <c r="B122" s="26" t="s">
        <v>287</v>
      </c>
      <c r="C122" s="21" t="s">
        <v>421</v>
      </c>
      <c r="D122" s="21">
        <v>1280000</v>
      </c>
      <c r="E122" s="21" t="s">
        <v>498</v>
      </c>
      <c r="F122" s="21" t="str">
        <f t="shared" si="2"/>
        <v>rtdc.l.rtdc.4028:itc</v>
      </c>
      <c r="G122" s="8">
        <f t="shared" si="3"/>
        <v>42659.5705787037</v>
      </c>
    </row>
    <row r="123" spans="1:7" x14ac:dyDescent="0.25">
      <c r="A123" s="8">
        <v>42659.580439814818</v>
      </c>
      <c r="B123" s="21" t="s">
        <v>201</v>
      </c>
      <c r="C123" s="21" t="s">
        <v>524</v>
      </c>
      <c r="D123" s="21">
        <v>930000</v>
      </c>
      <c r="E123" s="21" t="s">
        <v>322</v>
      </c>
      <c r="F123" s="21" t="str">
        <f t="shared" si="2"/>
        <v>rtdc.l.rtdc.4046:itc</v>
      </c>
      <c r="G123" s="8">
        <f t="shared" si="3"/>
        <v>42659.580439814818</v>
      </c>
    </row>
    <row r="124" spans="1:7" x14ac:dyDescent="0.25">
      <c r="A124" s="8">
        <v>42659.586712962962</v>
      </c>
      <c r="B124" s="21" t="s">
        <v>294</v>
      </c>
      <c r="C124" s="21" t="s">
        <v>525</v>
      </c>
      <c r="D124" s="21">
        <v>1770000</v>
      </c>
      <c r="E124" s="21" t="s">
        <v>367</v>
      </c>
      <c r="F124" s="21" t="str">
        <f t="shared" si="2"/>
        <v>rtdc.l.rtdc.4041:itc</v>
      </c>
      <c r="G124" s="8">
        <f t="shared" si="3"/>
        <v>42659.586712962962</v>
      </c>
    </row>
    <row r="125" spans="1:7" x14ac:dyDescent="0.25">
      <c r="A125" s="8">
        <v>42659.58902777778</v>
      </c>
      <c r="B125" s="21" t="s">
        <v>406</v>
      </c>
      <c r="C125" s="21" t="s">
        <v>420</v>
      </c>
      <c r="D125" s="21">
        <v>2020000</v>
      </c>
      <c r="E125" s="21" t="s">
        <v>323</v>
      </c>
      <c r="F125" s="21" t="str">
        <f t="shared" si="2"/>
        <v>rtdc.l.rtdc.4029:itc</v>
      </c>
      <c r="G125" s="8">
        <f t="shared" si="3"/>
        <v>42659.58902777778</v>
      </c>
    </row>
    <row r="126" spans="1:7" x14ac:dyDescent="0.25">
      <c r="A126" s="8">
        <v>42659.592789351853</v>
      </c>
      <c r="B126" s="21" t="s">
        <v>199</v>
      </c>
      <c r="C126" s="21" t="s">
        <v>526</v>
      </c>
      <c r="D126" s="21">
        <v>2270000</v>
      </c>
      <c r="E126" s="21" t="s">
        <v>368</v>
      </c>
      <c r="F126" s="21" t="str">
        <f t="shared" si="2"/>
        <v>rtdc.l.rtdc.4044:itc</v>
      </c>
      <c r="G126" s="8">
        <f t="shared" si="3"/>
        <v>42659.592789351853</v>
      </c>
    </row>
    <row r="127" spans="1:7" x14ac:dyDescent="0.25">
      <c r="A127" s="8">
        <v>42659.597708333335</v>
      </c>
      <c r="B127" s="21" t="s">
        <v>280</v>
      </c>
      <c r="C127" s="21" t="s">
        <v>527</v>
      </c>
      <c r="D127" s="21">
        <v>2040000</v>
      </c>
      <c r="E127" s="21" t="s">
        <v>296</v>
      </c>
      <c r="F127" s="21" t="str">
        <f t="shared" si="2"/>
        <v>rtdc.l.rtdc.4017:itc</v>
      </c>
      <c r="G127" s="8">
        <f t="shared" si="3"/>
        <v>42659.597708333335</v>
      </c>
    </row>
    <row r="128" spans="1:7" x14ac:dyDescent="0.25">
      <c r="A128" s="8">
        <v>42659.601006944446</v>
      </c>
      <c r="B128" s="21" t="s">
        <v>224</v>
      </c>
      <c r="C128" s="21" t="s">
        <v>528</v>
      </c>
      <c r="D128" s="21">
        <v>880000</v>
      </c>
      <c r="E128" s="21" t="s">
        <v>321</v>
      </c>
      <c r="F128" s="21" t="str">
        <f t="shared" si="2"/>
        <v>rtdc.l.rtdc.4031:itc</v>
      </c>
      <c r="G128" s="8">
        <f t="shared" si="3"/>
        <v>42659.601006944446</v>
      </c>
    </row>
    <row r="129" spans="1:7" x14ac:dyDescent="0.25">
      <c r="A129" s="8">
        <v>42659.605798611112</v>
      </c>
      <c r="B129" s="21" t="s">
        <v>220</v>
      </c>
      <c r="C129" s="21" t="s">
        <v>529</v>
      </c>
      <c r="D129" s="21">
        <v>1140000</v>
      </c>
      <c r="E129" s="21" t="s">
        <v>506</v>
      </c>
      <c r="F129" s="21" t="str">
        <f t="shared" si="2"/>
        <v>rtdc.l.rtdc.4039:itc</v>
      </c>
      <c r="G129" s="8">
        <f t="shared" si="3"/>
        <v>42659.605798611112</v>
      </c>
    </row>
    <row r="130" spans="1:7" x14ac:dyDescent="0.25">
      <c r="A130" s="8">
        <v>42659.608993055554</v>
      </c>
      <c r="B130" s="21" t="s">
        <v>217</v>
      </c>
      <c r="C130" s="21" t="s">
        <v>530</v>
      </c>
      <c r="D130" s="21">
        <v>2270000</v>
      </c>
      <c r="E130" s="21" t="s">
        <v>368</v>
      </c>
      <c r="F130" s="21" t="str">
        <f t="shared" ref="F130:F193" si="4">B130</f>
        <v>rtdc.l.rtdc.4043:itc</v>
      </c>
      <c r="G130" s="8">
        <f t="shared" ref="G130:G193" si="5">A130</f>
        <v>42659.608993055554</v>
      </c>
    </row>
    <row r="131" spans="1:7" x14ac:dyDescent="0.25">
      <c r="A131" s="8">
        <v>42659.611527777779</v>
      </c>
      <c r="B131" s="21" t="s">
        <v>298</v>
      </c>
      <c r="C131" s="21" t="s">
        <v>531</v>
      </c>
      <c r="D131" s="21">
        <v>1280000</v>
      </c>
      <c r="E131" s="21" t="s">
        <v>498</v>
      </c>
      <c r="F131" s="21" t="str">
        <f t="shared" si="4"/>
        <v>rtdc.l.rtdc.4027:itc</v>
      </c>
      <c r="G131" s="8">
        <f t="shared" si="5"/>
        <v>42659.611527777779</v>
      </c>
    </row>
    <row r="132" spans="1:7" x14ac:dyDescent="0.25">
      <c r="A132" s="8">
        <v>42659.617812500001</v>
      </c>
      <c r="B132" s="21" t="s">
        <v>315</v>
      </c>
      <c r="C132" s="21" t="s">
        <v>532</v>
      </c>
      <c r="D132" s="21">
        <v>930000</v>
      </c>
      <c r="E132" s="21" t="s">
        <v>322</v>
      </c>
      <c r="F132" s="21" t="str">
        <f t="shared" si="4"/>
        <v>rtdc.l.rtdc.4045:itc</v>
      </c>
      <c r="G132" s="8">
        <f t="shared" si="5"/>
        <v>42659.617812500001</v>
      </c>
    </row>
    <row r="133" spans="1:7" x14ac:dyDescent="0.25">
      <c r="A133" s="8">
        <v>42659.62228009259</v>
      </c>
      <c r="B133" s="21" t="s">
        <v>292</v>
      </c>
      <c r="C133" s="21" t="s">
        <v>533</v>
      </c>
      <c r="D133" s="21">
        <v>1770000</v>
      </c>
      <c r="E133" s="21" t="s">
        <v>367</v>
      </c>
      <c r="F133" s="21" t="str">
        <f t="shared" si="4"/>
        <v>rtdc.l.rtdc.4042:itc</v>
      </c>
      <c r="G133" s="8">
        <f t="shared" si="5"/>
        <v>42659.62228009259</v>
      </c>
    </row>
    <row r="134" spans="1:7" x14ac:dyDescent="0.25">
      <c r="A134" s="8">
        <v>42659.627696759257</v>
      </c>
      <c r="B134" s="21" t="s">
        <v>454</v>
      </c>
      <c r="C134" s="21" t="s">
        <v>534</v>
      </c>
      <c r="D134" s="21">
        <v>2020000</v>
      </c>
      <c r="E134" s="21" t="s">
        <v>323</v>
      </c>
      <c r="F134" s="21" t="str">
        <f t="shared" si="4"/>
        <v>rtdc.l.rtdc.4030:itc</v>
      </c>
      <c r="G134" s="8">
        <f t="shared" si="5"/>
        <v>42659.627696759257</v>
      </c>
    </row>
    <row r="135" spans="1:7" x14ac:dyDescent="0.25">
      <c r="A135" s="8">
        <v>42659.633750000001</v>
      </c>
      <c r="B135" s="21" t="s">
        <v>188</v>
      </c>
      <c r="C135" s="21" t="s">
        <v>535</v>
      </c>
      <c r="D135" s="21">
        <v>2040000</v>
      </c>
      <c r="E135" s="21" t="s">
        <v>296</v>
      </c>
      <c r="F135" s="21" t="str">
        <f t="shared" si="4"/>
        <v>rtdc.l.rtdc.4018:itc</v>
      </c>
      <c r="G135" s="8">
        <f t="shared" si="5"/>
        <v>42659.633750000001</v>
      </c>
    </row>
    <row r="136" spans="1:7" x14ac:dyDescent="0.25">
      <c r="A136" s="8">
        <v>42659.636458333334</v>
      </c>
      <c r="B136" s="21" t="s">
        <v>199</v>
      </c>
      <c r="C136" s="21" t="s">
        <v>536</v>
      </c>
      <c r="D136" s="21">
        <v>2270000</v>
      </c>
      <c r="E136" s="21" t="s">
        <v>368</v>
      </c>
      <c r="F136" s="21" t="str">
        <f t="shared" si="4"/>
        <v>rtdc.l.rtdc.4044:itc</v>
      </c>
      <c r="G136" s="8">
        <f t="shared" si="5"/>
        <v>42659.636458333334</v>
      </c>
    </row>
    <row r="137" spans="1:7" x14ac:dyDescent="0.25">
      <c r="A137" s="8">
        <v>42659.640266203707</v>
      </c>
      <c r="B137" s="21" t="s">
        <v>223</v>
      </c>
      <c r="C137" s="21" t="s">
        <v>537</v>
      </c>
      <c r="D137" s="21">
        <v>880000</v>
      </c>
      <c r="E137" s="21" t="s">
        <v>321</v>
      </c>
      <c r="F137" s="21" t="str">
        <f t="shared" si="4"/>
        <v>rtdc.l.rtdc.4032:itc</v>
      </c>
      <c r="G137" s="8">
        <f t="shared" si="5"/>
        <v>42659.640266203707</v>
      </c>
    </row>
    <row r="138" spans="1:7" x14ac:dyDescent="0.25">
      <c r="A138" s="8">
        <v>42659.642476851855</v>
      </c>
      <c r="B138" s="21" t="s">
        <v>285</v>
      </c>
      <c r="C138" s="21" t="s">
        <v>538</v>
      </c>
      <c r="D138" s="21">
        <v>1140000</v>
      </c>
      <c r="E138" s="21" t="s">
        <v>506</v>
      </c>
      <c r="F138" s="21" t="str">
        <f t="shared" si="4"/>
        <v>rtdc.l.rtdc.4040:itc</v>
      </c>
      <c r="G138" s="8">
        <f t="shared" si="5"/>
        <v>42659.642476851855</v>
      </c>
    </row>
    <row r="139" spans="1:7" x14ac:dyDescent="0.25">
      <c r="A139" s="8">
        <v>42659.642951388887</v>
      </c>
      <c r="B139" s="21" t="s">
        <v>287</v>
      </c>
      <c r="C139" s="21" t="s">
        <v>539</v>
      </c>
      <c r="D139" s="21">
        <v>1280000</v>
      </c>
      <c r="E139" s="21" t="s">
        <v>498</v>
      </c>
      <c r="F139" s="21" t="str">
        <f t="shared" si="4"/>
        <v>rtdc.l.rtdc.4028:itc</v>
      </c>
      <c r="G139" s="8">
        <f t="shared" si="5"/>
        <v>42659.642951388887</v>
      </c>
    </row>
    <row r="140" spans="1:7" x14ac:dyDescent="0.25">
      <c r="A140" s="8">
        <v>42659.650625000002</v>
      </c>
      <c r="B140" s="21" t="s">
        <v>217</v>
      </c>
      <c r="C140" s="21" t="s">
        <v>540</v>
      </c>
      <c r="D140" s="21">
        <v>2270000</v>
      </c>
      <c r="E140" s="21" t="s">
        <v>368</v>
      </c>
      <c r="F140" s="21" t="str">
        <f t="shared" si="4"/>
        <v>rtdc.l.rtdc.4043:itc</v>
      </c>
      <c r="G140" s="8">
        <f t="shared" si="5"/>
        <v>42659.650625000002</v>
      </c>
    </row>
    <row r="141" spans="1:7" x14ac:dyDescent="0.25">
      <c r="A141" s="8">
        <v>42659.653564814813</v>
      </c>
      <c r="B141" s="21" t="s">
        <v>201</v>
      </c>
      <c r="C141" s="21" t="s">
        <v>541</v>
      </c>
      <c r="D141" s="21">
        <v>930000</v>
      </c>
      <c r="E141" s="21" t="s">
        <v>322</v>
      </c>
      <c r="F141" s="21" t="str">
        <f t="shared" si="4"/>
        <v>rtdc.l.rtdc.4046:itc</v>
      </c>
      <c r="G141" s="8">
        <f t="shared" si="5"/>
        <v>42659.653564814813</v>
      </c>
    </row>
    <row r="142" spans="1:7" x14ac:dyDescent="0.25">
      <c r="A142" s="8">
        <v>42659.655127314814</v>
      </c>
      <c r="B142" s="21" t="s">
        <v>294</v>
      </c>
      <c r="C142" s="21" t="s">
        <v>542</v>
      </c>
      <c r="D142" s="21">
        <v>1770000</v>
      </c>
      <c r="E142" s="21" t="s">
        <v>367</v>
      </c>
      <c r="F142" s="21" t="str">
        <f t="shared" si="4"/>
        <v>rtdc.l.rtdc.4041:itc</v>
      </c>
      <c r="G142" s="8">
        <f t="shared" si="5"/>
        <v>42659.655127314814</v>
      </c>
    </row>
    <row r="143" spans="1:7" x14ac:dyDescent="0.25">
      <c r="A143" s="8">
        <v>42659.662372685183</v>
      </c>
      <c r="B143" s="21" t="s">
        <v>406</v>
      </c>
      <c r="C143" s="21" t="s">
        <v>543</v>
      </c>
      <c r="D143" s="21">
        <v>2020000</v>
      </c>
      <c r="E143" s="21" t="s">
        <v>323</v>
      </c>
      <c r="F143" s="21" t="str">
        <f t="shared" si="4"/>
        <v>rtdc.l.rtdc.4029:itc</v>
      </c>
      <c r="G143" s="8">
        <f t="shared" si="5"/>
        <v>42659.662372685183</v>
      </c>
    </row>
    <row r="144" spans="1:7" x14ac:dyDescent="0.25">
      <c r="A144" s="8">
        <v>42659.672800925924</v>
      </c>
      <c r="B144" s="21" t="s">
        <v>280</v>
      </c>
      <c r="C144" s="21" t="s">
        <v>544</v>
      </c>
      <c r="D144" s="21">
        <v>2040000</v>
      </c>
      <c r="E144" s="21" t="s">
        <v>296</v>
      </c>
      <c r="F144" s="21" t="str">
        <f t="shared" si="4"/>
        <v>rtdc.l.rtdc.4017:itc</v>
      </c>
      <c r="G144" s="8">
        <f t="shared" si="5"/>
        <v>42659.672800925924</v>
      </c>
    </row>
    <row r="145" spans="1:7" x14ac:dyDescent="0.25">
      <c r="A145" s="8">
        <v>42659.673321759263</v>
      </c>
      <c r="B145" s="21" t="s">
        <v>199</v>
      </c>
      <c r="C145" s="21" t="s">
        <v>540</v>
      </c>
      <c r="D145" s="21">
        <v>2270000</v>
      </c>
      <c r="E145" s="21" t="s">
        <v>368</v>
      </c>
      <c r="F145" s="21" t="str">
        <f t="shared" si="4"/>
        <v>rtdc.l.rtdc.4044:itc</v>
      </c>
      <c r="G145" s="8">
        <f t="shared" si="5"/>
        <v>42659.673321759263</v>
      </c>
    </row>
    <row r="146" spans="1:7" x14ac:dyDescent="0.25">
      <c r="A146" s="8">
        <v>42659.673414351855</v>
      </c>
      <c r="B146" s="21" t="s">
        <v>224</v>
      </c>
      <c r="C146" s="21" t="s">
        <v>545</v>
      </c>
      <c r="D146" s="21">
        <v>880000</v>
      </c>
      <c r="E146" s="21" t="s">
        <v>321</v>
      </c>
      <c r="F146" s="21" t="str">
        <f t="shared" si="4"/>
        <v>rtdc.l.rtdc.4031:itc</v>
      </c>
      <c r="G146" s="8">
        <f t="shared" si="5"/>
        <v>42659.673414351855</v>
      </c>
    </row>
    <row r="147" spans="1:7" x14ac:dyDescent="0.25">
      <c r="A147" s="8">
        <v>42659.673958333333</v>
      </c>
      <c r="B147" s="21" t="s">
        <v>199</v>
      </c>
      <c r="C147" s="21" t="s">
        <v>546</v>
      </c>
      <c r="D147" s="21">
        <v>2270000</v>
      </c>
      <c r="E147" s="21" t="s">
        <v>368</v>
      </c>
      <c r="F147" s="21" t="str">
        <f t="shared" si="4"/>
        <v>rtdc.l.rtdc.4044:itc</v>
      </c>
      <c r="G147" s="8">
        <f t="shared" si="5"/>
        <v>42659.673958333333</v>
      </c>
    </row>
    <row r="148" spans="1:7" x14ac:dyDescent="0.25">
      <c r="A148" s="8">
        <v>42659.678530092591</v>
      </c>
      <c r="B148" s="21" t="s">
        <v>220</v>
      </c>
      <c r="C148" s="21" t="s">
        <v>422</v>
      </c>
      <c r="D148" s="21">
        <v>1140000</v>
      </c>
      <c r="E148" s="21" t="s">
        <v>506</v>
      </c>
      <c r="F148" s="21" t="str">
        <f t="shared" si="4"/>
        <v>rtdc.l.rtdc.4039:itc</v>
      </c>
      <c r="G148" s="8">
        <f t="shared" si="5"/>
        <v>42659.678530092591</v>
      </c>
    </row>
    <row r="149" spans="1:7" x14ac:dyDescent="0.25">
      <c r="A149" s="8">
        <v>42659.683900462966</v>
      </c>
      <c r="B149" s="21" t="s">
        <v>298</v>
      </c>
      <c r="C149" s="21" t="s">
        <v>547</v>
      </c>
      <c r="D149" s="21">
        <v>1280000</v>
      </c>
      <c r="E149" s="21" t="s">
        <v>498</v>
      </c>
      <c r="F149" s="21" t="str">
        <f t="shared" si="4"/>
        <v>rtdc.l.rtdc.4027:itc</v>
      </c>
      <c r="G149" s="8">
        <f t="shared" si="5"/>
        <v>42659.683900462966</v>
      </c>
    </row>
    <row r="150" spans="1:7" x14ac:dyDescent="0.25">
      <c r="A150" s="8">
        <v>42659.689872685187</v>
      </c>
      <c r="B150" s="21" t="s">
        <v>315</v>
      </c>
      <c r="C150" s="21" t="s">
        <v>548</v>
      </c>
      <c r="D150" s="21">
        <v>930000</v>
      </c>
      <c r="E150" s="21" t="s">
        <v>322</v>
      </c>
      <c r="F150" s="21" t="str">
        <f t="shared" si="4"/>
        <v>rtdc.l.rtdc.4045:itc</v>
      </c>
      <c r="G150" s="8">
        <f t="shared" si="5"/>
        <v>42659.689872685187</v>
      </c>
    </row>
    <row r="151" spans="1:7" x14ac:dyDescent="0.25">
      <c r="A151" s="8">
        <v>42659.691793981481</v>
      </c>
      <c r="B151" s="21" t="s">
        <v>217</v>
      </c>
      <c r="C151" s="21" t="s">
        <v>549</v>
      </c>
      <c r="D151" s="21">
        <v>2270000</v>
      </c>
      <c r="E151" s="21" t="s">
        <v>368</v>
      </c>
      <c r="F151" s="21" t="str">
        <f t="shared" si="4"/>
        <v>rtdc.l.rtdc.4043:itc</v>
      </c>
      <c r="G151" s="8">
        <f t="shared" si="5"/>
        <v>42659.691793981481</v>
      </c>
    </row>
    <row r="152" spans="1:7" x14ac:dyDescent="0.25">
      <c r="A152" s="8">
        <v>42659.69425925926</v>
      </c>
      <c r="B152" s="21" t="s">
        <v>292</v>
      </c>
      <c r="C152" s="21" t="s">
        <v>550</v>
      </c>
      <c r="D152" s="21">
        <v>1770000</v>
      </c>
      <c r="E152" s="21" t="s">
        <v>367</v>
      </c>
      <c r="F152" s="21" t="str">
        <f t="shared" si="4"/>
        <v>rtdc.l.rtdc.4042:itc</v>
      </c>
      <c r="G152" s="8">
        <f t="shared" si="5"/>
        <v>42659.69425925926</v>
      </c>
    </row>
    <row r="153" spans="1:7" x14ac:dyDescent="0.25">
      <c r="A153" s="8">
        <v>42659.70175925926</v>
      </c>
      <c r="B153" s="21" t="s">
        <v>454</v>
      </c>
      <c r="C153" s="21" t="s">
        <v>551</v>
      </c>
      <c r="D153" s="21">
        <v>2020000</v>
      </c>
      <c r="E153" s="21" t="s">
        <v>323</v>
      </c>
      <c r="F153" s="21" t="str">
        <f t="shared" si="4"/>
        <v>rtdc.l.rtdc.4030:itc</v>
      </c>
      <c r="G153" s="8">
        <f t="shared" si="5"/>
        <v>42659.70175925926</v>
      </c>
    </row>
    <row r="154" spans="1:7" x14ac:dyDescent="0.25">
      <c r="A154" s="8">
        <v>42659.70590277778</v>
      </c>
      <c r="B154" s="21" t="s">
        <v>188</v>
      </c>
      <c r="C154" s="21" t="s">
        <v>552</v>
      </c>
      <c r="D154" s="21">
        <v>2040000</v>
      </c>
      <c r="E154" s="21" t="s">
        <v>296</v>
      </c>
      <c r="F154" s="21" t="str">
        <f t="shared" si="4"/>
        <v>rtdc.l.rtdc.4018:itc</v>
      </c>
      <c r="G154" s="8">
        <f t="shared" si="5"/>
        <v>42659.70590277778</v>
      </c>
    </row>
    <row r="155" spans="1:7" x14ac:dyDescent="0.25">
      <c r="A155" s="8">
        <v>42659.714270833334</v>
      </c>
      <c r="B155" s="21" t="s">
        <v>223</v>
      </c>
      <c r="C155" s="21" t="s">
        <v>553</v>
      </c>
      <c r="D155" s="21">
        <v>880000</v>
      </c>
      <c r="E155" s="21" t="s">
        <v>321</v>
      </c>
      <c r="F155" s="21" t="str">
        <f t="shared" si="4"/>
        <v>rtdc.l.rtdc.4032:itc</v>
      </c>
      <c r="G155" s="8">
        <f t="shared" si="5"/>
        <v>42659.714270833334</v>
      </c>
    </row>
    <row r="156" spans="1:7" x14ac:dyDescent="0.25">
      <c r="A156" s="8">
        <v>42659.716296296298</v>
      </c>
      <c r="B156" s="21" t="s">
        <v>287</v>
      </c>
      <c r="C156" s="21" t="s">
        <v>554</v>
      </c>
      <c r="D156" s="21">
        <v>1280000</v>
      </c>
      <c r="E156" s="21" t="s">
        <v>498</v>
      </c>
      <c r="F156" s="21" t="str">
        <f t="shared" si="4"/>
        <v>rtdc.l.rtdc.4028:itc</v>
      </c>
      <c r="G156" s="8">
        <f t="shared" si="5"/>
        <v>42659.716296296298</v>
      </c>
    </row>
    <row r="157" spans="1:7" x14ac:dyDescent="0.25">
      <c r="A157" s="8">
        <v>42659.717280092591</v>
      </c>
      <c r="B157" s="21" t="s">
        <v>285</v>
      </c>
      <c r="C157" s="21" t="s">
        <v>555</v>
      </c>
      <c r="D157" s="21">
        <v>2360000</v>
      </c>
      <c r="E157" s="21" t="s">
        <v>225</v>
      </c>
      <c r="F157" s="21" t="str">
        <f t="shared" si="4"/>
        <v>rtdc.l.rtdc.4040:itc</v>
      </c>
      <c r="G157" s="8">
        <f t="shared" si="5"/>
        <v>42659.717280092591</v>
      </c>
    </row>
    <row r="158" spans="1:7" x14ac:dyDescent="0.25">
      <c r="A158" s="8">
        <v>42659.718587962961</v>
      </c>
      <c r="B158" s="21" t="s">
        <v>438</v>
      </c>
      <c r="C158" s="21" t="s">
        <v>556</v>
      </c>
      <c r="D158" s="21">
        <v>2150000</v>
      </c>
      <c r="E158" s="21" t="s">
        <v>557</v>
      </c>
      <c r="F158" s="21" t="str">
        <f t="shared" si="4"/>
        <v>rtdc.l.rtdc.4025:itc</v>
      </c>
      <c r="G158" s="8">
        <f t="shared" si="5"/>
        <v>42659.718587962961</v>
      </c>
    </row>
    <row r="159" spans="1:7" x14ac:dyDescent="0.25">
      <c r="A159" s="8">
        <v>42659.721284722225</v>
      </c>
      <c r="B159" s="21" t="s">
        <v>199</v>
      </c>
      <c r="C159" s="21" t="s">
        <v>558</v>
      </c>
      <c r="D159" s="21">
        <v>2270000</v>
      </c>
      <c r="E159" s="21" t="s">
        <v>368</v>
      </c>
      <c r="F159" s="21" t="str">
        <f t="shared" si="4"/>
        <v>rtdc.l.rtdc.4044:itc</v>
      </c>
      <c r="G159" s="8">
        <f t="shared" si="5"/>
        <v>42659.721284722225</v>
      </c>
    </row>
    <row r="160" spans="1:7" x14ac:dyDescent="0.25">
      <c r="A160" s="8">
        <v>42659.726979166669</v>
      </c>
      <c r="B160" s="21" t="s">
        <v>201</v>
      </c>
      <c r="C160" s="21" t="s">
        <v>559</v>
      </c>
      <c r="D160" s="21">
        <v>1140000</v>
      </c>
      <c r="E160" s="21" t="s">
        <v>506</v>
      </c>
      <c r="F160" s="21" t="str">
        <f t="shared" si="4"/>
        <v>rtdc.l.rtdc.4046:itc</v>
      </c>
      <c r="G160" s="8">
        <f t="shared" si="5"/>
        <v>42659.726979166669</v>
      </c>
    </row>
    <row r="161" spans="1:7" x14ac:dyDescent="0.25">
      <c r="A161" s="8">
        <v>42659.732199074075</v>
      </c>
      <c r="B161" s="21" t="s">
        <v>294</v>
      </c>
      <c r="C161" s="21" t="s">
        <v>560</v>
      </c>
      <c r="D161" s="21">
        <v>1770000</v>
      </c>
      <c r="E161" s="21" t="s">
        <v>367</v>
      </c>
      <c r="F161" s="21" t="str">
        <f t="shared" si="4"/>
        <v>rtdc.l.rtdc.4041:itc</v>
      </c>
      <c r="G161" s="8">
        <f t="shared" si="5"/>
        <v>42659.732199074075</v>
      </c>
    </row>
    <row r="162" spans="1:7" x14ac:dyDescent="0.25">
      <c r="A162" s="8">
        <v>42659.734155092592</v>
      </c>
      <c r="B162" s="21" t="s">
        <v>217</v>
      </c>
      <c r="C162" s="21" t="s">
        <v>423</v>
      </c>
      <c r="D162" s="21">
        <v>2270000</v>
      </c>
      <c r="E162" s="21" t="s">
        <v>368</v>
      </c>
      <c r="F162" s="21" t="str">
        <f t="shared" si="4"/>
        <v>rtdc.l.rtdc.4043:itc</v>
      </c>
      <c r="G162" s="8">
        <f t="shared" si="5"/>
        <v>42659.734155092592</v>
      </c>
    </row>
    <row r="163" spans="1:7" x14ac:dyDescent="0.25">
      <c r="A163" s="8">
        <v>42659.7346412037</v>
      </c>
      <c r="B163" s="21" t="s">
        <v>316</v>
      </c>
      <c r="C163" s="21" t="s">
        <v>561</v>
      </c>
      <c r="D163" s="21">
        <v>1810000</v>
      </c>
      <c r="E163" s="21" t="s">
        <v>297</v>
      </c>
      <c r="F163" s="21" t="str">
        <f t="shared" si="4"/>
        <v>rtdc.l.rtdc.4012:itc</v>
      </c>
      <c r="G163" s="8">
        <f t="shared" si="5"/>
        <v>42659.7346412037</v>
      </c>
    </row>
    <row r="164" spans="1:7" x14ac:dyDescent="0.25">
      <c r="A164" s="8">
        <v>42659.736354166664</v>
      </c>
      <c r="B164" s="21" t="s">
        <v>406</v>
      </c>
      <c r="C164" s="21" t="s">
        <v>562</v>
      </c>
      <c r="D164" s="21">
        <v>2350000</v>
      </c>
      <c r="E164" s="21" t="s">
        <v>563</v>
      </c>
      <c r="F164" s="21" t="str">
        <f t="shared" si="4"/>
        <v>rtdc.l.rtdc.4029:itc</v>
      </c>
      <c r="G164" s="8">
        <f t="shared" si="5"/>
        <v>42659.736354166664</v>
      </c>
    </row>
    <row r="165" spans="1:7" x14ac:dyDescent="0.25">
      <c r="A165" s="8">
        <v>42659.744062500002</v>
      </c>
      <c r="B165" s="21" t="s">
        <v>280</v>
      </c>
      <c r="C165" s="21" t="s">
        <v>564</v>
      </c>
      <c r="D165" s="21">
        <v>2040000</v>
      </c>
      <c r="E165" s="21" t="s">
        <v>296</v>
      </c>
      <c r="F165" s="21" t="str">
        <f t="shared" si="4"/>
        <v>rtdc.l.rtdc.4017:itc</v>
      </c>
      <c r="G165" s="8">
        <f t="shared" si="5"/>
        <v>42659.744062500002</v>
      </c>
    </row>
    <row r="166" spans="1:7" x14ac:dyDescent="0.25">
      <c r="A166" s="8">
        <v>42659.746354166666</v>
      </c>
      <c r="B166" s="21" t="s">
        <v>224</v>
      </c>
      <c r="C166" s="21" t="s">
        <v>565</v>
      </c>
      <c r="D166" s="21">
        <v>2020000</v>
      </c>
      <c r="E166" s="21" t="s">
        <v>323</v>
      </c>
      <c r="F166" s="21" t="str">
        <f t="shared" si="4"/>
        <v>rtdc.l.rtdc.4031:itc</v>
      </c>
      <c r="G166" s="8">
        <f t="shared" si="5"/>
        <v>42659.746354166666</v>
      </c>
    </row>
    <row r="167" spans="1:7" x14ac:dyDescent="0.25">
      <c r="A167" s="8">
        <v>42659.75273148148</v>
      </c>
      <c r="B167" s="21" t="s">
        <v>220</v>
      </c>
      <c r="C167" s="21" t="s">
        <v>566</v>
      </c>
      <c r="D167" s="21">
        <v>2360000</v>
      </c>
      <c r="E167" s="21" t="s">
        <v>225</v>
      </c>
      <c r="F167" s="21" t="str">
        <f t="shared" si="4"/>
        <v>rtdc.l.rtdc.4039:itc</v>
      </c>
      <c r="G167" s="8">
        <f t="shared" si="5"/>
        <v>42659.75273148148</v>
      </c>
    </row>
    <row r="168" spans="1:7" x14ac:dyDescent="0.25">
      <c r="A168" s="8">
        <v>42659.755601851852</v>
      </c>
      <c r="B168" s="21" t="s">
        <v>199</v>
      </c>
      <c r="C168" s="21" t="s">
        <v>567</v>
      </c>
      <c r="D168" s="21">
        <v>2270000</v>
      </c>
      <c r="E168" s="21" t="s">
        <v>368</v>
      </c>
      <c r="F168" s="21" t="str">
        <f t="shared" si="4"/>
        <v>rtdc.l.rtdc.4044:itc</v>
      </c>
      <c r="G168" s="8">
        <f t="shared" si="5"/>
        <v>42659.755601851852</v>
      </c>
    </row>
    <row r="169" spans="1:7" x14ac:dyDescent="0.25">
      <c r="A169" s="8">
        <v>42659.757847222223</v>
      </c>
      <c r="B169" s="21" t="s">
        <v>298</v>
      </c>
      <c r="C169" s="21" t="s">
        <v>568</v>
      </c>
      <c r="D169" s="21">
        <v>1810000</v>
      </c>
      <c r="E169" s="21" t="s">
        <v>297</v>
      </c>
      <c r="F169" s="21" t="str">
        <f t="shared" si="4"/>
        <v>rtdc.l.rtdc.4027:itc</v>
      </c>
      <c r="G169" s="8">
        <f t="shared" si="5"/>
        <v>42659.757847222223</v>
      </c>
    </row>
    <row r="170" spans="1:7" x14ac:dyDescent="0.25">
      <c r="A170" s="8">
        <v>42659.760995370372</v>
      </c>
      <c r="B170" s="21" t="s">
        <v>315</v>
      </c>
      <c r="C170" s="21" t="s">
        <v>569</v>
      </c>
      <c r="D170" s="21">
        <v>1140000</v>
      </c>
      <c r="E170" s="21" t="s">
        <v>506</v>
      </c>
      <c r="F170" s="21" t="str">
        <f t="shared" si="4"/>
        <v>rtdc.l.rtdc.4045:itc</v>
      </c>
      <c r="G170" s="8">
        <f t="shared" si="5"/>
        <v>42659.760995370372</v>
      </c>
    </row>
    <row r="171" spans="1:7" x14ac:dyDescent="0.25">
      <c r="A171" s="8">
        <v>42659.769953703704</v>
      </c>
      <c r="B171" s="21" t="s">
        <v>292</v>
      </c>
      <c r="C171" s="21" t="s">
        <v>570</v>
      </c>
      <c r="D171" s="21">
        <v>1800000</v>
      </c>
      <c r="E171" s="21" t="s">
        <v>215</v>
      </c>
      <c r="F171" s="21" t="str">
        <f t="shared" si="4"/>
        <v>rtdc.l.rtdc.4042:itc</v>
      </c>
      <c r="G171" s="8">
        <f t="shared" si="5"/>
        <v>42659.769953703704</v>
      </c>
    </row>
    <row r="172" spans="1:7" x14ac:dyDescent="0.25">
      <c r="A172" s="8">
        <v>42659.775902777779</v>
      </c>
      <c r="B172" s="21" t="s">
        <v>217</v>
      </c>
      <c r="C172" s="21" t="s">
        <v>424</v>
      </c>
      <c r="D172" s="21">
        <v>2270000</v>
      </c>
      <c r="E172" s="21" t="s">
        <v>368</v>
      </c>
      <c r="F172" s="21" t="str">
        <f t="shared" si="4"/>
        <v>rtdc.l.rtdc.4043:itc</v>
      </c>
      <c r="G172" s="8">
        <f t="shared" si="5"/>
        <v>42659.775902777779</v>
      </c>
    </row>
    <row r="173" spans="1:7" x14ac:dyDescent="0.25">
      <c r="A173" s="8">
        <v>42659.777268518519</v>
      </c>
      <c r="B173" s="21" t="s">
        <v>454</v>
      </c>
      <c r="C173" s="21" t="s">
        <v>571</v>
      </c>
      <c r="D173" s="21">
        <v>2350000</v>
      </c>
      <c r="E173" s="21" t="s">
        <v>563</v>
      </c>
      <c r="F173" s="21" t="str">
        <f t="shared" si="4"/>
        <v>rtdc.l.rtdc.4030:itc</v>
      </c>
      <c r="G173" s="8">
        <f t="shared" si="5"/>
        <v>42659.777268518519</v>
      </c>
    </row>
    <row r="174" spans="1:7" x14ac:dyDescent="0.25">
      <c r="A174" s="8">
        <v>42659.77752314815</v>
      </c>
      <c r="B174" s="21" t="s">
        <v>188</v>
      </c>
      <c r="C174" s="21" t="s">
        <v>572</v>
      </c>
      <c r="D174" s="21">
        <v>2040000</v>
      </c>
      <c r="E174" s="21" t="s">
        <v>296</v>
      </c>
      <c r="F174" s="21" t="str">
        <f t="shared" si="4"/>
        <v>rtdc.l.rtdc.4018:itc</v>
      </c>
      <c r="G174" s="8">
        <f t="shared" si="5"/>
        <v>42659.77752314815</v>
      </c>
    </row>
    <row r="175" spans="1:7" x14ac:dyDescent="0.25">
      <c r="A175" s="8">
        <v>42659.784710648149</v>
      </c>
      <c r="B175" s="21" t="s">
        <v>223</v>
      </c>
      <c r="C175" s="21" t="s">
        <v>573</v>
      </c>
      <c r="D175" s="21">
        <v>2020000</v>
      </c>
      <c r="E175" s="21" t="s">
        <v>323</v>
      </c>
      <c r="F175" s="21" t="str">
        <f t="shared" si="4"/>
        <v>rtdc.l.rtdc.4032:itc</v>
      </c>
      <c r="G175" s="8">
        <f t="shared" si="5"/>
        <v>42659.784710648149</v>
      </c>
    </row>
    <row r="176" spans="1:7" x14ac:dyDescent="0.25">
      <c r="A176" s="8">
        <v>42659.788449074076</v>
      </c>
      <c r="B176" s="21" t="s">
        <v>285</v>
      </c>
      <c r="C176" s="21" t="s">
        <v>425</v>
      </c>
      <c r="D176" s="21">
        <v>2360000</v>
      </c>
      <c r="E176" s="21" t="s">
        <v>225</v>
      </c>
      <c r="F176" s="21" t="str">
        <f t="shared" si="4"/>
        <v>rtdc.l.rtdc.4040:itc</v>
      </c>
      <c r="G176" s="8">
        <f t="shared" si="5"/>
        <v>42659.788449074076</v>
      </c>
    </row>
    <row r="177" spans="1:7" x14ac:dyDescent="0.25">
      <c r="A177" s="8">
        <v>42659.791562500002</v>
      </c>
      <c r="B177" s="21" t="s">
        <v>287</v>
      </c>
      <c r="C177" s="21" t="s">
        <v>574</v>
      </c>
      <c r="D177" s="21">
        <v>1810000</v>
      </c>
      <c r="E177" s="21" t="s">
        <v>297</v>
      </c>
      <c r="F177" s="21" t="str">
        <f t="shared" si="4"/>
        <v>rtdc.l.rtdc.4028:itc</v>
      </c>
      <c r="G177" s="8">
        <f t="shared" si="5"/>
        <v>42659.791562500002</v>
      </c>
    </row>
    <row r="178" spans="1:7" x14ac:dyDescent="0.25">
      <c r="A178" s="8">
        <v>42659.800497685188</v>
      </c>
      <c r="B178" s="21" t="s">
        <v>201</v>
      </c>
      <c r="C178" s="21" t="s">
        <v>575</v>
      </c>
      <c r="D178" s="21">
        <v>1140000</v>
      </c>
      <c r="E178" s="21" t="s">
        <v>506</v>
      </c>
      <c r="F178" s="21" t="str">
        <f t="shared" si="4"/>
        <v>rtdc.l.rtdc.4046:itc</v>
      </c>
      <c r="G178" s="8">
        <f t="shared" si="5"/>
        <v>42659.800497685188</v>
      </c>
    </row>
    <row r="179" spans="1:7" x14ac:dyDescent="0.25">
      <c r="A179" s="8">
        <v>42659.804108796299</v>
      </c>
      <c r="B179" s="21" t="s">
        <v>199</v>
      </c>
      <c r="C179" s="21" t="s">
        <v>576</v>
      </c>
      <c r="D179" s="21">
        <v>2270000</v>
      </c>
      <c r="E179" s="21" t="s">
        <v>368</v>
      </c>
      <c r="F179" s="21" t="str">
        <f t="shared" si="4"/>
        <v>rtdc.l.rtdc.4044:itc</v>
      </c>
      <c r="G179" s="8">
        <f t="shared" si="5"/>
        <v>42659.804108796299</v>
      </c>
    </row>
    <row r="180" spans="1:7" x14ac:dyDescent="0.25">
      <c r="A180" s="8">
        <v>42659.807673611111</v>
      </c>
      <c r="B180" s="21" t="s">
        <v>294</v>
      </c>
      <c r="C180" s="21" t="s">
        <v>427</v>
      </c>
      <c r="D180" s="21">
        <v>1800000</v>
      </c>
      <c r="E180" s="21" t="s">
        <v>215</v>
      </c>
      <c r="F180" s="21" t="str">
        <f t="shared" si="4"/>
        <v>rtdc.l.rtdc.4041:itc</v>
      </c>
      <c r="G180" s="8">
        <f t="shared" si="5"/>
        <v>42659.807673611111</v>
      </c>
    </row>
    <row r="181" spans="1:7" x14ac:dyDescent="0.25">
      <c r="A181" s="8">
        <v>42659.808379629627</v>
      </c>
      <c r="B181" s="21" t="s">
        <v>406</v>
      </c>
      <c r="C181" s="21" t="s">
        <v>577</v>
      </c>
      <c r="D181" s="21">
        <v>2350000</v>
      </c>
      <c r="E181" s="21" t="s">
        <v>563</v>
      </c>
      <c r="F181" s="21" t="str">
        <f t="shared" si="4"/>
        <v>rtdc.l.rtdc.4029:itc</v>
      </c>
      <c r="G181" s="8">
        <f t="shared" si="5"/>
        <v>42659.808379629627</v>
      </c>
    </row>
    <row r="182" spans="1:7" x14ac:dyDescent="0.25">
      <c r="A182" s="8">
        <v>42659.817083333335</v>
      </c>
      <c r="B182" s="21" t="s">
        <v>217</v>
      </c>
      <c r="C182" s="21" t="s">
        <v>426</v>
      </c>
      <c r="D182" s="21">
        <v>2270000</v>
      </c>
      <c r="E182" s="21" t="s">
        <v>368</v>
      </c>
      <c r="F182" s="21" t="str">
        <f t="shared" si="4"/>
        <v>rtdc.l.rtdc.4043:itc</v>
      </c>
      <c r="G182" s="8">
        <f t="shared" si="5"/>
        <v>42659.817083333335</v>
      </c>
    </row>
    <row r="183" spans="1:7" x14ac:dyDescent="0.25">
      <c r="A183" s="8">
        <v>42659.819351851853</v>
      </c>
      <c r="B183" s="21" t="s">
        <v>224</v>
      </c>
      <c r="C183" s="21" t="s">
        <v>578</v>
      </c>
      <c r="D183" s="21">
        <v>2020000</v>
      </c>
      <c r="E183" s="21" t="s">
        <v>323</v>
      </c>
      <c r="F183" s="21" t="str">
        <f t="shared" si="4"/>
        <v>rtdc.l.rtdc.4031:itc</v>
      </c>
      <c r="G183" s="8">
        <f t="shared" si="5"/>
        <v>42659.819351851853</v>
      </c>
    </row>
    <row r="184" spans="1:7" x14ac:dyDescent="0.25">
      <c r="A184" s="8">
        <v>42659.827280092592</v>
      </c>
      <c r="B184" s="21" t="s">
        <v>220</v>
      </c>
      <c r="C184" s="21" t="s">
        <v>579</v>
      </c>
      <c r="D184" s="21">
        <v>2360000</v>
      </c>
      <c r="E184" s="21" t="s">
        <v>225</v>
      </c>
      <c r="F184" s="21" t="str">
        <f t="shared" si="4"/>
        <v>rtdc.l.rtdc.4039:itc</v>
      </c>
      <c r="G184" s="8">
        <f t="shared" si="5"/>
        <v>42659.827280092592</v>
      </c>
    </row>
    <row r="185" spans="1:7" x14ac:dyDescent="0.25">
      <c r="A185" s="8">
        <v>42659.827951388892</v>
      </c>
      <c r="B185" s="21" t="s">
        <v>298</v>
      </c>
      <c r="C185" s="21" t="s">
        <v>580</v>
      </c>
      <c r="D185" s="21">
        <v>1810000</v>
      </c>
      <c r="E185" s="21" t="s">
        <v>297</v>
      </c>
      <c r="F185" s="21" t="str">
        <f t="shared" si="4"/>
        <v>rtdc.l.rtdc.4027:itc</v>
      </c>
      <c r="G185" s="8">
        <f t="shared" si="5"/>
        <v>42659.827951388892</v>
      </c>
    </row>
    <row r="186" spans="1:7" x14ac:dyDescent="0.25">
      <c r="A186" s="8">
        <v>42659.840613425928</v>
      </c>
      <c r="B186" s="21" t="s">
        <v>294</v>
      </c>
      <c r="C186" s="21" t="s">
        <v>581</v>
      </c>
      <c r="D186" s="21">
        <v>1800000</v>
      </c>
      <c r="E186" s="21" t="s">
        <v>215</v>
      </c>
      <c r="F186" s="21" t="str">
        <f t="shared" si="4"/>
        <v>rtdc.l.rtdc.4041:itc</v>
      </c>
      <c r="G186" s="8">
        <f t="shared" si="5"/>
        <v>42659.840613425928</v>
      </c>
    </row>
    <row r="187" spans="1:7" x14ac:dyDescent="0.25">
      <c r="A187" s="8">
        <v>42659.844328703701</v>
      </c>
      <c r="B187" s="21" t="s">
        <v>199</v>
      </c>
      <c r="C187" s="21" t="s">
        <v>576</v>
      </c>
      <c r="D187" s="21">
        <v>2270000</v>
      </c>
      <c r="E187" s="21" t="s">
        <v>368</v>
      </c>
      <c r="F187" s="21" t="str">
        <f t="shared" si="4"/>
        <v>rtdc.l.rtdc.4044:itc</v>
      </c>
      <c r="G187" s="8">
        <f t="shared" si="5"/>
        <v>42659.844328703701</v>
      </c>
    </row>
    <row r="188" spans="1:7" x14ac:dyDescent="0.25">
      <c r="A188" s="8">
        <v>42659.849606481483</v>
      </c>
      <c r="B188" s="21" t="s">
        <v>454</v>
      </c>
      <c r="C188" s="21" t="s">
        <v>582</v>
      </c>
      <c r="D188" s="21">
        <v>2350000</v>
      </c>
      <c r="E188" s="21" t="s">
        <v>563</v>
      </c>
      <c r="F188" s="21" t="str">
        <f t="shared" si="4"/>
        <v>rtdc.l.rtdc.4030:itc</v>
      </c>
      <c r="G188" s="8">
        <f t="shared" si="5"/>
        <v>42659.849606481483</v>
      </c>
    </row>
    <row r="189" spans="1:7" x14ac:dyDescent="0.25">
      <c r="A189" s="8">
        <v>42659.852476851855</v>
      </c>
      <c r="B189" s="21" t="s">
        <v>292</v>
      </c>
      <c r="C189" s="21" t="s">
        <v>581</v>
      </c>
      <c r="D189" s="21">
        <v>1800000</v>
      </c>
      <c r="E189" s="21" t="s">
        <v>215</v>
      </c>
      <c r="F189" s="21" t="str">
        <f t="shared" si="4"/>
        <v>rtdc.l.rtdc.4042:itc</v>
      </c>
      <c r="G189" s="8">
        <f t="shared" si="5"/>
        <v>42659.852476851855</v>
      </c>
    </row>
    <row r="190" spans="1:7" x14ac:dyDescent="0.25">
      <c r="A190" s="8">
        <v>42659.859143518515</v>
      </c>
      <c r="B190" s="21" t="s">
        <v>217</v>
      </c>
      <c r="C190" s="21" t="s">
        <v>583</v>
      </c>
      <c r="D190" s="21">
        <v>2270000</v>
      </c>
      <c r="E190" s="21" t="s">
        <v>368</v>
      </c>
      <c r="F190" s="21" t="str">
        <f t="shared" si="4"/>
        <v>rtdc.l.rtdc.4043:itc</v>
      </c>
      <c r="G190" s="8">
        <f t="shared" si="5"/>
        <v>42659.859143518515</v>
      </c>
    </row>
    <row r="191" spans="1:7" x14ac:dyDescent="0.25">
      <c r="A191" s="8">
        <v>42659.862650462965</v>
      </c>
      <c r="B191" s="21" t="s">
        <v>287</v>
      </c>
      <c r="C191" s="21" t="s">
        <v>584</v>
      </c>
      <c r="D191" s="21">
        <v>1810000</v>
      </c>
      <c r="E191" s="21" t="s">
        <v>297</v>
      </c>
      <c r="F191" s="21" t="str">
        <f t="shared" si="4"/>
        <v>rtdc.l.rtdc.4028:itc</v>
      </c>
      <c r="G191" s="8">
        <f t="shared" si="5"/>
        <v>42659.862650462965</v>
      </c>
    </row>
    <row r="192" spans="1:7" x14ac:dyDescent="0.25">
      <c r="A192" s="8">
        <v>42659.87027777778</v>
      </c>
      <c r="B192" s="21" t="s">
        <v>285</v>
      </c>
      <c r="C192" s="21" t="s">
        <v>585</v>
      </c>
      <c r="D192" s="21">
        <v>2360000</v>
      </c>
      <c r="E192" s="21" t="s">
        <v>225</v>
      </c>
      <c r="F192" s="21" t="str">
        <f t="shared" si="4"/>
        <v>rtdc.l.rtdc.4040:itc</v>
      </c>
      <c r="G192" s="8">
        <f t="shared" si="5"/>
        <v>42659.87027777778</v>
      </c>
    </row>
    <row r="193" spans="1:7" x14ac:dyDescent="0.25">
      <c r="A193" s="8">
        <v>42659.88853009259</v>
      </c>
      <c r="B193" s="21" t="s">
        <v>406</v>
      </c>
      <c r="C193" s="21" t="s">
        <v>586</v>
      </c>
      <c r="D193" s="21">
        <v>2350000</v>
      </c>
      <c r="E193" s="21" t="s">
        <v>563</v>
      </c>
      <c r="F193" s="21" t="str">
        <f t="shared" si="4"/>
        <v>rtdc.l.rtdc.4029:itc</v>
      </c>
      <c r="G193" s="8">
        <f t="shared" si="5"/>
        <v>42659.88853009259</v>
      </c>
    </row>
    <row r="194" spans="1:7" x14ac:dyDescent="0.25">
      <c r="A194" s="8">
        <v>42659.889467592591</v>
      </c>
      <c r="B194" s="21" t="s">
        <v>292</v>
      </c>
      <c r="C194" s="21" t="s">
        <v>587</v>
      </c>
      <c r="D194" s="21">
        <v>1800000</v>
      </c>
      <c r="E194" s="21" t="s">
        <v>215</v>
      </c>
      <c r="F194" s="21" t="str">
        <f t="shared" ref="F194:F235" si="6">B194</f>
        <v>rtdc.l.rtdc.4042:itc</v>
      </c>
      <c r="G194" s="8">
        <f t="shared" ref="G194:G235" si="7">A194</f>
        <v>42659.889467592591</v>
      </c>
    </row>
    <row r="195" spans="1:7" x14ac:dyDescent="0.25">
      <c r="A195" s="8">
        <v>42659.890104166669</v>
      </c>
      <c r="B195" s="21" t="s">
        <v>292</v>
      </c>
      <c r="C195" s="21" t="s">
        <v>581</v>
      </c>
      <c r="D195" s="21">
        <v>1800000</v>
      </c>
      <c r="E195" s="21" t="s">
        <v>215</v>
      </c>
      <c r="F195" s="21" t="str">
        <f t="shared" si="6"/>
        <v>rtdc.l.rtdc.4042:itc</v>
      </c>
      <c r="G195" s="8">
        <f t="shared" si="7"/>
        <v>42659.890104166669</v>
      </c>
    </row>
    <row r="196" spans="1:7" x14ac:dyDescent="0.25">
      <c r="A196" s="8">
        <v>42659.891319444447</v>
      </c>
      <c r="B196" s="21" t="s">
        <v>292</v>
      </c>
      <c r="C196" s="21" t="s">
        <v>581</v>
      </c>
      <c r="D196" s="21">
        <v>1800000</v>
      </c>
      <c r="E196" s="21" t="s">
        <v>215</v>
      </c>
      <c r="F196" s="21" t="str">
        <f t="shared" si="6"/>
        <v>rtdc.l.rtdc.4042:itc</v>
      </c>
      <c r="G196" s="8">
        <f t="shared" si="7"/>
        <v>42659.891319444447</v>
      </c>
    </row>
    <row r="197" spans="1:7" x14ac:dyDescent="0.25">
      <c r="A197" s="8">
        <v>42659.892835648148</v>
      </c>
      <c r="B197" s="21" t="s">
        <v>199</v>
      </c>
      <c r="C197" s="21" t="s">
        <v>588</v>
      </c>
      <c r="D197" s="21">
        <v>2270000</v>
      </c>
      <c r="E197" s="21" t="s">
        <v>368</v>
      </c>
      <c r="F197" s="21" t="str">
        <f t="shared" si="6"/>
        <v>rtdc.l.rtdc.4044:itc</v>
      </c>
      <c r="G197" s="8">
        <f t="shared" si="7"/>
        <v>42659.892835648148</v>
      </c>
    </row>
    <row r="198" spans="1:7" x14ac:dyDescent="0.25">
      <c r="A198" s="8">
        <v>42659.893437500003</v>
      </c>
      <c r="B198" s="21" t="s">
        <v>294</v>
      </c>
      <c r="C198" s="21" t="s">
        <v>587</v>
      </c>
      <c r="D198" s="21">
        <v>1800000</v>
      </c>
      <c r="E198" s="21" t="s">
        <v>215</v>
      </c>
      <c r="F198" s="21" t="str">
        <f t="shared" si="6"/>
        <v>rtdc.l.rtdc.4041:itc</v>
      </c>
      <c r="G198" s="8">
        <f t="shared" si="7"/>
        <v>42659.893437500003</v>
      </c>
    </row>
    <row r="199" spans="1:7" x14ac:dyDescent="0.25">
      <c r="A199" s="8">
        <v>42659.893842592595</v>
      </c>
      <c r="B199" s="21" t="s">
        <v>199</v>
      </c>
      <c r="C199" s="21" t="s">
        <v>588</v>
      </c>
      <c r="D199" s="21">
        <v>2270000</v>
      </c>
      <c r="E199" s="21" t="s">
        <v>368</v>
      </c>
      <c r="F199" s="21" t="str">
        <f t="shared" si="6"/>
        <v>rtdc.l.rtdc.4044:itc</v>
      </c>
      <c r="G199" s="8">
        <f t="shared" si="7"/>
        <v>42659.893842592595</v>
      </c>
    </row>
    <row r="200" spans="1:7" x14ac:dyDescent="0.25">
      <c r="A200" s="8">
        <v>42659.896539351852</v>
      </c>
      <c r="B200" s="21" t="s">
        <v>199</v>
      </c>
      <c r="C200" s="21" t="s">
        <v>588</v>
      </c>
      <c r="D200" s="21">
        <v>2270000</v>
      </c>
      <c r="E200" s="21" t="s">
        <v>368</v>
      </c>
      <c r="F200" s="21" t="str">
        <f t="shared" si="6"/>
        <v>rtdc.l.rtdc.4044:itc</v>
      </c>
      <c r="G200" s="8">
        <f t="shared" si="7"/>
        <v>42659.896539351852</v>
      </c>
    </row>
    <row r="201" spans="1:7" x14ac:dyDescent="0.25">
      <c r="A201" s="8">
        <v>42659.905428240738</v>
      </c>
      <c r="B201" s="21" t="s">
        <v>298</v>
      </c>
      <c r="C201" s="21" t="s">
        <v>589</v>
      </c>
      <c r="D201" s="21">
        <v>1810000</v>
      </c>
      <c r="E201" s="21" t="s">
        <v>297</v>
      </c>
      <c r="F201" s="21" t="str">
        <f t="shared" si="6"/>
        <v>rtdc.l.rtdc.4027:itc</v>
      </c>
      <c r="G201" s="8">
        <f t="shared" si="7"/>
        <v>42659.905428240738</v>
      </c>
    </row>
    <row r="202" spans="1:7" x14ac:dyDescent="0.25">
      <c r="A202" s="27">
        <v>42659.908530092594</v>
      </c>
      <c r="B202" s="21" t="s">
        <v>220</v>
      </c>
      <c r="C202" s="21" t="s">
        <v>590</v>
      </c>
      <c r="D202" s="21">
        <v>2360000</v>
      </c>
      <c r="E202" s="21" t="s">
        <v>225</v>
      </c>
      <c r="F202" s="21" t="str">
        <f t="shared" si="6"/>
        <v>rtdc.l.rtdc.4039:itc</v>
      </c>
      <c r="G202" s="8">
        <f t="shared" si="7"/>
        <v>42659.908530092594</v>
      </c>
    </row>
    <row r="203" spans="1:7" x14ac:dyDescent="0.25">
      <c r="A203" s="8">
        <v>42659.921493055554</v>
      </c>
      <c r="B203" s="21" t="s">
        <v>217</v>
      </c>
      <c r="C203" s="21" t="s">
        <v>591</v>
      </c>
      <c r="D203" s="21">
        <v>2270000</v>
      </c>
      <c r="E203" s="21" t="s">
        <v>368</v>
      </c>
      <c r="F203" s="21" t="str">
        <f t="shared" si="6"/>
        <v>rtdc.l.rtdc.4043:itc</v>
      </c>
      <c r="G203" s="8">
        <f t="shared" si="7"/>
        <v>42659.921493055554</v>
      </c>
    </row>
    <row r="204" spans="1:7" x14ac:dyDescent="0.25">
      <c r="A204" s="8">
        <v>42659.930578703701</v>
      </c>
      <c r="B204" s="21" t="s">
        <v>454</v>
      </c>
      <c r="C204" s="21" t="s">
        <v>592</v>
      </c>
      <c r="D204" s="21">
        <v>2350000</v>
      </c>
      <c r="E204" s="21" t="s">
        <v>563</v>
      </c>
      <c r="F204" s="21" t="str">
        <f t="shared" si="6"/>
        <v>rtdc.l.rtdc.4030:itc</v>
      </c>
      <c r="G204" s="8">
        <f t="shared" si="7"/>
        <v>42659.930578703701</v>
      </c>
    </row>
    <row r="205" spans="1:7" x14ac:dyDescent="0.25">
      <c r="A205" s="8">
        <v>42659.932916666665</v>
      </c>
      <c r="B205" s="21" t="s">
        <v>292</v>
      </c>
      <c r="C205" s="21" t="s">
        <v>593</v>
      </c>
      <c r="D205" s="21">
        <v>1800000</v>
      </c>
      <c r="E205" s="21" t="s">
        <v>215</v>
      </c>
      <c r="F205" s="21" t="str">
        <f t="shared" si="6"/>
        <v>rtdc.l.rtdc.4042:itc</v>
      </c>
      <c r="G205" s="8">
        <f t="shared" si="7"/>
        <v>42659.932916666665</v>
      </c>
    </row>
    <row r="206" spans="1:7" x14ac:dyDescent="0.25">
      <c r="A206" s="8">
        <v>42659.933587962965</v>
      </c>
      <c r="B206" s="21" t="s">
        <v>199</v>
      </c>
      <c r="C206" s="21" t="s">
        <v>594</v>
      </c>
      <c r="D206" s="21">
        <v>2270000</v>
      </c>
      <c r="E206" s="21" t="s">
        <v>368</v>
      </c>
      <c r="F206" s="21" t="str">
        <f t="shared" si="6"/>
        <v>rtdc.l.rtdc.4044:itc</v>
      </c>
      <c r="G206" s="8">
        <f t="shared" si="7"/>
        <v>42659.933587962965</v>
      </c>
    </row>
    <row r="207" spans="1:7" x14ac:dyDescent="0.25">
      <c r="A207" s="8">
        <v>42659.948969907404</v>
      </c>
      <c r="B207" s="21" t="s">
        <v>217</v>
      </c>
      <c r="C207" s="21" t="s">
        <v>595</v>
      </c>
      <c r="D207" s="21">
        <v>2270000</v>
      </c>
      <c r="E207" s="21" t="s">
        <v>368</v>
      </c>
      <c r="F207" s="21" t="str">
        <f t="shared" si="6"/>
        <v>rtdc.l.rtdc.4043:itc</v>
      </c>
      <c r="G207" s="8">
        <f t="shared" si="7"/>
        <v>42659.948969907404</v>
      </c>
    </row>
    <row r="208" spans="1:7" x14ac:dyDescent="0.25">
      <c r="A208" s="8">
        <v>42659.950416666667</v>
      </c>
      <c r="B208" s="21" t="s">
        <v>287</v>
      </c>
      <c r="C208" s="21" t="s">
        <v>428</v>
      </c>
      <c r="D208" s="21">
        <v>1810000</v>
      </c>
      <c r="E208" s="21" t="s">
        <v>297</v>
      </c>
      <c r="F208" s="21" t="str">
        <f t="shared" si="6"/>
        <v>rtdc.l.rtdc.4028:itc</v>
      </c>
      <c r="G208" s="8">
        <f t="shared" si="7"/>
        <v>42659.950416666667</v>
      </c>
    </row>
    <row r="209" spans="1:7" x14ac:dyDescent="0.25">
      <c r="A209" s="8">
        <v>42659.952824074076</v>
      </c>
      <c r="B209" s="21" t="s">
        <v>285</v>
      </c>
      <c r="C209" s="21" t="s">
        <v>596</v>
      </c>
      <c r="D209" s="21">
        <v>2360000</v>
      </c>
      <c r="E209" s="21" t="s">
        <v>225</v>
      </c>
      <c r="F209" s="21" t="str">
        <f t="shared" si="6"/>
        <v>rtdc.l.rtdc.4040:itc</v>
      </c>
      <c r="G209" s="8">
        <f t="shared" si="7"/>
        <v>42659.952824074076</v>
      </c>
    </row>
    <row r="210" spans="1:7" x14ac:dyDescent="0.25">
      <c r="A210" s="8">
        <v>42659.974537037036</v>
      </c>
      <c r="B210" s="21" t="s">
        <v>294</v>
      </c>
      <c r="C210" s="21" t="s">
        <v>597</v>
      </c>
      <c r="D210" s="21">
        <v>1800000</v>
      </c>
      <c r="E210" s="21" t="s">
        <v>215</v>
      </c>
      <c r="F210" s="21" t="str">
        <f t="shared" si="6"/>
        <v>rtdc.l.rtdc.4041:itc</v>
      </c>
      <c r="G210" s="8">
        <f t="shared" si="7"/>
        <v>42659.974537037036</v>
      </c>
    </row>
    <row r="211" spans="1:7" x14ac:dyDescent="0.25">
      <c r="A211" s="8">
        <v>42659.977627314816</v>
      </c>
      <c r="B211" s="21" t="s">
        <v>406</v>
      </c>
      <c r="C211" s="21" t="s">
        <v>598</v>
      </c>
      <c r="D211" s="21">
        <v>2350000</v>
      </c>
      <c r="E211" s="21" t="s">
        <v>563</v>
      </c>
      <c r="F211" s="21" t="str">
        <f t="shared" si="6"/>
        <v>rtdc.l.rtdc.4029:itc</v>
      </c>
      <c r="G211" s="8">
        <f t="shared" si="7"/>
        <v>42659.977627314816</v>
      </c>
    </row>
    <row r="212" spans="1:7" x14ac:dyDescent="0.25">
      <c r="A212" s="8">
        <v>42659.979594907411</v>
      </c>
      <c r="B212" s="21" t="s">
        <v>406</v>
      </c>
      <c r="C212" s="21" t="s">
        <v>598</v>
      </c>
      <c r="D212" s="21">
        <v>2350000</v>
      </c>
      <c r="E212" s="21" t="s">
        <v>563</v>
      </c>
      <c r="F212" s="21" t="str">
        <f t="shared" si="6"/>
        <v>rtdc.l.rtdc.4029:itc</v>
      </c>
      <c r="G212" s="8">
        <f t="shared" si="7"/>
        <v>42659.979594907411</v>
      </c>
    </row>
    <row r="213" spans="1:7" x14ac:dyDescent="0.25">
      <c r="A213" s="8">
        <v>42659.985578703701</v>
      </c>
      <c r="B213" s="21" t="s">
        <v>406</v>
      </c>
      <c r="C213" s="21" t="s">
        <v>598</v>
      </c>
      <c r="D213" s="21">
        <v>2350000</v>
      </c>
      <c r="E213" s="21" t="s">
        <v>563</v>
      </c>
      <c r="F213" s="21" t="str">
        <f t="shared" si="6"/>
        <v>rtdc.l.rtdc.4029:itc</v>
      </c>
      <c r="G213" s="8">
        <f t="shared" si="7"/>
        <v>42659.985578703701</v>
      </c>
    </row>
    <row r="214" spans="1:7" x14ac:dyDescent="0.25">
      <c r="A214" s="8">
        <v>42659.986678240741</v>
      </c>
      <c r="B214" s="21" t="s">
        <v>406</v>
      </c>
      <c r="C214" s="21" t="s">
        <v>598</v>
      </c>
      <c r="D214" s="21">
        <v>2350000</v>
      </c>
      <c r="E214" s="21" t="s">
        <v>563</v>
      </c>
      <c r="F214" s="21" t="str">
        <f t="shared" si="6"/>
        <v>rtdc.l.rtdc.4029:itc</v>
      </c>
      <c r="G214" s="8">
        <f t="shared" si="7"/>
        <v>42659.986678240741</v>
      </c>
    </row>
    <row r="215" spans="1:7" x14ac:dyDescent="0.25">
      <c r="A215" s="8">
        <v>42659.992280092592</v>
      </c>
      <c r="B215" s="21" t="s">
        <v>220</v>
      </c>
      <c r="C215" s="21" t="s">
        <v>599</v>
      </c>
      <c r="D215" s="21">
        <v>2360000</v>
      </c>
      <c r="E215" s="21" t="s">
        <v>225</v>
      </c>
      <c r="F215" s="21" t="str">
        <f t="shared" si="6"/>
        <v>rtdc.l.rtdc.4039:itc</v>
      </c>
      <c r="G215" s="8">
        <f t="shared" si="7"/>
        <v>42659.992280092592</v>
      </c>
    </row>
    <row r="216" spans="1:7" x14ac:dyDescent="0.25">
      <c r="A216" s="8">
        <v>42659.997523148151</v>
      </c>
      <c r="B216" s="21" t="s">
        <v>298</v>
      </c>
      <c r="C216" s="21" t="s">
        <v>600</v>
      </c>
      <c r="D216" s="21">
        <v>1810000</v>
      </c>
      <c r="E216" s="21" t="s">
        <v>297</v>
      </c>
      <c r="F216" s="21" t="str">
        <f t="shared" si="6"/>
        <v>rtdc.l.rtdc.4027:itc</v>
      </c>
      <c r="G216" s="8">
        <f t="shared" si="7"/>
        <v>42659.997523148151</v>
      </c>
    </row>
    <row r="217" spans="1:7" x14ac:dyDescent="0.25">
      <c r="A217" s="8">
        <v>42660.016921296294</v>
      </c>
      <c r="B217" s="21" t="s">
        <v>454</v>
      </c>
      <c r="C217" s="21" t="s">
        <v>601</v>
      </c>
      <c r="D217" s="21">
        <v>2350000</v>
      </c>
      <c r="E217" s="21" t="s">
        <v>563</v>
      </c>
      <c r="F217" s="21" t="str">
        <f t="shared" si="6"/>
        <v>rtdc.l.rtdc.4030:itc</v>
      </c>
      <c r="G217" s="8">
        <f t="shared" si="7"/>
        <v>42660.016921296294</v>
      </c>
    </row>
    <row r="218" spans="1:7" x14ac:dyDescent="0.25">
      <c r="A218" s="8">
        <v>42660.02</v>
      </c>
      <c r="B218" s="21" t="s">
        <v>292</v>
      </c>
      <c r="C218" s="21" t="s">
        <v>602</v>
      </c>
      <c r="D218" s="21">
        <v>1800000</v>
      </c>
      <c r="E218" s="21" t="s">
        <v>215</v>
      </c>
      <c r="F218" s="21" t="str">
        <f t="shared" si="6"/>
        <v>rtdc.l.rtdc.4042:itc</v>
      </c>
      <c r="G218" s="8">
        <f t="shared" si="7"/>
        <v>42660.02</v>
      </c>
    </row>
    <row r="219" spans="1:7" x14ac:dyDescent="0.25">
      <c r="A219" s="8">
        <v>42660.03224537037</v>
      </c>
      <c r="B219" s="21" t="s">
        <v>285</v>
      </c>
      <c r="C219" s="21" t="s">
        <v>603</v>
      </c>
      <c r="D219" s="21">
        <v>2360000</v>
      </c>
      <c r="E219" s="21" t="s">
        <v>225</v>
      </c>
      <c r="F219" s="21" t="str">
        <f t="shared" si="6"/>
        <v>rtdc.l.rtdc.4040:itc</v>
      </c>
      <c r="G219" s="8">
        <f t="shared" si="7"/>
        <v>42660.03224537037</v>
      </c>
    </row>
    <row r="220" spans="1:7" x14ac:dyDescent="0.25">
      <c r="A220" s="8">
        <v>42660.03392361111</v>
      </c>
      <c r="B220" s="21" t="s">
        <v>287</v>
      </c>
      <c r="C220" s="21" t="s">
        <v>604</v>
      </c>
      <c r="D220" s="21">
        <v>1810000</v>
      </c>
      <c r="E220" s="21" t="s">
        <v>297</v>
      </c>
      <c r="F220" s="21" t="str">
        <f t="shared" si="6"/>
        <v>rtdc.l.rtdc.4028:itc</v>
      </c>
      <c r="G220" s="8">
        <f t="shared" si="7"/>
        <v>42660.03392361111</v>
      </c>
    </row>
    <row r="221" spans="1:7" x14ac:dyDescent="0.25">
      <c r="A221" s="8">
        <v>42660.049710648149</v>
      </c>
      <c r="B221" s="21" t="s">
        <v>406</v>
      </c>
      <c r="C221" s="21" t="s">
        <v>605</v>
      </c>
      <c r="D221" s="21">
        <v>2350000</v>
      </c>
      <c r="E221" s="21" t="s">
        <v>563</v>
      </c>
      <c r="F221" s="21" t="str">
        <f t="shared" si="6"/>
        <v>rtdc.l.rtdc.4029:itc</v>
      </c>
      <c r="G221" s="8">
        <f t="shared" si="7"/>
        <v>42660.049710648149</v>
      </c>
    </row>
    <row r="222" spans="1:7" x14ac:dyDescent="0.25">
      <c r="A222" s="8">
        <v>42660.050902777781</v>
      </c>
      <c r="B222" s="21" t="s">
        <v>406</v>
      </c>
      <c r="C222" s="21" t="s">
        <v>605</v>
      </c>
      <c r="D222" s="21">
        <v>2350000</v>
      </c>
      <c r="E222" s="21" t="s">
        <v>563</v>
      </c>
      <c r="F222" s="21" t="str">
        <f t="shared" si="6"/>
        <v>rtdc.l.rtdc.4029:itc</v>
      </c>
      <c r="G222" s="8">
        <f t="shared" si="7"/>
        <v>42660.050902777781</v>
      </c>
    </row>
    <row r="223" spans="1:7" x14ac:dyDescent="0.25">
      <c r="A223" s="8">
        <v>42660.059351851851</v>
      </c>
      <c r="B223" s="21" t="s">
        <v>294</v>
      </c>
      <c r="C223" s="21" t="s">
        <v>606</v>
      </c>
      <c r="D223" s="21">
        <v>1800000</v>
      </c>
      <c r="E223" s="21" t="s">
        <v>215</v>
      </c>
      <c r="F223" s="21" t="str">
        <f t="shared" si="6"/>
        <v>rtdc.l.rtdc.4041:itc</v>
      </c>
      <c r="G223" s="8">
        <f t="shared" si="7"/>
        <v>42660.059351851851</v>
      </c>
    </row>
    <row r="224" spans="1:7" x14ac:dyDescent="0.25">
      <c r="A224" s="8">
        <v>42660.068518518521</v>
      </c>
      <c r="B224" t="s">
        <v>298</v>
      </c>
      <c r="C224" t="s">
        <v>607</v>
      </c>
      <c r="D224">
        <v>1810000</v>
      </c>
      <c r="E224" t="s">
        <v>297</v>
      </c>
      <c r="F224" s="21" t="str">
        <f t="shared" si="6"/>
        <v>rtdc.l.rtdc.4027:itc</v>
      </c>
      <c r="G224" s="8">
        <f t="shared" si="7"/>
        <v>42660.068518518521</v>
      </c>
    </row>
    <row r="225" spans="1:7" x14ac:dyDescent="0.25">
      <c r="A225" s="8">
        <v>42660.070104166669</v>
      </c>
      <c r="B225" t="s">
        <v>298</v>
      </c>
      <c r="C225" t="s">
        <v>607</v>
      </c>
      <c r="D225">
        <v>1810000</v>
      </c>
      <c r="E225" t="s">
        <v>297</v>
      </c>
      <c r="F225" s="21" t="str">
        <f t="shared" si="6"/>
        <v>rtdc.l.rtdc.4027:itc</v>
      </c>
      <c r="G225" s="8">
        <f t="shared" si="7"/>
        <v>42660.070104166669</v>
      </c>
    </row>
    <row r="226" spans="1:7" x14ac:dyDescent="0.25">
      <c r="A226" s="8">
        <v>42660.090983796297</v>
      </c>
      <c r="B226" t="s">
        <v>292</v>
      </c>
      <c r="C226" t="s">
        <v>608</v>
      </c>
      <c r="D226">
        <v>1800000</v>
      </c>
      <c r="E226" t="s">
        <v>215</v>
      </c>
      <c r="F226" s="21" t="str">
        <f t="shared" si="6"/>
        <v>rtdc.l.rtdc.4042:itc</v>
      </c>
      <c r="G226" s="8">
        <f t="shared" si="7"/>
        <v>42660.090983796297</v>
      </c>
    </row>
    <row r="227" spans="1:7" x14ac:dyDescent="0.25">
      <c r="A227" s="8">
        <v>42660.11178240741</v>
      </c>
      <c r="B227" t="s">
        <v>280</v>
      </c>
      <c r="C227" t="s">
        <v>609</v>
      </c>
      <c r="D227">
        <v>2030000</v>
      </c>
      <c r="E227" t="s">
        <v>365</v>
      </c>
      <c r="F227" s="21" t="str">
        <f t="shared" si="6"/>
        <v>rtdc.l.rtdc.4017:itc</v>
      </c>
      <c r="G227" s="8">
        <f t="shared" si="7"/>
        <v>42660.11178240741</v>
      </c>
    </row>
    <row r="228" spans="1:7" x14ac:dyDescent="0.25">
      <c r="A228" s="8">
        <v>42657.88076388889</v>
      </c>
      <c r="B228" t="s">
        <v>201</v>
      </c>
      <c r="C228" t="s">
        <v>324</v>
      </c>
      <c r="D228">
        <v>1230000</v>
      </c>
      <c r="E228" t="s">
        <v>221</v>
      </c>
      <c r="F228" s="21" t="str">
        <f t="shared" si="6"/>
        <v>rtdc.l.rtdc.4046:itc</v>
      </c>
      <c r="G228" s="8">
        <f t="shared" si="7"/>
        <v>42657.88076388889</v>
      </c>
    </row>
    <row r="229" spans="1:7" x14ac:dyDescent="0.25">
      <c r="A229" s="8">
        <v>42657.887453703705</v>
      </c>
      <c r="B229" t="s">
        <v>223</v>
      </c>
      <c r="C229" t="s">
        <v>325</v>
      </c>
      <c r="D229">
        <v>1480000</v>
      </c>
      <c r="E229" t="s">
        <v>192</v>
      </c>
      <c r="F229" s="21" t="str">
        <f t="shared" si="6"/>
        <v>rtdc.l.rtdc.4032:itc</v>
      </c>
      <c r="G229" s="8">
        <f t="shared" si="7"/>
        <v>42657.887453703705</v>
      </c>
    </row>
    <row r="230" spans="1:7" x14ac:dyDescent="0.25">
      <c r="A230" s="8">
        <v>42657.90179398148</v>
      </c>
      <c r="B230" t="s">
        <v>316</v>
      </c>
      <c r="C230" t="s">
        <v>317</v>
      </c>
      <c r="D230">
        <v>1810000</v>
      </c>
      <c r="E230" t="s">
        <v>297</v>
      </c>
      <c r="F230" s="21" t="str">
        <f t="shared" si="6"/>
        <v>rtdc.l.rtdc.4012:itc</v>
      </c>
      <c r="G230" s="8">
        <f t="shared" si="7"/>
        <v>42657.90179398148</v>
      </c>
    </row>
    <row r="231" spans="1:7" x14ac:dyDescent="0.25">
      <c r="A231" s="8">
        <v>42657.910833333335</v>
      </c>
      <c r="B231" t="s">
        <v>220</v>
      </c>
      <c r="C231" t="s">
        <v>326</v>
      </c>
      <c r="D231">
        <v>1300000</v>
      </c>
      <c r="E231" t="s">
        <v>114</v>
      </c>
      <c r="F231" s="21" t="str">
        <f t="shared" si="6"/>
        <v>rtdc.l.rtdc.4039:itc</v>
      </c>
      <c r="G231" s="8">
        <f t="shared" si="7"/>
        <v>42657.910833333335</v>
      </c>
    </row>
    <row r="232" spans="1:7" x14ac:dyDescent="0.25">
      <c r="A232" s="8">
        <v>42657.914166666669</v>
      </c>
      <c r="B232" t="s">
        <v>292</v>
      </c>
      <c r="C232" t="s">
        <v>327</v>
      </c>
      <c r="D232">
        <v>1800000</v>
      </c>
      <c r="E232" t="s">
        <v>215</v>
      </c>
      <c r="F232" s="21" t="str">
        <f t="shared" si="6"/>
        <v>rtdc.l.rtdc.4042:itc</v>
      </c>
      <c r="G232" s="8">
        <f t="shared" si="7"/>
        <v>42657.914166666669</v>
      </c>
    </row>
    <row r="233" spans="1:7" x14ac:dyDescent="0.25">
      <c r="A233" s="8">
        <v>42657.916631944441</v>
      </c>
      <c r="B233" t="s">
        <v>320</v>
      </c>
      <c r="C233" t="s">
        <v>328</v>
      </c>
      <c r="D233">
        <v>1810000</v>
      </c>
      <c r="E233" t="s">
        <v>297</v>
      </c>
      <c r="F233" s="21" t="str">
        <f t="shared" si="6"/>
        <v>rtdc.l.rtdc.4011:itc</v>
      </c>
      <c r="G233" s="8">
        <f t="shared" si="7"/>
        <v>42657.916631944441</v>
      </c>
    </row>
    <row r="234" spans="1:7" x14ac:dyDescent="0.25">
      <c r="A234" s="8">
        <v>42657.931990740741</v>
      </c>
      <c r="B234" t="s">
        <v>315</v>
      </c>
      <c r="C234" t="s">
        <v>329</v>
      </c>
      <c r="D234">
        <v>1230000</v>
      </c>
      <c r="E234" t="s">
        <v>221</v>
      </c>
      <c r="F234" s="21" t="str">
        <f t="shared" si="6"/>
        <v>rtdc.l.rtdc.4045:itc</v>
      </c>
      <c r="G234" s="8">
        <f t="shared" si="7"/>
        <v>42657.931990740741</v>
      </c>
    </row>
    <row r="235" spans="1:7" x14ac:dyDescent="0.25">
      <c r="A235" s="8">
        <v>42657.934351851851</v>
      </c>
      <c r="B235" t="s">
        <v>224</v>
      </c>
      <c r="C235" t="s">
        <v>330</v>
      </c>
      <c r="D235">
        <v>1480000</v>
      </c>
      <c r="E235" t="s">
        <v>192</v>
      </c>
      <c r="F235" s="21" t="str">
        <f t="shared" si="6"/>
        <v>rtdc.l.rtdc.4031:itc</v>
      </c>
      <c r="G235" s="8">
        <f t="shared" si="7"/>
        <v>42657.934351851851</v>
      </c>
    </row>
    <row r="236" spans="1:7" x14ac:dyDescent="0.25">
      <c r="A236" s="8">
        <v>42657.942858796298</v>
      </c>
      <c r="B236" t="s">
        <v>316</v>
      </c>
      <c r="C236" t="s">
        <v>331</v>
      </c>
      <c r="D236">
        <v>1810000</v>
      </c>
      <c r="E236" t="s">
        <v>297</v>
      </c>
      <c r="F236" s="21" t="str">
        <f t="shared" ref="F236:F265" si="8">B236</f>
        <v>rtdc.l.rtdc.4012:itc</v>
      </c>
      <c r="G236" s="8">
        <f t="shared" ref="G236:G265" si="9">A236</f>
        <v>42657.942858796298</v>
      </c>
    </row>
    <row r="237" spans="1:7" x14ac:dyDescent="0.25">
      <c r="A237" s="8">
        <v>42657.95380787037</v>
      </c>
      <c r="B237" t="s">
        <v>285</v>
      </c>
      <c r="C237" t="s">
        <v>332</v>
      </c>
      <c r="D237">
        <v>1300000</v>
      </c>
      <c r="E237" t="s">
        <v>114</v>
      </c>
      <c r="F237" s="21" t="str">
        <f t="shared" si="8"/>
        <v>rtdc.l.rtdc.4040:itc</v>
      </c>
      <c r="G237" s="8">
        <f t="shared" si="9"/>
        <v>42657.95380787037</v>
      </c>
    </row>
    <row r="238" spans="1:7" x14ac:dyDescent="0.25">
      <c r="A238" s="8">
        <v>42657.954016203701</v>
      </c>
      <c r="B238" t="s">
        <v>294</v>
      </c>
      <c r="C238" t="s">
        <v>318</v>
      </c>
      <c r="D238">
        <v>1800000</v>
      </c>
      <c r="E238" t="s">
        <v>215</v>
      </c>
      <c r="F238" s="21" t="str">
        <f t="shared" si="8"/>
        <v>rtdc.l.rtdc.4041:itc</v>
      </c>
      <c r="G238" s="8">
        <f t="shared" si="9"/>
        <v>42657.954016203701</v>
      </c>
    </row>
    <row r="239" spans="1:7" x14ac:dyDescent="0.25">
      <c r="A239" s="8">
        <v>42657.962476851855</v>
      </c>
      <c r="B239" t="s">
        <v>201</v>
      </c>
      <c r="C239" t="s">
        <v>333</v>
      </c>
      <c r="D239">
        <v>1230000</v>
      </c>
      <c r="E239" t="s">
        <v>221</v>
      </c>
      <c r="F239" s="21" t="str">
        <f t="shared" si="8"/>
        <v>rtdc.l.rtdc.4046:itc</v>
      </c>
      <c r="G239" s="8">
        <f t="shared" si="9"/>
        <v>42657.962476851855</v>
      </c>
    </row>
    <row r="240" spans="1:7" x14ac:dyDescent="0.25">
      <c r="A240" s="8">
        <v>42657.969039351854</v>
      </c>
      <c r="B240" t="s">
        <v>223</v>
      </c>
      <c r="C240" t="s">
        <v>334</v>
      </c>
      <c r="D240">
        <v>1480000</v>
      </c>
      <c r="E240" t="s">
        <v>192</v>
      </c>
      <c r="F240" s="21" t="str">
        <f t="shared" si="8"/>
        <v>rtdc.l.rtdc.4032:itc</v>
      </c>
      <c r="G240" s="8">
        <f t="shared" si="9"/>
        <v>42657.969039351854</v>
      </c>
    </row>
    <row r="241" spans="1:7" x14ac:dyDescent="0.25">
      <c r="A241" s="8">
        <v>42657.995289351849</v>
      </c>
      <c r="B241" t="s">
        <v>220</v>
      </c>
      <c r="C241" t="s">
        <v>335</v>
      </c>
      <c r="D241">
        <v>1300000</v>
      </c>
      <c r="E241" t="s">
        <v>114</v>
      </c>
      <c r="F241" s="21" t="str">
        <f t="shared" si="8"/>
        <v>rtdc.l.rtdc.4039:itc</v>
      </c>
      <c r="G241" s="8">
        <f t="shared" si="9"/>
        <v>42657.995289351849</v>
      </c>
    </row>
    <row r="242" spans="1:7" x14ac:dyDescent="0.25">
      <c r="A242" s="8">
        <v>42657.997476851851</v>
      </c>
      <c r="B242" t="s">
        <v>292</v>
      </c>
      <c r="C242" t="s">
        <v>336</v>
      </c>
      <c r="D242">
        <v>1800000</v>
      </c>
      <c r="E242" t="s">
        <v>215</v>
      </c>
      <c r="F242" s="21" t="str">
        <f t="shared" si="8"/>
        <v>rtdc.l.rtdc.4042:itc</v>
      </c>
      <c r="G242" s="8">
        <f t="shared" si="9"/>
        <v>42657.997476851851</v>
      </c>
    </row>
    <row r="243" spans="1:7" x14ac:dyDescent="0.25">
      <c r="A243" s="8">
        <v>42658.011307870373</v>
      </c>
      <c r="B243" t="s">
        <v>224</v>
      </c>
      <c r="C243" t="s">
        <v>337</v>
      </c>
      <c r="D243">
        <v>1480000</v>
      </c>
      <c r="E243" t="s">
        <v>192</v>
      </c>
      <c r="F243" s="21" t="str">
        <f t="shared" si="8"/>
        <v>rtdc.l.rtdc.4031:itc</v>
      </c>
      <c r="G243" s="8">
        <f t="shared" si="9"/>
        <v>42658.011307870373</v>
      </c>
    </row>
    <row r="244" spans="1:7" x14ac:dyDescent="0.25">
      <c r="A244" s="8">
        <v>42658.014039351852</v>
      </c>
      <c r="B244" t="s">
        <v>315</v>
      </c>
      <c r="C244" t="s">
        <v>338</v>
      </c>
      <c r="D244">
        <v>1230000</v>
      </c>
      <c r="E244" t="s">
        <v>221</v>
      </c>
      <c r="F244" s="21" t="str">
        <f t="shared" si="8"/>
        <v>rtdc.l.rtdc.4045:itc</v>
      </c>
      <c r="G244" s="8">
        <f t="shared" si="9"/>
        <v>42658.014039351852</v>
      </c>
    </row>
    <row r="245" spans="1:7" x14ac:dyDescent="0.25">
      <c r="A245" s="8">
        <v>42658.036134259259</v>
      </c>
      <c r="B245" t="s">
        <v>294</v>
      </c>
      <c r="C245" t="s">
        <v>339</v>
      </c>
      <c r="D245">
        <v>1800000</v>
      </c>
      <c r="E245" t="s">
        <v>215</v>
      </c>
      <c r="F245" s="21" t="str">
        <f t="shared" si="8"/>
        <v>rtdc.l.rtdc.4041:itc</v>
      </c>
      <c r="G245" s="8">
        <f t="shared" si="9"/>
        <v>42658.036134259259</v>
      </c>
    </row>
    <row r="246" spans="1:7" x14ac:dyDescent="0.25">
      <c r="A246" s="8">
        <v>42658.036620370367</v>
      </c>
      <c r="B246" t="s">
        <v>285</v>
      </c>
      <c r="C246" t="s">
        <v>340</v>
      </c>
      <c r="D246">
        <v>1300000</v>
      </c>
      <c r="E246" t="s">
        <v>114</v>
      </c>
      <c r="F246" s="21" t="str">
        <f t="shared" si="8"/>
        <v>rtdc.l.rtdc.4040:itc</v>
      </c>
      <c r="G246" s="8">
        <f t="shared" si="9"/>
        <v>42658.036620370367</v>
      </c>
    </row>
    <row r="247" spans="1:7" x14ac:dyDescent="0.25">
      <c r="A247" s="8">
        <v>42658.046157407407</v>
      </c>
      <c r="B247" t="s">
        <v>201</v>
      </c>
      <c r="C247" t="s">
        <v>341</v>
      </c>
      <c r="D247">
        <v>1230000</v>
      </c>
      <c r="E247" t="s">
        <v>221</v>
      </c>
      <c r="F247" s="21" t="str">
        <f t="shared" si="8"/>
        <v>rtdc.l.rtdc.4046:itc</v>
      </c>
      <c r="G247" s="8">
        <f t="shared" si="9"/>
        <v>42658.046157407407</v>
      </c>
    </row>
    <row r="248" spans="1:7" x14ac:dyDescent="0.25">
      <c r="A248" s="8">
        <v>42658.055277777778</v>
      </c>
      <c r="B248" t="s">
        <v>223</v>
      </c>
      <c r="C248" t="s">
        <v>342</v>
      </c>
      <c r="D248">
        <v>1480000</v>
      </c>
      <c r="E248" t="s">
        <v>192</v>
      </c>
      <c r="F248" s="21" t="str">
        <f t="shared" si="8"/>
        <v>rtdc.l.rtdc.4032:itc</v>
      </c>
      <c r="G248" s="8">
        <f t="shared" si="9"/>
        <v>42658.055277777778</v>
      </c>
    </row>
    <row r="249" spans="1:7" x14ac:dyDescent="0.25">
      <c r="A249" s="8">
        <v>42658.071793981479</v>
      </c>
      <c r="B249" t="s">
        <v>292</v>
      </c>
      <c r="C249" t="s">
        <v>343</v>
      </c>
      <c r="D249">
        <v>1800000</v>
      </c>
      <c r="E249" t="s">
        <v>215</v>
      </c>
      <c r="F249" s="21" t="str">
        <f t="shared" si="8"/>
        <v>rtdc.l.rtdc.4042:itc</v>
      </c>
      <c r="G249" s="8">
        <f t="shared" si="9"/>
        <v>42658.071793981479</v>
      </c>
    </row>
    <row r="250" spans="1:7" x14ac:dyDescent="0.25">
      <c r="A250" s="8">
        <v>42658.0778125</v>
      </c>
      <c r="B250" t="s">
        <v>220</v>
      </c>
      <c r="C250" t="s">
        <v>344</v>
      </c>
      <c r="D250">
        <v>1300000</v>
      </c>
      <c r="E250" t="s">
        <v>114</v>
      </c>
      <c r="F250" s="21" t="str">
        <f t="shared" si="8"/>
        <v>rtdc.l.rtdc.4039:itc</v>
      </c>
      <c r="G250" s="8">
        <f t="shared" si="9"/>
        <v>42658.0778125</v>
      </c>
    </row>
    <row r="251" spans="1:7" x14ac:dyDescent="0.25">
      <c r="A251" s="8">
        <v>42658.092233796298</v>
      </c>
      <c r="B251" t="s">
        <v>224</v>
      </c>
      <c r="C251" t="s">
        <v>345</v>
      </c>
      <c r="D251">
        <v>1480000</v>
      </c>
      <c r="E251" t="s">
        <v>192</v>
      </c>
      <c r="F251" s="21" t="str">
        <f t="shared" si="8"/>
        <v>rtdc.l.rtdc.4031:itc</v>
      </c>
      <c r="G251" s="8">
        <f t="shared" si="9"/>
        <v>42658.092233796298</v>
      </c>
    </row>
    <row r="252" spans="1:7" x14ac:dyDescent="0.25">
      <c r="A252" s="8">
        <v>42658.108935185184</v>
      </c>
      <c r="B252" t="s">
        <v>285</v>
      </c>
      <c r="C252" t="s">
        <v>346</v>
      </c>
      <c r="D252">
        <v>1300000</v>
      </c>
      <c r="E252" t="s">
        <v>114</v>
      </c>
      <c r="F252" s="21" t="str">
        <f t="shared" si="8"/>
        <v>rtdc.l.rtdc.4040:itc</v>
      </c>
      <c r="G252" s="8">
        <f t="shared" si="9"/>
        <v>42658.108935185184</v>
      </c>
    </row>
    <row r="253" spans="1:7" x14ac:dyDescent="0.25">
      <c r="A253" s="8">
        <v>42651.069953703707</v>
      </c>
      <c r="B253" t="s">
        <v>201</v>
      </c>
      <c r="C253" t="s">
        <v>209</v>
      </c>
      <c r="D253">
        <v>1800000</v>
      </c>
      <c r="E253" t="s">
        <v>215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198</v>
      </c>
      <c r="C254" t="s">
        <v>208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213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213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212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214</v>
      </c>
      <c r="C258" t="s">
        <v>210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200</v>
      </c>
      <c r="C259" t="s">
        <v>211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200</v>
      </c>
      <c r="C261" t="s">
        <v>203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202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204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199</v>
      </c>
      <c r="C264" t="s">
        <v>205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202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202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202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202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202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206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202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202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202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7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168</v>
      </c>
      <c r="B1" s="178" t="s">
        <v>171</v>
      </c>
      <c r="C1" s="178" t="s">
        <v>164</v>
      </c>
      <c r="D1" s="179" t="s">
        <v>178</v>
      </c>
      <c r="E1" s="178" t="s">
        <v>165</v>
      </c>
      <c r="F1" s="178" t="s">
        <v>163</v>
      </c>
      <c r="G1" s="178" t="s">
        <v>161</v>
      </c>
      <c r="H1" s="178" t="s">
        <v>174</v>
      </c>
      <c r="I1" s="178" t="s">
        <v>175</v>
      </c>
      <c r="J1" s="178" t="s">
        <v>169</v>
      </c>
      <c r="K1" s="178" t="s">
        <v>167</v>
      </c>
      <c r="L1" s="178" t="s">
        <v>162</v>
      </c>
      <c r="M1" s="178" t="s">
        <v>172</v>
      </c>
      <c r="N1" s="178" t="s">
        <v>166</v>
      </c>
      <c r="O1" s="178" t="s">
        <v>173</v>
      </c>
      <c r="P1" s="178" t="s">
        <v>170</v>
      </c>
      <c r="Q1"/>
    </row>
    <row r="2" spans="1:17" x14ac:dyDescent="0.25">
      <c r="A2" s="142">
        <v>53.46</v>
      </c>
      <c r="B2" s="142">
        <v>0.15</v>
      </c>
      <c r="C2" s="142">
        <v>31.03</v>
      </c>
      <c r="D2" s="8">
        <v>42659</v>
      </c>
      <c r="E2" s="142">
        <v>0.42</v>
      </c>
      <c r="F2" s="142" t="s">
        <v>289</v>
      </c>
      <c r="G2" s="142">
        <v>276.72000000000003</v>
      </c>
      <c r="H2" s="142">
        <v>0</v>
      </c>
      <c r="I2" s="142">
        <v>0</v>
      </c>
      <c r="J2" s="142">
        <v>1008.69</v>
      </c>
      <c r="K2" s="142" t="s">
        <v>290</v>
      </c>
      <c r="L2" s="142">
        <v>53.46</v>
      </c>
      <c r="M2" s="142">
        <v>1476597600</v>
      </c>
      <c r="N2" s="142">
        <v>8.25</v>
      </c>
      <c r="O2" s="142">
        <v>229</v>
      </c>
      <c r="P2" s="142">
        <v>2.59</v>
      </c>
      <c r="Q2"/>
    </row>
    <row r="3" spans="1:17" x14ac:dyDescent="0.25">
      <c r="A3" s="142">
        <v>52.39</v>
      </c>
      <c r="B3" s="142">
        <v>0.1</v>
      </c>
      <c r="C3" s="142">
        <v>31.82</v>
      </c>
      <c r="D3" s="8">
        <v>42659.041666666664</v>
      </c>
      <c r="E3" s="142">
        <v>0.45</v>
      </c>
      <c r="F3" s="142" t="s">
        <v>289</v>
      </c>
      <c r="G3" s="142">
        <v>276.07</v>
      </c>
      <c r="H3" s="142">
        <v>0</v>
      </c>
      <c r="I3" s="142">
        <v>0</v>
      </c>
      <c r="J3" s="142">
        <v>1008.4</v>
      </c>
      <c r="K3" s="142" t="s">
        <v>290</v>
      </c>
      <c r="L3" s="142">
        <v>52.39</v>
      </c>
      <c r="M3" s="142">
        <v>1476601200</v>
      </c>
      <c r="N3" s="142">
        <v>8.4</v>
      </c>
      <c r="O3" s="142">
        <v>237</v>
      </c>
      <c r="P3" s="142">
        <v>3.15</v>
      </c>
      <c r="Q3"/>
    </row>
    <row r="4" spans="1:17" x14ac:dyDescent="0.25">
      <c r="A4" s="142">
        <v>50.01</v>
      </c>
      <c r="B4" s="142">
        <v>0.05</v>
      </c>
      <c r="C4" s="142">
        <v>31.19</v>
      </c>
      <c r="D4" s="8">
        <v>42659.083333333336</v>
      </c>
      <c r="E4" s="142">
        <v>0.48</v>
      </c>
      <c r="F4" s="142" t="s">
        <v>289</v>
      </c>
      <c r="G4" s="142">
        <v>275.42</v>
      </c>
      <c r="H4" s="142">
        <v>0</v>
      </c>
      <c r="I4" s="142">
        <v>0</v>
      </c>
      <c r="J4" s="142">
        <v>1008.14</v>
      </c>
      <c r="K4" s="142" t="s">
        <v>290</v>
      </c>
      <c r="L4" s="142">
        <v>50.01</v>
      </c>
      <c r="M4" s="142">
        <v>1476604800</v>
      </c>
      <c r="N4" s="142">
        <v>8.35</v>
      </c>
      <c r="O4" s="142">
        <v>222</v>
      </c>
      <c r="P4" s="142">
        <v>2.95</v>
      </c>
      <c r="Q4"/>
    </row>
    <row r="5" spans="1:17" x14ac:dyDescent="0.25">
      <c r="A5" s="142">
        <v>47.48</v>
      </c>
      <c r="B5" s="142">
        <v>0.05</v>
      </c>
      <c r="C5" s="142">
        <v>30.57</v>
      </c>
      <c r="D5" s="8">
        <v>42659.125</v>
      </c>
      <c r="E5" s="142">
        <v>0.5</v>
      </c>
      <c r="F5" s="142" t="s">
        <v>289</v>
      </c>
      <c r="G5" s="142">
        <v>274.77</v>
      </c>
      <c r="H5" s="142">
        <v>0</v>
      </c>
      <c r="I5" s="142">
        <v>0</v>
      </c>
      <c r="J5" s="142">
        <v>1007.91</v>
      </c>
      <c r="K5" s="142" t="s">
        <v>290</v>
      </c>
      <c r="L5" s="142">
        <v>48.59</v>
      </c>
      <c r="M5" s="142">
        <v>1476608400</v>
      </c>
      <c r="N5" s="142">
        <v>7.96</v>
      </c>
      <c r="O5" s="142">
        <v>218</v>
      </c>
      <c r="P5" s="142">
        <v>3.7</v>
      </c>
      <c r="Q5"/>
    </row>
    <row r="6" spans="1:17" x14ac:dyDescent="0.25">
      <c r="A6" s="142">
        <v>46.77</v>
      </c>
      <c r="B6" s="142">
        <v>0.11</v>
      </c>
      <c r="C6" s="142">
        <v>30.03</v>
      </c>
      <c r="D6" s="8">
        <v>42659.166666666664</v>
      </c>
      <c r="E6" s="142">
        <v>0.49</v>
      </c>
      <c r="F6" s="142" t="s">
        <v>289</v>
      </c>
      <c r="G6" s="142">
        <v>275.04000000000002</v>
      </c>
      <c r="H6" s="142">
        <v>0</v>
      </c>
      <c r="I6" s="142">
        <v>0</v>
      </c>
      <c r="J6" s="142">
        <v>1007.09</v>
      </c>
      <c r="K6" s="142" t="s">
        <v>290</v>
      </c>
      <c r="L6" s="142">
        <v>48.31</v>
      </c>
      <c r="M6" s="142">
        <v>1476612000</v>
      </c>
      <c r="N6" s="142">
        <v>7.76</v>
      </c>
      <c r="O6" s="142">
        <v>218</v>
      </c>
      <c r="P6" s="142">
        <v>4.21</v>
      </c>
      <c r="Q6"/>
    </row>
    <row r="7" spans="1:17" x14ac:dyDescent="0.25">
      <c r="A7" s="142">
        <v>48.02</v>
      </c>
      <c r="B7" s="142">
        <v>0.22</v>
      </c>
      <c r="C7" s="142">
        <v>28.66</v>
      </c>
      <c r="D7" s="8">
        <v>42659.208333333336</v>
      </c>
      <c r="E7" s="142">
        <v>0.45</v>
      </c>
      <c r="F7" s="142" t="s">
        <v>289</v>
      </c>
      <c r="G7" s="142">
        <v>275.66000000000003</v>
      </c>
      <c r="H7" s="142">
        <v>0</v>
      </c>
      <c r="I7" s="142">
        <v>0</v>
      </c>
      <c r="J7" s="142">
        <v>1006.2</v>
      </c>
      <c r="K7" s="142" t="s">
        <v>290</v>
      </c>
      <c r="L7" s="142">
        <v>49.29</v>
      </c>
      <c r="M7" s="142">
        <v>1476615600</v>
      </c>
      <c r="N7" s="142">
        <v>8.26</v>
      </c>
      <c r="O7" s="142">
        <v>211</v>
      </c>
      <c r="P7" s="142">
        <v>4.04</v>
      </c>
      <c r="Q7"/>
    </row>
    <row r="8" spans="1:17" x14ac:dyDescent="0.25">
      <c r="A8" s="142">
        <v>50.02</v>
      </c>
      <c r="B8" s="142">
        <v>0.27</v>
      </c>
      <c r="C8" s="142">
        <v>26.87</v>
      </c>
      <c r="D8" s="8">
        <v>42659.25</v>
      </c>
      <c r="E8" s="142">
        <v>0.4</v>
      </c>
      <c r="F8" s="142" t="s">
        <v>219</v>
      </c>
      <c r="G8" s="142">
        <v>276.02</v>
      </c>
      <c r="H8" s="142">
        <v>0</v>
      </c>
      <c r="I8" s="142">
        <v>0</v>
      </c>
      <c r="J8" s="142">
        <v>1005.57</v>
      </c>
      <c r="K8" s="142" t="s">
        <v>218</v>
      </c>
      <c r="L8" s="142">
        <v>50.02</v>
      </c>
      <c r="M8" s="142">
        <v>1476619200</v>
      </c>
      <c r="N8" s="142">
        <v>7.5</v>
      </c>
      <c r="O8" s="142">
        <v>208</v>
      </c>
      <c r="P8" s="142">
        <v>4.6399999999999997</v>
      </c>
      <c r="Q8"/>
    </row>
    <row r="9" spans="1:17" x14ac:dyDescent="0.25">
      <c r="A9" s="142">
        <v>55.34</v>
      </c>
      <c r="B9" s="142">
        <v>0.31</v>
      </c>
      <c r="C9" s="142">
        <v>26.94</v>
      </c>
      <c r="D9" s="8">
        <v>42659.291666666664</v>
      </c>
      <c r="E9" s="142">
        <v>0.33</v>
      </c>
      <c r="F9" s="142" t="s">
        <v>219</v>
      </c>
      <c r="G9" s="142">
        <v>275.64</v>
      </c>
      <c r="H9" s="142">
        <v>0</v>
      </c>
      <c r="I9" s="142">
        <v>0</v>
      </c>
      <c r="J9" s="142">
        <v>1005.45</v>
      </c>
      <c r="K9" s="142" t="s">
        <v>218</v>
      </c>
      <c r="L9" s="142">
        <v>55.34</v>
      </c>
      <c r="M9" s="142">
        <v>1476622800</v>
      </c>
      <c r="N9" s="142">
        <v>6.76</v>
      </c>
      <c r="O9" s="142">
        <v>207</v>
      </c>
      <c r="P9" s="142">
        <v>4.41</v>
      </c>
      <c r="Q9"/>
    </row>
    <row r="10" spans="1:17" x14ac:dyDescent="0.25">
      <c r="A10" s="142">
        <v>57.14</v>
      </c>
      <c r="B10" s="142">
        <v>0.28999999999999998</v>
      </c>
      <c r="C10" s="142">
        <v>27.34</v>
      </c>
      <c r="D10" s="8">
        <v>42659.333333333336</v>
      </c>
      <c r="E10" s="142">
        <v>0.32</v>
      </c>
      <c r="F10" s="142" t="s">
        <v>288</v>
      </c>
      <c r="G10" s="142">
        <v>274.98</v>
      </c>
      <c r="H10" s="142">
        <v>0</v>
      </c>
      <c r="I10" s="142">
        <v>0</v>
      </c>
      <c r="J10" s="142">
        <v>1005.17</v>
      </c>
      <c r="K10" s="142" t="s">
        <v>218</v>
      </c>
      <c r="L10" s="142">
        <v>57.14</v>
      </c>
      <c r="M10" s="142">
        <v>1476626400</v>
      </c>
      <c r="N10" s="142">
        <v>6.13</v>
      </c>
      <c r="O10" s="142">
        <v>218</v>
      </c>
      <c r="P10" s="142">
        <v>4.5599999999999996</v>
      </c>
      <c r="Q10"/>
    </row>
    <row r="11" spans="1:17" x14ac:dyDescent="0.25">
      <c r="A11" s="142">
        <v>62.39</v>
      </c>
      <c r="B11" s="142">
        <v>0.23</v>
      </c>
      <c r="C11" s="142">
        <v>26.82</v>
      </c>
      <c r="D11" s="8">
        <v>42659.375</v>
      </c>
      <c r="E11" s="142">
        <v>0.26</v>
      </c>
      <c r="F11" s="142" t="s">
        <v>375</v>
      </c>
      <c r="G11" s="142">
        <v>274.87</v>
      </c>
      <c r="H11" s="142">
        <v>0</v>
      </c>
      <c r="I11" s="142">
        <v>0</v>
      </c>
      <c r="J11" s="142">
        <v>1004.61</v>
      </c>
      <c r="K11" s="142" t="s">
        <v>290</v>
      </c>
      <c r="L11" s="142">
        <v>62.39</v>
      </c>
      <c r="M11" s="142">
        <v>1476630000</v>
      </c>
      <c r="N11" s="142">
        <v>5.96</v>
      </c>
      <c r="O11" s="142">
        <v>229</v>
      </c>
      <c r="P11" s="142">
        <v>4.2699999999999996</v>
      </c>
      <c r="Q11"/>
    </row>
    <row r="12" spans="1:17" x14ac:dyDescent="0.25">
      <c r="A12" s="142">
        <v>69.61</v>
      </c>
      <c r="B12" s="142">
        <v>0.3</v>
      </c>
      <c r="C12" s="142">
        <v>26.63</v>
      </c>
      <c r="D12" s="8">
        <v>42659.416666666664</v>
      </c>
      <c r="E12" s="142">
        <v>0.2</v>
      </c>
      <c r="F12" s="142" t="s">
        <v>288</v>
      </c>
      <c r="G12" s="142">
        <v>276.02999999999997</v>
      </c>
      <c r="H12" s="142">
        <v>0</v>
      </c>
      <c r="I12" s="142">
        <v>0</v>
      </c>
      <c r="J12" s="142">
        <v>1003.61</v>
      </c>
      <c r="K12" s="142" t="s">
        <v>218</v>
      </c>
      <c r="L12" s="142">
        <v>69.61</v>
      </c>
      <c r="M12" s="142">
        <v>1476633600</v>
      </c>
      <c r="N12" s="142">
        <v>5.81</v>
      </c>
      <c r="O12" s="142">
        <v>229</v>
      </c>
      <c r="P12" s="142">
        <v>5.69</v>
      </c>
      <c r="Q12"/>
    </row>
    <row r="13" spans="1:17" x14ac:dyDescent="0.25">
      <c r="A13" s="142">
        <v>75.13</v>
      </c>
      <c r="B13" s="142">
        <v>0.4</v>
      </c>
      <c r="C13" s="142">
        <v>26.09</v>
      </c>
      <c r="D13" s="8">
        <v>42659.458333333336</v>
      </c>
      <c r="E13" s="142">
        <v>0.16</v>
      </c>
      <c r="F13" s="142" t="s">
        <v>288</v>
      </c>
      <c r="G13" s="142">
        <v>277.72000000000003</v>
      </c>
      <c r="H13" s="142">
        <v>0</v>
      </c>
      <c r="I13" s="142">
        <v>0</v>
      </c>
      <c r="J13" s="142">
        <v>1002.44</v>
      </c>
      <c r="K13" s="142" t="s">
        <v>218</v>
      </c>
      <c r="L13" s="142">
        <v>75.13</v>
      </c>
      <c r="M13" s="142">
        <v>1476637200</v>
      </c>
      <c r="N13" s="142">
        <v>5.74</v>
      </c>
      <c r="O13" s="142">
        <v>243</v>
      </c>
      <c r="P13" s="142">
        <v>4.9400000000000004</v>
      </c>
      <c r="Q13"/>
    </row>
    <row r="14" spans="1:17" x14ac:dyDescent="0.25">
      <c r="A14" s="142">
        <v>79.400000000000006</v>
      </c>
      <c r="B14" s="142">
        <v>0.41</v>
      </c>
      <c r="C14" s="142">
        <v>26.92</v>
      </c>
      <c r="D14" s="8">
        <v>42659.5</v>
      </c>
      <c r="E14" s="142">
        <v>0.15</v>
      </c>
      <c r="F14" s="142" t="s">
        <v>288</v>
      </c>
      <c r="G14" s="142">
        <v>278.52</v>
      </c>
      <c r="H14" s="142">
        <v>0</v>
      </c>
      <c r="I14" s="142">
        <v>0</v>
      </c>
      <c r="J14" s="142">
        <v>1001.44</v>
      </c>
      <c r="K14" s="142" t="s">
        <v>218</v>
      </c>
      <c r="L14" s="142">
        <v>79.400000000000006</v>
      </c>
      <c r="M14" s="142">
        <v>1476640800</v>
      </c>
      <c r="N14" s="142">
        <v>5.83</v>
      </c>
      <c r="O14" s="142">
        <v>256</v>
      </c>
      <c r="P14" s="142">
        <v>4.71</v>
      </c>
      <c r="Q14"/>
    </row>
    <row r="15" spans="1:17" x14ac:dyDescent="0.25">
      <c r="A15" s="142">
        <v>79.25</v>
      </c>
      <c r="B15" s="142">
        <v>0.46</v>
      </c>
      <c r="C15" s="142">
        <v>26.65</v>
      </c>
      <c r="D15" s="8">
        <v>42659.541666666664</v>
      </c>
      <c r="E15" s="142">
        <v>0.13</v>
      </c>
      <c r="F15" s="142" t="s">
        <v>288</v>
      </c>
      <c r="G15" s="142">
        <v>277.45999999999998</v>
      </c>
      <c r="H15" s="142">
        <v>0</v>
      </c>
      <c r="I15" s="142">
        <v>0</v>
      </c>
      <c r="J15" s="142">
        <v>1000.68</v>
      </c>
      <c r="K15" s="142" t="s">
        <v>218</v>
      </c>
      <c r="L15" s="142">
        <v>81.44</v>
      </c>
      <c r="M15" s="142">
        <v>1476644400</v>
      </c>
      <c r="N15" s="142">
        <v>5.74</v>
      </c>
      <c r="O15" s="142">
        <v>275</v>
      </c>
      <c r="P15" s="142">
        <v>4.04</v>
      </c>
      <c r="Q15"/>
    </row>
    <row r="16" spans="1:17" x14ac:dyDescent="0.25">
      <c r="A16" s="142">
        <v>79.790000000000006</v>
      </c>
      <c r="B16" s="142">
        <v>0.33</v>
      </c>
      <c r="C16" s="142">
        <v>25.66</v>
      </c>
      <c r="D16" s="8">
        <v>42659.583333333336</v>
      </c>
      <c r="E16" s="142">
        <v>0.13</v>
      </c>
      <c r="F16" s="142" t="s">
        <v>288</v>
      </c>
      <c r="G16" s="142">
        <v>275.51</v>
      </c>
      <c r="H16" s="142">
        <v>0</v>
      </c>
      <c r="I16" s="142">
        <v>0</v>
      </c>
      <c r="J16" s="142">
        <v>1000.1</v>
      </c>
      <c r="K16" s="142" t="s">
        <v>218</v>
      </c>
      <c r="L16" s="142">
        <v>82.31</v>
      </c>
      <c r="M16" s="142">
        <v>1476648000</v>
      </c>
      <c r="N16" s="142">
        <v>5.8</v>
      </c>
      <c r="O16" s="142">
        <v>280</v>
      </c>
      <c r="P16" s="142">
        <v>4.0999999999999996</v>
      </c>
      <c r="Q16"/>
    </row>
    <row r="17" spans="1:17" x14ac:dyDescent="0.25">
      <c r="A17" s="142">
        <v>80.010000000000005</v>
      </c>
      <c r="B17" s="142">
        <v>0.23</v>
      </c>
      <c r="C17" s="142">
        <v>24.9</v>
      </c>
      <c r="D17" s="8">
        <v>42659.625</v>
      </c>
      <c r="E17" s="142">
        <v>0.12</v>
      </c>
      <c r="F17" s="142" t="s">
        <v>375</v>
      </c>
      <c r="G17" s="142">
        <v>274.16000000000003</v>
      </c>
      <c r="H17" s="142">
        <v>0</v>
      </c>
      <c r="I17" s="142">
        <v>0</v>
      </c>
      <c r="J17" s="142">
        <v>999.77</v>
      </c>
      <c r="K17" s="142" t="s">
        <v>290</v>
      </c>
      <c r="L17" s="142">
        <v>82.72</v>
      </c>
      <c r="M17" s="142">
        <v>1476651600</v>
      </c>
      <c r="N17" s="142">
        <v>5.73</v>
      </c>
      <c r="O17" s="142">
        <v>285</v>
      </c>
      <c r="P17" s="142">
        <v>2.44</v>
      </c>
      <c r="Q17"/>
    </row>
    <row r="18" spans="1:17" x14ac:dyDescent="0.25">
      <c r="A18" s="142">
        <v>79.23</v>
      </c>
      <c r="B18" s="142">
        <v>0.3</v>
      </c>
      <c r="C18" s="142">
        <v>24.58</v>
      </c>
      <c r="D18" s="8">
        <v>42659.666666666664</v>
      </c>
      <c r="E18" s="142">
        <v>0.12</v>
      </c>
      <c r="F18" s="142" t="s">
        <v>288</v>
      </c>
      <c r="G18" s="142">
        <v>274.2</v>
      </c>
      <c r="H18" s="142">
        <v>0</v>
      </c>
      <c r="I18" s="142">
        <v>0</v>
      </c>
      <c r="J18" s="142">
        <v>999.63</v>
      </c>
      <c r="K18" s="142" t="s">
        <v>218</v>
      </c>
      <c r="L18" s="142">
        <v>81.56</v>
      </c>
      <c r="M18" s="142">
        <v>1476655200</v>
      </c>
      <c r="N18" s="142">
        <v>5.81</v>
      </c>
      <c r="O18" s="142">
        <v>270</v>
      </c>
      <c r="P18" s="142">
        <v>1.05</v>
      </c>
      <c r="Q18"/>
    </row>
    <row r="19" spans="1:17" x14ac:dyDescent="0.25">
      <c r="A19" s="142">
        <v>78.14</v>
      </c>
      <c r="B19" s="142">
        <v>0.37</v>
      </c>
      <c r="C19" s="142">
        <v>24.87</v>
      </c>
      <c r="D19" s="8">
        <v>42659.708333333336</v>
      </c>
      <c r="E19" s="142">
        <v>0.14000000000000001</v>
      </c>
      <c r="F19" s="142" t="s">
        <v>288</v>
      </c>
      <c r="G19" s="142">
        <v>274.85000000000002</v>
      </c>
      <c r="H19" s="142">
        <v>0</v>
      </c>
      <c r="I19" s="142">
        <v>0</v>
      </c>
      <c r="J19" s="142">
        <v>999.71</v>
      </c>
      <c r="K19" s="142" t="s">
        <v>218</v>
      </c>
      <c r="L19" s="142">
        <v>78.14</v>
      </c>
      <c r="M19" s="142">
        <v>1476658800</v>
      </c>
      <c r="N19" s="142">
        <v>5.89</v>
      </c>
      <c r="O19" s="142">
        <v>109</v>
      </c>
      <c r="P19" s="142">
        <v>1.95</v>
      </c>
      <c r="Q19"/>
    </row>
    <row r="20" spans="1:17" x14ac:dyDescent="0.25">
      <c r="A20" s="142">
        <v>73.17</v>
      </c>
      <c r="B20" s="142">
        <v>0.49</v>
      </c>
      <c r="C20" s="142">
        <v>24.61</v>
      </c>
      <c r="D20" s="8">
        <v>42659.75</v>
      </c>
      <c r="E20" s="142">
        <v>0.16</v>
      </c>
      <c r="F20" s="142" t="s">
        <v>288</v>
      </c>
      <c r="G20" s="142">
        <v>275.27</v>
      </c>
      <c r="H20" s="142">
        <v>0</v>
      </c>
      <c r="I20" s="142">
        <v>0</v>
      </c>
      <c r="J20" s="142">
        <v>1000.17</v>
      </c>
      <c r="K20" s="142" t="s">
        <v>218</v>
      </c>
      <c r="L20" s="142">
        <v>73.17</v>
      </c>
      <c r="M20" s="142">
        <v>1476662400</v>
      </c>
      <c r="N20" s="142">
        <v>6.15</v>
      </c>
      <c r="O20" s="142">
        <v>75</v>
      </c>
      <c r="P20" s="142">
        <v>4.0199999999999996</v>
      </c>
      <c r="Q20"/>
    </row>
    <row r="21" spans="1:17" x14ac:dyDescent="0.25">
      <c r="A21" s="142">
        <v>69.66</v>
      </c>
      <c r="B21" s="142">
        <v>0.31</v>
      </c>
      <c r="C21" s="142">
        <v>25.61</v>
      </c>
      <c r="D21" s="8">
        <v>42659.791666666664</v>
      </c>
      <c r="E21" s="142">
        <v>0.19</v>
      </c>
      <c r="F21" s="142" t="s">
        <v>219</v>
      </c>
      <c r="G21" s="142">
        <v>275.17</v>
      </c>
      <c r="H21" s="142">
        <v>0</v>
      </c>
      <c r="I21" s="142">
        <v>0</v>
      </c>
      <c r="J21" s="142">
        <v>1000.93</v>
      </c>
      <c r="K21" s="142" t="s">
        <v>218</v>
      </c>
      <c r="L21" s="142">
        <v>69.66</v>
      </c>
      <c r="M21" s="142">
        <v>1476666000</v>
      </c>
      <c r="N21" s="142">
        <v>6.66</v>
      </c>
      <c r="O21" s="142">
        <v>70</v>
      </c>
      <c r="P21" s="142">
        <v>3.76</v>
      </c>
      <c r="Q21"/>
    </row>
    <row r="22" spans="1:17" x14ac:dyDescent="0.25">
      <c r="A22" s="142">
        <v>64.05</v>
      </c>
      <c r="B22" s="142">
        <v>0.19</v>
      </c>
      <c r="C22" s="142">
        <v>32.119999999999997</v>
      </c>
      <c r="D22" s="8">
        <v>42659.833333333336</v>
      </c>
      <c r="E22" s="142">
        <v>0.3</v>
      </c>
      <c r="F22" s="142" t="s">
        <v>289</v>
      </c>
      <c r="G22" s="142">
        <v>274.85000000000002</v>
      </c>
      <c r="H22" s="142">
        <v>0</v>
      </c>
      <c r="I22" s="142">
        <v>0</v>
      </c>
      <c r="J22" s="142">
        <v>1002.37</v>
      </c>
      <c r="K22" s="142" t="s">
        <v>290</v>
      </c>
      <c r="L22" s="142">
        <v>64.05</v>
      </c>
      <c r="M22" s="142">
        <v>1476669600</v>
      </c>
      <c r="N22" s="142">
        <v>7.29</v>
      </c>
      <c r="O22" s="142">
        <v>50</v>
      </c>
      <c r="P22" s="142">
        <v>4.29</v>
      </c>
      <c r="Q22"/>
    </row>
    <row r="23" spans="1:17" x14ac:dyDescent="0.25">
      <c r="A23" s="142">
        <v>58.7</v>
      </c>
      <c r="B23" s="142">
        <v>0.08</v>
      </c>
      <c r="C23" s="142">
        <v>32.340000000000003</v>
      </c>
      <c r="D23" s="8">
        <v>42659.875</v>
      </c>
      <c r="E23" s="142">
        <v>0.37</v>
      </c>
      <c r="F23" s="142" t="s">
        <v>289</v>
      </c>
      <c r="G23" s="142">
        <v>274.42</v>
      </c>
      <c r="H23" s="142">
        <v>0</v>
      </c>
      <c r="I23" s="142">
        <v>0</v>
      </c>
      <c r="J23" s="142">
        <v>1003.61</v>
      </c>
      <c r="K23" s="142" t="s">
        <v>290</v>
      </c>
      <c r="L23" s="142">
        <v>58.7</v>
      </c>
      <c r="M23" s="142">
        <v>1476673200</v>
      </c>
      <c r="N23" s="142">
        <v>8.16</v>
      </c>
      <c r="O23" s="142">
        <v>36</v>
      </c>
      <c r="P23" s="142">
        <v>2.4</v>
      </c>
      <c r="Q23"/>
    </row>
    <row r="24" spans="1:17" x14ac:dyDescent="0.25">
      <c r="A24" s="142">
        <v>55.92</v>
      </c>
      <c r="B24" s="142">
        <v>0.09</v>
      </c>
      <c r="C24" s="142">
        <v>33.380000000000003</v>
      </c>
      <c r="D24" s="8">
        <v>42659.916666666664</v>
      </c>
      <c r="E24" s="142">
        <v>0.42</v>
      </c>
      <c r="F24" s="142" t="s">
        <v>289</v>
      </c>
      <c r="G24" s="142">
        <v>273.85000000000002</v>
      </c>
      <c r="H24" s="142">
        <v>0</v>
      </c>
      <c r="I24" s="142">
        <v>0</v>
      </c>
      <c r="J24" s="142">
        <v>1004.33</v>
      </c>
      <c r="K24" s="142" t="s">
        <v>290</v>
      </c>
      <c r="L24" s="142">
        <v>55.92</v>
      </c>
      <c r="M24" s="142">
        <v>1476676800</v>
      </c>
      <c r="N24" s="142">
        <v>7.67</v>
      </c>
      <c r="O24" s="142">
        <v>138</v>
      </c>
      <c r="P24" s="142">
        <v>0.97</v>
      </c>
      <c r="Q24"/>
    </row>
    <row r="25" spans="1:17" x14ac:dyDescent="0.25">
      <c r="A25" s="142">
        <v>53.19</v>
      </c>
      <c r="B25" s="142">
        <v>0.16</v>
      </c>
      <c r="C25" s="142">
        <v>34.03</v>
      </c>
      <c r="D25" s="8">
        <v>42659.958333333336</v>
      </c>
      <c r="E25" s="142">
        <v>0.48</v>
      </c>
      <c r="F25" s="142" t="s">
        <v>289</v>
      </c>
      <c r="G25" s="142">
        <v>273.17</v>
      </c>
      <c r="H25" s="142">
        <v>0</v>
      </c>
      <c r="I25" s="142">
        <v>0</v>
      </c>
      <c r="J25" s="142">
        <v>1004.79</v>
      </c>
      <c r="K25" s="142" t="s">
        <v>290</v>
      </c>
      <c r="L25" s="142">
        <v>53.19</v>
      </c>
      <c r="M25" s="142">
        <v>1476680400</v>
      </c>
      <c r="N25" s="142">
        <v>7.41</v>
      </c>
      <c r="O25" s="142">
        <v>149</v>
      </c>
      <c r="P25" s="142">
        <v>2.19</v>
      </c>
      <c r="Q25"/>
    </row>
    <row r="26" spans="1:17" x14ac:dyDescent="0.25">
      <c r="A26" s="142">
        <v>50.82</v>
      </c>
      <c r="B26" s="142">
        <v>0.2</v>
      </c>
      <c r="C26" s="142">
        <v>33.89</v>
      </c>
      <c r="D26" s="8">
        <v>42660</v>
      </c>
      <c r="E26" s="142">
        <v>0.52</v>
      </c>
      <c r="F26" s="142" t="s">
        <v>289</v>
      </c>
      <c r="G26" s="142">
        <v>272.57</v>
      </c>
      <c r="H26" s="142">
        <v>0</v>
      </c>
      <c r="I26" s="142">
        <v>0</v>
      </c>
      <c r="J26" s="142">
        <v>1004.92</v>
      </c>
      <c r="K26" s="142" t="s">
        <v>290</v>
      </c>
      <c r="L26" s="142">
        <v>50.82</v>
      </c>
      <c r="M26" s="142">
        <v>1476684000</v>
      </c>
      <c r="N26" s="142">
        <v>7.72</v>
      </c>
      <c r="O26" s="142">
        <v>159</v>
      </c>
      <c r="P26" s="142">
        <v>2.5299999999999998</v>
      </c>
      <c r="Q26"/>
    </row>
    <row r="27" spans="1:17" x14ac:dyDescent="0.25">
      <c r="A27" s="142">
        <v>49.76</v>
      </c>
      <c r="B27" s="142">
        <v>0.18</v>
      </c>
      <c r="C27" s="142">
        <v>34.86</v>
      </c>
      <c r="D27" s="8">
        <v>42660.041666666664</v>
      </c>
      <c r="E27" s="142">
        <v>0.56000000000000005</v>
      </c>
      <c r="F27" s="142" t="s">
        <v>289</v>
      </c>
      <c r="G27" s="142">
        <v>272.2</v>
      </c>
      <c r="H27" s="142">
        <v>0</v>
      </c>
      <c r="I27" s="142">
        <v>0</v>
      </c>
      <c r="J27" s="142">
        <v>1004.24</v>
      </c>
      <c r="K27" s="142" t="s">
        <v>290</v>
      </c>
      <c r="L27" s="142">
        <v>49.76</v>
      </c>
      <c r="M27" s="142">
        <v>1476687600</v>
      </c>
      <c r="N27" s="142">
        <v>7.77</v>
      </c>
      <c r="O27" s="142">
        <v>195</v>
      </c>
      <c r="P27" s="142">
        <v>1.6</v>
      </c>
      <c r="Q27"/>
    </row>
    <row r="28" spans="1:17" x14ac:dyDescent="0.25">
      <c r="A28" s="142">
        <v>47.46</v>
      </c>
      <c r="B28" s="142">
        <v>0.19</v>
      </c>
      <c r="C28" s="142">
        <v>34.28</v>
      </c>
      <c r="D28" s="8">
        <v>42660.083333333336</v>
      </c>
      <c r="E28" s="142">
        <v>0.6</v>
      </c>
      <c r="F28" s="142" t="s">
        <v>289</v>
      </c>
      <c r="G28" s="142">
        <v>271.83999999999997</v>
      </c>
      <c r="H28" s="142">
        <v>0</v>
      </c>
      <c r="I28" s="142">
        <v>0</v>
      </c>
      <c r="J28" s="142">
        <v>1003.57</v>
      </c>
      <c r="K28" s="142" t="s">
        <v>290</v>
      </c>
      <c r="L28" s="142">
        <v>47.46</v>
      </c>
      <c r="M28" s="142">
        <v>1476691200</v>
      </c>
      <c r="N28" s="142">
        <v>7.7</v>
      </c>
      <c r="O28" s="142">
        <v>202</v>
      </c>
      <c r="P28" s="142">
        <v>1.94</v>
      </c>
      <c r="Q28"/>
    </row>
    <row r="29" spans="1:17" x14ac:dyDescent="0.25">
      <c r="A29" s="142">
        <v>45.47</v>
      </c>
      <c r="B29" s="142">
        <v>0.2</v>
      </c>
      <c r="C29" s="142">
        <v>34.32</v>
      </c>
      <c r="D29" s="8">
        <v>42660.125</v>
      </c>
      <c r="E29" s="142">
        <v>0.65</v>
      </c>
      <c r="F29" s="142" t="s">
        <v>289</v>
      </c>
      <c r="G29" s="142">
        <v>271.47000000000003</v>
      </c>
      <c r="H29" s="142">
        <v>0</v>
      </c>
      <c r="I29" s="142">
        <v>0</v>
      </c>
      <c r="J29" s="142">
        <v>1002.91</v>
      </c>
      <c r="K29" s="142" t="s">
        <v>290</v>
      </c>
      <c r="L29" s="142">
        <v>45.47</v>
      </c>
      <c r="M29" s="142">
        <v>1476694800</v>
      </c>
      <c r="N29" s="142">
        <v>5.84</v>
      </c>
      <c r="O29" s="142">
        <v>153</v>
      </c>
      <c r="P29" s="142">
        <v>1.86</v>
      </c>
      <c r="Q29"/>
    </row>
    <row r="31" spans="1:17" x14ac:dyDescent="0.25">
      <c r="A31" s="136" t="s">
        <v>291</v>
      </c>
    </row>
    <row r="33" spans="1:1" x14ac:dyDescent="0.25">
      <c r="A33" s="136" t="s">
        <v>216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59" t="s">
        <v>100</v>
      </c>
      <c r="D1" s="16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42659</v>
      </c>
      <c r="B2" s="4"/>
      <c r="C2" s="161">
        <v>50</v>
      </c>
      <c r="D2" s="16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59" t="s">
        <v>100</v>
      </c>
      <c r="D4" s="16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80" t="s">
        <v>314</v>
      </c>
      <c r="J17" s="33"/>
      <c r="K17" s="34"/>
      <c r="L17" s="34"/>
    </row>
    <row r="18" spans="3:13" x14ac:dyDescent="0.25">
      <c r="C18" t="s">
        <v>733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734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735</v>
      </c>
      <c r="J20" t="s">
        <v>87</v>
      </c>
      <c r="M20" s="68" t="s">
        <v>191</v>
      </c>
    </row>
    <row r="21" spans="3:13" x14ac:dyDescent="0.25">
      <c r="C21" t="s">
        <v>736</v>
      </c>
      <c r="J21" s="21" t="s">
        <v>90</v>
      </c>
      <c r="K21" s="21" t="s">
        <v>91</v>
      </c>
      <c r="M21" s="68" t="s">
        <v>193</v>
      </c>
    </row>
    <row r="22" spans="3:13" x14ac:dyDescent="0.25">
      <c r="C22" t="s">
        <v>737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738</v>
      </c>
      <c r="J23" s="29" t="s">
        <v>95</v>
      </c>
      <c r="K23" s="21"/>
      <c r="M23" s="69">
        <v>-6</v>
      </c>
    </row>
    <row r="24" spans="3:13" x14ac:dyDescent="0.25">
      <c r="J24" s="21" t="s">
        <v>109</v>
      </c>
      <c r="K24" s="21"/>
      <c r="M24" s="68" t="s">
        <v>111</v>
      </c>
    </row>
    <row r="25" spans="3:13" x14ac:dyDescent="0.25"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C:\Users\stu\Documents\GitHub\eaglep3-reporting\EC\2016-10-16-refined-times.txt</v>
      </c>
    </row>
    <row r="27" spans="3:13" x14ac:dyDescent="0.25">
      <c r="J27" t="s">
        <v>227</v>
      </c>
      <c r="M27" s="68" t="str">
        <f>"C:\Users\stu\Documents\GitHub\eaglep3-reporting\EC\"&amp;TEXT(A2,"YYYY-MM-DD")&amp;"-Enforcements.txt"</f>
        <v>C:\Users\stu\Documents\GitHub\eaglep3-reporting\EC\2016-10-16-Enforcements.txt</v>
      </c>
    </row>
    <row r="28" spans="3:13" x14ac:dyDescent="0.25">
      <c r="J28" t="s">
        <v>228</v>
      </c>
      <c r="M28" s="106" t="str">
        <f>"C:\Users\stu\Documents\GitHub\eaglep3-reporting\EC\"&amp;TEXT(A2,"YYYY-MM-DD")&amp;"-Runs-Refined.txt"</f>
        <v>C:\Users\stu\Documents\GitHub\eaglep3-reporting\EC\2016-10-16-Runs-Refined.txt</v>
      </c>
    </row>
    <row r="29" spans="3:13" x14ac:dyDescent="0.25">
      <c r="J29" t="s">
        <v>229</v>
      </c>
      <c r="M29" s="106" t="str">
        <f>"C:\Users\stu\Documents\GitHub\eaglep3-reporting\EC\"&amp;TEXT(A2,"YYYY-MM-DD")&amp;"-Trips.txt"</f>
        <v>C:\Users\stu\Documents\GitHub\eaglep3-reporting\EC\2016-10-16-Trips.txt</v>
      </c>
    </row>
    <row r="30" spans="3:13" x14ac:dyDescent="0.25">
      <c r="J30" t="s">
        <v>230</v>
      </c>
      <c r="M30" s="106" t="str">
        <f>"C:\Users\stu\Documents\GitHub\eaglep3-reporting\EC\"&amp;TEXT(A2,"YYYY-MM-DD")&amp;"-Weather.txt"</f>
        <v>C:\Users\stu\Documents\GitHub\eaglep3-reporting\EC\2016-10-16-Weather.txt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2016-10-18T17:17:37Z</dcterms:modified>
</cp:coreProperties>
</file>