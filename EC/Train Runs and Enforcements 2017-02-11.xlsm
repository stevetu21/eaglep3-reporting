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Enforcements!$A$6:$AC$49</definedName>
    <definedName name="_xlnm._FilterDatabase" localSheetId="2" hidden="1">'Missing Trips'!$A$2:$J$118</definedName>
    <definedName name="_xlnm._FilterDatabase" localSheetId="0" hidden="1">'Train Runs'!$A$12:$AG$230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1" i="1" l="1"/>
  <c r="L61" i="1"/>
  <c r="M61" i="1"/>
  <c r="Y61" i="1"/>
  <c r="Z61" i="1"/>
  <c r="AA61" i="1" s="1"/>
  <c r="AB61" i="1"/>
  <c r="AC61" i="1"/>
  <c r="AD61" i="1"/>
  <c r="AG61" i="1" s="1"/>
  <c r="AE61" i="1"/>
  <c r="AM61" i="1"/>
  <c r="K120" i="1"/>
  <c r="M120" i="1"/>
  <c r="N120" i="1" s="1"/>
  <c r="AA120" i="1"/>
  <c r="AB120" i="1"/>
  <c r="AC120" i="1"/>
  <c r="AD120" i="1"/>
  <c r="T120" i="1" s="1"/>
  <c r="AE120" i="1"/>
  <c r="AM120" i="1"/>
  <c r="K104" i="1"/>
  <c r="M104" i="1"/>
  <c r="P104" i="1" s="1"/>
  <c r="AA104" i="1"/>
  <c r="AB104" i="1"/>
  <c r="AC104" i="1"/>
  <c r="AD104" i="1"/>
  <c r="AE104" i="1"/>
  <c r="AM104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AE15" i="1"/>
  <c r="AM15" i="1"/>
  <c r="K16" i="1"/>
  <c r="M16" i="1"/>
  <c r="N16" i="1" s="1"/>
  <c r="Y16" i="1"/>
  <c r="Z16" i="1"/>
  <c r="AB16" i="1"/>
  <c r="AC16" i="1"/>
  <c r="AD16" i="1"/>
  <c r="AG16" i="1" s="1"/>
  <c r="AE16" i="1"/>
  <c r="AM16" i="1"/>
  <c r="K17" i="1"/>
  <c r="M17" i="1"/>
  <c r="N17" i="1" s="1"/>
  <c r="Y17" i="1"/>
  <c r="Z17" i="1"/>
  <c r="AB17" i="1"/>
  <c r="AC17" i="1"/>
  <c r="AD17" i="1"/>
  <c r="AG17" i="1" s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AG21" i="1" s="1"/>
  <c r="AE21" i="1"/>
  <c r="AM21" i="1"/>
  <c r="K22" i="1"/>
  <c r="M22" i="1"/>
  <c r="N22" i="1" s="1"/>
  <c r="Y22" i="1"/>
  <c r="Z22" i="1"/>
  <c r="AB22" i="1"/>
  <c r="AC22" i="1"/>
  <c r="AD22" i="1"/>
  <c r="AE22" i="1"/>
  <c r="AM22" i="1"/>
  <c r="K23" i="1"/>
  <c r="M23" i="1"/>
  <c r="N23" i="1" s="1"/>
  <c r="Y23" i="1"/>
  <c r="Z23" i="1"/>
  <c r="AB23" i="1"/>
  <c r="AC23" i="1"/>
  <c r="AD23" i="1"/>
  <c r="AE23" i="1"/>
  <c r="AM23" i="1"/>
  <c r="K24" i="1"/>
  <c r="M24" i="1"/>
  <c r="N24" i="1" s="1"/>
  <c r="Y24" i="1"/>
  <c r="Z24" i="1"/>
  <c r="AB24" i="1"/>
  <c r="AC24" i="1"/>
  <c r="AD24" i="1"/>
  <c r="T24" i="1" s="1"/>
  <c r="AE24" i="1"/>
  <c r="AM24" i="1"/>
  <c r="K25" i="1"/>
  <c r="M25" i="1"/>
  <c r="N25" i="1" s="1"/>
  <c r="Y25" i="1"/>
  <c r="Z25" i="1"/>
  <c r="AB25" i="1"/>
  <c r="AC25" i="1"/>
  <c r="AD25" i="1"/>
  <c r="AG25" i="1" s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G28" i="1" s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G30" i="1" s="1"/>
  <c r="AE30" i="1"/>
  <c r="AM30" i="1"/>
  <c r="K31" i="1"/>
  <c r="M31" i="1"/>
  <c r="N31" i="1" s="1"/>
  <c r="Y31" i="1"/>
  <c r="Z31" i="1"/>
  <c r="AB31" i="1"/>
  <c r="AC31" i="1"/>
  <c r="AD31" i="1"/>
  <c r="X31" i="1" s="1"/>
  <c r="AE31" i="1"/>
  <c r="AM31" i="1"/>
  <c r="K32" i="1"/>
  <c r="M32" i="1"/>
  <c r="N32" i="1" s="1"/>
  <c r="Y32" i="1"/>
  <c r="Z32" i="1"/>
  <c r="AB32" i="1"/>
  <c r="AC32" i="1"/>
  <c r="AD32" i="1"/>
  <c r="AG32" i="1" s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G34" i="1" s="1"/>
  <c r="AE34" i="1"/>
  <c r="AM34" i="1"/>
  <c r="K35" i="1"/>
  <c r="M35" i="1"/>
  <c r="N35" i="1" s="1"/>
  <c r="Y35" i="1"/>
  <c r="Z35" i="1"/>
  <c r="AB35" i="1"/>
  <c r="AC35" i="1"/>
  <c r="AD35" i="1"/>
  <c r="AE35" i="1"/>
  <c r="R21" i="3" s="1"/>
  <c r="AM35" i="1"/>
  <c r="K36" i="1"/>
  <c r="M36" i="1"/>
  <c r="N36" i="1" s="1"/>
  <c r="Y36" i="1"/>
  <c r="Z36" i="1"/>
  <c r="AB36" i="1"/>
  <c r="AC36" i="1"/>
  <c r="AD36" i="1"/>
  <c r="AG36" i="1" s="1"/>
  <c r="AE36" i="1"/>
  <c r="AM36" i="1"/>
  <c r="K37" i="1"/>
  <c r="M37" i="1"/>
  <c r="N37" i="1" s="1"/>
  <c r="Y37" i="1"/>
  <c r="Z37" i="1"/>
  <c r="AB37" i="1"/>
  <c r="AC37" i="1"/>
  <c r="AD37" i="1"/>
  <c r="T37" i="1" s="1"/>
  <c r="AE37" i="1"/>
  <c r="AM37" i="1"/>
  <c r="K38" i="1"/>
  <c r="M38" i="1"/>
  <c r="N38" i="1" s="1"/>
  <c r="Y38" i="1"/>
  <c r="Z38" i="1"/>
  <c r="AB38" i="1"/>
  <c r="AC38" i="1"/>
  <c r="AD38" i="1"/>
  <c r="T38" i="1" s="1"/>
  <c r="AE38" i="1"/>
  <c r="AM38" i="1"/>
  <c r="K39" i="1"/>
  <c r="M39" i="1"/>
  <c r="N39" i="1" s="1"/>
  <c r="Y39" i="1"/>
  <c r="Z39" i="1"/>
  <c r="AB39" i="1"/>
  <c r="AC39" i="1"/>
  <c r="AD39" i="1"/>
  <c r="AG39" i="1" s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T41" i="1" s="1"/>
  <c r="AE41" i="1"/>
  <c r="AM41" i="1"/>
  <c r="K42" i="1"/>
  <c r="M42" i="1"/>
  <c r="N42" i="1" s="1"/>
  <c r="Y42" i="1"/>
  <c r="Z42" i="1"/>
  <c r="AB42" i="1"/>
  <c r="AC42" i="1"/>
  <c r="AD42" i="1"/>
  <c r="T42" i="1" s="1"/>
  <c r="AE42" i="1"/>
  <c r="AM42" i="1"/>
  <c r="K43" i="1"/>
  <c r="M43" i="1"/>
  <c r="N43" i="1" s="1"/>
  <c r="Y43" i="1"/>
  <c r="Z43" i="1"/>
  <c r="AB43" i="1"/>
  <c r="AC43" i="1"/>
  <c r="AD43" i="1"/>
  <c r="AG43" i="1" s="1"/>
  <c r="AE43" i="1"/>
  <c r="AM43" i="1"/>
  <c r="K44" i="1"/>
  <c r="M44" i="1"/>
  <c r="N44" i="1" s="1"/>
  <c r="Y44" i="1"/>
  <c r="Z44" i="1"/>
  <c r="AB44" i="1"/>
  <c r="AC44" i="1"/>
  <c r="AD44" i="1"/>
  <c r="AG44" i="1" s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T46" i="1" s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I48" i="1" s="1"/>
  <c r="AB48" i="1"/>
  <c r="AC48" i="1"/>
  <c r="AD48" i="1"/>
  <c r="AG48" i="1" s="1"/>
  <c r="AE48" i="1"/>
  <c r="R14" i="3" s="1"/>
  <c r="AM48" i="1"/>
  <c r="K49" i="1"/>
  <c r="M49" i="1"/>
  <c r="N49" i="1" s="1"/>
  <c r="Y49" i="1"/>
  <c r="Z49" i="1"/>
  <c r="AB49" i="1"/>
  <c r="AC49" i="1"/>
  <c r="AD49" i="1"/>
  <c r="T49" i="1" s="1"/>
  <c r="AE49" i="1"/>
  <c r="AM49" i="1"/>
  <c r="K50" i="1"/>
  <c r="M50" i="1"/>
  <c r="N50" i="1" s="1"/>
  <c r="Y50" i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T51" i="1" s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/>
  <c r="Y53" i="1"/>
  <c r="Z53" i="1"/>
  <c r="AB53" i="1"/>
  <c r="AC53" i="1"/>
  <c r="AD53" i="1"/>
  <c r="AG53" i="1" s="1"/>
  <c r="AE53" i="1"/>
  <c r="AM53" i="1"/>
  <c r="K54" i="1"/>
  <c r="M54" i="1"/>
  <c r="N54" i="1" s="1"/>
  <c r="Y54" i="1"/>
  <c r="Z54" i="1"/>
  <c r="AB54" i="1"/>
  <c r="AC54" i="1"/>
  <c r="AD54" i="1"/>
  <c r="AG54" i="1" s="1"/>
  <c r="AE54" i="1"/>
  <c r="R15" i="3" s="1"/>
  <c r="AM54" i="1"/>
  <c r="K55" i="1"/>
  <c r="M55" i="1"/>
  <c r="N55" i="1" s="1"/>
  <c r="Y55" i="1"/>
  <c r="Z55" i="1"/>
  <c r="AB55" i="1"/>
  <c r="AC55" i="1"/>
  <c r="AD55" i="1"/>
  <c r="T55" i="1" s="1"/>
  <c r="AE55" i="1"/>
  <c r="AM55" i="1"/>
  <c r="K56" i="1"/>
  <c r="M56" i="1"/>
  <c r="N56" i="1" s="1"/>
  <c r="Y56" i="1"/>
  <c r="Z56" i="1"/>
  <c r="AB56" i="1"/>
  <c r="AC56" i="1"/>
  <c r="AD56" i="1"/>
  <c r="AE56" i="1"/>
  <c r="AM56" i="1"/>
  <c r="K57" i="1"/>
  <c r="M57" i="1"/>
  <c r="N57" i="1" s="1"/>
  <c r="Y57" i="1"/>
  <c r="Z57" i="1"/>
  <c r="AB57" i="1"/>
  <c r="AC57" i="1"/>
  <c r="AD57" i="1"/>
  <c r="AG57" i="1" s="1"/>
  <c r="AE57" i="1"/>
  <c r="AM57" i="1"/>
  <c r="K58" i="1"/>
  <c r="M58" i="1"/>
  <c r="N58" i="1" s="1"/>
  <c r="Y58" i="1"/>
  <c r="Z58" i="1"/>
  <c r="AB58" i="1"/>
  <c r="AC58" i="1"/>
  <c r="AD58" i="1"/>
  <c r="AG58" i="1" s="1"/>
  <c r="AE58" i="1"/>
  <c r="AM58" i="1"/>
  <c r="K59" i="1"/>
  <c r="M59" i="1"/>
  <c r="N59" i="1" s="1"/>
  <c r="Y59" i="1"/>
  <c r="Z59" i="1"/>
  <c r="AB59" i="1"/>
  <c r="AC59" i="1"/>
  <c r="AD59" i="1"/>
  <c r="T59" i="1" s="1"/>
  <c r="AE59" i="1"/>
  <c r="AM59" i="1"/>
  <c r="K60" i="1"/>
  <c r="M60" i="1"/>
  <c r="N60" i="1" s="1"/>
  <c r="Y60" i="1"/>
  <c r="Z60" i="1"/>
  <c r="AB60" i="1"/>
  <c r="AC60" i="1"/>
  <c r="AD60" i="1"/>
  <c r="X61" i="1" s="1"/>
  <c r="AE60" i="1"/>
  <c r="AM60" i="1"/>
  <c r="K62" i="1"/>
  <c r="M62" i="1"/>
  <c r="N62" i="1" s="1"/>
  <c r="Y62" i="1"/>
  <c r="Z62" i="1"/>
  <c r="AB62" i="1"/>
  <c r="AC62" i="1"/>
  <c r="AD62" i="1"/>
  <c r="AG62" i="1" s="1"/>
  <c r="AE62" i="1"/>
  <c r="AM62" i="1"/>
  <c r="K63" i="1"/>
  <c r="M63" i="1"/>
  <c r="N63" i="1" s="1"/>
  <c r="Y63" i="1"/>
  <c r="Z63" i="1"/>
  <c r="AB63" i="1"/>
  <c r="AC63" i="1"/>
  <c r="AD63" i="1"/>
  <c r="AG63" i="1" s="1"/>
  <c r="AE63" i="1"/>
  <c r="AM63" i="1"/>
  <c r="K64" i="1"/>
  <c r="M64" i="1"/>
  <c r="N64" i="1" s="1"/>
  <c r="Y64" i="1"/>
  <c r="Z64" i="1"/>
  <c r="AB64" i="1"/>
  <c r="AC64" i="1"/>
  <c r="AD64" i="1"/>
  <c r="AE64" i="1"/>
  <c r="AM64" i="1"/>
  <c r="K65" i="1"/>
  <c r="M65" i="1"/>
  <c r="N65" i="1" s="1"/>
  <c r="Y65" i="1"/>
  <c r="Z65" i="1"/>
  <c r="AB65" i="1"/>
  <c r="AC65" i="1"/>
  <c r="AD65" i="1"/>
  <c r="AE65" i="1"/>
  <c r="AM65" i="1"/>
  <c r="K66" i="1"/>
  <c r="M66" i="1"/>
  <c r="N66" i="1" s="1"/>
  <c r="Y66" i="1"/>
  <c r="Z66" i="1"/>
  <c r="AB66" i="1"/>
  <c r="AC66" i="1"/>
  <c r="AD66" i="1"/>
  <c r="AG66" i="1" s="1"/>
  <c r="AE66" i="1"/>
  <c r="AM66" i="1"/>
  <c r="K67" i="1"/>
  <c r="M67" i="1"/>
  <c r="N67" i="1" s="1"/>
  <c r="Y67" i="1"/>
  <c r="Z67" i="1"/>
  <c r="AB67" i="1"/>
  <c r="AC67" i="1"/>
  <c r="AD67" i="1"/>
  <c r="AG67" i="1" s="1"/>
  <c r="AE67" i="1"/>
  <c r="AM67" i="1"/>
  <c r="K68" i="1"/>
  <c r="M68" i="1"/>
  <c r="N68" i="1" s="1"/>
  <c r="Y68" i="1"/>
  <c r="Z68" i="1"/>
  <c r="AB68" i="1"/>
  <c r="AC68" i="1"/>
  <c r="AD68" i="1"/>
  <c r="T68" i="1" s="1"/>
  <c r="AE68" i="1"/>
  <c r="AM68" i="1"/>
  <c r="K69" i="1"/>
  <c r="M69" i="1"/>
  <c r="N69" i="1" s="1"/>
  <c r="Y69" i="1"/>
  <c r="Z69" i="1"/>
  <c r="AB69" i="1"/>
  <c r="AC69" i="1"/>
  <c r="AD69" i="1"/>
  <c r="AG69" i="1" s="1"/>
  <c r="AE69" i="1"/>
  <c r="AM69" i="1"/>
  <c r="K70" i="1"/>
  <c r="M70" i="1"/>
  <c r="N70" i="1" s="1"/>
  <c r="Y70" i="1"/>
  <c r="Z70" i="1"/>
  <c r="AB70" i="1"/>
  <c r="AC70" i="1"/>
  <c r="AD70" i="1"/>
  <c r="AE70" i="1"/>
  <c r="AM70" i="1"/>
  <c r="K71" i="1"/>
  <c r="M71" i="1"/>
  <c r="N71" i="1" s="1"/>
  <c r="Y71" i="1"/>
  <c r="Z71" i="1"/>
  <c r="AB71" i="1"/>
  <c r="AC71" i="1"/>
  <c r="AD71" i="1"/>
  <c r="AG71" i="1" s="1"/>
  <c r="AE71" i="1"/>
  <c r="AM71" i="1"/>
  <c r="K72" i="1"/>
  <c r="M72" i="1"/>
  <c r="N72" i="1" s="1"/>
  <c r="Y72" i="1"/>
  <c r="Z72" i="1"/>
  <c r="AB72" i="1"/>
  <c r="AC72" i="1"/>
  <c r="AD72" i="1"/>
  <c r="T72" i="1" s="1"/>
  <c r="AE72" i="1"/>
  <c r="R9" i="3" s="1"/>
  <c r="AM72" i="1"/>
  <c r="K73" i="1"/>
  <c r="M73" i="1"/>
  <c r="N73" i="1" s="1"/>
  <c r="Y73" i="1"/>
  <c r="Z73" i="1"/>
  <c r="AB73" i="1"/>
  <c r="AC73" i="1"/>
  <c r="AD73" i="1"/>
  <c r="T73" i="1" s="1"/>
  <c r="AE73" i="1"/>
  <c r="AM73" i="1"/>
  <c r="K74" i="1"/>
  <c r="M74" i="1"/>
  <c r="N74" i="1" s="1"/>
  <c r="Y74" i="1"/>
  <c r="Z74" i="1"/>
  <c r="AB74" i="1"/>
  <c r="AC74" i="1"/>
  <c r="AD74" i="1"/>
  <c r="AG74" i="1" s="1"/>
  <c r="AE74" i="1"/>
  <c r="AM74" i="1"/>
  <c r="K75" i="1"/>
  <c r="M75" i="1"/>
  <c r="N75" i="1" s="1"/>
  <c r="Y75" i="1"/>
  <c r="Z75" i="1"/>
  <c r="AB75" i="1"/>
  <c r="AC75" i="1"/>
  <c r="AD75" i="1"/>
  <c r="AG75" i="1" s="1"/>
  <c r="AE75" i="1"/>
  <c r="AM75" i="1"/>
  <c r="K76" i="1"/>
  <c r="M76" i="1"/>
  <c r="N76" i="1" s="1"/>
  <c r="Y76" i="1"/>
  <c r="Z76" i="1"/>
  <c r="AA76" i="1" s="1"/>
  <c r="AB76" i="1"/>
  <c r="AC76" i="1"/>
  <c r="AD76" i="1"/>
  <c r="T76" i="1" s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A78" i="1" s="1"/>
  <c r="W78" i="1" s="1"/>
  <c r="AB78" i="1"/>
  <c r="AC78" i="1"/>
  <c r="AD78" i="1"/>
  <c r="AG78" i="1" s="1"/>
  <c r="AE78" i="1"/>
  <c r="AM78" i="1"/>
  <c r="K79" i="1"/>
  <c r="M79" i="1"/>
  <c r="N79" i="1" s="1"/>
  <c r="Y79" i="1"/>
  <c r="Z79" i="1"/>
  <c r="AB79" i="1"/>
  <c r="AC79" i="1"/>
  <c r="AD79" i="1"/>
  <c r="AE79" i="1"/>
  <c r="AM79" i="1"/>
  <c r="K80" i="1"/>
  <c r="M80" i="1"/>
  <c r="N80" i="1" s="1"/>
  <c r="Y80" i="1"/>
  <c r="Z80" i="1"/>
  <c r="AB80" i="1"/>
  <c r="AC80" i="1"/>
  <c r="AD80" i="1"/>
  <c r="AG80" i="1" s="1"/>
  <c r="AE80" i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AG82" i="1" s="1"/>
  <c r="AE82" i="1"/>
  <c r="AM82" i="1"/>
  <c r="K83" i="1"/>
  <c r="M83" i="1"/>
  <c r="N83" i="1" s="1"/>
  <c r="Y83" i="1"/>
  <c r="Z83" i="1"/>
  <c r="AB83" i="1"/>
  <c r="AC83" i="1"/>
  <c r="AD83" i="1"/>
  <c r="AG83" i="1" s="1"/>
  <c r="AE83" i="1"/>
  <c r="AM83" i="1"/>
  <c r="K84" i="1"/>
  <c r="M84" i="1"/>
  <c r="N84" i="1" s="1"/>
  <c r="Y84" i="1"/>
  <c r="Z84" i="1"/>
  <c r="AB84" i="1"/>
  <c r="AC84" i="1"/>
  <c r="AD84" i="1"/>
  <c r="AE84" i="1"/>
  <c r="AM84" i="1"/>
  <c r="K85" i="1"/>
  <c r="M85" i="1"/>
  <c r="N85" i="1" s="1"/>
  <c r="Y85" i="1"/>
  <c r="Z85" i="1"/>
  <c r="AB85" i="1"/>
  <c r="AC85" i="1"/>
  <c r="AD85" i="1"/>
  <c r="T85" i="1" s="1"/>
  <c r="AE85" i="1"/>
  <c r="AM85" i="1"/>
  <c r="K86" i="1"/>
  <c r="M86" i="1"/>
  <c r="N86" i="1" s="1"/>
  <c r="Y86" i="1"/>
  <c r="Z86" i="1"/>
  <c r="AB86" i="1"/>
  <c r="AC86" i="1"/>
  <c r="AD86" i="1"/>
  <c r="AE86" i="1"/>
  <c r="AM86" i="1"/>
  <c r="K87" i="1"/>
  <c r="M87" i="1"/>
  <c r="N87" i="1" s="1"/>
  <c r="Y87" i="1"/>
  <c r="Z87" i="1"/>
  <c r="AB87" i="1"/>
  <c r="AC87" i="1"/>
  <c r="AD87" i="1"/>
  <c r="AG87" i="1" s="1"/>
  <c r="AE87" i="1"/>
  <c r="AM87" i="1"/>
  <c r="K88" i="1"/>
  <c r="M88" i="1"/>
  <c r="N88" i="1" s="1"/>
  <c r="Y88" i="1"/>
  <c r="Z88" i="1"/>
  <c r="AB88" i="1"/>
  <c r="AC88" i="1"/>
  <c r="AD88" i="1"/>
  <c r="AE88" i="1"/>
  <c r="AM88" i="1"/>
  <c r="K89" i="1"/>
  <c r="M89" i="1"/>
  <c r="N89" i="1" s="1"/>
  <c r="Y89" i="1"/>
  <c r="Z89" i="1"/>
  <c r="AB89" i="1"/>
  <c r="AC89" i="1"/>
  <c r="AD89" i="1"/>
  <c r="T89" i="1" s="1"/>
  <c r="AE89" i="1"/>
  <c r="AM89" i="1"/>
  <c r="K90" i="1"/>
  <c r="M90" i="1"/>
  <c r="N90" i="1" s="1"/>
  <c r="Y90" i="1"/>
  <c r="Z90" i="1"/>
  <c r="AB90" i="1"/>
  <c r="AC90" i="1"/>
  <c r="AD90" i="1"/>
  <c r="AG90" i="1" s="1"/>
  <c r="AE90" i="1"/>
  <c r="AM90" i="1"/>
  <c r="K91" i="1"/>
  <c r="M91" i="1"/>
  <c r="N91" i="1" s="1"/>
  <c r="Y91" i="1"/>
  <c r="Z91" i="1"/>
  <c r="AB91" i="1"/>
  <c r="AC91" i="1"/>
  <c r="AD91" i="1"/>
  <c r="AG91" i="1" s="1"/>
  <c r="AE91" i="1"/>
  <c r="AM91" i="1"/>
  <c r="K92" i="1"/>
  <c r="M92" i="1"/>
  <c r="N92" i="1" s="1"/>
  <c r="Y92" i="1"/>
  <c r="Z92" i="1"/>
  <c r="AB92" i="1"/>
  <c r="AC92" i="1"/>
  <c r="AD92" i="1"/>
  <c r="T92" i="1" s="1"/>
  <c r="AE92" i="1"/>
  <c r="AM92" i="1"/>
  <c r="K153" i="1"/>
  <c r="M153" i="1"/>
  <c r="N153" i="1" s="1"/>
  <c r="Y153" i="1"/>
  <c r="Z153" i="1"/>
  <c r="AB153" i="1"/>
  <c r="AC153" i="1"/>
  <c r="AD153" i="1"/>
  <c r="T153" i="1" s="1"/>
  <c r="AE153" i="1"/>
  <c r="AM93" i="1"/>
  <c r="K154" i="1"/>
  <c r="M154" i="1"/>
  <c r="N154" i="1" s="1"/>
  <c r="Y154" i="1"/>
  <c r="Z154" i="1"/>
  <c r="AA154" i="1" s="1"/>
  <c r="W154" i="1" s="1"/>
  <c r="AB154" i="1"/>
  <c r="AC154" i="1"/>
  <c r="AD154" i="1"/>
  <c r="AG154" i="1" s="1"/>
  <c r="AE154" i="1"/>
  <c r="AM94" i="1"/>
  <c r="K155" i="1"/>
  <c r="M155" i="1"/>
  <c r="N155" i="1" s="1"/>
  <c r="Y155" i="1"/>
  <c r="Z155" i="1"/>
  <c r="AB155" i="1"/>
  <c r="AC155" i="1"/>
  <c r="AD155" i="1"/>
  <c r="AE155" i="1"/>
  <c r="AM95" i="1"/>
  <c r="K156" i="1"/>
  <c r="M156" i="1"/>
  <c r="N156" i="1" s="1"/>
  <c r="Y156" i="1"/>
  <c r="Z156" i="1"/>
  <c r="AB156" i="1"/>
  <c r="AC156" i="1"/>
  <c r="AD156" i="1"/>
  <c r="T156" i="1" s="1"/>
  <c r="AE156" i="1"/>
  <c r="AM96" i="1"/>
  <c r="K157" i="1"/>
  <c r="M157" i="1"/>
  <c r="N157" i="1" s="1"/>
  <c r="Y157" i="1"/>
  <c r="Z157" i="1"/>
  <c r="AB157" i="1"/>
  <c r="AC157" i="1"/>
  <c r="AD157" i="1"/>
  <c r="T157" i="1" s="1"/>
  <c r="AE157" i="1"/>
  <c r="AM97" i="1"/>
  <c r="K158" i="1"/>
  <c r="M158" i="1"/>
  <c r="N158" i="1" s="1"/>
  <c r="Y158" i="1"/>
  <c r="Z158" i="1"/>
  <c r="AB158" i="1"/>
  <c r="AC158" i="1"/>
  <c r="AD158" i="1"/>
  <c r="AG158" i="1" s="1"/>
  <c r="AE158" i="1"/>
  <c r="AM98" i="1"/>
  <c r="K159" i="1"/>
  <c r="M159" i="1"/>
  <c r="N159" i="1" s="1"/>
  <c r="Y159" i="1"/>
  <c r="Z159" i="1"/>
  <c r="AB159" i="1"/>
  <c r="AC159" i="1"/>
  <c r="AD159" i="1"/>
  <c r="AG159" i="1" s="1"/>
  <c r="AE159" i="1"/>
  <c r="AM99" i="1"/>
  <c r="K160" i="1"/>
  <c r="M160" i="1"/>
  <c r="N160" i="1" s="1"/>
  <c r="Y160" i="1"/>
  <c r="Z160" i="1"/>
  <c r="AB160" i="1"/>
  <c r="AC160" i="1"/>
  <c r="AD160" i="1"/>
  <c r="T160" i="1" s="1"/>
  <c r="AE160" i="1"/>
  <c r="AM100" i="1"/>
  <c r="K161" i="1"/>
  <c r="M161" i="1"/>
  <c r="N161" i="1" s="1"/>
  <c r="Y161" i="1"/>
  <c r="Z161" i="1"/>
  <c r="AB161" i="1"/>
  <c r="AC161" i="1"/>
  <c r="AD161" i="1"/>
  <c r="T161" i="1" s="1"/>
  <c r="AE161" i="1"/>
  <c r="AM101" i="1"/>
  <c r="K162" i="1"/>
  <c r="M162" i="1"/>
  <c r="N162" i="1" s="1"/>
  <c r="Y162" i="1"/>
  <c r="Z162" i="1"/>
  <c r="AB162" i="1"/>
  <c r="AC162" i="1"/>
  <c r="AD162" i="1"/>
  <c r="AE162" i="1"/>
  <c r="AM102" i="1"/>
  <c r="K93" i="1"/>
  <c r="M93" i="1"/>
  <c r="N93" i="1" s="1"/>
  <c r="Y93" i="1"/>
  <c r="Z93" i="1"/>
  <c r="AB93" i="1"/>
  <c r="AC93" i="1"/>
  <c r="AD93" i="1"/>
  <c r="AG93" i="1" s="1"/>
  <c r="AE93" i="1"/>
  <c r="AM103" i="1"/>
  <c r="K163" i="1"/>
  <c r="M163" i="1"/>
  <c r="N163" i="1" s="1"/>
  <c r="Y163" i="1"/>
  <c r="Z163" i="1"/>
  <c r="AB163" i="1"/>
  <c r="AC163" i="1"/>
  <c r="AD163" i="1"/>
  <c r="T163" i="1" s="1"/>
  <c r="AE163" i="1"/>
  <c r="AM105" i="1"/>
  <c r="K164" i="1"/>
  <c r="M164" i="1"/>
  <c r="N164" i="1" s="1"/>
  <c r="Y164" i="1"/>
  <c r="Z164" i="1"/>
  <c r="AB164" i="1"/>
  <c r="AC164" i="1"/>
  <c r="AD164" i="1"/>
  <c r="T164" i="1" s="1"/>
  <c r="AE164" i="1"/>
  <c r="AM106" i="1"/>
  <c r="K165" i="1"/>
  <c r="M165" i="1"/>
  <c r="N165" i="1" s="1"/>
  <c r="Y165" i="1"/>
  <c r="Z165" i="1"/>
  <c r="AB165" i="1"/>
  <c r="AC165" i="1"/>
  <c r="AD165" i="1"/>
  <c r="AG165" i="1" s="1"/>
  <c r="AE165" i="1"/>
  <c r="AM107" i="1"/>
  <c r="K166" i="1"/>
  <c r="M166" i="1"/>
  <c r="N166" i="1" s="1"/>
  <c r="Y166" i="1"/>
  <c r="Z166" i="1"/>
  <c r="AB166" i="1"/>
  <c r="AC166" i="1"/>
  <c r="AD166" i="1"/>
  <c r="AG166" i="1" s="1"/>
  <c r="AE166" i="1"/>
  <c r="AM108" i="1"/>
  <c r="K167" i="1"/>
  <c r="M167" i="1"/>
  <c r="N167" i="1" s="1"/>
  <c r="Y167" i="1"/>
  <c r="Z167" i="1"/>
  <c r="AB167" i="1"/>
  <c r="AC167" i="1"/>
  <c r="AD167" i="1"/>
  <c r="AE167" i="1"/>
  <c r="AM109" i="1"/>
  <c r="K168" i="1"/>
  <c r="M168" i="1"/>
  <c r="N168" i="1" s="1"/>
  <c r="Y168" i="1"/>
  <c r="Z168" i="1"/>
  <c r="AB168" i="1"/>
  <c r="AC168" i="1"/>
  <c r="AD168" i="1"/>
  <c r="T168" i="1" s="1"/>
  <c r="AE168" i="1"/>
  <c r="AM110" i="1"/>
  <c r="K169" i="1"/>
  <c r="M169" i="1"/>
  <c r="N169" i="1" s="1"/>
  <c r="Y169" i="1"/>
  <c r="Z169" i="1"/>
  <c r="AB169" i="1"/>
  <c r="AC169" i="1"/>
  <c r="AD169" i="1"/>
  <c r="AG169" i="1" s="1"/>
  <c r="AE169" i="1"/>
  <c r="AM111" i="1"/>
  <c r="K170" i="1"/>
  <c r="M170" i="1"/>
  <c r="N170" i="1" s="1"/>
  <c r="T170" i="1"/>
  <c r="Y170" i="1"/>
  <c r="Z170" i="1"/>
  <c r="AB170" i="1"/>
  <c r="AC170" i="1"/>
  <c r="AD170" i="1"/>
  <c r="X170" i="1" s="1"/>
  <c r="AE170" i="1"/>
  <c r="R26" i="3" s="1"/>
  <c r="AM112" i="1"/>
  <c r="K171" i="1"/>
  <c r="M171" i="1"/>
  <c r="N171" i="1" s="1"/>
  <c r="Y171" i="1"/>
  <c r="Z171" i="1"/>
  <c r="AB171" i="1"/>
  <c r="AC171" i="1"/>
  <c r="AD171" i="1"/>
  <c r="AE171" i="1"/>
  <c r="AM113" i="1"/>
  <c r="K172" i="1"/>
  <c r="M172" i="1"/>
  <c r="N172" i="1" s="1"/>
  <c r="Y172" i="1"/>
  <c r="Z172" i="1"/>
  <c r="AB172" i="1"/>
  <c r="AC172" i="1"/>
  <c r="AD172" i="1"/>
  <c r="AG172" i="1" s="1"/>
  <c r="AE172" i="1"/>
  <c r="AM114" i="1"/>
  <c r="K94" i="1"/>
  <c r="M94" i="1"/>
  <c r="N94" i="1" s="1"/>
  <c r="Y94" i="1"/>
  <c r="Z94" i="1"/>
  <c r="AB94" i="1"/>
  <c r="AC94" i="1"/>
  <c r="AD94" i="1"/>
  <c r="AG94" i="1" s="1"/>
  <c r="AE94" i="1"/>
  <c r="AM115" i="1"/>
  <c r="K173" i="1"/>
  <c r="M173" i="1"/>
  <c r="N173" i="1" s="1"/>
  <c r="Y173" i="1"/>
  <c r="Z173" i="1"/>
  <c r="AB173" i="1"/>
  <c r="AC173" i="1"/>
  <c r="AD173" i="1"/>
  <c r="AE173" i="1"/>
  <c r="AM116" i="1"/>
  <c r="K174" i="1"/>
  <c r="M174" i="1"/>
  <c r="N174" i="1" s="1"/>
  <c r="Y174" i="1"/>
  <c r="Z174" i="1"/>
  <c r="AB174" i="1"/>
  <c r="AC174" i="1"/>
  <c r="AD174" i="1"/>
  <c r="AE174" i="1"/>
  <c r="AM117" i="1"/>
  <c r="K175" i="1"/>
  <c r="M175" i="1"/>
  <c r="N175" i="1" s="1"/>
  <c r="Y175" i="1"/>
  <c r="Z175" i="1"/>
  <c r="AB175" i="1"/>
  <c r="AC175" i="1"/>
  <c r="AD175" i="1"/>
  <c r="AG175" i="1" s="1"/>
  <c r="AE175" i="1"/>
  <c r="AM118" i="1"/>
  <c r="K176" i="1"/>
  <c r="M176" i="1"/>
  <c r="N176" i="1" s="1"/>
  <c r="Y176" i="1"/>
  <c r="Z176" i="1"/>
  <c r="AB176" i="1"/>
  <c r="AC176" i="1"/>
  <c r="AD176" i="1"/>
  <c r="T176" i="1" s="1"/>
  <c r="AE176" i="1"/>
  <c r="AM119" i="1"/>
  <c r="K177" i="1"/>
  <c r="M177" i="1"/>
  <c r="N177" i="1" s="1"/>
  <c r="Y177" i="1"/>
  <c r="Z177" i="1"/>
  <c r="AB177" i="1"/>
  <c r="AC177" i="1"/>
  <c r="AD177" i="1"/>
  <c r="T177" i="1" s="1"/>
  <c r="AE177" i="1"/>
  <c r="AM121" i="1"/>
  <c r="K178" i="1"/>
  <c r="M178" i="1"/>
  <c r="N178" i="1" s="1"/>
  <c r="Y178" i="1"/>
  <c r="Z178" i="1"/>
  <c r="AB178" i="1"/>
  <c r="AC178" i="1"/>
  <c r="AD178" i="1"/>
  <c r="AE178" i="1"/>
  <c r="AM122" i="1"/>
  <c r="K179" i="1"/>
  <c r="M179" i="1"/>
  <c r="N179" i="1" s="1"/>
  <c r="Y179" i="1"/>
  <c r="Z179" i="1"/>
  <c r="AB179" i="1"/>
  <c r="AC179" i="1"/>
  <c r="AD179" i="1"/>
  <c r="AE179" i="1"/>
  <c r="AM123" i="1"/>
  <c r="K180" i="1"/>
  <c r="M180" i="1"/>
  <c r="N180" i="1" s="1"/>
  <c r="Y180" i="1"/>
  <c r="Z180" i="1"/>
  <c r="AA180" i="1" s="1"/>
  <c r="W180" i="1" s="1"/>
  <c r="AB180" i="1"/>
  <c r="AC180" i="1"/>
  <c r="AD180" i="1"/>
  <c r="AG180" i="1" s="1"/>
  <c r="AE180" i="1"/>
  <c r="AM124" i="1"/>
  <c r="K181" i="1"/>
  <c r="M181" i="1"/>
  <c r="N181" i="1" s="1"/>
  <c r="Y181" i="1"/>
  <c r="Z181" i="1"/>
  <c r="AB181" i="1"/>
  <c r="AC181" i="1"/>
  <c r="AD181" i="1"/>
  <c r="AE181" i="1"/>
  <c r="AM125" i="1"/>
  <c r="K182" i="1"/>
  <c r="M182" i="1"/>
  <c r="N182" i="1" s="1"/>
  <c r="Y182" i="1"/>
  <c r="Z182" i="1"/>
  <c r="AB182" i="1"/>
  <c r="AC182" i="1"/>
  <c r="AD182" i="1"/>
  <c r="T182" i="1" s="1"/>
  <c r="AE182" i="1"/>
  <c r="R25" i="3" s="1"/>
  <c r="AM126" i="1"/>
  <c r="K183" i="1"/>
  <c r="M183" i="1"/>
  <c r="N183" i="1" s="1"/>
  <c r="Y183" i="1"/>
  <c r="Z183" i="1"/>
  <c r="AB183" i="1"/>
  <c r="AC183" i="1"/>
  <c r="AD183" i="1"/>
  <c r="AG183" i="1" s="1"/>
  <c r="AE183" i="1"/>
  <c r="AM127" i="1"/>
  <c r="K95" i="1"/>
  <c r="M95" i="1"/>
  <c r="N95" i="1" s="1"/>
  <c r="Y95" i="1"/>
  <c r="Z95" i="1"/>
  <c r="AB95" i="1"/>
  <c r="AC95" i="1"/>
  <c r="AD95" i="1"/>
  <c r="AG95" i="1" s="1"/>
  <c r="AE95" i="1"/>
  <c r="AM128" i="1"/>
  <c r="K184" i="1"/>
  <c r="M184" i="1"/>
  <c r="N184" i="1" s="1"/>
  <c r="Y184" i="1"/>
  <c r="Z184" i="1"/>
  <c r="AB184" i="1"/>
  <c r="AC184" i="1"/>
  <c r="AD184" i="1"/>
  <c r="X184" i="1" s="1"/>
  <c r="AE184" i="1"/>
  <c r="AM129" i="1"/>
  <c r="K185" i="1"/>
  <c r="M185" i="1"/>
  <c r="N185" i="1" s="1"/>
  <c r="Y185" i="1"/>
  <c r="Z185" i="1"/>
  <c r="AB185" i="1"/>
  <c r="AC185" i="1"/>
  <c r="AD185" i="1"/>
  <c r="T185" i="1" s="1"/>
  <c r="AE185" i="1"/>
  <c r="AM130" i="1"/>
  <c r="K186" i="1"/>
  <c r="M186" i="1"/>
  <c r="N186" i="1" s="1"/>
  <c r="Y186" i="1"/>
  <c r="Z186" i="1"/>
  <c r="AB186" i="1"/>
  <c r="AC186" i="1"/>
  <c r="AD186" i="1"/>
  <c r="AE186" i="1"/>
  <c r="AM131" i="1"/>
  <c r="K187" i="1"/>
  <c r="M187" i="1"/>
  <c r="N187" i="1" s="1"/>
  <c r="Y187" i="1"/>
  <c r="Z187" i="1"/>
  <c r="AB187" i="1"/>
  <c r="AC187" i="1"/>
  <c r="AD187" i="1"/>
  <c r="AG187" i="1" s="1"/>
  <c r="AE187" i="1"/>
  <c r="AM132" i="1"/>
  <c r="K96" i="1"/>
  <c r="M96" i="1"/>
  <c r="N96" i="1" s="1"/>
  <c r="Y96" i="1"/>
  <c r="Z96" i="1"/>
  <c r="AB96" i="1"/>
  <c r="AC96" i="1"/>
  <c r="AD96" i="1"/>
  <c r="AE96" i="1"/>
  <c r="R12" i="3" s="1"/>
  <c r="AM133" i="1"/>
  <c r="K97" i="1"/>
  <c r="M97" i="1"/>
  <c r="N97" i="1" s="1"/>
  <c r="Y97" i="1"/>
  <c r="Z97" i="1"/>
  <c r="AB97" i="1"/>
  <c r="AC97" i="1"/>
  <c r="AD97" i="1"/>
  <c r="T97" i="1" s="1"/>
  <c r="AE97" i="1"/>
  <c r="AM134" i="1"/>
  <c r="K98" i="1"/>
  <c r="M98" i="1"/>
  <c r="N98" i="1" s="1"/>
  <c r="Y98" i="1"/>
  <c r="Z98" i="1"/>
  <c r="AB98" i="1"/>
  <c r="AC98" i="1"/>
  <c r="AD98" i="1"/>
  <c r="AG98" i="1" s="1"/>
  <c r="AE98" i="1"/>
  <c r="AM135" i="1"/>
  <c r="K99" i="1"/>
  <c r="M99" i="1"/>
  <c r="N99" i="1" s="1"/>
  <c r="Y99" i="1"/>
  <c r="Z99" i="1"/>
  <c r="AB99" i="1"/>
  <c r="AC99" i="1"/>
  <c r="AD99" i="1"/>
  <c r="AG99" i="1" s="1"/>
  <c r="AE99" i="1"/>
  <c r="AM136" i="1"/>
  <c r="K100" i="1"/>
  <c r="M100" i="1"/>
  <c r="N100" i="1" s="1"/>
  <c r="Y100" i="1"/>
  <c r="Z100" i="1"/>
  <c r="AB100" i="1"/>
  <c r="AC100" i="1"/>
  <c r="AD100" i="1"/>
  <c r="T100" i="1" s="1"/>
  <c r="AE100" i="1"/>
  <c r="AM137" i="1"/>
  <c r="K101" i="1"/>
  <c r="M101" i="1"/>
  <c r="N101" i="1" s="1"/>
  <c r="Y101" i="1"/>
  <c r="Z101" i="1"/>
  <c r="AB101" i="1"/>
  <c r="AC101" i="1"/>
  <c r="AD101" i="1"/>
  <c r="T101" i="1" s="1"/>
  <c r="AE101" i="1"/>
  <c r="R22" i="3" s="1"/>
  <c r="AM138" i="1"/>
  <c r="K102" i="1"/>
  <c r="M102" i="1"/>
  <c r="N102" i="1" s="1"/>
  <c r="Y102" i="1"/>
  <c r="Z102" i="1"/>
  <c r="AB102" i="1"/>
  <c r="AC102" i="1"/>
  <c r="AD102" i="1"/>
  <c r="AG102" i="1" s="1"/>
  <c r="AE102" i="1"/>
  <c r="R17" i="3" s="1"/>
  <c r="AM139" i="1"/>
  <c r="K198" i="1"/>
  <c r="M198" i="1"/>
  <c r="N198" i="1" s="1"/>
  <c r="Y198" i="1"/>
  <c r="Z198" i="1"/>
  <c r="AB198" i="1"/>
  <c r="AC198" i="1"/>
  <c r="AD198" i="1"/>
  <c r="AE198" i="1"/>
  <c r="AM140" i="1"/>
  <c r="K199" i="1"/>
  <c r="M199" i="1"/>
  <c r="N199" i="1" s="1"/>
  <c r="Y199" i="1"/>
  <c r="Z199" i="1"/>
  <c r="AB199" i="1"/>
  <c r="AC199" i="1"/>
  <c r="AD199" i="1"/>
  <c r="AG199" i="1" s="1"/>
  <c r="AE199" i="1"/>
  <c r="AM141" i="1"/>
  <c r="K103" i="1"/>
  <c r="M103" i="1"/>
  <c r="N103" i="1" s="1"/>
  <c r="Y103" i="1"/>
  <c r="Z103" i="1"/>
  <c r="AB103" i="1"/>
  <c r="AC103" i="1"/>
  <c r="AD103" i="1"/>
  <c r="AE103" i="1"/>
  <c r="AM142" i="1"/>
  <c r="K105" i="1"/>
  <c r="M105" i="1"/>
  <c r="N105" i="1" s="1"/>
  <c r="Y105" i="1"/>
  <c r="Z105" i="1"/>
  <c r="AB105" i="1"/>
  <c r="AC105" i="1"/>
  <c r="AD105" i="1"/>
  <c r="AG105" i="1" s="1"/>
  <c r="AE105" i="1"/>
  <c r="AM143" i="1"/>
  <c r="K106" i="1"/>
  <c r="M106" i="1"/>
  <c r="N106" i="1" s="1"/>
  <c r="Y106" i="1"/>
  <c r="Z106" i="1"/>
  <c r="AB106" i="1"/>
  <c r="AC106" i="1"/>
  <c r="AD106" i="1"/>
  <c r="AG106" i="1" s="1"/>
  <c r="AE106" i="1"/>
  <c r="AM144" i="1"/>
  <c r="K107" i="1"/>
  <c r="M107" i="1"/>
  <c r="N107" i="1" s="1"/>
  <c r="Y107" i="1"/>
  <c r="Z107" i="1"/>
  <c r="AB107" i="1"/>
  <c r="AC107" i="1"/>
  <c r="AD107" i="1"/>
  <c r="T107" i="1" s="1"/>
  <c r="AE107" i="1"/>
  <c r="AM145" i="1"/>
  <c r="K108" i="1"/>
  <c r="M108" i="1"/>
  <c r="N108" i="1" s="1"/>
  <c r="T108" i="1"/>
  <c r="Y108" i="1"/>
  <c r="Z108" i="1"/>
  <c r="AB108" i="1"/>
  <c r="AC108" i="1"/>
  <c r="AD108" i="1"/>
  <c r="AE108" i="1"/>
  <c r="AM146" i="1"/>
  <c r="K109" i="1"/>
  <c r="M109" i="1"/>
  <c r="N109" i="1" s="1"/>
  <c r="Y109" i="1"/>
  <c r="Z109" i="1"/>
  <c r="AB109" i="1"/>
  <c r="AC109" i="1"/>
  <c r="AD109" i="1"/>
  <c r="AE109" i="1"/>
  <c r="AM147" i="1"/>
  <c r="K110" i="1"/>
  <c r="M110" i="1"/>
  <c r="N110" i="1" s="1"/>
  <c r="Y110" i="1"/>
  <c r="Z110" i="1"/>
  <c r="AB110" i="1"/>
  <c r="AC110" i="1"/>
  <c r="AD110" i="1"/>
  <c r="AG110" i="1" s="1"/>
  <c r="AE110" i="1"/>
  <c r="AM148" i="1"/>
  <c r="K111" i="1"/>
  <c r="M111" i="1"/>
  <c r="N111" i="1" s="1"/>
  <c r="Y111" i="1"/>
  <c r="Z111" i="1"/>
  <c r="AB111" i="1"/>
  <c r="AC111" i="1"/>
  <c r="AD111" i="1"/>
  <c r="AG111" i="1" s="1"/>
  <c r="AE111" i="1"/>
  <c r="K112" i="1"/>
  <c r="M112" i="1"/>
  <c r="N112" i="1" s="1"/>
  <c r="Y112" i="1"/>
  <c r="Z112" i="1"/>
  <c r="AB112" i="1"/>
  <c r="AC112" i="1"/>
  <c r="AD112" i="1"/>
  <c r="AE112" i="1"/>
  <c r="AM149" i="1"/>
  <c r="K113" i="1"/>
  <c r="M113" i="1"/>
  <c r="N113" i="1" s="1"/>
  <c r="Y113" i="1"/>
  <c r="Z113" i="1"/>
  <c r="AB113" i="1"/>
  <c r="AC113" i="1"/>
  <c r="AD113" i="1"/>
  <c r="AG113" i="1" s="1"/>
  <c r="AE113" i="1"/>
  <c r="AM150" i="1"/>
  <c r="K114" i="1"/>
  <c r="M114" i="1"/>
  <c r="N114" i="1" s="1"/>
  <c r="Y114" i="1"/>
  <c r="Z114" i="1"/>
  <c r="AB114" i="1"/>
  <c r="AC114" i="1"/>
  <c r="AD114" i="1"/>
  <c r="AG114" i="1" s="1"/>
  <c r="AE114" i="1"/>
  <c r="AM151" i="1"/>
  <c r="K115" i="1"/>
  <c r="M115" i="1"/>
  <c r="N115" i="1" s="1"/>
  <c r="Y115" i="1"/>
  <c r="Z115" i="1"/>
  <c r="AB115" i="1"/>
  <c r="AC115" i="1"/>
  <c r="AD115" i="1"/>
  <c r="T115" i="1" s="1"/>
  <c r="AE115" i="1"/>
  <c r="AM152" i="1"/>
  <c r="K116" i="1"/>
  <c r="M116" i="1"/>
  <c r="N116" i="1" s="1"/>
  <c r="Y116" i="1"/>
  <c r="Z116" i="1"/>
  <c r="AB116" i="1"/>
  <c r="AC116" i="1"/>
  <c r="AD116" i="1"/>
  <c r="T116" i="1" s="1"/>
  <c r="AE116" i="1"/>
  <c r="AM153" i="1"/>
  <c r="K117" i="1"/>
  <c r="M117" i="1"/>
  <c r="N117" i="1" s="1"/>
  <c r="Y117" i="1"/>
  <c r="Z117" i="1"/>
  <c r="AB117" i="1"/>
  <c r="AC117" i="1"/>
  <c r="AD117" i="1"/>
  <c r="AG117" i="1" s="1"/>
  <c r="AE117" i="1"/>
  <c r="R8" i="3" s="1"/>
  <c r="AM154" i="1"/>
  <c r="K118" i="1"/>
  <c r="M118" i="1"/>
  <c r="N118" i="1" s="1"/>
  <c r="Y118" i="1"/>
  <c r="Z118" i="1"/>
  <c r="AB118" i="1"/>
  <c r="AC118" i="1"/>
  <c r="AD118" i="1"/>
  <c r="AE118" i="1"/>
  <c r="R18" i="3" s="1"/>
  <c r="AM155" i="1"/>
  <c r="K119" i="1"/>
  <c r="M119" i="1"/>
  <c r="N119" i="1" s="1"/>
  <c r="Y119" i="1"/>
  <c r="Z119" i="1"/>
  <c r="AB119" i="1"/>
  <c r="AC119" i="1"/>
  <c r="AD119" i="1"/>
  <c r="AE119" i="1"/>
  <c r="AM156" i="1"/>
  <c r="K121" i="1"/>
  <c r="M121" i="1"/>
  <c r="N121" i="1" s="1"/>
  <c r="Y121" i="1"/>
  <c r="Z121" i="1"/>
  <c r="AB121" i="1"/>
  <c r="AC121" i="1"/>
  <c r="AD121" i="1"/>
  <c r="T121" i="1" s="1"/>
  <c r="AE121" i="1"/>
  <c r="AM157" i="1"/>
  <c r="K122" i="1"/>
  <c r="M122" i="1"/>
  <c r="N122" i="1" s="1"/>
  <c r="Y122" i="1"/>
  <c r="Z122" i="1"/>
  <c r="AB122" i="1"/>
  <c r="AC122" i="1"/>
  <c r="AD122" i="1"/>
  <c r="AG122" i="1" s="1"/>
  <c r="AE122" i="1"/>
  <c r="AM158" i="1"/>
  <c r="K123" i="1"/>
  <c r="M123" i="1"/>
  <c r="N123" i="1" s="1"/>
  <c r="Y123" i="1"/>
  <c r="Z123" i="1"/>
  <c r="AB123" i="1"/>
  <c r="AC123" i="1"/>
  <c r="AD123" i="1"/>
  <c r="AG123" i="1" s="1"/>
  <c r="AE123" i="1"/>
  <c r="AM159" i="1"/>
  <c r="K124" i="1"/>
  <c r="M124" i="1"/>
  <c r="N124" i="1" s="1"/>
  <c r="Y124" i="1"/>
  <c r="Z124" i="1"/>
  <c r="AB124" i="1"/>
  <c r="AC124" i="1"/>
  <c r="AD124" i="1"/>
  <c r="T124" i="1" s="1"/>
  <c r="AE124" i="1"/>
  <c r="AM160" i="1"/>
  <c r="K125" i="1"/>
  <c r="M125" i="1"/>
  <c r="N125" i="1" s="1"/>
  <c r="Y125" i="1"/>
  <c r="Z125" i="1"/>
  <c r="AB125" i="1"/>
  <c r="AC125" i="1"/>
  <c r="AD125" i="1"/>
  <c r="AE125" i="1"/>
  <c r="AM161" i="1"/>
  <c r="K126" i="1"/>
  <c r="M126" i="1"/>
  <c r="N126" i="1" s="1"/>
  <c r="Y126" i="1"/>
  <c r="Z126" i="1"/>
  <c r="AB126" i="1"/>
  <c r="AC126" i="1"/>
  <c r="AD126" i="1"/>
  <c r="AE126" i="1"/>
  <c r="AM162" i="1"/>
  <c r="K127" i="1"/>
  <c r="M127" i="1"/>
  <c r="N127" i="1" s="1"/>
  <c r="Y127" i="1"/>
  <c r="Z127" i="1"/>
  <c r="AB127" i="1"/>
  <c r="AC127" i="1"/>
  <c r="AD127" i="1"/>
  <c r="AG127" i="1" s="1"/>
  <c r="AE127" i="1"/>
  <c r="AM163" i="1"/>
  <c r="K128" i="1"/>
  <c r="M128" i="1"/>
  <c r="N128" i="1" s="1"/>
  <c r="Y128" i="1"/>
  <c r="Z128" i="1"/>
  <c r="AB128" i="1"/>
  <c r="AC128" i="1"/>
  <c r="AD128" i="1"/>
  <c r="T128" i="1" s="1"/>
  <c r="AE128" i="1"/>
  <c r="AM164" i="1"/>
  <c r="K129" i="1"/>
  <c r="M129" i="1"/>
  <c r="N129" i="1" s="1"/>
  <c r="Y129" i="1"/>
  <c r="Z129" i="1"/>
  <c r="AB129" i="1"/>
  <c r="AC129" i="1"/>
  <c r="AD129" i="1"/>
  <c r="T129" i="1" s="1"/>
  <c r="AE129" i="1"/>
  <c r="R10" i="3" s="1"/>
  <c r="AM165" i="1"/>
  <c r="K130" i="1"/>
  <c r="M130" i="1"/>
  <c r="N130" i="1" s="1"/>
  <c r="Y130" i="1"/>
  <c r="Z130" i="1"/>
  <c r="AB130" i="1"/>
  <c r="AC130" i="1"/>
  <c r="AD130" i="1"/>
  <c r="AE130" i="1"/>
  <c r="AM166" i="1"/>
  <c r="K131" i="1"/>
  <c r="M131" i="1"/>
  <c r="N131" i="1" s="1"/>
  <c r="Y131" i="1"/>
  <c r="Z131" i="1"/>
  <c r="AB131" i="1"/>
  <c r="AC131" i="1"/>
  <c r="AD131" i="1"/>
  <c r="AG131" i="1" s="1"/>
  <c r="AE131" i="1"/>
  <c r="AM167" i="1"/>
  <c r="K132" i="1"/>
  <c r="M132" i="1"/>
  <c r="N132" i="1" s="1"/>
  <c r="Y132" i="1"/>
  <c r="Z132" i="1"/>
  <c r="AB132" i="1"/>
  <c r="AC132" i="1"/>
  <c r="AD132" i="1"/>
  <c r="AG132" i="1" s="1"/>
  <c r="AE132" i="1"/>
  <c r="AM168" i="1"/>
  <c r="K133" i="1"/>
  <c r="M133" i="1"/>
  <c r="N133" i="1" s="1"/>
  <c r="Y133" i="1"/>
  <c r="Z133" i="1"/>
  <c r="AB133" i="1"/>
  <c r="AC133" i="1"/>
  <c r="AD133" i="1"/>
  <c r="T133" i="1" s="1"/>
  <c r="AE133" i="1"/>
  <c r="AM169" i="1"/>
  <c r="K134" i="1"/>
  <c r="M134" i="1"/>
  <c r="N134" i="1" s="1"/>
  <c r="Y134" i="1"/>
  <c r="Z134" i="1"/>
  <c r="AB134" i="1"/>
  <c r="AC134" i="1"/>
  <c r="AD134" i="1"/>
  <c r="T134" i="1" s="1"/>
  <c r="AE134" i="1"/>
  <c r="AM170" i="1"/>
  <c r="K135" i="1"/>
  <c r="M135" i="1"/>
  <c r="N135" i="1" s="1"/>
  <c r="Y135" i="1"/>
  <c r="Z135" i="1"/>
  <c r="AB135" i="1"/>
  <c r="AC135" i="1"/>
  <c r="AD135" i="1"/>
  <c r="AE135" i="1"/>
  <c r="AM171" i="1"/>
  <c r="K136" i="1"/>
  <c r="M136" i="1"/>
  <c r="N136" i="1" s="1"/>
  <c r="Y136" i="1"/>
  <c r="Z136" i="1"/>
  <c r="AB136" i="1"/>
  <c r="AC136" i="1"/>
  <c r="AD136" i="1"/>
  <c r="T136" i="1" s="1"/>
  <c r="AE136" i="1"/>
  <c r="AM172" i="1"/>
  <c r="K137" i="1"/>
  <c r="M137" i="1"/>
  <c r="N137" i="1" s="1"/>
  <c r="Y137" i="1"/>
  <c r="Z137" i="1"/>
  <c r="AB137" i="1"/>
  <c r="AC137" i="1"/>
  <c r="AD137" i="1"/>
  <c r="AG137" i="1" s="1"/>
  <c r="AE137" i="1"/>
  <c r="AM173" i="1"/>
  <c r="K138" i="1"/>
  <c r="M138" i="1"/>
  <c r="N138" i="1" s="1"/>
  <c r="Y138" i="1"/>
  <c r="Z138" i="1"/>
  <c r="AB138" i="1"/>
  <c r="AC138" i="1"/>
  <c r="AD138" i="1"/>
  <c r="T138" i="1" s="1"/>
  <c r="AE138" i="1"/>
  <c r="AM174" i="1"/>
  <c r="K139" i="1"/>
  <c r="M139" i="1"/>
  <c r="N139" i="1" s="1"/>
  <c r="Y139" i="1"/>
  <c r="Z139" i="1"/>
  <c r="AB139" i="1"/>
  <c r="AC139" i="1"/>
  <c r="AD139" i="1"/>
  <c r="AE139" i="1"/>
  <c r="AM175" i="1"/>
  <c r="K140" i="1"/>
  <c r="M140" i="1"/>
  <c r="N140" i="1" s="1"/>
  <c r="Y140" i="1"/>
  <c r="Z140" i="1"/>
  <c r="AB140" i="1"/>
  <c r="AC140" i="1"/>
  <c r="AD140" i="1"/>
  <c r="T140" i="1" s="1"/>
  <c r="AE140" i="1"/>
  <c r="AM176" i="1"/>
  <c r="K141" i="1"/>
  <c r="M141" i="1"/>
  <c r="N141" i="1" s="1"/>
  <c r="Y141" i="1"/>
  <c r="Z141" i="1"/>
  <c r="AB141" i="1"/>
  <c r="AC141" i="1"/>
  <c r="AD141" i="1"/>
  <c r="AG141" i="1" s="1"/>
  <c r="AE141" i="1"/>
  <c r="AM177" i="1"/>
  <c r="K142" i="1"/>
  <c r="M142" i="1"/>
  <c r="N142" i="1" s="1"/>
  <c r="Y142" i="1"/>
  <c r="Z142" i="1"/>
  <c r="AB142" i="1"/>
  <c r="AC142" i="1"/>
  <c r="AD142" i="1"/>
  <c r="AE142" i="1"/>
  <c r="AM178" i="1"/>
  <c r="K143" i="1"/>
  <c r="M143" i="1"/>
  <c r="N143" i="1" s="1"/>
  <c r="Y143" i="1"/>
  <c r="Z143" i="1"/>
  <c r="AB143" i="1"/>
  <c r="AC143" i="1"/>
  <c r="AD143" i="1"/>
  <c r="AE143" i="1"/>
  <c r="AM179" i="1"/>
  <c r="K144" i="1"/>
  <c r="M144" i="1"/>
  <c r="N144" i="1" s="1"/>
  <c r="Y144" i="1"/>
  <c r="Z144" i="1"/>
  <c r="AB144" i="1"/>
  <c r="AC144" i="1"/>
  <c r="AD144" i="1"/>
  <c r="T144" i="1" s="1"/>
  <c r="AE144" i="1"/>
  <c r="AM180" i="1"/>
  <c r="K145" i="1"/>
  <c r="M145" i="1"/>
  <c r="N145" i="1" s="1"/>
  <c r="Y145" i="1"/>
  <c r="Z145" i="1"/>
  <c r="AB145" i="1"/>
  <c r="AC145" i="1"/>
  <c r="AD145" i="1"/>
  <c r="AG145" i="1" s="1"/>
  <c r="AE145" i="1"/>
  <c r="AM181" i="1"/>
  <c r="K146" i="1"/>
  <c r="M146" i="1"/>
  <c r="N146" i="1" s="1"/>
  <c r="Y146" i="1"/>
  <c r="Z146" i="1"/>
  <c r="AB146" i="1"/>
  <c r="AC146" i="1"/>
  <c r="AD146" i="1"/>
  <c r="AE146" i="1"/>
  <c r="R11" i="3" s="1"/>
  <c r="AM182" i="1"/>
  <c r="K147" i="1"/>
  <c r="M147" i="1"/>
  <c r="N147" i="1" s="1"/>
  <c r="Y147" i="1"/>
  <c r="Z147" i="1"/>
  <c r="AB147" i="1"/>
  <c r="AC147" i="1"/>
  <c r="AD147" i="1"/>
  <c r="AE147" i="1"/>
  <c r="AM183" i="1"/>
  <c r="K148" i="1"/>
  <c r="M148" i="1"/>
  <c r="N148" i="1"/>
  <c r="Y148" i="1"/>
  <c r="Z148" i="1"/>
  <c r="AB148" i="1"/>
  <c r="AC148" i="1"/>
  <c r="AD148" i="1"/>
  <c r="X148" i="1" s="1"/>
  <c r="AE148" i="1"/>
  <c r="AM184" i="1"/>
  <c r="AM185" i="1"/>
  <c r="K149" i="1"/>
  <c r="M149" i="1"/>
  <c r="N149" i="1" s="1"/>
  <c r="Y149" i="1"/>
  <c r="Z149" i="1"/>
  <c r="AB149" i="1"/>
  <c r="AC149" i="1"/>
  <c r="AD149" i="1"/>
  <c r="AE149" i="1"/>
  <c r="AM186" i="1"/>
  <c r="K150" i="1"/>
  <c r="M150" i="1"/>
  <c r="N150" i="1"/>
  <c r="Y150" i="1"/>
  <c r="Z150" i="1"/>
  <c r="AB150" i="1"/>
  <c r="AC150" i="1"/>
  <c r="AD150" i="1"/>
  <c r="AG150" i="1" s="1"/>
  <c r="AE150" i="1"/>
  <c r="AM187" i="1"/>
  <c r="K151" i="1"/>
  <c r="M151" i="1"/>
  <c r="N151" i="1" s="1"/>
  <c r="Y151" i="1"/>
  <c r="Z151" i="1"/>
  <c r="AB151" i="1"/>
  <c r="AC151" i="1"/>
  <c r="AD151" i="1"/>
  <c r="AE151" i="1"/>
  <c r="AM188" i="1"/>
  <c r="K152" i="1"/>
  <c r="M152" i="1"/>
  <c r="N152" i="1" s="1"/>
  <c r="Y152" i="1"/>
  <c r="Z152" i="1"/>
  <c r="AB152" i="1"/>
  <c r="AC152" i="1"/>
  <c r="AD152" i="1"/>
  <c r="AG152" i="1" s="1"/>
  <c r="AE152" i="1"/>
  <c r="AM189" i="1"/>
  <c r="K188" i="1"/>
  <c r="M188" i="1"/>
  <c r="N188" i="1" s="1"/>
  <c r="Y188" i="1"/>
  <c r="Z188" i="1"/>
  <c r="AB188" i="1"/>
  <c r="AC188" i="1"/>
  <c r="AD188" i="1"/>
  <c r="T188" i="1" s="1"/>
  <c r="AE188" i="1"/>
  <c r="AM190" i="1"/>
  <c r="K189" i="1"/>
  <c r="M189" i="1"/>
  <c r="N189" i="1" s="1"/>
  <c r="Y189" i="1"/>
  <c r="Z189" i="1"/>
  <c r="AB189" i="1"/>
  <c r="AC189" i="1"/>
  <c r="AD189" i="1"/>
  <c r="AE189" i="1"/>
  <c r="AM191" i="1"/>
  <c r="K190" i="1"/>
  <c r="M190" i="1"/>
  <c r="N190" i="1" s="1"/>
  <c r="Y190" i="1"/>
  <c r="Z190" i="1"/>
  <c r="AB190" i="1"/>
  <c r="AC190" i="1"/>
  <c r="AD190" i="1"/>
  <c r="AE190" i="1"/>
  <c r="AM192" i="1"/>
  <c r="K191" i="1"/>
  <c r="M191" i="1"/>
  <c r="N191" i="1" s="1"/>
  <c r="Y191" i="1"/>
  <c r="Z191" i="1"/>
  <c r="AB191" i="1"/>
  <c r="AC191" i="1"/>
  <c r="AD191" i="1"/>
  <c r="AG191" i="1" s="1"/>
  <c r="AE191" i="1"/>
  <c r="AM193" i="1"/>
  <c r="K192" i="1"/>
  <c r="M192" i="1"/>
  <c r="N192" i="1" s="1"/>
  <c r="Y192" i="1"/>
  <c r="Z192" i="1"/>
  <c r="AB192" i="1"/>
  <c r="AC192" i="1"/>
  <c r="AD192" i="1"/>
  <c r="T192" i="1" s="1"/>
  <c r="AE192" i="1"/>
  <c r="AM194" i="1"/>
  <c r="K193" i="1"/>
  <c r="M193" i="1"/>
  <c r="N193" i="1" s="1"/>
  <c r="Y193" i="1"/>
  <c r="Z193" i="1"/>
  <c r="AB193" i="1"/>
  <c r="AC193" i="1"/>
  <c r="AD193" i="1"/>
  <c r="AG193" i="1" s="1"/>
  <c r="AE193" i="1"/>
  <c r="AM195" i="1"/>
  <c r="K194" i="1"/>
  <c r="M194" i="1"/>
  <c r="N194" i="1" s="1"/>
  <c r="Y194" i="1"/>
  <c r="Z194" i="1"/>
  <c r="AB194" i="1"/>
  <c r="AC194" i="1"/>
  <c r="AD194" i="1"/>
  <c r="AE194" i="1"/>
  <c r="AM196" i="1"/>
  <c r="K195" i="1"/>
  <c r="M195" i="1"/>
  <c r="N195" i="1" s="1"/>
  <c r="Y195" i="1"/>
  <c r="Z195" i="1"/>
  <c r="AB195" i="1"/>
  <c r="AC195" i="1"/>
  <c r="AD195" i="1"/>
  <c r="AE195" i="1"/>
  <c r="AM197" i="1"/>
  <c r="K196" i="1"/>
  <c r="M196" i="1"/>
  <c r="N196" i="1" s="1"/>
  <c r="Y196" i="1"/>
  <c r="Z196" i="1"/>
  <c r="AB196" i="1"/>
  <c r="AC196" i="1"/>
  <c r="AD196" i="1"/>
  <c r="AE196" i="1"/>
  <c r="AM198" i="1"/>
  <c r="K197" i="1"/>
  <c r="M197" i="1"/>
  <c r="N197" i="1" s="1"/>
  <c r="Y197" i="1"/>
  <c r="Z197" i="1"/>
  <c r="AB197" i="1"/>
  <c r="AC197" i="1"/>
  <c r="AD197" i="1"/>
  <c r="AE197" i="1"/>
  <c r="AM199" i="1"/>
  <c r="K200" i="1"/>
  <c r="M200" i="1"/>
  <c r="N200" i="1" s="1"/>
  <c r="Y200" i="1"/>
  <c r="Z200" i="1"/>
  <c r="AB200" i="1"/>
  <c r="AC200" i="1"/>
  <c r="AD200" i="1"/>
  <c r="AE200" i="1"/>
  <c r="AM200" i="1"/>
  <c r="K201" i="1"/>
  <c r="M201" i="1"/>
  <c r="N201" i="1" s="1"/>
  <c r="Y201" i="1"/>
  <c r="Z201" i="1"/>
  <c r="AB201" i="1"/>
  <c r="AC201" i="1"/>
  <c r="AD201" i="1"/>
  <c r="AE201" i="1"/>
  <c r="AM201" i="1"/>
  <c r="M13" i="3"/>
  <c r="U13" i="3"/>
  <c r="W13" i="3"/>
  <c r="X13" i="3"/>
  <c r="M7" i="3"/>
  <c r="R7" i="3"/>
  <c r="U7" i="3"/>
  <c r="W7" i="3"/>
  <c r="X7" i="3"/>
  <c r="M21" i="3"/>
  <c r="U21" i="3"/>
  <c r="W21" i="3"/>
  <c r="X21" i="3"/>
  <c r="M14" i="3"/>
  <c r="U14" i="3"/>
  <c r="W14" i="3"/>
  <c r="Y14" i="3" s="1"/>
  <c r="X14" i="3"/>
  <c r="M15" i="3"/>
  <c r="U15" i="3"/>
  <c r="W15" i="3"/>
  <c r="X15" i="3"/>
  <c r="M9" i="3"/>
  <c r="U9" i="3"/>
  <c r="W9" i="3"/>
  <c r="X9" i="3"/>
  <c r="M16" i="3"/>
  <c r="R16" i="3"/>
  <c r="U16" i="3"/>
  <c r="W16" i="3"/>
  <c r="X16" i="3"/>
  <c r="M26" i="3"/>
  <c r="U26" i="3"/>
  <c r="W26" i="3"/>
  <c r="X26" i="3"/>
  <c r="M12" i="3"/>
  <c r="U12" i="3"/>
  <c r="W12" i="3"/>
  <c r="X12" i="3"/>
  <c r="M22" i="3"/>
  <c r="U22" i="3"/>
  <c r="W22" i="3"/>
  <c r="X22" i="3"/>
  <c r="M27" i="3"/>
  <c r="R27" i="3"/>
  <c r="U27" i="3"/>
  <c r="W27" i="3"/>
  <c r="X27" i="3"/>
  <c r="M17" i="3"/>
  <c r="U17" i="3"/>
  <c r="W17" i="3"/>
  <c r="X17" i="3"/>
  <c r="M8" i="3"/>
  <c r="U8" i="3"/>
  <c r="W8" i="3"/>
  <c r="X8" i="3"/>
  <c r="M18" i="3"/>
  <c r="U18" i="3"/>
  <c r="W18" i="3"/>
  <c r="Y18" i="3" s="1"/>
  <c r="X18" i="3"/>
  <c r="M19" i="3"/>
  <c r="R19" i="3"/>
  <c r="U19" i="3"/>
  <c r="W19" i="3"/>
  <c r="X19" i="3"/>
  <c r="M10" i="3"/>
  <c r="U10" i="3"/>
  <c r="W10" i="3"/>
  <c r="X10" i="3"/>
  <c r="M25" i="3"/>
  <c r="U25" i="3"/>
  <c r="W25" i="3"/>
  <c r="X25" i="3"/>
  <c r="M20" i="3"/>
  <c r="R20" i="3"/>
  <c r="U20" i="3"/>
  <c r="W20" i="3"/>
  <c r="X20" i="3"/>
  <c r="M11" i="3"/>
  <c r="U11" i="3"/>
  <c r="W11" i="3"/>
  <c r="X11" i="3"/>
  <c r="M23" i="3"/>
  <c r="U23" i="3"/>
  <c r="W23" i="3"/>
  <c r="X23" i="3"/>
  <c r="M24" i="3"/>
  <c r="U24" i="3"/>
  <c r="W24" i="3"/>
  <c r="X24" i="3"/>
  <c r="X151" i="1" l="1"/>
  <c r="X118" i="1"/>
  <c r="T119" i="1"/>
  <c r="X119" i="1"/>
  <c r="AI159" i="1"/>
  <c r="T61" i="1"/>
  <c r="AA37" i="1"/>
  <c r="W61" i="1"/>
  <c r="AA39" i="1"/>
  <c r="X64" i="1"/>
  <c r="X26" i="1"/>
  <c r="X22" i="1"/>
  <c r="AA25" i="1"/>
  <c r="AA21" i="1"/>
  <c r="W21" i="1" s="1"/>
  <c r="AA19" i="1"/>
  <c r="AA15" i="1"/>
  <c r="AA136" i="1"/>
  <c r="AG107" i="1"/>
  <c r="X107" i="1"/>
  <c r="X123" i="1"/>
  <c r="X149" i="1"/>
  <c r="AA106" i="1"/>
  <c r="W106" i="1" s="1"/>
  <c r="AA198" i="1"/>
  <c r="AI57" i="1"/>
  <c r="X104" i="1"/>
  <c r="Y21" i="3"/>
  <c r="X125" i="1"/>
  <c r="AA14" i="1"/>
  <c r="X63" i="1"/>
  <c r="X62" i="1"/>
  <c r="AI61" i="1"/>
  <c r="AA115" i="1"/>
  <c r="AA174" i="1"/>
  <c r="AA49" i="1"/>
  <c r="AI32" i="1"/>
  <c r="AA20" i="1"/>
  <c r="AA16" i="1"/>
  <c r="X124" i="1"/>
  <c r="X120" i="1"/>
  <c r="X150" i="1"/>
  <c r="Y19" i="3"/>
  <c r="Y27" i="3"/>
  <c r="Y16" i="3"/>
  <c r="X146" i="1"/>
  <c r="AA146" i="1"/>
  <c r="X142" i="1"/>
  <c r="AI132" i="1"/>
  <c r="AA128" i="1"/>
  <c r="T104" i="1"/>
  <c r="X122" i="1"/>
  <c r="AI67" i="1"/>
  <c r="AA63" i="1"/>
  <c r="W63" i="1" s="1"/>
  <c r="AI53" i="1"/>
  <c r="AA44" i="1"/>
  <c r="W44" i="1" s="1"/>
  <c r="X29" i="1"/>
  <c r="AG14" i="1"/>
  <c r="X105" i="1"/>
  <c r="AG120" i="1"/>
  <c r="X121" i="1"/>
  <c r="AG104" i="1"/>
  <c r="W104" i="1" s="1"/>
  <c r="X71" i="1"/>
  <c r="AA32" i="1"/>
  <c r="W32" i="1" s="1"/>
  <c r="AA22" i="1"/>
  <c r="X30" i="1"/>
  <c r="Y25" i="3"/>
  <c r="X115" i="1"/>
  <c r="AA96" i="1"/>
  <c r="Y8" i="3"/>
  <c r="Y7" i="3"/>
  <c r="Y13" i="3"/>
  <c r="AA190" i="1"/>
  <c r="AG124" i="1"/>
  <c r="AI99" i="1"/>
  <c r="AA99" i="1"/>
  <c r="W99" i="1" s="1"/>
  <c r="AA187" i="1"/>
  <c r="W187" i="1" s="1"/>
  <c r="AA186" i="1"/>
  <c r="AI91" i="1"/>
  <c r="AI87" i="1"/>
  <c r="AA83" i="1"/>
  <c r="W83" i="1" s="1"/>
  <c r="AA75" i="1"/>
  <c r="W75" i="1" s="1"/>
  <c r="AI71" i="1"/>
  <c r="AA51" i="1"/>
  <c r="AI36" i="1"/>
  <c r="X32" i="1"/>
  <c r="X187" i="1"/>
  <c r="Y24" i="3"/>
  <c r="AG170" i="1"/>
  <c r="X84" i="1"/>
  <c r="AI74" i="1"/>
  <c r="X33" i="1"/>
  <c r="AA33" i="1"/>
  <c r="AG201" i="1"/>
  <c r="AI201" i="1" s="1"/>
  <c r="T201" i="1"/>
  <c r="AA195" i="1"/>
  <c r="T103" i="1"/>
  <c r="X103" i="1"/>
  <c r="AG103" i="1"/>
  <c r="T173" i="1"/>
  <c r="X173" i="1"/>
  <c r="AG173" i="1"/>
  <c r="AG195" i="1"/>
  <c r="T195" i="1"/>
  <c r="T167" i="1"/>
  <c r="X167" i="1"/>
  <c r="AG167" i="1"/>
  <c r="AI167" i="1" s="1"/>
  <c r="T45" i="1"/>
  <c r="AG45" i="1"/>
  <c r="X201" i="1"/>
  <c r="T196" i="1"/>
  <c r="X196" i="1"/>
  <c r="AG196" i="1"/>
  <c r="T112" i="1"/>
  <c r="X112" i="1"/>
  <c r="AG112" i="1"/>
  <c r="T96" i="1"/>
  <c r="AG96" i="1"/>
  <c r="T88" i="1"/>
  <c r="AG88" i="1"/>
  <c r="AI123" i="1"/>
  <c r="AA113" i="1"/>
  <c r="AI105" i="1"/>
  <c r="AA72" i="1"/>
  <c r="AA57" i="1"/>
  <c r="W57" i="1" s="1"/>
  <c r="AI152" i="1"/>
  <c r="AA152" i="1"/>
  <c r="W152" i="1" s="1"/>
  <c r="AA145" i="1"/>
  <c r="AG119" i="1"/>
  <c r="AG100" i="1"/>
  <c r="Y23" i="3"/>
  <c r="Y12" i="3"/>
  <c r="Y26" i="3"/>
  <c r="AA200" i="1"/>
  <c r="X191" i="1"/>
  <c r="AA144" i="1"/>
  <c r="AA137" i="1"/>
  <c r="AA112" i="1"/>
  <c r="AA111" i="1"/>
  <c r="W111" i="1" s="1"/>
  <c r="AA103" i="1"/>
  <c r="AA171" i="1"/>
  <c r="AA167" i="1"/>
  <c r="AG163" i="1"/>
  <c r="AI163" i="1" s="1"/>
  <c r="AA159" i="1"/>
  <c r="W159" i="1" s="1"/>
  <c r="AG157" i="1"/>
  <c r="X157" i="1"/>
  <c r="AG156" i="1"/>
  <c r="AI90" i="1"/>
  <c r="AA88" i="1"/>
  <c r="T80" i="1"/>
  <c r="AA79" i="1"/>
  <c r="X76" i="1"/>
  <c r="AA74" i="1"/>
  <c r="W74" i="1" s="1"/>
  <c r="AA68" i="1"/>
  <c r="AA66" i="1"/>
  <c r="W66" i="1" s="1"/>
  <c r="AA62" i="1"/>
  <c r="W62" i="1" s="1"/>
  <c r="AG59" i="1"/>
  <c r="X59" i="1"/>
  <c r="AA54" i="1"/>
  <c r="W54" i="1" s="1"/>
  <c r="AI44" i="1"/>
  <c r="AG41" i="1"/>
  <c r="AA28" i="1"/>
  <c r="W28" i="1" s="1"/>
  <c r="X21" i="1"/>
  <c r="AA141" i="1"/>
  <c r="AA138" i="1"/>
  <c r="AI114" i="1"/>
  <c r="AA114" i="1"/>
  <c r="W114" i="1" s="1"/>
  <c r="AA95" i="1"/>
  <c r="W95" i="1" s="1"/>
  <c r="AA177" i="1"/>
  <c r="AA160" i="1"/>
  <c r="AG72" i="1"/>
  <c r="AI72" i="1" s="1"/>
  <c r="AA59" i="1"/>
  <c r="AG49" i="1"/>
  <c r="W49" i="1" s="1"/>
  <c r="AA29" i="1"/>
  <c r="AA192" i="1"/>
  <c r="AA149" i="1"/>
  <c r="AA143" i="1"/>
  <c r="AI137" i="1"/>
  <c r="X132" i="1"/>
  <c r="AA130" i="1"/>
  <c r="AG128" i="1"/>
  <c r="W128" i="1" s="1"/>
  <c r="X127" i="1"/>
  <c r="AA123" i="1"/>
  <c r="W123" i="1" s="1"/>
  <c r="AA122" i="1"/>
  <c r="AA118" i="1"/>
  <c r="T111" i="1"/>
  <c r="AA199" i="1"/>
  <c r="W199" i="1" s="1"/>
  <c r="AA97" i="1"/>
  <c r="AA169" i="1"/>
  <c r="AA166" i="1"/>
  <c r="W166" i="1" s="1"/>
  <c r="AA163" i="1"/>
  <c r="AA158" i="1"/>
  <c r="AA156" i="1"/>
  <c r="AG92" i="1"/>
  <c r="AI92" i="1" s="1"/>
  <c r="X92" i="1"/>
  <c r="AA90" i="1"/>
  <c r="T84" i="1"/>
  <c r="AA82" i="1"/>
  <c r="W82" i="1" s="1"/>
  <c r="AA77" i="1"/>
  <c r="AA70" i="1"/>
  <c r="AG68" i="1"/>
  <c r="AI68" i="1" s="1"/>
  <c r="X68" i="1"/>
  <c r="AI62" i="1"/>
  <c r="AA58" i="1"/>
  <c r="W58" i="1" s="1"/>
  <c r="AG55" i="1"/>
  <c r="X55" i="1"/>
  <c r="AA43" i="1"/>
  <c r="W43" i="1" s="1"/>
  <c r="AA41" i="1"/>
  <c r="AA38" i="1"/>
  <c r="AA24" i="1"/>
  <c r="AG18" i="1"/>
  <c r="AI18" i="1" s="1"/>
  <c r="X18" i="1"/>
  <c r="AI193" i="1"/>
  <c r="AA188" i="1"/>
  <c r="T152" i="1"/>
  <c r="T142" i="1"/>
  <c r="W113" i="1"/>
  <c r="AI103" i="1"/>
  <c r="T95" i="1"/>
  <c r="W88" i="1"/>
  <c r="AI49" i="1"/>
  <c r="AA47" i="1"/>
  <c r="AG42" i="1"/>
  <c r="X42" i="1"/>
  <c r="AA36" i="1"/>
  <c r="W36" i="1" s="1"/>
  <c r="AA31" i="1"/>
  <c r="AI28" i="1"/>
  <c r="AA26" i="1"/>
  <c r="T17" i="1"/>
  <c r="AI150" i="1"/>
  <c r="AA201" i="1"/>
  <c r="AA191" i="1"/>
  <c r="W191" i="1" s="1"/>
  <c r="AA148" i="1"/>
  <c r="X145" i="1"/>
  <c r="AA140" i="1"/>
  <c r="AG138" i="1"/>
  <c r="X138" i="1"/>
  <c r="AA135" i="1"/>
  <c r="X134" i="1"/>
  <c r="AA132" i="1"/>
  <c r="W132" i="1" s="1"/>
  <c r="AA131" i="1"/>
  <c r="W131" i="1" s="1"/>
  <c r="AA127" i="1"/>
  <c r="W127" i="1" s="1"/>
  <c r="AA126" i="1"/>
  <c r="AG115" i="1"/>
  <c r="W115" i="1" s="1"/>
  <c r="AA100" i="1"/>
  <c r="W100" i="1" s="1"/>
  <c r="X99" i="1"/>
  <c r="AA98" i="1"/>
  <c r="W98" i="1" s="1"/>
  <c r="AG97" i="1"/>
  <c r="AI97" i="1" s="1"/>
  <c r="X97" i="1"/>
  <c r="T184" i="1"/>
  <c r="AA181" i="1"/>
  <c r="AA179" i="1"/>
  <c r="AG177" i="1"/>
  <c r="AA176" i="1"/>
  <c r="AA94" i="1"/>
  <c r="W94" i="1" s="1"/>
  <c r="AA172" i="1"/>
  <c r="W172" i="1" s="1"/>
  <c r="AA165" i="1"/>
  <c r="W165" i="1" s="1"/>
  <c r="AG160" i="1"/>
  <c r="X160" i="1"/>
  <c r="AA92" i="1"/>
  <c r="AA91" i="1"/>
  <c r="W91" i="1" s="1"/>
  <c r="X87" i="1"/>
  <c r="AG84" i="1"/>
  <c r="AI83" i="1"/>
  <c r="AG76" i="1"/>
  <c r="AI76" i="1" s="1"/>
  <c r="AI75" i="1"/>
  <c r="AG73" i="1"/>
  <c r="X73" i="1"/>
  <c r="AA67" i="1"/>
  <c r="W67" i="1" s="1"/>
  <c r="AI66" i="1"/>
  <c r="AA53" i="1"/>
  <c r="W53" i="1" s="1"/>
  <c r="AG51" i="1"/>
  <c r="W51" i="1" s="1"/>
  <c r="X51" i="1"/>
  <c r="AA48" i="1"/>
  <c r="W48" i="1" s="1"/>
  <c r="AG37" i="1"/>
  <c r="AI37" i="1" s="1"/>
  <c r="AG20" i="1"/>
  <c r="AI20" i="1" s="1"/>
  <c r="AA17" i="1"/>
  <c r="W17" i="1" s="1"/>
  <c r="X37" i="1"/>
  <c r="T146" i="1"/>
  <c r="AG142" i="1"/>
  <c r="AA139" i="1"/>
  <c r="X137" i="1"/>
  <c r="AA134" i="1"/>
  <c r="T132" i="1"/>
  <c r="X131" i="1"/>
  <c r="AI124" i="1"/>
  <c r="T199" i="1"/>
  <c r="X177" i="1"/>
  <c r="W90" i="1"/>
  <c r="AA196" i="1"/>
  <c r="W196" i="1" s="1"/>
  <c r="AG192" i="1"/>
  <c r="X192" i="1"/>
  <c r="T191" i="1"/>
  <c r="AG188" i="1"/>
  <c r="X188" i="1"/>
  <c r="AA151" i="1"/>
  <c r="AA150" i="1"/>
  <c r="W150" i="1" s="1"/>
  <c r="T149" i="1"/>
  <c r="AG146" i="1"/>
  <c r="W146" i="1" s="1"/>
  <c r="T145" i="1"/>
  <c r="X141" i="1"/>
  <c r="AG134" i="1"/>
  <c r="AG129" i="1"/>
  <c r="X129" i="1"/>
  <c r="AA121" i="1"/>
  <c r="AA117" i="1"/>
  <c r="W117" i="1" s="1"/>
  <c r="X114" i="1"/>
  <c r="AA110" i="1"/>
  <c r="W110" i="1" s="1"/>
  <c r="AA109" i="1"/>
  <c r="AA107" i="1"/>
  <c r="W107" i="1" s="1"/>
  <c r="AA105" i="1"/>
  <c r="W105" i="1" s="1"/>
  <c r="X100" i="1"/>
  <c r="AA183" i="1"/>
  <c r="W183" i="1" s="1"/>
  <c r="AG182" i="1"/>
  <c r="X182" i="1"/>
  <c r="AG179" i="1"/>
  <c r="X180" i="1"/>
  <c r="AA175" i="1"/>
  <c r="W175" i="1" s="1"/>
  <c r="W16" i="1"/>
  <c r="T137" i="1"/>
  <c r="T131" i="1"/>
  <c r="W122" i="1"/>
  <c r="W112" i="1"/>
  <c r="AI107" i="1"/>
  <c r="T106" i="1"/>
  <c r="AG176" i="1"/>
  <c r="X176" i="1"/>
  <c r="AI16" i="1"/>
  <c r="AA194" i="1"/>
  <c r="AA193" i="1"/>
  <c r="W193" i="1" s="1"/>
  <c r="AA189" i="1"/>
  <c r="AG149" i="1"/>
  <c r="W149" i="1" s="1"/>
  <c r="AA142" i="1"/>
  <c r="W142" i="1" s="1"/>
  <c r="T141" i="1"/>
  <c r="AA133" i="1"/>
  <c r="AA129" i="1"/>
  <c r="AA124" i="1"/>
  <c r="W124" i="1" s="1"/>
  <c r="T123" i="1"/>
  <c r="AG121" i="1"/>
  <c r="AA119" i="1"/>
  <c r="W119" i="1" s="1"/>
  <c r="T114" i="1"/>
  <c r="X110" i="1"/>
  <c r="AA102" i="1"/>
  <c r="W102" i="1" s="1"/>
  <c r="X181" i="1"/>
  <c r="AG181" i="1"/>
  <c r="T181" i="1"/>
  <c r="T99" i="1"/>
  <c r="AG184" i="1"/>
  <c r="AA182" i="1"/>
  <c r="W182" i="1" s="1"/>
  <c r="AA178" i="1"/>
  <c r="AA173" i="1"/>
  <c r="W173" i="1" s="1"/>
  <c r="AA170" i="1"/>
  <c r="W170" i="1" s="1"/>
  <c r="X166" i="1"/>
  <c r="W158" i="1"/>
  <c r="X91" i="1"/>
  <c r="AA87" i="1"/>
  <c r="W87" i="1" s="1"/>
  <c r="AA86" i="1"/>
  <c r="AA73" i="1"/>
  <c r="W73" i="1" s="1"/>
  <c r="AA71" i="1"/>
  <c r="W71" i="1" s="1"/>
  <c r="AA69" i="1"/>
  <c r="W69" i="1" s="1"/>
  <c r="X67" i="1"/>
  <c r="AA60" i="1"/>
  <c r="AA56" i="1"/>
  <c r="X50" i="1"/>
  <c r="X48" i="1"/>
  <c r="T36" i="1"/>
  <c r="X25" i="1"/>
  <c r="X17" i="1"/>
  <c r="W177" i="1"/>
  <c r="T94" i="1"/>
  <c r="AA164" i="1"/>
  <c r="AA93" i="1"/>
  <c r="W93" i="1" s="1"/>
  <c r="AA162" i="1"/>
  <c r="AA89" i="1"/>
  <c r="AA81" i="1"/>
  <c r="T75" i="1"/>
  <c r="AA65" i="1"/>
  <c r="T64" i="1"/>
  <c r="W59" i="1"/>
  <c r="T58" i="1"/>
  <c r="T54" i="1"/>
  <c r="AA35" i="1"/>
  <c r="AA34" i="1"/>
  <c r="W34" i="1" s="1"/>
  <c r="T33" i="1"/>
  <c r="AA30" i="1"/>
  <c r="T29" i="1"/>
  <c r="AA27" i="1"/>
  <c r="T26" i="1"/>
  <c r="AA23" i="1"/>
  <c r="T166" i="1"/>
  <c r="T91" i="1"/>
  <c r="T67" i="1"/>
  <c r="T63" i="1"/>
  <c r="T25" i="1"/>
  <c r="T22" i="1"/>
  <c r="T16" i="1"/>
  <c r="W14" i="1"/>
  <c r="AA184" i="1"/>
  <c r="T180" i="1"/>
  <c r="X94" i="1"/>
  <c r="AA168" i="1"/>
  <c r="AG164" i="1"/>
  <c r="AI164" i="1" s="1"/>
  <c r="X164" i="1"/>
  <c r="X93" i="1"/>
  <c r="AA157" i="1"/>
  <c r="AA155" i="1"/>
  <c r="AA153" i="1"/>
  <c r="AG89" i="1"/>
  <c r="X89" i="1"/>
  <c r="AI88" i="1"/>
  <c r="AA84" i="1"/>
  <c r="W84" i="1" s="1"/>
  <c r="AG81" i="1"/>
  <c r="X81" i="1"/>
  <c r="AA80" i="1"/>
  <c r="W80" i="1" s="1"/>
  <c r="X75" i="1"/>
  <c r="AG64" i="1"/>
  <c r="AI64" i="1" s="1"/>
  <c r="X58" i="1"/>
  <c r="X54" i="1"/>
  <c r="AA52" i="1"/>
  <c r="AA50" i="1"/>
  <c r="AA45" i="1"/>
  <c r="W45" i="1" s="1"/>
  <c r="AA42" i="1"/>
  <c r="AA40" i="1"/>
  <c r="AG33" i="1"/>
  <c r="W33" i="1" s="1"/>
  <c r="T32" i="1"/>
  <c r="AG29" i="1"/>
  <c r="AG26" i="1"/>
  <c r="AI26" i="1" s="1"/>
  <c r="AG24" i="1"/>
  <c r="AI24" i="1" s="1"/>
  <c r="AG22" i="1"/>
  <c r="T21" i="1"/>
  <c r="AA18" i="1"/>
  <c r="T197" i="1"/>
  <c r="X197" i="1"/>
  <c r="T194" i="1"/>
  <c r="X194" i="1"/>
  <c r="AG194" i="1"/>
  <c r="T147" i="1"/>
  <c r="X147" i="1"/>
  <c r="AI177" i="1"/>
  <c r="AI170" i="1"/>
  <c r="AI112" i="1"/>
  <c r="AI69" i="1"/>
  <c r="T189" i="1"/>
  <c r="X189" i="1"/>
  <c r="T151" i="1"/>
  <c r="AG151" i="1"/>
  <c r="AI151" i="1" s="1"/>
  <c r="AI187" i="1"/>
  <c r="AI182" i="1"/>
  <c r="AA197" i="1"/>
  <c r="T193" i="1"/>
  <c r="X193" i="1"/>
  <c r="T190" i="1"/>
  <c r="X190" i="1"/>
  <c r="AG190" i="1"/>
  <c r="AG189" i="1"/>
  <c r="AI189" i="1" s="1"/>
  <c r="X152" i="1"/>
  <c r="AA147" i="1"/>
  <c r="T143" i="1"/>
  <c r="X143" i="1"/>
  <c r="AG143" i="1"/>
  <c r="AI143" i="1" s="1"/>
  <c r="W141" i="1"/>
  <c r="AG135" i="1"/>
  <c r="AI135" i="1" s="1"/>
  <c r="T135" i="1"/>
  <c r="X135" i="1"/>
  <c r="AG118" i="1"/>
  <c r="AI118" i="1" s="1"/>
  <c r="T118" i="1"/>
  <c r="T109" i="1"/>
  <c r="X109" i="1"/>
  <c r="AG109" i="1"/>
  <c r="AI109" i="1" s="1"/>
  <c r="X108" i="1"/>
  <c r="AG108" i="1"/>
  <c r="AI108" i="1" s="1"/>
  <c r="AI127" i="1"/>
  <c r="AI111" i="1"/>
  <c r="W169" i="1"/>
  <c r="T126" i="1"/>
  <c r="X126" i="1"/>
  <c r="AG126" i="1"/>
  <c r="W126" i="1" s="1"/>
  <c r="AG125" i="1"/>
  <c r="AI125" i="1" s="1"/>
  <c r="T200" i="1"/>
  <c r="X200" i="1"/>
  <c r="AG200" i="1"/>
  <c r="AG197" i="1"/>
  <c r="AI197" i="1" s="1"/>
  <c r="X195" i="1"/>
  <c r="R23" i="3"/>
  <c r="R24" i="3"/>
  <c r="T150" i="1"/>
  <c r="T148" i="1"/>
  <c r="AG148" i="1"/>
  <c r="AG147" i="1"/>
  <c r="W145" i="1"/>
  <c r="AG139" i="1"/>
  <c r="T139" i="1"/>
  <c r="X139" i="1"/>
  <c r="W137" i="1"/>
  <c r="AI158" i="1"/>
  <c r="AI142" i="1"/>
  <c r="AI190" i="1"/>
  <c r="AI173" i="1"/>
  <c r="T125" i="1"/>
  <c r="AI157" i="1"/>
  <c r="AI154" i="1"/>
  <c r="AI141" i="1"/>
  <c r="AG198" i="1"/>
  <c r="AI198" i="1" s="1"/>
  <c r="X198" i="1"/>
  <c r="T198" i="1"/>
  <c r="X199" i="1"/>
  <c r="T186" i="1"/>
  <c r="X186" i="1"/>
  <c r="AG186" i="1"/>
  <c r="AI186" i="1" s="1"/>
  <c r="X185" i="1"/>
  <c r="AG185" i="1"/>
  <c r="AI185" i="1" s="1"/>
  <c r="AG155" i="1"/>
  <c r="W155" i="1" s="1"/>
  <c r="X155" i="1"/>
  <c r="T155" i="1"/>
  <c r="X156" i="1"/>
  <c r="AG144" i="1"/>
  <c r="AI144" i="1" s="1"/>
  <c r="AG140" i="1"/>
  <c r="AG136" i="1"/>
  <c r="X144" i="1"/>
  <c r="X140" i="1"/>
  <c r="X136" i="1"/>
  <c r="AG133" i="1"/>
  <c r="AI133" i="1" s="1"/>
  <c r="X133" i="1"/>
  <c r="X128" i="1"/>
  <c r="T127" i="1"/>
  <c r="AA125" i="1"/>
  <c r="AI160" i="1"/>
  <c r="T122" i="1"/>
  <c r="AG116" i="1"/>
  <c r="AI116" i="1" s="1"/>
  <c r="X116" i="1"/>
  <c r="X111" i="1"/>
  <c r="T110" i="1"/>
  <c r="AA108" i="1"/>
  <c r="AI145" i="1"/>
  <c r="X106" i="1"/>
  <c r="T105" i="1"/>
  <c r="AG101" i="1"/>
  <c r="X101" i="1"/>
  <c r="X96" i="1"/>
  <c r="T187" i="1"/>
  <c r="AA185" i="1"/>
  <c r="X95" i="1"/>
  <c r="T183" i="1"/>
  <c r="X183" i="1"/>
  <c r="T171" i="1"/>
  <c r="X171" i="1"/>
  <c r="AG171" i="1"/>
  <c r="W171" i="1" s="1"/>
  <c r="AI94" i="1"/>
  <c r="AI80" i="1"/>
  <c r="AG79" i="1"/>
  <c r="X79" i="1"/>
  <c r="T79" i="1"/>
  <c r="X80" i="1"/>
  <c r="T65" i="1"/>
  <c r="X65" i="1"/>
  <c r="AG65" i="1"/>
  <c r="AA64" i="1"/>
  <c r="T56" i="1"/>
  <c r="X56" i="1"/>
  <c r="AG56" i="1"/>
  <c r="W56" i="1" s="1"/>
  <c r="AA55" i="1"/>
  <c r="AI41" i="1"/>
  <c r="T130" i="1"/>
  <c r="X130" i="1"/>
  <c r="AA116" i="1"/>
  <c r="T113" i="1"/>
  <c r="X113" i="1"/>
  <c r="AA101" i="1"/>
  <c r="T98" i="1"/>
  <c r="X98" i="1"/>
  <c r="T178" i="1"/>
  <c r="X178" i="1"/>
  <c r="AG178" i="1"/>
  <c r="AI178" i="1" s="1"/>
  <c r="T86" i="1"/>
  <c r="X86" i="1"/>
  <c r="AG86" i="1"/>
  <c r="X85" i="1"/>
  <c r="AG85" i="1"/>
  <c r="AI82" i="1"/>
  <c r="AG35" i="1"/>
  <c r="T35" i="1"/>
  <c r="X35" i="1"/>
  <c r="X36" i="1"/>
  <c r="AG130" i="1"/>
  <c r="AI165" i="1"/>
  <c r="T117" i="1"/>
  <c r="X117" i="1"/>
  <c r="W103" i="1"/>
  <c r="T102" i="1"/>
  <c r="X102" i="1"/>
  <c r="AI134" i="1"/>
  <c r="AI121" i="1"/>
  <c r="AI119" i="1"/>
  <c r="T174" i="1"/>
  <c r="X174" i="1"/>
  <c r="AG174" i="1"/>
  <c r="T162" i="1"/>
  <c r="X162" i="1"/>
  <c r="AG162" i="1"/>
  <c r="X161" i="1"/>
  <c r="AG161" i="1"/>
  <c r="AI98" i="1"/>
  <c r="AI78" i="1"/>
  <c r="AG40" i="1"/>
  <c r="X40" i="1"/>
  <c r="T40" i="1"/>
  <c r="X41" i="1"/>
  <c r="X179" i="1"/>
  <c r="T179" i="1"/>
  <c r="X175" i="1"/>
  <c r="T175" i="1"/>
  <c r="X172" i="1"/>
  <c r="T172" i="1"/>
  <c r="AG168" i="1"/>
  <c r="AI168" i="1" s="1"/>
  <c r="X168" i="1"/>
  <c r="X163" i="1"/>
  <c r="T93" i="1"/>
  <c r="AA161" i="1"/>
  <c r="AI100" i="1"/>
  <c r="X159" i="1"/>
  <c r="T158" i="1"/>
  <c r="X158" i="1"/>
  <c r="AG153" i="1"/>
  <c r="X153" i="1"/>
  <c r="X88" i="1"/>
  <c r="T87" i="1"/>
  <c r="AA85" i="1"/>
  <c r="AI84" i="1"/>
  <c r="X83" i="1"/>
  <c r="T82" i="1"/>
  <c r="X82" i="1"/>
  <c r="AG77" i="1"/>
  <c r="X77" i="1"/>
  <c r="X72" i="1"/>
  <c r="T71" i="1"/>
  <c r="AG70" i="1"/>
  <c r="W70" i="1" s="1"/>
  <c r="T70" i="1"/>
  <c r="X70" i="1"/>
  <c r="W68" i="1"/>
  <c r="W65" i="1"/>
  <c r="AI59" i="1"/>
  <c r="AI58" i="1"/>
  <c r="AI51" i="1"/>
  <c r="AI42" i="1"/>
  <c r="W41" i="1"/>
  <c r="AI39" i="1"/>
  <c r="AI29" i="1"/>
  <c r="AI25" i="1"/>
  <c r="T165" i="1"/>
  <c r="X165" i="1"/>
  <c r="T90" i="1"/>
  <c r="X90" i="1"/>
  <c r="T74" i="1"/>
  <c r="X74" i="1"/>
  <c r="AI63" i="1"/>
  <c r="AI54" i="1"/>
  <c r="W39" i="1"/>
  <c r="AI30" i="1"/>
  <c r="AI17" i="1"/>
  <c r="T169" i="1"/>
  <c r="X169" i="1"/>
  <c r="AI106" i="1"/>
  <c r="T159" i="1"/>
  <c r="W157" i="1"/>
  <c r="T154" i="1"/>
  <c r="X154" i="1"/>
  <c r="T83" i="1"/>
  <c r="T78" i="1"/>
  <c r="X78" i="1"/>
  <c r="AI73" i="1"/>
  <c r="T69" i="1"/>
  <c r="X69" i="1"/>
  <c r="T60" i="1"/>
  <c r="X60" i="1"/>
  <c r="AG60" i="1"/>
  <c r="T52" i="1"/>
  <c r="X52" i="1"/>
  <c r="AG52" i="1"/>
  <c r="T47" i="1"/>
  <c r="X47" i="1"/>
  <c r="AG47" i="1"/>
  <c r="X46" i="1"/>
  <c r="AG46" i="1"/>
  <c r="AI43" i="1"/>
  <c r="AI34" i="1"/>
  <c r="X66" i="1"/>
  <c r="T66" i="1"/>
  <c r="T62" i="1"/>
  <c r="X57" i="1"/>
  <c r="T57" i="1"/>
  <c r="X53" i="1"/>
  <c r="T53" i="1"/>
  <c r="X49" i="1"/>
  <c r="T48" i="1"/>
  <c r="AA46" i="1"/>
  <c r="AI45" i="1"/>
  <c r="X44" i="1"/>
  <c r="T43" i="1"/>
  <c r="X43" i="1"/>
  <c r="AG38" i="1"/>
  <c r="X38" i="1"/>
  <c r="T34" i="1"/>
  <c r="X34" i="1"/>
  <c r="AG31" i="1"/>
  <c r="T31" i="1"/>
  <c r="T27" i="1"/>
  <c r="X27" i="1"/>
  <c r="AG27" i="1"/>
  <c r="W25" i="1"/>
  <c r="T19" i="1"/>
  <c r="X19" i="1"/>
  <c r="AG19" i="1"/>
  <c r="W19" i="1" s="1"/>
  <c r="T50" i="1"/>
  <c r="W30" i="1"/>
  <c r="T23" i="1"/>
  <c r="X23" i="1"/>
  <c r="AG23" i="1"/>
  <c r="W23" i="1" s="1"/>
  <c r="T15" i="1"/>
  <c r="X15" i="1"/>
  <c r="AG15" i="1"/>
  <c r="X16" i="1"/>
  <c r="AG50" i="1"/>
  <c r="X45" i="1"/>
  <c r="T44" i="1"/>
  <c r="W42" i="1"/>
  <c r="T39" i="1"/>
  <c r="X39" i="1"/>
  <c r="T30" i="1"/>
  <c r="AI22" i="1"/>
  <c r="AI21" i="1"/>
  <c r="AI14" i="1"/>
  <c r="X28" i="1"/>
  <c r="T28" i="1"/>
  <c r="X24" i="1"/>
  <c r="X20" i="1"/>
  <c r="Y17" i="3"/>
  <c r="Y9" i="3"/>
  <c r="Y22" i="3"/>
  <c r="Y20" i="3"/>
  <c r="Y11" i="3"/>
  <c r="Y10" i="3"/>
  <c r="Y15" i="3"/>
  <c r="R28" i="3"/>
  <c r="M28" i="3"/>
  <c r="U28" i="3"/>
  <c r="W28" i="3"/>
  <c r="X28" i="3"/>
  <c r="W194" i="1" l="1"/>
  <c r="W134" i="1"/>
  <c r="W116" i="1"/>
  <c r="W133" i="1"/>
  <c r="W188" i="1"/>
  <c r="W181" i="1"/>
  <c r="W92" i="1"/>
  <c r="W85" i="1"/>
  <c r="W174" i="1"/>
  <c r="AI156" i="1"/>
  <c r="AI195" i="1"/>
  <c r="W81" i="1"/>
  <c r="W120" i="1"/>
  <c r="W108" i="1"/>
  <c r="W138" i="1"/>
  <c r="W195" i="1"/>
  <c r="AI120" i="1"/>
  <c r="AI149" i="1"/>
  <c r="W189" i="1"/>
  <c r="W121" i="1"/>
  <c r="W135" i="1"/>
  <c r="W167" i="1"/>
  <c r="AI104" i="1"/>
  <c r="Y28" i="3"/>
  <c r="AI81" i="1"/>
  <c r="W64" i="1"/>
  <c r="AI181" i="1"/>
  <c r="W179" i="1"/>
  <c r="W26" i="1"/>
  <c r="W156" i="1"/>
  <c r="AI33" i="1"/>
  <c r="W77" i="1"/>
  <c r="W161" i="1"/>
  <c r="W139" i="1"/>
  <c r="W50" i="1"/>
  <c r="AI89" i="1"/>
  <c r="AI194" i="1"/>
  <c r="W18" i="1"/>
  <c r="W176" i="1"/>
  <c r="W29" i="1"/>
  <c r="W160" i="1"/>
  <c r="W72" i="1"/>
  <c r="W38" i="1"/>
  <c r="AI55" i="1"/>
  <c r="W55" i="1"/>
  <c r="W79" i="1"/>
  <c r="AI115" i="1"/>
  <c r="AI96" i="1"/>
  <c r="W97" i="1"/>
  <c r="AI128" i="1"/>
  <c r="W96" i="1"/>
  <c r="W35" i="1"/>
  <c r="W129" i="1"/>
  <c r="W201" i="1"/>
  <c r="W52" i="1"/>
  <c r="AI129" i="1"/>
  <c r="W109" i="1"/>
  <c r="W163" i="1"/>
  <c r="W76" i="1"/>
  <c r="W20" i="1"/>
  <c r="W37" i="1"/>
  <c r="W46" i="1"/>
  <c r="W136" i="1"/>
  <c r="AI136" i="1"/>
  <c r="W148" i="1"/>
  <c r="AI148" i="1"/>
  <c r="W164" i="1"/>
  <c r="W192" i="1"/>
  <c r="W143" i="1"/>
  <c r="AI139" i="1"/>
  <c r="AI126" i="1"/>
  <c r="AI174" i="1"/>
  <c r="W184" i="1"/>
  <c r="W22" i="1"/>
  <c r="W89" i="1"/>
  <c r="W24" i="1"/>
  <c r="W31" i="1"/>
  <c r="AI31" i="1"/>
  <c r="AI110" i="1"/>
  <c r="AI180" i="1"/>
  <c r="AI199" i="1"/>
  <c r="AI161" i="1"/>
  <c r="AI27" i="1"/>
  <c r="AI93" i="1"/>
  <c r="AI40" i="1"/>
  <c r="AI50" i="1"/>
  <c r="AI60" i="1"/>
  <c r="W60" i="1"/>
  <c r="W153" i="1"/>
  <c r="AI77" i="1"/>
  <c r="AI23" i="1"/>
  <c r="AI19" i="1"/>
  <c r="AI46" i="1"/>
  <c r="W168" i="1"/>
  <c r="W40" i="1"/>
  <c r="AI101" i="1"/>
  <c r="W185" i="1"/>
  <c r="AI153" i="1"/>
  <c r="AI176" i="1"/>
  <c r="AI140" i="1"/>
  <c r="AI146" i="1"/>
  <c r="AI171" i="1"/>
  <c r="AI191" i="1"/>
  <c r="AI15" i="1"/>
  <c r="AI85" i="1"/>
  <c r="AI155" i="1"/>
  <c r="W190" i="1"/>
  <c r="AI192" i="1"/>
  <c r="AI188" i="1"/>
  <c r="AI47" i="1"/>
  <c r="AI52" i="1"/>
  <c r="W47" i="1"/>
  <c r="AI70" i="1"/>
  <c r="AI102" i="1"/>
  <c r="AI117" i="1"/>
  <c r="AI166" i="1"/>
  <c r="AI35" i="1"/>
  <c r="W101" i="1"/>
  <c r="AI65" i="1"/>
  <c r="W125" i="1"/>
  <c r="AI175" i="1"/>
  <c r="AI184" i="1"/>
  <c r="AI200" i="1"/>
  <c r="W130" i="1"/>
  <c r="AI147" i="1"/>
  <c r="W147" i="1"/>
  <c r="AI196" i="1"/>
  <c r="W144" i="1"/>
  <c r="W15" i="1"/>
  <c r="AI56" i="1"/>
  <c r="AI79" i="1"/>
  <c r="AI138" i="1"/>
  <c r="AI131" i="1"/>
  <c r="AI183" i="1"/>
  <c r="W151" i="1"/>
  <c r="AI38" i="1"/>
  <c r="W27" i="1"/>
  <c r="AI86" i="1"/>
  <c r="W162" i="1"/>
  <c r="AI122" i="1"/>
  <c r="AI113" i="1"/>
  <c r="AI169" i="1"/>
  <c r="AI172" i="1"/>
  <c r="W86" i="1"/>
  <c r="AI95" i="1"/>
  <c r="AI130" i="1"/>
  <c r="W118" i="1"/>
  <c r="W186" i="1"/>
  <c r="W198" i="1"/>
  <c r="AI162" i="1"/>
  <c r="W178" i="1"/>
  <c r="AI179" i="1"/>
  <c r="W197" i="1"/>
  <c r="W140" i="1"/>
  <c r="W200" i="1"/>
  <c r="B5" i="6"/>
  <c r="G5" i="6" s="1"/>
  <c r="F5" i="6" l="1"/>
  <c r="J5" i="6"/>
  <c r="I5" i="6"/>
  <c r="B55" i="9" l="1"/>
  <c r="B56" i="9"/>
  <c r="B57" i="9"/>
  <c r="C57" i="9" s="1"/>
  <c r="B58" i="9"/>
  <c r="B59" i="9"/>
  <c r="C59" i="9" s="1"/>
  <c r="B60" i="9"/>
  <c r="B61" i="9"/>
  <c r="C61" i="9" s="1"/>
  <c r="B62" i="9"/>
  <c r="C62" i="9" l="1"/>
  <c r="C60" i="9"/>
  <c r="C58" i="9"/>
  <c r="C56" i="9"/>
  <c r="B50" i="9" l="1"/>
  <c r="B51" i="9"/>
  <c r="B52" i="9"/>
  <c r="C52" i="9" s="1"/>
  <c r="B53" i="9"/>
  <c r="B54" i="9"/>
  <c r="C54" i="9" l="1"/>
  <c r="C55" i="9"/>
  <c r="C53" i="9"/>
  <c r="C51" i="9"/>
  <c r="Y13" i="1"/>
  <c r="K13" i="1"/>
  <c r="M13" i="1"/>
  <c r="N13" i="1" s="1"/>
  <c r="Z13" i="1"/>
  <c r="AB13" i="1"/>
  <c r="AC13" i="1"/>
  <c r="AD13" i="1"/>
  <c r="X14" i="1" s="1"/>
  <c r="AE13" i="1"/>
  <c r="R13" i="3" s="1"/>
  <c r="AM13" i="1"/>
  <c r="T13" i="1" l="1"/>
  <c r="X13" i="1"/>
  <c r="AA13" i="1"/>
  <c r="AG13" i="1"/>
  <c r="W13" i="1" l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AN104" i="1" l="1"/>
  <c r="V14" i="1"/>
  <c r="AN15" i="1"/>
  <c r="V16" i="1"/>
  <c r="AN17" i="1"/>
  <c r="V18" i="1"/>
  <c r="AN19" i="1"/>
  <c r="V20" i="1"/>
  <c r="AN21" i="1"/>
  <c r="V22" i="1"/>
  <c r="AN23" i="1"/>
  <c r="V24" i="1"/>
  <c r="AN25" i="1"/>
  <c r="V26" i="1"/>
  <c r="V61" i="1"/>
  <c r="AN61" i="1"/>
  <c r="V40" i="1"/>
  <c r="AN41" i="1"/>
  <c r="V42" i="1"/>
  <c r="AN43" i="1"/>
  <c r="V44" i="1"/>
  <c r="AN45" i="1"/>
  <c r="V46" i="1"/>
  <c r="AN47" i="1"/>
  <c r="V48" i="1"/>
  <c r="S14" i="3" s="1"/>
  <c r="AN49" i="1"/>
  <c r="V50" i="1"/>
  <c r="AN51" i="1"/>
  <c r="V52" i="1"/>
  <c r="AN112" i="1"/>
  <c r="V171" i="1"/>
  <c r="AN114" i="1"/>
  <c r="V94" i="1"/>
  <c r="V120" i="1"/>
  <c r="S19" i="3" s="1"/>
  <c r="AN14" i="1"/>
  <c r="V15" i="1"/>
  <c r="AN16" i="1"/>
  <c r="V17" i="1"/>
  <c r="AN18" i="1"/>
  <c r="V19" i="1"/>
  <c r="AN20" i="1"/>
  <c r="V21" i="1"/>
  <c r="AN22" i="1"/>
  <c r="V23" i="1"/>
  <c r="S7" i="3" s="1"/>
  <c r="AN24" i="1"/>
  <c r="V25" i="1"/>
  <c r="AN26" i="1"/>
  <c r="V27" i="1"/>
  <c r="AN28" i="1"/>
  <c r="V29" i="1"/>
  <c r="AN30" i="1"/>
  <c r="V31" i="1"/>
  <c r="AN32" i="1"/>
  <c r="V33" i="1"/>
  <c r="AN34" i="1"/>
  <c r="V35" i="1"/>
  <c r="S21" i="3" s="1"/>
  <c r="AN36" i="1"/>
  <c r="V37" i="1"/>
  <c r="AN38" i="1"/>
  <c r="V39" i="1"/>
  <c r="AN120" i="1"/>
  <c r="AN27" i="1"/>
  <c r="V34" i="1"/>
  <c r="AN35" i="1"/>
  <c r="V43" i="1"/>
  <c r="AN44" i="1"/>
  <c r="V51" i="1"/>
  <c r="AN54" i="1"/>
  <c r="V55" i="1"/>
  <c r="AN59" i="1"/>
  <c r="V60" i="1"/>
  <c r="AN63" i="1"/>
  <c r="V64" i="1"/>
  <c r="AN68" i="1"/>
  <c r="V69" i="1"/>
  <c r="AN71" i="1"/>
  <c r="V72" i="1"/>
  <c r="S9" i="3" s="1"/>
  <c r="AN76" i="1"/>
  <c r="V77" i="1"/>
  <c r="AN79" i="1"/>
  <c r="V80" i="1"/>
  <c r="AN84" i="1"/>
  <c r="V85" i="1"/>
  <c r="AN87" i="1"/>
  <c r="V88" i="1"/>
  <c r="AN92" i="1"/>
  <c r="V153" i="1"/>
  <c r="AN95" i="1"/>
  <c r="V156" i="1"/>
  <c r="AN100" i="1"/>
  <c r="V161" i="1"/>
  <c r="AN103" i="1"/>
  <c r="V163" i="1"/>
  <c r="V32" i="1"/>
  <c r="AN33" i="1"/>
  <c r="V41" i="1"/>
  <c r="AN42" i="1"/>
  <c r="V49" i="1"/>
  <c r="AN50" i="1"/>
  <c r="AN52" i="1"/>
  <c r="V53" i="1"/>
  <c r="AN57" i="1"/>
  <c r="V58" i="1"/>
  <c r="AN60" i="1"/>
  <c r="V62" i="1"/>
  <c r="AN66" i="1"/>
  <c r="V67" i="1"/>
  <c r="AN69" i="1"/>
  <c r="V70" i="1"/>
  <c r="AN74" i="1"/>
  <c r="V75" i="1"/>
  <c r="AN77" i="1"/>
  <c r="V78" i="1"/>
  <c r="AN82" i="1"/>
  <c r="V83" i="1"/>
  <c r="AN85" i="1"/>
  <c r="V86" i="1"/>
  <c r="AN90" i="1"/>
  <c r="V91" i="1"/>
  <c r="AN93" i="1"/>
  <c r="V154" i="1"/>
  <c r="AN98" i="1"/>
  <c r="V159" i="1"/>
  <c r="AN101" i="1"/>
  <c r="V162" i="1"/>
  <c r="V30" i="1"/>
  <c r="AN31" i="1"/>
  <c r="V38" i="1"/>
  <c r="AN39" i="1"/>
  <c r="AN40" i="1"/>
  <c r="V47" i="1"/>
  <c r="AN48" i="1"/>
  <c r="AN55" i="1"/>
  <c r="V56" i="1"/>
  <c r="AN58" i="1"/>
  <c r="V59" i="1"/>
  <c r="AN64" i="1"/>
  <c r="V65" i="1"/>
  <c r="AN67" i="1"/>
  <c r="V68" i="1"/>
  <c r="AN72" i="1"/>
  <c r="V73" i="1"/>
  <c r="AN75" i="1"/>
  <c r="V76" i="1"/>
  <c r="AN80" i="1"/>
  <c r="V81" i="1"/>
  <c r="AN83" i="1"/>
  <c r="V84" i="1"/>
  <c r="AN88" i="1"/>
  <c r="V89" i="1"/>
  <c r="AN91" i="1"/>
  <c r="V92" i="1"/>
  <c r="AN96" i="1"/>
  <c r="V157" i="1"/>
  <c r="AN99" i="1"/>
  <c r="V160" i="1"/>
  <c r="V104" i="1"/>
  <c r="V28" i="1"/>
  <c r="AN29" i="1"/>
  <c r="V36" i="1"/>
  <c r="AN37" i="1"/>
  <c r="V45" i="1"/>
  <c r="AN46" i="1"/>
  <c r="AN53" i="1"/>
  <c r="V54" i="1"/>
  <c r="S15" i="3" s="1"/>
  <c r="AN56" i="1"/>
  <c r="V57" i="1"/>
  <c r="AN62" i="1"/>
  <c r="V63" i="1"/>
  <c r="AN65" i="1"/>
  <c r="V66" i="1"/>
  <c r="AN70" i="1"/>
  <c r="V71" i="1"/>
  <c r="AN73" i="1"/>
  <c r="V74" i="1"/>
  <c r="S16" i="3" s="1"/>
  <c r="AN78" i="1"/>
  <c r="V79" i="1"/>
  <c r="AN81" i="1"/>
  <c r="V82" i="1"/>
  <c r="AN86" i="1"/>
  <c r="V87" i="1"/>
  <c r="AN89" i="1"/>
  <c r="V90" i="1"/>
  <c r="AN94" i="1"/>
  <c r="V155" i="1"/>
  <c r="AN97" i="1"/>
  <c r="V158" i="1"/>
  <c r="AN102" i="1"/>
  <c r="V93" i="1"/>
  <c r="AN106" i="1"/>
  <c r="V165" i="1"/>
  <c r="V166" i="1"/>
  <c r="AN108" i="1"/>
  <c r="V167" i="1"/>
  <c r="AN111" i="1"/>
  <c r="V108" i="1"/>
  <c r="AN147" i="1"/>
  <c r="V110" i="1"/>
  <c r="V148" i="1"/>
  <c r="V150" i="1"/>
  <c r="AN188" i="1"/>
  <c r="V152" i="1"/>
  <c r="AN190" i="1"/>
  <c r="V189" i="1"/>
  <c r="AN192" i="1"/>
  <c r="V191" i="1"/>
  <c r="AN194" i="1"/>
  <c r="V193" i="1"/>
  <c r="AN196" i="1"/>
  <c r="V195" i="1"/>
  <c r="AN198" i="1"/>
  <c r="V197" i="1"/>
  <c r="V164" i="1"/>
  <c r="AN107" i="1"/>
  <c r="V170" i="1"/>
  <c r="S26" i="3" s="1"/>
  <c r="V172" i="1"/>
  <c r="V173" i="1"/>
  <c r="S27" i="3" s="1"/>
  <c r="AN117" i="1"/>
  <c r="V175" i="1"/>
  <c r="AN119" i="1"/>
  <c r="V177" i="1"/>
  <c r="AN122" i="1"/>
  <c r="V179" i="1"/>
  <c r="AN124" i="1"/>
  <c r="V181" i="1"/>
  <c r="AN126" i="1"/>
  <c r="V183" i="1"/>
  <c r="AN128" i="1"/>
  <c r="V184" i="1"/>
  <c r="AN130" i="1"/>
  <c r="V186" i="1"/>
  <c r="AN132" i="1"/>
  <c r="V96" i="1"/>
  <c r="S12" i="3" s="1"/>
  <c r="AN134" i="1"/>
  <c r="V98" i="1"/>
  <c r="AN136" i="1"/>
  <c r="V100" i="1"/>
  <c r="AN138" i="1"/>
  <c r="V102" i="1"/>
  <c r="S17" i="3" s="1"/>
  <c r="AN140" i="1"/>
  <c r="V199" i="1"/>
  <c r="AN142" i="1"/>
  <c r="V105" i="1"/>
  <c r="AN144" i="1"/>
  <c r="V107" i="1"/>
  <c r="AN105" i="1"/>
  <c r="AN109" i="1"/>
  <c r="V168" i="1"/>
  <c r="AN110" i="1"/>
  <c r="V169" i="1"/>
  <c r="AN113" i="1"/>
  <c r="AN115" i="1"/>
  <c r="AN146" i="1"/>
  <c r="V109" i="1"/>
  <c r="AN148" i="1"/>
  <c r="V111" i="1"/>
  <c r="AN184" i="1"/>
  <c r="AN187" i="1"/>
  <c r="V151" i="1"/>
  <c r="AN189" i="1"/>
  <c r="V188" i="1"/>
  <c r="S28" i="3" s="1"/>
  <c r="AN191" i="1"/>
  <c r="V190" i="1"/>
  <c r="AN193" i="1"/>
  <c r="V192" i="1"/>
  <c r="AN195" i="1"/>
  <c r="V194" i="1"/>
  <c r="AN197" i="1"/>
  <c r="V196" i="1"/>
  <c r="AN199" i="1"/>
  <c r="V200" i="1"/>
  <c r="AN201" i="1"/>
  <c r="V21" i="3"/>
  <c r="AE21" i="3" s="1"/>
  <c r="V15" i="3"/>
  <c r="AE15" i="3" s="1"/>
  <c r="V16" i="3"/>
  <c r="AE16" i="3" s="1"/>
  <c r="V22" i="3"/>
  <c r="AE22" i="3" s="1"/>
  <c r="AN116" i="1"/>
  <c r="V174" i="1"/>
  <c r="AN118" i="1"/>
  <c r="V176" i="1"/>
  <c r="AN121" i="1"/>
  <c r="V178" i="1"/>
  <c r="V182" i="1"/>
  <c r="S25" i="3" s="1"/>
  <c r="V185" i="1"/>
  <c r="V97" i="1"/>
  <c r="V101" i="1"/>
  <c r="S22" i="3" s="1"/>
  <c r="V103" i="1"/>
  <c r="AN150" i="1"/>
  <c r="V114" i="1"/>
  <c r="AN154" i="1"/>
  <c r="V118" i="1"/>
  <c r="S18" i="3" s="1"/>
  <c r="AN158" i="1"/>
  <c r="V123" i="1"/>
  <c r="AN162" i="1"/>
  <c r="V127" i="1"/>
  <c r="AN166" i="1"/>
  <c r="V131" i="1"/>
  <c r="AN170" i="1"/>
  <c r="V135" i="1"/>
  <c r="AN174" i="1"/>
  <c r="V139" i="1"/>
  <c r="AN178" i="1"/>
  <c r="V143" i="1"/>
  <c r="AN182" i="1"/>
  <c r="V147" i="1"/>
  <c r="AN185" i="1"/>
  <c r="V149" i="1"/>
  <c r="V201" i="1"/>
  <c r="V13" i="3"/>
  <c r="AE13" i="3" s="1"/>
  <c r="V8" i="3"/>
  <c r="AE8" i="3" s="1"/>
  <c r="V19" i="3"/>
  <c r="AE19" i="3" s="1"/>
  <c r="AC20" i="3"/>
  <c r="AC23" i="3"/>
  <c r="V14" i="3"/>
  <c r="AE14" i="3" s="1"/>
  <c r="V27" i="3"/>
  <c r="AE27" i="3" s="1"/>
  <c r="AC17" i="3"/>
  <c r="V10" i="3"/>
  <c r="AE10" i="3" s="1"/>
  <c r="V20" i="3"/>
  <c r="AE20" i="3" s="1"/>
  <c r="V23" i="3"/>
  <c r="AE23" i="3" s="1"/>
  <c r="AN180" i="1"/>
  <c r="AN125" i="1"/>
  <c r="AN129" i="1"/>
  <c r="AN133" i="1"/>
  <c r="AN137" i="1"/>
  <c r="AN141" i="1"/>
  <c r="AN145" i="1"/>
  <c r="AN151" i="1"/>
  <c r="V115" i="1"/>
  <c r="AN155" i="1"/>
  <c r="V119" i="1"/>
  <c r="AN159" i="1"/>
  <c r="V124" i="1"/>
  <c r="AN163" i="1"/>
  <c r="V128" i="1"/>
  <c r="AN167" i="1"/>
  <c r="V132" i="1"/>
  <c r="AN171" i="1"/>
  <c r="V136" i="1"/>
  <c r="AN175" i="1"/>
  <c r="V140" i="1"/>
  <c r="AN179" i="1"/>
  <c r="V144" i="1"/>
  <c r="AN183" i="1"/>
  <c r="AN186" i="1"/>
  <c r="AN200" i="1"/>
  <c r="V26" i="3"/>
  <c r="AE26" i="3" s="1"/>
  <c r="V180" i="1"/>
  <c r="V95" i="1"/>
  <c r="V187" i="1"/>
  <c r="V99" i="1"/>
  <c r="V198" i="1"/>
  <c r="V106" i="1"/>
  <c r="V112" i="1"/>
  <c r="AN152" i="1"/>
  <c r="V116" i="1"/>
  <c r="AN156" i="1"/>
  <c r="V121" i="1"/>
  <c r="AN160" i="1"/>
  <c r="V125" i="1"/>
  <c r="AN164" i="1"/>
  <c r="V129" i="1"/>
  <c r="S10" i="3" s="1"/>
  <c r="AN168" i="1"/>
  <c r="V133" i="1"/>
  <c r="AN172" i="1"/>
  <c r="V137" i="1"/>
  <c r="AN176" i="1"/>
  <c r="V141" i="1"/>
  <c r="AN123" i="1"/>
  <c r="AN127" i="1"/>
  <c r="AN131" i="1"/>
  <c r="AN135" i="1"/>
  <c r="AN139" i="1"/>
  <c r="AN143" i="1"/>
  <c r="AN149" i="1"/>
  <c r="V113" i="1"/>
  <c r="AN153" i="1"/>
  <c r="V117" i="1"/>
  <c r="S8" i="3" s="1"/>
  <c r="AN157" i="1"/>
  <c r="V122" i="1"/>
  <c r="AN161" i="1"/>
  <c r="V126" i="1"/>
  <c r="AN165" i="1"/>
  <c r="V130" i="1"/>
  <c r="AN169" i="1"/>
  <c r="V134" i="1"/>
  <c r="S20" i="3" s="1"/>
  <c r="AN173" i="1"/>
  <c r="V138" i="1"/>
  <c r="AN177" i="1"/>
  <c r="V142" i="1"/>
  <c r="V145" i="1"/>
  <c r="AN181" i="1"/>
  <c r="V17" i="3"/>
  <c r="AE17" i="3" s="1"/>
  <c r="V25" i="3"/>
  <c r="AE25" i="3" s="1"/>
  <c r="V24" i="3"/>
  <c r="AE24" i="3" s="1"/>
  <c r="V7" i="3"/>
  <c r="AE7" i="3" s="1"/>
  <c r="V12" i="3"/>
  <c r="AE12" i="3" s="1"/>
  <c r="AC11" i="3"/>
  <c r="V11" i="3"/>
  <c r="AE11" i="3" s="1"/>
  <c r="V146" i="1"/>
  <c r="S11" i="3" s="1"/>
  <c r="V9" i="3"/>
  <c r="AE9" i="3" s="1"/>
  <c r="V18" i="3"/>
  <c r="AE18" i="3" s="1"/>
  <c r="AC8" i="3"/>
  <c r="AC19" i="3"/>
  <c r="AC27" i="3"/>
  <c r="AD25" i="3"/>
  <c r="AD13" i="3"/>
  <c r="AD26" i="3"/>
  <c r="AC16" i="3"/>
  <c r="AC18" i="3"/>
  <c r="AD8" i="3"/>
  <c r="AC24" i="3"/>
  <c r="AD15" i="3"/>
  <c r="AC14" i="3"/>
  <c r="AD21" i="3"/>
  <c r="AC12" i="3"/>
  <c r="AC25" i="3"/>
  <c r="AD27" i="3"/>
  <c r="AD20" i="3"/>
  <c r="AD19" i="3"/>
  <c r="AC13" i="3"/>
  <c r="AC10" i="3"/>
  <c r="AC21" i="3"/>
  <c r="AC15" i="3"/>
  <c r="AC26" i="3"/>
  <c r="AD23" i="3"/>
  <c r="AD17" i="3"/>
  <c r="AC22" i="3"/>
  <c r="AD14" i="3"/>
  <c r="AD9" i="3"/>
  <c r="AD11" i="3"/>
  <c r="AD16" i="3"/>
  <c r="AC7" i="3"/>
  <c r="AD18" i="3"/>
  <c r="V28" i="3"/>
  <c r="AE28" i="3" s="1"/>
  <c r="AC9" i="3"/>
  <c r="AD22" i="3"/>
  <c r="AD12" i="3"/>
  <c r="AD24" i="3"/>
  <c r="AD10" i="3"/>
  <c r="AD28" i="3"/>
  <c r="AC28" i="3"/>
  <c r="AD7" i="3"/>
  <c r="V13" i="1"/>
  <c r="S13" i="3" s="1"/>
  <c r="AN13" i="1"/>
  <c r="B31" i="9"/>
  <c r="B32" i="9"/>
  <c r="C33" i="9" s="1"/>
  <c r="S24" i="3" l="1"/>
  <c r="S23" i="3"/>
  <c r="C32" i="9"/>
  <c r="B3" i="6" l="1"/>
  <c r="I3" i="6" s="1"/>
  <c r="G3" i="4"/>
  <c r="G4" i="4"/>
  <c r="G5" i="4"/>
  <c r="G6" i="4"/>
  <c r="G7" i="4"/>
  <c r="G8" i="4"/>
  <c r="L188" i="1" s="1"/>
  <c r="G9" i="4"/>
  <c r="G10" i="4"/>
  <c r="L190" i="1" s="1"/>
  <c r="G11" i="4"/>
  <c r="L15" i="1" s="1"/>
  <c r="G12" i="4"/>
  <c r="L192" i="1" s="1"/>
  <c r="G13" i="4"/>
  <c r="L14" i="1" s="1"/>
  <c r="G14" i="4"/>
  <c r="L17" i="1" s="1"/>
  <c r="G15" i="4"/>
  <c r="L194" i="1" s="1"/>
  <c r="G16" i="4"/>
  <c r="L195" i="1" s="1"/>
  <c r="G17" i="4"/>
  <c r="L19" i="1" s="1"/>
  <c r="G18" i="4"/>
  <c r="L16" i="1" s="1"/>
  <c r="G19" i="4"/>
  <c r="L21" i="1" s="1"/>
  <c r="G20" i="4"/>
  <c r="G21" i="4"/>
  <c r="L25" i="1" s="1"/>
  <c r="G22" i="4"/>
  <c r="L18" i="1" s="1"/>
  <c r="G23" i="4"/>
  <c r="L198" i="1" s="1"/>
  <c r="G24" i="4"/>
  <c r="L27" i="1" s="1"/>
  <c r="G25" i="4"/>
  <c r="L20" i="1" s="1"/>
  <c r="G26" i="4"/>
  <c r="L22" i="1" s="1"/>
  <c r="G27" i="4"/>
  <c r="L153" i="1" s="1"/>
  <c r="G28" i="4"/>
  <c r="L29" i="1" s="1"/>
  <c r="G29" i="4"/>
  <c r="G30" i="4"/>
  <c r="L24" i="1" s="1"/>
  <c r="G31" i="4"/>
  <c r="L31" i="1" s="1"/>
  <c r="G32" i="4"/>
  <c r="L154" i="1" s="1"/>
  <c r="G33" i="4"/>
  <c r="L26" i="1" s="1"/>
  <c r="G34" i="4"/>
  <c r="L33" i="1" s="1"/>
  <c r="G35" i="4"/>
  <c r="L28" i="1" s="1"/>
  <c r="G36" i="4"/>
  <c r="G37" i="4"/>
  <c r="L155" i="1" s="1"/>
  <c r="G38" i="4"/>
  <c r="L30" i="1" s="1"/>
  <c r="G39" i="4"/>
  <c r="L37" i="1" s="1"/>
  <c r="G40" i="4"/>
  <c r="L32" i="1" s="1"/>
  <c r="G41" i="4"/>
  <c r="L39" i="1" s="1"/>
  <c r="G42" i="4"/>
  <c r="L156" i="1" s="1"/>
  <c r="G43" i="4"/>
  <c r="L34" i="1" s="1"/>
  <c r="G44" i="4"/>
  <c r="L41" i="1" s="1"/>
  <c r="G45" i="4"/>
  <c r="L36" i="1" s="1"/>
  <c r="G46" i="4"/>
  <c r="L43" i="1" s="1"/>
  <c r="G47" i="4"/>
  <c r="L157" i="1" s="1"/>
  <c r="G48" i="4"/>
  <c r="L38" i="1" s="1"/>
  <c r="G49" i="4"/>
  <c r="L45" i="1" s="1"/>
  <c r="G50" i="4"/>
  <c r="L40" i="1" s="1"/>
  <c r="G51" i="4"/>
  <c r="L47" i="1" s="1"/>
  <c r="G52" i="4"/>
  <c r="L158" i="1" s="1"/>
  <c r="G53" i="4"/>
  <c r="L42" i="1" s="1"/>
  <c r="G54" i="4"/>
  <c r="L49" i="1" s="1"/>
  <c r="G55" i="4"/>
  <c r="L44" i="1" s="1"/>
  <c r="G56" i="4"/>
  <c r="L51" i="1" s="1"/>
  <c r="G57" i="4"/>
  <c r="L46" i="1" s="1"/>
  <c r="G58" i="4"/>
  <c r="L159" i="1" s="1"/>
  <c r="G59" i="4"/>
  <c r="L53" i="1" s="1"/>
  <c r="G60" i="4"/>
  <c r="G61" i="4"/>
  <c r="L55" i="1" s="1"/>
  <c r="G62" i="4"/>
  <c r="L160" i="1" s="1"/>
  <c r="G63" i="4"/>
  <c r="L57" i="1" s="1"/>
  <c r="G64" i="4"/>
  <c r="L50" i="1" s="1"/>
  <c r="G65" i="4"/>
  <c r="L59" i="1" s="1"/>
  <c r="G66" i="4"/>
  <c r="L52" i="1" s="1"/>
  <c r="G67" i="4"/>
  <c r="G68" i="4"/>
  <c r="L161" i="1" s="1"/>
  <c r="G69" i="4"/>
  <c r="L63" i="1" s="1"/>
  <c r="G70" i="4"/>
  <c r="L56" i="1" s="1"/>
  <c r="G71" i="4"/>
  <c r="L162" i="1" s="1"/>
  <c r="G72" i="4"/>
  <c r="L58" i="1" s="1"/>
  <c r="G73" i="4"/>
  <c r="L65" i="1" s="1"/>
  <c r="G74" i="4"/>
  <c r="L60" i="1" s="1"/>
  <c r="G75" i="4"/>
  <c r="G76" i="4"/>
  <c r="L67" i="1" s="1"/>
  <c r="G77" i="4"/>
  <c r="G78" i="4"/>
  <c r="L62" i="1" s="1"/>
  <c r="G79" i="4"/>
  <c r="L69" i="1" s="1"/>
  <c r="G80" i="4"/>
  <c r="L163" i="1" s="1"/>
  <c r="G81" i="4"/>
  <c r="L64" i="1" s="1"/>
  <c r="G82" i="4"/>
  <c r="L164" i="1" s="1"/>
  <c r="G83" i="4"/>
  <c r="L66" i="1" s="1"/>
  <c r="G84" i="4"/>
  <c r="L71" i="1" s="1"/>
  <c r="G85" i="4"/>
  <c r="L73" i="1" s="1"/>
  <c r="G86" i="4"/>
  <c r="L68" i="1" s="1"/>
  <c r="G87" i="4"/>
  <c r="L75" i="1" s="1"/>
  <c r="G88" i="4"/>
  <c r="L70" i="1" s="1"/>
  <c r="G89" i="4"/>
  <c r="L165" i="1" s="1"/>
  <c r="G90" i="4"/>
  <c r="L77" i="1" s="1"/>
  <c r="G91" i="4"/>
  <c r="G92" i="4"/>
  <c r="L79" i="1" s="1"/>
  <c r="G93" i="4"/>
  <c r="L166" i="1" s="1"/>
  <c r="G94" i="4"/>
  <c r="L81" i="1" s="1"/>
  <c r="G95" i="4"/>
  <c r="G96" i="4"/>
  <c r="L76" i="1" s="1"/>
  <c r="G97" i="4"/>
  <c r="L83" i="1" s="1"/>
  <c r="G98" i="4"/>
  <c r="L78" i="1" s="1"/>
  <c r="G99" i="4"/>
  <c r="L167" i="1" s="1"/>
  <c r="G100" i="4"/>
  <c r="L85" i="1" s="1"/>
  <c r="G101" i="4"/>
  <c r="L80" i="1" s="1"/>
  <c r="G102" i="4"/>
  <c r="L87" i="1" s="1"/>
  <c r="G103" i="4"/>
  <c r="L168" i="1" s="1"/>
  <c r="G104" i="4"/>
  <c r="L82" i="1" s="1"/>
  <c r="G105" i="4"/>
  <c r="L89" i="1" s="1"/>
  <c r="G106" i="4"/>
  <c r="L84" i="1" s="1"/>
  <c r="G107" i="4"/>
  <c r="L91" i="1" s="1"/>
  <c r="G108" i="4"/>
  <c r="L169" i="1" s="1"/>
  <c r="G109" i="4"/>
  <c r="L86" i="1" s="1"/>
  <c r="G110" i="4"/>
  <c r="L93" i="1" s="1"/>
  <c r="G111" i="4"/>
  <c r="L88" i="1" s="1"/>
  <c r="G112" i="4"/>
  <c r="L95" i="1" s="1"/>
  <c r="G113" i="4"/>
  <c r="L90" i="1" s="1"/>
  <c r="G114" i="4"/>
  <c r="L97" i="1" s="1"/>
  <c r="G115" i="4"/>
  <c r="G116" i="4"/>
  <c r="L92" i="1" s="1"/>
  <c r="G117" i="4"/>
  <c r="L99" i="1" s="1"/>
  <c r="G118" i="4"/>
  <c r="L94" i="1" s="1"/>
  <c r="G119" i="4"/>
  <c r="L171" i="1" s="1"/>
  <c r="G120" i="4"/>
  <c r="G121" i="4"/>
  <c r="G122" i="4"/>
  <c r="L103" i="1" s="1"/>
  <c r="G123" i="4"/>
  <c r="L98" i="1" s="1"/>
  <c r="G124" i="4"/>
  <c r="L105" i="1" s="1"/>
  <c r="G125" i="4"/>
  <c r="L172" i="1" s="1"/>
  <c r="G126" i="4"/>
  <c r="G127" i="4"/>
  <c r="L107" i="1" s="1"/>
  <c r="G128" i="4"/>
  <c r="G129" i="4"/>
  <c r="L109" i="1" s="1"/>
  <c r="G130" i="4"/>
  <c r="G131" i="4"/>
  <c r="L111" i="1" s="1"/>
  <c r="G132" i="4"/>
  <c r="L104" i="1" s="1"/>
  <c r="G133" i="4"/>
  <c r="G134" i="4"/>
  <c r="G135" i="4"/>
  <c r="G136" i="4"/>
  <c r="L106" i="1" s="1"/>
  <c r="G137" i="4"/>
  <c r="L113" i="1" s="1"/>
  <c r="G138" i="4"/>
  <c r="L174" i="1" s="1"/>
  <c r="G139" i="4"/>
  <c r="L108" i="1" s="1"/>
  <c r="G140" i="4"/>
  <c r="L115" i="1" s="1"/>
  <c r="G141" i="4"/>
  <c r="L110" i="1" s="1"/>
  <c r="G142" i="4"/>
  <c r="L175" i="1" s="1"/>
  <c r="G143" i="4"/>
  <c r="G144" i="4"/>
  <c r="L112" i="1" s="1"/>
  <c r="G145" i="4"/>
  <c r="L119" i="1" s="1"/>
  <c r="G146" i="4"/>
  <c r="L114" i="1" s="1"/>
  <c r="G147" i="4"/>
  <c r="L121" i="1" s="1"/>
  <c r="G148" i="4"/>
  <c r="L176" i="1" s="1"/>
  <c r="G149" i="4"/>
  <c r="L123" i="1" s="1"/>
  <c r="G150" i="4"/>
  <c r="L116" i="1" s="1"/>
  <c r="G151" i="4"/>
  <c r="G152" i="4"/>
  <c r="L177" i="1" s="1"/>
  <c r="G153" i="4"/>
  <c r="G154" i="4"/>
  <c r="L125" i="1" s="1"/>
  <c r="G155" i="4"/>
  <c r="G156" i="4"/>
  <c r="L127" i="1" s="1"/>
  <c r="G157" i="4"/>
  <c r="L122" i="1" s="1"/>
  <c r="G158" i="4"/>
  <c r="G159" i="4"/>
  <c r="L178" i="1" s="1"/>
  <c r="G160" i="4"/>
  <c r="L124" i="1" s="1"/>
  <c r="G161" i="4"/>
  <c r="L131" i="1" s="1"/>
  <c r="G162" i="4"/>
  <c r="L126" i="1" s="1"/>
  <c r="G163" i="4"/>
  <c r="L179" i="1" s="1"/>
  <c r="G164" i="4"/>
  <c r="L189" i="1" s="1"/>
  <c r="G165" i="4"/>
  <c r="L128" i="1" s="1"/>
  <c r="G166" i="4"/>
  <c r="L133" i="1" s="1"/>
  <c r="G167" i="4"/>
  <c r="L130" i="1" s="1"/>
  <c r="G168" i="4"/>
  <c r="L191" i="1" s="1"/>
  <c r="G169" i="4"/>
  <c r="L132" i="1" s="1"/>
  <c r="G170" i="4"/>
  <c r="L180" i="1" s="1"/>
  <c r="G171" i="4"/>
  <c r="L135" i="1" s="1"/>
  <c r="G172" i="4"/>
  <c r="L193" i="1" s="1"/>
  <c r="G173" i="4"/>
  <c r="L181" i="1" s="1"/>
  <c r="G174" i="4"/>
  <c r="G175" i="4"/>
  <c r="L137" i="1" s="1"/>
  <c r="G176" i="4"/>
  <c r="L136" i="1" s="1"/>
  <c r="G177" i="4"/>
  <c r="G178" i="4"/>
  <c r="L139" i="1" s="1"/>
  <c r="G179" i="4"/>
  <c r="G180" i="4"/>
  <c r="L184" i="1" s="1"/>
  <c r="G181" i="4"/>
  <c r="L141" i="1" s="1"/>
  <c r="G182" i="4"/>
  <c r="L138" i="1" s="1"/>
  <c r="G183" i="4"/>
  <c r="L143" i="1" s="1"/>
  <c r="G184" i="4"/>
  <c r="L185" i="1" s="1"/>
  <c r="G185" i="4"/>
  <c r="L140" i="1" s="1"/>
  <c r="G186" i="4"/>
  <c r="L186" i="1" s="1"/>
  <c r="G187" i="4"/>
  <c r="L145" i="1" s="1"/>
  <c r="G188" i="4"/>
  <c r="L142" i="1" s="1"/>
  <c r="G189" i="4"/>
  <c r="L147" i="1" s="1"/>
  <c r="G190" i="4"/>
  <c r="L187" i="1" s="1"/>
  <c r="G191" i="4"/>
  <c r="L144" i="1" s="1"/>
  <c r="G192" i="4"/>
  <c r="L199" i="1" s="1"/>
  <c r="G193" i="4"/>
  <c r="L149" i="1" s="1"/>
  <c r="G194" i="4"/>
  <c r="G195" i="4"/>
  <c r="L151" i="1" s="1"/>
  <c r="G196" i="4"/>
  <c r="L148" i="1" s="1"/>
  <c r="G197" i="4"/>
  <c r="G198" i="4"/>
  <c r="G199" i="4"/>
  <c r="L152" i="1" s="1"/>
  <c r="G200" i="4"/>
  <c r="L150" i="1" s="1"/>
  <c r="G201" i="4"/>
  <c r="L196" i="1" s="1"/>
  <c r="G202" i="4"/>
  <c r="L197" i="1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2" i="3" l="1"/>
  <c r="L101" i="1"/>
  <c r="N13" i="3"/>
  <c r="L13" i="1"/>
  <c r="N17" i="3"/>
  <c r="L102" i="1"/>
  <c r="N12" i="3"/>
  <c r="L96" i="1"/>
  <c r="N14" i="3"/>
  <c r="L48" i="1"/>
  <c r="N21" i="3"/>
  <c r="L35" i="1"/>
  <c r="N7" i="3"/>
  <c r="L23" i="1"/>
  <c r="N19" i="3"/>
  <c r="L120" i="1"/>
  <c r="N18" i="3"/>
  <c r="L118" i="1"/>
  <c r="N8" i="3"/>
  <c r="L117" i="1"/>
  <c r="N26" i="3"/>
  <c r="L170" i="1"/>
  <c r="N16" i="3"/>
  <c r="L74" i="1"/>
  <c r="N9" i="3"/>
  <c r="L72" i="1"/>
  <c r="L201" i="1"/>
  <c r="L200" i="1"/>
  <c r="N15" i="3"/>
  <c r="L54" i="1"/>
  <c r="L182" i="1"/>
  <c r="L183" i="1"/>
  <c r="N11" i="3"/>
  <c r="L146" i="1"/>
  <c r="N20" i="3"/>
  <c r="L134" i="1"/>
  <c r="N10" i="3"/>
  <c r="L129" i="1"/>
  <c r="N27" i="3"/>
  <c r="L173" i="1"/>
  <c r="H5" i="6"/>
  <c r="L100" i="1"/>
  <c r="N23" i="3"/>
  <c r="N24" i="3"/>
  <c r="N25" i="3"/>
  <c r="N28" i="3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4" i="1" l="1"/>
  <c r="AH16" i="1"/>
  <c r="AH18" i="1"/>
  <c r="AH20" i="1"/>
  <c r="AH22" i="1"/>
  <c r="AH24" i="1"/>
  <c r="AH26" i="1"/>
  <c r="AH120" i="1"/>
  <c r="AH40" i="1"/>
  <c r="AH42" i="1"/>
  <c r="AH44" i="1"/>
  <c r="AH46" i="1"/>
  <c r="AH48" i="1"/>
  <c r="AH50" i="1"/>
  <c r="AH52" i="1"/>
  <c r="AH113" i="1"/>
  <c r="AH115" i="1"/>
  <c r="AH104" i="1"/>
  <c r="AH15" i="1"/>
  <c r="AH17" i="1"/>
  <c r="AH19" i="1"/>
  <c r="AH21" i="1"/>
  <c r="AH23" i="1"/>
  <c r="AH25" i="1"/>
  <c r="AH27" i="1"/>
  <c r="AH29" i="1"/>
  <c r="AH31" i="1"/>
  <c r="AH33" i="1"/>
  <c r="AH35" i="1"/>
  <c r="AH37" i="1"/>
  <c r="AH39" i="1"/>
  <c r="AH34" i="1"/>
  <c r="AH41" i="1"/>
  <c r="AH49" i="1"/>
  <c r="AH51" i="1"/>
  <c r="AH55" i="1"/>
  <c r="AH58" i="1"/>
  <c r="AH64" i="1"/>
  <c r="AH67" i="1"/>
  <c r="AH72" i="1"/>
  <c r="AH75" i="1"/>
  <c r="AH80" i="1"/>
  <c r="AH83" i="1"/>
  <c r="AH88" i="1"/>
  <c r="AH91" i="1"/>
  <c r="AH96" i="1"/>
  <c r="AH99" i="1"/>
  <c r="AH105" i="1"/>
  <c r="AH108" i="1"/>
  <c r="AH32" i="1"/>
  <c r="AH47" i="1"/>
  <c r="AH53" i="1"/>
  <c r="AH56" i="1"/>
  <c r="AH62" i="1"/>
  <c r="AH65" i="1"/>
  <c r="AH70" i="1"/>
  <c r="AH73" i="1"/>
  <c r="AH78" i="1"/>
  <c r="AH81" i="1"/>
  <c r="AH86" i="1"/>
  <c r="AH89" i="1"/>
  <c r="AH94" i="1"/>
  <c r="AH97" i="1"/>
  <c r="AH102" i="1"/>
  <c r="AH61" i="1"/>
  <c r="AH30" i="1"/>
  <c r="AH38" i="1"/>
  <c r="AH45" i="1"/>
  <c r="AH54" i="1"/>
  <c r="AH59" i="1"/>
  <c r="AH63" i="1"/>
  <c r="AH68" i="1"/>
  <c r="AH71" i="1"/>
  <c r="AH76" i="1"/>
  <c r="AH79" i="1"/>
  <c r="AH84" i="1"/>
  <c r="AH87" i="1"/>
  <c r="AH92" i="1"/>
  <c r="AH95" i="1"/>
  <c r="AH100" i="1"/>
  <c r="AH103" i="1"/>
  <c r="AH28" i="1"/>
  <c r="AH36" i="1"/>
  <c r="AH43" i="1"/>
  <c r="AH57" i="1"/>
  <c r="AH60" i="1"/>
  <c r="AH66" i="1"/>
  <c r="AH69" i="1"/>
  <c r="AH74" i="1"/>
  <c r="AH77" i="1"/>
  <c r="AH82" i="1"/>
  <c r="AH85" i="1"/>
  <c r="AH90" i="1"/>
  <c r="AH93" i="1"/>
  <c r="AH98" i="1"/>
  <c r="AH101" i="1"/>
  <c r="AH107" i="1"/>
  <c r="AH110" i="1"/>
  <c r="AH106" i="1"/>
  <c r="AH109" i="1"/>
  <c r="AH146" i="1"/>
  <c r="AH148" i="1"/>
  <c r="AH184" i="1"/>
  <c r="AH187" i="1"/>
  <c r="AH189" i="1"/>
  <c r="AH191" i="1"/>
  <c r="AH193" i="1"/>
  <c r="AH195" i="1"/>
  <c r="AH197" i="1"/>
  <c r="AH199" i="1"/>
  <c r="AH112" i="1"/>
  <c r="AH114" i="1"/>
  <c r="AH116" i="1"/>
  <c r="AH118" i="1"/>
  <c r="AH121" i="1"/>
  <c r="AH123" i="1"/>
  <c r="AH125" i="1"/>
  <c r="AH127" i="1"/>
  <c r="AH129" i="1"/>
  <c r="AH131" i="1"/>
  <c r="AH133" i="1"/>
  <c r="AH135" i="1"/>
  <c r="AH137" i="1"/>
  <c r="AH139" i="1"/>
  <c r="AH141" i="1"/>
  <c r="AH143" i="1"/>
  <c r="AH145" i="1"/>
  <c r="AH111" i="1"/>
  <c r="AH147" i="1"/>
  <c r="AH188" i="1"/>
  <c r="AH190" i="1"/>
  <c r="AH192" i="1"/>
  <c r="AH194" i="1"/>
  <c r="AH196" i="1"/>
  <c r="AH198" i="1"/>
  <c r="AH200" i="1"/>
  <c r="AH117" i="1"/>
  <c r="AH119" i="1"/>
  <c r="AH122" i="1"/>
  <c r="AH152" i="1"/>
  <c r="AH156" i="1"/>
  <c r="AH160" i="1"/>
  <c r="AH164" i="1"/>
  <c r="AH168" i="1"/>
  <c r="AH172" i="1"/>
  <c r="AH176" i="1"/>
  <c r="AH180" i="1"/>
  <c r="AH201" i="1"/>
  <c r="AH124" i="1"/>
  <c r="AH128" i="1"/>
  <c r="AH132" i="1"/>
  <c r="AH136" i="1"/>
  <c r="AH140" i="1"/>
  <c r="AH144" i="1"/>
  <c r="AH149" i="1"/>
  <c r="AH153" i="1"/>
  <c r="AH157" i="1"/>
  <c r="AH161" i="1"/>
  <c r="AH165" i="1"/>
  <c r="AH169" i="1"/>
  <c r="AH173" i="1"/>
  <c r="AH177" i="1"/>
  <c r="AH181" i="1"/>
  <c r="AH150" i="1"/>
  <c r="AH154" i="1"/>
  <c r="AH158" i="1"/>
  <c r="AH162" i="1"/>
  <c r="AH166" i="1"/>
  <c r="AH170" i="1"/>
  <c r="AH174" i="1"/>
  <c r="AH178" i="1"/>
  <c r="AH126" i="1"/>
  <c r="AH130" i="1"/>
  <c r="AH134" i="1"/>
  <c r="AH138" i="1"/>
  <c r="AH142" i="1"/>
  <c r="AH151" i="1"/>
  <c r="AH155" i="1"/>
  <c r="AH159" i="1"/>
  <c r="AH163" i="1"/>
  <c r="AH167" i="1"/>
  <c r="AH171" i="1"/>
  <c r="AH175" i="1"/>
  <c r="AH179" i="1"/>
  <c r="AH182" i="1"/>
  <c r="AH183" i="1"/>
  <c r="AH186" i="1"/>
  <c r="AH185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U160" i="1" l="1"/>
  <c r="S160" i="1" s="1"/>
  <c r="U170" i="1"/>
  <c r="S170" i="1" s="1"/>
  <c r="U177" i="1"/>
  <c r="S177" i="1" s="1"/>
  <c r="U182" i="1"/>
  <c r="S182" i="1" s="1"/>
  <c r="U157" i="1"/>
  <c r="S157" i="1" s="1"/>
  <c r="U176" i="1"/>
  <c r="S176" i="1" s="1"/>
  <c r="U164" i="1"/>
  <c r="S164" i="1" s="1"/>
  <c r="U166" i="1"/>
  <c r="S166" i="1" s="1"/>
  <c r="U193" i="1"/>
  <c r="S193" i="1" s="1"/>
  <c r="U165" i="1"/>
  <c r="S165" i="1" s="1"/>
  <c r="U195" i="1"/>
  <c r="S195" i="1" s="1"/>
  <c r="U175" i="1"/>
  <c r="S175" i="1" s="1"/>
  <c r="U158" i="1"/>
  <c r="S158" i="1" s="1"/>
  <c r="U172" i="1"/>
  <c r="S172" i="1" s="1"/>
  <c r="U184" i="1"/>
  <c r="S184" i="1" s="1"/>
  <c r="U153" i="1"/>
  <c r="S153" i="1" s="1"/>
  <c r="U161" i="1"/>
  <c r="S161" i="1" s="1"/>
  <c r="U190" i="1"/>
  <c r="S190" i="1" s="1"/>
  <c r="U200" i="1"/>
  <c r="S200" i="1" s="1"/>
  <c r="U155" i="1"/>
  <c r="S155" i="1" s="1"/>
  <c r="U154" i="1"/>
  <c r="S154" i="1" s="1"/>
  <c r="U179" i="1"/>
  <c r="S179" i="1" s="1"/>
  <c r="U183" i="1"/>
  <c r="S183" i="1" s="1"/>
  <c r="U191" i="1"/>
  <c r="S191" i="1" s="1"/>
  <c r="U156" i="1"/>
  <c r="S156" i="1" s="1"/>
  <c r="U196" i="1"/>
  <c r="S196" i="1" s="1"/>
  <c r="U163" i="1"/>
  <c r="S163" i="1" s="1"/>
  <c r="U189" i="1"/>
  <c r="S189" i="1" s="1"/>
  <c r="U162" i="1"/>
  <c r="S162" i="1" s="1"/>
  <c r="U186" i="1"/>
  <c r="S186" i="1" s="1"/>
  <c r="U171" i="1"/>
  <c r="S171" i="1" s="1"/>
  <c r="U178" i="1"/>
  <c r="S178" i="1" s="1"/>
  <c r="U185" i="1"/>
  <c r="S185" i="1" s="1"/>
  <c r="U180" i="1"/>
  <c r="S180" i="1" s="1"/>
  <c r="U192" i="1"/>
  <c r="S192" i="1" s="1"/>
  <c r="U169" i="1"/>
  <c r="S169" i="1" s="1"/>
  <c r="U187" i="1"/>
  <c r="S187" i="1" s="1"/>
  <c r="U188" i="1"/>
  <c r="S188" i="1" s="1"/>
  <c r="U159" i="1"/>
  <c r="S159" i="1" s="1"/>
  <c r="U199" i="1"/>
  <c r="S199" i="1" s="1"/>
  <c r="U167" i="1"/>
  <c r="S167" i="1" s="1"/>
  <c r="U173" i="1"/>
  <c r="S173" i="1" s="1"/>
  <c r="U181" i="1"/>
  <c r="S181" i="1" s="1"/>
  <c r="U201" i="1"/>
  <c r="S201" i="1" s="1"/>
  <c r="U168" i="1"/>
  <c r="S168" i="1" s="1"/>
  <c r="U197" i="1"/>
  <c r="S197" i="1" s="1"/>
  <c r="U198" i="1"/>
  <c r="S198" i="1" s="1"/>
  <c r="U174" i="1"/>
  <c r="S174" i="1" s="1"/>
  <c r="U194" i="1"/>
  <c r="S194" i="1" s="1"/>
  <c r="M18" i="5"/>
  <c r="AF120" i="1" l="1"/>
  <c r="AF61" i="1"/>
  <c r="AF104" i="1"/>
  <c r="AF15" i="1"/>
  <c r="AF17" i="1"/>
  <c r="AF19" i="1"/>
  <c r="AF21" i="1"/>
  <c r="AF23" i="1"/>
  <c r="AF25" i="1"/>
  <c r="AF27" i="1"/>
  <c r="AF29" i="1"/>
  <c r="AF31" i="1"/>
  <c r="AF33" i="1"/>
  <c r="AF35" i="1"/>
  <c r="AF37" i="1"/>
  <c r="AF39" i="1"/>
  <c r="AF54" i="1"/>
  <c r="AF56" i="1"/>
  <c r="AF58" i="1"/>
  <c r="AF60" i="1"/>
  <c r="AF63" i="1"/>
  <c r="AF65" i="1"/>
  <c r="AF67" i="1"/>
  <c r="AF69" i="1"/>
  <c r="AF71" i="1"/>
  <c r="AF73" i="1"/>
  <c r="AF75" i="1"/>
  <c r="AF77" i="1"/>
  <c r="AF79" i="1"/>
  <c r="AF81" i="1"/>
  <c r="AF83" i="1"/>
  <c r="AF85" i="1"/>
  <c r="AF87" i="1"/>
  <c r="AF89" i="1"/>
  <c r="AF91" i="1"/>
  <c r="AF153" i="1"/>
  <c r="AF155" i="1"/>
  <c r="AF157" i="1"/>
  <c r="AF159" i="1"/>
  <c r="AF161" i="1"/>
  <c r="AF93" i="1"/>
  <c r="AF164" i="1"/>
  <c r="AF166" i="1"/>
  <c r="AF168" i="1"/>
  <c r="AF41" i="1"/>
  <c r="AF43" i="1"/>
  <c r="AF45" i="1"/>
  <c r="AF47" i="1"/>
  <c r="AF49" i="1"/>
  <c r="AF18" i="1"/>
  <c r="AF26" i="1"/>
  <c r="AF32" i="1"/>
  <c r="AF40" i="1"/>
  <c r="AF48" i="1"/>
  <c r="AF53" i="1"/>
  <c r="AF62" i="1"/>
  <c r="AF70" i="1"/>
  <c r="AF78" i="1"/>
  <c r="AF86" i="1"/>
  <c r="AF154" i="1"/>
  <c r="AF162" i="1"/>
  <c r="AF16" i="1"/>
  <c r="AF24" i="1"/>
  <c r="AF30" i="1"/>
  <c r="AF38" i="1"/>
  <c r="AF46" i="1"/>
  <c r="AF59" i="1"/>
  <c r="AF68" i="1"/>
  <c r="AF76" i="1"/>
  <c r="AF84" i="1"/>
  <c r="AF92" i="1"/>
  <c r="AF160" i="1"/>
  <c r="AF14" i="1"/>
  <c r="AF22" i="1"/>
  <c r="AF28" i="1"/>
  <c r="AF36" i="1"/>
  <c r="AF44" i="1"/>
  <c r="AF57" i="1"/>
  <c r="AF66" i="1"/>
  <c r="AF74" i="1"/>
  <c r="AF82" i="1"/>
  <c r="AF90" i="1"/>
  <c r="AF158" i="1"/>
  <c r="AF20" i="1"/>
  <c r="AF34" i="1"/>
  <c r="AF42" i="1"/>
  <c r="AF50" i="1"/>
  <c r="AF51" i="1"/>
  <c r="AF52" i="1"/>
  <c r="AF55" i="1"/>
  <c r="AF64" i="1"/>
  <c r="AF72" i="1"/>
  <c r="AF80" i="1"/>
  <c r="AF88" i="1"/>
  <c r="AF156" i="1"/>
  <c r="AF163" i="1"/>
  <c r="AF170" i="1"/>
  <c r="AF171" i="1"/>
  <c r="AF172" i="1"/>
  <c r="AF94" i="1"/>
  <c r="AF173" i="1"/>
  <c r="AF175" i="1"/>
  <c r="AF177" i="1"/>
  <c r="AF179" i="1"/>
  <c r="AF181" i="1"/>
  <c r="AF183" i="1"/>
  <c r="AF184" i="1"/>
  <c r="AF186" i="1"/>
  <c r="AF96" i="1"/>
  <c r="AF98" i="1"/>
  <c r="AF100" i="1"/>
  <c r="AF102" i="1"/>
  <c r="AF199" i="1"/>
  <c r="AF105" i="1"/>
  <c r="AF107" i="1"/>
  <c r="AF112" i="1"/>
  <c r="AF114" i="1"/>
  <c r="AF116" i="1"/>
  <c r="AF118" i="1"/>
  <c r="AF121" i="1"/>
  <c r="AF123" i="1"/>
  <c r="AF125" i="1"/>
  <c r="AF127" i="1"/>
  <c r="AF129" i="1"/>
  <c r="AF131" i="1"/>
  <c r="AF133" i="1"/>
  <c r="AF135" i="1"/>
  <c r="AF137" i="1"/>
  <c r="AF139" i="1"/>
  <c r="AF141" i="1"/>
  <c r="AF143" i="1"/>
  <c r="AF145" i="1"/>
  <c r="AF147" i="1"/>
  <c r="AF149" i="1"/>
  <c r="AF169" i="1"/>
  <c r="AF174" i="1"/>
  <c r="AF176" i="1"/>
  <c r="AF178" i="1"/>
  <c r="AF180" i="1"/>
  <c r="AF182" i="1"/>
  <c r="AF95" i="1"/>
  <c r="AF185" i="1"/>
  <c r="AF187" i="1"/>
  <c r="AF97" i="1"/>
  <c r="AF99" i="1"/>
  <c r="AF101" i="1"/>
  <c r="AF198" i="1"/>
  <c r="AF103" i="1"/>
  <c r="AF106" i="1"/>
  <c r="AF113" i="1"/>
  <c r="AF115" i="1"/>
  <c r="AF117" i="1"/>
  <c r="AF119" i="1"/>
  <c r="AF122" i="1"/>
  <c r="AF124" i="1"/>
  <c r="AF126" i="1"/>
  <c r="AF128" i="1"/>
  <c r="AF130" i="1"/>
  <c r="AF132" i="1"/>
  <c r="AF134" i="1"/>
  <c r="AF136" i="1"/>
  <c r="AF138" i="1"/>
  <c r="AF140" i="1"/>
  <c r="AF142" i="1"/>
  <c r="AF144" i="1"/>
  <c r="AF146" i="1"/>
  <c r="AF165" i="1"/>
  <c r="AF167" i="1"/>
  <c r="AF108" i="1"/>
  <c r="AF110" i="1"/>
  <c r="AF148" i="1"/>
  <c r="AF150" i="1"/>
  <c r="AF152" i="1"/>
  <c r="AF189" i="1"/>
  <c r="AF191" i="1"/>
  <c r="AF193" i="1"/>
  <c r="AF195" i="1"/>
  <c r="AF197" i="1"/>
  <c r="AF109" i="1"/>
  <c r="AF111" i="1"/>
  <c r="AF190" i="1"/>
  <c r="AF188" i="1"/>
  <c r="AF196" i="1"/>
  <c r="AF200" i="1"/>
  <c r="AF192" i="1"/>
  <c r="AF201" i="1"/>
  <c r="AF151" i="1"/>
  <c r="AF194" i="1"/>
  <c r="T11" i="3"/>
  <c r="T13" i="3"/>
  <c r="T15" i="3"/>
  <c r="T8" i="3"/>
  <c r="T12" i="3"/>
  <c r="T25" i="3"/>
  <c r="T17" i="3"/>
  <c r="T14" i="3"/>
  <c r="T21" i="3"/>
  <c r="T27" i="3"/>
  <c r="T18" i="3"/>
  <c r="T10" i="3"/>
  <c r="T24" i="3"/>
  <c r="T7" i="3"/>
  <c r="T23" i="3"/>
  <c r="T26" i="3"/>
  <c r="T20" i="3"/>
  <c r="T19" i="3"/>
  <c r="T9" i="3"/>
  <c r="T22" i="3"/>
  <c r="T16" i="3"/>
  <c r="T28" i="3"/>
  <c r="AF13" i="1"/>
  <c r="B4" i="6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6" i="6" l="1"/>
  <c r="I6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7" i="6" l="1"/>
  <c r="I7" i="6" s="1"/>
  <c r="F6" i="6"/>
  <c r="J6" i="6"/>
  <c r="G6" i="6"/>
  <c r="H6" i="6"/>
  <c r="G259" i="4"/>
  <c r="G260" i="4"/>
  <c r="G261" i="4"/>
  <c r="G262" i="4"/>
  <c r="G263" i="4"/>
  <c r="G264" i="4"/>
  <c r="G265" i="4"/>
  <c r="F7" i="6" l="1"/>
  <c r="J7" i="6"/>
  <c r="G7" i="6"/>
  <c r="H7" i="6"/>
  <c r="B8" i="6"/>
  <c r="I8" i="6" s="1"/>
  <c r="M14" i="5"/>
  <c r="M13" i="5"/>
  <c r="M12" i="5"/>
  <c r="M11" i="5"/>
  <c r="M10" i="5"/>
  <c r="M9" i="5"/>
  <c r="M8" i="5"/>
  <c r="M7" i="5"/>
  <c r="M6" i="5"/>
  <c r="M5" i="5"/>
  <c r="M4" i="5"/>
  <c r="M3" i="5"/>
  <c r="U80" i="1" l="1"/>
  <c r="S80" i="1" s="1"/>
  <c r="U49" i="1"/>
  <c r="S49" i="1" s="1"/>
  <c r="U132" i="1"/>
  <c r="S132" i="1" s="1"/>
  <c r="U42" i="1"/>
  <c r="S42" i="1" s="1"/>
  <c r="U51" i="1"/>
  <c r="S51" i="1" s="1"/>
  <c r="U17" i="1"/>
  <c r="S17" i="1" s="1"/>
  <c r="U36" i="1"/>
  <c r="S36" i="1" s="1"/>
  <c r="U91" i="1"/>
  <c r="S91" i="1" s="1"/>
  <c r="U58" i="1"/>
  <c r="S58" i="1" s="1"/>
  <c r="U59" i="1"/>
  <c r="S59" i="1" s="1"/>
  <c r="U14" i="1"/>
  <c r="S14" i="1" s="1"/>
  <c r="U128" i="1"/>
  <c r="S128" i="1" s="1"/>
  <c r="U100" i="1"/>
  <c r="S100" i="1" s="1"/>
  <c r="U142" i="1"/>
  <c r="S142" i="1" s="1"/>
  <c r="U25" i="1"/>
  <c r="S25" i="1" s="1"/>
  <c r="U124" i="1"/>
  <c r="S124" i="1" s="1"/>
  <c r="U45" i="1"/>
  <c r="S45" i="1" s="1"/>
  <c r="U137" i="1"/>
  <c r="S137" i="1" s="1"/>
  <c r="U121" i="1"/>
  <c r="S121" i="1" s="1"/>
  <c r="U73" i="1"/>
  <c r="S73" i="1" s="1"/>
  <c r="U95" i="1"/>
  <c r="S95" i="1" s="1"/>
  <c r="U107" i="1"/>
  <c r="S107" i="1" s="1"/>
  <c r="U103" i="1"/>
  <c r="S103" i="1" s="1"/>
  <c r="U134" i="1"/>
  <c r="S134" i="1" s="1"/>
  <c r="U131" i="1"/>
  <c r="S131" i="1" s="1"/>
  <c r="U94" i="1"/>
  <c r="S94" i="1" s="1"/>
  <c r="U41" i="1"/>
  <c r="S41" i="1" s="1"/>
  <c r="U123" i="1"/>
  <c r="S123" i="1" s="1"/>
  <c r="U75" i="1"/>
  <c r="S75" i="1" s="1"/>
  <c r="U54" i="1"/>
  <c r="S54" i="1" s="1"/>
  <c r="U18" i="1"/>
  <c r="S18" i="1" s="1"/>
  <c r="U21" i="1"/>
  <c r="S21" i="1" s="1"/>
  <c r="U20" i="1"/>
  <c r="S20" i="1" s="1"/>
  <c r="U127" i="1"/>
  <c r="S127" i="1" s="1"/>
  <c r="U82" i="1"/>
  <c r="S82" i="1" s="1"/>
  <c r="U16" i="1"/>
  <c r="S16" i="1" s="1"/>
  <c r="U55" i="1"/>
  <c r="S55" i="1" s="1"/>
  <c r="U53" i="1"/>
  <c r="S53" i="1" s="1"/>
  <c r="U67" i="1"/>
  <c r="S67" i="1" s="1"/>
  <c r="U71" i="1"/>
  <c r="S71" i="1" s="1"/>
  <c r="U105" i="1"/>
  <c r="S105" i="1" s="1"/>
  <c r="U152" i="1"/>
  <c r="S152" i="1" s="1"/>
  <c r="U30" i="1"/>
  <c r="S30" i="1" s="1"/>
  <c r="U57" i="1"/>
  <c r="S57" i="1" s="1"/>
  <c r="U90" i="1"/>
  <c r="S90" i="1" s="1"/>
  <c r="U122" i="1"/>
  <c r="S122" i="1" s="1"/>
  <c r="U104" i="1"/>
  <c r="S104" i="1" s="1"/>
  <c r="U97" i="1"/>
  <c r="S97" i="1" s="1"/>
  <c r="U33" i="1"/>
  <c r="S33" i="1" s="1"/>
  <c r="U72" i="1"/>
  <c r="S72" i="1" s="1"/>
  <c r="U68" i="1"/>
  <c r="S68" i="1" s="1"/>
  <c r="U22" i="1"/>
  <c r="S22" i="1" s="1"/>
  <c r="U149" i="1"/>
  <c r="S149" i="1" s="1"/>
  <c r="U144" i="1"/>
  <c r="S144" i="1" s="1"/>
  <c r="U23" i="1"/>
  <c r="S23" i="1" s="1"/>
  <c r="U116" i="1"/>
  <c r="S116" i="1" s="1"/>
  <c r="U151" i="1"/>
  <c r="S151" i="1" s="1"/>
  <c r="U52" i="1"/>
  <c r="S52" i="1" s="1"/>
  <c r="U61" i="1"/>
  <c r="S61" i="1" s="1"/>
  <c r="U87" i="1"/>
  <c r="S87" i="1" s="1"/>
  <c r="U63" i="1"/>
  <c r="S63" i="1" s="1"/>
  <c r="U120" i="1"/>
  <c r="S120" i="1" s="1"/>
  <c r="U62" i="1"/>
  <c r="S62" i="1" s="1"/>
  <c r="U141" i="1"/>
  <c r="S141" i="1" s="1"/>
  <c r="U138" i="1"/>
  <c r="S138" i="1" s="1"/>
  <c r="U114" i="1"/>
  <c r="S114" i="1" s="1"/>
  <c r="U34" i="1"/>
  <c r="S34" i="1" s="1"/>
  <c r="U44" i="1"/>
  <c r="S44" i="1" s="1"/>
  <c r="U69" i="1"/>
  <c r="S69" i="1" s="1"/>
  <c r="U32" i="1"/>
  <c r="S32" i="1" s="1"/>
  <c r="U111" i="1"/>
  <c r="S111" i="1" s="1"/>
  <c r="U115" i="1"/>
  <c r="S115" i="1" s="1"/>
  <c r="U125" i="1"/>
  <c r="S125" i="1" s="1"/>
  <c r="U50" i="1"/>
  <c r="S50" i="1" s="1"/>
  <c r="U46" i="1"/>
  <c r="S46" i="1" s="1"/>
  <c r="U140" i="1"/>
  <c r="S140" i="1" s="1"/>
  <c r="U130" i="1"/>
  <c r="S130" i="1" s="1"/>
  <c r="U139" i="1"/>
  <c r="S139" i="1" s="1"/>
  <c r="U109" i="1"/>
  <c r="S109" i="1" s="1"/>
  <c r="U79" i="1"/>
  <c r="S79" i="1" s="1"/>
  <c r="U126" i="1"/>
  <c r="S126" i="1" s="1"/>
  <c r="U143" i="1"/>
  <c r="S143" i="1" s="1"/>
  <c r="U93" i="1"/>
  <c r="S93" i="1" s="1"/>
  <c r="U117" i="1"/>
  <c r="S117" i="1" s="1"/>
  <c r="U81" i="1"/>
  <c r="S81" i="1" s="1"/>
  <c r="U99" i="1"/>
  <c r="S99" i="1" s="1"/>
  <c r="U28" i="1"/>
  <c r="S28" i="1" s="1"/>
  <c r="U102" i="1"/>
  <c r="S102" i="1" s="1"/>
  <c r="U129" i="1"/>
  <c r="S129" i="1" s="1"/>
  <c r="U119" i="1"/>
  <c r="S119" i="1" s="1"/>
  <c r="U113" i="1"/>
  <c r="S113" i="1" s="1"/>
  <c r="U106" i="1"/>
  <c r="S106" i="1" s="1"/>
  <c r="U66" i="1"/>
  <c r="S66" i="1" s="1"/>
  <c r="U43" i="1"/>
  <c r="S43" i="1" s="1"/>
  <c r="U83" i="1"/>
  <c r="S83" i="1" s="1"/>
  <c r="U112" i="1"/>
  <c r="S112" i="1" s="1"/>
  <c r="U76" i="1"/>
  <c r="S76" i="1" s="1"/>
  <c r="U24" i="1"/>
  <c r="S24" i="1" s="1"/>
  <c r="U29" i="1"/>
  <c r="S29" i="1" s="1"/>
  <c r="U37" i="1"/>
  <c r="S37" i="1" s="1"/>
  <c r="U31" i="1"/>
  <c r="S31" i="1" s="1"/>
  <c r="U27" i="1"/>
  <c r="S27" i="1" s="1"/>
  <c r="U40" i="1"/>
  <c r="S40" i="1" s="1"/>
  <c r="U60" i="1"/>
  <c r="S60" i="1" s="1"/>
  <c r="U19" i="1"/>
  <c r="S19" i="1" s="1"/>
  <c r="U108" i="1"/>
  <c r="S108" i="1" s="1"/>
  <c r="U85" i="1"/>
  <c r="S85" i="1" s="1"/>
  <c r="U65" i="1"/>
  <c r="S65" i="1" s="1"/>
  <c r="U86" i="1"/>
  <c r="S86" i="1" s="1"/>
  <c r="U136" i="1"/>
  <c r="S136" i="1" s="1"/>
  <c r="U101" i="1"/>
  <c r="S101" i="1" s="1"/>
  <c r="U150" i="1"/>
  <c r="S150" i="1" s="1"/>
  <c r="U89" i="1"/>
  <c r="S89" i="1" s="1"/>
  <c r="U145" i="1"/>
  <c r="S145" i="1" s="1"/>
  <c r="U39" i="1"/>
  <c r="S39" i="1" s="1"/>
  <c r="U74" i="1"/>
  <c r="S74" i="1" s="1"/>
  <c r="U78" i="1"/>
  <c r="S78" i="1" s="1"/>
  <c r="U48" i="1"/>
  <c r="S48" i="1" s="1"/>
  <c r="U98" i="1"/>
  <c r="S98" i="1" s="1"/>
  <c r="U110" i="1"/>
  <c r="S110" i="1" s="1"/>
  <c r="U88" i="1"/>
  <c r="S88" i="1" s="1"/>
  <c r="U96" i="1"/>
  <c r="S96" i="1" s="1"/>
  <c r="U92" i="1"/>
  <c r="S92" i="1" s="1"/>
  <c r="U84" i="1"/>
  <c r="S84" i="1" s="1"/>
  <c r="U64" i="1"/>
  <c r="S64" i="1" s="1"/>
  <c r="U26" i="1"/>
  <c r="S26" i="1" s="1"/>
  <c r="U146" i="1"/>
  <c r="S146" i="1" s="1"/>
  <c r="U77" i="1"/>
  <c r="S77" i="1" s="1"/>
  <c r="U135" i="1"/>
  <c r="S135" i="1" s="1"/>
  <c r="U15" i="1"/>
  <c r="S15" i="1" s="1"/>
  <c r="U118" i="1"/>
  <c r="S118" i="1" s="1"/>
  <c r="U47" i="1"/>
  <c r="S47" i="1" s="1"/>
  <c r="U70" i="1"/>
  <c r="S70" i="1" s="1"/>
  <c r="U35" i="1"/>
  <c r="S35" i="1" s="1"/>
  <c r="U148" i="1"/>
  <c r="S148" i="1" s="1"/>
  <c r="U56" i="1"/>
  <c r="S56" i="1" s="1"/>
  <c r="U38" i="1"/>
  <c r="S38" i="1" s="1"/>
  <c r="U147" i="1"/>
  <c r="S147" i="1" s="1"/>
  <c r="U133" i="1"/>
  <c r="S133" i="1" s="1"/>
  <c r="U13" i="1"/>
  <c r="S13" i="1" s="1"/>
  <c r="F8" i="6"/>
  <c r="H8" i="6"/>
  <c r="J8" i="6"/>
  <c r="G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B9" i="6" l="1"/>
  <c r="I9" i="6" s="1"/>
  <c r="S9" i="1"/>
  <c r="J9" i="1"/>
  <c r="B10" i="6" l="1"/>
  <c r="I10" i="6" s="1"/>
  <c r="F9" i="6"/>
  <c r="G9" i="6"/>
  <c r="J9" i="6"/>
  <c r="H9" i="6"/>
  <c r="S11" i="1"/>
  <c r="A11" i="1"/>
  <c r="B11" i="6" l="1"/>
  <c r="I11" i="6" s="1"/>
  <c r="G10" i="6"/>
  <c r="H10" i="6"/>
  <c r="J10" i="6"/>
  <c r="F10" i="6"/>
  <c r="B1" i="6"/>
  <c r="A5" i="3"/>
  <c r="G11" i="6" l="1"/>
  <c r="F11" i="6"/>
  <c r="J11" i="6"/>
  <c r="H11" i="6"/>
  <c r="B12" i="6"/>
  <c r="I12" i="6" s="1"/>
  <c r="F12" i="6" l="1"/>
  <c r="J12" i="6"/>
  <c r="G12" i="6"/>
  <c r="H12" i="6"/>
  <c r="B13" i="6"/>
  <c r="I13" i="6" s="1"/>
  <c r="B14" i="6" l="1"/>
  <c r="I14" i="6" s="1"/>
  <c r="J13" i="6"/>
  <c r="G13" i="6"/>
  <c r="F13" i="6"/>
  <c r="H13" i="6"/>
  <c r="F14" i="6" l="1"/>
  <c r="G14" i="6"/>
  <c r="H14" i="6"/>
  <c r="J14" i="6"/>
  <c r="B15" i="6"/>
  <c r="I15" i="6" s="1"/>
  <c r="J15" i="6" l="1"/>
  <c r="H15" i="6"/>
  <c r="F15" i="6"/>
  <c r="G15" i="6"/>
  <c r="B16" i="6"/>
  <c r="I16" i="6" s="1"/>
  <c r="B17" i="6" l="1"/>
  <c r="I17" i="6" s="1"/>
  <c r="J16" i="6"/>
  <c r="F16" i="6"/>
  <c r="H16" i="6"/>
  <c r="G16" i="6"/>
  <c r="F17" i="6" l="1"/>
  <c r="G17" i="6"/>
  <c r="H17" i="6"/>
  <c r="J17" i="6"/>
  <c r="B18" i="6"/>
  <c r="I18" i="6" s="1"/>
  <c r="G18" i="6" l="1"/>
  <c r="H18" i="6"/>
  <c r="J18" i="6"/>
  <c r="F18" i="6"/>
  <c r="B19" i="6"/>
  <c r="I19" i="6" s="1"/>
  <c r="F19" i="6" l="1"/>
  <c r="H19" i="6"/>
  <c r="J19" i="6"/>
  <c r="G19" i="6"/>
  <c r="B20" i="6"/>
  <c r="I20" i="6" s="1"/>
  <c r="F20" i="6" l="1"/>
  <c r="J20" i="6"/>
  <c r="G20" i="6"/>
  <c r="H20" i="6"/>
  <c r="B21" i="6"/>
  <c r="I21" i="6" s="1"/>
  <c r="B22" i="6" l="1"/>
  <c r="I22" i="6" s="1"/>
  <c r="F21" i="6"/>
  <c r="H21" i="6"/>
  <c r="J21" i="6"/>
  <c r="G21" i="6"/>
  <c r="F22" i="6" l="1"/>
  <c r="H22" i="6"/>
  <c r="J22" i="6"/>
  <c r="G22" i="6"/>
  <c r="B23" i="6"/>
  <c r="I23" i="6" s="1"/>
  <c r="J23" i="6" l="1"/>
  <c r="H23" i="6"/>
  <c r="F23" i="6"/>
  <c r="G23" i="6"/>
  <c r="B24" i="6"/>
  <c r="I24" i="6" s="1"/>
  <c r="B25" i="6" l="1"/>
  <c r="I25" i="6" s="1"/>
  <c r="F24" i="6"/>
  <c r="G24" i="6"/>
  <c r="H24" i="6"/>
  <c r="J24" i="6"/>
  <c r="B26" i="6" l="1"/>
  <c r="I26" i="6" s="1"/>
  <c r="H25" i="6"/>
  <c r="F25" i="6"/>
  <c r="J25" i="6"/>
  <c r="G25" i="6"/>
  <c r="B27" i="6" l="1"/>
  <c r="I27" i="6" s="1"/>
  <c r="F26" i="6"/>
  <c r="H26" i="6"/>
  <c r="J26" i="6"/>
  <c r="G26" i="6"/>
  <c r="F27" i="6" l="1"/>
  <c r="G27" i="6"/>
  <c r="J27" i="6"/>
  <c r="H27" i="6"/>
  <c r="B28" i="6"/>
  <c r="I28" i="6" s="1"/>
  <c r="F28" i="6" l="1"/>
  <c r="J28" i="6"/>
  <c r="H28" i="6"/>
  <c r="G28" i="6"/>
  <c r="B29" i="6"/>
  <c r="I29" i="6" s="1"/>
  <c r="F29" i="6" l="1"/>
  <c r="H29" i="6"/>
  <c r="G29" i="6"/>
  <c r="J29" i="6"/>
  <c r="B30" i="6"/>
  <c r="I30" i="6" s="1"/>
  <c r="B31" i="6" l="1"/>
  <c r="I31" i="6" s="1"/>
  <c r="G30" i="6"/>
  <c r="F30" i="6"/>
  <c r="H30" i="6"/>
  <c r="J30" i="6"/>
  <c r="J31" i="6" l="1"/>
  <c r="H31" i="6"/>
  <c r="F31" i="6"/>
  <c r="G31" i="6"/>
  <c r="B32" i="6"/>
  <c r="I32" i="6" s="1"/>
  <c r="H32" i="6" l="1"/>
  <c r="J32" i="6"/>
  <c r="F32" i="6"/>
  <c r="G32" i="6"/>
  <c r="B33" i="6"/>
  <c r="I33" i="6" s="1"/>
  <c r="H33" i="6" l="1"/>
  <c r="J33" i="6"/>
  <c r="F33" i="6"/>
  <c r="G33" i="6"/>
  <c r="B34" i="6"/>
  <c r="I34" i="6" s="1"/>
  <c r="H34" i="6" l="1"/>
  <c r="J34" i="6"/>
  <c r="F34" i="6"/>
  <c r="G34" i="6"/>
  <c r="B35" i="6"/>
  <c r="I35" i="6" s="1"/>
  <c r="G35" i="6" l="1"/>
  <c r="F35" i="6"/>
  <c r="H35" i="6"/>
  <c r="J35" i="6"/>
  <c r="B36" i="6"/>
  <c r="I36" i="6" s="1"/>
  <c r="B37" i="6" l="1"/>
  <c r="I37" i="6" s="1"/>
  <c r="J36" i="6"/>
  <c r="G36" i="6"/>
  <c r="F36" i="6"/>
  <c r="H36" i="6"/>
  <c r="B38" i="6" l="1"/>
  <c r="I38" i="6" s="1"/>
  <c r="J37" i="6"/>
  <c r="G37" i="6"/>
  <c r="F37" i="6"/>
  <c r="H37" i="6"/>
  <c r="F38" i="6" l="1"/>
  <c r="H38" i="6"/>
  <c r="J38" i="6"/>
  <c r="G38" i="6"/>
  <c r="B39" i="6"/>
  <c r="I39" i="6" s="1"/>
  <c r="B40" i="6" l="1"/>
  <c r="I40" i="6" s="1"/>
  <c r="F39" i="6"/>
  <c r="G39" i="6"/>
  <c r="J39" i="6"/>
  <c r="H39" i="6"/>
  <c r="G40" i="6" l="1"/>
  <c r="F40" i="6"/>
  <c r="H40" i="6"/>
  <c r="J40" i="6"/>
  <c r="B41" i="6"/>
  <c r="I41" i="6" s="1"/>
  <c r="F41" i="6" l="1"/>
  <c r="J41" i="6"/>
  <c r="G41" i="6"/>
  <c r="H41" i="6"/>
  <c r="B42" i="6"/>
  <c r="I42" i="6" s="1"/>
  <c r="G42" i="6" l="1"/>
  <c r="H42" i="6"/>
  <c r="J42" i="6"/>
  <c r="F42" i="6"/>
  <c r="B43" i="6"/>
  <c r="I43" i="6" s="1"/>
  <c r="B44" i="6" l="1"/>
  <c r="I44" i="6" s="1"/>
  <c r="J43" i="6"/>
  <c r="H43" i="6"/>
  <c r="F43" i="6"/>
  <c r="G43" i="6"/>
  <c r="J44" i="6" l="1"/>
  <c r="G44" i="6"/>
  <c r="F44" i="6"/>
  <c r="H44" i="6"/>
  <c r="B45" i="6"/>
  <c r="I45" i="6" s="1"/>
  <c r="B46" i="6" l="1"/>
  <c r="I46" i="6" s="1"/>
  <c r="G45" i="6"/>
  <c r="J45" i="6"/>
  <c r="F45" i="6"/>
  <c r="H45" i="6"/>
  <c r="F46" i="6" l="1"/>
  <c r="G46" i="6"/>
  <c r="J46" i="6"/>
  <c r="H46" i="6"/>
  <c r="B47" i="6"/>
  <c r="I47" i="6" s="1"/>
  <c r="B48" i="6" l="1"/>
  <c r="I48" i="6" s="1"/>
  <c r="F47" i="6"/>
  <c r="G47" i="6"/>
  <c r="J47" i="6"/>
  <c r="H47" i="6"/>
  <c r="G48" i="6" l="1"/>
  <c r="H48" i="6"/>
  <c r="J48" i="6"/>
  <c r="F48" i="6"/>
  <c r="B49" i="6"/>
  <c r="I49" i="6" s="1"/>
  <c r="B50" i="6" l="1"/>
  <c r="I50" i="6" s="1"/>
  <c r="G49" i="6"/>
  <c r="H49" i="6"/>
  <c r="J49" i="6"/>
  <c r="F49" i="6"/>
  <c r="F50" i="6" l="1"/>
  <c r="G50" i="6"/>
  <c r="H50" i="6"/>
  <c r="J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H54" i="6" l="1"/>
  <c r="F54" i="6"/>
  <c r="G54" i="6"/>
  <c r="J54" i="6"/>
  <c r="B55" i="6"/>
  <c r="I55" i="6" s="1"/>
  <c r="B56" i="6" l="1"/>
  <c r="I56" i="6" s="1"/>
  <c r="F55" i="6"/>
  <c r="G55" i="6"/>
  <c r="J55" i="6"/>
  <c r="H55" i="6"/>
  <c r="B57" i="6" l="1"/>
  <c r="I57" i="6" s="1"/>
  <c r="J56" i="6"/>
  <c r="F56" i="6"/>
  <c r="G56" i="6"/>
  <c r="H56" i="6"/>
  <c r="F57" i="6" l="1"/>
  <c r="J57" i="6"/>
  <c r="G57" i="6"/>
  <c r="H57" i="6"/>
  <c r="B58" i="6"/>
  <c r="I58" i="6" s="1"/>
  <c r="H58" i="6" l="1"/>
  <c r="J58" i="6"/>
  <c r="G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G61" i="6" l="1"/>
  <c r="H61" i="6"/>
  <c r="J61" i="6"/>
  <c r="F61" i="6"/>
  <c r="B62" i="6"/>
  <c r="I62" i="6" s="1"/>
  <c r="G62" i="6" l="1"/>
  <c r="F62" i="6"/>
  <c r="H62" i="6"/>
  <c r="J62" i="6"/>
  <c r="B63" i="6"/>
  <c r="I63" i="6" s="1"/>
  <c r="B64" i="6" l="1"/>
  <c r="I64" i="6" s="1"/>
  <c r="J63" i="6"/>
  <c r="F63" i="6"/>
  <c r="H63" i="6"/>
  <c r="G63" i="6"/>
  <c r="B65" i="6" l="1"/>
  <c r="I65" i="6" s="1"/>
  <c r="J64" i="6"/>
  <c r="F64" i="6"/>
  <c r="G64" i="6"/>
  <c r="H64" i="6"/>
  <c r="H65" i="6" l="1"/>
  <c r="G65" i="6"/>
  <c r="F65" i="6"/>
  <c r="J65" i="6"/>
  <c r="B66" i="6"/>
  <c r="I66" i="6" s="1"/>
  <c r="G66" i="6" l="1"/>
  <c r="H66" i="6"/>
  <c r="J66" i="6"/>
  <c r="F66" i="6"/>
  <c r="B67" i="6"/>
  <c r="I67" i="6" s="1"/>
  <c r="B68" i="6" l="1"/>
  <c r="I68" i="6" s="1"/>
  <c r="J67" i="6"/>
  <c r="F67" i="6"/>
  <c r="H67" i="6"/>
  <c r="G67" i="6"/>
  <c r="B69" i="6" l="1"/>
  <c r="I69" i="6" s="1"/>
  <c r="J68" i="6"/>
  <c r="F68" i="6"/>
  <c r="G68" i="6"/>
  <c r="H68" i="6"/>
  <c r="B70" i="6" l="1"/>
  <c r="I70" i="6" s="1"/>
  <c r="J69" i="6"/>
  <c r="F69" i="6"/>
  <c r="G69" i="6"/>
  <c r="H69" i="6"/>
  <c r="J70" i="6" l="1"/>
  <c r="F70" i="6"/>
  <c r="H70" i="6"/>
  <c r="G70" i="6"/>
  <c r="B71" i="6"/>
  <c r="I71" i="6" s="1"/>
  <c r="F71" i="6" l="1"/>
  <c r="J71" i="6"/>
  <c r="H71" i="6"/>
  <c r="G71" i="6"/>
  <c r="B72" i="6"/>
  <c r="I72" i="6" s="1"/>
  <c r="J72" i="6" l="1"/>
  <c r="G72" i="6"/>
  <c r="F72" i="6"/>
  <c r="H72" i="6"/>
  <c r="B73" i="6"/>
  <c r="I73" i="6" s="1"/>
  <c r="B74" i="6" l="1"/>
  <c r="I74" i="6" s="1"/>
  <c r="F73" i="6"/>
  <c r="G73" i="6"/>
  <c r="H73" i="6"/>
  <c r="J73" i="6"/>
  <c r="F74" i="6" l="1"/>
  <c r="G74" i="6"/>
  <c r="H74" i="6"/>
  <c r="J74" i="6"/>
  <c r="B75" i="6"/>
  <c r="I75" i="6" s="1"/>
  <c r="B76" i="6" l="1"/>
  <c r="I76" i="6" s="1"/>
  <c r="J75" i="6"/>
  <c r="F75" i="6"/>
  <c r="G75" i="6"/>
  <c r="H75" i="6"/>
  <c r="F76" i="6" l="1"/>
  <c r="H76" i="6"/>
  <c r="G76" i="6"/>
  <c r="J76" i="6"/>
  <c r="B77" i="6"/>
  <c r="I77" i="6" s="1"/>
  <c r="B78" i="6" l="1"/>
  <c r="I78" i="6" s="1"/>
  <c r="H77" i="6"/>
  <c r="G77" i="6"/>
  <c r="F77" i="6"/>
  <c r="J77" i="6"/>
  <c r="B79" i="6" l="1"/>
  <c r="I79" i="6" s="1"/>
  <c r="J78" i="6"/>
  <c r="H78" i="6"/>
  <c r="F78" i="6"/>
  <c r="G78" i="6"/>
  <c r="J79" i="6" l="1"/>
  <c r="H79" i="6"/>
  <c r="F79" i="6"/>
  <c r="G79" i="6"/>
  <c r="B80" i="6"/>
  <c r="I80" i="6" s="1"/>
  <c r="J80" i="6" l="1"/>
  <c r="F80" i="6"/>
  <c r="H80" i="6"/>
  <c r="G80" i="6"/>
  <c r="B81" i="6"/>
  <c r="I81" i="6" s="1"/>
  <c r="B82" i="6" l="1"/>
  <c r="I82" i="6" s="1"/>
  <c r="F81" i="6"/>
  <c r="J81" i="6"/>
  <c r="G81" i="6"/>
  <c r="H81" i="6"/>
  <c r="B83" i="6" l="1"/>
  <c r="I83" i="6" s="1"/>
  <c r="F82" i="6"/>
  <c r="G82" i="6"/>
  <c r="H82" i="6"/>
  <c r="J82" i="6"/>
  <c r="B84" i="6" l="1"/>
  <c r="I84" i="6" s="1"/>
  <c r="J83" i="6"/>
  <c r="H83" i="6"/>
  <c r="G83" i="6"/>
  <c r="F83" i="6"/>
  <c r="B85" i="6" l="1"/>
  <c r="I85" i="6" s="1"/>
  <c r="H84" i="6"/>
  <c r="J84" i="6"/>
  <c r="F84" i="6"/>
  <c r="G84" i="6"/>
  <c r="G85" i="6" l="1"/>
  <c r="H85" i="6"/>
  <c r="J85" i="6"/>
  <c r="F85" i="6"/>
  <c r="B86" i="6"/>
  <c r="I86" i="6" s="1"/>
  <c r="B87" i="6" l="1"/>
  <c r="I87" i="6" s="1"/>
  <c r="G86" i="6"/>
  <c r="J86" i="6"/>
  <c r="H86" i="6"/>
  <c r="F86" i="6"/>
  <c r="F87" i="6" l="1"/>
  <c r="H87" i="6"/>
  <c r="J87" i="6"/>
  <c r="G87" i="6"/>
  <c r="B88" i="6"/>
  <c r="I88" i="6" s="1"/>
  <c r="H88" i="6" l="1"/>
  <c r="F88" i="6"/>
  <c r="G88" i="6"/>
  <c r="J88" i="6"/>
  <c r="B89" i="6"/>
  <c r="I89" i="6" s="1"/>
  <c r="H89" i="6" l="1"/>
  <c r="G89" i="6"/>
  <c r="F89" i="6"/>
  <c r="J89" i="6"/>
  <c r="B90" i="6"/>
  <c r="I90" i="6" s="1"/>
  <c r="H90" i="6" l="1"/>
  <c r="J90" i="6"/>
  <c r="G90" i="6"/>
  <c r="F90" i="6"/>
  <c r="B91" i="6"/>
  <c r="I91" i="6" s="1"/>
  <c r="J91" i="6" l="1"/>
  <c r="G91" i="6"/>
  <c r="F91" i="6"/>
  <c r="H91" i="6"/>
  <c r="B92" i="6"/>
  <c r="I92" i="6" s="1"/>
  <c r="J92" i="6" l="1"/>
  <c r="F92" i="6"/>
  <c r="H92" i="6"/>
  <c r="G92" i="6"/>
  <c r="B93" i="6"/>
  <c r="I93" i="6" s="1"/>
  <c r="G93" i="6" l="1"/>
  <c r="H93" i="6"/>
  <c r="F93" i="6"/>
  <c r="J93" i="6"/>
  <c r="B94" i="6"/>
  <c r="I94" i="6" s="1"/>
  <c r="B95" i="6" l="1"/>
  <c r="I95" i="6" s="1"/>
  <c r="J94" i="6"/>
  <c r="G94" i="6"/>
  <c r="H94" i="6"/>
  <c r="F94" i="6"/>
  <c r="J95" i="6" l="1"/>
  <c r="F95" i="6"/>
  <c r="H95" i="6"/>
  <c r="G95" i="6"/>
  <c r="B96" i="6"/>
  <c r="I96" i="6" s="1"/>
  <c r="B97" i="6" l="1"/>
  <c r="I97" i="6" s="1"/>
  <c r="J96" i="6"/>
  <c r="G96" i="6"/>
  <c r="H96" i="6"/>
  <c r="F96" i="6"/>
  <c r="B98" i="6" l="1"/>
  <c r="I98" i="6" s="1"/>
  <c r="F97" i="6"/>
  <c r="H97" i="6"/>
  <c r="G97" i="6"/>
  <c r="J97" i="6"/>
  <c r="B99" i="6" l="1"/>
  <c r="I99" i="6" s="1"/>
  <c r="J98" i="6"/>
  <c r="F98" i="6"/>
  <c r="G98" i="6"/>
  <c r="H98" i="6"/>
  <c r="B100" i="6" l="1"/>
  <c r="I100" i="6" s="1"/>
  <c r="J99" i="6"/>
  <c r="H99" i="6"/>
  <c r="G99" i="6"/>
  <c r="F99" i="6"/>
  <c r="G100" i="6" l="1"/>
  <c r="H100" i="6"/>
  <c r="J100" i="6"/>
  <c r="F100" i="6"/>
  <c r="B101" i="6"/>
  <c r="I101" i="6" s="1"/>
  <c r="B102" i="6" l="1"/>
  <c r="I102" i="6" s="1"/>
  <c r="J101" i="6"/>
  <c r="F101" i="6"/>
  <c r="G101" i="6"/>
  <c r="H101" i="6"/>
  <c r="F102" i="6" l="1"/>
  <c r="G102" i="6"/>
  <c r="H102" i="6"/>
  <c r="J102" i="6"/>
  <c r="B103" i="6"/>
  <c r="I103" i="6" s="1"/>
  <c r="F103" i="6" l="1"/>
  <c r="H103" i="6"/>
  <c r="G103" i="6"/>
  <c r="J103" i="6"/>
  <c r="B104" i="6"/>
  <c r="I104" i="6" s="1"/>
  <c r="J104" i="6" l="1"/>
  <c r="H104" i="6"/>
  <c r="F104" i="6"/>
  <c r="G104" i="6"/>
  <c r="B105" i="6"/>
  <c r="I105" i="6" s="1"/>
  <c r="F105" i="6" l="1"/>
  <c r="H105" i="6"/>
  <c r="G105" i="6"/>
  <c r="J105" i="6"/>
  <c r="B106" i="6"/>
  <c r="I106" i="6" s="1"/>
  <c r="F106" i="6" l="1"/>
  <c r="H106" i="6"/>
  <c r="G106" i="6"/>
  <c r="J106" i="6"/>
  <c r="B107" i="6"/>
  <c r="I107" i="6" s="1"/>
  <c r="J107" i="6" l="1"/>
  <c r="F107" i="6"/>
  <c r="G107" i="6"/>
  <c r="H107" i="6"/>
  <c r="B108" i="6"/>
  <c r="I108" i="6" s="1"/>
  <c r="G108" i="6" l="1"/>
  <c r="H108" i="6"/>
  <c r="J108" i="6"/>
  <c r="F108" i="6"/>
  <c r="B109" i="6"/>
  <c r="I109" i="6" s="1"/>
  <c r="B110" i="6" l="1"/>
  <c r="I110" i="6" s="1"/>
  <c r="H109" i="6"/>
  <c r="G109" i="6"/>
  <c r="J109" i="6"/>
  <c r="F109" i="6"/>
  <c r="B111" i="6" l="1"/>
  <c r="I111" i="6" s="1"/>
  <c r="J110" i="6"/>
  <c r="G110" i="6"/>
  <c r="H110" i="6"/>
  <c r="F110" i="6"/>
  <c r="H111" i="6" l="1"/>
  <c r="F111" i="6"/>
  <c r="G111" i="6"/>
  <c r="J111" i="6"/>
  <c r="B112" i="6"/>
  <c r="I112" i="6" s="1"/>
  <c r="F112" i="6" l="1"/>
  <c r="H112" i="6"/>
  <c r="J112" i="6"/>
  <c r="G112" i="6"/>
  <c r="B113" i="6"/>
  <c r="I113" i="6" s="1"/>
  <c r="F113" i="6" l="1"/>
  <c r="G113" i="6"/>
  <c r="J113" i="6"/>
  <c r="H113" i="6"/>
  <c r="B114" i="6"/>
  <c r="I114" i="6" s="1"/>
  <c r="B115" i="6" l="1"/>
  <c r="I115" i="6" s="1"/>
  <c r="H114" i="6"/>
  <c r="J114" i="6"/>
  <c r="F114" i="6"/>
  <c r="G114" i="6"/>
  <c r="B116" i="6" l="1"/>
  <c r="I116" i="6" s="1"/>
  <c r="J115" i="6"/>
  <c r="H115" i="6"/>
  <c r="G115" i="6"/>
  <c r="F115" i="6"/>
  <c r="B118" i="6" l="1"/>
  <c r="I118" i="6" s="1"/>
  <c r="B117" i="6"/>
  <c r="I117" i="6" s="1"/>
  <c r="F116" i="6"/>
  <c r="G116" i="6"/>
  <c r="H116" i="6"/>
  <c r="J116" i="6"/>
  <c r="G117" i="6" l="1"/>
  <c r="H117" i="6"/>
  <c r="J117" i="6"/>
  <c r="F117" i="6"/>
  <c r="J118" i="6"/>
  <c r="F118" i="6"/>
  <c r="G118" i="6"/>
  <c r="H1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<sst xmlns="http://schemas.openxmlformats.org/spreadsheetml/2006/main" count="2389" uniqueCount="891">
  <si>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</si>
  <si>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</si>
  <si>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</si>
  <si>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</si>
  <si>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</si>
  <si>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</si>
  <si>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</si>
  <si>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</si>
  <si>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</si>
  <si>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</si>
  <si>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</si>
  <si>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</si>
  <si>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</si>
  <si>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</si>
  <si>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</si>
  <si>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</si>
  <si>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</si>
  <si>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</si>
  <si>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</si>
  <si>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</si>
  <si>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</si>
  <si>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</si>
  <si>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</si>
  <si>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</si>
  <si>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</si>
  <si>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</si>
  <si>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</si>
  <si>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</si>
  <si>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</si>
  <si>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</si>
  <si>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</si>
  <si>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</si>
  <si>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</si>
  <si>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</si>
  <si>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</si>
  <si>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</si>
  <si>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</si>
  <si>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</si>
  <si>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</si>
  <si>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</si>
  <si>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</si>
  <si>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</si>
  <si>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</si>
  <si>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</si>
  <si>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</si>
  <si>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</si>
  <si>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</si>
  <si>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</si>
  <si>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</si>
  <si>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</si>
  <si>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</si>
  <si>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</si>
  <si>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</si>
  <si>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</si>
  <si>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</si>
  <si>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</si>
  <si>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</si>
  <si>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</si>
  <si>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</si>
  <si>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</si>
  <si>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</si>
  <si>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</si>
  <si>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</si>
  <si>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</si>
  <si>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</si>
  <si>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</si>
  <si>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</si>
  <si>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</si>
  <si>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</si>
  <si>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</si>
  <si>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</si>
  <si>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</si>
  <si>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</si>
  <si>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</si>
  <si>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</si>
  <si>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</si>
  <si>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</si>
  <si>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</si>
  <si>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</si>
  <si>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</si>
  <si>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</si>
  <si>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</si>
  <si>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</si>
  <si>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</si>
  <si>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</si>
  <si>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</si>
  <si>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</si>
  <si>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</si>
  <si>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</si>
  <si>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</si>
  <si>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</si>
  <si>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</si>
  <si>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</si>
  <si>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</si>
  <si>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</si>
  <si>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</si>
  <si>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</si>
  <si>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</si>
  <si>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</si>
  <si>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</si>
  <si>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</si>
  <si>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</si>
  <si>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</si>
  <si>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</si>
  <si>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</si>
  <si>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</si>
  <si>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</si>
  <si>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</si>
  <si>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</si>
  <si>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</si>
  <si>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</si>
  <si>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</si>
  <si>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</si>
  <si>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</si>
  <si>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</si>
  <si>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</si>
  <si>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</si>
  <si>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</si>
  <si>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</si>
  <si>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</si>
  <si>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</si>
  <si>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</si>
  <si>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</si>
  <si>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</si>
  <si>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</si>
  <si>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</si>
  <si>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</si>
  <si>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</si>
  <si>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</si>
  <si>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</si>
  <si>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</si>
  <si>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</si>
  <si>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</si>
  <si>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</si>
  <si>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</si>
  <si>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</si>
  <si>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</si>
  <si>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</si>
  <si>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</si>
  <si>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</si>
  <si>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</si>
  <si>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</si>
  <si>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</si>
  <si>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</si>
  <si>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</si>
  <si>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</si>
  <si>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</si>
  <si>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</si>
  <si>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</si>
  <si>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</si>
  <si>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</si>
  <si>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</si>
  <si>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</si>
  <si>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</si>
  <si>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</si>
  <si>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</si>
  <si>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</si>
  <si>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</si>
  <si>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</si>
  <si>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</si>
  <si>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</si>
  <si>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</si>
  <si>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</si>
  <si>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</si>
  <si>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</si>
  <si>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</si>
  <si>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</si>
  <si>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</si>
  <si>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</si>
  <si>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</si>
  <si>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</si>
  <si>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</si>
  <si>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</si>
  <si>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</si>
  <si>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</si>
  <si>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</si>
  <si>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</si>
  <si>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</si>
  <si>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</si>
  <si>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</si>
  <si>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</si>
  <si>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</si>
  <si>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</si>
  <si>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</si>
  <si>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</si>
  <si>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</si>
  <si>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</si>
  <si>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</si>
  <si>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</si>
  <si>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</si>
  <si>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</si>
  <si>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</si>
  <si>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</si>
  <si>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</si>
  <si>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</si>
  <si>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204:150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</si>
  <si>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</si>
  <si>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</si>
  <si>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</si>
  <si>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</si>
  <si>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</si>
  <si>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</si>
  <si>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</si>
  <si>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</si>
  <si>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</si>
  <si>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</si>
  <si>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</si>
  <si>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</si>
  <si>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</si>
  <si>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</si>
  <si>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</si>
  <si>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</si>
  <si>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</si>
  <si>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</si>
  <si>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</si>
  <si>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</si>
  <si>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</si>
  <si>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</si>
  <si>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</si>
  <si>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</si>
  <si>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</si>
  <si>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</si>
  <si>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</si>
  <si>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</si>
  <si>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</si>
  <si>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</si>
  <si>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</si>
  <si>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</si>
  <si>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</si>
  <si>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</si>
  <si>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</si>
  <si>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</si>
  <si>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</si>
  <si>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</si>
  <si>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</si>
  <si>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</si>
  <si>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</si>
  <si>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</si>
  <si>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</si>
  <si>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</si>
  <si>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</si>
  <si>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</si>
  <si>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</si>
  <si>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</si>
  <si>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</si>
  <si>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</si>
  <si>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</si>
  <si>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</si>
  <si>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</si>
  <si>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</si>
  <si>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</si>
  <si>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</si>
  <si>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</si>
  <si>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</si>
  <si>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</si>
  <si>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</si>
  <si>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</si>
  <si>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</si>
  <si>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</si>
  <si>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</si>
  <si>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</si>
  <si>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</si>
  <si>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</si>
  <si>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</si>
  <si>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</si>
  <si>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</si>
  <si>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</si>
  <si>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</si>
  <si>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</si>
  <si>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</si>
  <si>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</si>
  <si>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</si>
  <si>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</si>
  <si>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</si>
  <si>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</si>
  <si>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</si>
  <si>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</si>
  <si>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</si>
  <si>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204:232994</t>
  </si>
  <si>
    <t>204:467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</si>
  <si>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</si>
  <si>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</si>
  <si>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</si>
  <si>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</si>
  <si>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</si>
  <si>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</si>
  <si>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</si>
  <si>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</si>
  <si>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</si>
  <si>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</si>
  <si>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</si>
  <si>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</si>
  <si>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</si>
  <si>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</si>
  <si>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</si>
  <si>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204:233308</t>
  </si>
  <si>
    <t>204:139</t>
  </si>
  <si>
    <t>204:437</t>
  </si>
  <si>
    <t>204:233304</t>
  </si>
  <si>
    <t>204:232976</t>
  </si>
  <si>
    <t>rtdc.l.rtdc.4016:itc</t>
  </si>
  <si>
    <t>204:232993</t>
  </si>
  <si>
    <t>rtdc.l.rtdc.4009:itc</t>
  </si>
  <si>
    <t>204:232977</t>
  </si>
  <si>
    <t>204:233309</t>
  </si>
  <si>
    <t>204:233303</t>
  </si>
  <si>
    <t>rtdc.l.rtdc.4055:itc</t>
  </si>
  <si>
    <t>rtdc.l.rtdc.4057:itc</t>
  </si>
  <si>
    <t>311-01</t>
  </si>
  <si>
    <t>313-01</t>
  </si>
  <si>
    <t>315-01</t>
  </si>
  <si>
    <t>204:233293</t>
  </si>
  <si>
    <t>204:442</t>
  </si>
  <si>
    <t>rtdc.l.rtdc.4019:itc</t>
  </si>
  <si>
    <t>SOUTH57-02</t>
  </si>
  <si>
    <t>MACDONALD</t>
  </si>
  <si>
    <t>THOMAS</t>
  </si>
  <si>
    <t>SIMMONS</t>
  </si>
  <si>
    <t>SHYHESHA</t>
  </si>
  <si>
    <t>NORTH55-02</t>
  </si>
  <si>
    <t>311-02</t>
  </si>
  <si>
    <t>244-02</t>
  </si>
  <si>
    <t>313-02</t>
  </si>
  <si>
    <t>315-02</t>
  </si>
  <si>
    <t>204:464</t>
  </si>
  <si>
    <t>204:165</t>
  </si>
  <si>
    <t>204:169</t>
  </si>
  <si>
    <t>rtdc.l.rtdc.4031:itc</t>
  </si>
  <si>
    <t>SAFIEF</t>
  </si>
  <si>
    <t>AEIMEN</t>
  </si>
  <si>
    <t>rtdc.l.rtdc.4032:itc</t>
  </si>
  <si>
    <t>rtdc.l.rtdc.4039:itc</t>
  </si>
  <si>
    <t>204:233297</t>
  </si>
  <si>
    <t>204:161</t>
  </si>
  <si>
    <t>204:163</t>
  </si>
  <si>
    <t>204:233295</t>
  </si>
  <si>
    <t>204:232989</t>
  </si>
  <si>
    <t>rtdc.l.rtdc.4020:itc</t>
  </si>
  <si>
    <t>rtdc.l.rtdc.4044:itc</t>
  </si>
  <si>
    <t>204:482</t>
  </si>
  <si>
    <t>204:232973</t>
  </si>
  <si>
    <t>204:232983</t>
  </si>
  <si>
    <t>Early arrival</t>
  </si>
  <si>
    <t>244-07</t>
  </si>
  <si>
    <t>LOZA</t>
  </si>
  <si>
    <t>FIDEL</t>
  </si>
  <si>
    <t>rtdc.l.rtdc.4002:itc</t>
  </si>
  <si>
    <t>BRANNON</t>
  </si>
  <si>
    <t>JEFFREY</t>
  </si>
  <si>
    <t>240-07</t>
  </si>
  <si>
    <t>242-07</t>
  </si>
  <si>
    <t>315-07</t>
  </si>
  <si>
    <t>309-07</t>
  </si>
  <si>
    <t>204:232996</t>
  </si>
  <si>
    <t>204:233312</t>
  </si>
  <si>
    <t>204:233276</t>
  </si>
  <si>
    <t>204:233323</t>
  </si>
  <si>
    <t>204:232980</t>
  </si>
  <si>
    <t>204:433</t>
  </si>
  <si>
    <t>204:440</t>
  </si>
  <si>
    <t>204:232986</t>
  </si>
  <si>
    <t>204:232984</t>
  </si>
  <si>
    <t>204:233017</t>
  </si>
  <si>
    <t>Onboard in-route failure</t>
  </si>
  <si>
    <t>SYS :2017/02/07 12:00:56.685:ENFORCEMENT:Predictive Enforcement Action:  Target Number: 00006033  Target Speed:   0.0  Current Speed:  59.9</t>
  </si>
  <si>
    <t>SYS :2017/02/07 13:55:01.354:ENFORCEMENT:Predictive Enforcement Action:  Target Number: 00001004  Target Speed:   0.0  Current Speed:  15.6</t>
  </si>
  <si>
    <t>SYS :2017/02/07 13:55:01.553:ENFORCEMENT:Predictive Enforcement Action:  Target Number: 00001004  Target Speed:   0.0  Current Speed:  15.6</t>
  </si>
  <si>
    <t>SYS :2017/02/07 13:55:51.548:ENFORCEMENT:Predictive Enforcement Action:  Target Number: 00001004  Target Speed:   0.0  Current Speed:   6.7</t>
  </si>
  <si>
    <t>SYS :2017/02/07 13:55:55.355:ENFORCEMENT:Predictive Enforcement Action:  Target Number: 00001004  Target Speed:   0.0  Current Speed:   7.5</t>
  </si>
  <si>
    <t>SYS :2017/02/07 14:47:08.050:ENFORCEMENT:Predictive Enforcement Action:  Target Number: 00017021  Target Speed:  50.0  Current Speed:  55.6</t>
  </si>
  <si>
    <t>SYS :2017/02/07 14:47:11.537:ENFORCEMENT:Predictive Enforcement Action:  Target Number: 00017021  Target Speed:  47.0  Current Speed:  53.8</t>
  </si>
  <si>
    <t>SYS :2017/02/07 15:36:46.745:ENFORCEMENT:Predictive Enforcement Action:  Target Number: 00001007  Target Speed:   0.0  Current Speed:   4.6</t>
  </si>
  <si>
    <t>SYS :2017/02/07 15:36:46.852:ENFORCEMENT:Predictive Enforcement Action:  Target Number: 00001007  Target Speed:   0.0  Current Speed:   4.6</t>
  </si>
  <si>
    <t>SYS :2017/02/07 15:36:46.859:ENFORCEMENT:Predictive Enforcement Action:  Target Number: 00001007  Target Speed:   0.0  Current Speed:   4.6</t>
  </si>
  <si>
    <t>SYS :2017/02/07 16:06:13.604:ENFORCEMENT:Predictive Enforcement Action:  Target Number: 00017048  Target Speed:   0.0  Current Speed:  23.8</t>
  </si>
  <si>
    <t>SYS :2017/02/07 16:06:14.075:ENFORCEMENT:Predictive Enforcement Action:  Target Number: 00017048  Target Speed:   0.0  Current Speed:  22.8</t>
  </si>
  <si>
    <t>SYS :2017/02/07 16:06:15.192:ENFORCEMENT:Predictive Enforcement Action:  Target Number: 00017048  Target Speed:   0.0  Current Speed:  22.1</t>
  </si>
  <si>
    <t>SYS :2017/02/07 16:30:46.483:ENFORCEMENT:Predictive Enforcement Action:  Target Number: 000060CE  Target Speed:   0.0  Current Speed:  64.8</t>
  </si>
  <si>
    <t>SYS :2017/02/07 17:34:23.659:ENFORCEMENT:Predictive Enforcement Action:  Target Number: 0000100D  Target Speed:   0.0  Current Speed:   5.3</t>
  </si>
  <si>
    <t>SYS :2017/02/07 17:45:09.428:ENFORCEMENT:Predictive Enforcement Action:  Target Number: 00006127  Target Speed:   0.0  Current Speed:  73.7</t>
  </si>
  <si>
    <t>SYS :2017/02/07 17:45:10.066:ENFORCEMENT:Predictive Enforcement Action:  Target Number: 0000612A  Target Speed:   0.0  Current Speed:  73.7</t>
  </si>
  <si>
    <t>SYS :2017/02/07 18:34:46.658:ENFORCEMENT:Predictive Enforcement Action:  Target Number: 00001010  Target Speed:   0.0  Current Speed:   8.6</t>
  </si>
  <si>
    <t>SYS :2017/02/07 18:34:47.434:ENFORCEMENT:Predictive Enforcement Action:  Target Number: 00001010  Target Speed:   0.0  Current Speed:   8.6</t>
  </si>
  <si>
    <t>SYS :2017/02/07 18:55:06.290:ENFORCEMENT:Predictive Enforcement Action:  Target Number: 0001706F  Target Speed:   0.0  Current Speed:  18.4</t>
  </si>
  <si>
    <t>SYS :2017/02/07 18:55:06.899:ENFORCEMENT:Reactive Enforcement Action:  Target Number: 0001706F  Target Speed:   0.0  Current Speed:  18.1</t>
  </si>
  <si>
    <t>SYS :2017/02/07 20:05:48.057:ENFORCEMENT:Predictive Enforcement Action:  Target Number: 0000100F  Target Speed:   0.0  Current Speed:   5.6</t>
  </si>
  <si>
    <t>SYS :2017/02/07 20:05:48.181:ENFORCEMENT:Predictive Enforcement Action:  Target Number: 0000100F  Target Speed:   0.0  Current Speed:   5.6</t>
  </si>
  <si>
    <t>SYS :2017/02/07 20:34:23.331:ENFORCEMENT:Predictive Enforcement Action:  Target Number: 00001009  Target Speed:   0.0  Current Speed:   7.0</t>
  </si>
  <si>
    <t>SYS :2017/02/07 20:36:24.264:ENFORCEMENT:Predictive Enforcement Action:  Target Number: 0000100F  Target Speed:   0.0  Current Speed:   5.3</t>
  </si>
  <si>
    <t>SYS :2017/02/07 20:36:24.468:ENFORCEMENT:Predictive Enforcement Action:  Target Number: 0000100F  Target Speed:   0.0  Current Speed:   5.3</t>
  </si>
  <si>
    <t>SYS :2017/02/07 20:36:24.508:ENFORCEMENT:Predictive Enforcement Action:  Target Number: 0000100F  Target Speed:   0.0  Current Speed:   5.3</t>
  </si>
  <si>
    <t>SYS :2017/02/07 22:35:57.811:ENFORCEMENT:Predictive Enforcement Action:  Target Number: 00001004  Target Speed:   0.0  Current Speed:   4.9</t>
  </si>
  <si>
    <t>SYS :2017/02/07 22:35:57.849:ENFORCEMENT:Predictive Enforcement Action:  Target Number: 00001010  Target Speed:   0.0  Current Speed:   4.9</t>
  </si>
  <si>
    <t>SYS :2017/02/07 22:35:57.963:ENFORCEMENT:Predictive Enforcement Action:  Target Number: 00001010  Target Speed:   0.0  Current Speed:   4.9</t>
  </si>
  <si>
    <t>SYS :2017/02/07 23:09:55.846:ENFORCEMENT:Predictive Enforcement Action:  Target Number: 00001019  Target Speed:   0.0  Current Speed:   1.5</t>
  </si>
  <si>
    <t>SYS :2017/02/07 23:09:57.307:ENFORCEMENT:Predictive Enforcement Action:  Target Number: 00001019  Target Speed:   0.0  Current Speed:   1.5</t>
  </si>
  <si>
    <t>SYS :2017/02/07 23:09:58.017:ENFORCEMENT:Predictive Enforcement Action:  Target Number: 00001018  Target Speed:   0.0  Current Speed:   1.7</t>
  </si>
  <si>
    <t>SYS :2017/02/07 23:26:24.807:ENFORCEMENT:Predictive Enforcement Action:  Target Number: 00001007  Target Speed:   0.0  Current Speed:   2.3</t>
  </si>
  <si>
    <t>SYS :2017/02/07 23:26:24.850:ENFORCEMENT:Predictive Enforcement Action:  Target Number: 00001013  Target Speed:   0.0  Current Speed:   2.3</t>
  </si>
  <si>
    <t>SYS :2017/02/07 23:26:24.964:ENFORCEMENT:Predictive Enforcement Action:  Target Number: 00001012  Target Speed:   0.0  Current Speed:   2.3</t>
  </si>
  <si>
    <t>SYS :2017/02/08 00:04:18.849:ENFORCEMENT:Predictive Enforcement Action:  Target Number: 0000101D  Target Speed:   0.0  Current Speed:   7.8</t>
  </si>
  <si>
    <t>SYS :2017/02/08 00:04:19.016:ENFORCEMENT:Predictive Enforcement Action:  Target Number: 0000101C  Target Speed:   0.0  Current Speed:   7.8</t>
  </si>
  <si>
    <t>SYS :2017/02/08 00:04:19.306:ENFORCEMENT:Predictive Enforcement Action:  Target Number: 0000101D  Target Speed:   0.0  Current Speed:   7.8</t>
  </si>
  <si>
    <t>SYS :2017/02/08 00:05:21.847:ENFORCEMENT:Predictive Enforcement Action:  Target Number: 0000101D  Target Speed:   0.0  Current Speed:   0.9</t>
  </si>
  <si>
    <t>SYS :2017/02/08 00:05:22.014:ENFORCEMENT:Predictive Enforcement Action:  Target Number: 0000101C  Target Speed:   0.0  Current Speed:   0.9</t>
  </si>
  <si>
    <t>SYS :2017/02/08 00:05:22.303:ENFORCEMENT:Predictive Enforcement Action:  Target Number: 0000101D  Target Speed:   0.0  Current Speed:   0.9</t>
  </si>
  <si>
    <t>SYS :2017/02/08 00:23:05.855:ENFORCEMENT:Predictive Enforcement Action:  Target Number: 0000610A  Target Speed:   0.0  Current Speed:   6.0</t>
  </si>
  <si>
    <t>SYS :2017/02/08 00:23:05.963:ENFORCEMENT:Predictive Enforcement Action:  Target Number: 000060D3  Target Speed:   0.0  Current Speed:   6.0</t>
  </si>
  <si>
    <t>SYS :2017/02/08 00:23:06.816:ENFORCEMENT:Predictive Enforcement Action:  Target Number: 00006071  Target Speed:   0.0  Current Speed:   6.0</t>
  </si>
  <si>
    <t>SYS :2017/02/08 00:25:34.816:ENFORCEMENT:Predictive Enforcement Action:  Target Number: 0000100E  Target Speed:   0.0  Current Speed:   3.9</t>
  </si>
  <si>
    <t>SYS :2017/02/08 00:25:34.849:ENFORCEMENT:Predictive Enforcement Action:  Target Number: 0000101A  Target Speed:   0.0  Current Speed:   3.9</t>
  </si>
  <si>
    <t>SYS :2017/02/08 00:25:34.957:ENFORCEMENT:Predictive Enforcement Action:  Target Number: 00001019  Target Speed:   0.0  Current Speed:   3.9</t>
  </si>
  <si>
    <t>SYS :2017/02/08 01:15:29.705:ENFORCEMENT:Predictive Enforcement Action:  Target Number: 00006115  Target Speed:   0.0  Current Speed:  78.8</t>
  </si>
  <si>
    <t>SYS :2017/02/08 01:37:02.029:ENFORCEMENT:Predictive Enforcement Action:  Target Number: 00001014  Target Speed:   0.0  Current Speed:   7.0</t>
  </si>
  <si>
    <t>SYS :2017/02/08 02:06:00.018:ENFORCEMENT:Predictive Enforcement Action:  Target Number: 00001023  Target Speed:   0.0  Current Speed:   8.8</t>
  </si>
  <si>
    <t>SYS :2017/02/08 02:06:01.465:ENFORCEMENT:Predictive Enforcement Action:  Target Number: 00001018  Target Speed:   0.0  Current Speed:   3.1</t>
  </si>
  <si>
    <t>SYS :2017/02/08 02:06:01.888:ENFORCEMENT:Predictive Enforcement Action:  Target Number: 00001018  Target Speed:   0.0  Current Speed:   3.1</t>
  </si>
  <si>
    <t>SYS :2017/02/08 02:06:02.284:ENFORCEMENT:Predictive Enforcement Action:  Target Number: 00001018  Target Speed:   0.0  Current Speed:   3.1</t>
  </si>
  <si>
    <t>SYS :2017/02/08 02:06:41.308:ENFORCEMENT:Predictive Enforcement Action:  Target Number: 00001024  Target Speed:   0.0  Current Speed:   1.7</t>
  </si>
  <si>
    <t>SYS :2017/02/08 02:06:41.848:ENFORCEMENT:Predictive Enforcement Action:  Target Number: 00001024  Target Speed:   0.0  Current Speed:   1.4</t>
  </si>
  <si>
    <t>SYS :2017/02/08 02:06:42.018:ENFORCEMENT:Predictive Enforcement Action:  Target Number: 00001023  Target Speed:   0.0  Current Speed:   1.7</t>
  </si>
  <si>
    <t>SYS :2017/02/08 02:41:52.549:ENFORCEMENT:Predictive Enforcement Action:  Target Number: 0001010E  Target Speed:  30.0  Current Speed:  45.9</t>
  </si>
  <si>
    <t>SYS :2017/02/08 02:41:52.827:ENFORCEMENT:Predictive Enforcement Action:  Target Number: 0001010E  Target Speed:  30.0  Current Speed:  45.9</t>
  </si>
  <si>
    <t>SYS :2017/02/08 02:41:53.183:ENFORCEMENT:Predictive Enforcement Action:  Target Number: 0001010E  Target Speed:  30.0  Current Speed:  45.9</t>
  </si>
  <si>
    <t>SYS :2017/02/08 08:41:20.651:ENFORCEMENT:Predictive Enforcement Action:  Target Number: 000101A9  Target Speed:  40.0  Current Speed:  56.1</t>
  </si>
  <si>
    <t>SYS :2017/02/08 08:41:20.659:ENFORCEMENT:Predictive Enforcement Action:  Target Number: 000101A9  Target Speed:  40.0  Current Speed:  56.1</t>
  </si>
  <si>
    <t>rtdc.l.rtdc.4018:itc</t>
  </si>
  <si>
    <t>rtdc.l.rtdc.4017:itc</t>
  </si>
  <si>
    <t>BADERTSCHER</t>
  </si>
  <si>
    <t>DIANE</t>
  </si>
  <si>
    <t>GEBRETEKLE</t>
  </si>
  <si>
    <t>DAGNEW</t>
  </si>
  <si>
    <t>rtdc.l.rtdc.4010:itc</t>
  </si>
  <si>
    <t>HELVIE</t>
  </si>
  <si>
    <t>ADAM</t>
  </si>
  <si>
    <t>BRUDER</t>
  </si>
  <si>
    <t>RICHARD</t>
  </si>
  <si>
    <t>DELGADO</t>
  </si>
  <si>
    <t>DIANAH</t>
  </si>
  <si>
    <t>204:232975</t>
  </si>
  <si>
    <t>204:233000</t>
  </si>
  <si>
    <t>300:58943</t>
  </si>
  <si>
    <t>300:58628</t>
  </si>
  <si>
    <t>300:58950</t>
  </si>
  <si>
    <t>Wi-MAX data drop</t>
  </si>
  <si>
    <t>rtdc.l.rtdc.4012:itc</t>
  </si>
  <si>
    <t>PTC Test Train</t>
  </si>
  <si>
    <t>844-09</t>
  </si>
  <si>
    <t>232-09</t>
  </si>
  <si>
    <t>242-09</t>
  </si>
  <si>
    <t>ROBINSON</t>
  </si>
  <si>
    <t>KADDIBA</t>
  </si>
  <si>
    <t>SHOOK</t>
  </si>
  <si>
    <t>JOHN</t>
  </si>
  <si>
    <t>KILLION</t>
  </si>
  <si>
    <t>DAVID</t>
  </si>
  <si>
    <t>SMITH</t>
  </si>
  <si>
    <t>229-09</t>
  </si>
  <si>
    <t>228-09</t>
  </si>
  <si>
    <t>845-09</t>
  </si>
  <si>
    <t>231-09</t>
  </si>
  <si>
    <t>233-09</t>
  </si>
  <si>
    <t>BRANDNER</t>
  </si>
  <si>
    <t>MELINDA</t>
  </si>
  <si>
    <t>230-09</t>
  </si>
  <si>
    <t>235-09</t>
  </si>
  <si>
    <t>847-09</t>
  </si>
  <si>
    <t>WHITED</t>
  </si>
  <si>
    <t>908-09</t>
  </si>
  <si>
    <t>234-09</t>
  </si>
  <si>
    <t>237-09</t>
  </si>
  <si>
    <t>236-09</t>
  </si>
  <si>
    <t>239-09</t>
  </si>
  <si>
    <t>238-09</t>
  </si>
  <si>
    <t>241-09</t>
  </si>
  <si>
    <t>243-09</t>
  </si>
  <si>
    <t>240-09</t>
  </si>
  <si>
    <t>315-09</t>
  </si>
  <si>
    <t>309-09</t>
  </si>
  <si>
    <t>244-09</t>
  </si>
  <si>
    <t>311-09</t>
  </si>
  <si>
    <t>313-09</t>
  </si>
  <si>
    <t>Mostly Cloudy</t>
  </si>
  <si>
    <t>204:136</t>
  </si>
  <si>
    <t>204:156</t>
  </si>
  <si>
    <t>204:748</t>
  </si>
  <si>
    <t>204:233310</t>
  </si>
  <si>
    <t>204:233305</t>
  </si>
  <si>
    <t>204:233301</t>
  </si>
  <si>
    <t>204:233322</t>
  </si>
  <si>
    <t>204:233019</t>
  </si>
  <si>
    <t>204:233280</t>
  </si>
  <si>
    <t>204:233289</t>
  </si>
  <si>
    <t>204:232992</t>
  </si>
  <si>
    <t>204:233315</t>
  </si>
  <si>
    <t>204:147</t>
  </si>
  <si>
    <t>204:233040</t>
  </si>
  <si>
    <t>204:233332</t>
  </si>
  <si>
    <t>300:23346</t>
  </si>
  <si>
    <t>300:23306</t>
  </si>
  <si>
    <t>204:715</t>
  </si>
  <si>
    <t>300:58679</t>
  </si>
  <si>
    <t>300:58670</t>
  </si>
  <si>
    <t>300:58675</t>
  </si>
  <si>
    <t>300:58611</t>
  </si>
  <si>
    <t>300:58948</t>
  </si>
  <si>
    <t>204:699</t>
  </si>
  <si>
    <t>300:58992</t>
  </si>
  <si>
    <t>300:58993</t>
  </si>
  <si>
    <t>300:58685</t>
  </si>
  <si>
    <t>Did not init</t>
  </si>
  <si>
    <t>302-11</t>
  </si>
  <si>
    <t>101-11</t>
  </si>
  <si>
    <t>111-11</t>
  </si>
  <si>
    <t>123-11</t>
  </si>
  <si>
    <t>136-11</t>
  </si>
  <si>
    <t>142-11</t>
  </si>
  <si>
    <t>160-11</t>
  </si>
  <si>
    <t>162-11</t>
  </si>
  <si>
    <t>1817-11</t>
  </si>
  <si>
    <t>184-11</t>
  </si>
  <si>
    <t>189-11</t>
  </si>
  <si>
    <t>1820-11</t>
  </si>
  <si>
    <t>190-11</t>
  </si>
  <si>
    <t>205-11</t>
  </si>
  <si>
    <t>206-11</t>
  </si>
  <si>
    <t>208-11</t>
  </si>
  <si>
    <t>217-11</t>
  </si>
  <si>
    <t>1829-11</t>
  </si>
  <si>
    <t>222-11</t>
  </si>
  <si>
    <t>234-11</t>
  </si>
  <si>
    <t>239-11</t>
  </si>
  <si>
    <t>242-10</t>
  </si>
  <si>
    <t>245-10</t>
  </si>
  <si>
    <t>Coats</t>
  </si>
  <si>
    <t>Theron</t>
  </si>
  <si>
    <t>309-10</t>
  </si>
  <si>
    <t>311-10</t>
  </si>
  <si>
    <t>304-11</t>
  </si>
  <si>
    <t>103-11</t>
  </si>
  <si>
    <t>306-11</t>
  </si>
  <si>
    <t>MAELZER</t>
  </si>
  <si>
    <t>KURT</t>
  </si>
  <si>
    <t>102-11</t>
  </si>
  <si>
    <t>105-11</t>
  </si>
  <si>
    <t>308-11</t>
  </si>
  <si>
    <t>DAVIS</t>
  </si>
  <si>
    <t>WENDY</t>
  </si>
  <si>
    <t>310-11</t>
  </si>
  <si>
    <t>OUN</t>
  </si>
  <si>
    <t>ZACK</t>
  </si>
  <si>
    <t>rtdc.l.rtdc.4040:itc</t>
  </si>
  <si>
    <t>107-11</t>
  </si>
  <si>
    <t>104-11</t>
  </si>
  <si>
    <t>109-11</t>
  </si>
  <si>
    <t>113-11</t>
  </si>
  <si>
    <t>106-11</t>
  </si>
  <si>
    <t>1901-11</t>
  </si>
  <si>
    <t>115-11</t>
  </si>
  <si>
    <t>108-11</t>
  </si>
  <si>
    <t>110-11</t>
  </si>
  <si>
    <t>1800-11</t>
  </si>
  <si>
    <t>117-11</t>
  </si>
  <si>
    <t>112-11</t>
  </si>
  <si>
    <t>119-11</t>
  </si>
  <si>
    <t>1801-11</t>
  </si>
  <si>
    <t>114-11</t>
  </si>
  <si>
    <t>121-11</t>
  </si>
  <si>
    <t>116-11</t>
  </si>
  <si>
    <t>1802-11</t>
  </si>
  <si>
    <t>118-11</t>
  </si>
  <si>
    <t>PERKINS</t>
  </si>
  <si>
    <t>DARREN</t>
  </si>
  <si>
    <t>125-11</t>
  </si>
  <si>
    <t>120-11</t>
  </si>
  <si>
    <t>127-11</t>
  </si>
  <si>
    <t>1803-11</t>
  </si>
  <si>
    <t>122-11</t>
  </si>
  <si>
    <t>129-11</t>
  </si>
  <si>
    <t>124-11</t>
  </si>
  <si>
    <t>131-11</t>
  </si>
  <si>
    <t>1804-11</t>
  </si>
  <si>
    <t>126-11</t>
  </si>
  <si>
    <t>133-11</t>
  </si>
  <si>
    <t>128-11</t>
  </si>
  <si>
    <t>135-11</t>
  </si>
  <si>
    <t>STRICKLAND</t>
  </si>
  <si>
    <t>EVAN</t>
  </si>
  <si>
    <t>1805-11</t>
  </si>
  <si>
    <t>130-11</t>
  </si>
  <si>
    <t>137-11</t>
  </si>
  <si>
    <t>132-11</t>
  </si>
  <si>
    <t>139-11</t>
  </si>
  <si>
    <t>134-11</t>
  </si>
  <si>
    <t>1806-11</t>
  </si>
  <si>
    <t>141-11</t>
  </si>
  <si>
    <t>143-11</t>
  </si>
  <si>
    <t>1807-11</t>
  </si>
  <si>
    <t>145-11</t>
  </si>
  <si>
    <t>138-11</t>
  </si>
  <si>
    <t>147-11</t>
  </si>
  <si>
    <t>140-11</t>
  </si>
  <si>
    <t>1808-11</t>
  </si>
  <si>
    <t>151-11</t>
  </si>
  <si>
    <t>144-11</t>
  </si>
  <si>
    <t>1809-11</t>
  </si>
  <si>
    <t>146-11</t>
  </si>
  <si>
    <t>153-11</t>
  </si>
  <si>
    <t>148-11</t>
  </si>
  <si>
    <t>51-11</t>
  </si>
  <si>
    <t>ARVIDSON</t>
  </si>
  <si>
    <t>DANIEL</t>
  </si>
  <si>
    <t>155-11</t>
  </si>
  <si>
    <t>ROMERO</t>
  </si>
  <si>
    <t>CHAD</t>
  </si>
  <si>
    <t>150-11</t>
  </si>
  <si>
    <t>157-11</t>
  </si>
  <si>
    <t>1810-11</t>
  </si>
  <si>
    <t>152-11</t>
  </si>
  <si>
    <t>1811-11</t>
  </si>
  <si>
    <t>154-11</t>
  </si>
  <si>
    <t>159-11</t>
  </si>
  <si>
    <t>STEWART</t>
  </si>
  <si>
    <t>161-11</t>
  </si>
  <si>
    <t>156-11</t>
  </si>
  <si>
    <t>163-11</t>
  </si>
  <si>
    <t>158-11</t>
  </si>
  <si>
    <t>1812-11</t>
  </si>
  <si>
    <t>165-11</t>
  </si>
  <si>
    <t>167-11</t>
  </si>
  <si>
    <t>LEVIN</t>
  </si>
  <si>
    <t>SCOTT</t>
  </si>
  <si>
    <t>1813-11</t>
  </si>
  <si>
    <t>169-11</t>
  </si>
  <si>
    <t>164-11</t>
  </si>
  <si>
    <t>171-11</t>
  </si>
  <si>
    <t>166-11</t>
  </si>
  <si>
    <t>1814-11</t>
  </si>
  <si>
    <t>173-11</t>
  </si>
  <si>
    <t>168-11</t>
  </si>
  <si>
    <t>175-11</t>
  </si>
  <si>
    <t>1815-11</t>
  </si>
  <si>
    <t>170-11</t>
  </si>
  <si>
    <t>177-11</t>
  </si>
  <si>
    <t>172-11</t>
  </si>
  <si>
    <t>179-11</t>
  </si>
  <si>
    <t>1816-11</t>
  </si>
  <si>
    <t>174-11</t>
  </si>
  <si>
    <t>181-11</t>
  </si>
  <si>
    <t>176-11</t>
  </si>
  <si>
    <t>183-11</t>
  </si>
  <si>
    <t>178-11</t>
  </si>
  <si>
    <t>185-11</t>
  </si>
  <si>
    <t>180-11</t>
  </si>
  <si>
    <t>187-11</t>
  </si>
  <si>
    <t>182-11</t>
  </si>
  <si>
    <t>1818-11</t>
  </si>
  <si>
    <t>HOLCOMB</t>
  </si>
  <si>
    <t>KAMDEN</t>
  </si>
  <si>
    <t>191-11</t>
  </si>
  <si>
    <t>186-11</t>
  </si>
  <si>
    <t>193-11</t>
  </si>
  <si>
    <t>1819-11</t>
  </si>
  <si>
    <t>188-11</t>
  </si>
  <si>
    <t>195-11</t>
  </si>
  <si>
    <t>197-11</t>
  </si>
  <si>
    <t>199-11</t>
  </si>
  <si>
    <t>192-11</t>
  </si>
  <si>
    <t>194-11</t>
  </si>
  <si>
    <t>201-11</t>
  </si>
  <si>
    <t>1821-11</t>
  </si>
  <si>
    <t>196-11</t>
  </si>
  <si>
    <t>203-11</t>
  </si>
  <si>
    <t>198-11</t>
  </si>
  <si>
    <t>1822-11</t>
  </si>
  <si>
    <t>200-11</t>
  </si>
  <si>
    <t>207-11</t>
  </si>
  <si>
    <t>202-11</t>
  </si>
  <si>
    <t>209-11</t>
  </si>
  <si>
    <t>1823-11</t>
  </si>
  <si>
    <t>211-11</t>
  </si>
  <si>
    <t>204-11</t>
  </si>
  <si>
    <t>1824-11</t>
  </si>
  <si>
    <t>75-11</t>
  </si>
  <si>
    <t>213-11</t>
  </si>
  <si>
    <t>215-11</t>
  </si>
  <si>
    <t>210-11</t>
  </si>
  <si>
    <t>1825-11</t>
  </si>
  <si>
    <t>212-11</t>
  </si>
  <si>
    <t>219-11</t>
  </si>
  <si>
    <t>214-11</t>
  </si>
  <si>
    <t>1826-11</t>
  </si>
  <si>
    <t>303-11</t>
  </si>
  <si>
    <t>216-11</t>
  </si>
  <si>
    <t>221-11</t>
  </si>
  <si>
    <t>218-11</t>
  </si>
  <si>
    <t>305-11</t>
  </si>
  <si>
    <t>220-11</t>
  </si>
  <si>
    <t>1827-11</t>
  </si>
  <si>
    <t>223-11</t>
  </si>
  <si>
    <t>307-11</t>
  </si>
  <si>
    <t>1828-11</t>
  </si>
  <si>
    <t>225-11</t>
  </si>
  <si>
    <t>224-11</t>
  </si>
  <si>
    <t>227-11</t>
  </si>
  <si>
    <t>1830-11</t>
  </si>
  <si>
    <t>229-11</t>
  </si>
  <si>
    <t>226-11</t>
  </si>
  <si>
    <t>231-11</t>
  </si>
  <si>
    <t>1831-11</t>
  </si>
  <si>
    <t>228-11</t>
  </si>
  <si>
    <t>1832-11</t>
  </si>
  <si>
    <t>233-11</t>
  </si>
  <si>
    <t>230-11</t>
  </si>
  <si>
    <t>235-11</t>
  </si>
  <si>
    <t>1833-11</t>
  </si>
  <si>
    <t>232-11</t>
  </si>
  <si>
    <t>1902-11</t>
  </si>
  <si>
    <t>237-11</t>
  </si>
  <si>
    <t>236-11</t>
  </si>
  <si>
    <t>241-11</t>
  </si>
  <si>
    <t>238-11</t>
  </si>
  <si>
    <t>313-11</t>
  </si>
  <si>
    <t>315-11</t>
  </si>
  <si>
    <t>precipAccumulation</t>
  </si>
  <si>
    <t>precipType</t>
  </si>
  <si>
    <t>rain</t>
  </si>
  <si>
    <t>Drizzle</t>
  </si>
  <si>
    <t>cloudy</t>
  </si>
  <si>
    <t>Overcast</t>
  </si>
  <si>
    <t>snow</t>
  </si>
  <si>
    <t>204:786</t>
  </si>
  <si>
    <t>204:233261</t>
  </si>
  <si>
    <t>204:232624</t>
  </si>
  <si>
    <t>204:138</t>
  </si>
  <si>
    <t>204:233391</t>
  </si>
  <si>
    <t>204:232779</t>
  </si>
  <si>
    <t>204:726</t>
  </si>
  <si>
    <t>204:233346</t>
  </si>
  <si>
    <t>204:232707</t>
  </si>
  <si>
    <t>204:746</t>
  </si>
  <si>
    <t>204:233330</t>
  </si>
  <si>
    <t>204:233011</t>
  </si>
  <si>
    <t>204:232959</t>
  </si>
  <si>
    <t>204:232967</t>
  </si>
  <si>
    <t>204:1175</t>
  </si>
  <si>
    <t>204:233283</t>
  </si>
  <si>
    <t>204:728</t>
  </si>
  <si>
    <t>204:232971</t>
  </si>
  <si>
    <t>204:803</t>
  </si>
  <si>
    <t>204:233326</t>
  </si>
  <si>
    <t>204:233002</t>
  </si>
  <si>
    <t>204:233314</t>
  </si>
  <si>
    <t>204:232723</t>
  </si>
  <si>
    <t>204:233366</t>
  </si>
  <si>
    <t>204:233028</t>
  </si>
  <si>
    <t>204:1179</t>
  </si>
  <si>
    <t>204:233074</t>
  </si>
  <si>
    <t>204:233319</t>
  </si>
  <si>
    <t>204:233008</t>
  </si>
  <si>
    <t>204:233362</t>
  </si>
  <si>
    <t>204:233057</t>
  </si>
  <si>
    <t>204:110</t>
  </si>
  <si>
    <t>204:429</t>
  </si>
  <si>
    <t>204:233298</t>
  </si>
  <si>
    <t>204:1496</t>
  </si>
  <si>
    <t>204:232981</t>
  </si>
  <si>
    <t>204:200</t>
  </si>
  <si>
    <t>204:94</t>
  </si>
  <si>
    <t>204:409</t>
  </si>
  <si>
    <t>204:233387</t>
  </si>
  <si>
    <t>204:233096</t>
  </si>
  <si>
    <t>204:123</t>
  </si>
  <si>
    <t>204:480</t>
  </si>
  <si>
    <t>204:233336</t>
  </si>
  <si>
    <t>204:232998</t>
  </si>
  <si>
    <t>204:500</t>
  </si>
  <si>
    <t>300:58674</t>
  </si>
  <si>
    <t>204:747</t>
  </si>
  <si>
    <t>204:1034</t>
  </si>
  <si>
    <t>300:58984</t>
  </si>
  <si>
    <t>204:736</t>
  </si>
  <si>
    <t>204:1027</t>
  </si>
  <si>
    <t>300:58687</t>
  </si>
  <si>
    <t>204:738</t>
  </si>
  <si>
    <t>300:58988</t>
  </si>
  <si>
    <t>300:58939</t>
  </si>
  <si>
    <t>300:58672</t>
  </si>
  <si>
    <t>204:1023</t>
  </si>
  <si>
    <t>204:398</t>
  </si>
  <si>
    <t>204:741</t>
  </si>
  <si>
    <t>204:1018</t>
  </si>
  <si>
    <t>204:999</t>
  </si>
  <si>
    <t>300:59005</t>
  </si>
  <si>
    <t>204:733</t>
  </si>
  <si>
    <t>204:1030</t>
  </si>
  <si>
    <t>300:59008</t>
  </si>
  <si>
    <t>300:58694</t>
  </si>
  <si>
    <t>204:1039</t>
  </si>
  <si>
    <t>300:58935</t>
  </si>
  <si>
    <t>300:58623</t>
  </si>
  <si>
    <t>204:677</t>
  </si>
  <si>
    <t>204:964</t>
  </si>
  <si>
    <t>204:233025</t>
  </si>
  <si>
    <t>300:58621</t>
  </si>
  <si>
    <t>300:58931</t>
  </si>
  <si>
    <t>204:712</t>
  </si>
  <si>
    <t>204:993</t>
  </si>
  <si>
    <t>300:58636</t>
  </si>
  <si>
    <t>204:722</t>
  </si>
  <si>
    <t>204:1028</t>
  </si>
  <si>
    <t>300:58617</t>
  </si>
  <si>
    <t>204:750</t>
  </si>
  <si>
    <t>204:1044</t>
  </si>
  <si>
    <t>300:9231</t>
  </si>
  <si>
    <t>300:55746</t>
  </si>
  <si>
    <t>300:58929</t>
  </si>
  <si>
    <t>204:233316</t>
  </si>
  <si>
    <t>300:58624</t>
  </si>
  <si>
    <t>204:705</t>
  </si>
  <si>
    <t>204:990</t>
  </si>
  <si>
    <t>204:233302</t>
  </si>
  <si>
    <t>204:233278</t>
  </si>
  <si>
    <t>204:233259</t>
  </si>
  <si>
    <t>204:232940</t>
  </si>
  <si>
    <t>300:30123</t>
  </si>
  <si>
    <t>300:21748</t>
  </si>
  <si>
    <t>204:233345</t>
  </si>
  <si>
    <t>204:233003</t>
  </si>
  <si>
    <t>204:233370</t>
  </si>
  <si>
    <t>204:233032</t>
  </si>
  <si>
    <t>204:1490</t>
  </si>
  <si>
    <t>204:233311</t>
  </si>
  <si>
    <t>204:232979</t>
  </si>
  <si>
    <t>204:233286</t>
  </si>
  <si>
    <t>204:233013</t>
  </si>
  <si>
    <t>204:203</t>
  </si>
  <si>
    <t>204:415</t>
  </si>
  <si>
    <t>204:233340</t>
  </si>
  <si>
    <t>204:233030</t>
  </si>
  <si>
    <t>204:118</t>
  </si>
  <si>
    <t>204:233405</t>
  </si>
  <si>
    <t>204:233084</t>
  </si>
  <si>
    <t>204:233342</t>
  </si>
  <si>
    <t>204:509</t>
  </si>
  <si>
    <t>204:426</t>
  </si>
  <si>
    <t>204:233334</t>
  </si>
  <si>
    <t>204:233023</t>
  </si>
  <si>
    <t>204:233268</t>
  </si>
  <si>
    <t>204:477</t>
  </si>
  <si>
    <t>204:233060</t>
  </si>
  <si>
    <t>204:233410</t>
  </si>
  <si>
    <t>204:233104</t>
  </si>
  <si>
    <t>204:233010</t>
  </si>
  <si>
    <t>204:151</t>
  </si>
  <si>
    <t>204:233470</t>
  </si>
  <si>
    <t>204:233153</t>
  </si>
  <si>
    <t>300:22208</t>
  </si>
  <si>
    <t>204:198</t>
  </si>
  <si>
    <t>204:390</t>
  </si>
  <si>
    <t>300:23286</t>
  </si>
  <si>
    <t>300:19938</t>
  </si>
  <si>
    <t>300:23299</t>
  </si>
  <si>
    <t>300:23408</t>
  </si>
  <si>
    <t>300:23182</t>
  </si>
  <si>
    <t>204:435</t>
  </si>
  <si>
    <t>300:22930</t>
  </si>
  <si>
    <t>204:1483</t>
  </si>
  <si>
    <t>300:25548</t>
  </si>
  <si>
    <t>300:25241</t>
  </si>
  <si>
    <t>204:1169</t>
  </si>
  <si>
    <t>start /low /b %USERPROFILE%\Documents\GitHub\eaglep3\Utilities\DownloadLogsFromS3.py --loco 4027 --day 2017-02-11</t>
  </si>
  <si>
    <t>start /low /b %USERPROFILE%\Documents\GitHub\eaglep3\Utilities\DownloadLogsFromS3.py --loco 4009 --day 2017-02-11</t>
  </si>
  <si>
    <t>start /low /b %USERPROFILE%\Documents\GitHub\eaglep3\Utilities\DownloadLogsFromS3.py --loco 4020 --day 2017-02-11</t>
  </si>
  <si>
    <t>start /low /b %USERPROFILE%\Documents\GitHub\eaglep3\Utilities\DownloadLogsFromS3.py --loco 4011 --day 2017-02-11</t>
  </si>
  <si>
    <t>start /low /b %USERPROFILE%\Documents\GitHub\eaglep3\Utilities\DownloadLogsFromS3.py --loco 4032 --day 2017-02-11</t>
  </si>
  <si>
    <t>start /low /b %USERPROFILE%\Documents\GitHub\eaglep3\Utilities\DownloadLogsFromS3.py --loco 4025 --day 2017-02-12</t>
  </si>
  <si>
    <t>start /low /b %USERPROFILE%\Documents\GitHub\eaglep3\Utilities\DownloadLogsFromS3.py --loco 4026 --day 2017-02-12</t>
  </si>
  <si>
    <t>start /low /b %USERPROFILE%\Documents\GitHub\eaglep3\Utilities\DownloadLogsFromS3.py --loco 4030 --day 2017-02-11</t>
  </si>
  <si>
    <t>start /low /b %USERPROFILE%\Documents\GitHub\eaglep3\Utilities\DownloadLogsFromS3.py --loco 4039 --day 2017-02-11</t>
  </si>
  <si>
    <t>start /low /b %USERPROFILE%\Documents\GitHub\eaglep3\Utilities\DownloadLogsFromS3.py --loco 4026 --day 2017-02-11</t>
  </si>
  <si>
    <t>start /low /b %USERPROFILE%\Documents\GitHub\eaglep3\Utilities\DownloadLogsFromS3.py --loco 4012 --day 2017-02-12</t>
  </si>
  <si>
    <t>start /low /b %USERPROFILE%\Documents\GitHub\eaglep3\Utilities\DownloadLogsFromS3.py --loco 4028 --day 2017-02-12</t>
  </si>
  <si>
    <t>start /low /b %USERPROFILE%\Documents\GitHub\eaglep3\Utilities\DownloadLogsFromS3.py --loco 4019 --day 2017-02-12</t>
  </si>
  <si>
    <t>start /low /b %USERPROFILE%\Documents\GitHub\eaglep3\Utilities\DownloadLogsFromS3.py --loco 4031 --day 2017-02-11</t>
  </si>
  <si>
    <t>start /low /b %USERPROFILE%\Documents\GitHub\eaglep3\Utilities\DownloadLogsFromS3.py --loco 4025 --day 2017-02-11</t>
  </si>
  <si>
    <t>start /low /b %USERPROFILE%\Documents\GitHub\eaglep3\Utilities\DownloadLogsFromS3.py --loco 4044 --day 2017-02-12</t>
  </si>
  <si>
    <t>start /low /b %USERPROFILE%\Documents\GitHub\eaglep3\Utilities\DownloadLogsFromS3.py --loco 4009 --day 2017-02-12</t>
  </si>
  <si>
    <t>start /low /b %USERPROFILE%\Documents\GitHub\eaglep3\Utilities\DownloadLogsFromS3.py --loco 4010 --day 2017-02-11</t>
  </si>
  <si>
    <t>Cancelled</t>
  </si>
  <si>
    <t>149-11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</si>
</sst>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3"/>
  <sheetViews>
    <sheetView tabSelected="1" topLeftCell="A175" zoomScaleNormal="100" workbookViewId="0">
      <selection activeCell="R104" sqref="R10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42777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42777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140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35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COUNTIFS($N$13:$N$9347,"&gt;0",$AG$13:$AG$9347,I1)</f>
        <v>138</v>
      </c>
      <c r="K5" s="40"/>
      <c r="L5" s="40"/>
      <c r="M5" s="41">
        <f>AVERAGEIFS($N$13:$N$9347,$AG$13:$AG$9347,I1)</f>
        <v>38.020169082700029</v>
      </c>
      <c r="N5" s="39">
        <f t="array" ref="N5">MIN(IF($AG$13:$AG$9347=I1,IF(ISNUMBER($N$13:$N$9347),IF($N$13:$N$9347&gt;0,$N$13:$N$9347))))</f>
        <v>35.033333329483867</v>
      </c>
      <c r="O5" s="3">
        <f t="array" ref="O5">MAX(IF($AG$13:$AG$9347=I1,IF(ISNUMBER($N$13:$N$9347),IF($N$13:$N$9347&gt;0,$N$13:$N$9347))))</f>
        <v>46.033333333907649</v>
      </c>
      <c r="P5" s="2"/>
      <c r="R5" s="74" t="s">
        <v>17</v>
      </c>
      <c r="S5" s="50">
        <f>COUNTIFS($N$13:$N$9347,"&gt;0",$AG$13:$AG$9347,R1)</f>
        <v>35</v>
      </c>
      <c r="T5" s="40"/>
      <c r="U5" s="178"/>
      <c r="V5" s="175">
        <f>AVERAGEIFS($N$13:$N$9347,$AG$13:$AG$9347,R1)</f>
        <v>13.622857143736578</v>
      </c>
      <c r="W5" s="176">
        <f t="array" ref="W5">MIN(IF($AG$13:$AG$9347=R1,IF(ISNUMBER($N$13:$N$9347),IF($N$13:$N$9347&gt;0,$N$13:$N$9347))))</f>
        <v>2.850000006146729</v>
      </c>
      <c r="X5" s="177">
        <f t="array" ref="X5">MAX(IF($AG$13:$AG$9347=R1,IF(ISNUMBER($N$13:$N$9347),IF($N$13:$N$9347&gt;0,$N$13:$N$9347))))</f>
        <v>16.366666668327525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COUNT($O$13:$O$113)</f>
        <v>0</v>
      </c>
      <c r="K6" s="40"/>
      <c r="L6" s="40"/>
      <c r="M6" s="41">
        <f>IFERROR(AVERAGE($O$13:$O$113),0)</f>
        <v>0</v>
      </c>
      <c r="N6" s="39">
        <f>MIN($O$13:$O$113)</f>
        <v>0</v>
      </c>
      <c r="O6" s="3">
        <f>MAX($O$13:$O$113)</f>
        <v>0</v>
      </c>
      <c r="P6" s="2"/>
      <c r="R6" s="75" t="s">
        <v>43</v>
      </c>
      <c r="S6" s="50">
        <f>COUNT($O$13:$O$113)</f>
        <v>0</v>
      </c>
      <c r="T6" s="40"/>
      <c r="U6" s="178"/>
      <c r="V6" s="175">
        <f>IFERROR(AVERAGE($O$13:$O$113),0)</f>
        <v>0</v>
      </c>
      <c r="W6" s="176">
        <f>MIN($O$13:$O$113)</f>
        <v>0</v>
      </c>
      <c r="X6" s="177">
        <f>MAX($O$13:$O$113)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COUNTIFS($P$13:$P$9347,"&gt;0",$AG$13:$AG$9347,I1)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COUNTIFS($P$13:$P$9347,"&gt;0",$AG$13:$AG$9347,R1)</f>
        <v>0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138</v>
      </c>
      <c r="K8" s="40"/>
      <c r="L8" s="40"/>
      <c r="M8" s="41">
        <f>M5</f>
        <v>38.020169082700029</v>
      </c>
      <c r="N8" s="39">
        <f>N5</f>
        <v>35.033333329483867</v>
      </c>
      <c r="O8" s="3">
        <f>O5</f>
        <v>46.033333333907649</v>
      </c>
      <c r="P8" s="2"/>
      <c r="R8" s="74" t="s">
        <v>16</v>
      </c>
      <c r="S8" s="50">
        <f>S5</f>
        <v>35</v>
      </c>
      <c r="T8" s="40"/>
      <c r="U8" s="178"/>
      <c r="V8" s="175">
        <f>V5</f>
        <v>13.622857143736578</v>
      </c>
      <c r="W8" s="176">
        <f>W5</f>
        <v>2.850000006146729</v>
      </c>
      <c r="X8" s="177">
        <f>X5</f>
        <v>16.366666668327525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0.98571428571428577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- 2017-02-11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AVERAGE(S13:S81)</f>
        <v>0.98550724637681164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211</v>
      </c>
      <c r="AN12" s="47" t="s">
        <v>227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512</v>
      </c>
      <c r="B13" s="7">
        <v>4020</v>
      </c>
      <c r="C13" s="21" t="s">
        <v>193</v>
      </c>
      <c r="D13" s="21" t="s">
        <v>731</v>
      </c>
      <c r="E13" s="13">
        <v>42777.125405092593</v>
      </c>
      <c r="F13" s="13">
        <v>42777.135601851849</v>
      </c>
      <c r="G13" s="7">
        <v>1</v>
      </c>
      <c r="H13" s="21" t="s">
        <v>732</v>
      </c>
      <c r="I13" s="13">
        <v>42777.16233796296</v>
      </c>
      <c r="J13" s="7">
        <v>1</v>
      </c>
      <c r="K13" s="98" t="str">
        <f t="shared" ref="K13:K44" si="0">IF(ISEVEN(B13),(B13-1)&amp;"/"&amp;B13,B13&amp;"/"&amp;(B13+1))</f>
        <v>4019/4020</v>
      </c>
      <c r="L13" s="21" t="str">
        <f>VLOOKUP(A13,'Trips&amp;Operators'!$C$1:$G$99999,5,FALSE)</f>
        <v>BADERTSCHER DIANE</v>
      </c>
      <c r="M13" s="6">
        <f t="shared" ref="M13:M44" si="1">I13-F13</f>
        <v>2.6736111110949423E-2</v>
      </c>
      <c r="N13" s="7">
        <f t="shared" ref="N13:N60" si="2">24*60*SUM($M13:$M13)</f>
        <v>38.499999999767169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44" si="4"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7" t="str">
        <f t="shared" ref="V13:V44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-11T02:00:35-0700',mode:absolute,to:'2017-02-11T04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188" t="str">
        <f t="shared" ref="W13:W44" si="6">IF(AA13&lt;IF(AG13="EC",23,5.65),"Y","N")</f>
        <v>N</v>
      </c>
      <c r="X13" s="188" t="e">
        <f t="shared" ref="X13:X28" si="7">VALUE(LEFT(AD13,4))-VALUE(LEFT(AD12,4))</f>
        <v>#VALUE!</v>
      </c>
      <c r="Y13" s="62">
        <f t="shared" ref="Y13:Y44" si="8">RIGHT(D13,LEN(D13)-4)/10000</f>
        <v>7.8600000000000003E-2</v>
      </c>
      <c r="Z13" s="62">
        <f t="shared" ref="Z13:Z44" si="9">RIGHT(H13,LEN(H13)-4)/10000</f>
        <v>23.3261</v>
      </c>
      <c r="AA13" s="62">
        <f t="shared" ref="AA13:AA44" si="10">ABS(Z13-Y13)</f>
        <v>23.247499999999999</v>
      </c>
      <c r="AB13" s="59" t="str">
        <f>VLOOKUP(A13,Enforcements!$C$7:$K$14,8,0)</f>
        <v>Signal based authority (5)</v>
      </c>
      <c r="AC13" s="55" t="str">
        <f>VLOOKUP(A13,Enforcements!$C$7:$E$14,3,0)</f>
        <v>SIGNAL</v>
      </c>
      <c r="AD13" s="56" t="str">
        <f t="shared" ref="AD13:AD44" si="11">IF(LEN(A13)=6,"0"&amp;A13,A13)</f>
        <v>0101-11</v>
      </c>
      <c r="AE13" s="85" t="str">
        <f t="shared" ref="AE13:AE4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AF13" s="82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/stypes="app*4020*20170211*" /stext=" 10:.+((SYSTEM_STATE.+slice.+state.+changed )|(ment ac)|(multiple cpu faults)|(system.+state.+changed )|(\[timeout)|(PRM\|1\|D)|(kpr)|(kdp)|(\|lc)|(penalty))" /e /r /s</v>
      </c>
      <c r="AG13" s="1" t="str">
        <f t="shared" ref="AG13:AG44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4020 --swversion DE.1.0.8.0 --startMP 204:786 --initTime 2017-02-11T03:00:35 --startdatetime 2017-02-11T03:15:16 --delay 1 --endMP 204:233261 --enddatetime 2017-02-11T03:53:46 --enforcementcount 1 &gt;&gt;C:\Users\stu\Documents\GitHub\eaglep3-reporting\EC\2017-02-11-refined-times.txt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{"issue":{"subject":"","project_id":79,"tracker_id":40,"status_id":1,"priority_id":2,"assigned_to_id":23,"start_date":"2017-02-11","description":"","custom_fields":[{"id":1,"name":"Subdivision","value":"EC"},{"id":4,"name":"Milepost","value":"23.3261"},{"id":17,"name":"Train ID","value":"101-11"},{"id":16,"name":"Locomotive ID","value":"4020"},{"id":130,"name":"Impact","value":""},{"id":150,"name":"Time of Event (Mountain Time)","value":"03:53:46"},{"id":151,"name":"Denver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4020 --day 2017-02-11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"%USERPROFILE%\AppData\Local\Temp\OnboardLogs"\RTDC4020\*4020*20170211* | grep -SE "(Enforcement Action)|(\[TIMEOUT)|(CHR.+\|PRM\|1\|D.+(SWITCH|SIGNAL).+UNKNOWN)" - &gt;&gt; 2017-02-11-UncaughtWiMAX.txt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543</v>
      </c>
      <c r="B14" s="7">
        <v>4030</v>
      </c>
      <c r="C14" s="21" t="s">
        <v>193</v>
      </c>
      <c r="D14" s="21" t="s">
        <v>733</v>
      </c>
      <c r="E14" s="13">
        <v>42777.164965277778</v>
      </c>
      <c r="F14" s="13">
        <v>42777.174502314818</v>
      </c>
      <c r="G14" s="7">
        <v>1</v>
      </c>
      <c r="H14" s="21" t="s">
        <v>734</v>
      </c>
      <c r="I14" s="13">
        <v>42777.206446759257</v>
      </c>
      <c r="J14" s="7">
        <v>1</v>
      </c>
      <c r="K14" s="98" t="str">
        <f t="shared" si="0"/>
        <v>4029/4030</v>
      </c>
      <c r="L14" s="21" t="str">
        <f>VLOOKUP(A14,'Trips&amp;Operators'!$C$1:$G$99999,5,FALSE)</f>
        <v>BADERTSCHER DIANE</v>
      </c>
      <c r="M14" s="6">
        <f t="shared" si="1"/>
        <v>3.1944444439432118E-2</v>
      </c>
      <c r="N14" s="7">
        <f t="shared" si="2"/>
        <v>45.99999999278225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7" t="str">
        <f t="shared" si="5"/>
        <v>https://d0f6bd738d7f1b3e5a7ca70fe4ff75f0.us-east-1.aws.found.io/app/kibana#/discover/Steve-Slow-Train-Analysis-(2080s-and-2083s)?_g=(refreshInterval:(display:Off,pause:!f,section:0,value:0),time:(from:'2017-02-11T02:57:33-0700',mode:absolute,to:'2017-02-11T05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" s="188" t="str">
        <f t="shared" si="6"/>
        <v>N</v>
      </c>
      <c r="X14" s="188">
        <f t="shared" si="7"/>
        <v>1</v>
      </c>
      <c r="Y14" s="62">
        <f t="shared" si="8"/>
        <v>23.2624</v>
      </c>
      <c r="Z14" s="62">
        <f t="shared" si="9"/>
        <v>1.38E-2</v>
      </c>
      <c r="AA14" s="62">
        <f t="shared" si="10"/>
        <v>23.2486</v>
      </c>
      <c r="AB14" s="59" t="e">
        <f>VLOOKUP(A14,Enforcements!$C$7:$K$14,8,0)</f>
        <v>#N/A</v>
      </c>
      <c r="AC14" s="55" t="e">
        <f>VLOOKUP(A14,Enforcements!$C$7:$E$14,3,0)</f>
        <v>#N/A</v>
      </c>
      <c r="AD14" s="56" t="str">
        <f t="shared" si="11"/>
        <v>0102-11</v>
      </c>
      <c r="AE14" s="85" t="str">
        <f t="shared" si="12"/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AF14" s="82" t="str">
        <f t="shared" si="13"/>
        <v>"C:\Program Files (x86)\AstroGrep\AstroGrep.exe" /spath="%USERPROFILE%\AppData\Local\Temp\OnboardLogs" /stypes="app*4030*20170211*"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4030 --swversion DE.1.0.8.0 --startMP 204:232624 --initTime 2017-02-11T03:57:33 --startdatetime 2017-02-11T04:11:17 --delay 1 --endMP 204:138 --enddatetime 2017-02-11T04:57:17 --enforcementcount 1 &gt;&gt;C:\Users\stu\Documents\GitHub\eaglep3-reporting\EC\2017-02-11-refined-times.txt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{"issue":{"subject":"","project_id":79,"tracker_id":40,"status_id":1,"priority_id":2,"assigned_to_id":23,"start_date":"2017-02-11","description":"","custom_fields":[{"id":1,"name":"Subdivision","value":"EC"},{"id":4,"name":"Milepost","value":"0.0138"},{"id":17,"name":"Train ID","value":"102-11"},{"id":16,"name":"Locomotive ID","value":"4030"},{"id":130,"name":"Impact","value":""},{"id":150,"name":"Time of Event (Mountain Time)","value":"04:57:17"},{"id":151,"name":"Denver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4030 --day 2017-02-11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"%USERPROFILE%\AppData\Local\Temp\OnboardLogs"\RTDC4030\*4030*20170211* | grep -SE "(Enforcement Action)|(\[TIMEOUT)|(CHR.+\|PRM\|1\|D.+(SWITCH|SIGNAL).+UNKNOWN)" - &gt;&gt; 2017-02-11-UncaughtWiMAX.txt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539</v>
      </c>
      <c r="B15" s="7">
        <v>4011</v>
      </c>
      <c r="C15" s="21" t="s">
        <v>193</v>
      </c>
      <c r="D15" s="21" t="s">
        <v>500</v>
      </c>
      <c r="E15" s="13">
        <v>42777.150925925926</v>
      </c>
      <c r="F15" s="13">
        <v>42777.156631944446</v>
      </c>
      <c r="G15" s="7">
        <v>1</v>
      </c>
      <c r="H15" s="21" t="s">
        <v>735</v>
      </c>
      <c r="I15" s="13">
        <v>42777.182523148149</v>
      </c>
      <c r="J15" s="7">
        <v>1</v>
      </c>
      <c r="K15" s="98" t="str">
        <f t="shared" si="0"/>
        <v>4011/4012</v>
      </c>
      <c r="L15" s="21" t="str">
        <f>VLOOKUP(A15,'Trips&amp;Operators'!$C$1:$G$99999,5,FALSE)</f>
        <v>ROBINSON KADDIBA</v>
      </c>
      <c r="M15" s="6">
        <f t="shared" si="1"/>
        <v>2.5891203702485655E-2</v>
      </c>
      <c r="N15" s="7">
        <f t="shared" si="2"/>
        <v>37.283333331579342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7" t="str">
        <f t="shared" si="5"/>
        <v>https://d0f6bd738d7f1b3e5a7ca70fe4ff75f0.us-east-1.aws.found.io/app/kibana#/discover/Steve-Slow-Train-Analysis-(2080s-and-2083s)?_g=(refreshInterval:(display:Off,pause:!f,section:0,value:0),time:(from:'2017-02-11T02:37:20-0700',mode:absolute,to:'2017-02-11T05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" s="188" t="str">
        <f t="shared" si="6"/>
        <v>N</v>
      </c>
      <c r="X15" s="188">
        <f t="shared" si="7"/>
        <v>1</v>
      </c>
      <c r="Y15" s="62">
        <f t="shared" si="8"/>
        <v>7.1499999999999994E-2</v>
      </c>
      <c r="Z15" s="62">
        <f t="shared" si="9"/>
        <v>23.339099999999998</v>
      </c>
      <c r="AA15" s="62">
        <f t="shared" si="10"/>
        <v>23.267599999999998</v>
      </c>
      <c r="AB15" s="59" t="e">
        <f>VLOOKUP(A15,Enforcements!$C$7:$K$14,8,0)</f>
        <v>#N/A</v>
      </c>
      <c r="AC15" s="55" t="e">
        <f>VLOOKUP(A15,Enforcements!$C$7:$E$14,3,0)</f>
        <v>#N/A</v>
      </c>
      <c r="AD15" s="56" t="str">
        <f t="shared" si="11"/>
        <v>0103-11</v>
      </c>
      <c r="AE15" s="85" t="str">
        <f t="shared" si="12"/>
        <v>aws s3 cp s3://rtdc.mdm.uploadarchive.raw/RTDC4011/ "%USERPROFILE%\AppData\Local\Temp\OnboardLogs"\RTDC4011\2017-02-11 --exclude "*" --recursive --include "*20170211*" &amp; "%USERPROFILE%\Documents\GitHub\mrs-test-scripts\Headless Mode &amp; Sideloading\WalkAndUnGZ.bat" "%USERPROFILE%\AppData\Local\Temp\OnboardLogs"\RTDC4011\2017-02-11 &amp; 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</v>
      </c>
      <c r="AF15" s="82" t="str">
        <f t="shared" si="13"/>
        <v>"C:\Program Files (x86)\AstroGrep\AstroGrep.exe" /spath="%USERPROFILE%\AppData\Local\Temp\OnboardLogs" /stypes="app*4011*20170211*"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103-11 --locoid 4011 --swversion DE.1.0.8.0 --startMP 204:715 --initTime 2017-02-11T03:37:20 --startdatetime 2017-02-11T03:45:33 --delay 1 --endMP 204:233391 --enddatetime 2017-02-11T04:22:50 --enforcementcount 1 &gt;&gt;C:\Users\stu\Documents\GitHub\eaglep3-reporting\EC\2017-02-11-refined-times.txt</v>
      </c>
      <c r="AI15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{"issue":{"subject":"","project_id":79,"tracker_id":40,"status_id":1,"priority_id":2,"assigned_to_id":23,"start_date":"2017-02-11","description":"","custom_fields":[{"id":1,"name":"Subdivision","value":"EC"},{"id":4,"name":"Milepost","value":"23.3391"},{"id":17,"name":"Train ID","value":"103-11"},{"id":16,"name":"Locomotive ID","value":"4011"},{"id":130,"name":"Impact","value":""},{"id":150,"name":"Time of Event (Mountain Time)","value":"04:22:50"},{"id":151,"name":"Denver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4011 --day 2017-02-11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"%USERPROFILE%\AppData\Local\Temp\OnboardLogs"\RTDC4011\*4011*20170211* | grep -SE "(Enforcement Action)|(\[TIMEOUT)|(CHR.+\|PRM\|1\|D.+(SWITCH|SIGNAL).+UNKNOWN)" - &gt;&gt; 2017-02-11-UncaughtWiMAX.txt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553</v>
      </c>
      <c r="B16" s="7">
        <v>4028</v>
      </c>
      <c r="C16" s="21" t="s">
        <v>193</v>
      </c>
      <c r="D16" s="21" t="s">
        <v>736</v>
      </c>
      <c r="E16" s="13">
        <v>42777.188807870371</v>
      </c>
      <c r="F16" s="13">
        <v>42777.195300925923</v>
      </c>
      <c r="G16" s="7">
        <v>1</v>
      </c>
      <c r="H16" s="21" t="s">
        <v>333</v>
      </c>
      <c r="I16" s="13">
        <v>42777.222685185188</v>
      </c>
      <c r="J16" s="7">
        <v>1</v>
      </c>
      <c r="K16" s="98" t="str">
        <f t="shared" si="0"/>
        <v>4027/4028</v>
      </c>
      <c r="L16" s="21" t="str">
        <f>VLOOKUP(A16,'Trips&amp;Operators'!$C$1:$G$99999,5,FALSE)</f>
        <v>ROBINSON KADDIBA</v>
      </c>
      <c r="M16" s="6">
        <f t="shared" si="1"/>
        <v>2.7384259265090805E-2</v>
      </c>
      <c r="N16" s="7">
        <f t="shared" si="2"/>
        <v>39.433333341730759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 t="shared" si="5"/>
        <v>https://d0f6bd738d7f1b3e5a7ca70fe4ff75f0.us-east-1.aws.found.io/app/kibana#/discover/Steve-Slow-Train-Analysis-(2080s-and-2083s)?_g=(refreshInterval:(display:Off,pause:!f,section:0,value:0),time:(from:'2017-02-11T03:31:53-0700',mode:absolute,to:'2017-02-11T06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" s="188" t="str">
        <f t="shared" si="6"/>
        <v>N</v>
      </c>
      <c r="X16" s="188">
        <f t="shared" si="7"/>
        <v>1</v>
      </c>
      <c r="Y16" s="62">
        <f t="shared" si="8"/>
        <v>23.277899999999999</v>
      </c>
      <c r="Z16" s="62">
        <f t="shared" si="9"/>
        <v>1.61E-2</v>
      </c>
      <c r="AA16" s="62">
        <f t="shared" si="10"/>
        <v>23.261799999999997</v>
      </c>
      <c r="AB16" s="59" t="e">
        <f>VLOOKUP(A16,Enforcements!$C$7:$K$14,8,0)</f>
        <v>#N/A</v>
      </c>
      <c r="AC16" s="55" t="e">
        <f>VLOOKUP(A16,Enforcements!$C$7:$E$14,3,0)</f>
        <v>#N/A</v>
      </c>
      <c r="AD16" s="56" t="str">
        <f t="shared" si="11"/>
        <v>0104-11</v>
      </c>
      <c r="AE16" s="85" t="str">
        <f t="shared" si="12"/>
        <v>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 &amp; 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</v>
      </c>
      <c r="AF16" s="82" t="str">
        <f t="shared" si="13"/>
        <v>"C:\Program Files (x86)\AstroGrep\AstroGrep.exe" /spath="%USERPROFILE%\AppData\Local\Temp\OnboardLogs" /stypes="app*4028*20170211*"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104-11 --locoid 4028 --swversion DE.1.0.8.0 --startMP 204:232779 --initTime 2017-02-11T04:31:53 --startdatetime 2017-02-11T04:41:14 --delay 1 --endMP 204:161 --enddatetime 2017-02-11T05:20:40 --enforcementcount 1 &gt;&gt;C:\Users\stu\Documents\GitHub\eaglep3-reporting\EC\2017-02-11-refined-times.txt</v>
      </c>
      <c r="AI16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{"issue":{"subject":"","project_id":79,"tracker_id":40,"status_id":1,"priority_id":2,"assigned_to_id":23,"start_date":"2017-02-11","description":"","custom_fields":[{"id":1,"name":"Subdivision","value":"EC"},{"id":4,"name":"Milepost","value":"0.0161"},{"id":17,"name":"Train ID","value":"104-11"},{"id":16,"name":"Locomotive ID","value":"4028"},{"id":130,"name":"Impact","value":""},{"id":150,"name":"Time of Event (Mountain Time)","value":"05:20:40"},{"id":151,"name":"Denver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4028 --day 2017-02-11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"%USERPROFILE%\AppData\Local\Temp\OnboardLogs"\RTDC4028\*4028*20170211* | grep -SE "(Enforcement Action)|(\[TIMEOUT)|(CHR.+\|PRM\|1\|D.+(SWITCH|SIGNAL).+UNKNOWN)" - &gt;&gt; 2017-02-11-UncaughtWiMAX.txt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544</v>
      </c>
      <c r="B17" s="7">
        <v>4025</v>
      </c>
      <c r="C17" s="21" t="s">
        <v>193</v>
      </c>
      <c r="D17" s="21" t="s">
        <v>737</v>
      </c>
      <c r="E17" s="13">
        <v>42777.167916666665</v>
      </c>
      <c r="F17" s="13">
        <v>42777.177407407406</v>
      </c>
      <c r="G17" s="7">
        <v>1</v>
      </c>
      <c r="H17" s="21" t="s">
        <v>738</v>
      </c>
      <c r="I17" s="13">
        <v>42777.203483796293</v>
      </c>
      <c r="J17" s="7">
        <v>1</v>
      </c>
      <c r="K17" s="98" t="str">
        <f t="shared" si="0"/>
        <v>4025/4026</v>
      </c>
      <c r="L17" s="21" t="str">
        <f>VLOOKUP(A17,'Trips&amp;Operators'!$C$1:$G$99999,5,FALSE)</f>
        <v>MAELZER KURT</v>
      </c>
      <c r="M17" s="6">
        <f t="shared" si="1"/>
        <v>2.6076388887304347E-2</v>
      </c>
      <c r="N17" s="7">
        <f t="shared" si="2"/>
        <v>37.54999999771826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7" t="str">
        <f t="shared" si="5"/>
        <v>https://d0f6bd738d7f1b3e5a7ca70fe4ff75f0.us-east-1.aws.found.io/app/kibana#/discover/Steve-Slow-Train-Analysis-(2080s-and-2083s)?_g=(refreshInterval:(display:Off,pause:!f,section:0,value:0),time:(from:'2017-02-11T03:01:48-0700',mode:absolute,to:'2017-02-11T05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" s="188" t="str">
        <f t="shared" si="6"/>
        <v>N</v>
      </c>
      <c r="X17" s="188">
        <f t="shared" si="7"/>
        <v>1</v>
      </c>
      <c r="Y17" s="62">
        <f t="shared" si="8"/>
        <v>7.2599999999999998E-2</v>
      </c>
      <c r="Z17" s="62">
        <f t="shared" si="9"/>
        <v>23.334599999999998</v>
      </c>
      <c r="AA17" s="62">
        <f t="shared" si="10"/>
        <v>23.261999999999997</v>
      </c>
      <c r="AB17" s="59" t="e">
        <f>VLOOKUP(A17,Enforcements!$C$7:$K$14,8,0)</f>
        <v>#N/A</v>
      </c>
      <c r="AC17" s="55" t="e">
        <f>VLOOKUP(A17,Enforcements!$C$7:$E$14,3,0)</f>
        <v>#N/A</v>
      </c>
      <c r="AD17" s="56" t="str">
        <f t="shared" si="11"/>
        <v>0105-11</v>
      </c>
      <c r="AE17" s="85" t="str">
        <f t="shared" si="12"/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AF17" s="82" t="str">
        <f t="shared" si="13"/>
        <v>"C:\Program Files (x86)\AstroGrep\AstroGrep.exe" /spath="%USERPROFILE%\AppData\Local\Temp\OnboardLogs" /stypes="app*4025*20170211*"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105-11 --locoid 4025 --swversion DE.1.0.8.0 --startMP 204:726 --initTime 2017-02-11T04:01:48 --startdatetime 2017-02-11T04:15:28 --delay 1 --endMP 204:233346 --enddatetime 2017-02-11T04:53:01 --enforcementcount 1 &gt;&gt;C:\Users\stu\Documents\GitHub\eaglep3-reporting\EC\2017-02-11-refined-times.txt</v>
      </c>
      <c r="AI17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{"issue":{"subject":"","project_id":79,"tracker_id":40,"status_id":1,"priority_id":2,"assigned_to_id":23,"start_date":"2017-02-11","description":"","custom_fields":[{"id":1,"name":"Subdivision","value":"EC"},{"id":4,"name":"Milepost","value":"23.3346"},{"id":17,"name":"Train ID","value":"105-11"},{"id":16,"name":"Locomotive ID","value":"4025"},{"id":130,"name":"Impact","value":""},{"id":150,"name":"Time of Event (Mountain Time)","value":"04:53:01"},{"id":151,"name":"Denver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4025 --day 2017-02-11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"%USERPROFILE%\AppData\Local\Temp\OnboardLogs"\RTDC4025\*4025*20170211* | grep -SE "(Enforcement Action)|(\[TIMEOUT)|(CHR.+\|PRM\|1\|D.+(SWITCH|SIGNAL).+UNKNOWN)" - &gt;&gt; 2017-02-11-UncaughtWiMAX.txt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556</v>
      </c>
      <c r="B18" s="7">
        <v>4015</v>
      </c>
      <c r="C18" s="21" t="s">
        <v>193</v>
      </c>
      <c r="D18" s="21" t="s">
        <v>739</v>
      </c>
      <c r="E18" s="13">
        <v>42777.214942129627</v>
      </c>
      <c r="F18" s="13">
        <v>42777.217037037037</v>
      </c>
      <c r="G18" s="7">
        <v>1</v>
      </c>
      <c r="H18" s="21" t="s">
        <v>296</v>
      </c>
      <c r="I18" s="13">
        <v>42777.243993055556</v>
      </c>
      <c r="J18" s="7">
        <v>1</v>
      </c>
      <c r="K18" s="98" t="str">
        <f t="shared" si="0"/>
        <v>4015/4016</v>
      </c>
      <c r="L18" s="21" t="str">
        <f>VLOOKUP(A18,'Trips&amp;Operators'!$C$1:$G$99999,5,FALSE)</f>
        <v>MAELZER KURT</v>
      </c>
      <c r="M18" s="6">
        <f t="shared" si="1"/>
        <v>2.6956018518831115E-2</v>
      </c>
      <c r="N18" s="7">
        <f t="shared" si="2"/>
        <v>38.816666667116806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7" t="str">
        <f t="shared" si="5"/>
        <v>https://d0f6bd738d7f1b3e5a7ca70fe4ff75f0.us-east-1.aws.found.io/app/kibana#/discover/Steve-Slow-Train-Analysis-(2080s-and-2083s)?_g=(refreshInterval:(display:Off,pause:!f,section:0,value:0),time:(from:'2017-02-11T04:09:31-0700',mode:absolute,to:'2017-02-11T06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188" t="str">
        <f t="shared" si="6"/>
        <v>N</v>
      </c>
      <c r="X18" s="188">
        <f t="shared" si="7"/>
        <v>1</v>
      </c>
      <c r="Y18" s="62">
        <f t="shared" si="8"/>
        <v>23.270700000000001</v>
      </c>
      <c r="Z18" s="62">
        <f t="shared" si="9"/>
        <v>1.3899999999999999E-2</v>
      </c>
      <c r="AA18" s="62">
        <f t="shared" si="10"/>
        <v>23.256800000000002</v>
      </c>
      <c r="AB18" s="59" t="e">
        <f>VLOOKUP(A18,Enforcements!$C$7:$K$14,8,0)</f>
        <v>#N/A</v>
      </c>
      <c r="AC18" s="55" t="e">
        <f>VLOOKUP(A18,Enforcements!$C$7:$E$14,3,0)</f>
        <v>#N/A</v>
      </c>
      <c r="AD18" s="56" t="str">
        <f t="shared" si="11"/>
        <v>0106-11</v>
      </c>
      <c r="AE18" s="85" t="str">
        <f t="shared" si="12"/>
        <v>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 &amp; aws s3 cp s3://rtdc.mdm.uploadarchive.raw/RTDC4015/ "%USERPROFILE%\AppData\Local\Temp\OnboardLogs"\RTDC4015\2017-02-12 --exclude "*" --recursive --include "*20170212*" &amp; "%USERPROFILE%\Documents\GitHub\mrs-test-scripts\Headless Mode &amp; Sideloading\WalkAndUnGZ.bat" "%USERPROFILE%\AppData\Local\Temp\OnboardLogs"\RTDC4015\2017-02-12</v>
      </c>
      <c r="AF18" s="82" t="str">
        <f t="shared" si="13"/>
        <v>"C:\Program Files (x86)\AstroGrep\AstroGrep.exe" /spath="%USERPROFILE%\AppData\Local\Temp\OnboardLogs" /stypes="app*4015*20170211*"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106-11 --locoid 4015 --swversion DE.1.0.8.0 --startMP 204:232707 --initTime 2017-02-11T05:09:31 --startdatetime 2017-02-11T05:12:32 --delay 1 --endMP 204:139 --enddatetime 2017-02-11T05:51:21 --enforcementcount 1 &gt;&gt;C:\Users\stu\Documents\GitHub\eaglep3-reporting\EC\2017-02-11-refined-times.txt</v>
      </c>
      <c r="AI18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{"issue":{"subject":"","project_id":79,"tracker_id":40,"status_id":1,"priority_id":2,"assigned_to_id":23,"start_date":"2017-02-11","description":"","custom_fields":[{"id":1,"name":"Subdivision","value":"EC"},{"id":4,"name":"Milepost","value":"0.0139"},{"id":17,"name":"Train ID","value":"106-11"},{"id":16,"name":"Locomotive ID","value":"4015"},{"id":130,"name":"Impact","value":""},{"id":150,"name":"Time of Event (Mountain Time)","value":"05:51:21"},{"id":151,"name":"Denver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4015 --day 2017-02-11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"%USERPROFILE%\AppData\Local\Temp\OnboardLogs"\RTDC4015\*4015*20170211* | grep -SE "(Enforcement Action)|(\[TIMEOUT)|(CHR.+\|PRM\|1\|D.+(SWITCH|SIGNAL).+UNKNOWN)" - &gt;&gt; 2017-02-11-UncaughtWiMAX.txt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552</v>
      </c>
      <c r="B19" s="7">
        <v>4040</v>
      </c>
      <c r="C19" s="21" t="s">
        <v>193</v>
      </c>
      <c r="D19" s="21" t="s">
        <v>218</v>
      </c>
      <c r="E19" s="13">
        <v>42777.187372685185</v>
      </c>
      <c r="F19" s="13">
        <v>42777.188703703701</v>
      </c>
      <c r="G19" s="7">
        <v>1</v>
      </c>
      <c r="H19" s="21" t="s">
        <v>304</v>
      </c>
      <c r="I19" s="13">
        <v>42777.214201388888</v>
      </c>
      <c r="J19" s="7">
        <v>1</v>
      </c>
      <c r="K19" s="98" t="str">
        <f t="shared" si="0"/>
        <v>4039/4040</v>
      </c>
      <c r="L19" s="21" t="str">
        <f>VLOOKUP(A19,'Trips&amp;Operators'!$C$1:$G$99999,5,FALSE)</f>
        <v>DAVIS WENDY</v>
      </c>
      <c r="M19" s="6">
        <f t="shared" si="1"/>
        <v>2.5497685186564922E-2</v>
      </c>
      <c r="N19" s="7">
        <f t="shared" si="2"/>
        <v>36.716666668653488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7" t="str">
        <f t="shared" si="5"/>
        <v>https://d0f6bd738d7f1b3e5a7ca70fe4ff75f0.us-east-1.aws.found.io/app/kibana#/discover/Steve-Slow-Train-Analysis-(2080s-and-2083s)?_g=(refreshInterval:(display:Off,pause:!f,section:0,value:0),time:(from:'2017-02-11T03:29:49-0700',mode:absolute,to:'2017-02-11T06:08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188" t="str">
        <f t="shared" si="6"/>
        <v>N</v>
      </c>
      <c r="X19" s="188">
        <f t="shared" si="7"/>
        <v>1</v>
      </c>
      <c r="Y19" s="62">
        <f t="shared" si="8"/>
        <v>4.6899999999999997E-2</v>
      </c>
      <c r="Z19" s="62">
        <f t="shared" si="9"/>
        <v>23.3309</v>
      </c>
      <c r="AA19" s="62">
        <f t="shared" si="10"/>
        <v>23.283999999999999</v>
      </c>
      <c r="AB19" s="59" t="e">
        <f>VLOOKUP(A19,Enforcements!$C$7:$K$14,8,0)</f>
        <v>#N/A</v>
      </c>
      <c r="AC19" s="55" t="e">
        <f>VLOOKUP(A19,Enforcements!$C$7:$E$14,3,0)</f>
        <v>#N/A</v>
      </c>
      <c r="AD19" s="56" t="str">
        <f t="shared" si="11"/>
        <v>0107-11</v>
      </c>
      <c r="AE19" s="85" t="str">
        <f t="shared" si="12"/>
        <v>aws s3 cp s3://rtdc.mdm.uploadarchive.raw/RTDC4040/ "%USERPROFILE%\AppData\Local\Temp\OnboardLogs"\RTDC4040\2017-02-11 --exclude "*" --recursive --include "*20170211*" &amp; "%USERPROFILE%\Documents\GitHub\mrs-test-scripts\Headless Mode &amp; Sideloading\WalkAndUnGZ.bat" "%USERPROFILE%\AppData\Local\Temp\OnboardLogs"\RTDC4040\2017-02-11 &amp; aws s3 cp s3://rtdc.mdm.uploadarchive.raw/RTDC4040/ "%USERPROFILE%\AppData\Local\Temp\OnboardLogs"\RTDC4040\2017-02-12 --exclude "*" --recursive --include "*20170212*" &amp; "%USERPROFILE%\Documents\GitHub\mrs-test-scripts\Headless Mode &amp; Sideloading\WalkAndUnGZ.bat" "%USERPROFILE%\AppData\Local\Temp\OnboardLogs"\RTDC4040\2017-02-12</v>
      </c>
      <c r="AF19" s="82" t="str">
        <f t="shared" si="13"/>
        <v>"C:\Program Files (x86)\AstroGrep\AstroGrep.exe" /spath="%USERPROFILE%\AppData\Local\Temp\OnboardLogs" /stypes="app*4040*20170211*"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107-11 --locoid 4040 --swversion DE.1.0.8.0 --startMP 204:469 --initTime 2017-02-11T04:29:49 --startdatetime 2017-02-11T04:31:44 --delay 1 --endMP 204:233309 --enddatetime 2017-02-11T05:08:27 --enforcementcount 1 &gt;&gt;C:\Users\stu\Documents\GitHub\eaglep3-reporting\EC\2017-02-11-refined-times.txt</v>
      </c>
      <c r="AI19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{"issue":{"subject":"","project_id":79,"tracker_id":40,"status_id":1,"priority_id":2,"assigned_to_id":23,"start_date":"2017-02-11","description":"","custom_fields":[{"id":1,"name":"Subdivision","value":"EC"},{"id":4,"name":"Milepost","value":"23.3309"},{"id":17,"name":"Train ID","value":"107-11"},{"id":16,"name":"Locomotive ID","value":"4040"},{"id":130,"name":"Impact","value":""},{"id":150,"name":"Time of Event (Mountain Time)","value":"05:08:27"},{"id":151,"name":"Denver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4040 --day 2017-02-11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"%USERPROFILE%\AppData\Local\Temp\OnboardLogs"\RTDC4040\*4040*20170211* | grep -SE "(Enforcement Action)|(\[TIMEOUT)|(CHR.+\|PRM\|1\|D.+(SWITCH|SIGNAL).+UNKNOWN)" - &gt;&gt; 2017-02-11-UncaughtWiMAX.txt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559</v>
      </c>
      <c r="B20" s="7">
        <v>4039</v>
      </c>
      <c r="C20" s="21" t="s">
        <v>193</v>
      </c>
      <c r="D20" s="21" t="s">
        <v>440</v>
      </c>
      <c r="E20" s="13">
        <v>42777.225347222222</v>
      </c>
      <c r="F20" s="13">
        <v>42777.226539351854</v>
      </c>
      <c r="G20" s="7">
        <v>1</v>
      </c>
      <c r="H20" s="21" t="s">
        <v>339</v>
      </c>
      <c r="I20" s="13">
        <v>42777.258506944447</v>
      </c>
      <c r="J20" s="7">
        <v>1</v>
      </c>
      <c r="K20" s="98" t="str">
        <f t="shared" si="0"/>
        <v>4039/4040</v>
      </c>
      <c r="L20" s="21" t="str">
        <f>VLOOKUP(A20,'Trips&amp;Operators'!$C$1:$G$99999,5,FALSE)</f>
        <v>DAVIS WENDY</v>
      </c>
      <c r="M20" s="6">
        <f t="shared" si="1"/>
        <v>3.1967592592991423E-2</v>
      </c>
      <c r="N20" s="7">
        <f t="shared" si="2"/>
        <v>46.033333333907649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7" t="str">
        <f t="shared" si="5"/>
        <v>https://d0f6bd738d7f1b3e5a7ca70fe4ff75f0.us-east-1.aws.found.io/app/kibana#/discover/Steve-Slow-Train-Analysis-(2080s-and-2083s)?_g=(refreshInterval:(display:Off,pause:!f,section:0,value:0),time:(from:'2017-02-11T04:24:30-0700',mode:absolute,to:'2017-02-11T07:12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188" t="str">
        <f t="shared" si="6"/>
        <v>N</v>
      </c>
      <c r="X20" s="188">
        <f t="shared" si="7"/>
        <v>1</v>
      </c>
      <c r="Y20" s="62">
        <f t="shared" si="8"/>
        <v>23.3</v>
      </c>
      <c r="Z20" s="62">
        <f t="shared" si="9"/>
        <v>4.82E-2</v>
      </c>
      <c r="AA20" s="62">
        <f t="shared" si="10"/>
        <v>23.251799999999999</v>
      </c>
      <c r="AB20" s="59" t="e">
        <f>VLOOKUP(A20,Enforcements!$C$7:$K$14,8,0)</f>
        <v>#N/A</v>
      </c>
      <c r="AC20" s="55" t="e">
        <f>VLOOKUP(A20,Enforcements!$C$7:$E$14,3,0)</f>
        <v>#N/A</v>
      </c>
      <c r="AD20" s="56" t="str">
        <f t="shared" si="11"/>
        <v>0108-11</v>
      </c>
      <c r="AE20" s="85" t="str">
        <f t="shared" si="12"/>
        <v>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 &amp; aws s3 cp s3://rtdc.mdm.uploadarchive.raw/RTDC4039/ "%USERPROFILE%\AppData\Local\Temp\OnboardLogs"\RTDC4039\2017-02-12 --exclude "*" --recursive --include "*20170212*" &amp; "%USERPROFILE%\Documents\GitHub\mrs-test-scripts\Headless Mode &amp; Sideloading\WalkAndUnGZ.bat" "%USERPROFILE%\AppData\Local\Temp\OnboardLogs"\RTDC4039\2017-02-12</v>
      </c>
      <c r="AF20" s="82" t="str">
        <f t="shared" si="13"/>
        <v>"C:\Program Files (x86)\AstroGrep\AstroGrep.exe" /spath="%USERPROFILE%\AppData\Local\Temp\OnboardLogs" /stypes="app*4039*20170211*"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108-11 --locoid 4039 --swversion DE.1.0.8.0 --startMP 204:233000 --initTime 2017-02-11T05:24:30 --startdatetime 2017-02-11T05:26:13 --delay 1 --endMP 204:482 --enddatetime 2017-02-11T06:12:15 --enforcementcount 1 &gt;&gt;C:\Users\stu\Documents\GitHub\eaglep3-reporting\EC\2017-02-11-refined-times.txt</v>
      </c>
      <c r="AI20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{"issue":{"subject":"","project_id":79,"tracker_id":40,"status_id":1,"priority_id":2,"assigned_to_id":23,"start_date":"2017-02-11","description":"","custom_fields":[{"id":1,"name":"Subdivision","value":"EC"},{"id":4,"name":"Milepost","value":"0.0482"},{"id":17,"name":"Train ID","value":"108-11"},{"id":16,"name":"Locomotive ID","value":"4039"},{"id":130,"name":"Impact","value":""},{"id":150,"name":"Time of Event (Mountain Time)","value":"06:12:15"},{"id":151,"name":"Denver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4039 --day 2017-02-11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"%USERPROFILE%\AppData\Local\Temp\OnboardLogs"\RTDC4039\*4039*20170211* | grep -SE "(Enforcement Action)|(\[TIMEOUT)|(CHR.+\|PRM\|1\|D.+(SWITCH|SIGNAL).+UNKNOWN)" - &gt;&gt; 2017-02-11-UncaughtWiMAX.txt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554</v>
      </c>
      <c r="B21" s="7">
        <v>4031</v>
      </c>
      <c r="C21" s="21" t="s">
        <v>193</v>
      </c>
      <c r="D21" s="21" t="s">
        <v>297</v>
      </c>
      <c r="E21" s="13">
        <v>42777.196863425925</v>
      </c>
      <c r="F21" s="13">
        <v>42777.198206018518</v>
      </c>
      <c r="G21" s="7">
        <v>1</v>
      </c>
      <c r="H21" s="21" t="s">
        <v>738</v>
      </c>
      <c r="I21" s="13">
        <v>42777.224421296298</v>
      </c>
      <c r="J21" s="7">
        <v>1</v>
      </c>
      <c r="K21" s="98" t="str">
        <f t="shared" si="0"/>
        <v>4031/4032</v>
      </c>
      <c r="L21" s="21" t="str">
        <f>VLOOKUP(A21,'Trips&amp;Operators'!$C$1:$G$99999,5,FALSE)</f>
        <v>OUN ZACK</v>
      </c>
      <c r="M21" s="6">
        <f t="shared" si="1"/>
        <v>2.6215277779556345E-2</v>
      </c>
      <c r="N21" s="7">
        <f t="shared" si="2"/>
        <v>37.750000002561137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7" t="str">
        <f t="shared" si="5"/>
        <v>https://d0f6bd738d7f1b3e5a7ca70fe4ff75f0.us-east-1.aws.found.io/app/kibana#/discover/Steve-Slow-Train-Analysis-(2080s-and-2083s)?_g=(refreshInterval:(display:Off,pause:!f,section:0,value:0),time:(from:'2017-02-11T03:43:29-0700',mode:absolute,to:'2017-02-11T06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" s="188" t="str">
        <f t="shared" si="6"/>
        <v>N</v>
      </c>
      <c r="X21" s="188">
        <f t="shared" si="7"/>
        <v>1</v>
      </c>
      <c r="Y21" s="62">
        <f t="shared" si="8"/>
        <v>4.3700000000000003E-2</v>
      </c>
      <c r="Z21" s="62">
        <f t="shared" si="9"/>
        <v>23.334599999999998</v>
      </c>
      <c r="AA21" s="62">
        <f t="shared" si="10"/>
        <v>23.290899999999997</v>
      </c>
      <c r="AB21" s="59" t="e">
        <f>VLOOKUP(A21,Enforcements!$C$7:$K$14,8,0)</f>
        <v>#N/A</v>
      </c>
      <c r="AC21" s="55" t="e">
        <f>VLOOKUP(A21,Enforcements!$C$7:$E$14,3,0)</f>
        <v>#N/A</v>
      </c>
      <c r="AD21" s="56" t="str">
        <f t="shared" si="11"/>
        <v>0109-11</v>
      </c>
      <c r="AE21" s="85" t="str">
        <f t="shared" si="12"/>
        <v>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 &amp; 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</v>
      </c>
      <c r="AF21" s="82" t="str">
        <f t="shared" si="13"/>
        <v>"C:\Program Files (x86)\AstroGrep\AstroGrep.exe" /spath="%USERPROFILE%\AppData\Local\Temp\OnboardLogs" /stypes="app*4031*20170211*"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109-11 --locoid 4031 --swversion DE.1.0.8.0 --startMP 204:437 --initTime 2017-02-11T04:43:29 --startdatetime 2017-02-11T04:45:25 --delay 1 --endMP 204:233346 --enddatetime 2017-02-11T05:23:10 --enforcementcount 1 &gt;&gt;C:\Users\stu\Documents\GitHub\eaglep3-reporting\EC\2017-02-11-refined-times.txt</v>
      </c>
      <c r="AI21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{"issue":{"subject":"","project_id":79,"tracker_id":40,"status_id":1,"priority_id":2,"assigned_to_id":23,"start_date":"2017-02-11","description":"","custom_fields":[{"id":1,"name":"Subdivision","value":"EC"},{"id":4,"name":"Milepost","value":"23.3346"},{"id":17,"name":"Train ID","value":"109-11"},{"id":16,"name":"Locomotive ID","value":"4031"},{"id":130,"name":"Impact","value":""},{"id":150,"name":"Time of Event (Mountain Time)","value":"05:23:10"},{"id":151,"name":"Denver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4031 --day 2017-02-11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2017-02-11-UncaughtWiMAX.txt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560</v>
      </c>
      <c r="B22" s="7">
        <v>4032</v>
      </c>
      <c r="C22" s="21" t="s">
        <v>193</v>
      </c>
      <c r="D22" s="21" t="s">
        <v>496</v>
      </c>
      <c r="E22" s="13">
        <v>42777.230983796297</v>
      </c>
      <c r="F22" s="13">
        <v>42777.237037037034</v>
      </c>
      <c r="G22" s="7">
        <v>1</v>
      </c>
      <c r="H22" s="21" t="s">
        <v>221</v>
      </c>
      <c r="I22" s="13">
        <v>42777.266805555555</v>
      </c>
      <c r="J22" s="7">
        <v>1</v>
      </c>
      <c r="K22" s="98" t="str">
        <f t="shared" si="0"/>
        <v>4031/4032</v>
      </c>
      <c r="L22" s="21" t="str">
        <f>VLOOKUP(A22,'Trips&amp;Operators'!$C$1:$G$99999,5,FALSE)</f>
        <v>OUN ZACK</v>
      </c>
      <c r="M22" s="6">
        <f t="shared" si="1"/>
        <v>2.976851852145046E-2</v>
      </c>
      <c r="N22" s="7">
        <f t="shared" si="2"/>
        <v>42.866666670888662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7" t="str">
        <f t="shared" si="5"/>
        <v>https://d0f6bd738d7f1b3e5a7ca70fe4ff75f0.us-east-1.aws.found.io/app/kibana#/discover/Steve-Slow-Train-Analysis-(2080s-and-2083s)?_g=(refreshInterval:(display:Off,pause:!f,section:0,value:0),time:(from:'2017-02-11T04:32:37-0700',mode:absolute,to:'2017-02-11T07:24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" s="188" t="str">
        <f t="shared" si="6"/>
        <v>N</v>
      </c>
      <c r="X22" s="188">
        <f t="shared" si="7"/>
        <v>1</v>
      </c>
      <c r="Y22" s="62">
        <f t="shared" si="8"/>
        <v>23.303999999999998</v>
      </c>
      <c r="Z22" s="62">
        <f t="shared" si="9"/>
        <v>1.54E-2</v>
      </c>
      <c r="AA22" s="62">
        <f t="shared" si="10"/>
        <v>23.288599999999999</v>
      </c>
      <c r="AB22" s="59" t="e">
        <f>VLOOKUP(A22,Enforcements!$C$7:$K$14,8,0)</f>
        <v>#N/A</v>
      </c>
      <c r="AC22" s="55" t="e">
        <f>VLOOKUP(A22,Enforcements!$C$7:$E$14,3,0)</f>
        <v>#N/A</v>
      </c>
      <c r="AD22" s="56" t="str">
        <f t="shared" si="11"/>
        <v>0110-11</v>
      </c>
      <c r="AE22" s="85" t="str">
        <f t="shared" si="12"/>
        <v>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 &amp; 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</v>
      </c>
      <c r="AF22" s="82" t="str">
        <f t="shared" si="13"/>
        <v>"C:\Program Files (x86)\AstroGrep\AstroGrep.exe" /spath="%USERPROFILE%\AppData\Local\Temp\OnboardLogs" /stypes="app*4032*20170211*"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110-11 --locoid 4032 --swversion DE.1.0.8.0 --startMP 204:233040 --initTime 2017-02-11T05:32:37 --startdatetime 2017-02-11T05:41:20 --delay 1 --endMP 204:154 --enddatetime 2017-02-11T06:24:12 --enforcementcount 1 &gt;&gt;C:\Users\stu\Documents\GitHub\eaglep3-reporting\EC\2017-02-11-refined-times.txt</v>
      </c>
      <c r="AI22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{"issue":{"subject":"","project_id":79,"tracker_id":40,"status_id":1,"priority_id":2,"assigned_to_id":23,"start_date":"2017-02-11","description":"","custom_fields":[{"id":1,"name":"Subdivision","value":"EC"},{"id":4,"name":"Milepost","value":"0.0154"},{"id":17,"name":"Train ID","value":"110-11"},{"id":16,"name":"Locomotive ID","value":"4032"},{"id":130,"name":"Impact","value":""},{"id":150,"name":"Time of Event (Mountain Time)","value":"06:24:12"},{"id":151,"name":"Denver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4032 --day 2017-02-11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2017-02-11-UncaughtWiMAX.txt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513</v>
      </c>
      <c r="B23" s="7">
        <v>4020</v>
      </c>
      <c r="C23" s="21" t="s">
        <v>193</v>
      </c>
      <c r="D23" s="21" t="s">
        <v>740</v>
      </c>
      <c r="E23" s="13">
        <v>42777.208703703705</v>
      </c>
      <c r="F23" s="13">
        <v>42777.210520833331</v>
      </c>
      <c r="G23" s="7">
        <v>1</v>
      </c>
      <c r="H23" s="21" t="s">
        <v>741</v>
      </c>
      <c r="I23" s="13">
        <v>42777.234849537039</v>
      </c>
      <c r="J23" s="7">
        <v>1</v>
      </c>
      <c r="K23" s="98" t="str">
        <f t="shared" si="0"/>
        <v>4019/4020</v>
      </c>
      <c r="L23" s="21" t="str">
        <f>VLOOKUP(A23,'Trips&amp;Operators'!$C$1:$G$99999,5,FALSE)</f>
        <v>LOZA FIDEL</v>
      </c>
      <c r="M23" s="6">
        <f t="shared" si="1"/>
        <v>2.4328703708306421E-2</v>
      </c>
      <c r="N23" s="7">
        <f t="shared" si="2"/>
        <v>35.033333339961246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7" t="str">
        <f t="shared" si="5"/>
        <v>https://d0f6bd738d7f1b3e5a7ca70fe4ff75f0.us-east-1.aws.found.io/app/kibana#/discover/Steve-Slow-Train-Analysis-(2080s-and-2083s)?_g=(refreshInterval:(display:Off,pause:!f,section:0,value:0),time:(from:'2017-02-11T04:00:32-0700',mode:absolute,to:'2017-02-11T06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" s="188" t="str">
        <f t="shared" si="6"/>
        <v>N</v>
      </c>
      <c r="X23" s="188">
        <f t="shared" si="7"/>
        <v>1</v>
      </c>
      <c r="Y23" s="62">
        <f t="shared" si="8"/>
        <v>7.46E-2</v>
      </c>
      <c r="Z23" s="62">
        <f t="shared" si="9"/>
        <v>23.332999999999998</v>
      </c>
      <c r="AA23" s="62">
        <f t="shared" si="10"/>
        <v>23.258399999999998</v>
      </c>
      <c r="AB23" s="59" t="str">
        <f>VLOOKUP(A23,Enforcements!$C$7:$K$14,8,0)</f>
        <v>Bulletin (2)</v>
      </c>
      <c r="AC23" s="55" t="str">
        <f>VLOOKUP(A23,Enforcements!$C$7:$E$14,3,0)</f>
        <v>GRADE CROSSING</v>
      </c>
      <c r="AD23" s="56" t="str">
        <f t="shared" si="11"/>
        <v>0111-11</v>
      </c>
      <c r="AE23" s="85" t="str">
        <f t="shared" si="12"/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AF23" s="82" t="str">
        <f t="shared" si="13"/>
        <v>"C:\Program Files (x86)\AstroGrep\AstroGrep.exe" /spath="%USERPROFILE%\AppData\Local\Temp\OnboardLogs" /stypes="app*4020*20170211*"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111-11 --locoid 4020 --swversion DE.1.0.8.0 --startMP 204:746 --initTime 2017-02-11T05:00:32 --startdatetime 2017-02-11T05:03:09 --delay 1 --endMP 204:233330 --enddatetime 2017-02-11T05:38:11 --enforcementcount 1 &gt;&gt;C:\Users\stu\Documents\GitHub\eaglep3-reporting\EC\2017-02-11-refined-times.txt</v>
      </c>
      <c r="AI23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{"issue":{"subject":"","project_id":79,"tracker_id":40,"status_id":1,"priority_id":2,"assigned_to_id":23,"start_date":"2017-02-11","description":"","custom_fields":[{"id":1,"name":"Subdivision","value":"EC"},{"id":4,"name":"Milepost","value":"23.333"},{"id":17,"name":"Train ID","value":"111-11"},{"id":16,"name":"Locomotive ID","value":"4020"},{"id":130,"name":"Impact","value":""},{"id":150,"name":"Time of Event (Mountain Time)","value":"05:38:11"},{"id":151,"name":"Denver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4020 --day 2017-02-11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"%USERPROFILE%\AppData\Local\Temp\OnboardLogs"\RTDC4020\*4020*20170211* | grep -SE "(Enforcement Action)|(\[TIMEOUT)|(CHR.+\|PRM\|1\|D.+(SWITCH|SIGNAL).+UNKNOWN)" - &gt;&gt; 2017-02-11-UncaughtWiMAX.txt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563</v>
      </c>
      <c r="B24" s="7">
        <v>4019</v>
      </c>
      <c r="C24" s="21" t="s">
        <v>193</v>
      </c>
      <c r="D24" s="21" t="s">
        <v>742</v>
      </c>
      <c r="E24" s="13">
        <v>42777.245381944442</v>
      </c>
      <c r="F24" s="13">
        <v>42777.247523148151</v>
      </c>
      <c r="G24" s="7">
        <v>1</v>
      </c>
      <c r="H24" s="21" t="s">
        <v>198</v>
      </c>
      <c r="I24" s="13">
        <v>42777.274733796294</v>
      </c>
      <c r="J24" s="7">
        <v>1</v>
      </c>
      <c r="K24" s="98" t="str">
        <f t="shared" si="0"/>
        <v>4019/4020</v>
      </c>
      <c r="L24" s="21" t="str">
        <f>VLOOKUP(A24,'Trips&amp;Operators'!$C$1:$G$99999,5,FALSE)</f>
        <v>LOZA FIDEL</v>
      </c>
      <c r="M24" s="6">
        <f t="shared" si="1"/>
        <v>2.7210648142499849E-2</v>
      </c>
      <c r="N24" s="7">
        <f t="shared" si="2"/>
        <v>39.183333325199783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7" t="str">
        <f t="shared" si="5"/>
        <v>https://d0f6bd738d7f1b3e5a7ca70fe4ff75f0.us-east-1.aws.found.io/app/kibana#/discover/Steve-Slow-Train-Analysis-(2080s-and-2083s)?_g=(refreshInterval:(display:Off,pause:!f,section:0,value:0),time:(from:'2017-02-11T04:53:21-0700',mode:absolute,to:'2017-02-11T07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" s="188" t="str">
        <f t="shared" si="6"/>
        <v>N</v>
      </c>
      <c r="X24" s="188">
        <f t="shared" si="7"/>
        <v>1</v>
      </c>
      <c r="Y24" s="62">
        <f t="shared" si="8"/>
        <v>23.301100000000002</v>
      </c>
      <c r="Z24" s="62">
        <f t="shared" si="9"/>
        <v>1.4500000000000001E-2</v>
      </c>
      <c r="AA24" s="62">
        <f t="shared" si="10"/>
        <v>23.2866</v>
      </c>
      <c r="AB24" s="59" t="e">
        <f>VLOOKUP(A24,Enforcements!$C$7:$K$14,8,0)</f>
        <v>#N/A</v>
      </c>
      <c r="AC24" s="55" t="e">
        <f>VLOOKUP(A24,Enforcements!$C$7:$E$14,3,0)</f>
        <v>#N/A</v>
      </c>
      <c r="AD24" s="56" t="str">
        <f t="shared" si="11"/>
        <v>0112-11</v>
      </c>
      <c r="AE24" s="85" t="str">
        <f t="shared" si="12"/>
        <v>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 &amp; 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</v>
      </c>
      <c r="AF24" s="82" t="str">
        <f t="shared" si="13"/>
        <v>"C:\Program Files (x86)\AstroGrep\AstroGrep.exe" /spath="%USERPROFILE%\AppData\Local\Temp\OnboardLogs" /stypes="app*4019*20170211*"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112-11 --locoid 4019 --swversion DE.1.0.8.0 --startMP 204:233011 --initTime 2017-02-11T05:53:21 --startdatetime 2017-02-11T05:56:26 --delay 1 --endMP 204:145 --enddatetime 2017-02-11T06:35:37 --enforcementcount 1 &gt;&gt;C:\Users\stu\Documents\GitHub\eaglep3-reporting\EC\2017-02-11-refined-times.txt</v>
      </c>
      <c r="AI24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{"issue":{"subject":"","project_id":79,"tracker_id":40,"status_id":1,"priority_id":2,"assigned_to_id":23,"start_date":"2017-02-11","description":"","custom_fields":[{"id":1,"name":"Subdivision","value":"EC"},{"id":4,"name":"Milepost","value":"0.0145"},{"id":17,"name":"Train ID","value":"112-11"},{"id":16,"name":"Locomotive ID","value":"4019"},{"id":130,"name":"Impact","value":""},{"id":150,"name":"Time of Event (Mountain Time)","value":"06:35:37"},{"id":151,"name":"Denver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4019 --day 2017-02-11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"%USERPROFILE%\AppData\Local\Temp\OnboardLogs"\RTDC4019\*4019*20170211* | grep -SE "(Enforcement Action)|(\[TIMEOUT)|(CHR.+\|PRM\|1\|D.+(SWITCH|SIGNAL).+UNKNOWN)" - &gt;&gt; 2017-02-11-UncaughtWiMAX.txt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555</v>
      </c>
      <c r="B25" s="7">
        <v>4029</v>
      </c>
      <c r="C25" s="21" t="s">
        <v>193</v>
      </c>
      <c r="D25" s="21" t="s">
        <v>281</v>
      </c>
      <c r="E25" s="13">
        <v>42777.213599537034</v>
      </c>
      <c r="F25" s="13">
        <v>42777.218831018516</v>
      </c>
      <c r="G25" s="7">
        <v>1</v>
      </c>
      <c r="H25" s="21" t="s">
        <v>311</v>
      </c>
      <c r="I25" s="13">
        <v>42777.246180555558</v>
      </c>
      <c r="J25" s="7">
        <v>1</v>
      </c>
      <c r="K25" s="98" t="str">
        <f t="shared" si="0"/>
        <v>4029/4030</v>
      </c>
      <c r="L25" s="21" t="str">
        <f>VLOOKUP(A25,'Trips&amp;Operators'!$C$1:$G$99999,5,FALSE)</f>
        <v>BADERTSCHER DIANE</v>
      </c>
      <c r="M25" s="6">
        <f t="shared" si="1"/>
        <v>2.7349537042027805E-2</v>
      </c>
      <c r="N25" s="7">
        <f t="shared" si="2"/>
        <v>39.383333340520039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 t="shared" si="5"/>
        <v>https://d0f6bd738d7f1b3e5a7ca70fe4ff75f0.us-east-1.aws.found.io/app/kibana#/discover/Steve-Slow-Train-Analysis-(2080s-and-2083s)?_g=(refreshInterval:(display:Off,pause:!f,section:0,value:0),time:(from:'2017-02-11T04:07:35-0700',mode:absolute,to:'2017-02-11T06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5" s="188" t="str">
        <f t="shared" si="6"/>
        <v>N</v>
      </c>
      <c r="X25" s="188">
        <f t="shared" si="7"/>
        <v>1</v>
      </c>
      <c r="Y25" s="62">
        <f t="shared" si="8"/>
        <v>4.5499999999999999E-2</v>
      </c>
      <c r="Z25" s="62">
        <f t="shared" si="9"/>
        <v>23.3293</v>
      </c>
      <c r="AA25" s="62">
        <f t="shared" si="10"/>
        <v>23.283799999999999</v>
      </c>
      <c r="AB25" s="59" t="e">
        <f>VLOOKUP(A25,Enforcements!$C$7:$K$14,8,0)</f>
        <v>#N/A</v>
      </c>
      <c r="AC25" s="55" t="e">
        <f>VLOOKUP(A25,Enforcements!$C$7:$E$14,3,0)</f>
        <v>#N/A</v>
      </c>
      <c r="AD25" s="56" t="str">
        <f t="shared" si="11"/>
        <v>0113-11</v>
      </c>
      <c r="AE25" s="85" t="str">
        <f t="shared" si="12"/>
        <v>aws s3 cp s3://rtdc.mdm.uploadarchive.raw/RTDC4029/ "%USERPROFILE%\AppData\Local\Temp\OnboardLogs"\RTDC4029\2017-02-11 --exclude "*" --recursive --include "*20170211*" &amp; "%USERPROFILE%\Documents\GitHub\mrs-test-scripts\Headless Mode &amp; Sideloading\WalkAndUnGZ.bat" "%USERPROFILE%\AppData\Local\Temp\OnboardLogs"\RTDC4029\2017-02-11 &amp; 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</v>
      </c>
      <c r="AF25" s="82" t="str">
        <f t="shared" si="13"/>
        <v>"C:\Program Files (x86)\AstroGrep\AstroGrep.exe" /spath="%USERPROFILE%\AppData\Local\Temp\OnboardLogs" /stypes="app*4029*20170211*"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113-11 --locoid 4029 --swversion DE.1.0.8.0 --startMP 204:455 --initTime 2017-02-11T05:07:35 --startdatetime 2017-02-11T05:15:07 --delay 1 --endMP 204:233293 --enddatetime 2017-02-11T05:54:30 --enforcementcount 1 &gt;&gt;C:\Users\stu\Documents\GitHub\eaglep3-reporting\EC\2017-02-11-refined-times.txt</v>
      </c>
      <c r="AI25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{"issue":{"subject":"","project_id":79,"tracker_id":40,"status_id":1,"priority_id":2,"assigned_to_id":23,"start_date":"2017-02-11","description":"","custom_fields":[{"id":1,"name":"Subdivision","value":"EC"},{"id":4,"name":"Milepost","value":"23.3293"},{"id":17,"name":"Train ID","value":"113-11"},{"id":16,"name":"Locomotive ID","value":"4029"},{"id":130,"name":"Impact","value":""},{"id":150,"name":"Time of Event (Mountain Time)","value":"05:54:30"},{"id":151,"name":"Denver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4029 --day 2017-02-11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"%USERPROFILE%\AppData\Local\Temp\OnboardLogs"\RTDC4029\*4029*20170211* | grep -SE "(Enforcement Action)|(\[TIMEOUT)|(CHR.+\|PRM\|1\|D.+(SWITCH|SIGNAL).+UNKNOWN)" - &gt;&gt; 2017-02-11-UncaughtWiMAX.txt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566</v>
      </c>
      <c r="B26" s="7">
        <v>4030</v>
      </c>
      <c r="C26" s="21" t="s">
        <v>193</v>
      </c>
      <c r="D26" s="21" t="s">
        <v>743</v>
      </c>
      <c r="E26" s="13">
        <v>42777.252893518518</v>
      </c>
      <c r="F26" s="13">
        <v>42777.257824074077</v>
      </c>
      <c r="G26" s="7">
        <v>1</v>
      </c>
      <c r="H26" s="21" t="s">
        <v>484</v>
      </c>
      <c r="I26" s="13">
        <v>42777.286307870374</v>
      </c>
      <c r="J26" s="7">
        <v>1</v>
      </c>
      <c r="K26" s="98" t="str">
        <f t="shared" si="0"/>
        <v>4029/4030</v>
      </c>
      <c r="L26" s="21" t="str">
        <f>VLOOKUP(A26,'Trips&amp;Operators'!$C$1:$G$99999,5,FALSE)</f>
        <v>BADERTSCHER DIANE</v>
      </c>
      <c r="M26" s="6">
        <f t="shared" si="1"/>
        <v>2.8483796297223307E-2</v>
      </c>
      <c r="N26" s="7">
        <f t="shared" si="2"/>
        <v>41.016666668001562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 t="shared" si="5"/>
        <v>https://d0f6bd738d7f1b3e5a7ca70fe4ff75f0.us-east-1.aws.found.io/app/kibana#/discover/Steve-Slow-Train-Analysis-(2080s-and-2083s)?_g=(refreshInterval:(display:Off,pause:!f,section:0,value:0),time:(from:'2017-02-11T05:04:10-0700',mode:absolute,to:'2017-02-11T07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6" s="188" t="str">
        <f t="shared" si="6"/>
        <v>N</v>
      </c>
      <c r="X26" s="188">
        <f t="shared" si="7"/>
        <v>1</v>
      </c>
      <c r="Y26" s="62">
        <f t="shared" si="8"/>
        <v>23.2959</v>
      </c>
      <c r="Z26" s="62">
        <f t="shared" si="9"/>
        <v>1.5599999999999999E-2</v>
      </c>
      <c r="AA26" s="62">
        <f t="shared" si="10"/>
        <v>23.2803</v>
      </c>
      <c r="AB26" s="59" t="e">
        <f>VLOOKUP(A26,Enforcements!$C$7:$K$14,8,0)</f>
        <v>#N/A</v>
      </c>
      <c r="AC26" s="55" t="e">
        <f>VLOOKUP(A26,Enforcements!$C$7:$E$14,3,0)</f>
        <v>#N/A</v>
      </c>
      <c r="AD26" s="56" t="str">
        <f t="shared" si="11"/>
        <v>0114-11</v>
      </c>
      <c r="AE26" s="85" t="str">
        <f t="shared" si="12"/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AF26" s="82" t="str">
        <f t="shared" si="13"/>
        <v>"C:\Program Files (x86)\AstroGrep\AstroGrep.exe" /spath="%USERPROFILE%\AppData\Local\Temp\OnboardLogs" /stypes="app*4030*20170211*"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114-11 --locoid 4030 --swversion DE.1.0.8.0 --startMP 204:232959 --initTime 2017-02-11T06:04:10 --startdatetime 2017-02-11T06:11:16 --delay 1 --endMP 204:156 --enddatetime 2017-02-11T06:52:17 --enforcementcount 1 &gt;&gt;C:\Users\stu\Documents\GitHub\eaglep3-reporting\EC\2017-02-11-refined-times.txt</v>
      </c>
      <c r="AI26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{"issue":{"subject":"","project_id":79,"tracker_id":40,"status_id":1,"priority_id":2,"assigned_to_id":23,"start_date":"2017-02-11","description":"","custom_fields":[{"id":1,"name":"Subdivision","value":"EC"},{"id":4,"name":"Milepost","value":"0.0156"},{"id":17,"name":"Train ID","value":"114-11"},{"id":16,"name":"Locomotive ID","value":"4030"},{"id":130,"name":"Impact","value":""},{"id":150,"name":"Time of Event (Mountain Time)","value":"06:52:17"},{"id":151,"name":"Denver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4030 --day 2017-02-11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"%USERPROFILE%\AppData\Local\Temp\OnboardLogs"\RTDC4030\*4030*20170211* | grep -SE "(Enforcement Action)|(\[TIMEOUT)|(CHR.+\|PRM\|1\|D.+(SWITCH|SIGNAL).+UNKNOWN)" - &gt;&gt; 2017-02-11-UncaughtWiMAX.txt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558</v>
      </c>
      <c r="B27" s="7">
        <v>4011</v>
      </c>
      <c r="C27" s="21" t="s">
        <v>193</v>
      </c>
      <c r="D27" s="21" t="s">
        <v>500</v>
      </c>
      <c r="E27" s="13">
        <v>42777.224930555552</v>
      </c>
      <c r="F27" s="13">
        <v>42777.229641203703</v>
      </c>
      <c r="G27" s="7">
        <v>1</v>
      </c>
      <c r="H27" s="21" t="s">
        <v>355</v>
      </c>
      <c r="I27" s="13">
        <v>42777.254432870373</v>
      </c>
      <c r="J27" s="7">
        <v>1</v>
      </c>
      <c r="K27" s="98" t="str">
        <f t="shared" si="0"/>
        <v>4011/4012</v>
      </c>
      <c r="L27" s="21" t="str">
        <f>VLOOKUP(A27,'Trips&amp;Operators'!$C$1:$G$99999,5,FALSE)</f>
        <v>GEBRETEKLE DAGNEW</v>
      </c>
      <c r="M27" s="6">
        <f t="shared" si="1"/>
        <v>2.4791666670353152E-2</v>
      </c>
      <c r="N27" s="7">
        <f t="shared" si="2"/>
        <v>35.700000005308539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 t="shared" si="5"/>
        <v>https://d0f6bd738d7f1b3e5a7ca70fe4ff75f0.us-east-1.aws.found.io/app/kibana#/discover/Steve-Slow-Train-Analysis-(2080s-and-2083s)?_g=(refreshInterval:(display:Off,pause:!f,section:0,value:0),time:(from:'2017-02-11T04:23:54-0700',mode:absolute,to:'2017-02-11T07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" s="188" t="str">
        <f t="shared" si="6"/>
        <v>N</v>
      </c>
      <c r="X27" s="188">
        <f t="shared" si="7"/>
        <v>1</v>
      </c>
      <c r="Y27" s="62">
        <f t="shared" si="8"/>
        <v>7.1499999999999994E-2</v>
      </c>
      <c r="Z27" s="62">
        <f t="shared" si="9"/>
        <v>23.3276</v>
      </c>
      <c r="AA27" s="62">
        <f t="shared" si="10"/>
        <v>23.2561</v>
      </c>
      <c r="AB27" s="59" t="e">
        <f>VLOOKUP(A27,Enforcements!$C$7:$K$14,8,0)</f>
        <v>#N/A</v>
      </c>
      <c r="AC27" s="55" t="e">
        <f>VLOOKUP(A27,Enforcements!$C$7:$E$14,3,0)</f>
        <v>#N/A</v>
      </c>
      <c r="AD27" s="56" t="str">
        <f t="shared" si="11"/>
        <v>0115-11</v>
      </c>
      <c r="AE27" s="85" t="str">
        <f t="shared" si="12"/>
        <v>aws s3 cp s3://rtdc.mdm.uploadarchive.raw/RTDC4011/ "%USERPROFILE%\AppData\Local\Temp\OnboardLogs"\RTDC4011\2017-02-11 --exclude "*" --recursive --include "*20170211*" &amp; "%USERPROFILE%\Documents\GitHub\mrs-test-scripts\Headless Mode &amp; Sideloading\WalkAndUnGZ.bat" "%USERPROFILE%\AppData\Local\Temp\OnboardLogs"\RTDC4011\2017-02-11 &amp; 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</v>
      </c>
      <c r="AF27" s="82" t="str">
        <f t="shared" si="13"/>
        <v>"C:\Program Files (x86)\AstroGrep\AstroGrep.exe" /spath="%USERPROFILE%\AppData\Local\Temp\OnboardLogs" /stypes="app*4011*20170211*"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115-11 --locoid 4011 --swversion DE.1.0.8.0 --startMP 204:715 --initTime 2017-02-11T05:23:54 --startdatetime 2017-02-11T05:30:41 --delay 1 --endMP 204:233276 --enddatetime 2017-02-11T06:06:23 --enforcementcount 1 &gt;&gt;C:\Users\stu\Documents\GitHub\eaglep3-reporting\EC\2017-02-11-refined-times.txt</v>
      </c>
      <c r="AI27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{"issue":{"subject":"","project_id":79,"tracker_id":40,"status_id":1,"priority_id":2,"assigned_to_id":23,"start_date":"2017-02-11","description":"","custom_fields":[{"id":1,"name":"Subdivision","value":"EC"},{"id":4,"name":"Milepost","value":"23.3276"},{"id":17,"name":"Train ID","value":"115-11"},{"id":16,"name":"Locomotive ID","value":"4011"},{"id":130,"name":"Impact","value":""},{"id":150,"name":"Time of Event (Mountain Time)","value":"06:06:23"},{"id":151,"name":"Denver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4011 --day 2017-02-11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"%USERPROFILE%\AppData\Local\Temp\OnboardLogs"\RTDC4011\*4011*20170211* | grep -SE "(Enforcement Action)|(\[TIMEOUT)|(CHR.+\|PRM\|1\|D.+(SWITCH|SIGNAL).+UNKNOWN)" - &gt;&gt; 2017-02-11-UncaughtWiMAX.txt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568</v>
      </c>
      <c r="B28" s="7">
        <v>4012</v>
      </c>
      <c r="C28" s="21" t="s">
        <v>193</v>
      </c>
      <c r="D28" s="21" t="s">
        <v>744</v>
      </c>
      <c r="E28" s="13">
        <v>42777.264699074076</v>
      </c>
      <c r="F28" s="13">
        <v>42777.268240740741</v>
      </c>
      <c r="G28" s="7">
        <v>1</v>
      </c>
      <c r="H28" s="21" t="s">
        <v>195</v>
      </c>
      <c r="I28" s="13">
        <v>42777.296064814815</v>
      </c>
      <c r="J28" s="7">
        <v>1</v>
      </c>
      <c r="K28" s="98" t="str">
        <f t="shared" si="0"/>
        <v>4011/4012</v>
      </c>
      <c r="L28" s="21" t="str">
        <f>VLOOKUP(A28,'Trips&amp;Operators'!$C$1:$G$99999,5,FALSE)</f>
        <v>GEBRETEKLE DAGNEW</v>
      </c>
      <c r="M28" s="6">
        <f t="shared" si="1"/>
        <v>2.7824074073578231E-2</v>
      </c>
      <c r="N28" s="7">
        <f t="shared" si="2"/>
        <v>40.066666665952653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 t="shared" si="5"/>
        <v>https://d0f6bd738d7f1b3e5a7ca70fe4ff75f0.us-east-1.aws.found.io/app/kibana#/discover/Steve-Slow-Train-Analysis-(2080s-and-2083s)?_g=(refreshInterval:(display:Off,pause:!f,section:0,value:0),time:(from:'2017-02-11T05:21:10-0700',mode:absolute,to:'2017-02-11T08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8" s="188" t="str">
        <f t="shared" si="6"/>
        <v>N</v>
      </c>
      <c r="X28" s="188">
        <f t="shared" si="7"/>
        <v>1</v>
      </c>
      <c r="Y28" s="62">
        <f t="shared" si="8"/>
        <v>23.296700000000001</v>
      </c>
      <c r="Z28" s="62">
        <f t="shared" si="9"/>
        <v>1.4999999999999999E-2</v>
      </c>
      <c r="AA28" s="62">
        <f t="shared" si="10"/>
        <v>23.281700000000001</v>
      </c>
      <c r="AB28" s="59" t="e">
        <f>VLOOKUP(A28,Enforcements!$C$7:$K$14,8,0)</f>
        <v>#N/A</v>
      </c>
      <c r="AC28" s="55" t="e">
        <f>VLOOKUP(A28,Enforcements!$C$7:$E$14,3,0)</f>
        <v>#N/A</v>
      </c>
      <c r="AD28" s="56" t="str">
        <f t="shared" si="11"/>
        <v>0116-11</v>
      </c>
      <c r="AE28" s="85" t="str">
        <f t="shared" si="12"/>
        <v>aws s3 cp s3://rtdc.mdm.uploadarchive.raw/RTDC4012/ "%USERPROFILE%\AppData\Local\Temp\OnboardLogs"\RTDC4012\2017-02-11 --exclude "*" --recursive --include "*20170211*" &amp; "%USERPROFILE%\Documents\GitHub\mrs-test-scripts\Headless Mode &amp; Sideloading\WalkAndUnGZ.bat" "%USERPROFILE%\AppData\Local\Temp\OnboardLogs"\RTDC4012\2017-02-11 &amp; aws s3 cp s3://rtdc.mdm.uploadarchive.raw/RTDC4012/ "%USERPROFILE%\AppData\Local\Temp\OnboardLogs"\RTDC4012\2017-02-12 --exclude "*" --recursive --include "*20170212*" &amp; "%USERPROFILE%\Documents\GitHub\mrs-test-scripts\Headless Mode &amp; Sideloading\WalkAndUnGZ.bat" "%USERPROFILE%\AppData\Local\Temp\OnboardLogs"\RTDC4012\2017-02-12</v>
      </c>
      <c r="AF28" s="82" t="str">
        <f t="shared" si="13"/>
        <v>"C:\Program Files (x86)\AstroGrep\AstroGrep.exe" /spath="%USERPROFILE%\AppData\Local\Temp\OnboardLogs" /stypes="app*4012*20170211*"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116-11 --locoid 4012 --swversion DE.1.0.8.0 --startMP 204:232967 --initTime 2017-02-11T06:21:10 --startdatetime 2017-02-11T06:26:16 --delay 1 --endMP 204:150 --enddatetime 2017-02-11T07:06:20 --enforcementcount 1 &gt;&gt;C:\Users\stu\Documents\GitHub\eaglep3-reporting\EC\2017-02-11-refined-times.txt</v>
      </c>
      <c r="AI28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{"issue":{"subject":"","project_id":79,"tracker_id":40,"status_id":1,"priority_id":2,"assigned_to_id":23,"start_date":"2017-02-11","description":"","custom_fields":[{"id":1,"name":"Subdivision","value":"EC"},{"id":4,"name":"Milepost","value":"0.015"},{"id":17,"name":"Train ID","value":"116-11"},{"id":16,"name":"Locomotive ID","value":"4012"},{"id":130,"name":"Impact","value":""},{"id":150,"name":"Time of Event (Mountain Time)","value":"07:06:20"},{"id":151,"name":"Denver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4012 --day 2017-02-11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"%USERPROFILE%\AppData\Local\Temp\OnboardLogs"\RTDC4012\*4012*20170211* | grep -SE "(Enforcement Action)|(\[TIMEOUT)|(CHR.+\|PRM\|1\|D.+(SWITCH|SIGNAL).+UNKNOWN)" - &gt;&gt; 2017-02-11-UncaughtWiMAX.txt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562</v>
      </c>
      <c r="B29" s="7">
        <v>4044</v>
      </c>
      <c r="C29" s="21" t="s">
        <v>193</v>
      </c>
      <c r="D29" s="21" t="s">
        <v>745</v>
      </c>
      <c r="E29" s="13">
        <v>42777.244074074071</v>
      </c>
      <c r="F29" s="13">
        <v>42777.246527777781</v>
      </c>
      <c r="G29" s="7">
        <v>2</v>
      </c>
      <c r="H29" s="21" t="s">
        <v>746</v>
      </c>
      <c r="I29" s="13">
        <v>42777.274629629632</v>
      </c>
      <c r="J29" s="7">
        <v>1</v>
      </c>
      <c r="K29" s="98" t="str">
        <f t="shared" si="0"/>
        <v>4043/4044</v>
      </c>
      <c r="L29" s="21" t="str">
        <f>VLOOKUP(A29,'Trips&amp;Operators'!$C$1:$G$99999,5,FALSE)</f>
        <v>ROBINSON KADDIBA</v>
      </c>
      <c r="M29" s="6">
        <f t="shared" si="1"/>
        <v>2.810185185080627E-2</v>
      </c>
      <c r="N29" s="7">
        <f t="shared" si="2"/>
        <v>40.466666665161029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 t="shared" si="5"/>
        <v>https://d0f6bd738d7f1b3e5a7ca70fe4ff75f0.us-east-1.aws.found.io/app/kibana#/discover/Steve-Slow-Train-Analysis-(2080s-and-2083s)?_g=(refreshInterval:(display:Off,pause:!f,section:0,value:0),time:(from:'2017-02-11T04:51:28-0700',mode:absolute,to:'2017-02-11T07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188" t="str">
        <f t="shared" si="6"/>
        <v>N</v>
      </c>
      <c r="X29" s="188">
        <f t="shared" ref="X29:X32" si="21">VALUE(LEFT(AD29,4))-VALUE(LEFT(AD28,4))</f>
        <v>1</v>
      </c>
      <c r="Y29" s="62">
        <f t="shared" si="8"/>
        <v>0.11749999999999999</v>
      </c>
      <c r="Z29" s="62">
        <f t="shared" si="9"/>
        <v>23.328299999999999</v>
      </c>
      <c r="AA29" s="62">
        <f t="shared" si="10"/>
        <v>23.210799999999999</v>
      </c>
      <c r="AB29" s="59" t="e">
        <f>VLOOKUP(A29,Enforcements!$C$7:$K$14,8,0)</f>
        <v>#N/A</v>
      </c>
      <c r="AC29" s="55" t="e">
        <f>VLOOKUP(A29,Enforcements!$C$7:$E$14,3,0)</f>
        <v>#N/A</v>
      </c>
      <c r="AD29" s="56" t="str">
        <f t="shared" si="11"/>
        <v>0117-11</v>
      </c>
      <c r="AE29" s="85" t="str">
        <f t="shared" si="12"/>
        <v>aws s3 cp s3://rtdc.mdm.uploadarchive.raw/RTDC4044/ "%USERPROFILE%\AppData\Local\Temp\OnboardLogs"\RTDC4044\2017-02-11 --exclude "*" --recursive --include "*20170211*" &amp; "%USERPROFILE%\Documents\GitHub\mrs-test-scripts\Headless Mode &amp; Sideloading\WalkAndUnGZ.bat" "%USERPROFILE%\AppData\Local\Temp\OnboardLogs"\RTDC4044\2017-02-11 &amp; aws s3 cp s3://rtdc.mdm.uploadarchive.raw/RTDC4044/ "%USERPROFILE%\AppData\Local\Temp\OnboardLogs"\RTDC4044\2017-02-12 --exclude "*" --recursive --include "*20170212*" &amp; "%USERPROFILE%\Documents\GitHub\mrs-test-scripts\Headless Mode &amp; Sideloading\WalkAndUnGZ.bat" "%USERPROFILE%\AppData\Local\Temp\OnboardLogs"\RTDC4044\2017-02-12</v>
      </c>
      <c r="AF29" s="82" t="str">
        <f t="shared" si="13"/>
        <v>"C:\Program Files (x86)\AstroGrep\AstroGrep.exe" /spath="%USERPROFILE%\AppData\Local\Temp\OnboardLogs" /stypes="app*4044*20170211*"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117-11 --locoid 4044 --swversion DE.1.0.8.0 --startMP 204:1175 --initTime 2017-02-11T05:51:28 --startdatetime 2017-02-11T05:55:00 --delay 2 --endMP 204:233283 --enddatetime 2017-02-11T06:35:28 --enforcementcount 1 &gt;&gt;C:\Users\stu\Documents\GitHub\eaglep3-reporting\EC\2017-02-11-refined-times.txt</v>
      </c>
      <c r="AI29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{"issue":{"subject":"","project_id":79,"tracker_id":40,"status_id":1,"priority_id":2,"assigned_to_id":23,"start_date":"2017-02-11","description":"","custom_fields":[{"id":1,"name":"Subdivision","value":"EC"},{"id":4,"name":"Milepost","value":"23.3283"},{"id":17,"name":"Train ID","value":"117-11"},{"id":16,"name":"Locomotive ID","value":"4044"},{"id":130,"name":"Impact","value":""},{"id":150,"name":"Time of Event (Mountain Time)","value":"06:35:28"},{"id":151,"name":"Denver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4044 --day 2017-02-11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"%USERPROFILE%\AppData\Local\Temp\OnboardLogs"\RTDC4044\*4044*20170211* | grep -SE "(Enforcement Action)|(\[TIMEOUT)|(CHR.+\|PRM\|1\|D.+(SWITCH|SIGNAL).+UNKNOWN)" - &gt;&gt; 2017-02-11-UncaughtWiMAX.txt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570</v>
      </c>
      <c r="B30" s="7">
        <v>4043</v>
      </c>
      <c r="C30" s="21" t="s">
        <v>193</v>
      </c>
      <c r="D30" s="21" t="s">
        <v>303</v>
      </c>
      <c r="E30" s="13">
        <v>42777.276342592595</v>
      </c>
      <c r="F30" s="13">
        <v>42777.278622685182</v>
      </c>
      <c r="G30" s="7">
        <v>1</v>
      </c>
      <c r="H30" s="21" t="s">
        <v>195</v>
      </c>
      <c r="I30" s="13">
        <v>42777.305185185185</v>
      </c>
      <c r="J30" s="7">
        <v>1</v>
      </c>
      <c r="K30" s="98" t="str">
        <f t="shared" si="0"/>
        <v>4043/4044</v>
      </c>
      <c r="L30" s="21" t="str">
        <f>VLOOKUP(A30,'Trips&amp;Operators'!$C$1:$G$99999,5,FALSE)</f>
        <v>PERKINS DARREN</v>
      </c>
      <c r="M30" s="6">
        <f t="shared" si="1"/>
        <v>2.6562500002910383E-2</v>
      </c>
      <c r="N30" s="7">
        <f t="shared" si="2"/>
        <v>38.250000004190952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 t="shared" si="5"/>
        <v>https://d0f6bd738d7f1b3e5a7ca70fe4ff75f0.us-east-1.aws.found.io/app/kibana#/discover/Steve-Slow-Train-Analysis-(2080s-and-2083s)?_g=(refreshInterval:(display:Off,pause:!f,section:0,value:0),time:(from:'2017-02-11T05:37:56-0700',mode:absolute,to:'2017-02-11T08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188" t="str">
        <f t="shared" si="6"/>
        <v>N</v>
      </c>
      <c r="X30" s="188">
        <f t="shared" si="21"/>
        <v>1</v>
      </c>
      <c r="Y30" s="62">
        <f t="shared" si="8"/>
        <v>23.297699999999999</v>
      </c>
      <c r="Z30" s="62">
        <f t="shared" si="9"/>
        <v>1.4999999999999999E-2</v>
      </c>
      <c r="AA30" s="62">
        <f t="shared" si="10"/>
        <v>23.282699999999998</v>
      </c>
      <c r="AB30" s="59" t="e">
        <f>VLOOKUP(A30,Enforcements!$C$7:$K$14,8,0)</f>
        <v>#N/A</v>
      </c>
      <c r="AC30" s="55" t="e">
        <f>VLOOKUP(A30,Enforcements!$C$7:$E$14,3,0)</f>
        <v>#N/A</v>
      </c>
      <c r="AD30" s="56" t="str">
        <f t="shared" si="11"/>
        <v>0118-11</v>
      </c>
      <c r="AE30" s="85" t="str">
        <f t="shared" si="12"/>
        <v>aws s3 cp s3://rtdc.mdm.uploadarchive.raw/RTDC4043/ "%USERPROFILE%\AppData\Local\Temp\OnboardLogs"\RTDC4043\2017-02-11 --exclude "*" --recursive --include "*20170211*" &amp; "%USERPROFILE%\Documents\GitHub\mrs-test-scripts\Headless Mode &amp; Sideloading\WalkAndUnGZ.bat" "%USERPROFILE%\AppData\Local\Temp\OnboardLogs"\RTDC4043\2017-02-11 &amp; aws s3 cp s3://rtdc.mdm.uploadarchive.raw/RTDC4043/ "%USERPROFILE%\AppData\Local\Temp\OnboardLogs"\RTDC4043\2017-02-12 --exclude "*" --recursive --include "*20170212*" &amp; "%USERPROFILE%\Documents\GitHub\mrs-test-scripts\Headless Mode &amp; Sideloading\WalkAndUnGZ.bat" "%USERPROFILE%\AppData\Local\Temp\OnboardLogs"\RTDC4043\2017-02-12</v>
      </c>
      <c r="AF30" s="82" t="str">
        <f t="shared" si="13"/>
        <v>"C:\Program Files (x86)\AstroGrep\AstroGrep.exe" /spath="%USERPROFILE%\AppData\Local\Temp\OnboardLogs" /stypes="app*4043*20170211*"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118-11 --locoid 4043 --swversion DE.1.0.8.0 --startMP 204:232977 --initTime 2017-02-11T06:37:56 --startdatetime 2017-02-11T06:41:13 --delay 1 --endMP 204:150 --enddatetime 2017-02-11T07:19:28 --enforcementcount 1 &gt;&gt;C:\Users\stu\Documents\GitHub\eaglep3-reporting\EC\2017-02-11-refined-times.txt</v>
      </c>
      <c r="AI30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{"issue":{"subject":"","project_id":79,"tracker_id":40,"status_id":1,"priority_id":2,"assigned_to_id":23,"start_date":"2017-02-11","description":"","custom_fields":[{"id":1,"name":"Subdivision","value":"EC"},{"id":4,"name":"Milepost","value":"0.015"},{"id":17,"name":"Train ID","value":"118-11"},{"id":16,"name":"Locomotive ID","value":"4043"},{"id":130,"name":"Impact","value":""},{"id":150,"name":"Time of Event (Mountain Time)","value":"07:19:28"},{"id":151,"name":"Denver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4043 --day 2017-02-11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"%USERPROFILE%\AppData\Local\Temp\OnboardLogs"\RTDC4043\*4043*20170211* | grep -SE "(Enforcement Action)|(\[TIMEOUT)|(CHR.+\|PRM\|1\|D.+(SWITCH|SIGNAL).+UNKNOWN)" - &gt;&gt; 2017-02-11-UncaughtWiMAX.txt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564</v>
      </c>
      <c r="B31" s="7">
        <v>4025</v>
      </c>
      <c r="C31" s="21" t="s">
        <v>193</v>
      </c>
      <c r="D31" s="21" t="s">
        <v>747</v>
      </c>
      <c r="E31" s="13">
        <v>42777.248136574075</v>
      </c>
      <c r="F31" s="13">
        <v>42777.250254629631</v>
      </c>
      <c r="G31" s="7">
        <v>0</v>
      </c>
      <c r="H31" s="21" t="s">
        <v>332</v>
      </c>
      <c r="I31" s="13">
        <v>42777.278113425928</v>
      </c>
      <c r="J31" s="7">
        <v>1</v>
      </c>
      <c r="K31" s="98" t="str">
        <f t="shared" si="0"/>
        <v>4025/4026</v>
      </c>
      <c r="L31" s="21" t="str">
        <f>VLOOKUP(A31,'Trips&amp;Operators'!$C$1:$G$99999,5,FALSE)</f>
        <v>MAELZER KURT</v>
      </c>
      <c r="M31" s="6">
        <f t="shared" si="1"/>
        <v>2.7858796296641231E-2</v>
      </c>
      <c r="N31" s="7">
        <f t="shared" si="2"/>
        <v>40.116666667163372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 t="shared" si="5"/>
        <v>https://d0f6bd738d7f1b3e5a7ca70fe4ff75f0.us-east-1.aws.found.io/app/kibana#/discover/Steve-Slow-Train-Analysis-(2080s-and-2083s)?_g=(refreshInterval:(display:Off,pause:!f,section:0,value:0),time:(from:'2017-02-11T04:57:19-0700',mode:absolute,to:'2017-02-11T07:40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1" s="188" t="str">
        <f t="shared" si="6"/>
        <v>N</v>
      </c>
      <c r="X31" s="188">
        <f t="shared" si="21"/>
        <v>1</v>
      </c>
      <c r="Y31" s="62">
        <f t="shared" si="8"/>
        <v>7.2800000000000004E-2</v>
      </c>
      <c r="Z31" s="62">
        <f t="shared" si="9"/>
        <v>23.329699999999999</v>
      </c>
      <c r="AA31" s="62">
        <f t="shared" si="10"/>
        <v>23.256899999999998</v>
      </c>
      <c r="AB31" s="59" t="e">
        <f>VLOOKUP(A31,Enforcements!$C$7:$K$14,8,0)</f>
        <v>#N/A</v>
      </c>
      <c r="AC31" s="55" t="e">
        <f>VLOOKUP(A31,Enforcements!$C$7:$E$14,3,0)</f>
        <v>#N/A</v>
      </c>
      <c r="AD31" s="56" t="str">
        <f t="shared" si="11"/>
        <v>0119-11</v>
      </c>
      <c r="AE31" s="85" t="str">
        <f t="shared" si="12"/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AF31" s="82" t="str">
        <f t="shared" si="13"/>
        <v>"C:\Program Files (x86)\AstroGrep\AstroGrep.exe" /spath="%USERPROFILE%\AppData\Local\Temp\OnboardLogs" /stypes="app*4025*20170211*"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119-11 --locoid 4025 --swversion DE.1.0.8.0 --startMP 204:728 --initTime 2017-02-11T05:57:19 --startdatetime 2017-02-11T06:00:22 --delay 0 --endMP 204:233297 --enddatetime 2017-02-11T06:40:29 --enforcementcount 1 &gt;&gt;C:\Users\stu\Documents\GitHub\eaglep3-reporting\EC\2017-02-11-refined-times.txt</v>
      </c>
      <c r="AI31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{"issue":{"subject":"","project_id":79,"tracker_id":40,"status_id":1,"priority_id":2,"assigned_to_id":23,"start_date":"2017-02-11","description":"","custom_fields":[{"id":1,"name":"Subdivision","value":"EC"},{"id":4,"name":"Milepost","value":"23.3297"},{"id":17,"name":"Train ID","value":"119-11"},{"id":16,"name":"Locomotive ID","value":"4025"},{"id":130,"name":"Impact","value":""},{"id":150,"name":"Time of Event (Mountain Time)","value":"06:40:29"},{"id":151,"name":"Denver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4025 --day 2017-02-11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"%USERPROFILE%\AppData\Local\Temp\OnboardLogs"\RTDC4025\*4025*20170211* | grep -SE "(Enforcement Action)|(\[TIMEOUT)|(CHR.+\|PRM\|1\|D.+(SWITCH|SIGNAL).+UNKNOWN)" - &gt;&gt; 2017-02-11-UncaughtWiMAX.txt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574</v>
      </c>
      <c r="B32" s="7">
        <v>4026</v>
      </c>
      <c r="C32" s="21" t="s">
        <v>193</v>
      </c>
      <c r="D32" s="21" t="s">
        <v>748</v>
      </c>
      <c r="E32" s="13">
        <v>42777.283622685187</v>
      </c>
      <c r="F32" s="13">
        <v>42777.289143518516</v>
      </c>
      <c r="G32" s="7">
        <v>1</v>
      </c>
      <c r="H32" s="21" t="s">
        <v>484</v>
      </c>
      <c r="I32" s="13">
        <v>42777.31590277778</v>
      </c>
      <c r="J32" s="7">
        <v>1</v>
      </c>
      <c r="K32" s="98" t="str">
        <f t="shared" si="0"/>
        <v>4025/4026</v>
      </c>
      <c r="L32" s="21" t="str">
        <f>VLOOKUP(A32,'Trips&amp;Operators'!$C$1:$G$99999,5,FALSE)</f>
        <v>MAELZER KURT</v>
      </c>
      <c r="M32" s="6">
        <f t="shared" si="1"/>
        <v>2.6759259264508728E-2</v>
      </c>
      <c r="N32" s="7">
        <f t="shared" si="2"/>
        <v>38.533333340892568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 t="shared" si="5"/>
        <v>https://d0f6bd738d7f1b3e5a7ca70fe4ff75f0.us-east-1.aws.found.io/app/kibana#/discover/Steve-Slow-Train-Analysis-(2080s-and-2083s)?_g=(refreshInterval:(display:Off,pause:!f,section:0,value:0),time:(from:'2017-02-11T05:48:25-0700',mode:absolute,to:'2017-02-11T08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2" s="188" t="str">
        <f t="shared" si="6"/>
        <v>N</v>
      </c>
      <c r="X32" s="188">
        <f t="shared" si="21"/>
        <v>1</v>
      </c>
      <c r="Y32" s="62">
        <f t="shared" si="8"/>
        <v>23.2971</v>
      </c>
      <c r="Z32" s="62">
        <f t="shared" si="9"/>
        <v>1.5599999999999999E-2</v>
      </c>
      <c r="AA32" s="62">
        <f t="shared" si="10"/>
        <v>23.281500000000001</v>
      </c>
      <c r="AB32" s="59" t="e">
        <f>VLOOKUP(A32,Enforcements!$C$7:$K$14,8,0)</f>
        <v>#N/A</v>
      </c>
      <c r="AC32" s="55" t="e">
        <f>VLOOKUP(A32,Enforcements!$C$7:$E$14,3,0)</f>
        <v>#N/A</v>
      </c>
      <c r="AD32" s="56" t="str">
        <f t="shared" si="11"/>
        <v>0120-11</v>
      </c>
      <c r="AE32" s="85" t="str">
        <f t="shared" si="12"/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AF32" s="82" t="str">
        <f t="shared" si="13"/>
        <v>"C:\Program Files (x86)\AstroGrep\AstroGrep.exe" /spath="%USERPROFILE%\AppData\Local\Temp\OnboardLogs" /stypes="app*4026*20170211*"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120-11 --locoid 4026 --swversion DE.1.0.8.0 --startMP 204:232971 --initTime 2017-02-11T06:48:25 --startdatetime 2017-02-11T06:56:22 --delay 1 --endMP 204:156 --enddatetime 2017-02-11T07:34:54 --enforcementcount 1 &gt;&gt;C:\Users\stu\Documents\GitHub\eaglep3-reporting\EC\2017-02-11-refined-times.txt</v>
      </c>
      <c r="AI32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{"issue":{"subject":"","project_id":79,"tracker_id":40,"status_id":1,"priority_id":2,"assigned_to_id":23,"start_date":"2017-02-11","description":"","custom_fields":[{"id":1,"name":"Subdivision","value":"EC"},{"id":4,"name":"Milepost","value":"0.0156"},{"id":17,"name":"Train ID","value":"120-11"},{"id":16,"name":"Locomotive ID","value":"4026"},{"id":130,"name":"Impact","value":""},{"id":150,"name":"Time of Event (Mountain Time)","value":"07:34:54"},{"id":151,"name":"Denver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4026 --day 2017-02-11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"%USERPROFILE%\AppData\Local\Temp\OnboardLogs"\RTDC4026\*4026*20170211* | grep -SE "(Enforcement Action)|(\[TIMEOUT)|(CHR.+\|PRM\|1\|D.+(SWITCH|SIGNAL).+UNKNOWN)" - &gt;&gt; 2017-02-11-UncaughtWiMAX.txt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567</v>
      </c>
      <c r="B33" s="7">
        <v>4040</v>
      </c>
      <c r="C33" s="21" t="s">
        <v>193</v>
      </c>
      <c r="D33" s="21" t="s">
        <v>749</v>
      </c>
      <c r="E33" s="13">
        <v>42777.259687500002</v>
      </c>
      <c r="F33" s="13">
        <v>42777.260868055557</v>
      </c>
      <c r="G33" s="7">
        <v>1</v>
      </c>
      <c r="H33" s="21" t="s">
        <v>486</v>
      </c>
      <c r="I33" s="13">
        <v>42777.287546296298</v>
      </c>
      <c r="J33" s="7">
        <v>1</v>
      </c>
      <c r="K33" s="98" t="str">
        <f t="shared" si="0"/>
        <v>4039/4040</v>
      </c>
      <c r="L33" s="21" t="str">
        <f>VLOOKUP(A33,'Trips&amp;Operators'!$C$1:$G$99999,5,FALSE)</f>
        <v>DAVIS WENDY</v>
      </c>
      <c r="M33" s="6">
        <f t="shared" si="1"/>
        <v>2.6678240741603076E-2</v>
      </c>
      <c r="N33" s="7">
        <f t="shared" si="2"/>
        <v>38.41666666790843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7" t="str">
        <f t="shared" si="5"/>
        <v>https://d0f6bd738d7f1b3e5a7ca70fe4ff75f0.us-east-1.aws.found.io/app/kibana#/discover/Steve-Slow-Train-Analysis-(2080s-and-2083s)?_g=(refreshInterval:(display:Off,pause:!f,section:0,value:0),time:(from:'2017-02-11T05:13:57-0700',mode:absolute,to:'2017-02-11T07:54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188" t="str">
        <f t="shared" si="6"/>
        <v>N</v>
      </c>
      <c r="X33" s="188">
        <f t="shared" ref="X33:X62" si="22">VALUE(LEFT(AD33,4))-VALUE(LEFT(AD32,4))</f>
        <v>1</v>
      </c>
      <c r="Y33" s="62">
        <f t="shared" si="8"/>
        <v>8.0299999999999996E-2</v>
      </c>
      <c r="Z33" s="62">
        <f t="shared" si="9"/>
        <v>23.331</v>
      </c>
      <c r="AA33" s="62">
        <f t="shared" si="10"/>
        <v>23.250699999999998</v>
      </c>
      <c r="AB33" s="59" t="e">
        <f>VLOOKUP(A33,Enforcements!$C$7:$K$14,8,0)</f>
        <v>#N/A</v>
      </c>
      <c r="AC33" s="55" t="e">
        <f>VLOOKUP(A33,Enforcements!$C$7:$E$14,3,0)</f>
        <v>#N/A</v>
      </c>
      <c r="AD33" s="56" t="str">
        <f t="shared" si="11"/>
        <v>0121-11</v>
      </c>
      <c r="AE33" s="85" t="str">
        <f t="shared" si="12"/>
        <v>aws s3 cp s3://rtdc.mdm.uploadarchive.raw/RTDC4040/ "%USERPROFILE%\AppData\Local\Temp\OnboardLogs"\RTDC4040\2017-02-11 --exclude "*" --recursive --include "*20170211*" &amp; "%USERPROFILE%\Documents\GitHub\mrs-test-scripts\Headless Mode &amp; Sideloading\WalkAndUnGZ.bat" "%USERPROFILE%\AppData\Local\Temp\OnboardLogs"\RTDC4040\2017-02-11 &amp; aws s3 cp s3://rtdc.mdm.uploadarchive.raw/RTDC4040/ "%USERPROFILE%\AppData\Local\Temp\OnboardLogs"\RTDC4040\2017-02-12 --exclude "*" --recursive --include "*20170212*" &amp; "%USERPROFILE%\Documents\GitHub\mrs-test-scripts\Headless Mode &amp; Sideloading\WalkAndUnGZ.bat" "%USERPROFILE%\AppData\Local\Temp\OnboardLogs"\RTDC4040\2017-02-12</v>
      </c>
      <c r="AF33" s="82" t="str">
        <f t="shared" si="13"/>
        <v>"C:\Program Files (x86)\AstroGrep\AstroGrep.exe" /spath="%USERPROFILE%\AppData\Local\Temp\OnboardLogs" /stypes="app*4040*20170211*"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121-11 --locoid 4040 --swversion DE.1.0.8.0 --startMP 204:803 --initTime 2017-02-11T06:13:57 --startdatetime 2017-02-11T06:15:39 --delay 1 --endMP 204:233310 --enddatetime 2017-02-11T06:54:04 --enforcementcount 1 &gt;&gt;C:\Users\stu\Documents\GitHub\eaglep3-reporting\EC\2017-02-11-refined-times.txt</v>
      </c>
      <c r="AI33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{"issue":{"subject":"","project_id":79,"tracker_id":40,"status_id":1,"priority_id":2,"assigned_to_id":23,"start_date":"2017-02-11","description":"","custom_fields":[{"id":1,"name":"Subdivision","value":"EC"},{"id":4,"name":"Milepost","value":"23.331"},{"id":17,"name":"Train ID","value":"121-11"},{"id":16,"name":"Locomotive ID","value":"4040"},{"id":130,"name":"Impact","value":""},{"id":150,"name":"Time of Event (Mountain Time)","value":"06:54:04"},{"id":151,"name":"Denver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4040 --day 2017-02-11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"%USERPROFILE%\AppData\Local\Temp\OnboardLogs"\RTDC4040\*4040*20170211* | grep -SE "(Enforcement Action)|(\[TIMEOUT)|(CHR.+\|PRM\|1\|D.+(SWITCH|SIGNAL).+UNKNOWN)" - &gt;&gt; 2017-02-11-UncaughtWiMAX.txt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577</v>
      </c>
      <c r="B34" s="7">
        <v>4039</v>
      </c>
      <c r="C34" s="21" t="s">
        <v>193</v>
      </c>
      <c r="D34" s="21" t="s">
        <v>336</v>
      </c>
      <c r="E34" s="13">
        <v>42777.296770833331</v>
      </c>
      <c r="F34" s="13">
        <v>42777.299467592595</v>
      </c>
      <c r="G34" s="7">
        <v>1</v>
      </c>
      <c r="H34" s="21" t="s">
        <v>221</v>
      </c>
      <c r="I34" s="13">
        <v>42777.327106481483</v>
      </c>
      <c r="J34" s="7">
        <v>1</v>
      </c>
      <c r="K34" s="98" t="str">
        <f t="shared" si="0"/>
        <v>4039/4040</v>
      </c>
      <c r="L34" s="21" t="str">
        <f>VLOOKUP(A34,'Trips&amp;Operators'!$C$1:$G$99999,5,FALSE)</f>
        <v>DAVIS WENDY</v>
      </c>
      <c r="M34" s="6">
        <f t="shared" si="1"/>
        <v>2.7638888888759539E-2</v>
      </c>
      <c r="N34" s="7">
        <f t="shared" si="2"/>
        <v>39.799999999813735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7" t="str">
        <f t="shared" si="5"/>
        <v>https://d0f6bd738d7f1b3e5a7ca70fe4ff75f0.us-east-1.aws.found.io/app/kibana#/discover/Steve-Slow-Train-Analysis-(2080s-and-2083s)?_g=(refreshInterval:(display:Off,pause:!f,section:0,value:0),time:(from:'2017-02-11T06:07:21-0700',mode:absolute,to:'2017-02-11T08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188" t="str">
        <f t="shared" si="6"/>
        <v>N</v>
      </c>
      <c r="X34" s="188">
        <f t="shared" si="22"/>
        <v>1</v>
      </c>
      <c r="Y34" s="62">
        <f t="shared" si="8"/>
        <v>23.2989</v>
      </c>
      <c r="Z34" s="62">
        <f t="shared" si="9"/>
        <v>1.54E-2</v>
      </c>
      <c r="AA34" s="62">
        <f t="shared" si="10"/>
        <v>23.2835</v>
      </c>
      <c r="AB34" s="59" t="e">
        <f>VLOOKUP(A34,Enforcements!$C$7:$K$14,8,0)</f>
        <v>#N/A</v>
      </c>
      <c r="AC34" s="55" t="e">
        <f>VLOOKUP(A34,Enforcements!$C$7:$E$14,3,0)</f>
        <v>#N/A</v>
      </c>
      <c r="AD34" s="56" t="str">
        <f t="shared" si="11"/>
        <v>0122-11</v>
      </c>
      <c r="AE34" s="85" t="str">
        <f t="shared" si="12"/>
        <v>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 &amp; aws s3 cp s3://rtdc.mdm.uploadarchive.raw/RTDC4039/ "%USERPROFILE%\AppData\Local\Temp\OnboardLogs"\RTDC4039\2017-02-12 --exclude "*" --recursive --include "*20170212*" &amp; "%USERPROFILE%\Documents\GitHub\mrs-test-scripts\Headless Mode &amp; Sideloading\WalkAndUnGZ.bat" "%USERPROFILE%\AppData\Local\Temp\OnboardLogs"\RTDC4039\2017-02-12</v>
      </c>
      <c r="AF34" s="82" t="str">
        <f t="shared" si="13"/>
        <v>"C:\Program Files (x86)\AstroGrep\AstroGrep.exe" /spath="%USERPROFILE%\AppData\Local\Temp\OnboardLogs" /stypes="app*4039*20170211*"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122-11 --locoid 4039 --swversion DE.1.0.8.0 --startMP 204:232989 --initTime 2017-02-11T07:07:21 --startdatetime 2017-02-11T07:11:14 --delay 1 --endMP 204:154 --enddatetime 2017-02-11T07:51:02 --enforcementcount 1 &gt;&gt;C:\Users\stu\Documents\GitHub\eaglep3-reporting\EC\2017-02-11-refined-times.txt</v>
      </c>
      <c r="AI34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{"issue":{"subject":"","project_id":79,"tracker_id":40,"status_id":1,"priority_id":2,"assigned_to_id":23,"start_date":"2017-02-11","description":"","custom_fields":[{"id":1,"name":"Subdivision","value":"EC"},{"id":4,"name":"Milepost","value":"0.0154"},{"id":17,"name":"Train ID","value":"122-11"},{"id":16,"name":"Locomotive ID","value":"4039"},{"id":130,"name":"Impact","value":""},{"id":150,"name":"Time of Event (Mountain Time)","value":"07:51:02"},{"id":151,"name":"Denver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4039 --day 2017-02-11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"%USERPROFILE%\AppData\Local\Temp\OnboardLogs"\RTDC4039\*4039*20170211* | grep -SE "(Enforcement Action)|(\[TIMEOUT)|(CHR.+\|PRM\|1\|D.+(SWITCH|SIGNAL).+UNKNOWN)" - &gt;&gt; 2017-02-11-UncaughtWiMAX.txt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514</v>
      </c>
      <c r="B35" s="7">
        <v>4031</v>
      </c>
      <c r="C35" s="21" t="s">
        <v>193</v>
      </c>
      <c r="D35" s="21" t="s">
        <v>235</v>
      </c>
      <c r="E35" s="13">
        <v>42777.268483796295</v>
      </c>
      <c r="F35" s="13">
        <v>42777.27103009259</v>
      </c>
      <c r="G35" s="7">
        <v>1</v>
      </c>
      <c r="H35" s="21" t="s">
        <v>750</v>
      </c>
      <c r="I35" s="13">
        <v>42777.295706018522</v>
      </c>
      <c r="J35" s="7">
        <v>1</v>
      </c>
      <c r="K35" s="98" t="str">
        <f t="shared" si="0"/>
        <v>4031/4032</v>
      </c>
      <c r="L35" s="21" t="str">
        <f>VLOOKUP(A35,'Trips&amp;Operators'!$C$1:$G$99999,5,FALSE)</f>
        <v>OUN ZACK</v>
      </c>
      <c r="M35" s="6">
        <f t="shared" si="1"/>
        <v>2.4675925931660458E-2</v>
      </c>
      <c r="N35" s="7">
        <f t="shared" si="2"/>
        <v>35.53333334159106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 t="shared" si="5"/>
        <v>https://d0f6bd738d7f1b3e5a7ca70fe4ff75f0.us-east-1.aws.found.io/app/kibana#/discover/Steve-Slow-Train-Analysis-(2080s-and-2083s)?_g=(refreshInterval:(display:Off,pause:!f,section:0,value:0),time:(from:'2017-02-11T05:26:37-0700',mode:absolute,to:'2017-02-11T08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5" s="188" t="str">
        <f t="shared" si="6"/>
        <v>N</v>
      </c>
      <c r="X35" s="188">
        <f t="shared" si="22"/>
        <v>1</v>
      </c>
      <c r="Y35" s="62">
        <f t="shared" si="8"/>
        <v>4.5100000000000001E-2</v>
      </c>
      <c r="Z35" s="62">
        <f t="shared" si="9"/>
        <v>23.332599999999999</v>
      </c>
      <c r="AA35" s="62">
        <f t="shared" si="10"/>
        <v>23.287499999999998</v>
      </c>
      <c r="AB35" s="59" t="e">
        <f>VLOOKUP(A35,Enforcements!$C$7:$K$14,8,0)</f>
        <v>#N/A</v>
      </c>
      <c r="AC35" s="55" t="e">
        <f>VLOOKUP(A35,Enforcements!$C$7:$E$14,3,0)</f>
        <v>#N/A</v>
      </c>
      <c r="AD35" s="56" t="str">
        <f t="shared" si="11"/>
        <v>0123-11</v>
      </c>
      <c r="AE35" s="85" t="str">
        <f t="shared" si="12"/>
        <v>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 &amp; 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</v>
      </c>
      <c r="AF35" s="82" t="str">
        <f t="shared" si="13"/>
        <v>"C:\Program Files (x86)\AstroGrep\AstroGrep.exe" /spath="%USERPROFILE%\AppData\Local\Temp\OnboardLogs" /stypes="app*4031*20170211*"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123-11 --locoid 4031 --swversion DE.1.0.8.0 --startMP 204:451 --initTime 2017-02-11T06:26:37 --startdatetime 2017-02-11T06:30:17 --delay 1 --endMP 204:233326 --enddatetime 2017-02-11T07:05:49 --enforcementcount 1 &gt;&gt;C:\Users\stu\Documents\GitHub\eaglep3-reporting\EC\2017-02-11-refined-times.txt</v>
      </c>
      <c r="AI35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{"issue":{"subject":"","project_id":79,"tracker_id":40,"status_id":1,"priority_id":2,"assigned_to_id":23,"start_date":"2017-02-11","description":"","custom_fields":[{"id":1,"name":"Subdivision","value":"EC"},{"id":4,"name":"Milepost","value":"23.3326"},{"id":17,"name":"Train ID","value":"123-11"},{"id":16,"name":"Locomotive ID","value":"4031"},{"id":130,"name":"Impact","value":""},{"id":150,"name":"Time of Event (Mountain Time)","value":"07:05:49"},{"id":151,"name":"Denver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4031 --day 2017-02-11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2017-02-11-UncaughtWiMAX.txt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579</v>
      </c>
      <c r="B36" s="7">
        <v>4032</v>
      </c>
      <c r="C36" s="21" t="s">
        <v>193</v>
      </c>
      <c r="D36" s="21" t="s">
        <v>361</v>
      </c>
      <c r="E36" s="13">
        <v>42777.305335648147</v>
      </c>
      <c r="F36" s="13">
        <v>42777.309965277775</v>
      </c>
      <c r="G36" s="7">
        <v>1</v>
      </c>
      <c r="H36" s="21" t="s">
        <v>195</v>
      </c>
      <c r="I36" s="13">
        <v>42777.33666666667</v>
      </c>
      <c r="J36" s="7">
        <v>1</v>
      </c>
      <c r="K36" s="98" t="str">
        <f t="shared" si="0"/>
        <v>4031/4032</v>
      </c>
      <c r="L36" s="21" t="str">
        <f>VLOOKUP(A36,'Trips&amp;Operators'!$C$1:$G$99999,5,FALSE)</f>
        <v>OUN ZACK</v>
      </c>
      <c r="M36" s="6">
        <f t="shared" si="1"/>
        <v>2.6701388895162381E-2</v>
      </c>
      <c r="N36" s="7">
        <f t="shared" si="2"/>
        <v>38.450000009033829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 t="shared" si="5"/>
        <v>https://d0f6bd738d7f1b3e5a7ca70fe4ff75f0.us-east-1.aws.found.io/app/kibana#/discover/Steve-Slow-Train-Analysis-(2080s-and-2083s)?_g=(refreshInterval:(display:Off,pause:!f,section:0,value:0),time:(from:'2017-02-11T06:19:41-0700',mode:absolute,to:'2017-02-11T09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6" s="188" t="str">
        <f t="shared" si="6"/>
        <v>N</v>
      </c>
      <c r="X36" s="188">
        <f t="shared" si="22"/>
        <v>1</v>
      </c>
      <c r="Y36" s="62">
        <f t="shared" si="8"/>
        <v>23.298400000000001</v>
      </c>
      <c r="Z36" s="62">
        <f t="shared" si="9"/>
        <v>1.4999999999999999E-2</v>
      </c>
      <c r="AA36" s="62">
        <f t="shared" si="10"/>
        <v>23.2834</v>
      </c>
      <c r="AB36" s="59" t="e">
        <f>VLOOKUP(A36,Enforcements!$C$7:$K$14,8,0)</f>
        <v>#N/A</v>
      </c>
      <c r="AC36" s="55" t="e">
        <f>VLOOKUP(A36,Enforcements!$C$7:$E$14,3,0)</f>
        <v>#N/A</v>
      </c>
      <c r="AD36" s="56" t="str">
        <f t="shared" si="11"/>
        <v>0124-11</v>
      </c>
      <c r="AE36" s="85" t="str">
        <f t="shared" si="12"/>
        <v>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 &amp; 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</v>
      </c>
      <c r="AF36" s="82" t="str">
        <f t="shared" si="13"/>
        <v>"C:\Program Files (x86)\AstroGrep\AstroGrep.exe" /spath="%USERPROFILE%\AppData\Local\Temp\OnboardLogs" /stypes="app*4032*20170211*"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124-11 --locoid 4032 --swversion DE.1.0.8.0 --startMP 204:232984 --initTime 2017-02-11T07:19:41 --startdatetime 2017-02-11T07:26:21 --delay 1 --endMP 204:150 --enddatetime 2017-02-11T08:04:48 --enforcementcount 1 &gt;&gt;C:\Users\stu\Documents\GitHub\eaglep3-reporting\EC\2017-02-11-refined-times.txt</v>
      </c>
      <c r="AI36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{"issue":{"subject":"","project_id":79,"tracker_id":40,"status_id":1,"priority_id":2,"assigned_to_id":23,"start_date":"2017-02-11","description":"","custom_fields":[{"id":1,"name":"Subdivision","value":"EC"},{"id":4,"name":"Milepost","value":"0.015"},{"id":17,"name":"Train ID","value":"124-11"},{"id":16,"name":"Locomotive ID","value":"4032"},{"id":130,"name":"Impact","value":""},{"id":150,"name":"Time of Event (Mountain Time)","value":"08:04:48"},{"id":151,"name":"Denver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4032 --day 2017-02-11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2017-02-11-UncaughtWiMAX.txt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573</v>
      </c>
      <c r="B37" s="7">
        <v>4020</v>
      </c>
      <c r="C37" s="21" t="s">
        <v>193</v>
      </c>
      <c r="D37" s="21" t="s">
        <v>279</v>
      </c>
      <c r="E37" s="13">
        <v>42777.276828703703</v>
      </c>
      <c r="F37" s="13">
        <v>42777.281527777777</v>
      </c>
      <c r="G37" s="7">
        <v>2</v>
      </c>
      <c r="H37" s="21" t="s">
        <v>494</v>
      </c>
      <c r="I37" s="13">
        <v>42777.307025462964</v>
      </c>
      <c r="J37" s="7">
        <v>1</v>
      </c>
      <c r="K37" s="98" t="str">
        <f t="shared" si="0"/>
        <v>4019/4020</v>
      </c>
      <c r="L37" s="21" t="str">
        <f>VLOOKUP(A37,'Trips&amp;Operators'!$C$1:$G$99999,5,FALSE)</f>
        <v>LOZA FIDEL</v>
      </c>
      <c r="M37" s="6">
        <f t="shared" si="1"/>
        <v>2.5497685186564922E-2</v>
      </c>
      <c r="N37" s="7">
        <f t="shared" si="2"/>
        <v>36.716666668653488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7" t="str">
        <f t="shared" si="5"/>
        <v>https://d0f6bd738d7f1b3e5a7ca70fe4ff75f0.us-east-1.aws.found.io/app/kibana#/discover/Steve-Slow-Train-Analysis-(2080s-and-2083s)?_g=(refreshInterval:(display:Off,pause:!f,section:0,value:0),time:(from:'2017-02-11T05:38:38-0700',mode:absolute,to:'2017-02-11T08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7" s="188" t="str">
        <f t="shared" si="6"/>
        <v>N</v>
      </c>
      <c r="X37" s="188">
        <f t="shared" si="22"/>
        <v>1</v>
      </c>
      <c r="Y37" s="62">
        <f t="shared" si="8"/>
        <v>4.6699999999999998E-2</v>
      </c>
      <c r="Z37" s="62">
        <f t="shared" si="9"/>
        <v>23.331499999999998</v>
      </c>
      <c r="AA37" s="62">
        <f t="shared" si="10"/>
        <v>23.284799999999997</v>
      </c>
      <c r="AB37" s="59" t="e">
        <f>VLOOKUP(A37,Enforcements!$C$7:$K$14,8,0)</f>
        <v>#N/A</v>
      </c>
      <c r="AC37" s="55" t="e">
        <f>VLOOKUP(A37,Enforcements!$C$7:$E$14,3,0)</f>
        <v>#N/A</v>
      </c>
      <c r="AD37" s="56" t="str">
        <f t="shared" si="11"/>
        <v>0125-11</v>
      </c>
      <c r="AE37" s="85" t="str">
        <f t="shared" si="12"/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AF37" s="82" t="str">
        <f t="shared" si="13"/>
        <v>"C:\Program Files (x86)\AstroGrep\AstroGrep.exe" /spath="%USERPROFILE%\AppData\Local\Temp\OnboardLogs" /stypes="app*4020*20170211*"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125-11 --locoid 4020 --swversion DE.1.0.8.0 --startMP 204:467 --initTime 2017-02-11T06:38:38 --startdatetime 2017-02-11T06:45:24 --delay 2 --endMP 204:233315 --enddatetime 2017-02-11T07:22:07 --enforcementcount 1 &gt;&gt;C:\Users\stu\Documents\GitHub\eaglep3-reporting\EC\2017-02-11-refined-times.txt</v>
      </c>
      <c r="AI37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{"issue":{"subject":"","project_id":79,"tracker_id":40,"status_id":1,"priority_id":2,"assigned_to_id":23,"start_date":"2017-02-11","description":"","custom_fields":[{"id":1,"name":"Subdivision","value":"EC"},{"id":4,"name":"Milepost","value":"23.3315"},{"id":17,"name":"Train ID","value":"125-11"},{"id":16,"name":"Locomotive ID","value":"4020"},{"id":130,"name":"Impact","value":""},{"id":150,"name":"Time of Event (Mountain Time)","value":"07:22:07"},{"id":151,"name":"Denver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4020 --day 2017-02-11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"%USERPROFILE%\AppData\Local\Temp\OnboardLogs"\RTDC4020\*4020*20170211* | grep -SE "(Enforcement Action)|(\[TIMEOUT)|(CHR.+\|PRM\|1\|D.+(SWITCH|SIGNAL).+UNKNOWN)" - &gt;&gt; 2017-02-11-UncaughtWiMAX.txt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582</v>
      </c>
      <c r="B38" s="7">
        <v>4019</v>
      </c>
      <c r="C38" s="21" t="s">
        <v>193</v>
      </c>
      <c r="D38" s="21" t="s">
        <v>751</v>
      </c>
      <c r="E38" s="13">
        <v>42777.318078703705</v>
      </c>
      <c r="F38" s="13">
        <v>42777.320532407408</v>
      </c>
      <c r="G38" s="7">
        <v>1</v>
      </c>
      <c r="H38" s="21" t="s">
        <v>232</v>
      </c>
      <c r="I38" s="13">
        <v>42777.346435185187</v>
      </c>
      <c r="J38" s="7">
        <v>1</v>
      </c>
      <c r="K38" s="98" t="str">
        <f t="shared" si="0"/>
        <v>4019/4020</v>
      </c>
      <c r="L38" s="21" t="str">
        <f>VLOOKUP(A38,'Trips&amp;Operators'!$C$1:$G$99999,5,FALSE)</f>
        <v>LOZA FIDEL</v>
      </c>
      <c r="M38" s="6">
        <f t="shared" si="1"/>
        <v>2.5902777779265307E-2</v>
      </c>
      <c r="N38" s="7">
        <f t="shared" si="2"/>
        <v>37.300000002142042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 t="shared" si="5"/>
        <v>https://d0f6bd738d7f1b3e5a7ca70fe4ff75f0.us-east-1.aws.found.io/app/kibana#/discover/Steve-Slow-Train-Analysis-(2080s-and-2083s)?_g=(refreshInterval:(display:Off,pause:!f,section:0,value:0),time:(from:'2017-02-11T06:38:02-0700',mode:absolute,to:'2017-02-11T09:18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8" s="188" t="str">
        <f t="shared" si="6"/>
        <v>N</v>
      </c>
      <c r="X38" s="188">
        <f t="shared" si="22"/>
        <v>1</v>
      </c>
      <c r="Y38" s="62">
        <f t="shared" si="8"/>
        <v>23.3002</v>
      </c>
      <c r="Z38" s="62">
        <f t="shared" si="9"/>
        <v>1.43E-2</v>
      </c>
      <c r="AA38" s="62">
        <f t="shared" si="10"/>
        <v>23.285900000000002</v>
      </c>
      <c r="AB38" s="59" t="e">
        <f>VLOOKUP(A38,Enforcements!$C$7:$K$14,8,0)</f>
        <v>#N/A</v>
      </c>
      <c r="AC38" s="55" t="e">
        <f>VLOOKUP(A38,Enforcements!$C$7:$E$14,3,0)</f>
        <v>#N/A</v>
      </c>
      <c r="AD38" s="56" t="str">
        <f t="shared" si="11"/>
        <v>0126-11</v>
      </c>
      <c r="AE38" s="85" t="str">
        <f t="shared" si="12"/>
        <v>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 &amp; 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</v>
      </c>
      <c r="AF38" s="82" t="str">
        <f t="shared" si="13"/>
        <v>"C:\Program Files (x86)\AstroGrep\AstroGrep.exe" /spath="%USERPROFILE%\AppData\Local\Temp\OnboardLogs" /stypes="app*4019*20170211*"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126-11 --locoid 4019 --swversion DE.1.0.8.0 --startMP 204:233002 --initTime 2017-02-11T07:38:02 --startdatetime 2017-02-11T07:41:34 --delay 1 --endMP 204:143 --enddatetime 2017-02-11T08:18:52 --enforcementcount 1 &gt;&gt;C:\Users\stu\Documents\GitHub\eaglep3-reporting\EC\2017-02-11-refined-times.txt</v>
      </c>
      <c r="AI38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{"issue":{"subject":"","project_id":79,"tracker_id":40,"status_id":1,"priority_id":2,"assigned_to_id":23,"start_date":"2017-02-11","description":"","custom_fields":[{"id":1,"name":"Subdivision","value":"EC"},{"id":4,"name":"Milepost","value":"0.0143"},{"id":17,"name":"Train ID","value":"126-11"},{"id":16,"name":"Locomotive ID","value":"4019"},{"id":130,"name":"Impact","value":""},{"id":150,"name":"Time of Event (Mountain Time)","value":"08:18:52"},{"id":151,"name":"Denver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4019 --day 2017-02-11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"%USERPROFILE%\AppData\Local\Temp\OnboardLogs"\RTDC4019\*4019*20170211* | grep -SE "(Enforcement Action)|(\[TIMEOUT)|(CHR.+\|PRM\|1\|D.+(SWITCH|SIGNAL).+UNKNOWN)" - &gt;&gt; 2017-02-11-UncaughtWiMAX.txt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575</v>
      </c>
      <c r="B39" s="7">
        <v>4029</v>
      </c>
      <c r="C39" s="21" t="s">
        <v>193</v>
      </c>
      <c r="D39" s="21" t="s">
        <v>236</v>
      </c>
      <c r="E39" s="13">
        <v>42777.288275462961</v>
      </c>
      <c r="F39" s="13">
        <v>42777.291886574072</v>
      </c>
      <c r="G39" s="7">
        <v>1</v>
      </c>
      <c r="H39" s="21" t="s">
        <v>752</v>
      </c>
      <c r="I39" s="13">
        <v>42777.317557870374</v>
      </c>
      <c r="J39" s="7">
        <v>1</v>
      </c>
      <c r="K39" s="98" t="str">
        <f t="shared" si="0"/>
        <v>4029/4030</v>
      </c>
      <c r="L39" s="21" t="str">
        <f>VLOOKUP(A39,'Trips&amp;Operators'!$C$1:$G$99999,5,FALSE)</f>
        <v>BADERTSCHER DIANE</v>
      </c>
      <c r="M39" s="6">
        <f t="shared" si="1"/>
        <v>2.567129630187992E-2</v>
      </c>
      <c r="N39" s="7">
        <f t="shared" si="2"/>
        <v>36.966666674707085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 t="shared" si="5"/>
        <v>https://d0f6bd738d7f1b3e5a7ca70fe4ff75f0.us-east-1.aws.found.io/app/kibana#/discover/Steve-Slow-Train-Analysis-(2080s-and-2083s)?_g=(refreshInterval:(display:Off,pause:!f,section:0,value:0),time:(from:'2017-02-11T05:55:07-0700',mode:absolute,to:'2017-02-11T08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9" s="188" t="str">
        <f t="shared" si="6"/>
        <v>N</v>
      </c>
      <c r="X39" s="188">
        <f t="shared" si="22"/>
        <v>1</v>
      </c>
      <c r="Y39" s="62">
        <f t="shared" si="8"/>
        <v>4.5699999999999998E-2</v>
      </c>
      <c r="Z39" s="62">
        <f t="shared" si="9"/>
        <v>23.331399999999999</v>
      </c>
      <c r="AA39" s="62">
        <f t="shared" si="10"/>
        <v>23.285699999999999</v>
      </c>
      <c r="AB39" s="59" t="e">
        <f>VLOOKUP(A39,Enforcements!$C$7:$K$14,8,0)</f>
        <v>#N/A</v>
      </c>
      <c r="AC39" s="55" t="e">
        <f>VLOOKUP(A39,Enforcements!$C$7:$E$14,3,0)</f>
        <v>#N/A</v>
      </c>
      <c r="AD39" s="56" t="str">
        <f t="shared" si="11"/>
        <v>0127-11</v>
      </c>
      <c r="AE39" s="85" t="str">
        <f t="shared" si="12"/>
        <v>aws s3 cp s3://rtdc.mdm.uploadarchive.raw/RTDC4029/ "%USERPROFILE%\AppData\Local\Temp\OnboardLogs"\RTDC4029\2017-02-11 --exclude "*" --recursive --include "*20170211*" &amp; "%USERPROFILE%\Documents\GitHub\mrs-test-scripts\Headless Mode &amp; Sideloading\WalkAndUnGZ.bat" "%USERPROFILE%\AppData\Local\Temp\OnboardLogs"\RTDC4029\2017-02-11 &amp; 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</v>
      </c>
      <c r="AF39" s="82" t="str">
        <f t="shared" si="13"/>
        <v>"C:\Program Files (x86)\AstroGrep\AstroGrep.exe" /spath="%USERPROFILE%\AppData\Local\Temp\OnboardLogs" /stypes="app*4029*20170211*"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127-11 --locoid 4029 --swversion DE.1.0.8.0 --startMP 204:457 --initTime 2017-02-11T06:55:07 --startdatetime 2017-02-11T07:00:19 --delay 1 --endMP 204:233314 --enddatetime 2017-02-11T07:37:17 --enforcementcount 1 &gt;&gt;C:\Users\stu\Documents\GitHub\eaglep3-reporting\EC\2017-02-11-refined-times.txt</v>
      </c>
      <c r="AI39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{"issue":{"subject":"","project_id":79,"tracker_id":40,"status_id":1,"priority_id":2,"assigned_to_id":23,"start_date":"2017-02-11","description":"","custom_fields":[{"id":1,"name":"Subdivision","value":"EC"},{"id":4,"name":"Milepost","value":"23.3314"},{"id":17,"name":"Train ID","value":"127-11"},{"id":16,"name":"Locomotive ID","value":"4029"},{"id":130,"name":"Impact","value":""},{"id":150,"name":"Time of Event (Mountain Time)","value":"07:37:17"},{"id":151,"name":"Denver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4029 --day 2017-02-11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"%USERPROFILE%\AppData\Local\Temp\OnboardLogs"\RTDC4029\*4029*20170211* | grep -SE "(Enforcement Action)|(\[TIMEOUT)|(CHR.+\|PRM\|1\|D.+(SWITCH|SIGNAL).+UNKNOWN)" - &gt;&gt; 2017-02-11-UncaughtWiMAX.txt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584</v>
      </c>
      <c r="B40" s="7">
        <v>4030</v>
      </c>
      <c r="C40" s="21" t="s">
        <v>193</v>
      </c>
      <c r="D40" s="21" t="s">
        <v>748</v>
      </c>
      <c r="E40" s="13">
        <v>42777.320613425924</v>
      </c>
      <c r="F40" s="13">
        <v>42777.330891203703</v>
      </c>
      <c r="G40" s="7">
        <v>1</v>
      </c>
      <c r="H40" s="21" t="s">
        <v>205</v>
      </c>
      <c r="I40" s="13">
        <v>42777.358032407406</v>
      </c>
      <c r="J40" s="7">
        <v>1</v>
      </c>
      <c r="K40" s="98" t="str">
        <f t="shared" si="0"/>
        <v>4029/4030</v>
      </c>
      <c r="L40" s="21" t="str">
        <f>VLOOKUP(A40,'Trips&amp;Operators'!$C$1:$G$99999,5,FALSE)</f>
        <v>BADERTSCHER DIANE</v>
      </c>
      <c r="M40" s="6">
        <f t="shared" si="1"/>
        <v>2.7141203703649808E-2</v>
      </c>
      <c r="N40" s="7">
        <f t="shared" si="2"/>
        <v>39.083333333255723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 t="shared" si="5"/>
        <v>https://d0f6bd738d7f1b3e5a7ca70fe4ff75f0.us-east-1.aws.found.io/app/kibana#/discover/Steve-Slow-Train-Analysis-(2080s-and-2083s)?_g=(refreshInterval:(display:Off,pause:!f,section:0,value:0),time:(from:'2017-02-11T06:41:41-0700',mode:absolute,to:'2017-02-11T09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0" s="188" t="str">
        <f t="shared" si="6"/>
        <v>N</v>
      </c>
      <c r="X40" s="188">
        <f t="shared" si="22"/>
        <v>1</v>
      </c>
      <c r="Y40" s="62">
        <f t="shared" si="8"/>
        <v>23.2971</v>
      </c>
      <c r="Z40" s="62">
        <f t="shared" si="9"/>
        <v>1.6E-2</v>
      </c>
      <c r="AA40" s="62">
        <f t="shared" si="10"/>
        <v>23.281100000000002</v>
      </c>
      <c r="AB40" s="59" t="e">
        <f>VLOOKUP(A40,Enforcements!$C$7:$K$14,8,0)</f>
        <v>#N/A</v>
      </c>
      <c r="AC40" s="55" t="e">
        <f>VLOOKUP(A40,Enforcements!$C$7:$E$14,3,0)</f>
        <v>#N/A</v>
      </c>
      <c r="AD40" s="56" t="str">
        <f t="shared" si="11"/>
        <v>0128-11</v>
      </c>
      <c r="AE40" s="85" t="str">
        <f t="shared" si="12"/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AF40" s="82" t="str">
        <f t="shared" si="13"/>
        <v>"C:\Program Files (x86)\AstroGrep\AstroGrep.exe" /spath="%USERPROFILE%\AppData\Local\Temp\OnboardLogs" /stypes="app*4030*20170211*"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128-11 --locoid 4030 --swversion DE.1.0.8.0 --startMP 204:232971 --initTime 2017-02-11T07:41:41 --startdatetime 2017-02-11T07:56:29 --delay 1 --endMP 204:160 --enddatetime 2017-02-11T08:35:34 --enforcementcount 1 &gt;&gt;C:\Users\stu\Documents\GitHub\eaglep3-reporting\EC\2017-02-11-refined-times.txt</v>
      </c>
      <c r="AI40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{"issue":{"subject":"","project_id":79,"tracker_id":40,"status_id":1,"priority_id":2,"assigned_to_id":23,"start_date":"2017-02-11","description":"","custom_fields":[{"id":1,"name":"Subdivision","value":"EC"},{"id":4,"name":"Milepost","value":"0.016"},{"id":17,"name":"Train ID","value":"128-11"},{"id":16,"name":"Locomotive ID","value":"4030"},{"id":130,"name":"Impact","value":""},{"id":150,"name":"Time of Event (Mountain Time)","value":"08:35:34"},{"id":151,"name":"Denver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4030 --day 2017-02-11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"%USERPROFILE%\AppData\Local\Temp\OnboardLogs"\RTDC4030\*4030*20170211* | grep -SE "(Enforcement Action)|(\[TIMEOUT)|(CHR.+\|PRM\|1\|D.+(SWITCH|SIGNAL).+UNKNOWN)" - &gt;&gt; 2017-02-11-UncaughtWiMAX.txt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578</v>
      </c>
      <c r="B41" s="7">
        <v>4011</v>
      </c>
      <c r="C41" s="21" t="s">
        <v>193</v>
      </c>
      <c r="D41" s="21" t="s">
        <v>218</v>
      </c>
      <c r="E41" s="13">
        <v>42777.297881944447</v>
      </c>
      <c r="F41" s="13">
        <v>42777.302268518521</v>
      </c>
      <c r="G41" s="7">
        <v>1</v>
      </c>
      <c r="H41" s="21" t="s">
        <v>295</v>
      </c>
      <c r="I41" s="13">
        <v>42777.327824074076</v>
      </c>
      <c r="J41" s="7">
        <v>1</v>
      </c>
      <c r="K41" s="98" t="str">
        <f t="shared" si="0"/>
        <v>4011/4012</v>
      </c>
      <c r="L41" s="21" t="str">
        <f>VLOOKUP(A41,'Trips&amp;Operators'!$C$1:$G$99999,5,FALSE)</f>
        <v>GEBRETEKLE DAGNEW</v>
      </c>
      <c r="M41" s="6">
        <f t="shared" si="1"/>
        <v>2.5555555555911269E-2</v>
      </c>
      <c r="N41" s="7">
        <f t="shared" si="2"/>
        <v>36.800000000512227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 t="shared" si="5"/>
        <v>https://d0f6bd738d7f1b3e5a7ca70fe4ff75f0.us-east-1.aws.found.io/app/kibana#/discover/Steve-Slow-Train-Analysis-(2080s-and-2083s)?_g=(refreshInterval:(display:Off,pause:!f,section:0,value:0),time:(from:'2017-02-11T06:08:57-0700',mode:absolute,to:'2017-02-11T08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1" s="188" t="str">
        <f t="shared" si="6"/>
        <v>N</v>
      </c>
      <c r="X41" s="188">
        <f t="shared" si="22"/>
        <v>1</v>
      </c>
      <c r="Y41" s="62">
        <f t="shared" si="8"/>
        <v>4.6899999999999997E-2</v>
      </c>
      <c r="Z41" s="62">
        <f t="shared" si="9"/>
        <v>23.3308</v>
      </c>
      <c r="AA41" s="62">
        <f t="shared" si="10"/>
        <v>23.283899999999999</v>
      </c>
      <c r="AB41" s="59" t="e">
        <f>VLOOKUP(A41,Enforcements!$C$7:$K$14,8,0)</f>
        <v>#N/A</v>
      </c>
      <c r="AC41" s="55" t="e">
        <f>VLOOKUP(A41,Enforcements!$C$7:$E$14,3,0)</f>
        <v>#N/A</v>
      </c>
      <c r="AD41" s="56" t="str">
        <f t="shared" si="11"/>
        <v>0129-11</v>
      </c>
      <c r="AE41" s="85" t="str">
        <f t="shared" si="12"/>
        <v>aws s3 cp s3://rtdc.mdm.uploadarchive.raw/RTDC4011/ "%USERPROFILE%\AppData\Local\Temp\OnboardLogs"\RTDC4011\2017-02-11 --exclude "*" --recursive --include "*20170211*" &amp; "%USERPROFILE%\Documents\GitHub\mrs-test-scripts\Headless Mode &amp; Sideloading\WalkAndUnGZ.bat" "%USERPROFILE%\AppData\Local\Temp\OnboardLogs"\RTDC4011\2017-02-11 &amp; 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</v>
      </c>
      <c r="AF41" s="82" t="str">
        <f t="shared" si="13"/>
        <v>"C:\Program Files (x86)\AstroGrep\AstroGrep.exe" /spath="%USERPROFILE%\AppData\Local\Temp\OnboardLogs" /stypes="app*4011*20170211*"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129-11 --locoid 4011 --swversion DE.1.0.8.0 --startMP 204:469 --initTime 2017-02-11T07:08:57 --startdatetime 2017-02-11T07:15:16 --delay 1 --endMP 204:233308 --enddatetime 2017-02-11T07:52:04 --enforcementcount 1 &gt;&gt;C:\Users\stu\Documents\GitHub\eaglep3-reporting\EC\2017-02-11-refined-times.txt</v>
      </c>
      <c r="AI41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{"issue":{"subject":"","project_id":79,"tracker_id":40,"status_id":1,"priority_id":2,"assigned_to_id":23,"start_date":"2017-02-11","description":"","custom_fields":[{"id":1,"name":"Subdivision","value":"EC"},{"id":4,"name":"Milepost","value":"23.3308"},{"id":17,"name":"Train ID","value":"129-11"},{"id":16,"name":"Locomotive ID","value":"4011"},{"id":130,"name":"Impact","value":""},{"id":150,"name":"Time of Event (Mountain Time)","value":"07:52:04"},{"id":151,"name":"Denver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4011 --day 2017-02-11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"%USERPROFILE%\AppData\Local\Temp\OnboardLogs"\RTDC4011\*4011*20170211* | grep -SE "(Enforcement Action)|(\[TIMEOUT)|(CHR.+\|PRM\|1\|D.+(SWITCH|SIGNAL).+UNKNOWN)" - &gt;&gt; 2017-02-11-UncaughtWiMAX.txt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589</v>
      </c>
      <c r="B42" s="7">
        <v>4012</v>
      </c>
      <c r="C42" s="21" t="s">
        <v>193</v>
      </c>
      <c r="D42" s="21" t="s">
        <v>336</v>
      </c>
      <c r="E42" s="13">
        <v>42777.337835648148</v>
      </c>
      <c r="F42" s="13">
        <v>42777.341157407405</v>
      </c>
      <c r="G42" s="7">
        <v>1</v>
      </c>
      <c r="H42" s="21" t="s">
        <v>221</v>
      </c>
      <c r="I42" s="13">
        <v>42777.367268518516</v>
      </c>
      <c r="J42" s="7">
        <v>1</v>
      </c>
      <c r="K42" s="98" t="str">
        <f t="shared" si="0"/>
        <v>4011/4012</v>
      </c>
      <c r="L42" s="21" t="str">
        <f>VLOOKUP(A42,'Trips&amp;Operators'!$C$1:$G$99999,5,FALSE)</f>
        <v>GEBRETEKLE DAGNEW</v>
      </c>
      <c r="M42" s="6">
        <f t="shared" si="1"/>
        <v>2.6111111110367347E-2</v>
      </c>
      <c r="N42" s="7">
        <f t="shared" si="2"/>
        <v>37.599999998928979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 t="shared" si="5"/>
        <v>https://d0f6bd738d7f1b3e5a7ca70fe4ff75f0.us-east-1.aws.found.io/app/kibana#/discover/Steve-Slow-Train-Analysis-(2080s-and-2083s)?_g=(refreshInterval:(display:Off,pause:!f,section:0,value:0),time:(from:'2017-02-11T07:06:29-0700',mode:absolute,to:'2017-02-11T09:48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188" t="str">
        <f t="shared" si="6"/>
        <v>N</v>
      </c>
      <c r="X42" s="188">
        <f t="shared" si="22"/>
        <v>1</v>
      </c>
      <c r="Y42" s="62">
        <f t="shared" si="8"/>
        <v>23.2989</v>
      </c>
      <c r="Z42" s="62">
        <f t="shared" si="9"/>
        <v>1.54E-2</v>
      </c>
      <c r="AA42" s="62">
        <f t="shared" si="10"/>
        <v>23.2835</v>
      </c>
      <c r="AB42" s="59" t="e">
        <f>VLOOKUP(A42,Enforcements!$C$7:$K$14,8,0)</f>
        <v>#N/A</v>
      </c>
      <c r="AC42" s="55" t="e">
        <f>VLOOKUP(A42,Enforcements!$C$7:$E$14,3,0)</f>
        <v>#N/A</v>
      </c>
      <c r="AD42" s="56" t="str">
        <f t="shared" si="11"/>
        <v>0130-11</v>
      </c>
      <c r="AE42" s="85" t="str">
        <f t="shared" si="12"/>
        <v>aws s3 cp s3://rtdc.mdm.uploadarchive.raw/RTDC4012/ "%USERPROFILE%\AppData\Local\Temp\OnboardLogs"\RTDC4012\2017-02-11 --exclude "*" --recursive --include "*20170211*" &amp; "%USERPROFILE%\Documents\GitHub\mrs-test-scripts\Headless Mode &amp; Sideloading\WalkAndUnGZ.bat" "%USERPROFILE%\AppData\Local\Temp\OnboardLogs"\RTDC4012\2017-02-11 &amp; aws s3 cp s3://rtdc.mdm.uploadarchive.raw/RTDC4012/ "%USERPROFILE%\AppData\Local\Temp\OnboardLogs"\RTDC4012\2017-02-12 --exclude "*" --recursive --include "*20170212*" &amp; "%USERPROFILE%\Documents\GitHub\mrs-test-scripts\Headless Mode &amp; Sideloading\WalkAndUnGZ.bat" "%USERPROFILE%\AppData\Local\Temp\OnboardLogs"\RTDC4012\2017-02-12</v>
      </c>
      <c r="AF42" s="82" t="str">
        <f t="shared" si="13"/>
        <v>"C:\Program Files (x86)\AstroGrep\AstroGrep.exe" /spath="%USERPROFILE%\AppData\Local\Temp\OnboardLogs" /stypes="app*4012*20170211*"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130-11 --locoid 4012 --swversion DE.1.0.8.0 --startMP 204:232989 --initTime 2017-02-11T08:06:29 --startdatetime 2017-02-11T08:11:16 --delay 1 --endMP 204:154 --enddatetime 2017-02-11T08:48:52 --enforcementcount 1 &gt;&gt;C:\Users\stu\Documents\GitHub\eaglep3-reporting\EC\2017-02-11-refined-times.txt</v>
      </c>
      <c r="AI42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{"issue":{"subject":"","project_id":79,"tracker_id":40,"status_id":1,"priority_id":2,"assigned_to_id":23,"start_date":"2017-02-11","description":"","custom_fields":[{"id":1,"name":"Subdivision","value":"EC"},{"id":4,"name":"Milepost","value":"0.0154"},{"id":17,"name":"Train ID","value":"130-11"},{"id":16,"name":"Locomotive ID","value":"4012"},{"id":130,"name":"Impact","value":""},{"id":150,"name":"Time of Event (Mountain Time)","value":"08:48:52"},{"id":151,"name":"Denver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4012 --day 2017-02-11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"%USERPROFILE%\AppData\Local\Temp\OnboardLogs"\RTDC4012\*4012*20170211* | grep -SE "(Enforcement Action)|(\[TIMEOUT)|(CHR.+\|PRM\|1\|D.+(SWITCH|SIGNAL).+UNKNOWN)" - &gt;&gt; 2017-02-11-UncaughtWiMAX.txt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580</v>
      </c>
      <c r="B43" s="7">
        <v>4044</v>
      </c>
      <c r="C43" s="21" t="s">
        <v>193</v>
      </c>
      <c r="D43" s="21" t="s">
        <v>312</v>
      </c>
      <c r="E43" s="13">
        <v>42777.308900462966</v>
      </c>
      <c r="F43" s="13">
        <v>42777.312650462962</v>
      </c>
      <c r="G43" s="7">
        <v>1</v>
      </c>
      <c r="H43" s="21" t="s">
        <v>487</v>
      </c>
      <c r="I43" s="13">
        <v>42777.337314814817</v>
      </c>
      <c r="J43" s="7">
        <v>1</v>
      </c>
      <c r="K43" s="98" t="str">
        <f t="shared" si="0"/>
        <v>4043/4044</v>
      </c>
      <c r="L43" s="21" t="str">
        <f>VLOOKUP(A43,'Trips&amp;Operators'!$C$1:$G$99999,5,FALSE)</f>
        <v>ROBINSON KADDIBA</v>
      </c>
      <c r="M43" s="6">
        <f t="shared" si="1"/>
        <v>2.4664351854880806E-2</v>
      </c>
      <c r="N43" s="7">
        <f t="shared" si="2"/>
        <v>35.516666671028361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 t="shared" si="5"/>
        <v>https://d0f6bd738d7f1b3e5a7ca70fe4ff75f0.us-east-1.aws.found.io/app/kibana#/discover/Steve-Slow-Train-Analysis-(2080s-and-2083s)?_g=(refreshInterval:(display:Off,pause:!f,section:0,value:0),time:(from:'2017-02-11T06:24:49-0700',mode:absolute,to:'2017-02-11T09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3" s="188" t="str">
        <f t="shared" si="6"/>
        <v>N</v>
      </c>
      <c r="X43" s="188">
        <f t="shared" si="22"/>
        <v>1</v>
      </c>
      <c r="Y43" s="62">
        <f t="shared" si="8"/>
        <v>4.4200000000000003E-2</v>
      </c>
      <c r="Z43" s="62">
        <f t="shared" si="9"/>
        <v>23.330500000000001</v>
      </c>
      <c r="AA43" s="62">
        <f t="shared" si="10"/>
        <v>23.286300000000001</v>
      </c>
      <c r="AB43" s="59" t="e">
        <f>VLOOKUP(A43,Enforcements!$C$7:$K$14,8,0)</f>
        <v>#N/A</v>
      </c>
      <c r="AC43" s="55" t="e">
        <f>VLOOKUP(A43,Enforcements!$C$7:$E$14,3,0)</f>
        <v>#N/A</v>
      </c>
      <c r="AD43" s="56" t="str">
        <f t="shared" si="11"/>
        <v>0131-11</v>
      </c>
      <c r="AE43" s="85" t="str">
        <f t="shared" si="12"/>
        <v>aws s3 cp s3://rtdc.mdm.uploadarchive.raw/RTDC4044/ "%USERPROFILE%\AppData\Local\Temp\OnboardLogs"\RTDC4044\2017-02-11 --exclude "*" --recursive --include "*20170211*" &amp; "%USERPROFILE%\Documents\GitHub\mrs-test-scripts\Headless Mode &amp; Sideloading\WalkAndUnGZ.bat" "%USERPROFILE%\AppData\Local\Temp\OnboardLogs"\RTDC4044\2017-02-11 &amp; aws s3 cp s3://rtdc.mdm.uploadarchive.raw/RTDC4044/ "%USERPROFILE%\AppData\Local\Temp\OnboardLogs"\RTDC4044\2017-02-12 --exclude "*" --recursive --include "*20170212*" &amp; "%USERPROFILE%\Documents\GitHub\mrs-test-scripts\Headless Mode &amp; Sideloading\WalkAndUnGZ.bat" "%USERPROFILE%\AppData\Local\Temp\OnboardLogs"\RTDC4044\2017-02-12</v>
      </c>
      <c r="AF43" s="82" t="str">
        <f t="shared" si="13"/>
        <v>"C:\Program Files (x86)\AstroGrep\AstroGrep.exe" /spath="%USERPROFILE%\AppData\Local\Temp\OnboardLogs" /stypes="app*4044*20170211*"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131-11 --locoid 4044 --swversion DE.1.0.8.0 --startMP 204:442 --initTime 2017-02-11T07:24:49 --startdatetime 2017-02-11T07:30:13 --delay 1 --endMP 204:233305 --enddatetime 2017-02-11T08:05:44 --enforcementcount 1 &gt;&gt;C:\Users\stu\Documents\GitHub\eaglep3-reporting\EC\2017-02-11-refined-times.txt</v>
      </c>
      <c r="AI43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{"issue":{"subject":"","project_id":79,"tracker_id":40,"status_id":1,"priority_id":2,"assigned_to_id":23,"start_date":"2017-02-11","description":"","custom_fields":[{"id":1,"name":"Subdivision","value":"EC"},{"id":4,"name":"Milepost","value":"23.3305"},{"id":17,"name":"Train ID","value":"131-11"},{"id":16,"name":"Locomotive ID","value":"4044"},{"id":130,"name":"Impact","value":""},{"id":150,"name":"Time of Event (Mountain Time)","value":"08:05:44"},{"id":151,"name":"Denver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4044 --day 2017-02-11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"%USERPROFILE%\AppData\Local\Temp\OnboardLogs"\RTDC4044\*4044*20170211* | grep -SE "(Enforcement Action)|(\[TIMEOUT)|(CHR.+\|PRM\|1\|D.+(SWITCH|SIGNAL).+UNKNOWN)" - &gt;&gt; 2017-02-11-UncaughtWiMAX.txt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591</v>
      </c>
      <c r="B44" s="7">
        <v>4043</v>
      </c>
      <c r="C44" s="21" t="s">
        <v>193</v>
      </c>
      <c r="D44" s="21" t="s">
        <v>493</v>
      </c>
      <c r="E44" s="13">
        <v>42777.348379629628</v>
      </c>
      <c r="F44" s="13">
        <v>42777.351527777777</v>
      </c>
      <c r="G44" s="7">
        <v>1</v>
      </c>
      <c r="H44" s="21" t="s">
        <v>334</v>
      </c>
      <c r="I44" s="13">
        <v>42777.37777777778</v>
      </c>
      <c r="J44" s="7">
        <v>1</v>
      </c>
      <c r="K44" s="98" t="str">
        <f t="shared" si="0"/>
        <v>4043/4044</v>
      </c>
      <c r="L44" s="21" t="str">
        <f>VLOOKUP(A44,'Trips&amp;Operators'!$C$1:$G$99999,5,FALSE)</f>
        <v>PERKINS DARREN</v>
      </c>
      <c r="M44" s="6">
        <f t="shared" si="1"/>
        <v>2.6250000002619345E-2</v>
      </c>
      <c r="N44" s="7">
        <f t="shared" si="2"/>
        <v>37.800000003771856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 t="shared" si="5"/>
        <v>https://d0f6bd738d7f1b3e5a7ca70fe4ff75f0.us-east-1.aws.found.io/app/kibana#/discover/Steve-Slow-Train-Analysis-(2080s-and-2083s)?_g=(refreshInterval:(display:Off,pause:!f,section:0,value:0),time:(from:'2017-02-11T07:21:40-0700',mode:absolute,to:'2017-02-11T10:04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4" s="188" t="str">
        <f t="shared" si="6"/>
        <v>N</v>
      </c>
      <c r="X44" s="188">
        <f t="shared" si="22"/>
        <v>1</v>
      </c>
      <c r="Y44" s="62">
        <f t="shared" si="8"/>
        <v>23.299199999999999</v>
      </c>
      <c r="Z44" s="62">
        <f t="shared" si="9"/>
        <v>1.6299999999999999E-2</v>
      </c>
      <c r="AA44" s="62">
        <f t="shared" si="10"/>
        <v>23.282899999999998</v>
      </c>
      <c r="AB44" s="59" t="e">
        <f>VLOOKUP(A44,Enforcements!$C$7:$K$14,8,0)</f>
        <v>#N/A</v>
      </c>
      <c r="AC44" s="55" t="e">
        <f>VLOOKUP(A44,Enforcements!$C$7:$E$14,3,0)</f>
        <v>#N/A</v>
      </c>
      <c r="AD44" s="56" t="str">
        <f t="shared" si="11"/>
        <v>0132-11</v>
      </c>
      <c r="AE44" s="85" t="str">
        <f t="shared" si="12"/>
        <v>aws s3 cp s3://rtdc.mdm.uploadarchive.raw/RTDC4043/ "%USERPROFILE%\AppData\Local\Temp\OnboardLogs"\RTDC4043\2017-02-11 --exclude "*" --recursive --include "*20170211*" &amp; "%USERPROFILE%\Documents\GitHub\mrs-test-scripts\Headless Mode &amp; Sideloading\WalkAndUnGZ.bat" "%USERPROFILE%\AppData\Local\Temp\OnboardLogs"\RTDC4043\2017-02-11 &amp; aws s3 cp s3://rtdc.mdm.uploadarchive.raw/RTDC4043/ "%USERPROFILE%\AppData\Local\Temp\OnboardLogs"\RTDC4043\2017-02-12 --exclude "*" --recursive --include "*20170212*" &amp; "%USERPROFILE%\Documents\GitHub\mrs-test-scripts\Headless Mode &amp; Sideloading\WalkAndUnGZ.bat" "%USERPROFILE%\AppData\Local\Temp\OnboardLogs"\RTDC4043\2017-02-12</v>
      </c>
      <c r="AF44" s="82" t="str">
        <f t="shared" si="13"/>
        <v>"C:\Program Files (x86)\AstroGrep\AstroGrep.exe" /spath="%USERPROFILE%\AppData\Local\Temp\OnboardLogs" /stypes="app*4043*20170211*"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132-11 --locoid 4043 --swversion DE.1.0.8.0 --startMP 204:232992 --initTime 2017-02-11T08:21:40 --startdatetime 2017-02-11T08:26:12 --delay 1 --endMP 204:163 --enddatetime 2017-02-11T09:04:00 --enforcementcount 1 &gt;&gt;C:\Users\stu\Documents\GitHub\eaglep3-reporting\EC\2017-02-11-refined-times.txt</v>
      </c>
      <c r="AI44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{"issue":{"subject":"","project_id":79,"tracker_id":40,"status_id":1,"priority_id":2,"assigned_to_id":23,"start_date":"2017-02-11","description":"","custom_fields":[{"id":1,"name":"Subdivision","value":"EC"},{"id":4,"name":"Milepost","value":"0.0163"},{"id":17,"name":"Train ID","value":"132-11"},{"id":16,"name":"Locomotive ID","value":"4043"},{"id":130,"name":"Impact","value":""},{"id":150,"name":"Time of Event (Mountain Time)","value":"09:04:00"},{"id":151,"name":"Denver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4043 --day 2017-02-11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"%USERPROFILE%\AppData\Local\Temp\OnboardLogs"\RTDC4043\*4043*20170211* | grep -SE "(Enforcement Action)|(\[TIMEOUT)|(CHR.+\|PRM\|1\|D.+(SWITCH|SIGNAL).+UNKNOWN)" - &gt;&gt; 2017-02-11-UncaughtWiMAX.txt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583</v>
      </c>
      <c r="B45" s="7">
        <v>4025</v>
      </c>
      <c r="C45" s="21" t="s">
        <v>193</v>
      </c>
      <c r="D45" s="21" t="s">
        <v>235</v>
      </c>
      <c r="E45" s="13">
        <v>42777.320150462961</v>
      </c>
      <c r="F45" s="13">
        <v>42777.323182870372</v>
      </c>
      <c r="G45" s="7">
        <v>1</v>
      </c>
      <c r="H45" s="21" t="s">
        <v>354</v>
      </c>
      <c r="I45" s="13">
        <v>42777.349108796298</v>
      </c>
      <c r="J45" s="7">
        <v>1</v>
      </c>
      <c r="K45" s="98" t="str">
        <f t="shared" ref="K45:K76" si="23">IF(ISEVEN(B45),(B45-1)&amp;"/"&amp;B45,B45&amp;"/"&amp;(B45+1))</f>
        <v>4025/4026</v>
      </c>
      <c r="L45" s="21" t="str">
        <f>VLOOKUP(A45,'Trips&amp;Operators'!$C$1:$G$99999,5,FALSE)</f>
        <v>MAELZER KURT</v>
      </c>
      <c r="M45" s="6">
        <f t="shared" ref="M45:M76" si="24">I45-F45</f>
        <v>2.5925925925548654E-2</v>
      </c>
      <c r="N45" s="7">
        <f t="shared" si="2"/>
        <v>37.333333332790062</v>
      </c>
      <c r="O45" s="7"/>
      <c r="P45" s="7"/>
      <c r="Q45" s="22"/>
      <c r="R45" s="22"/>
      <c r="S45" s="31">
        <f t="shared" ref="S45:S76" si="25">SUM(U45:U45)/IF(AG45="EC",12,1)</f>
        <v>1</v>
      </c>
      <c r="T45" s="46" t="str">
        <f t="shared" ref="T45:T76" si="26">IF(ISEVEN(LEFT(AD45,4)),"Southbound","NorthBound")</f>
        <v>NorthBound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 t="shared" ref="V45:V76" si="27"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-02-11T06:41:01-0700',mode:absolute,to:'2017-02-11T09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5" s="188" t="str">
        <f t="shared" ref="W45:W76" si="28">IF(AA45&lt;IF(AG45="EC",23,5.65),"Y","N")</f>
        <v>N</v>
      </c>
      <c r="X45" s="188">
        <f t="shared" si="22"/>
        <v>1</v>
      </c>
      <c r="Y45" s="62">
        <f t="shared" ref="Y45:Y76" si="29">RIGHT(D45,LEN(D45)-4)/10000</f>
        <v>4.5100000000000001E-2</v>
      </c>
      <c r="Z45" s="62">
        <f t="shared" ref="Z45:Z76" si="30">RIGHT(H45,LEN(H45)-4)/10000</f>
        <v>23.331199999999999</v>
      </c>
      <c r="AA45" s="62">
        <f t="shared" ref="AA45:AA76" si="31">ABS(Z45-Y45)</f>
        <v>23.286099999999998</v>
      </c>
      <c r="AB45" s="59" t="e">
        <f>VLOOKUP(A45,Enforcements!$C$7:$K$14,8,0)</f>
        <v>#N/A</v>
      </c>
      <c r="AC45" s="55" t="e">
        <f>VLOOKUP(A45,Enforcements!$C$7:$E$14,3,0)</f>
        <v>#N/A</v>
      </c>
      <c r="AD45" s="56" t="str">
        <f t="shared" ref="AD45:AD76" si="32">IF(LEN(A45)=6,"0"&amp;A45,A45)</f>
        <v>0133-11</v>
      </c>
      <c r="AE45" s="85" t="str">
        <f t="shared" ref="AE45:AE76" si="33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AF45" s="82" t="str">
        <f t="shared" ref="AF45:AF76" si="34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/stypes="app*4025*20170211*" /stext=" 15:.+((SYSTEM_STATE.+slice.+state.+changed )|(ment ac)|(multiple cpu faults)|(system.+state.+changed )|(\[timeout)|(PRM\|1\|D)|(kpr)|(kdp)|(\|lc)|(penalty))" /e /r /s</v>
      </c>
      <c r="AG45" s="1" t="str">
        <f t="shared" ref="AG45:AG76" si="35">IFERROR(IF(VALUE(LEFT(AD45,2))&lt;=2,"EC",IF(OR(VALUE(LEFT(AD45,2))=8,VALUE(LEFT(AD45,2))=18),"NW","Other")),"Other")</f>
        <v>EC</v>
      </c>
      <c r="AH45" s="86" t="str">
        <f t="shared" si="18"/>
        <v>"%USERPROFILE%\Documents\GitHub\eaglep3\Utilities\RefineRTDCRunTimes.py" --tripid 133-11 --locoid 4025 --swversion DE.1.0.8.0 --startMP 204:451 --initTime 2017-02-11T07:41:01 --startdatetime 2017-02-11T07:45:23 --delay 1 --endMP 204:233312 --enddatetime 2017-02-11T08:22:43 --enforcementcount 1 &gt;&gt;C:\Users\stu\Documents\GitHub\eaglep3-reporting\EC\2017-02-11-refined-times.txt</v>
      </c>
      <c r="AI45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{"issue":{"subject":"","project_id":79,"tracker_id":40,"status_id":1,"priority_id":2,"assigned_to_id":23,"start_date":"2017-02-11","description":"","custom_fields":[{"id":1,"name":"Subdivision","value":"EC"},{"id":4,"name":"Milepost","value":"23.3312"},{"id":17,"name":"Train ID","value":"133-11"},{"id":16,"name":"Locomotive ID","value":"4025"},{"id":130,"name":"Impact","value":""},{"id":150,"name":"Time of Event (Mountain Time)","value":"08:22:43"},{"id":151,"name":"Denver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4025 --day 2017-02-11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"%USERPROFILE%\AppData\Local\Temp\OnboardLogs"\RTDC4025\*4025*20170211* | grep -SE "(Enforcement Action)|(\[TIMEOUT)|(CHR.+\|PRM\|1\|D.+(SWITCH|SIGNAL).+UNKNOWN)" - &gt;&gt; 2017-02-11-UncaughtWiMAX.txt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593</v>
      </c>
      <c r="B46" s="7">
        <v>4026</v>
      </c>
      <c r="C46" s="21" t="s">
        <v>193</v>
      </c>
      <c r="D46" s="21" t="s">
        <v>751</v>
      </c>
      <c r="E46" s="13">
        <v>42777.354074074072</v>
      </c>
      <c r="F46" s="13">
        <v>42777.362083333333</v>
      </c>
      <c r="G46" s="7">
        <v>1</v>
      </c>
      <c r="H46" s="21" t="s">
        <v>184</v>
      </c>
      <c r="I46" s="13">
        <v>42777.388773148145</v>
      </c>
      <c r="J46" s="7">
        <v>1</v>
      </c>
      <c r="K46" s="98" t="str">
        <f t="shared" si="23"/>
        <v>4025/4026</v>
      </c>
      <c r="L46" s="21" t="str">
        <f>VLOOKUP(A46,'Trips&amp;Operators'!$C$1:$G$99999,5,FALSE)</f>
        <v>MAELZER KURT</v>
      </c>
      <c r="M46" s="6">
        <f t="shared" si="24"/>
        <v>2.6689814811106771E-2</v>
      </c>
      <c r="N46" s="7">
        <f t="shared" si="2"/>
        <v>38.433333327993751</v>
      </c>
      <c r="O46" s="7"/>
      <c r="P46" s="7"/>
      <c r="Q46" s="22"/>
      <c r="R46" s="22"/>
      <c r="S46" s="31">
        <f t="shared" si="25"/>
        <v>1</v>
      </c>
      <c r="T46" s="46" t="str">
        <f t="shared" si="26"/>
        <v>Southbound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 t="shared" si="27"/>
        <v>https://d0f6bd738d7f1b3e5a7ca70fe4ff75f0.us-east-1.aws.found.io/app/kibana#/discover/Steve-Slow-Train-Analysis-(2080s-and-2083s)?_g=(refreshInterval:(display:Off,pause:!f,section:0,value:0),time:(from:'2017-02-11T07:29:52-0700',mode:absolute,to:'2017-02-11T10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6" s="188" t="str">
        <f t="shared" si="28"/>
        <v>N</v>
      </c>
      <c r="X46" s="188">
        <f t="shared" si="22"/>
        <v>1</v>
      </c>
      <c r="Y46" s="62">
        <f t="shared" si="29"/>
        <v>23.3002</v>
      </c>
      <c r="Z46" s="62">
        <f t="shared" si="30"/>
        <v>1.49E-2</v>
      </c>
      <c r="AA46" s="62">
        <f t="shared" si="31"/>
        <v>23.285299999999999</v>
      </c>
      <c r="AB46" s="59" t="e">
        <f>VLOOKUP(A46,Enforcements!$C$7:$K$14,8,0)</f>
        <v>#N/A</v>
      </c>
      <c r="AC46" s="55" t="e">
        <f>VLOOKUP(A46,Enforcements!$C$7:$E$14,3,0)</f>
        <v>#N/A</v>
      </c>
      <c r="AD46" s="56" t="str">
        <f t="shared" si="32"/>
        <v>0134-11</v>
      </c>
      <c r="AE46" s="85" t="str">
        <f t="shared" si="33"/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AF46" s="82" t="str">
        <f t="shared" si="34"/>
        <v>"C:\Program Files (x86)\AstroGrep\AstroGrep.exe" /spath="%USERPROFILE%\AppData\Local\Temp\OnboardLogs" /stypes="app*4026*20170211*" /stext=" 16:.+((SYSTEM_STATE.+slice.+state.+changed )|(ment ac)|(multiple cpu faults)|(system.+state.+changed )|(\[timeout)|(PRM\|1\|D)|(kpr)|(kdp)|(\|lc)|(penalty))" /e /r /s</v>
      </c>
      <c r="AG46" s="1" t="str">
        <f t="shared" si="35"/>
        <v>EC</v>
      </c>
      <c r="AH46" s="86" t="str">
        <f t="shared" si="18"/>
        <v>"%USERPROFILE%\Documents\GitHub\eaglep3\Utilities\RefineRTDCRunTimes.py" --tripid 134-11 --locoid 4026 --swversion DE.1.0.8.0 --startMP 204:233002 --initTime 2017-02-11T08:29:52 --startdatetime 2017-02-11T08:41:24 --delay 1 --endMP 204:149 --enddatetime 2017-02-11T09:19:50 --enforcementcount 1 &gt;&gt;C:\Users\stu\Documents\GitHub\eaglep3-reporting\EC\2017-02-11-refined-times.txt</v>
      </c>
      <c r="AI46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{"issue":{"subject":"","project_id":79,"tracker_id":40,"status_id":1,"priority_id":2,"assigned_to_id":23,"start_date":"2017-02-11","description":"","custom_fields":[{"id":1,"name":"Subdivision","value":"EC"},{"id":4,"name":"Milepost","value":"0.0149"},{"id":17,"name":"Train ID","value":"134-11"},{"id":16,"name":"Locomotive ID","value":"4026"},{"id":130,"name":"Impact","value":""},{"id":150,"name":"Time of Event (Mountain Time)","value":"09:19:50"},{"id":151,"name":"Denver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4026 --day 2017-02-11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"%USERPROFILE%\AppData\Local\Temp\OnboardLogs"\RTDC4026\*4026*20170211* | grep -SE "(Enforcement Action)|(\[TIMEOUT)|(CHR.+\|PRM\|1\|D.+(SWITCH|SIGNAL).+UNKNOWN)" - &gt;&gt; 2017-02-11-UncaughtWiMAX.txt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585</v>
      </c>
      <c r="B47" s="7">
        <v>4040</v>
      </c>
      <c r="C47" s="21" t="s">
        <v>193</v>
      </c>
      <c r="D47" s="21" t="s">
        <v>218</v>
      </c>
      <c r="E47" s="13">
        <v>42777.328645833331</v>
      </c>
      <c r="F47" s="13">
        <v>42777.333449074074</v>
      </c>
      <c r="G47" s="7">
        <v>1</v>
      </c>
      <c r="H47" s="21" t="s">
        <v>753</v>
      </c>
      <c r="I47" s="13">
        <v>42777.358368055553</v>
      </c>
      <c r="J47" s="7">
        <v>1</v>
      </c>
      <c r="K47" s="98" t="str">
        <f t="shared" si="23"/>
        <v>4039/4040</v>
      </c>
      <c r="L47" s="21" t="str">
        <f>VLOOKUP(A47,'Trips&amp;Operators'!$C$1:$G$99999,5,FALSE)</f>
        <v>STRICKLAND EVAN</v>
      </c>
      <c r="M47" s="6">
        <f t="shared" si="24"/>
        <v>2.491898147854954E-2</v>
      </c>
      <c r="N47" s="7">
        <f t="shared" si="2"/>
        <v>35.883333329111338</v>
      </c>
      <c r="O47" s="7"/>
      <c r="P47" s="7"/>
      <c r="Q47" s="22"/>
      <c r="R47" s="22"/>
      <c r="S47" s="31">
        <f t="shared" si="25"/>
        <v>1</v>
      </c>
      <c r="T47" s="46" t="str">
        <f t="shared" si="26"/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 t="shared" si="27"/>
        <v>https://d0f6bd738d7f1b3e5a7ca70fe4ff75f0.us-east-1.aws.found.io/app/kibana#/discover/Steve-Slow-Train-Analysis-(2080s-and-2083s)?_g=(refreshInterval:(display:Off,pause:!f,section:0,value:0),time:(from:'2017-02-11T06:53:15-0700',mode:absolute,to:'2017-02-11T09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7" s="188" t="str">
        <f t="shared" si="28"/>
        <v>N</v>
      </c>
      <c r="X47" s="188">
        <f t="shared" si="22"/>
        <v>1</v>
      </c>
      <c r="Y47" s="62">
        <f t="shared" si="29"/>
        <v>4.6899999999999997E-2</v>
      </c>
      <c r="Z47" s="62">
        <f t="shared" si="30"/>
        <v>23.272300000000001</v>
      </c>
      <c r="AA47" s="62">
        <f t="shared" si="31"/>
        <v>23.2254</v>
      </c>
      <c r="AB47" s="59" t="e">
        <f>VLOOKUP(A47,Enforcements!$C$7:$K$14,8,0)</f>
        <v>#N/A</v>
      </c>
      <c r="AC47" s="55" t="e">
        <f>VLOOKUP(A47,Enforcements!$C$7:$E$14,3,0)</f>
        <v>#N/A</v>
      </c>
      <c r="AD47" s="56" t="str">
        <f t="shared" si="32"/>
        <v>0135-11</v>
      </c>
      <c r="AE47" s="85" t="str">
        <f t="shared" si="33"/>
        <v>aws s3 cp s3://rtdc.mdm.uploadarchive.raw/RTDC4040/ "%USERPROFILE%\AppData\Local\Temp\OnboardLogs"\RTDC4040\2017-02-11 --exclude "*" --recursive --include "*20170211*" &amp; "%USERPROFILE%\Documents\GitHub\mrs-test-scripts\Headless Mode &amp; Sideloading\WalkAndUnGZ.bat" "%USERPROFILE%\AppData\Local\Temp\OnboardLogs"\RTDC4040\2017-02-11 &amp; aws s3 cp s3://rtdc.mdm.uploadarchive.raw/RTDC4040/ "%USERPROFILE%\AppData\Local\Temp\OnboardLogs"\RTDC4040\2017-02-12 --exclude "*" --recursive --include "*20170212*" &amp; "%USERPROFILE%\Documents\GitHub\mrs-test-scripts\Headless Mode &amp; Sideloading\WalkAndUnGZ.bat" "%USERPROFILE%\AppData\Local\Temp\OnboardLogs"\RTDC4040\2017-02-12</v>
      </c>
      <c r="AF47" s="82" t="str">
        <f t="shared" si="34"/>
        <v>"C:\Program Files (x86)\AstroGrep\AstroGrep.exe" /spath="%USERPROFILE%\AppData\Local\Temp\OnboardLogs" /stypes="app*4040*20170211*" /stext=" 15:.+((SYSTEM_STATE.+slice.+state.+changed )|(ment ac)|(multiple cpu faults)|(system.+state.+changed )|(\[timeout)|(PRM\|1\|D)|(kpr)|(kdp)|(\|lc)|(penalty))" /e /r /s</v>
      </c>
      <c r="AG47" s="1" t="str">
        <f t="shared" si="35"/>
        <v>EC</v>
      </c>
      <c r="AH47" s="86" t="str">
        <f t="shared" si="18"/>
        <v>"%USERPROFILE%\Documents\GitHub\eaglep3\Utilities\RefineRTDCRunTimes.py" --tripid 135-11 --locoid 4040 --swversion DE.1.0.8.0 --startMP 204:469 --initTime 2017-02-11T07:53:15 --startdatetime 2017-02-11T08:00:10 --delay 1 --endMP 204:232723 --enddatetime 2017-02-11T08:36:03 --enforcementcount 1 &gt;&gt;C:\Users\stu\Documents\GitHub\eaglep3-reporting\EC\2017-02-11-refined-times.txt</v>
      </c>
      <c r="AI47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{"issue":{"subject":"","project_id":79,"tracker_id":40,"status_id":1,"priority_id":2,"assigned_to_id":23,"start_date":"2017-02-11","description":"","custom_fields":[{"id":1,"name":"Subdivision","value":"EC"},{"id":4,"name":"Milepost","value":"23.2723"},{"id":17,"name":"Train ID","value":"135-11"},{"id":16,"name":"Locomotive ID","value":"4040"},{"id":130,"name":"Impact","value":""},{"id":150,"name":"Time of Event (Mountain Time)","value":"08:36:03"},{"id":151,"name":"Denver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4040 --day 2017-02-11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"%USERPROFILE%\AppData\Local\Temp\OnboardLogs"\RTDC4040\*4040*20170211* | grep -SE "(Enforcement Action)|(\[TIMEOUT)|(CHR.+\|PRM\|1\|D.+(SWITCH|SIGNAL).+UNKNOWN)" - &gt;&gt; 2017-02-11-UncaughtWiMAX.txt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515</v>
      </c>
      <c r="B48" s="7">
        <v>4039</v>
      </c>
      <c r="C48" s="21" t="s">
        <v>193</v>
      </c>
      <c r="D48" s="21" t="s">
        <v>278</v>
      </c>
      <c r="E48" s="13">
        <v>42777.36109953704</v>
      </c>
      <c r="F48" s="13">
        <v>42777.372418981482</v>
      </c>
      <c r="G48" s="7">
        <v>1</v>
      </c>
      <c r="H48" s="21" t="s">
        <v>205</v>
      </c>
      <c r="I48" s="13">
        <v>42777.399108796293</v>
      </c>
      <c r="J48" s="7">
        <v>1</v>
      </c>
      <c r="K48" s="98" t="str">
        <f t="shared" si="23"/>
        <v>4039/4040</v>
      </c>
      <c r="L48" s="21" t="str">
        <f>VLOOKUP(A48,'Trips&amp;Operators'!$C$1:$G$99999,5,FALSE)</f>
        <v>STRICKLAND EVAN</v>
      </c>
      <c r="M48" s="6">
        <f t="shared" si="24"/>
        <v>2.6689814811106771E-2</v>
      </c>
      <c r="N48" s="7">
        <f t="shared" si="2"/>
        <v>38.433333327993751</v>
      </c>
      <c r="O48" s="7"/>
      <c r="P48" s="7"/>
      <c r="Q48" s="22"/>
      <c r="R48" s="22"/>
      <c r="S48" s="31">
        <f t="shared" si="25"/>
        <v>1</v>
      </c>
      <c r="T48" s="46" t="str">
        <f t="shared" si="26"/>
        <v>Southbound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 t="shared" si="27"/>
        <v>https://d0f6bd738d7f1b3e5a7ca70fe4ff75f0.us-east-1.aws.found.io/app/kibana#/discover/Steve-Slow-Train-Analysis-(2080s-and-2083s)?_g=(refreshInterval:(display:Off,pause:!f,section:0,value:0),time:(from:'2017-02-11T07:39:59-0700',mode:absolute,to:'2017-02-11T10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8" s="188" t="str">
        <f t="shared" si="28"/>
        <v>N</v>
      </c>
      <c r="X48" s="188">
        <f t="shared" si="22"/>
        <v>1</v>
      </c>
      <c r="Y48" s="62">
        <f t="shared" si="29"/>
        <v>23.299399999999999</v>
      </c>
      <c r="Z48" s="62">
        <f t="shared" si="30"/>
        <v>1.6E-2</v>
      </c>
      <c r="AA48" s="62">
        <f t="shared" si="31"/>
        <v>23.2834</v>
      </c>
      <c r="AB48" s="59" t="str">
        <f>VLOOKUP(A48,Enforcements!$C$7:$K$14,8,0)</f>
        <v>Form based authority (4)</v>
      </c>
      <c r="AC48" s="55" t="str">
        <f>VLOOKUP(A48,Enforcements!$C$7:$E$14,3,0)</f>
        <v>TRACK WARRANT AUTHORITY</v>
      </c>
      <c r="AD48" s="56" t="str">
        <f t="shared" si="32"/>
        <v>0136-11</v>
      </c>
      <c r="AE48" s="85" t="str">
        <f t="shared" si="33"/>
        <v>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 &amp; aws s3 cp s3://rtdc.mdm.uploadarchive.raw/RTDC4039/ "%USERPROFILE%\AppData\Local\Temp\OnboardLogs"\RTDC4039\2017-02-12 --exclude "*" --recursive --include "*20170212*" &amp; "%USERPROFILE%\Documents\GitHub\mrs-test-scripts\Headless Mode &amp; Sideloading\WalkAndUnGZ.bat" "%USERPROFILE%\AppData\Local\Temp\OnboardLogs"\RTDC4039\2017-02-12</v>
      </c>
      <c r="AF48" s="82" t="str">
        <f t="shared" si="34"/>
        <v>"C:\Program Files (x86)\AstroGrep\AstroGrep.exe" /spath="%USERPROFILE%\AppData\Local\Temp\OnboardLogs" /stypes="app*4039*20170211*" /stext=" 16:.+((SYSTEM_STATE.+slice.+state.+changed )|(ment ac)|(multiple cpu faults)|(system.+state.+changed )|(\[timeout)|(PRM\|1\|D)|(kpr)|(kdp)|(\|lc)|(penalty))" /e /r /s</v>
      </c>
      <c r="AG48" s="1" t="str">
        <f t="shared" si="35"/>
        <v>EC</v>
      </c>
      <c r="AH48" s="86" t="str">
        <f t="shared" si="18"/>
        <v>"%USERPROFILE%\Documents\GitHub\eaglep3\Utilities\RefineRTDCRunTimes.py" --tripid 136-11 --locoid 4039 --swversion DE.1.0.8.0 --startMP 204:232994 --initTime 2017-02-11T08:39:59 --startdatetime 2017-02-11T08:56:17 --delay 1 --endMP 204:160 --enddatetime 2017-02-11T09:34:43 --enforcementcount 1 &gt;&gt;C:\Users\stu\Documents\GitHub\eaglep3-reporting\EC\2017-02-11-refined-times.txt</v>
      </c>
      <c r="AI48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{"issue":{"subject":"","project_id":79,"tracker_id":40,"status_id":1,"priority_id":2,"assigned_to_id":23,"start_date":"2017-02-11","description":"","custom_fields":[{"id":1,"name":"Subdivision","value":"EC"},{"id":4,"name":"Milepost","value":"0.016"},{"id":17,"name":"Train ID","value":"136-11"},{"id":16,"name":"Locomotive ID","value":"4039"},{"id":130,"name":"Impact","value":""},{"id":150,"name":"Time of Event (Mountain Time)","value":"09:34:43"},{"id":151,"name":"Denver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4039 --day 2017-02-11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"%USERPROFILE%\AppData\Local\Temp\OnboardLogs"\RTDC4039\*4039*20170211* | grep -SE "(Enforcement Action)|(\[TIMEOUT)|(CHR.+\|PRM\|1\|D.+(SWITCH|SIGNAL).+UNKNOWN)" - &gt;&gt; 2017-02-11-UncaughtWiMAX.txt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590</v>
      </c>
      <c r="B49" s="7">
        <v>4031</v>
      </c>
      <c r="C49" s="21" t="s">
        <v>193</v>
      </c>
      <c r="D49" s="21" t="s">
        <v>235</v>
      </c>
      <c r="E49" s="13">
        <v>42777.338402777779</v>
      </c>
      <c r="F49" s="13">
        <v>42777.343993055554</v>
      </c>
      <c r="G49" s="7">
        <v>1</v>
      </c>
      <c r="H49" s="21" t="s">
        <v>754</v>
      </c>
      <c r="I49" s="13">
        <v>42777.369872685187</v>
      </c>
      <c r="J49" s="7">
        <v>1</v>
      </c>
      <c r="K49" s="98" t="str">
        <f t="shared" si="23"/>
        <v>4031/4032</v>
      </c>
      <c r="L49" s="21" t="str">
        <f>VLOOKUP(A49,'Trips&amp;Operators'!$C$1:$G$99999,5,FALSE)</f>
        <v>OUN ZACK</v>
      </c>
      <c r="M49" s="6">
        <f t="shared" si="24"/>
        <v>2.587962963298196E-2</v>
      </c>
      <c r="N49" s="7">
        <f t="shared" si="2"/>
        <v>37.266666671494022</v>
      </c>
      <c r="O49" s="7"/>
      <c r="P49" s="7"/>
      <c r="Q49" s="22"/>
      <c r="R49" s="22"/>
      <c r="S49" s="31">
        <f t="shared" si="25"/>
        <v>1</v>
      </c>
      <c r="T49" s="46" t="str">
        <f t="shared" si="26"/>
        <v>NorthBound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7" t="str">
        <f t="shared" si="27"/>
        <v>https://d0f6bd738d7f1b3e5a7ca70fe4ff75f0.us-east-1.aws.found.io/app/kibana#/discover/Steve-Slow-Train-Analysis-(2080s-and-2083s)?_g=(refreshInterval:(display:Off,pause:!f,section:0,value:0),time:(from:'2017-02-11T07:07:18-0700',mode:absolute,to:'2017-02-11T09:52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9" s="188" t="str">
        <f t="shared" si="28"/>
        <v>N</v>
      </c>
      <c r="X49" s="188">
        <f t="shared" si="22"/>
        <v>1</v>
      </c>
      <c r="Y49" s="62">
        <f t="shared" si="29"/>
        <v>4.5100000000000001E-2</v>
      </c>
      <c r="Z49" s="62">
        <f t="shared" si="30"/>
        <v>23.336600000000001</v>
      </c>
      <c r="AA49" s="62">
        <f t="shared" si="31"/>
        <v>23.291499999999999</v>
      </c>
      <c r="AB49" s="59" t="e">
        <f>VLOOKUP(A49,Enforcements!$C$7:$K$14,8,0)</f>
        <v>#N/A</v>
      </c>
      <c r="AC49" s="55" t="e">
        <f>VLOOKUP(A49,Enforcements!$C$7:$E$14,3,0)</f>
        <v>#N/A</v>
      </c>
      <c r="AD49" s="56" t="str">
        <f t="shared" si="32"/>
        <v>0137-11</v>
      </c>
      <c r="AE49" s="85" t="str">
        <f t="shared" si="33"/>
        <v>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 &amp; 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</v>
      </c>
      <c r="AF49" s="82" t="str">
        <f t="shared" si="34"/>
        <v>"C:\Program Files (x86)\AstroGrep\AstroGrep.exe" /spath="%USERPROFILE%\AppData\Local\Temp\OnboardLogs" /stypes="app*4031*20170211*" /stext=" 15:.+((SYSTEM_STATE.+slice.+state.+changed )|(ment ac)|(multiple cpu faults)|(system.+state.+changed )|(\[timeout)|(PRM\|1\|D)|(kpr)|(kdp)|(\|lc)|(penalty))" /e /r /s</v>
      </c>
      <c r="AG49" s="1" t="str">
        <f t="shared" si="35"/>
        <v>EC</v>
      </c>
      <c r="AH49" s="86" t="str">
        <f t="shared" si="18"/>
        <v>"%USERPROFILE%\Documents\GitHub\eaglep3\Utilities\RefineRTDCRunTimes.py" --tripid 137-11 --locoid 4031 --swversion DE.1.0.8.0 --startMP 204:451 --initTime 2017-02-11T08:07:18 --startdatetime 2017-02-11T08:15:21 --delay 1 --endMP 204:233366 --enddatetime 2017-02-11T08:52:37 --enforcementcount 1 &gt;&gt;C:\Users\stu\Documents\GitHub\eaglep3-reporting\EC\2017-02-11-refined-times.txt</v>
      </c>
      <c r="AI49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{"issue":{"subject":"","project_id":79,"tracker_id":40,"status_id":1,"priority_id":2,"assigned_to_id":23,"start_date":"2017-02-11","description":"","custom_fields":[{"id":1,"name":"Subdivision","value":"EC"},{"id":4,"name":"Milepost","value":"23.3366"},{"id":17,"name":"Train ID","value":"137-11"},{"id":16,"name":"Locomotive ID","value":"4031"},{"id":130,"name":"Impact","value":""},{"id":150,"name":"Time of Event (Mountain Time)","value":"08:52:37"},{"id":151,"name":"Denver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4031 --day 2017-02-11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2017-02-11-UncaughtWiMAX.txt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599</v>
      </c>
      <c r="B50" s="7">
        <v>4032</v>
      </c>
      <c r="C50" s="21" t="s">
        <v>193</v>
      </c>
      <c r="D50" s="21" t="s">
        <v>755</v>
      </c>
      <c r="E50" s="13">
        <v>42777.379560185182</v>
      </c>
      <c r="F50" s="13">
        <v>42777.382870370369</v>
      </c>
      <c r="G50" s="7">
        <v>1</v>
      </c>
      <c r="H50" s="21" t="s">
        <v>756</v>
      </c>
      <c r="I50" s="13">
        <v>42777.409375000003</v>
      </c>
      <c r="J50" s="7">
        <v>1</v>
      </c>
      <c r="K50" s="98" t="str">
        <f t="shared" si="23"/>
        <v>4031/4032</v>
      </c>
      <c r="L50" s="21" t="str">
        <f>VLOOKUP(A50,'Trips&amp;Operators'!$C$1:$G$99999,5,FALSE)</f>
        <v>OUN ZACK</v>
      </c>
      <c r="M50" s="6">
        <f t="shared" si="24"/>
        <v>2.6504629633564036E-2</v>
      </c>
      <c r="N50" s="7">
        <f t="shared" si="2"/>
        <v>38.166666672332212</v>
      </c>
      <c r="O50" s="7"/>
      <c r="P50" s="7"/>
      <c r="Q50" s="22"/>
      <c r="R50" s="22"/>
      <c r="S50" s="31">
        <f t="shared" si="25"/>
        <v>1</v>
      </c>
      <c r="T50" s="46" t="str">
        <f t="shared" si="26"/>
        <v>Southbound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 t="shared" si="27"/>
        <v>https://d0f6bd738d7f1b3e5a7ca70fe4ff75f0.us-east-1.aws.found.io/app/kibana#/discover/Steve-Slow-Train-Analysis-(2080s-and-2083s)?_g=(refreshInterval:(display:Off,pause:!f,section:0,value:0),time:(from:'2017-02-11T08:06:34-0700',mode:absolute,to:'2017-02-11T10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0" s="188" t="str">
        <f t="shared" si="28"/>
        <v>N</v>
      </c>
      <c r="X50" s="188">
        <f t="shared" si="22"/>
        <v>1</v>
      </c>
      <c r="Y50" s="62">
        <f t="shared" si="29"/>
        <v>23.302800000000001</v>
      </c>
      <c r="Z50" s="62">
        <f t="shared" si="30"/>
        <v>0.1179</v>
      </c>
      <c r="AA50" s="62">
        <f t="shared" si="31"/>
        <v>23.184900000000003</v>
      </c>
      <c r="AB50" s="59" t="e">
        <f>VLOOKUP(A50,Enforcements!$C$7:$K$14,8,0)</f>
        <v>#N/A</v>
      </c>
      <c r="AC50" s="55" t="e">
        <f>VLOOKUP(A50,Enforcements!$C$7:$E$14,3,0)</f>
        <v>#N/A</v>
      </c>
      <c r="AD50" s="56" t="str">
        <f t="shared" si="32"/>
        <v>0138-11</v>
      </c>
      <c r="AE50" s="85" t="str">
        <f t="shared" si="33"/>
        <v>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 &amp; 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</v>
      </c>
      <c r="AF50" s="82" t="str">
        <f t="shared" si="34"/>
        <v>"C:\Program Files (x86)\AstroGrep\AstroGrep.exe" /spath="%USERPROFILE%\AppData\Local\Temp\OnboardLogs" /stypes="app*4032*20170211*" /stext=" 16:.+((SYSTEM_STATE.+slice.+state.+changed )|(ment ac)|(multiple cpu faults)|(system.+state.+changed )|(\[timeout)|(PRM\|1\|D)|(kpr)|(kdp)|(\|lc)|(penalty))" /e /r /s</v>
      </c>
      <c r="AG50" s="1" t="str">
        <f t="shared" si="35"/>
        <v>EC</v>
      </c>
      <c r="AH50" s="86" t="str">
        <f t="shared" si="18"/>
        <v>"%USERPROFILE%\Documents\GitHub\eaglep3\Utilities\RefineRTDCRunTimes.py" --tripid 138-11 --locoid 4032 --swversion DE.1.0.8.0 --startMP 204:233028 --initTime 2017-02-11T09:06:34 --startdatetime 2017-02-11T09:11:20 --delay 1 --endMP 204:1179 --enddatetime 2017-02-11T09:49:30 --enforcementcount 1 &gt;&gt;C:\Users\stu\Documents\GitHub\eaglep3-reporting\EC\2017-02-11-refined-times.txt</v>
      </c>
      <c r="AI50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{"issue":{"subject":"","project_id":79,"tracker_id":40,"status_id":1,"priority_id":2,"assigned_to_id":23,"start_date":"2017-02-11","description":"","custom_fields":[{"id":1,"name":"Subdivision","value":"EC"},{"id":4,"name":"Milepost","value":"0.1179"},{"id":17,"name":"Train ID","value":"138-11"},{"id":16,"name":"Locomotive ID","value":"4032"},{"id":130,"name":"Impact","value":""},{"id":150,"name":"Time of Event (Mountain Time)","value":"09:49:30"},{"id":151,"name":"Denver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4032 --day 2017-02-11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2017-02-11-UncaughtWiMAX.txt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592</v>
      </c>
      <c r="B51" s="7">
        <v>4020</v>
      </c>
      <c r="C51" s="21" t="s">
        <v>193</v>
      </c>
      <c r="D51" s="21" t="s">
        <v>312</v>
      </c>
      <c r="E51" s="13">
        <v>42777.35193287037</v>
      </c>
      <c r="F51" s="13">
        <v>42777.354872685188</v>
      </c>
      <c r="G51" s="7">
        <v>1</v>
      </c>
      <c r="H51" s="21" t="s">
        <v>735</v>
      </c>
      <c r="I51" s="13">
        <v>42777.379201388889</v>
      </c>
      <c r="J51" s="7">
        <v>1</v>
      </c>
      <c r="K51" s="98" t="str">
        <f t="shared" si="23"/>
        <v>4019/4020</v>
      </c>
      <c r="L51" s="21" t="str">
        <f>VLOOKUP(A51,'Trips&amp;Operators'!$C$1:$G$99999,5,FALSE)</f>
        <v>LOZA FIDEL</v>
      </c>
      <c r="M51" s="6">
        <f t="shared" si="24"/>
        <v>2.4328703701030463E-2</v>
      </c>
      <c r="N51" s="7">
        <f t="shared" si="2"/>
        <v>35.033333329483867</v>
      </c>
      <c r="O51" s="7"/>
      <c r="P51" s="7"/>
      <c r="Q51" s="22"/>
      <c r="R51" s="22"/>
      <c r="S51" s="31">
        <f t="shared" si="25"/>
        <v>1</v>
      </c>
      <c r="T51" s="46" t="str">
        <f t="shared" si="26"/>
        <v>NorthBound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 t="shared" si="27"/>
        <v>https://d0f6bd738d7f1b3e5a7ca70fe4ff75f0.us-east-1.aws.found.io/app/kibana#/discover/Steve-Slow-Train-Analysis-(2080s-and-2083s)?_g=(refreshInterval:(display:Off,pause:!f,section:0,value:0),time:(from:'2017-02-11T07:26:47-0700',mode:absolute,to:'2017-02-11T10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1" s="188" t="str">
        <f t="shared" si="28"/>
        <v>N</v>
      </c>
      <c r="X51" s="188">
        <f t="shared" si="22"/>
        <v>1</v>
      </c>
      <c r="Y51" s="62">
        <f t="shared" si="29"/>
        <v>4.4200000000000003E-2</v>
      </c>
      <c r="Z51" s="62">
        <f t="shared" si="30"/>
        <v>23.339099999999998</v>
      </c>
      <c r="AA51" s="62">
        <f t="shared" si="31"/>
        <v>23.294899999999998</v>
      </c>
      <c r="AB51" s="59" t="e">
        <f>VLOOKUP(A51,Enforcements!$C$7:$K$14,8,0)</f>
        <v>#N/A</v>
      </c>
      <c r="AC51" s="55" t="e">
        <f>VLOOKUP(A51,Enforcements!$C$7:$E$14,3,0)</f>
        <v>#N/A</v>
      </c>
      <c r="AD51" s="56" t="str">
        <f t="shared" si="32"/>
        <v>0139-11</v>
      </c>
      <c r="AE51" s="85" t="str">
        <f t="shared" si="33"/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AF51" s="82" t="str">
        <f t="shared" si="34"/>
        <v>"C:\Program Files (x86)\AstroGrep\AstroGrep.exe" /spath="%USERPROFILE%\AppData\Local\Temp\OnboardLogs" /stypes="app*4020*20170211*" /stext=" 16:.+((SYSTEM_STATE.+slice.+state.+changed )|(ment ac)|(multiple cpu faults)|(system.+state.+changed )|(\[timeout)|(PRM\|1\|D)|(kpr)|(kdp)|(\|lc)|(penalty))" /e /r /s</v>
      </c>
      <c r="AG51" s="1" t="str">
        <f t="shared" si="35"/>
        <v>EC</v>
      </c>
      <c r="AH51" s="86" t="str">
        <f t="shared" si="18"/>
        <v>"%USERPROFILE%\Documents\GitHub\eaglep3\Utilities\RefineRTDCRunTimes.py" --tripid 139-11 --locoid 4020 --swversion DE.1.0.8.0 --startMP 204:442 --initTime 2017-02-11T08:26:47 --startdatetime 2017-02-11T08:31:01 --delay 1 --endMP 204:233391 --enddatetime 2017-02-11T09:06:03 --enforcementcount 1 &gt;&gt;C:\Users\stu\Documents\GitHub\eaglep3-reporting\EC\2017-02-11-refined-times.txt</v>
      </c>
      <c r="AI51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{"issue":{"subject":"","project_id":79,"tracker_id":40,"status_id":1,"priority_id":2,"assigned_to_id":23,"start_date":"2017-02-11","description":"","custom_fields":[{"id":1,"name":"Subdivision","value":"EC"},{"id":4,"name":"Milepost","value":"23.3391"},{"id":17,"name":"Train ID","value":"139-11"},{"id":16,"name":"Locomotive ID","value":"4020"},{"id":130,"name":"Impact","value":""},{"id":150,"name":"Time of Event (Mountain Time)","value":"09:06:03"},{"id":151,"name":"Denver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4020 --day 2017-02-11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"%USERPROFILE%\AppData\Local\Temp\OnboardLogs"\RTDC4020\*4020*20170211* | grep -SE "(Enforcement Action)|(\[TIMEOUT)|(CHR.+\|PRM\|1\|D.+(SWITCH|SIGNAL).+UNKNOWN)" - &gt;&gt; 2017-02-11-UncaughtWiMAX.txt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601</v>
      </c>
      <c r="B52" s="7">
        <v>4019</v>
      </c>
      <c r="C52" s="21" t="s">
        <v>193</v>
      </c>
      <c r="D52" s="21" t="s">
        <v>757</v>
      </c>
      <c r="E52" s="13">
        <v>42777.390335648146</v>
      </c>
      <c r="F52" s="13">
        <v>42777.393379629626</v>
      </c>
      <c r="G52" s="7">
        <v>1</v>
      </c>
      <c r="H52" s="21" t="s">
        <v>209</v>
      </c>
      <c r="I52" s="13">
        <v>42777.419537037036</v>
      </c>
      <c r="J52" s="7">
        <v>1</v>
      </c>
      <c r="K52" s="98" t="str">
        <f t="shared" si="23"/>
        <v>4019/4020</v>
      </c>
      <c r="L52" s="21" t="str">
        <f>VLOOKUP(A52,'Trips&amp;Operators'!$C$1:$G$99999,5,FALSE)</f>
        <v>LOZA FIDEL</v>
      </c>
      <c r="M52" s="6">
        <f t="shared" si="24"/>
        <v>2.6157407410209998E-2</v>
      </c>
      <c r="N52" s="7">
        <f t="shared" si="2"/>
        <v>37.666666670702398</v>
      </c>
      <c r="O52" s="7"/>
      <c r="P52" s="7"/>
      <c r="Q52" s="22"/>
      <c r="R52" s="22"/>
      <c r="S52" s="31">
        <f t="shared" si="25"/>
        <v>1</v>
      </c>
      <c r="T52" s="46" t="str">
        <f t="shared" si="26"/>
        <v>Southbound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 t="shared" si="27"/>
        <v>https://d0f6bd738d7f1b3e5a7ca70fe4ff75f0.us-east-1.aws.found.io/app/kibana#/discover/Steve-Slow-Train-Analysis-(2080s-and-2083s)?_g=(refreshInterval:(display:Off,pause:!f,section:0,value:0),time:(from:'2017-02-11T08:22:05-0700',mode:absolute,to:'2017-02-11T11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2" s="188" t="str">
        <f t="shared" si="28"/>
        <v>N</v>
      </c>
      <c r="X52" s="188">
        <f t="shared" si="22"/>
        <v>1</v>
      </c>
      <c r="Y52" s="62">
        <f t="shared" si="29"/>
        <v>23.307400000000001</v>
      </c>
      <c r="Z52" s="62">
        <f t="shared" si="30"/>
        <v>1.5800000000000002E-2</v>
      </c>
      <c r="AA52" s="62">
        <f t="shared" si="31"/>
        <v>23.291600000000003</v>
      </c>
      <c r="AB52" s="59" t="e">
        <f>VLOOKUP(A52,Enforcements!$C$7:$K$14,8,0)</f>
        <v>#N/A</v>
      </c>
      <c r="AC52" s="55" t="e">
        <f>VLOOKUP(A52,Enforcements!$C$7:$E$14,3,0)</f>
        <v>#N/A</v>
      </c>
      <c r="AD52" s="56" t="str">
        <f t="shared" si="32"/>
        <v>0140-11</v>
      </c>
      <c r="AE52" s="85" t="str">
        <f t="shared" si="33"/>
        <v>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 &amp; 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</v>
      </c>
      <c r="AF52" s="82" t="str">
        <f t="shared" si="34"/>
        <v>"C:\Program Files (x86)\AstroGrep\AstroGrep.exe" /spath="%USERPROFILE%\AppData\Local\Temp\OnboardLogs" /stypes="app*4019*20170211*" /stext=" 17:.+((SYSTEM_STATE.+slice.+state.+changed )|(ment ac)|(multiple cpu faults)|(system.+state.+changed )|(\[timeout)|(PRM\|1\|D)|(kpr)|(kdp)|(\|lc)|(penalty))" /e /r /s</v>
      </c>
      <c r="AG52" s="1" t="str">
        <f t="shared" si="35"/>
        <v>EC</v>
      </c>
      <c r="AH52" s="86" t="str">
        <f t="shared" si="18"/>
        <v>"%USERPROFILE%\Documents\GitHub\eaglep3\Utilities\RefineRTDCRunTimes.py" --tripid 140-11 --locoid 4019 --swversion DE.1.0.8.0 --startMP 204:233074 --initTime 2017-02-11T09:22:05 --startdatetime 2017-02-11T09:26:28 --delay 1 --endMP 204:158 --enddatetime 2017-02-11T10:04:08 --enforcementcount 1 &gt;&gt;C:\Users\stu\Documents\GitHub\eaglep3-reporting\EC\2017-02-11-refined-times.txt</v>
      </c>
      <c r="AI52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{"issue":{"subject":"","project_id":79,"tracker_id":40,"status_id":1,"priority_id":2,"assigned_to_id":23,"start_date":"2017-02-11","description":"","custom_fields":[{"id":1,"name":"Subdivision","value":"EC"},{"id":4,"name":"Milepost","value":"0.0158"},{"id":17,"name":"Train ID","value":"140-11"},{"id":16,"name":"Locomotive ID","value":"4019"},{"id":130,"name":"Impact","value":""},{"id":150,"name":"Time of Event (Mountain Time)","value":"10:04:08"},{"id":151,"name":"Denver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4019 --day 2017-02-11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"%USERPROFILE%\AppData\Local\Temp\OnboardLogs"\RTDC4019\*4019*20170211* | grep -SE "(Enforcement Action)|(\[TIMEOUT)|(CHR.+\|PRM\|1\|D.+(SWITCH|SIGNAL).+UNKNOWN)" - &gt;&gt; 2017-02-11-UncaughtWiMAX.txt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595</v>
      </c>
      <c r="B53" s="7">
        <v>4029</v>
      </c>
      <c r="C53" s="21" t="s">
        <v>193</v>
      </c>
      <c r="D53" s="21" t="s">
        <v>236</v>
      </c>
      <c r="E53" s="13">
        <v>42777.36005787037</v>
      </c>
      <c r="F53" s="13">
        <v>42777.364768518521</v>
      </c>
      <c r="G53" s="7">
        <v>1</v>
      </c>
      <c r="H53" s="21" t="s">
        <v>486</v>
      </c>
      <c r="I53" s="13">
        <v>42777.391018518516</v>
      </c>
      <c r="J53" s="7">
        <v>1</v>
      </c>
      <c r="K53" s="98" t="str">
        <f t="shared" si="23"/>
        <v>4029/4030</v>
      </c>
      <c r="L53" s="21" t="str">
        <f>VLOOKUP(A53,'Trips&amp;Operators'!$C$1:$G$99999,5,FALSE)</f>
        <v>BADERTSCHER DIANE</v>
      </c>
      <c r="M53" s="6">
        <f t="shared" si="24"/>
        <v>2.6249999995343387E-2</v>
      </c>
      <c r="N53" s="7">
        <f t="shared" si="2"/>
        <v>37.799999993294477</v>
      </c>
      <c r="O53" s="7"/>
      <c r="P53" s="7"/>
      <c r="Q53" s="22"/>
      <c r="R53" s="22"/>
      <c r="S53" s="31">
        <f t="shared" si="25"/>
        <v>1</v>
      </c>
      <c r="T53" s="46" t="str">
        <f t="shared" si="26"/>
        <v>NorthBound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 t="shared" si="27"/>
        <v>https://d0f6bd738d7f1b3e5a7ca70fe4ff75f0.us-east-1.aws.found.io/app/kibana#/discover/Steve-Slow-Train-Analysis-(2080s-and-2083s)?_g=(refreshInterval:(display:Off,pause:!f,section:0,value:0),time:(from:'2017-02-11T07:38:29-0700',mode:absolute,to:'2017-02-11T10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3" s="188" t="str">
        <f t="shared" si="28"/>
        <v>N</v>
      </c>
      <c r="X53" s="188">
        <f t="shared" si="22"/>
        <v>1</v>
      </c>
      <c r="Y53" s="62">
        <f t="shared" si="29"/>
        <v>4.5699999999999998E-2</v>
      </c>
      <c r="Z53" s="62">
        <f t="shared" si="30"/>
        <v>23.331</v>
      </c>
      <c r="AA53" s="62">
        <f t="shared" si="31"/>
        <v>23.285299999999999</v>
      </c>
      <c r="AB53" s="59" t="e">
        <f>VLOOKUP(A53,Enforcements!$C$7:$K$14,8,0)</f>
        <v>#N/A</v>
      </c>
      <c r="AC53" s="55" t="e">
        <f>VLOOKUP(A53,Enforcements!$C$7:$E$14,3,0)</f>
        <v>#N/A</v>
      </c>
      <c r="AD53" s="56" t="str">
        <f t="shared" si="32"/>
        <v>0141-11</v>
      </c>
      <c r="AE53" s="85" t="str">
        <f t="shared" si="33"/>
        <v>aws s3 cp s3://rtdc.mdm.uploadarchive.raw/RTDC4029/ "%USERPROFILE%\AppData\Local\Temp\OnboardLogs"\RTDC4029\2017-02-11 --exclude "*" --recursive --include "*20170211*" &amp; "%USERPROFILE%\Documents\GitHub\mrs-test-scripts\Headless Mode &amp; Sideloading\WalkAndUnGZ.bat" "%USERPROFILE%\AppData\Local\Temp\OnboardLogs"\RTDC4029\2017-02-11 &amp; 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</v>
      </c>
      <c r="AF53" s="82" t="str">
        <f t="shared" si="34"/>
        <v>"C:\Program Files (x86)\AstroGrep\AstroGrep.exe" /spath="%USERPROFILE%\AppData\Local\Temp\OnboardLogs" /stypes="app*4029*20170211*" /stext=" 16:.+((SYSTEM_STATE.+slice.+state.+changed )|(ment ac)|(multiple cpu faults)|(system.+state.+changed )|(\[timeout)|(PRM\|1\|D)|(kpr)|(kdp)|(\|lc)|(penalty))" /e /r /s</v>
      </c>
      <c r="AG53" s="1" t="str">
        <f t="shared" si="35"/>
        <v>EC</v>
      </c>
      <c r="AH53" s="86" t="str">
        <f t="shared" si="18"/>
        <v>"%USERPROFILE%\Documents\GitHub\eaglep3\Utilities\RefineRTDCRunTimes.py" --tripid 141-11 --locoid 4029 --swversion DE.1.0.8.0 --startMP 204:457 --initTime 2017-02-11T08:38:29 --startdatetime 2017-02-11T08:45:16 --delay 1 --endMP 204:233310 --enddatetime 2017-02-11T09:23:04 --enforcementcount 1 &gt;&gt;C:\Users\stu\Documents\GitHub\eaglep3-reporting\EC\2017-02-11-refined-times.txt</v>
      </c>
      <c r="AI53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{"issue":{"subject":"","project_id":79,"tracker_id":40,"status_id":1,"priority_id":2,"assigned_to_id":23,"start_date":"2017-02-11","description":"","custom_fields":[{"id":1,"name":"Subdivision","value":"EC"},{"id":4,"name":"Milepost","value":"23.331"},{"id":17,"name":"Train ID","value":"141-11"},{"id":16,"name":"Locomotive ID","value":"4029"},{"id":130,"name":"Impact","value":""},{"id":150,"name":"Time of Event (Mountain Time)","value":"09:23:04"},{"id":151,"name":"Denver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4029 --day 2017-02-11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"%USERPROFILE%\AppData\Local\Temp\OnboardLogs"\RTDC4029\*4029*20170211* | grep -SE "(Enforcement Action)|(\[TIMEOUT)|(CHR.+\|PRM\|1\|D.+(SWITCH|SIGNAL).+UNKNOWN)" - &gt;&gt; 2017-02-11-UncaughtWiMAX.txt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516</v>
      </c>
      <c r="B54" s="7">
        <v>4030</v>
      </c>
      <c r="C54" s="21" t="s">
        <v>193</v>
      </c>
      <c r="D54" s="21" t="s">
        <v>440</v>
      </c>
      <c r="E54" s="13">
        <v>42777.399155092593</v>
      </c>
      <c r="F54" s="13">
        <v>42777.403645833336</v>
      </c>
      <c r="G54" s="7">
        <v>1</v>
      </c>
      <c r="H54" s="21" t="s">
        <v>221</v>
      </c>
      <c r="I54" s="13">
        <v>42777.430868055555</v>
      </c>
      <c r="J54" s="7">
        <v>1</v>
      </c>
      <c r="K54" s="98" t="str">
        <f t="shared" si="23"/>
        <v>4029/4030</v>
      </c>
      <c r="L54" s="21" t="str">
        <f>VLOOKUP(A54,'Trips&amp;Operators'!$C$1:$G$99999,5,FALSE)</f>
        <v>BADERTSCHER DIANE</v>
      </c>
      <c r="M54" s="6">
        <f t="shared" si="24"/>
        <v>2.7222222219279502E-2</v>
      </c>
      <c r="N54" s="7">
        <f t="shared" si="2"/>
        <v>39.199999995762482</v>
      </c>
      <c r="O54" s="7"/>
      <c r="P54" s="7"/>
      <c r="Q54" s="22"/>
      <c r="R54" s="22"/>
      <c r="S54" s="31">
        <f t="shared" si="25"/>
        <v>1</v>
      </c>
      <c r="T54" s="46" t="str">
        <f t="shared" si="26"/>
        <v>Southbound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 t="shared" si="27"/>
        <v>https://d0f6bd738d7f1b3e5a7ca70fe4ff75f0.us-east-1.aws.found.io/app/kibana#/discover/Steve-Slow-Train-Analysis-(2080s-and-2083s)?_g=(refreshInterval:(display:Off,pause:!f,section:0,value:0),time:(from:'2017-02-11T08:34:47-0700',mode:absolute,to:'2017-02-11T11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4" s="188" t="str">
        <f t="shared" si="28"/>
        <v>N</v>
      </c>
      <c r="X54" s="188">
        <f t="shared" si="22"/>
        <v>1</v>
      </c>
      <c r="Y54" s="62">
        <f t="shared" si="29"/>
        <v>23.3</v>
      </c>
      <c r="Z54" s="62">
        <f t="shared" si="30"/>
        <v>1.54E-2</v>
      </c>
      <c r="AA54" s="62">
        <f t="shared" si="31"/>
        <v>23.284600000000001</v>
      </c>
      <c r="AB54" s="59" t="e">
        <f>VLOOKUP(A54,Enforcements!$C$7:$K$14,8,0)</f>
        <v>#N/A</v>
      </c>
      <c r="AC54" s="55" t="e">
        <f>VLOOKUP(A54,Enforcements!$C$7:$E$14,3,0)</f>
        <v>#N/A</v>
      </c>
      <c r="AD54" s="56" t="str">
        <f t="shared" si="32"/>
        <v>0142-11</v>
      </c>
      <c r="AE54" s="85" t="str">
        <f t="shared" si="33"/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AF54" s="82" t="str">
        <f t="shared" si="34"/>
        <v>"C:\Program Files (x86)\AstroGrep\AstroGrep.exe" /spath="%USERPROFILE%\AppData\Local\Temp\OnboardLogs" /stypes="app*4030*20170211*" /stext=" 17:.+((SYSTEM_STATE.+slice.+state.+changed )|(ment ac)|(multiple cpu faults)|(system.+state.+changed )|(\[timeout)|(PRM\|1\|D)|(kpr)|(kdp)|(\|lc)|(penalty))" /e /r /s</v>
      </c>
      <c r="AG54" s="1" t="str">
        <f t="shared" si="35"/>
        <v>EC</v>
      </c>
      <c r="AH54" s="86" t="str">
        <f t="shared" si="18"/>
        <v>"%USERPROFILE%\Documents\GitHub\eaglep3\Utilities\RefineRTDCRunTimes.py" --tripid 142-11 --locoid 4030 --swversion DE.1.0.8.0 --startMP 204:233000 --initTime 2017-02-11T09:34:47 --startdatetime 2017-02-11T09:41:15 --delay 1 --endMP 204:154 --enddatetime 2017-02-11T10:20:27 --enforcementcount 1 &gt;&gt;C:\Users\stu\Documents\GitHub\eaglep3-reporting\EC\2017-02-11-refined-times.txt</v>
      </c>
      <c r="AI54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{"issue":{"subject":"","project_id":79,"tracker_id":40,"status_id":1,"priority_id":2,"assigned_to_id":23,"start_date":"2017-02-11","description":"","custom_fields":[{"id":1,"name":"Subdivision","value":"EC"},{"id":4,"name":"Milepost","value":"0.0154"},{"id":17,"name":"Train ID","value":"142-11"},{"id":16,"name":"Locomotive ID","value":"4030"},{"id":130,"name":"Impact","value":""},{"id":150,"name":"Time of Event (Mountain Time)","value":"10:20:27"},{"id":151,"name":"Denver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4030 --day 2017-02-11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"%USERPROFILE%\AppData\Local\Temp\OnboardLogs"\RTDC4030\*4030*20170211* | grep -SE "(Enforcement Action)|(\[TIMEOUT)|(CHR.+\|PRM\|1\|D.+(SWITCH|SIGNAL).+UNKNOWN)" - &gt;&gt; 2017-02-11-UncaughtWiMAX.txt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596</v>
      </c>
      <c r="B55" s="7">
        <v>4011</v>
      </c>
      <c r="C55" s="21" t="s">
        <v>193</v>
      </c>
      <c r="D55" s="21" t="s">
        <v>281</v>
      </c>
      <c r="E55" s="13">
        <v>42777.369768518518</v>
      </c>
      <c r="F55" s="13">
        <v>42777.375173611108</v>
      </c>
      <c r="G55" s="7">
        <v>1</v>
      </c>
      <c r="H55" s="21" t="s">
        <v>487</v>
      </c>
      <c r="I55" s="13">
        <v>42777.399560185186</v>
      </c>
      <c r="J55" s="7">
        <v>1</v>
      </c>
      <c r="K55" s="98" t="str">
        <f t="shared" si="23"/>
        <v>4011/4012</v>
      </c>
      <c r="L55" s="21" t="str">
        <f>VLOOKUP(A55,'Trips&amp;Operators'!$C$1:$G$99999,5,FALSE)</f>
        <v>GEBRETEKLE DAGNEW</v>
      </c>
      <c r="M55" s="6">
        <f t="shared" si="24"/>
        <v>2.4386574077652767E-2</v>
      </c>
      <c r="N55" s="7">
        <f t="shared" si="2"/>
        <v>35.116666671819985</v>
      </c>
      <c r="O55" s="7"/>
      <c r="P55" s="7"/>
      <c r="Q55" s="22"/>
      <c r="R55" s="22"/>
      <c r="S55" s="31">
        <f t="shared" si="25"/>
        <v>1</v>
      </c>
      <c r="T55" s="46" t="str">
        <f t="shared" si="26"/>
        <v>NorthBound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 t="shared" si="27"/>
        <v>https://d0f6bd738d7f1b3e5a7ca70fe4ff75f0.us-east-1.aws.found.io/app/kibana#/discover/Steve-Slow-Train-Analysis-(2080s-and-2083s)?_g=(refreshInterval:(display:Off,pause:!f,section:0,value:0),time:(from:'2017-02-11T07:52:28-0700',mode:absolute,to:'2017-02-11T10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5" s="188" t="str">
        <f t="shared" si="28"/>
        <v>N</v>
      </c>
      <c r="X55" s="188">
        <f t="shared" si="22"/>
        <v>1</v>
      </c>
      <c r="Y55" s="62">
        <f t="shared" si="29"/>
        <v>4.5499999999999999E-2</v>
      </c>
      <c r="Z55" s="62">
        <f t="shared" si="30"/>
        <v>23.330500000000001</v>
      </c>
      <c r="AA55" s="62">
        <f t="shared" si="31"/>
        <v>23.285</v>
      </c>
      <c r="AB55" s="59" t="e">
        <f>VLOOKUP(A55,Enforcements!$C$7:$K$14,8,0)</f>
        <v>#N/A</v>
      </c>
      <c r="AC55" s="55" t="e">
        <f>VLOOKUP(A55,Enforcements!$C$7:$E$14,3,0)</f>
        <v>#N/A</v>
      </c>
      <c r="AD55" s="56" t="str">
        <f t="shared" si="32"/>
        <v>0143-11</v>
      </c>
      <c r="AE55" s="85" t="str">
        <f t="shared" si="33"/>
        <v>aws s3 cp s3://rtdc.mdm.uploadarchive.raw/RTDC4011/ "%USERPROFILE%\AppData\Local\Temp\OnboardLogs"\RTDC4011\2017-02-11 --exclude "*" --recursive --include "*20170211*" &amp; "%USERPROFILE%\Documents\GitHub\mrs-test-scripts\Headless Mode &amp; Sideloading\WalkAndUnGZ.bat" "%USERPROFILE%\AppData\Local\Temp\OnboardLogs"\RTDC4011\2017-02-11 &amp; 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</v>
      </c>
      <c r="AF55" s="82" t="str">
        <f t="shared" si="34"/>
        <v>"C:\Program Files (x86)\AstroGrep\AstroGrep.exe" /spath="%USERPROFILE%\AppData\Local\Temp\OnboardLogs" /stypes="app*4011*20170211*" /stext=" 16:.+((SYSTEM_STATE.+slice.+state.+changed )|(ment ac)|(multiple cpu faults)|(system.+state.+changed )|(\[timeout)|(PRM\|1\|D)|(kpr)|(kdp)|(\|lc)|(penalty))" /e /r /s</v>
      </c>
      <c r="AG55" s="1" t="str">
        <f t="shared" si="35"/>
        <v>EC</v>
      </c>
      <c r="AH55" s="86" t="str">
        <f t="shared" si="18"/>
        <v>"%USERPROFILE%\Documents\GitHub\eaglep3\Utilities\RefineRTDCRunTimes.py" --tripid 143-11 --locoid 4011 --swversion DE.1.0.8.0 --startMP 204:455 --initTime 2017-02-11T08:52:28 --startdatetime 2017-02-11T09:00:15 --delay 1 --endMP 204:233305 --enddatetime 2017-02-11T09:35:22 --enforcementcount 1 &gt;&gt;C:\Users\stu\Documents\GitHub\eaglep3-reporting\EC\2017-02-11-refined-times.txt</v>
      </c>
      <c r="AI55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{"issue":{"subject":"","project_id":79,"tracker_id":40,"status_id":1,"priority_id":2,"assigned_to_id":23,"start_date":"2017-02-11","description":"","custom_fields":[{"id":1,"name":"Subdivision","value":"EC"},{"id":4,"name":"Milepost","value":"23.3305"},{"id":17,"name":"Train ID","value":"143-11"},{"id":16,"name":"Locomotive ID","value":"4011"},{"id":130,"name":"Impact","value":""},{"id":150,"name":"Time of Event (Mountain Time)","value":"09:35:22"},{"id":151,"name":"Denver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4011 --day 2017-02-11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"%USERPROFILE%\AppData\Local\Temp\OnboardLogs"\RTDC4011\*4011*20170211* | grep -SE "(Enforcement Action)|(\[TIMEOUT)|(CHR.+\|PRM\|1\|D.+(SWITCH|SIGNAL).+UNKNOWN)" - &gt;&gt; 2017-02-11-UncaughtWiMAX.txt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604</v>
      </c>
      <c r="B56" s="7">
        <v>4012</v>
      </c>
      <c r="C56" s="21" t="s">
        <v>193</v>
      </c>
      <c r="D56" s="21" t="s">
        <v>357</v>
      </c>
      <c r="E56" s="13">
        <v>42777.408495370371</v>
      </c>
      <c r="F56" s="13">
        <v>42777.414074074077</v>
      </c>
      <c r="G56" s="7">
        <v>1</v>
      </c>
      <c r="H56" s="21" t="s">
        <v>326</v>
      </c>
      <c r="I56" s="13">
        <v>42777.44027777778</v>
      </c>
      <c r="J56" s="7">
        <v>1</v>
      </c>
      <c r="K56" s="98" t="str">
        <f t="shared" si="23"/>
        <v>4011/4012</v>
      </c>
      <c r="L56" s="21" t="str">
        <f>VLOOKUP(A56,'Trips&amp;Operators'!$C$1:$G$99999,5,FALSE)</f>
        <v>GEBRETEKLE DAGNEW</v>
      </c>
      <c r="M56" s="6">
        <f t="shared" si="24"/>
        <v>2.6203703702776693E-2</v>
      </c>
      <c r="N56" s="7">
        <f t="shared" si="2"/>
        <v>37.733333331998438</v>
      </c>
      <c r="O56" s="7"/>
      <c r="P56" s="7"/>
      <c r="Q56" s="22"/>
      <c r="R56" s="22"/>
      <c r="S56" s="31">
        <f t="shared" si="25"/>
        <v>1</v>
      </c>
      <c r="T56" s="46" t="str">
        <f t="shared" si="26"/>
        <v>Southbound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 t="shared" si="27"/>
        <v>https://d0f6bd738d7f1b3e5a7ca70fe4ff75f0.us-east-1.aws.found.io/app/kibana#/discover/Steve-Slow-Train-Analysis-(2080s-and-2083s)?_g=(refreshInterval:(display:Off,pause:!f,section:0,value:0),time:(from:'2017-02-11T08:48:14-0700',mode:absolute,to:'2017-02-11T11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188" t="str">
        <f t="shared" si="28"/>
        <v>N</v>
      </c>
      <c r="X56" s="188">
        <f t="shared" si="22"/>
        <v>1</v>
      </c>
      <c r="Y56" s="62">
        <f t="shared" si="29"/>
        <v>23.297999999999998</v>
      </c>
      <c r="Z56" s="62">
        <f t="shared" si="30"/>
        <v>1.6899999999999998E-2</v>
      </c>
      <c r="AA56" s="62">
        <f t="shared" si="31"/>
        <v>23.281099999999999</v>
      </c>
      <c r="AB56" s="59" t="e">
        <f>VLOOKUP(A56,Enforcements!$C$7:$K$14,8,0)</f>
        <v>#N/A</v>
      </c>
      <c r="AC56" s="55" t="e">
        <f>VLOOKUP(A56,Enforcements!$C$7:$E$14,3,0)</f>
        <v>#N/A</v>
      </c>
      <c r="AD56" s="56" t="str">
        <f t="shared" si="32"/>
        <v>0144-11</v>
      </c>
      <c r="AE56" s="85" t="str">
        <f t="shared" si="33"/>
        <v>aws s3 cp s3://rtdc.mdm.uploadarchive.raw/RTDC4012/ "%USERPROFILE%\AppData\Local\Temp\OnboardLogs"\RTDC4012\2017-02-11 --exclude "*" --recursive --include "*20170211*" &amp; "%USERPROFILE%\Documents\GitHub\mrs-test-scripts\Headless Mode &amp; Sideloading\WalkAndUnGZ.bat" "%USERPROFILE%\AppData\Local\Temp\OnboardLogs"\RTDC4012\2017-02-11 &amp; aws s3 cp s3://rtdc.mdm.uploadarchive.raw/RTDC4012/ "%USERPROFILE%\AppData\Local\Temp\OnboardLogs"\RTDC4012\2017-02-12 --exclude "*" --recursive --include "*20170212*" &amp; "%USERPROFILE%\Documents\GitHub\mrs-test-scripts\Headless Mode &amp; Sideloading\WalkAndUnGZ.bat" "%USERPROFILE%\AppData\Local\Temp\OnboardLogs"\RTDC4012\2017-02-12</v>
      </c>
      <c r="AF56" s="82" t="str">
        <f t="shared" si="34"/>
        <v>"C:\Program Files (x86)\AstroGrep\AstroGrep.exe" /spath="%USERPROFILE%\AppData\Local\Temp\OnboardLogs" /stypes="app*4012*20170211*" /stext=" 17:.+((SYSTEM_STATE.+slice.+state.+changed )|(ment ac)|(multiple cpu faults)|(system.+state.+changed )|(\[timeout)|(PRM\|1\|D)|(kpr)|(kdp)|(\|lc)|(penalty))" /e /r /s</v>
      </c>
      <c r="AG56" s="1" t="str">
        <f t="shared" si="35"/>
        <v>EC</v>
      </c>
      <c r="AH56" s="86" t="str">
        <f t="shared" si="18"/>
        <v>"%USERPROFILE%\Documents\GitHub\eaglep3\Utilities\RefineRTDCRunTimes.py" --tripid 144-11 --locoid 4012 --swversion DE.1.0.8.0 --startMP 204:232980 --initTime 2017-02-11T09:48:14 --startdatetime 2017-02-11T09:56:16 --delay 1 --endMP 204:169 --enddatetime 2017-02-11T10:34:00 --enforcementcount 1 &gt;&gt;C:\Users\stu\Documents\GitHub\eaglep3-reporting\EC\2017-02-11-refined-times.txt</v>
      </c>
      <c r="AI56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{"issue":{"subject":"","project_id":79,"tracker_id":40,"status_id":1,"priority_id":2,"assigned_to_id":23,"start_date":"2017-02-11","description":"","custom_fields":[{"id":1,"name":"Subdivision","value":"EC"},{"id":4,"name":"Milepost","value":"0.0169"},{"id":17,"name":"Train ID","value":"144-11"},{"id":16,"name":"Locomotive ID","value":"4012"},{"id":130,"name":"Impact","value":""},{"id":150,"name":"Time of Event (Mountain Time)","value":"10:34:00"},{"id":151,"name":"Denver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4012 --day 2017-02-11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"%USERPROFILE%\AppData\Local\Temp\OnboardLogs"\RTDC4012\*4012*20170211* | grep -SE "(Enforcement Action)|(\[TIMEOUT)|(CHR.+\|PRM\|1\|D.+(SWITCH|SIGNAL).+UNKNOWN)" - &gt;&gt; 2017-02-11-UncaughtWiMAX.txt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598</v>
      </c>
      <c r="B57" s="7">
        <v>4044</v>
      </c>
      <c r="C57" s="21" t="s">
        <v>193</v>
      </c>
      <c r="D57" s="21" t="s">
        <v>270</v>
      </c>
      <c r="E57" s="13">
        <v>42777.37945601852</v>
      </c>
      <c r="F57" s="13">
        <v>42777.385706018518</v>
      </c>
      <c r="G57" s="7">
        <v>0</v>
      </c>
      <c r="H57" s="21" t="s">
        <v>758</v>
      </c>
      <c r="I57" s="13">
        <v>42777.411423611113</v>
      </c>
      <c r="J57" s="7">
        <v>1</v>
      </c>
      <c r="K57" s="98" t="str">
        <f t="shared" si="23"/>
        <v>4043/4044</v>
      </c>
      <c r="L57" s="21" t="str">
        <f>VLOOKUP(A57,'Trips&amp;Operators'!$C$1:$G$99999,5,FALSE)</f>
        <v>ROBINSON KADDIBA</v>
      </c>
      <c r="M57" s="6">
        <f t="shared" si="24"/>
        <v>2.5717592594446614E-2</v>
      </c>
      <c r="N57" s="7">
        <f t="shared" si="2"/>
        <v>37.033333336003125</v>
      </c>
      <c r="O57" s="7"/>
      <c r="P57" s="7"/>
      <c r="Q57" s="22"/>
      <c r="R57" s="22"/>
      <c r="S57" s="31">
        <f t="shared" si="25"/>
        <v>1</v>
      </c>
      <c r="T57" s="46" t="str">
        <f t="shared" si="26"/>
        <v>NorthBound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 t="shared" si="27"/>
        <v>https://d0f6bd738d7f1b3e5a7ca70fe4ff75f0.us-east-1.aws.found.io/app/kibana#/discover/Steve-Slow-Train-Analysis-(2080s-and-2083s)?_g=(refreshInterval:(display:Off,pause:!f,section:0,value:0),time:(from:'2017-02-11T08:06:25-0700',mode:absolute,to:'2017-02-11T10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7" s="188" t="str">
        <f t="shared" si="28"/>
        <v>N</v>
      </c>
      <c r="X57" s="188">
        <f t="shared" si="22"/>
        <v>1</v>
      </c>
      <c r="Y57" s="62">
        <f t="shared" si="29"/>
        <v>4.53E-2</v>
      </c>
      <c r="Z57" s="62">
        <f t="shared" si="30"/>
        <v>23.331900000000001</v>
      </c>
      <c r="AA57" s="62">
        <f t="shared" si="31"/>
        <v>23.2866</v>
      </c>
      <c r="AB57" s="59" t="e">
        <f>VLOOKUP(A57,Enforcements!$C$7:$K$14,8,0)</f>
        <v>#N/A</v>
      </c>
      <c r="AC57" s="55" t="e">
        <f>VLOOKUP(A57,Enforcements!$C$7:$E$14,3,0)</f>
        <v>#N/A</v>
      </c>
      <c r="AD57" s="56" t="str">
        <f t="shared" si="32"/>
        <v>0145-11</v>
      </c>
      <c r="AE57" s="85" t="str">
        <f t="shared" si="33"/>
        <v>aws s3 cp s3://rtdc.mdm.uploadarchive.raw/RTDC4044/ "%USERPROFILE%\AppData\Local\Temp\OnboardLogs"\RTDC4044\2017-02-11 --exclude "*" --recursive --include "*20170211*" &amp; "%USERPROFILE%\Documents\GitHub\mrs-test-scripts\Headless Mode &amp; Sideloading\WalkAndUnGZ.bat" "%USERPROFILE%\AppData\Local\Temp\OnboardLogs"\RTDC4044\2017-02-11 &amp; aws s3 cp s3://rtdc.mdm.uploadarchive.raw/RTDC4044/ "%USERPROFILE%\AppData\Local\Temp\OnboardLogs"\RTDC4044\2017-02-12 --exclude "*" --recursive --include "*20170212*" &amp; "%USERPROFILE%\Documents\GitHub\mrs-test-scripts\Headless Mode &amp; Sideloading\WalkAndUnGZ.bat" "%USERPROFILE%\AppData\Local\Temp\OnboardLogs"\RTDC4044\2017-02-12</v>
      </c>
      <c r="AF57" s="82" t="str">
        <f t="shared" si="34"/>
        <v>"C:\Program Files (x86)\AstroGrep\AstroGrep.exe" /spath="%USERPROFILE%\AppData\Local\Temp\OnboardLogs" /stypes="app*4044*20170211*" /stext=" 16:.+((SYSTEM_STATE.+slice.+state.+changed )|(ment ac)|(multiple cpu faults)|(system.+state.+changed )|(\[timeout)|(PRM\|1\|D)|(kpr)|(kdp)|(\|lc)|(penalty))" /e /r /s</v>
      </c>
      <c r="AG57" s="1" t="str">
        <f t="shared" si="35"/>
        <v>EC</v>
      </c>
      <c r="AH57" s="86" t="str">
        <f t="shared" si="18"/>
        <v>"%USERPROFILE%\Documents\GitHub\eaglep3\Utilities\RefineRTDCRunTimes.py" --tripid 145-11 --locoid 4044 --swversion DE.1.0.8.0 --startMP 204:453 --initTime 2017-02-11T09:06:25 --startdatetime 2017-02-11T09:15:25 --delay 0 --endMP 204:233319 --enddatetime 2017-02-11T09:52:27 --enforcementcount 1 &gt;&gt;C:\Users\stu\Documents\GitHub\eaglep3-reporting\EC\2017-02-11-refined-times.txt</v>
      </c>
      <c r="AI57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{"issue":{"subject":"","project_id":79,"tracker_id":40,"status_id":1,"priority_id":2,"assigned_to_id":23,"start_date":"2017-02-11","description":"","custom_fields":[{"id":1,"name":"Subdivision","value":"EC"},{"id":4,"name":"Milepost","value":"23.3319"},{"id":17,"name":"Train ID","value":"145-11"},{"id":16,"name":"Locomotive ID","value":"4044"},{"id":130,"name":"Impact","value":""},{"id":150,"name":"Time of Event (Mountain Time)","value":"09:52:27"},{"id":151,"name":"Denver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4044 --day 2017-02-11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"%USERPROFILE%\AppData\Local\Temp\OnboardLogs"\RTDC4044\*4044*20170211* | grep -SE "(Enforcement Action)|(\[TIMEOUT)|(CHR.+\|PRM\|1\|D.+(SWITCH|SIGNAL).+UNKNOWN)" - &gt;&gt; 2017-02-11-UncaughtWiMAX.txt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606</v>
      </c>
      <c r="B58" s="7">
        <v>4043</v>
      </c>
      <c r="C58" s="21" t="s">
        <v>193</v>
      </c>
      <c r="D58" s="21" t="s">
        <v>341</v>
      </c>
      <c r="E58" s="13">
        <v>42777.418402777781</v>
      </c>
      <c r="F58" s="13">
        <v>42777.424456018518</v>
      </c>
      <c r="G58" s="7">
        <v>1</v>
      </c>
      <c r="H58" s="21" t="s">
        <v>484</v>
      </c>
      <c r="I58" s="13">
        <v>42777.451504629629</v>
      </c>
      <c r="J58" s="7">
        <v>1</v>
      </c>
      <c r="K58" s="98" t="str">
        <f t="shared" si="23"/>
        <v>4043/4044</v>
      </c>
      <c r="L58" s="21" t="str">
        <f>VLOOKUP(A58,'Trips&amp;Operators'!$C$1:$G$99999,5,FALSE)</f>
        <v>ROBINSON KADDIBA</v>
      </c>
      <c r="M58" s="6">
        <f t="shared" si="24"/>
        <v>2.7048611111240461E-2</v>
      </c>
      <c r="N58" s="7">
        <f t="shared" si="2"/>
        <v>38.950000000186265</v>
      </c>
      <c r="O58" s="7"/>
      <c r="P58" s="7"/>
      <c r="Q58" s="22"/>
      <c r="R58" s="22"/>
      <c r="S58" s="31">
        <f t="shared" si="25"/>
        <v>1</v>
      </c>
      <c r="T58" s="46" t="str">
        <f t="shared" si="26"/>
        <v>Southbound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 t="shared" si="27"/>
        <v>https://d0f6bd738d7f1b3e5a7ca70fe4ff75f0.us-east-1.aws.found.io/app/kibana#/discover/Steve-Slow-Train-Analysis-(2080s-and-2083s)?_g=(refreshInterval:(display:Off,pause:!f,section:0,value:0),time:(from:'2017-02-11T09:02:30-0700',mode:absolute,to:'2017-02-11T11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8" s="188" t="str">
        <f t="shared" si="28"/>
        <v>N</v>
      </c>
      <c r="X58" s="188">
        <f t="shared" si="22"/>
        <v>1</v>
      </c>
      <c r="Y58" s="62">
        <f t="shared" si="29"/>
        <v>23.298300000000001</v>
      </c>
      <c r="Z58" s="62">
        <f t="shared" si="30"/>
        <v>1.5599999999999999E-2</v>
      </c>
      <c r="AA58" s="62">
        <f t="shared" si="31"/>
        <v>23.282700000000002</v>
      </c>
      <c r="AB58" s="59" t="e">
        <f>VLOOKUP(A58,Enforcements!$C$7:$K$14,8,0)</f>
        <v>#N/A</v>
      </c>
      <c r="AC58" s="55" t="e">
        <f>VLOOKUP(A58,Enforcements!$C$7:$E$14,3,0)</f>
        <v>#N/A</v>
      </c>
      <c r="AD58" s="56" t="str">
        <f t="shared" si="32"/>
        <v>0146-11</v>
      </c>
      <c r="AE58" s="85" t="str">
        <f t="shared" si="33"/>
        <v>aws s3 cp s3://rtdc.mdm.uploadarchive.raw/RTDC4043/ "%USERPROFILE%\AppData\Local\Temp\OnboardLogs"\RTDC4043\2017-02-11 --exclude "*" --recursive --include "*20170211*" &amp; "%USERPROFILE%\Documents\GitHub\mrs-test-scripts\Headless Mode &amp; Sideloading\WalkAndUnGZ.bat" "%USERPROFILE%\AppData\Local\Temp\OnboardLogs"\RTDC4043\2017-02-11 &amp; aws s3 cp s3://rtdc.mdm.uploadarchive.raw/RTDC4043/ "%USERPROFILE%\AppData\Local\Temp\OnboardLogs"\RTDC4043\2017-02-12 --exclude "*" --recursive --include "*20170212*" &amp; "%USERPROFILE%\Documents\GitHub\mrs-test-scripts\Headless Mode &amp; Sideloading\WalkAndUnGZ.bat" "%USERPROFILE%\AppData\Local\Temp\OnboardLogs"\RTDC4043\2017-02-12</v>
      </c>
      <c r="AF58" s="82" t="str">
        <f t="shared" si="34"/>
        <v>"C:\Program Files (x86)\AstroGrep\AstroGrep.exe" /spath="%USERPROFILE%\AppData\Local\Temp\OnboardLogs" /stypes="app*4043*20170211*" /stext=" 17:.+((SYSTEM_STATE.+slice.+state.+changed )|(ment ac)|(multiple cpu faults)|(system.+state.+changed )|(\[timeout)|(PRM\|1\|D)|(kpr)|(kdp)|(\|lc)|(penalty))" /e /r /s</v>
      </c>
      <c r="AG58" s="1" t="str">
        <f t="shared" si="35"/>
        <v>EC</v>
      </c>
      <c r="AH58" s="86" t="str">
        <f t="shared" si="18"/>
        <v>"%USERPROFILE%\Documents\GitHub\eaglep3\Utilities\RefineRTDCRunTimes.py" --tripid 146-11 --locoid 4043 --swversion DE.1.0.8.0 --startMP 204:232983 --initTime 2017-02-11T10:02:30 --startdatetime 2017-02-11T10:11:13 --delay 1 --endMP 204:156 --enddatetime 2017-02-11T10:50:10 --enforcementcount 1 &gt;&gt;C:\Users\stu\Documents\GitHub\eaglep3-reporting\EC\2017-02-11-refined-times.txt</v>
      </c>
      <c r="AI58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{"issue":{"subject":"","project_id":79,"tracker_id":40,"status_id":1,"priority_id":2,"assigned_to_id":23,"start_date":"2017-02-11","description":"","custom_fields":[{"id":1,"name":"Subdivision","value":"EC"},{"id":4,"name":"Milepost","value":"0.0156"},{"id":17,"name":"Train ID","value":"146-11"},{"id":16,"name":"Locomotive ID","value":"4043"},{"id":130,"name":"Impact","value":""},{"id":150,"name":"Time of Event (Mountain Time)","value":"10:50:10"},{"id":151,"name":"Denver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4043 --day 2017-02-11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"%USERPROFILE%\AppData\Local\Temp\OnboardLogs"\RTDC4043\*4043*20170211* | grep -SE "(Enforcement Action)|(\[TIMEOUT)|(CHR.+\|PRM\|1\|D.+(SWITCH|SIGNAL).+UNKNOWN)" - &gt;&gt; 2017-02-11-UncaughtWiMAX.txt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600</v>
      </c>
      <c r="B59" s="7">
        <v>4025</v>
      </c>
      <c r="C59" s="21" t="s">
        <v>193</v>
      </c>
      <c r="D59" s="21" t="s">
        <v>270</v>
      </c>
      <c r="E59" s="13">
        <v>42777.390451388892</v>
      </c>
      <c r="F59" s="13">
        <v>42777.39607638889</v>
      </c>
      <c r="G59" s="7">
        <v>1</v>
      </c>
      <c r="H59" s="21" t="s">
        <v>335</v>
      </c>
      <c r="I59" s="13">
        <v>42777.420775462961</v>
      </c>
      <c r="J59" s="7">
        <v>1</v>
      </c>
      <c r="K59" s="98" t="str">
        <f t="shared" si="23"/>
        <v>4025/4026</v>
      </c>
      <c r="L59" s="21" t="str">
        <f>VLOOKUP(A59,'Trips&amp;Operators'!$C$1:$G$99999,5,FALSE)</f>
        <v>MAELZER KURT</v>
      </c>
      <c r="M59" s="6">
        <f t="shared" si="24"/>
        <v>2.4699074070667848E-2</v>
      </c>
      <c r="N59" s="7">
        <f t="shared" si="2"/>
        <v>35.566666661761701</v>
      </c>
      <c r="O59" s="7"/>
      <c r="P59" s="7"/>
      <c r="Q59" s="22"/>
      <c r="R59" s="22"/>
      <c r="S59" s="31">
        <f t="shared" si="25"/>
        <v>1</v>
      </c>
      <c r="T59" s="46" t="str">
        <f t="shared" si="26"/>
        <v>NorthBound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 t="shared" si="27"/>
        <v>https://d0f6bd738d7f1b3e5a7ca70fe4ff75f0.us-east-1.aws.found.io/app/kibana#/discover/Steve-Slow-Train-Analysis-(2080s-and-2083s)?_g=(refreshInterval:(display:Off,pause:!f,section:0,value:0),time:(from:'2017-02-11T08:22:15-0700',mode:absolute,to:'2017-02-11T11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9" s="188" t="str">
        <f t="shared" si="28"/>
        <v>N</v>
      </c>
      <c r="X59" s="188">
        <f t="shared" si="22"/>
        <v>1</v>
      </c>
      <c r="Y59" s="62">
        <f t="shared" si="29"/>
        <v>4.53E-2</v>
      </c>
      <c r="Z59" s="62">
        <f t="shared" si="30"/>
        <v>23.329499999999999</v>
      </c>
      <c r="AA59" s="62">
        <f t="shared" si="31"/>
        <v>23.284199999999998</v>
      </c>
      <c r="AB59" s="59" t="e">
        <f>VLOOKUP(A59,Enforcements!$C$7:$K$14,8,0)</f>
        <v>#N/A</v>
      </c>
      <c r="AC59" s="55" t="e">
        <f>VLOOKUP(A59,Enforcements!$C$7:$E$14,3,0)</f>
        <v>#N/A</v>
      </c>
      <c r="AD59" s="56" t="str">
        <f t="shared" si="32"/>
        <v>0147-11</v>
      </c>
      <c r="AE59" s="85" t="str">
        <f t="shared" si="33"/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AF59" s="82" t="str">
        <f t="shared" si="34"/>
        <v>"C:\Program Files (x86)\AstroGrep\AstroGrep.exe" /spath="%USERPROFILE%\AppData\Local\Temp\OnboardLogs" /stypes="app*4025*20170211*" /stext=" 17:.+((SYSTEM_STATE.+slice.+state.+changed )|(ment ac)|(multiple cpu faults)|(system.+state.+changed )|(\[timeout)|(PRM\|1\|D)|(kpr)|(kdp)|(\|lc)|(penalty))" /e /r /s</v>
      </c>
      <c r="AG59" s="1" t="str">
        <f t="shared" si="35"/>
        <v>EC</v>
      </c>
      <c r="AH59" s="86" t="str">
        <f t="shared" si="18"/>
        <v>"%USERPROFILE%\Documents\GitHub\eaglep3\Utilities\RefineRTDCRunTimes.py" --tripid 147-11 --locoid 4025 --swversion DE.1.0.8.0 --startMP 204:453 --initTime 2017-02-11T09:22:15 --startdatetime 2017-02-11T09:30:21 --delay 1 --endMP 204:233295 --enddatetime 2017-02-11T10:05:55 --enforcementcount 1 &gt;&gt;C:\Users\stu\Documents\GitHub\eaglep3-reporting\EC\2017-02-11-refined-times.txt</v>
      </c>
      <c r="AI59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{"issue":{"subject":"","project_id":79,"tracker_id":40,"status_id":1,"priority_id":2,"assigned_to_id":23,"start_date":"2017-02-11","description":"","custom_fields":[{"id":1,"name":"Subdivision","value":"EC"},{"id":4,"name":"Milepost","value":"23.3295"},{"id":17,"name":"Train ID","value":"147-11"},{"id":16,"name":"Locomotive ID","value":"4025"},{"id":130,"name":"Impact","value":""},{"id":150,"name":"Time of Event (Mountain Time)","value":"10:05:55"},{"id":151,"name":"Denver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4025 --day 2017-02-11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"%USERPROFILE%\AppData\Local\Temp\OnboardLogs"\RTDC4025\*4025*20170211* | grep -SE "(Enforcement Action)|(\[TIMEOUT)|(CHR.+\|PRM\|1\|D.+(SWITCH|SIGNAL).+UNKNOWN)" - &gt;&gt; 2017-02-11-UncaughtWiMAX.txt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608</v>
      </c>
      <c r="B60" s="7">
        <v>4026</v>
      </c>
      <c r="C60" s="21" t="s">
        <v>193</v>
      </c>
      <c r="D60" s="21" t="s">
        <v>361</v>
      </c>
      <c r="E60" s="13">
        <v>42777.425127314818</v>
      </c>
      <c r="F60" s="13">
        <v>42777.434976851851</v>
      </c>
      <c r="G60" s="7">
        <v>0</v>
      </c>
      <c r="H60" s="21" t="s">
        <v>184</v>
      </c>
      <c r="I60" s="13">
        <v>42777.461481481485</v>
      </c>
      <c r="J60" s="7">
        <v>1</v>
      </c>
      <c r="K60" s="98" t="str">
        <f t="shared" si="23"/>
        <v>4025/4026</v>
      </c>
      <c r="L60" s="21" t="str">
        <f>VLOOKUP(A60,'Trips&amp;Operators'!$C$1:$G$99999,5,FALSE)</f>
        <v>MAELZER KURT</v>
      </c>
      <c r="M60" s="6">
        <f t="shared" si="24"/>
        <v>2.6504629633564036E-2</v>
      </c>
      <c r="N60" s="7">
        <f t="shared" si="2"/>
        <v>38.166666672332212</v>
      </c>
      <c r="O60" s="7"/>
      <c r="P60" s="7"/>
      <c r="Q60" s="22"/>
      <c r="R60" s="22"/>
      <c r="S60" s="31">
        <f t="shared" si="25"/>
        <v>1</v>
      </c>
      <c r="T60" s="46" t="str">
        <f t="shared" si="26"/>
        <v>Southbound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 t="shared" si="27"/>
        <v>https://d0f6bd738d7f1b3e5a7ca70fe4ff75f0.us-east-1.aws.found.io/app/kibana#/discover/Steve-Slow-Train-Analysis-(2080s-and-2083s)?_g=(refreshInterval:(display:Off,pause:!f,section:0,value:0),time:(from:'2017-02-11T09:12:11-0700',mode:absolute,to:'2017-02-11T12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0" s="188" t="str">
        <f t="shared" si="28"/>
        <v>N</v>
      </c>
      <c r="X60" s="188">
        <f t="shared" si="22"/>
        <v>1</v>
      </c>
      <c r="Y60" s="62">
        <f t="shared" si="29"/>
        <v>23.298400000000001</v>
      </c>
      <c r="Z60" s="62">
        <f t="shared" si="30"/>
        <v>1.49E-2</v>
      </c>
      <c r="AA60" s="62">
        <f t="shared" si="31"/>
        <v>23.2835</v>
      </c>
      <c r="AB60" s="59" t="e">
        <f>VLOOKUP(A60,Enforcements!$C$7:$K$14,8,0)</f>
        <v>#N/A</v>
      </c>
      <c r="AC60" s="55" t="e">
        <f>VLOOKUP(A60,Enforcements!$C$7:$E$14,3,0)</f>
        <v>#N/A</v>
      </c>
      <c r="AD60" s="56" t="str">
        <f t="shared" si="32"/>
        <v>0148-11</v>
      </c>
      <c r="AE60" s="85" t="str">
        <f t="shared" si="33"/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AF60" s="82" t="str">
        <f t="shared" si="34"/>
        <v>"C:\Program Files (x86)\AstroGrep\AstroGrep.exe" /spath="%USERPROFILE%\AppData\Local\Temp\OnboardLogs" /stypes="app*4026*20170211*" /stext=" 18:.+((SYSTEM_STATE.+slice.+state.+changed )|(ment ac)|(multiple cpu faults)|(system.+state.+changed )|(\[timeout)|(PRM\|1\|D)|(kpr)|(kdp)|(\|lc)|(penalty))" /e /r /s</v>
      </c>
      <c r="AG60" s="1" t="str">
        <f t="shared" si="35"/>
        <v>EC</v>
      </c>
      <c r="AH60" s="86" t="str">
        <f t="shared" si="18"/>
        <v>"%USERPROFILE%\Documents\GitHub\eaglep3\Utilities\RefineRTDCRunTimes.py" --tripid 148-11 --locoid 4026 --swversion DE.1.0.8.0 --startMP 204:232984 --initTime 2017-02-11T10:12:11 --startdatetime 2017-02-11T10:26:22 --delay 0 --endMP 204:149 --enddatetime 2017-02-11T11:04:32 --enforcementcount 1 &gt;&gt;C:\Users\stu\Documents\GitHub\eaglep3-reporting\EC\2017-02-11-refined-times.txt</v>
      </c>
      <c r="AI60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{"issue":{"subject":"","project_id":79,"tracker_id":40,"status_id":1,"priority_id":2,"assigned_to_id":23,"start_date":"2017-02-11","description":"","custom_fields":[{"id":1,"name":"Subdivision","value":"EC"},{"id":4,"name":"Milepost","value":"0.0149"},{"id":17,"name":"Train ID","value":"148-11"},{"id":16,"name":"Locomotive ID","value":"4026"},{"id":130,"name":"Impact","value":""},{"id":150,"name":"Time of Event (Mountain Time)","value":"11:04:32"},{"id":151,"name":"Denver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4026 --day 2017-02-11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"%USERPROFILE%\AppData\Local\Temp\OnboardLogs"\RTDC4026\*4026*20170211* | grep -SE "(Enforcement Action)|(\[TIMEOUT)|(CHR.+\|PRM\|1\|D.+(SWITCH|SIGNAL).+UNKNOWN)" - &gt;&gt; 2017-02-11-UncaughtWiMAX.txt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890</v>
      </c>
      <c r="B61" s="7"/>
      <c r="C61" s="21" t="s">
        <v>193</v>
      </c>
      <c r="D61" s="21" t="s">
        <v>361</v>
      </c>
      <c r="E61" s="13">
        <v>42777.425127314818</v>
      </c>
      <c r="F61" s="13"/>
      <c r="G61" s="7">
        <v>0</v>
      </c>
      <c r="H61" s="21" t="s">
        <v>184</v>
      </c>
      <c r="I61" s="13"/>
      <c r="J61" s="7">
        <v>1</v>
      </c>
      <c r="K61" s="98" t="str">
        <f t="shared" si="23"/>
        <v>-1/</v>
      </c>
      <c r="L61" s="21" t="e">
        <f>VLOOKUP(A61,'Trips&amp;Operators'!$C$1:$G$99999,5,FALSE)</f>
        <v>#N/A</v>
      </c>
      <c r="M61" s="6">
        <f t="shared" si="24"/>
        <v>0</v>
      </c>
      <c r="N61" s="7"/>
      <c r="O61" s="7"/>
      <c r="P61" s="7">
        <v>1</v>
      </c>
      <c r="Q61" s="22"/>
      <c r="R61" s="22" t="s">
        <v>510</v>
      </c>
      <c r="S61" s="31">
        <f t="shared" si="25"/>
        <v>0</v>
      </c>
      <c r="T61" s="46" t="str">
        <f t="shared" si="26"/>
        <v>NorthBound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187" t="str">
        <f t="shared" si="27"/>
        <v>https://d0f6bd738d7f1b3e5a7ca70fe4ff75f0.us-east-1.aws.found.io/app/kibana#/discover/Steve-Slow-Train-Analysis-(2080s-and-2083s)?_g=(refreshInterval:(display:Off,pause:!f,section:0,value:0),time:(from:'2017-02-11T09:12:11-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61" s="188" t="str">
        <f t="shared" si="28"/>
        <v>N</v>
      </c>
      <c r="X61" s="188">
        <f t="shared" si="22"/>
        <v>1</v>
      </c>
      <c r="Y61" s="62">
        <f t="shared" si="29"/>
        <v>23.298400000000001</v>
      </c>
      <c r="Z61" s="62">
        <f t="shared" si="30"/>
        <v>1.49E-2</v>
      </c>
      <c r="AA61" s="62">
        <f t="shared" si="31"/>
        <v>23.2835</v>
      </c>
      <c r="AB61" s="59" t="e">
        <f>VLOOKUP(A61,Enforcements!$C$7:$K$14,8,0)</f>
        <v>#N/A</v>
      </c>
      <c r="AC61" s="55" t="e">
        <f>VLOOKUP(A61,Enforcements!$C$7:$E$14,3,0)</f>
        <v>#N/A</v>
      </c>
      <c r="AD61" s="56" t="str">
        <f t="shared" si="32"/>
        <v>0149-11</v>
      </c>
      <c r="AE61" s="85" t="str">
        <f t="shared" si="33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61" s="82" t="str">
        <f t="shared" si="34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61" s="1" t="str">
        <f t="shared" si="35"/>
        <v>EC</v>
      </c>
      <c r="AH61" s="86" t="str">
        <f t="shared" ref="AH61" si="36">refinertdcruntimes&amp;" --tripid "&amp;A61&amp;" --locoid "&amp;B61&amp;" --swversion "&amp;C61&amp;" --startMP "&amp;D61&amp;" --initTime "&amp;TEXT(E61,"yyyy-mm-ddTHH:MM:SS")&amp;" --startdatetime "&amp;TEXT(F61,"yyyy-mm-ddTHH:MM:SS")&amp;" --delay "&amp;G61&amp;" --endMP "&amp;H61&amp;" --enddatetime "&amp;TEXT(I61,"yyyy-mm-ddTHH:MM:SS")&amp;" --enforcementcount "&amp;J61&amp;IF(outputrefinedruntimes," &gt;&gt;"&amp;RefinedRTDCRunTimesOutputFile,"")</f>
        <v>"%USERPROFILE%\Documents\GitHub\eaglep3\Utilities\RefineRTDCRunTimes.py" --tripid 149-11 --locoid  --swversion DE.1.0.8.0 --startMP 204:232984 --initTime 2017-02-11T10:12:11 --startdatetime 1900-01-00T00:00:00 --delay 0 --endMP 204:149 --enddatetime 1900-01-00T00:00:00 --enforcementcount 1 &gt;&gt;C:\Users\stu\Documents\GitHub\eaglep3-reporting\EC\2017-02-11-refined-times.txt</v>
      </c>
      <c r="AI61" s="108" t="str">
        <f t="shared" ref="AI61" si="37">"echo {""issue"":{""subject"":"""&amp;R61&amp;""",""project_id"":79,""tracker_id"":40,""status_id"":"&amp;redmine_status&amp;",""priority_id"":"&amp;redmine_priority&amp;",""assigned_to_id"":"&amp;redmine_assignee&amp;",""start_date"":"""&amp;TEXT(I61,"YYYY-mm-dd")&amp;""",""description"":"""&amp;AJ61&amp;""",""custom_fields"":[{""id"":1,""name"":""Subdivision"",""value"":"""&amp;AG61&amp;"""},{""id"":4,""name"":""Milepost"",""value"":"""&amp;Z61&amp;"""},{""id"":17,""name"":""Train ID"",""value"":"""&amp;A61&amp;"""},{""id"":16,""name"":""Locomotive ID"",""value"":"""&amp;B61&amp;"""},{""id"":130,""name"":""Impact"",""value"":"""&amp;AK61&amp;"""},{""id"":150,""name"":""Time of Event (Mountain Time)"",""value"":"""&amp;TEXT(I61,"hh:mm:ss")&amp;"""},{""id"":151,""name"":""Denver Issue ID"",""value"":"""&amp;"""},{""id"":178,""name"":""Operational Impact"",""value"":"""&amp;redmine_op_impact&amp;"""},{""id"":179,""name"":""Denver Segment Assigned"",""value"":"""&amp;AL61&amp;"""}]}}"&amp;"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init","project_id":79,"tracker_id":40,"status_id":1,"priority_id":2,"assigned_to_id":23,"start_date":"1900-01-00","description":"","custom_fields":[{"id":1,"name":"Subdivision","value":"EC"},{"id":4,"name":"Milepost","value":"0.0149"},{"id":17,"name":"Train ID","value":"149-11"},{"id":16,"name":"Locomotive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ref="AM61" si="38">"start /low /b "&amp;dls3logs&amp;" --loco "&amp;B61&amp;" --day "&amp;TEXT(F61,"YYYY-MM-DD")</f>
        <v>start /low /b %USERPROFILE%\Documents\GitHub\eaglep3\Utilities\DownloadLogsFromS3.py --loco  --day 1900-01-00</v>
      </c>
      <c r="AN61" s="163" t="e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#DIV/0!</v>
      </c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</row>
    <row r="62" spans="1:91" s="1" customFormat="1" x14ac:dyDescent="0.25">
      <c r="A62" s="33" t="s">
        <v>615</v>
      </c>
      <c r="B62" s="7">
        <v>4039</v>
      </c>
      <c r="C62" s="21" t="s">
        <v>193</v>
      </c>
      <c r="D62" s="21" t="s">
        <v>278</v>
      </c>
      <c r="E62" s="13">
        <v>42777.441666666666</v>
      </c>
      <c r="F62" s="13">
        <v>42777.445289351854</v>
      </c>
      <c r="G62" s="7">
        <v>1</v>
      </c>
      <c r="H62" s="21" t="s">
        <v>495</v>
      </c>
      <c r="I62" s="13">
        <v>42777.47452546296</v>
      </c>
      <c r="J62" s="7">
        <v>1</v>
      </c>
      <c r="K62" s="98" t="str">
        <f t="shared" si="23"/>
        <v>4039/4040</v>
      </c>
      <c r="L62" s="21" t="str">
        <f>VLOOKUP(A62,'Trips&amp;Operators'!$C$1:$G$99999,5,FALSE)</f>
        <v>DAVIS WENDY</v>
      </c>
      <c r="M62" s="6">
        <f t="shared" si="24"/>
        <v>2.9236111106001772E-2</v>
      </c>
      <c r="N62" s="7">
        <f t="shared" ref="N62:N103" si="39">24*60*SUM($M62:$M62)</f>
        <v>42.099999992642552</v>
      </c>
      <c r="O62" s="7"/>
      <c r="P62" s="7"/>
      <c r="Q62" s="22"/>
      <c r="R62" s="22"/>
      <c r="S62" s="31">
        <f t="shared" si="25"/>
        <v>1</v>
      </c>
      <c r="T62" s="46" t="str">
        <f t="shared" si="26"/>
        <v>Southbound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 t="shared" si="27"/>
        <v>https://d0f6bd738d7f1b3e5a7ca70fe4ff75f0.us-east-1.aws.found.io/app/kibana#/discover/Steve-Slow-Train-Analysis-(2080s-and-2083s)?_g=(refreshInterval:(display:Off,pause:!f,section:0,value:0),time:(from:'2017-02-11T09:36:00-0700',mode:absolute,to:'2017-02-11T12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2" s="188" t="str">
        <f t="shared" si="28"/>
        <v>N</v>
      </c>
      <c r="X62" s="188">
        <f t="shared" si="22"/>
        <v>1</v>
      </c>
      <c r="Y62" s="62">
        <f t="shared" si="29"/>
        <v>23.299399999999999</v>
      </c>
      <c r="Z62" s="62">
        <f t="shared" si="30"/>
        <v>1.47E-2</v>
      </c>
      <c r="AA62" s="62">
        <f t="shared" si="31"/>
        <v>23.284699999999997</v>
      </c>
      <c r="AB62" s="59" t="e">
        <f>VLOOKUP(A62,Enforcements!$C$7:$K$14,8,0)</f>
        <v>#N/A</v>
      </c>
      <c r="AC62" s="55" t="e">
        <f>VLOOKUP(A62,Enforcements!$C$7:$E$14,3,0)</f>
        <v>#N/A</v>
      </c>
      <c r="AD62" s="56" t="str">
        <f t="shared" si="32"/>
        <v>0150-11</v>
      </c>
      <c r="AE62" s="85" t="str">
        <f t="shared" si="33"/>
        <v>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 &amp; aws s3 cp s3://rtdc.mdm.uploadarchive.raw/RTDC4039/ "%USERPROFILE%\AppData\Local\Temp\OnboardLogs"\RTDC4039\2017-02-12 --exclude "*" --recursive --include "*20170212*" &amp; "%USERPROFILE%\Documents\GitHub\mrs-test-scripts\Headless Mode &amp; Sideloading\WalkAndUnGZ.bat" "%USERPROFILE%\AppData\Local\Temp\OnboardLogs"\RTDC4039\2017-02-12</v>
      </c>
      <c r="AF62" s="82" t="str">
        <f t="shared" si="34"/>
        <v>"C:\Program Files (x86)\AstroGrep\AstroGrep.exe" /spath="%USERPROFILE%\AppData\Local\Temp\OnboardLogs" /stypes="app*4039*20170211*" /stext=" 18:.+((SYSTEM_STATE.+slice.+state.+changed )|(ment ac)|(multiple cpu faults)|(system.+state.+changed )|(\[timeout)|(PRM\|1\|D)|(kpr)|(kdp)|(\|lc)|(penalty))" /e /r /s</v>
      </c>
      <c r="AG62" s="1" t="str">
        <f t="shared" si="35"/>
        <v>EC</v>
      </c>
      <c r="AH62" s="86" t="str">
        <f t="shared" si="18"/>
        <v>"%USERPROFILE%\Documents\GitHub\eaglep3\Utilities\RefineRTDCRunTimes.py" --tripid 150-11 --locoid 4039 --swversion DE.1.0.8.0 --startMP 204:232994 --initTime 2017-02-11T10:36:00 --startdatetime 2017-02-11T10:41:13 --delay 1 --endMP 204:147 --enddatetime 2017-02-11T11:23:19 --enforcementcount 1 &gt;&gt;C:\Users\stu\Documents\GitHub\eaglep3-reporting\EC\2017-02-11-refined-times.txt</v>
      </c>
      <c r="AI62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{"issue":{"subject":"","project_id":79,"tracker_id":40,"status_id":1,"priority_id":2,"assigned_to_id":23,"start_date":"2017-02-11","description":"","custom_fields":[{"id":1,"name":"Subdivision","value":"EC"},{"id":4,"name":"Milepost","value":"0.0147"},{"id":17,"name":"Train ID","value":"150-11"},{"id":16,"name":"Locomotive ID","value":"4039"},{"id":130,"name":"Impact","value":""},{"id":150,"name":"Time of Event (Mountain Time)","value":"11:23:19"},{"id":151,"name":"Denver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4039 --day 2017-02-11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"%USERPROFILE%\AppData\Local\Temp\OnboardLogs"\RTDC4039\*4039*20170211* | grep -SE "(Enforcement Action)|(\[TIMEOUT)|(CHR.+\|PRM\|1\|D.+(SWITCH|SIGNAL).+UNKNOWN)" - &gt;&gt; 2017-02-11-UncaughtWiMAX.txt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603</v>
      </c>
      <c r="B63" s="7">
        <v>4027</v>
      </c>
      <c r="C63" s="21" t="s">
        <v>193</v>
      </c>
      <c r="D63" s="21" t="s">
        <v>222</v>
      </c>
      <c r="E63" s="13">
        <v>42777.407060185185</v>
      </c>
      <c r="F63" s="13">
        <v>42777.417025462964</v>
      </c>
      <c r="G63" s="7">
        <v>3</v>
      </c>
      <c r="H63" s="21" t="s">
        <v>305</v>
      </c>
      <c r="I63" s="13">
        <v>42777.442442129628</v>
      </c>
      <c r="J63" s="7">
        <v>1</v>
      </c>
      <c r="K63" s="98" t="str">
        <f t="shared" si="23"/>
        <v>4027/4028</v>
      </c>
      <c r="L63" s="21" t="str">
        <f>VLOOKUP(A63,'Trips&amp;Operators'!$C$1:$G$99999,5,FALSE)</f>
        <v>OUN ZACK</v>
      </c>
      <c r="M63" s="6">
        <f t="shared" si="24"/>
        <v>2.5416666663659271E-2</v>
      </c>
      <c r="N63" s="7">
        <f t="shared" si="39"/>
        <v>36.59999999566935</v>
      </c>
      <c r="O63" s="7"/>
      <c r="P63" s="7"/>
      <c r="Q63" s="22"/>
      <c r="R63" s="22"/>
      <c r="S63" s="31">
        <f t="shared" si="25"/>
        <v>1</v>
      </c>
      <c r="T63" s="46" t="str">
        <f t="shared" si="26"/>
        <v>NorthBound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 t="shared" si="27"/>
        <v>https://d0f6bd738d7f1b3e5a7ca70fe4ff75f0.us-east-1.aws.found.io/app/kibana#/discover/Steve-Slow-Train-Analysis-(2080s-and-2083s)?_g=(refreshInterval:(display:Off,pause:!f,section:0,value:0),time:(from:'2017-02-11T08:46:10-0700',mode:absolute,to:'2017-02-11T11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3" s="188" t="str">
        <f t="shared" si="28"/>
        <v>N</v>
      </c>
      <c r="X63" s="188">
        <f t="shared" ref="X63:X64" si="40">VALUE(LEFT(AD63,4))-VALUE(LEFT(AD62,4))</f>
        <v>1</v>
      </c>
      <c r="Y63" s="62">
        <f t="shared" si="29"/>
        <v>4.58E-2</v>
      </c>
      <c r="Z63" s="62">
        <f t="shared" si="30"/>
        <v>23.330300000000001</v>
      </c>
      <c r="AA63" s="62">
        <f t="shared" si="31"/>
        <v>23.284500000000001</v>
      </c>
      <c r="AB63" s="59" t="e">
        <f>VLOOKUP(A63,Enforcements!$C$7:$K$14,8,0)</f>
        <v>#N/A</v>
      </c>
      <c r="AC63" s="55" t="e">
        <f>VLOOKUP(A63,Enforcements!$C$7:$E$14,3,0)</f>
        <v>#N/A</v>
      </c>
      <c r="AD63" s="56" t="str">
        <f t="shared" si="32"/>
        <v>0151-11</v>
      </c>
      <c r="AE63" s="85" t="str">
        <f t="shared" si="33"/>
        <v>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 &amp; 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</v>
      </c>
      <c r="AF63" s="82" t="str">
        <f t="shared" si="34"/>
        <v>"C:\Program Files (x86)\AstroGrep\AstroGrep.exe" /spath="%USERPROFILE%\AppData\Local\Temp\OnboardLogs" /stypes="app*4027*20170211*" /stext=" 17:.+((SYSTEM_STATE.+slice.+state.+changed )|(ment ac)|(multiple cpu faults)|(system.+state.+changed )|(\[timeout)|(PRM\|1\|D)|(kpr)|(kdp)|(\|lc)|(penalty))" /e /r /s</v>
      </c>
      <c r="AG63" s="1" t="str">
        <f t="shared" si="35"/>
        <v>EC</v>
      </c>
      <c r="AH63" s="86" t="str">
        <f t="shared" si="18"/>
        <v>"%USERPROFILE%\Documents\GitHub\eaglep3\Utilities\RefineRTDCRunTimes.py" --tripid 151-11 --locoid 4027 --swversion DE.1.0.8.0 --startMP 204:458 --initTime 2017-02-11T09:46:10 --startdatetime 2017-02-11T10:00:31 --delay 3 --endMP 204:233303 --enddatetime 2017-02-11T10:37:07 --enforcementcount 1 &gt;&gt;C:\Users\stu\Documents\GitHub\eaglep3-reporting\EC\2017-02-11-refined-times.txt</v>
      </c>
      <c r="AI63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{"issue":{"subject":"","project_id":79,"tracker_id":40,"status_id":1,"priority_id":2,"assigned_to_id":23,"start_date":"2017-02-11","description":"","custom_fields":[{"id":1,"name":"Subdivision","value":"EC"},{"id":4,"name":"Milepost","value":"23.3303"},{"id":17,"name":"Train ID","value":"151-11"},{"id":16,"name":"Locomotive ID","value":"4027"},{"id":130,"name":"Impact","value":""},{"id":150,"name":"Time of Event (Mountain Time)","value":"10:37:07"},{"id":151,"name":"Denver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4027 --day 2017-02-11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"%USERPROFILE%\AppData\Local\Temp\OnboardLogs"\RTDC4027\*4027*20170211* | grep -SE "(Enforcement Action)|(\[TIMEOUT)|(CHR.+\|PRM\|1\|D.+(SWITCH|SIGNAL).+UNKNOWN)" - &gt;&gt; 2017-02-11-UncaughtWiMAX.txt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618</v>
      </c>
      <c r="B64" s="7">
        <v>4028</v>
      </c>
      <c r="C64" s="21" t="s">
        <v>193</v>
      </c>
      <c r="D64" s="21" t="s">
        <v>353</v>
      </c>
      <c r="E64" s="13">
        <v>42777.453622685185</v>
      </c>
      <c r="F64" s="13">
        <v>42777.455833333333</v>
      </c>
      <c r="G64" s="7">
        <v>1</v>
      </c>
      <c r="H64" s="21" t="s">
        <v>198</v>
      </c>
      <c r="I64" s="13">
        <v>42777.482361111113</v>
      </c>
      <c r="J64" s="7">
        <v>1</v>
      </c>
      <c r="K64" s="98" t="str">
        <f t="shared" si="23"/>
        <v>4027/4028</v>
      </c>
      <c r="L64" s="21" t="str">
        <f>VLOOKUP(A64,'Trips&amp;Operators'!$C$1:$G$99999,5,FALSE)</f>
        <v>OUN ZACK</v>
      </c>
      <c r="M64" s="6">
        <f t="shared" si="24"/>
        <v>2.6527777779847383E-2</v>
      </c>
      <c r="N64" s="7">
        <f t="shared" si="39"/>
        <v>38.200000002980232</v>
      </c>
      <c r="O64" s="7"/>
      <c r="P64" s="7"/>
      <c r="Q64" s="22"/>
      <c r="R64" s="22"/>
      <c r="S64" s="31">
        <f t="shared" si="25"/>
        <v>1</v>
      </c>
      <c r="T64" s="46" t="str">
        <f t="shared" si="26"/>
        <v>Southbound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 t="shared" si="27"/>
        <v>https://d0f6bd738d7f1b3e5a7ca70fe4ff75f0.us-east-1.aws.found.io/app/kibana#/discover/Steve-Slow-Train-Analysis-(2080s-and-2083s)?_g=(refreshInterval:(display:Off,pause:!f,section:0,value:0),time:(from:'2017-02-11T09:53:13-0700',mode:absolute,to:'2017-02-11T12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4" s="188" t="str">
        <f t="shared" si="28"/>
        <v>N</v>
      </c>
      <c r="X64" s="188">
        <f t="shared" si="40"/>
        <v>1</v>
      </c>
      <c r="Y64" s="62">
        <f t="shared" si="29"/>
        <v>23.299600000000002</v>
      </c>
      <c r="Z64" s="62">
        <f t="shared" si="30"/>
        <v>1.4500000000000001E-2</v>
      </c>
      <c r="AA64" s="62">
        <f t="shared" si="31"/>
        <v>23.2851</v>
      </c>
      <c r="AB64" s="59" t="e">
        <f>VLOOKUP(A64,Enforcements!$C$7:$K$14,8,0)</f>
        <v>#N/A</v>
      </c>
      <c r="AC64" s="55" t="e">
        <f>VLOOKUP(A64,Enforcements!$C$7:$E$14,3,0)</f>
        <v>#N/A</v>
      </c>
      <c r="AD64" s="56" t="str">
        <f t="shared" si="32"/>
        <v>0152-11</v>
      </c>
      <c r="AE64" s="85" t="str">
        <f t="shared" si="33"/>
        <v>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 &amp; 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</v>
      </c>
      <c r="AF64" s="82" t="str">
        <f t="shared" si="34"/>
        <v>"C:\Program Files (x86)\AstroGrep\AstroGrep.exe" /spath="%USERPROFILE%\AppData\Local\Temp\OnboardLogs" /stypes="app*4028*20170211*" /stext=" 18:.+((SYSTEM_STATE.+slice.+state.+changed )|(ment ac)|(multiple cpu faults)|(system.+state.+changed )|(\[timeout)|(PRM\|1\|D)|(kpr)|(kdp)|(\|lc)|(penalty))" /e /r /s</v>
      </c>
      <c r="AG64" s="1" t="str">
        <f t="shared" si="35"/>
        <v>EC</v>
      </c>
      <c r="AH64" s="86" t="str">
        <f t="shared" si="18"/>
        <v>"%USERPROFILE%\Documents\GitHub\eaglep3\Utilities\RefineRTDCRunTimes.py" --tripid 152-11 --locoid 4028 --swversion DE.1.0.8.0 --startMP 204:232996 --initTime 2017-02-11T10:53:13 --startdatetime 2017-02-11T10:56:24 --delay 1 --endMP 204:145 --enddatetime 2017-02-11T11:34:36 --enforcementcount 1 &gt;&gt;C:\Users\stu\Documents\GitHub\eaglep3-reporting\EC\2017-02-11-refined-times.txt</v>
      </c>
      <c r="AI64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{"issue":{"subject":"","project_id":79,"tracker_id":40,"status_id":1,"priority_id":2,"assigned_to_id":23,"start_date":"2017-02-11","description":"","custom_fields":[{"id":1,"name":"Subdivision","value":"EC"},{"id":4,"name":"Milepost","value":"0.0145"},{"id":17,"name":"Train ID","value":"152-11"},{"id":16,"name":"Locomotive ID","value":"4028"},{"id":130,"name":"Impact","value":""},{"id":150,"name":"Time of Event (Mountain Time)","value":"11:34:36"},{"id":151,"name":"Denver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4028 --day 2017-02-11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"%USERPROFILE%\AppData\Local\Temp\OnboardLogs"\RTDC4028\*4028*20170211* | grep -SE "(Enforcement Action)|(\[TIMEOUT)|(CHR.+\|PRM\|1\|D.+(SWITCH|SIGNAL).+UNKNOWN)" - &gt;&gt; 2017-02-11-UncaughtWiMAX.txt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607</v>
      </c>
      <c r="B65" s="7">
        <v>4020</v>
      </c>
      <c r="C65" s="21" t="s">
        <v>193</v>
      </c>
      <c r="D65" s="21" t="s">
        <v>235</v>
      </c>
      <c r="E65" s="13">
        <v>42777.422500000001</v>
      </c>
      <c r="F65" s="13">
        <v>42777.427453703705</v>
      </c>
      <c r="G65" s="7">
        <v>1</v>
      </c>
      <c r="H65" s="21" t="s">
        <v>497</v>
      </c>
      <c r="I65" s="13">
        <v>42777.452847222223</v>
      </c>
      <c r="J65" s="7">
        <v>1</v>
      </c>
      <c r="K65" s="98" t="str">
        <f t="shared" si="23"/>
        <v>4019/4020</v>
      </c>
      <c r="L65" s="21" t="str">
        <f>VLOOKUP(A65,'Trips&amp;Operators'!$C$1:$G$99999,5,FALSE)</f>
        <v>LOZA FIDEL</v>
      </c>
      <c r="M65" s="6">
        <f t="shared" si="24"/>
        <v>2.5393518517375924E-2</v>
      </c>
      <c r="N65" s="7">
        <f t="shared" si="39"/>
        <v>36.56666666502133</v>
      </c>
      <c r="O65" s="7"/>
      <c r="P65" s="7"/>
      <c r="Q65" s="22"/>
      <c r="R65" s="22"/>
      <c r="S65" s="31">
        <f t="shared" si="25"/>
        <v>1</v>
      </c>
      <c r="T65" s="46" t="str">
        <f t="shared" si="26"/>
        <v>NorthBound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 t="shared" si="27"/>
        <v>https://d0f6bd738d7f1b3e5a7ca70fe4ff75f0.us-east-1.aws.found.io/app/kibana#/discover/Steve-Slow-Train-Analysis-(2080s-and-2083s)?_g=(refreshInterval:(display:Off,pause:!f,section:0,value:0),time:(from:'2017-02-11T09:08:24-0700',mode:absolute,to:'2017-02-11T11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5" s="188" t="str">
        <f t="shared" si="28"/>
        <v>N</v>
      </c>
      <c r="X65" s="188">
        <f t="shared" ref="X65:X96" si="41">VALUE(LEFT(AD65,4))-VALUE(LEFT(AD64,4))</f>
        <v>1</v>
      </c>
      <c r="Y65" s="62">
        <f t="shared" si="29"/>
        <v>4.5100000000000001E-2</v>
      </c>
      <c r="Z65" s="62">
        <f t="shared" si="30"/>
        <v>23.333200000000001</v>
      </c>
      <c r="AA65" s="62">
        <f t="shared" si="31"/>
        <v>23.2881</v>
      </c>
      <c r="AB65" s="59" t="e">
        <f>VLOOKUP(A65,Enforcements!$C$7:$K$14,8,0)</f>
        <v>#N/A</v>
      </c>
      <c r="AC65" s="55" t="e">
        <f>VLOOKUP(A65,Enforcements!$C$7:$E$14,3,0)</f>
        <v>#N/A</v>
      </c>
      <c r="AD65" s="56" t="str">
        <f t="shared" si="32"/>
        <v>0153-11</v>
      </c>
      <c r="AE65" s="85" t="str">
        <f t="shared" si="33"/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AF65" s="82" t="str">
        <f t="shared" si="34"/>
        <v>"C:\Program Files (x86)\AstroGrep\AstroGrep.exe" /spath="%USERPROFILE%\AppData\Local\Temp\OnboardLogs" /stypes="app*4020*20170211*" /stext=" 17:.+((SYSTEM_STATE.+slice.+state.+changed )|(ment ac)|(multiple cpu faults)|(system.+state.+changed )|(\[timeout)|(PRM\|1\|D)|(kpr)|(kdp)|(\|lc)|(penalty))" /e /r /s</v>
      </c>
      <c r="AG65" s="1" t="str">
        <f t="shared" si="35"/>
        <v>EC</v>
      </c>
      <c r="AH65" s="86" t="str">
        <f t="shared" si="18"/>
        <v>"%USERPROFILE%\Documents\GitHub\eaglep3\Utilities\RefineRTDCRunTimes.py" --tripid 153-11 --locoid 4020 --swversion DE.1.0.8.0 --startMP 204:451 --initTime 2017-02-11T10:08:24 --startdatetime 2017-02-11T10:15:32 --delay 1 --endMP 204:233332 --enddatetime 2017-02-11T10:52:06 --enforcementcount 1 &gt;&gt;C:\Users\stu\Documents\GitHub\eaglep3-reporting\EC\2017-02-11-refined-times.txt</v>
      </c>
      <c r="AI65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{"issue":{"subject":"","project_id":79,"tracker_id":40,"status_id":1,"priority_id":2,"assigned_to_id":23,"start_date":"2017-02-11","description":"","custom_fields":[{"id":1,"name":"Subdivision","value":"EC"},{"id":4,"name":"Milepost","value":"23.3332"},{"id":17,"name":"Train ID","value":"153-11"},{"id":16,"name":"Locomotive ID","value":"4020"},{"id":130,"name":"Impact","value":""},{"id":150,"name":"Time of Event (Mountain Time)","value":"10:52:06"},{"id":151,"name":"Denver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4020 --day 2017-02-11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"%USERPROFILE%\AppData\Local\Temp\OnboardLogs"\RTDC4020\*4020*20170211* | grep -SE "(Enforcement Action)|(\[TIMEOUT)|(CHR.+\|PRM\|1\|D.+(SWITCH|SIGNAL).+UNKNOWN)" - &gt;&gt; 2017-02-11-UncaughtWiMAX.txt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620</v>
      </c>
      <c r="B66" s="7">
        <v>4019</v>
      </c>
      <c r="C66" s="21" t="s">
        <v>193</v>
      </c>
      <c r="D66" s="21" t="s">
        <v>759</v>
      </c>
      <c r="E66" s="13">
        <v>42777.457673611112</v>
      </c>
      <c r="F66" s="13">
        <v>42777.466377314813</v>
      </c>
      <c r="G66" s="7">
        <v>1</v>
      </c>
      <c r="H66" s="21" t="s">
        <v>184</v>
      </c>
      <c r="I66" s="13">
        <v>42777.492418981485</v>
      </c>
      <c r="J66" s="7">
        <v>1</v>
      </c>
      <c r="K66" s="98" t="str">
        <f t="shared" si="23"/>
        <v>4019/4020</v>
      </c>
      <c r="L66" s="21" t="str">
        <f>VLOOKUP(A66,'Trips&amp;Operators'!$C$1:$G$99999,5,FALSE)</f>
        <v>LOZA FIDEL</v>
      </c>
      <c r="M66" s="6">
        <f t="shared" si="24"/>
        <v>2.6041666671517305E-2</v>
      </c>
      <c r="N66" s="7">
        <f t="shared" si="39"/>
        <v>37.500000006984919</v>
      </c>
      <c r="O66" s="7"/>
      <c r="P66" s="7"/>
      <c r="Q66" s="22"/>
      <c r="R66" s="22"/>
      <c r="S66" s="31">
        <f t="shared" si="25"/>
        <v>1</v>
      </c>
      <c r="T66" s="46" t="str">
        <f t="shared" si="26"/>
        <v>Southbound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 t="shared" si="27"/>
        <v>https://d0f6bd738d7f1b3e5a7ca70fe4ff75f0.us-east-1.aws.found.io/app/kibana#/discover/Steve-Slow-Train-Analysis-(2080s-and-2083s)?_g=(refreshInterval:(display:Off,pause:!f,section:0,value:0),time:(from:'2017-02-11T09:59:03-0700',mode:absolute,to:'2017-02-11T12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6" s="188" t="str">
        <f t="shared" si="28"/>
        <v>N</v>
      </c>
      <c r="X66" s="188">
        <f t="shared" si="41"/>
        <v>1</v>
      </c>
      <c r="Y66" s="62">
        <f t="shared" si="29"/>
        <v>23.300799999999999</v>
      </c>
      <c r="Z66" s="62">
        <f t="shared" si="30"/>
        <v>1.49E-2</v>
      </c>
      <c r="AA66" s="62">
        <f t="shared" si="31"/>
        <v>23.285899999999998</v>
      </c>
      <c r="AB66" s="59" t="e">
        <f>VLOOKUP(A66,Enforcements!$C$7:$K$14,8,0)</f>
        <v>#N/A</v>
      </c>
      <c r="AC66" s="55" t="e">
        <f>VLOOKUP(A66,Enforcements!$C$7:$E$14,3,0)</f>
        <v>#N/A</v>
      </c>
      <c r="AD66" s="56" t="str">
        <f t="shared" si="32"/>
        <v>0154-11</v>
      </c>
      <c r="AE66" s="85" t="str">
        <f t="shared" si="33"/>
        <v>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 &amp; 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</v>
      </c>
      <c r="AF66" s="82" t="str">
        <f t="shared" si="34"/>
        <v>"C:\Program Files (x86)\AstroGrep\AstroGrep.exe" /spath="%USERPROFILE%\AppData\Local\Temp\OnboardLogs" /stypes="app*4019*20170211*" /stext=" 18:.+((SYSTEM_STATE.+slice.+state.+changed )|(ment ac)|(multiple cpu faults)|(system.+state.+changed )|(\[timeout)|(PRM\|1\|D)|(kpr)|(kdp)|(\|lc)|(penalty))" /e /r /s</v>
      </c>
      <c r="AG66" s="1" t="str">
        <f t="shared" si="35"/>
        <v>EC</v>
      </c>
      <c r="AH66" s="86" t="str">
        <f t="shared" si="18"/>
        <v>"%USERPROFILE%\Documents\GitHub\eaglep3\Utilities\RefineRTDCRunTimes.py" --tripid 154-11 --locoid 4019 --swversion DE.1.0.8.0 --startMP 204:233008 --initTime 2017-02-11T10:59:03 --startdatetime 2017-02-11T11:11:35 --delay 1 --endMP 204:149 --enddatetime 2017-02-11T11:49:05 --enforcementcount 1 &gt;&gt;C:\Users\stu\Documents\GitHub\eaglep3-reporting\EC\2017-02-11-refined-times.txt</v>
      </c>
      <c r="AI66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{"issue":{"subject":"","project_id":79,"tracker_id":40,"status_id":1,"priority_id":2,"assigned_to_id":23,"start_date":"2017-02-11","description":"","custom_fields":[{"id":1,"name":"Subdivision","value":"EC"},{"id":4,"name":"Milepost","value":"0.0149"},{"id":17,"name":"Train ID","value":"154-11"},{"id":16,"name":"Locomotive ID","value":"4019"},{"id":130,"name":"Impact","value":""},{"id":150,"name":"Time of Event (Mountain Time)","value":"11:49:05"},{"id":151,"name":"Denver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4019 --day 2017-02-11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"%USERPROFILE%\AppData\Local\Temp\OnboardLogs"\RTDC4019\*4019*20170211* | grep -SE "(Enforcement Action)|(\[TIMEOUT)|(CHR.+\|PRM\|1\|D.+(SWITCH|SIGNAL).+UNKNOWN)" - &gt;&gt; 2017-02-11-UncaughtWiMAX.txt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612</v>
      </c>
      <c r="B67" s="7">
        <v>4029</v>
      </c>
      <c r="C67" s="21" t="s">
        <v>193</v>
      </c>
      <c r="D67" s="21" t="s">
        <v>239</v>
      </c>
      <c r="E67" s="13">
        <v>42777.43346064815</v>
      </c>
      <c r="F67" s="13">
        <v>42777.437662037039</v>
      </c>
      <c r="G67" s="7">
        <v>1</v>
      </c>
      <c r="H67" s="21" t="s">
        <v>760</v>
      </c>
      <c r="I67" s="13">
        <v>42777.462453703702</v>
      </c>
      <c r="J67" s="7">
        <v>1</v>
      </c>
      <c r="K67" s="98" t="str">
        <f t="shared" si="23"/>
        <v>4029/4030</v>
      </c>
      <c r="L67" s="21" t="str">
        <f>VLOOKUP(A67,'Trips&amp;Operators'!$C$1:$G$99999,5,FALSE)</f>
        <v>ROMERO CHAD</v>
      </c>
      <c r="M67" s="6">
        <f t="shared" si="24"/>
        <v>2.4791666663077194E-2</v>
      </c>
      <c r="N67" s="7">
        <f t="shared" si="39"/>
        <v>35.69999999483116</v>
      </c>
      <c r="O67" s="7"/>
      <c r="P67" s="7"/>
      <c r="Q67" s="22"/>
      <c r="R67" s="22"/>
      <c r="S67" s="31">
        <f t="shared" si="25"/>
        <v>1</v>
      </c>
      <c r="T67" s="46" t="str">
        <f t="shared" si="26"/>
        <v>NorthBound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 t="shared" si="27"/>
        <v>https://d0f6bd738d7f1b3e5a7ca70fe4ff75f0.us-east-1.aws.found.io/app/kibana#/discover/Steve-Slow-Train-Analysis-(2080s-and-2083s)?_g=(refreshInterval:(display:Off,pause:!f,section:0,value:0),time:(from:'2017-02-11T09:24:11-0700',mode:absolute,to:'2017-02-11T12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7" s="188" t="str">
        <f t="shared" si="28"/>
        <v>N</v>
      </c>
      <c r="X67" s="188">
        <f t="shared" si="41"/>
        <v>1</v>
      </c>
      <c r="Y67" s="62">
        <f t="shared" si="29"/>
        <v>4.5999999999999999E-2</v>
      </c>
      <c r="Z67" s="62">
        <f t="shared" si="30"/>
        <v>23.336200000000002</v>
      </c>
      <c r="AA67" s="62">
        <f t="shared" si="31"/>
        <v>23.290200000000002</v>
      </c>
      <c r="AB67" s="59" t="e">
        <f>VLOOKUP(A67,Enforcements!$C$7:$K$14,8,0)</f>
        <v>#N/A</v>
      </c>
      <c r="AC67" s="55" t="e">
        <f>VLOOKUP(A67,Enforcements!$C$7:$E$14,3,0)</f>
        <v>#N/A</v>
      </c>
      <c r="AD67" s="56" t="str">
        <f t="shared" si="32"/>
        <v>0155-11</v>
      </c>
      <c r="AE67" s="85" t="str">
        <f t="shared" si="33"/>
        <v>aws s3 cp s3://rtdc.mdm.uploadarchive.raw/RTDC4029/ "%USERPROFILE%\AppData\Local\Temp\OnboardLogs"\RTDC4029\2017-02-11 --exclude "*" --recursive --include "*20170211*" &amp; "%USERPROFILE%\Documents\GitHub\mrs-test-scripts\Headless Mode &amp; Sideloading\WalkAndUnGZ.bat" "%USERPROFILE%\AppData\Local\Temp\OnboardLogs"\RTDC4029\2017-02-11 &amp; 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</v>
      </c>
      <c r="AF67" s="82" t="str">
        <f t="shared" si="34"/>
        <v>"C:\Program Files (x86)\AstroGrep\AstroGrep.exe" /spath="%USERPROFILE%\AppData\Local\Temp\OnboardLogs" /stypes="app*4029*20170211*" /stext=" 18:.+((SYSTEM_STATE.+slice.+state.+changed )|(ment ac)|(multiple cpu faults)|(system.+state.+changed )|(\[timeout)|(PRM\|1\|D)|(kpr)|(kdp)|(\|lc)|(penalty))" /e /r /s</v>
      </c>
      <c r="AG67" s="1" t="str">
        <f t="shared" si="35"/>
        <v>EC</v>
      </c>
      <c r="AH67" s="86" t="str">
        <f t="shared" si="18"/>
        <v>"%USERPROFILE%\Documents\GitHub\eaglep3\Utilities\RefineRTDCRunTimes.py" --tripid 155-11 --locoid 4029 --swversion DE.1.0.8.0 --startMP 204:460 --initTime 2017-02-11T10:24:11 --startdatetime 2017-02-11T10:30:14 --delay 1 --endMP 204:233362 --enddatetime 2017-02-11T11:05:56 --enforcementcount 1 &gt;&gt;C:\Users\stu\Documents\GitHub\eaglep3-reporting\EC\2017-02-11-refined-times.txt</v>
      </c>
      <c r="AI67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{"issue":{"subject":"","project_id":79,"tracker_id":40,"status_id":1,"priority_id":2,"assigned_to_id":23,"start_date":"2017-02-11","description":"","custom_fields":[{"id":1,"name":"Subdivision","value":"EC"},{"id":4,"name":"Milepost","value":"23.3362"},{"id":17,"name":"Train ID","value":"155-11"},{"id":16,"name":"Locomotive ID","value":"4029"},{"id":130,"name":"Impact","value":""},{"id":150,"name":"Time of Event (Mountain Time)","value":"11:05:56"},{"id":151,"name":"Denver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4029 --day 2017-02-11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"%USERPROFILE%\AppData\Local\Temp\OnboardLogs"\RTDC4029\*4029*20170211* | grep -SE "(Enforcement Action)|(\[TIMEOUT)|(CHR.+\|PRM\|1\|D.+(SWITCH|SIGNAL).+UNKNOWN)" - &gt;&gt; 2017-02-11-UncaughtWiMAX.txt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624</v>
      </c>
      <c r="B68" s="7">
        <v>4030</v>
      </c>
      <c r="C68" s="21" t="s">
        <v>193</v>
      </c>
      <c r="D68" s="21" t="s">
        <v>761</v>
      </c>
      <c r="E68" s="13">
        <v>42777.466863425929</v>
      </c>
      <c r="F68" s="13">
        <v>42777.476527777777</v>
      </c>
      <c r="G68" s="7">
        <v>2</v>
      </c>
      <c r="H68" s="21" t="s">
        <v>762</v>
      </c>
      <c r="I68" s="13">
        <v>42777.50341435185</v>
      </c>
      <c r="J68" s="7">
        <v>1</v>
      </c>
      <c r="K68" s="98" t="str">
        <f t="shared" si="23"/>
        <v>4029/4030</v>
      </c>
      <c r="L68" s="21" t="str">
        <f>VLOOKUP(A68,'Trips&amp;Operators'!$C$1:$G$99999,5,FALSE)</f>
        <v>ROMERO CHAD</v>
      </c>
      <c r="M68" s="6">
        <f t="shared" si="24"/>
        <v>2.6886574072705116E-2</v>
      </c>
      <c r="N68" s="7">
        <f t="shared" si="39"/>
        <v>38.716666664695367</v>
      </c>
      <c r="O68" s="7"/>
      <c r="P68" s="7"/>
      <c r="Q68" s="22"/>
      <c r="R68" s="22"/>
      <c r="S68" s="31">
        <f t="shared" si="25"/>
        <v>1</v>
      </c>
      <c r="T68" s="46" t="str">
        <f t="shared" si="26"/>
        <v>Southbound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 t="shared" si="27"/>
        <v>https://d0f6bd738d7f1b3e5a7ca70fe4ff75f0.us-east-1.aws.found.io/app/kibana#/discover/Steve-Slow-Train-Analysis-(2080s-and-2083s)?_g=(refreshInterval:(display:Off,pause:!f,section:0,value:0),time:(from:'2017-02-11T10:12:17-0700',mode:absolute,to:'2017-02-11T13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8" s="188" t="str">
        <f t="shared" si="28"/>
        <v>N</v>
      </c>
      <c r="X68" s="188">
        <f t="shared" si="41"/>
        <v>1</v>
      </c>
      <c r="Y68" s="62">
        <f t="shared" si="29"/>
        <v>23.305700000000002</v>
      </c>
      <c r="Z68" s="62">
        <f t="shared" si="30"/>
        <v>1.0999999999999999E-2</v>
      </c>
      <c r="AA68" s="62">
        <f t="shared" si="31"/>
        <v>23.294700000000002</v>
      </c>
      <c r="AB68" s="59" t="e">
        <f>VLOOKUP(A68,Enforcements!$C$7:$K$14,8,0)</f>
        <v>#N/A</v>
      </c>
      <c r="AC68" s="55" t="e">
        <f>VLOOKUP(A68,Enforcements!$C$7:$E$14,3,0)</f>
        <v>#N/A</v>
      </c>
      <c r="AD68" s="56" t="str">
        <f t="shared" si="32"/>
        <v>0156-11</v>
      </c>
      <c r="AE68" s="85" t="str">
        <f t="shared" si="33"/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AF68" s="82" t="str">
        <f t="shared" si="34"/>
        <v>"C:\Program Files (x86)\AstroGrep\AstroGrep.exe" /spath="%USERPROFILE%\AppData\Local\Temp\OnboardLogs" /stypes="app*4030*20170211*" /stext=" 19:.+((SYSTEM_STATE.+slice.+state.+changed )|(ment ac)|(multiple cpu faults)|(system.+state.+changed )|(\[timeout)|(PRM\|1\|D)|(kpr)|(kdp)|(\|lc)|(penalty))" /e /r /s</v>
      </c>
      <c r="AG68" s="1" t="str">
        <f t="shared" si="35"/>
        <v>EC</v>
      </c>
      <c r="AH68" s="86" t="str">
        <f t="shared" si="18"/>
        <v>"%USERPROFILE%\Documents\GitHub\eaglep3\Utilities\RefineRTDCRunTimes.py" --tripid 156-11 --locoid 4030 --swversion DE.1.0.8.0 --startMP 204:233057 --initTime 2017-02-11T11:12:17 --startdatetime 2017-02-11T11:26:12 --delay 2 --endMP 204:110 --enddatetime 2017-02-11T12:04:55 --enforcementcount 1 &gt;&gt;C:\Users\stu\Documents\GitHub\eaglep3-reporting\EC\2017-02-11-refined-times.txt</v>
      </c>
      <c r="AI68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{"issue":{"subject":"","project_id":79,"tracker_id":40,"status_id":1,"priority_id":2,"assigned_to_id":23,"start_date":"2017-02-11","description":"","custom_fields":[{"id":1,"name":"Subdivision","value":"EC"},{"id":4,"name":"Milepost","value":"0.011"},{"id":17,"name":"Train ID","value":"156-11"},{"id":16,"name":"Locomotive ID","value":"4030"},{"id":130,"name":"Impact","value":""},{"id":150,"name":"Time of Event (Mountain Time)","value":"12:04:55"},{"id":151,"name":"Denver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4030 --day 2017-02-11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"%USERPROFILE%\AppData\Local\Temp\OnboardLogs"\RTDC4030\*4030*20170211* | grep -SE "(Enforcement Action)|(\[TIMEOUT)|(CHR.+\|PRM\|1\|D.+(SWITCH|SIGNAL).+UNKNOWN)" - &gt;&gt; 2017-02-11-UncaughtWiMAX.txt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616</v>
      </c>
      <c r="B69" s="7">
        <v>4011</v>
      </c>
      <c r="C69" s="21" t="s">
        <v>193</v>
      </c>
      <c r="D69" s="21" t="s">
        <v>763</v>
      </c>
      <c r="E69" s="13">
        <v>42777.442569444444</v>
      </c>
      <c r="F69" s="13">
        <v>42777.44809027778</v>
      </c>
      <c r="G69" s="7">
        <v>2</v>
      </c>
      <c r="H69" s="21" t="s">
        <v>764</v>
      </c>
      <c r="I69" s="13">
        <v>42777.473587962966</v>
      </c>
      <c r="J69" s="7">
        <v>1</v>
      </c>
      <c r="K69" s="98" t="str">
        <f t="shared" si="23"/>
        <v>4011/4012</v>
      </c>
      <c r="L69" s="21" t="str">
        <f>VLOOKUP(A69,'Trips&amp;Operators'!$C$1:$G$99999,5,FALSE)</f>
        <v>GEBRETEKLE DAGNEW</v>
      </c>
      <c r="M69" s="6">
        <f t="shared" si="24"/>
        <v>2.5497685186564922E-2</v>
      </c>
      <c r="N69" s="7">
        <f t="shared" si="39"/>
        <v>36.716666668653488</v>
      </c>
      <c r="O69" s="7"/>
      <c r="P69" s="7"/>
      <c r="Q69" s="22"/>
      <c r="R69" s="22"/>
      <c r="S69" s="31">
        <f t="shared" si="25"/>
        <v>1</v>
      </c>
      <c r="T69" s="46" t="str">
        <f t="shared" si="26"/>
        <v>NorthBound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 t="shared" si="27"/>
        <v>https://d0f6bd738d7f1b3e5a7ca70fe4ff75f0.us-east-1.aws.found.io/app/kibana#/discover/Steve-Slow-Train-Analysis-(2080s-and-2083s)?_g=(refreshInterval:(display:Off,pause:!f,section:0,value:0),time:(from:'2017-02-11T09:37:18-0700',mode:absolute,to:'2017-02-11T12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9" s="188" t="str">
        <f t="shared" si="28"/>
        <v>N</v>
      </c>
      <c r="X69" s="188">
        <f t="shared" si="41"/>
        <v>1</v>
      </c>
      <c r="Y69" s="62">
        <f t="shared" si="29"/>
        <v>4.2900000000000001E-2</v>
      </c>
      <c r="Z69" s="62">
        <f t="shared" si="30"/>
        <v>23.329799999999999</v>
      </c>
      <c r="AA69" s="62">
        <f t="shared" si="31"/>
        <v>23.286899999999999</v>
      </c>
      <c r="AB69" s="59" t="e">
        <f>VLOOKUP(A69,Enforcements!$C$7:$K$14,8,0)</f>
        <v>#N/A</v>
      </c>
      <c r="AC69" s="55" t="e">
        <f>VLOOKUP(A69,Enforcements!$C$7:$E$14,3,0)</f>
        <v>#N/A</v>
      </c>
      <c r="AD69" s="56" t="str">
        <f t="shared" si="32"/>
        <v>0157-11</v>
      </c>
      <c r="AE69" s="85" t="str">
        <f t="shared" si="33"/>
        <v>aws s3 cp s3://rtdc.mdm.uploadarchive.raw/RTDC4011/ "%USERPROFILE%\AppData\Local\Temp\OnboardLogs"\RTDC4011\2017-02-11 --exclude "*" --recursive --include "*20170211*" &amp; "%USERPROFILE%\Documents\GitHub\mrs-test-scripts\Headless Mode &amp; Sideloading\WalkAndUnGZ.bat" "%USERPROFILE%\AppData\Local\Temp\OnboardLogs"\RTDC4011\2017-02-11 &amp; 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</v>
      </c>
      <c r="AF69" s="82" t="str">
        <f t="shared" si="34"/>
        <v>"C:\Program Files (x86)\AstroGrep\AstroGrep.exe" /spath="%USERPROFILE%\AppData\Local\Temp\OnboardLogs" /stypes="app*4011*20170211*" /stext=" 18:.+((SYSTEM_STATE.+slice.+state.+changed )|(ment ac)|(multiple cpu faults)|(system.+state.+changed )|(\[timeout)|(PRM\|1\|D)|(kpr)|(kdp)|(\|lc)|(penalty))" /e /r /s</v>
      </c>
      <c r="AG69" s="1" t="str">
        <f t="shared" si="35"/>
        <v>EC</v>
      </c>
      <c r="AH69" s="86" t="str">
        <f t="shared" si="18"/>
        <v>"%USERPROFILE%\Documents\GitHub\eaglep3\Utilities\RefineRTDCRunTimes.py" --tripid 157-11 --locoid 4011 --swversion DE.1.0.8.0 --startMP 204:429 --initTime 2017-02-11T10:37:18 --startdatetime 2017-02-11T10:45:15 --delay 2 --endMP 204:233298 --enddatetime 2017-02-11T11:21:58 --enforcementcount 1 &gt;&gt;C:\Users\stu\Documents\GitHub\eaglep3-reporting\EC\2017-02-11-refined-times.txt</v>
      </c>
      <c r="AI69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{"issue":{"subject":"","project_id":79,"tracker_id":40,"status_id":1,"priority_id":2,"assigned_to_id":23,"start_date":"2017-02-11","description":"","custom_fields":[{"id":1,"name":"Subdivision","value":"EC"},{"id":4,"name":"Milepost","value":"23.3298"},{"id":17,"name":"Train ID","value":"157-11"},{"id":16,"name":"Locomotive ID","value":"4011"},{"id":130,"name":"Impact","value":""},{"id":150,"name":"Time of Event (Mountain Time)","value":"11:21:58"},{"id":151,"name":"Denver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4011 --day 2017-02-11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"%USERPROFILE%\AppData\Local\Temp\OnboardLogs"\RTDC4011\*4011*20170211* | grep -SE "(Enforcement Action)|(\[TIMEOUT)|(CHR.+\|PRM\|1\|D.+(SWITCH|SIGNAL).+UNKNOWN)" - &gt;&gt; 2017-02-11-UncaughtWiMAX.txt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626</v>
      </c>
      <c r="B70" s="7">
        <v>4012</v>
      </c>
      <c r="C70" s="21" t="s">
        <v>193</v>
      </c>
      <c r="D70" s="21" t="s">
        <v>759</v>
      </c>
      <c r="E70" s="13">
        <v>42777.48228009259</v>
      </c>
      <c r="F70" s="13">
        <v>42777.486979166664</v>
      </c>
      <c r="G70" s="7">
        <v>1</v>
      </c>
      <c r="H70" s="21" t="s">
        <v>205</v>
      </c>
      <c r="I70" s="13">
        <v>42777.513113425928</v>
      </c>
      <c r="J70" s="7">
        <v>1</v>
      </c>
      <c r="K70" s="98" t="str">
        <f t="shared" si="23"/>
        <v>4011/4012</v>
      </c>
      <c r="L70" s="21" t="str">
        <f>VLOOKUP(A70,'Trips&amp;Operators'!$C$1:$G$99999,5,FALSE)</f>
        <v>GEBRETEKLE DAGNEW</v>
      </c>
      <c r="M70" s="6">
        <f t="shared" si="24"/>
        <v>2.6134259263926651E-2</v>
      </c>
      <c r="N70" s="7">
        <f t="shared" si="39"/>
        <v>37.633333340054378</v>
      </c>
      <c r="O70" s="7"/>
      <c r="P70" s="7"/>
      <c r="Q70" s="22"/>
      <c r="R70" s="22"/>
      <c r="S70" s="31">
        <f t="shared" si="25"/>
        <v>1</v>
      </c>
      <c r="T70" s="46" t="str">
        <f t="shared" si="26"/>
        <v>Southbound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7" t="str">
        <f t="shared" si="27"/>
        <v>https://d0f6bd738d7f1b3e5a7ca70fe4ff75f0.us-east-1.aws.found.io/app/kibana#/discover/Steve-Slow-Train-Analysis-(2080s-and-2083s)?_g=(refreshInterval:(display:Off,pause:!f,section:0,value:0),time:(from:'2017-02-11T10:34:29-0700',mode:absolute,to:'2017-02-11T13:18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188" t="str">
        <f t="shared" si="28"/>
        <v>N</v>
      </c>
      <c r="X70" s="188">
        <f t="shared" si="41"/>
        <v>1</v>
      </c>
      <c r="Y70" s="62">
        <f t="shared" si="29"/>
        <v>23.300799999999999</v>
      </c>
      <c r="Z70" s="62">
        <f t="shared" si="30"/>
        <v>1.6E-2</v>
      </c>
      <c r="AA70" s="62">
        <f t="shared" si="31"/>
        <v>23.284800000000001</v>
      </c>
      <c r="AB70" s="59" t="e">
        <f>VLOOKUP(A70,Enforcements!$C$7:$K$14,8,0)</f>
        <v>#N/A</v>
      </c>
      <c r="AC70" s="55" t="e">
        <f>VLOOKUP(A70,Enforcements!$C$7:$E$14,3,0)</f>
        <v>#N/A</v>
      </c>
      <c r="AD70" s="56" t="str">
        <f t="shared" si="32"/>
        <v>0158-11</v>
      </c>
      <c r="AE70" s="85" t="str">
        <f t="shared" si="33"/>
        <v>aws s3 cp s3://rtdc.mdm.uploadarchive.raw/RTDC4012/ "%USERPROFILE%\AppData\Local\Temp\OnboardLogs"\RTDC4012\2017-02-11 --exclude "*" --recursive --include "*20170211*" &amp; "%USERPROFILE%\Documents\GitHub\mrs-test-scripts\Headless Mode &amp; Sideloading\WalkAndUnGZ.bat" "%USERPROFILE%\AppData\Local\Temp\OnboardLogs"\RTDC4012\2017-02-11 &amp; aws s3 cp s3://rtdc.mdm.uploadarchive.raw/RTDC4012/ "%USERPROFILE%\AppData\Local\Temp\OnboardLogs"\RTDC4012\2017-02-12 --exclude "*" --recursive --include "*20170212*" &amp; "%USERPROFILE%\Documents\GitHub\mrs-test-scripts\Headless Mode &amp; Sideloading\WalkAndUnGZ.bat" "%USERPROFILE%\AppData\Local\Temp\OnboardLogs"\RTDC4012\2017-02-12</v>
      </c>
      <c r="AF70" s="82" t="str">
        <f t="shared" si="34"/>
        <v>"C:\Program Files (x86)\AstroGrep\AstroGrep.exe" /spath="%USERPROFILE%\AppData\Local\Temp\OnboardLogs" /stypes="app*4012*20170211*" /stext=" 19:.+((SYSTEM_STATE.+slice.+state.+changed )|(ment ac)|(multiple cpu faults)|(system.+state.+changed )|(\[timeout)|(PRM\|1\|D)|(kpr)|(kdp)|(\|lc)|(penalty))" /e /r /s</v>
      </c>
      <c r="AG70" s="1" t="str">
        <f t="shared" si="35"/>
        <v>EC</v>
      </c>
      <c r="AH70" s="86" t="str">
        <f t="shared" si="18"/>
        <v>"%USERPROFILE%\Documents\GitHub\eaglep3\Utilities\RefineRTDCRunTimes.py" --tripid 158-11 --locoid 4012 --swversion DE.1.0.8.0 --startMP 204:233008 --initTime 2017-02-11T11:34:29 --startdatetime 2017-02-11T11:41:15 --delay 1 --endMP 204:160 --enddatetime 2017-02-11T12:18:53 --enforcementcount 1 &gt;&gt;C:\Users\stu\Documents\GitHub\eaglep3-reporting\EC\2017-02-11-refined-times.txt</v>
      </c>
      <c r="AI70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{"issue":{"subject":"","project_id":79,"tracker_id":40,"status_id":1,"priority_id":2,"assigned_to_id":23,"start_date":"2017-02-11","description":"","custom_fields":[{"id":1,"name":"Subdivision","value":"EC"},{"id":4,"name":"Milepost","value":"0.016"},{"id":17,"name":"Train ID","value":"158-11"},{"id":16,"name":"Locomotive ID","value":"4012"},{"id":130,"name":"Impact","value":""},{"id":150,"name":"Time of Event (Mountain Time)","value":"12:18:53"},{"id":151,"name":"Denver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4012 --day 2017-02-11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"%USERPROFILE%\AppData\Local\Temp\OnboardLogs"\RTDC4012\*4012*20170211* | grep -SE "(Enforcement Action)|(\[TIMEOUT)|(CHR.+\|PRM\|1\|D.+(SWITCH|SIGNAL).+UNKNOWN)" - &gt;&gt; 2017-02-11-UncaughtWiMAX.txt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621</v>
      </c>
      <c r="B71" s="7">
        <v>4031</v>
      </c>
      <c r="C71" s="21" t="s">
        <v>193</v>
      </c>
      <c r="D71" s="21" t="s">
        <v>765</v>
      </c>
      <c r="E71" s="13">
        <v>42777.461030092592</v>
      </c>
      <c r="F71" s="13">
        <v>42777.462905092594</v>
      </c>
      <c r="G71" s="7">
        <v>1</v>
      </c>
      <c r="H71" s="21" t="s">
        <v>219</v>
      </c>
      <c r="I71" s="13">
        <v>42777.491053240738</v>
      </c>
      <c r="J71" s="7">
        <v>1</v>
      </c>
      <c r="K71" s="98" t="str">
        <f t="shared" si="23"/>
        <v>4031/4032</v>
      </c>
      <c r="L71" s="21" t="str">
        <f>VLOOKUP(A71,'Trips&amp;Operators'!$C$1:$G$99999,5,FALSE)</f>
        <v>STEWART MICHAEL</v>
      </c>
      <c r="M71" s="6">
        <f t="shared" si="24"/>
        <v>2.8148148143372964E-2</v>
      </c>
      <c r="N71" s="7">
        <f t="shared" si="39"/>
        <v>40.533333326457068</v>
      </c>
      <c r="O71" s="7"/>
      <c r="P71" s="7"/>
      <c r="Q71" s="22"/>
      <c r="R71" s="22"/>
      <c r="S71" s="31">
        <f t="shared" si="25"/>
        <v>1</v>
      </c>
      <c r="T71" s="46" t="str">
        <f t="shared" si="26"/>
        <v>NorthBound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 t="shared" si="27"/>
        <v>https://d0f6bd738d7f1b3e5a7ca70fe4ff75f0.us-east-1.aws.found.io/app/kibana#/discover/Steve-Slow-Train-Analysis-(2080s-and-2083s)?_g=(refreshInterval:(display:Off,pause:!f,section:0,value:0),time:(from:'2017-02-11T10:03:53-0700',mode:absolute,to:'2017-02-11T12:47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1" s="188" t="str">
        <f t="shared" si="28"/>
        <v>N</v>
      </c>
      <c r="X71" s="188">
        <f t="shared" si="41"/>
        <v>1</v>
      </c>
      <c r="Y71" s="62">
        <f t="shared" si="29"/>
        <v>0.14960000000000001</v>
      </c>
      <c r="Z71" s="62">
        <f t="shared" si="30"/>
        <v>23.329899999999999</v>
      </c>
      <c r="AA71" s="62">
        <f t="shared" si="31"/>
        <v>23.180299999999999</v>
      </c>
      <c r="AB71" s="59" t="e">
        <f>VLOOKUP(A71,Enforcements!$C$7:$K$14,8,0)</f>
        <v>#N/A</v>
      </c>
      <c r="AC71" s="55" t="e">
        <f>VLOOKUP(A71,Enforcements!$C$7:$E$14,3,0)</f>
        <v>#N/A</v>
      </c>
      <c r="AD71" s="56" t="str">
        <f t="shared" si="32"/>
        <v>0159-11</v>
      </c>
      <c r="AE71" s="85" t="str">
        <f t="shared" si="33"/>
        <v>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 &amp; 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</v>
      </c>
      <c r="AF71" s="82" t="str">
        <f t="shared" si="34"/>
        <v>"C:\Program Files (x86)\AstroGrep\AstroGrep.exe" /spath="%USERPROFILE%\AppData\Local\Temp\OnboardLogs" /stypes="app*4031*20170211*" /stext=" 18:.+((SYSTEM_STATE.+slice.+state.+changed )|(ment ac)|(multiple cpu faults)|(system.+state.+changed )|(\[timeout)|(PRM\|1\|D)|(kpr)|(kdp)|(\|lc)|(penalty))" /e /r /s</v>
      </c>
      <c r="AG71" s="1" t="str">
        <f t="shared" si="35"/>
        <v>EC</v>
      </c>
      <c r="AH71" s="86" t="str">
        <f t="shared" si="18"/>
        <v>"%USERPROFILE%\Documents\GitHub\eaglep3\Utilities\RefineRTDCRunTimes.py" --tripid 159-11 --locoid 4031 --swversion DE.1.0.8.0 --startMP 204:1496 --initTime 2017-02-11T11:03:53 --startdatetime 2017-02-11T11:06:35 --delay 1 --endMP 204:233299 --enddatetime 2017-02-11T11:47:07 --enforcementcount 1 &gt;&gt;C:\Users\stu\Documents\GitHub\eaglep3-reporting\EC\2017-02-11-refined-times.txt</v>
      </c>
      <c r="AI71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{"issue":{"subject":"","project_id":79,"tracker_id":40,"status_id":1,"priority_id":2,"assigned_to_id":23,"start_date":"2017-02-11","description":"","custom_fields":[{"id":1,"name":"Subdivision","value":"EC"},{"id":4,"name":"Milepost","value":"23.3299"},{"id":17,"name":"Train ID","value":"159-11"},{"id":16,"name":"Locomotive ID","value":"4031"},{"id":130,"name":"Impact","value":""},{"id":150,"name":"Time of Event (Mountain Time)","value":"11:47:07"},{"id":151,"name":"Denver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4031 --day 2017-02-11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2017-02-11-UncaughtWiMAX.txt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517</v>
      </c>
      <c r="B72" s="7">
        <v>4032</v>
      </c>
      <c r="C72" s="21" t="s">
        <v>193</v>
      </c>
      <c r="D72" s="21" t="s">
        <v>744</v>
      </c>
      <c r="E72" s="13">
        <v>42777.492893518516</v>
      </c>
      <c r="F72" s="13">
        <v>42777.497627314813</v>
      </c>
      <c r="G72" s="7">
        <v>2</v>
      </c>
      <c r="H72" s="21" t="s">
        <v>198</v>
      </c>
      <c r="I72" s="13">
        <v>42777.524398148147</v>
      </c>
      <c r="J72" s="7">
        <v>1</v>
      </c>
      <c r="K72" s="98" t="str">
        <f t="shared" si="23"/>
        <v>4031/4032</v>
      </c>
      <c r="L72" s="21" t="str">
        <f>VLOOKUP(A72,'Trips&amp;Operators'!$C$1:$G$99999,5,FALSE)</f>
        <v>STEWART MICHAEL</v>
      </c>
      <c r="M72" s="6">
        <f t="shared" si="24"/>
        <v>2.6770833334012423E-2</v>
      </c>
      <c r="N72" s="7">
        <f t="shared" si="39"/>
        <v>38.550000000977889</v>
      </c>
      <c r="O72" s="7"/>
      <c r="P72" s="7"/>
      <c r="Q72" s="22"/>
      <c r="R72" s="22"/>
      <c r="S72" s="31">
        <f t="shared" si="25"/>
        <v>1</v>
      </c>
      <c r="T72" s="46" t="str">
        <f t="shared" si="26"/>
        <v>Southbound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 t="shared" si="27"/>
        <v>https://d0f6bd738d7f1b3e5a7ca70fe4ff75f0.us-east-1.aws.found.io/app/kibana#/discover/Steve-Slow-Train-Analysis-(2080s-and-2083s)?_g=(refreshInterval:(display:Off,pause:!f,section:0,value:0),time:(from:'2017-02-11T10:49:46-0700',mode:absolute,to:'2017-02-11T13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2" s="188" t="str">
        <f t="shared" si="28"/>
        <v>N</v>
      </c>
      <c r="X72" s="188">
        <f t="shared" si="41"/>
        <v>1</v>
      </c>
      <c r="Y72" s="62">
        <f t="shared" si="29"/>
        <v>23.296700000000001</v>
      </c>
      <c r="Z72" s="62">
        <f t="shared" si="30"/>
        <v>1.4500000000000001E-2</v>
      </c>
      <c r="AA72" s="62">
        <f t="shared" si="31"/>
        <v>23.2822</v>
      </c>
      <c r="AB72" s="59" t="str">
        <f>VLOOKUP(A72,Enforcements!$C$7:$K$14,8,0)</f>
        <v>Speed (6)</v>
      </c>
      <c r="AC72" s="55" t="str">
        <f>VLOOKUP(A72,Enforcements!$C$7:$E$14,3,0)</f>
        <v>PERMANENT SPEED RESTRICTION</v>
      </c>
      <c r="AD72" s="56" t="str">
        <f t="shared" si="32"/>
        <v>0160-11</v>
      </c>
      <c r="AE72" s="85" t="str">
        <f t="shared" si="33"/>
        <v>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 &amp; 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</v>
      </c>
      <c r="AF72" s="82" t="str">
        <f t="shared" si="34"/>
        <v>"C:\Program Files (x86)\AstroGrep\AstroGrep.exe" /spath="%USERPROFILE%\AppData\Local\Temp\OnboardLogs" /stypes="app*4032*20170211*" /stext=" 19:.+((SYSTEM_STATE.+slice.+state.+changed )|(ment ac)|(multiple cpu faults)|(system.+state.+changed )|(\[timeout)|(PRM\|1\|D)|(kpr)|(kdp)|(\|lc)|(penalty))" /e /r /s</v>
      </c>
      <c r="AG72" s="1" t="str">
        <f t="shared" si="35"/>
        <v>EC</v>
      </c>
      <c r="AH72" s="86" t="str">
        <f t="shared" si="18"/>
        <v>"%USERPROFILE%\Documents\GitHub\eaglep3\Utilities\RefineRTDCRunTimes.py" --tripid 160-11 --locoid 4032 --swversion DE.1.0.8.0 --startMP 204:232967 --initTime 2017-02-11T11:49:46 --startdatetime 2017-02-11T11:56:35 --delay 2 --endMP 204:145 --enddatetime 2017-02-11T12:35:08 --enforcementcount 1 &gt;&gt;C:\Users\stu\Documents\GitHub\eaglep3-reporting\EC\2017-02-11-refined-times.txt</v>
      </c>
      <c r="AI72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{"issue":{"subject":"","project_id":79,"tracker_id":40,"status_id":1,"priority_id":2,"assigned_to_id":23,"start_date":"2017-02-11","description":"","custom_fields":[{"id":1,"name":"Subdivision","value":"EC"},{"id":4,"name":"Milepost","value":"0.0145"},{"id":17,"name":"Train ID","value":"160-11"},{"id":16,"name":"Locomotive ID","value":"4032"},{"id":130,"name":"Impact","value":""},{"id":150,"name":"Time of Event (Mountain Time)","value":"12:35:08"},{"id":151,"name":"Denver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4032 --day 2017-02-11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2017-02-11-UncaughtWiMAX.txt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623</v>
      </c>
      <c r="B73" s="7">
        <v>4025</v>
      </c>
      <c r="C73" s="21" t="s">
        <v>193</v>
      </c>
      <c r="D73" s="21" t="s">
        <v>270</v>
      </c>
      <c r="E73" s="13">
        <v>42777.46502314815</v>
      </c>
      <c r="F73" s="13">
        <v>42777.469097222223</v>
      </c>
      <c r="G73" s="7">
        <v>1</v>
      </c>
      <c r="H73" s="21" t="s">
        <v>298</v>
      </c>
      <c r="I73" s="13">
        <v>42777.501006944447</v>
      </c>
      <c r="J73" s="7">
        <v>1</v>
      </c>
      <c r="K73" s="98" t="str">
        <f t="shared" si="23"/>
        <v>4025/4026</v>
      </c>
      <c r="L73" s="21" t="str">
        <f>VLOOKUP(A73,'Trips&amp;Operators'!$C$1:$G$99999,5,FALSE)</f>
        <v>DAVIS MICHAEL</v>
      </c>
      <c r="M73" s="6">
        <f t="shared" si="24"/>
        <v>3.1909722223645076E-2</v>
      </c>
      <c r="N73" s="7">
        <f t="shared" si="39"/>
        <v>45.95000000204891</v>
      </c>
      <c r="O73" s="7"/>
      <c r="P73" s="7"/>
      <c r="Q73" s="22"/>
      <c r="R73" s="22"/>
      <c r="S73" s="31">
        <f t="shared" si="25"/>
        <v>1</v>
      </c>
      <c r="T73" s="46" t="str">
        <f t="shared" si="26"/>
        <v>NorthBound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 t="shared" si="27"/>
        <v>https://d0f6bd738d7f1b3e5a7ca70fe4ff75f0.us-east-1.aws.found.io/app/kibana#/discover/Steve-Slow-Train-Analysis-(2080s-and-2083s)?_g=(refreshInterval:(display:Off,pause:!f,section:0,value:0),time:(from:'2017-02-11T10:09:38-0700',mode:absolute,to:'2017-02-11T13:01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3" s="188" t="str">
        <f t="shared" si="28"/>
        <v>N</v>
      </c>
      <c r="X73" s="188">
        <f t="shared" si="41"/>
        <v>1</v>
      </c>
      <c r="Y73" s="62">
        <f t="shared" si="29"/>
        <v>4.53E-2</v>
      </c>
      <c r="Z73" s="62">
        <f t="shared" si="30"/>
        <v>23.330400000000001</v>
      </c>
      <c r="AA73" s="62">
        <f t="shared" si="31"/>
        <v>23.2851</v>
      </c>
      <c r="AB73" s="59" t="e">
        <f>VLOOKUP(A73,Enforcements!$C$7:$K$14,8,0)</f>
        <v>#N/A</v>
      </c>
      <c r="AC73" s="55" t="e">
        <f>VLOOKUP(A73,Enforcements!$C$7:$E$14,3,0)</f>
        <v>#N/A</v>
      </c>
      <c r="AD73" s="56" t="str">
        <f t="shared" si="32"/>
        <v>0161-11</v>
      </c>
      <c r="AE73" s="85" t="str">
        <f t="shared" si="33"/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AF73" s="82" t="str">
        <f t="shared" si="34"/>
        <v>"C:\Program Files (x86)\AstroGrep\AstroGrep.exe" /spath="%USERPROFILE%\AppData\Local\Temp\OnboardLogs" /stypes="app*4025*20170211*" /stext=" 19:.+((SYSTEM_STATE.+slice.+state.+changed )|(ment ac)|(multiple cpu faults)|(system.+state.+changed )|(\[timeout)|(PRM\|1\|D)|(kpr)|(kdp)|(\|lc)|(penalty))" /e /r /s</v>
      </c>
      <c r="AG73" s="1" t="str">
        <f t="shared" si="35"/>
        <v>EC</v>
      </c>
      <c r="AH73" s="86" t="str">
        <f t="shared" si="18"/>
        <v>"%USERPROFILE%\Documents\GitHub\eaglep3\Utilities\RefineRTDCRunTimes.py" --tripid 161-11 --locoid 4025 --swversion DE.1.0.8.0 --startMP 204:453 --initTime 2017-02-11T11:09:38 --startdatetime 2017-02-11T11:15:30 --delay 1 --endMP 204:233304 --enddatetime 2017-02-11T12:01:27 --enforcementcount 1 &gt;&gt;C:\Users\stu\Documents\GitHub\eaglep3-reporting\EC\2017-02-11-refined-times.txt</v>
      </c>
      <c r="AI73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{"issue":{"subject":"","project_id":79,"tracker_id":40,"status_id":1,"priority_id":2,"assigned_to_id":23,"start_date":"2017-02-11","description":"","custom_fields":[{"id":1,"name":"Subdivision","value":"EC"},{"id":4,"name":"Milepost","value":"23.3304"},{"id":17,"name":"Train ID","value":"161-11"},{"id":16,"name":"Locomotive ID","value":"4025"},{"id":130,"name":"Impact","value":""},{"id":150,"name":"Time of Event (Mountain Time)","value":"12:01:27"},{"id":151,"name":"Denver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4025 --day 2017-02-11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"%USERPROFILE%\AppData\Local\Temp\OnboardLogs"\RTDC4025\*4025*20170211* | grep -SE "(Enforcement Action)|(\[TIMEOUT)|(CHR.+\|PRM\|1\|D.+(SWITCH|SIGNAL).+UNKNOWN)" - &gt;&gt; 2017-02-11-UncaughtWiMAX.txt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518</v>
      </c>
      <c r="B74" s="7">
        <v>4026</v>
      </c>
      <c r="C74" s="21" t="s">
        <v>193</v>
      </c>
      <c r="D74" s="21" t="s">
        <v>766</v>
      </c>
      <c r="E74" s="13">
        <v>42777.505173611113</v>
      </c>
      <c r="F74" s="13">
        <v>42777.507962962962</v>
      </c>
      <c r="G74" s="7">
        <v>1</v>
      </c>
      <c r="H74" s="21" t="s">
        <v>767</v>
      </c>
      <c r="I74" s="13">
        <v>42777.535474537035</v>
      </c>
      <c r="J74" s="7">
        <v>1</v>
      </c>
      <c r="K74" s="98" t="str">
        <f t="shared" si="23"/>
        <v>4025/4026</v>
      </c>
      <c r="L74" s="21" t="str">
        <f>VLOOKUP(A74,'Trips&amp;Operators'!$C$1:$G$99999,5,FALSE)</f>
        <v>DAVIS MICHAEL</v>
      </c>
      <c r="M74" s="6">
        <f t="shared" si="24"/>
        <v>2.7511574073287193E-2</v>
      </c>
      <c r="N74" s="7">
        <f t="shared" si="39"/>
        <v>39.616666665533558</v>
      </c>
      <c r="O74" s="7"/>
      <c r="P74" s="7"/>
      <c r="Q74" s="22"/>
      <c r="R74" s="22"/>
      <c r="S74" s="31">
        <f t="shared" si="25"/>
        <v>1</v>
      </c>
      <c r="T74" s="46" t="str">
        <f t="shared" si="26"/>
        <v>Southbound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 t="shared" si="27"/>
        <v>https://d0f6bd738d7f1b3e5a7ca70fe4ff75f0.us-east-1.aws.found.io/app/kibana#/discover/Steve-Slow-Train-Analysis-(2080s-and-2083s)?_g=(refreshInterval:(display:Off,pause:!f,section:0,value:0),time:(from:'2017-02-11T11:07:27-0700',mode:absolute,to:'2017-02-11T13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4" s="188" t="str">
        <f t="shared" si="28"/>
        <v>N</v>
      </c>
      <c r="X74" s="188">
        <f t="shared" si="41"/>
        <v>1</v>
      </c>
      <c r="Y74" s="62">
        <f t="shared" si="29"/>
        <v>23.298100000000002</v>
      </c>
      <c r="Z74" s="62">
        <f t="shared" si="30"/>
        <v>0.02</v>
      </c>
      <c r="AA74" s="62">
        <f t="shared" si="31"/>
        <v>23.278100000000002</v>
      </c>
      <c r="AB74" s="59" t="e">
        <f>VLOOKUP(A74,Enforcements!$C$7:$K$14,8,0)</f>
        <v>#N/A</v>
      </c>
      <c r="AC74" s="55" t="e">
        <f>VLOOKUP(A74,Enforcements!$C$7:$E$14,3,0)</f>
        <v>#N/A</v>
      </c>
      <c r="AD74" s="56" t="str">
        <f t="shared" si="32"/>
        <v>0162-11</v>
      </c>
      <c r="AE74" s="85" t="str">
        <f t="shared" si="33"/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AF74" s="82" t="str">
        <f t="shared" si="34"/>
        <v>"C:\Program Files (x86)\AstroGrep\AstroGrep.exe" /spath="%USERPROFILE%\AppData\Local\Temp\OnboardLogs" /stypes="app*4026*20170211*" /stext=" 19:.+((SYSTEM_STATE.+slice.+state.+changed )|(ment ac)|(multiple cpu faults)|(system.+state.+changed )|(\[timeout)|(PRM\|1\|D)|(kpr)|(kdp)|(\|lc)|(penalty))" /e /r /s</v>
      </c>
      <c r="AG74" s="1" t="str">
        <f t="shared" si="35"/>
        <v>EC</v>
      </c>
      <c r="AH74" s="86" t="str">
        <f t="shared" si="18"/>
        <v>"%USERPROFILE%\Documents\GitHub\eaglep3\Utilities\RefineRTDCRunTimes.py" --tripid 162-11 --locoid 4026 --swversion DE.1.0.8.0 --startMP 204:232981 --initTime 2017-02-11T12:07:27 --startdatetime 2017-02-11T12:11:28 --delay 1 --endMP 204:200 --enddatetime 2017-02-11T12:51:05 --enforcementcount 1 &gt;&gt;C:\Users\stu\Documents\GitHub\eaglep3-reporting\EC\2017-02-11-refined-times.txt</v>
      </c>
      <c r="AI74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{"issue":{"subject":"","project_id":79,"tracker_id":40,"status_id":1,"priority_id":2,"assigned_to_id":23,"start_date":"2017-02-11","description":"","custom_fields":[{"id":1,"name":"Subdivision","value":"EC"},{"id":4,"name":"Milepost","value":"0.02"},{"id":17,"name":"Train ID","value":"162-11"},{"id":16,"name":"Locomotive ID","value":"4026"},{"id":130,"name":"Impact","value":""},{"id":150,"name":"Time of Event (Mountain Time)","value":"12:51:05"},{"id":151,"name":"Denver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4026 --day 2017-02-11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"%USERPROFILE%\AppData\Local\Temp\OnboardLogs"\RTDC4026\*4026*20170211* | grep -SE "(Enforcement Action)|(\[TIMEOUT)|(CHR.+\|PRM\|1\|D.+(SWITCH|SIGNAL).+UNKNOWN)" - &gt;&gt; 2017-02-11-UncaughtWiMAX.txt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625</v>
      </c>
      <c r="B75" s="7">
        <v>4040</v>
      </c>
      <c r="C75" s="21" t="s">
        <v>193</v>
      </c>
      <c r="D75" s="21" t="s">
        <v>218</v>
      </c>
      <c r="E75" s="13">
        <v>42777.476921296293</v>
      </c>
      <c r="F75" s="13">
        <v>42777.480127314811</v>
      </c>
      <c r="G75" s="7">
        <v>2</v>
      </c>
      <c r="H75" s="21" t="s">
        <v>219</v>
      </c>
      <c r="I75" s="13">
        <v>42777.504479166666</v>
      </c>
      <c r="J75" s="7">
        <v>1</v>
      </c>
      <c r="K75" s="98" t="str">
        <f t="shared" si="23"/>
        <v>4039/4040</v>
      </c>
      <c r="L75" s="21" t="str">
        <f>VLOOKUP(A75,'Trips&amp;Operators'!$C$1:$G$99999,5,FALSE)</f>
        <v>BRUDER RICHARD</v>
      </c>
      <c r="M75" s="6">
        <f t="shared" si="24"/>
        <v>2.4351851854589768E-2</v>
      </c>
      <c r="N75" s="7">
        <f t="shared" si="39"/>
        <v>35.066666670609266</v>
      </c>
      <c r="O75" s="7"/>
      <c r="P75" s="7"/>
      <c r="Q75" s="22"/>
      <c r="R75" s="22"/>
      <c r="S75" s="31">
        <f t="shared" si="25"/>
        <v>1</v>
      </c>
      <c r="T75" s="46" t="str">
        <f t="shared" si="26"/>
        <v>NorthBound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 t="shared" si="27"/>
        <v>https://d0f6bd738d7f1b3e5a7ca70fe4ff75f0.us-east-1.aws.found.io/app/kibana#/discover/Steve-Slow-Train-Analysis-(2080s-and-2083s)?_g=(refreshInterval:(display:Off,pause:!f,section:0,value:0),time:(from:'2017-02-11T10:26:46-0700',mode:absolute,to:'2017-02-11T13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5" s="188" t="str">
        <f t="shared" si="28"/>
        <v>N</v>
      </c>
      <c r="X75" s="188">
        <f t="shared" si="41"/>
        <v>1</v>
      </c>
      <c r="Y75" s="62">
        <f t="shared" si="29"/>
        <v>4.6899999999999997E-2</v>
      </c>
      <c r="Z75" s="62">
        <f t="shared" si="30"/>
        <v>23.329899999999999</v>
      </c>
      <c r="AA75" s="62">
        <f t="shared" si="31"/>
        <v>23.282999999999998</v>
      </c>
      <c r="AB75" s="59" t="e">
        <f>VLOOKUP(A75,Enforcements!$C$7:$K$14,8,0)</f>
        <v>#N/A</v>
      </c>
      <c r="AC75" s="55" t="e">
        <f>VLOOKUP(A75,Enforcements!$C$7:$E$14,3,0)</f>
        <v>#N/A</v>
      </c>
      <c r="AD75" s="56" t="str">
        <f t="shared" si="32"/>
        <v>0163-11</v>
      </c>
      <c r="AE75" s="85" t="str">
        <f t="shared" si="33"/>
        <v>aws s3 cp s3://rtdc.mdm.uploadarchive.raw/RTDC4040/ "%USERPROFILE%\AppData\Local\Temp\OnboardLogs"\RTDC4040\2017-02-11 --exclude "*" --recursive --include "*20170211*" &amp; "%USERPROFILE%\Documents\GitHub\mrs-test-scripts\Headless Mode &amp; Sideloading\WalkAndUnGZ.bat" "%USERPROFILE%\AppData\Local\Temp\OnboardLogs"\RTDC4040\2017-02-11 &amp; aws s3 cp s3://rtdc.mdm.uploadarchive.raw/RTDC4040/ "%USERPROFILE%\AppData\Local\Temp\OnboardLogs"\RTDC4040\2017-02-12 --exclude "*" --recursive --include "*20170212*" &amp; "%USERPROFILE%\Documents\GitHub\mrs-test-scripts\Headless Mode &amp; Sideloading\WalkAndUnGZ.bat" "%USERPROFILE%\AppData\Local\Temp\OnboardLogs"\RTDC4040\2017-02-12</v>
      </c>
      <c r="AF75" s="82" t="str">
        <f t="shared" si="34"/>
        <v>"C:\Program Files (x86)\AstroGrep\AstroGrep.exe" /spath="%USERPROFILE%\AppData\Local\Temp\OnboardLogs" /stypes="app*4040*20170211*" /stext=" 19:.+((SYSTEM_STATE.+slice.+state.+changed )|(ment ac)|(multiple cpu faults)|(system.+state.+changed )|(\[timeout)|(PRM\|1\|D)|(kpr)|(kdp)|(\|lc)|(penalty))" /e /r /s</v>
      </c>
      <c r="AG75" s="1" t="str">
        <f t="shared" si="35"/>
        <v>EC</v>
      </c>
      <c r="AH75" s="86" t="str">
        <f t="shared" si="18"/>
        <v>"%USERPROFILE%\Documents\GitHub\eaglep3\Utilities\RefineRTDCRunTimes.py" --tripid 163-11 --locoid 4040 --swversion DE.1.0.8.0 --startMP 204:469 --initTime 2017-02-11T11:26:46 --startdatetime 2017-02-11T11:31:23 --delay 2 --endMP 204:233299 --enddatetime 2017-02-11T12:06:27 --enforcementcount 1 &gt;&gt;C:\Users\stu\Documents\GitHub\eaglep3-reporting\EC\2017-02-11-refined-times.txt</v>
      </c>
      <c r="AI75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{"issue":{"subject":"","project_id":79,"tracker_id":40,"status_id":1,"priority_id":2,"assigned_to_id":23,"start_date":"2017-02-11","description":"","custom_fields":[{"id":1,"name":"Subdivision","value":"EC"},{"id":4,"name":"Milepost","value":"23.3299"},{"id":17,"name":"Train ID","value":"163-11"},{"id":16,"name":"Locomotive ID","value":"4040"},{"id":130,"name":"Impact","value":""},{"id":150,"name":"Time of Event (Mountain Time)","value":"12:06:27"},{"id":151,"name":"Denver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4040 --day 2017-02-11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"%USERPROFILE%\AppData\Local\Temp\OnboardLogs"\RTDC4040\*4040*20170211* | grep -SE "(Enforcement Action)|(\[TIMEOUT)|(CHR.+\|PRM\|1\|D.+(SWITCH|SIGNAL).+UNKNOWN)" - &gt;&gt; 2017-02-11-UncaughtWiMAX.txt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634</v>
      </c>
      <c r="B76" s="7">
        <v>4039</v>
      </c>
      <c r="C76" s="21" t="s">
        <v>193</v>
      </c>
      <c r="D76" s="21" t="s">
        <v>361</v>
      </c>
      <c r="E76" s="13">
        <v>42777.513298611113</v>
      </c>
      <c r="F76" s="13">
        <v>42777.518229166664</v>
      </c>
      <c r="G76" s="7">
        <v>2</v>
      </c>
      <c r="H76" s="21" t="s">
        <v>221</v>
      </c>
      <c r="I76" s="13">
        <v>42777.544537037036</v>
      </c>
      <c r="J76" s="7">
        <v>1</v>
      </c>
      <c r="K76" s="98" t="str">
        <f t="shared" si="23"/>
        <v>4039/4040</v>
      </c>
      <c r="L76" s="21" t="str">
        <f>VLOOKUP(A76,'Trips&amp;Operators'!$C$1:$G$99999,5,FALSE)</f>
        <v>BRUDER RICHARD</v>
      </c>
      <c r="M76" s="6">
        <f t="shared" si="24"/>
        <v>2.6307870371965691E-2</v>
      </c>
      <c r="N76" s="7">
        <f t="shared" si="39"/>
        <v>37.883333335630596</v>
      </c>
      <c r="O76" s="7"/>
      <c r="P76" s="7"/>
      <c r="Q76" s="22"/>
      <c r="R76" s="22"/>
      <c r="S76" s="31">
        <f t="shared" si="25"/>
        <v>1</v>
      </c>
      <c r="T76" s="46" t="str">
        <f t="shared" si="26"/>
        <v>Southbound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 t="shared" si="27"/>
        <v>https://d0f6bd738d7f1b3e5a7ca70fe4ff75f0.us-east-1.aws.found.io/app/kibana#/discover/Steve-Slow-Train-Analysis-(2080s-and-2083s)?_g=(refreshInterval:(display:Off,pause:!f,section:0,value:0),time:(from:'2017-02-11T11:19:09-0700',mode:absolute,to:'2017-02-11T14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6" s="188" t="str">
        <f t="shared" si="28"/>
        <v>N</v>
      </c>
      <c r="X76" s="188">
        <f t="shared" si="41"/>
        <v>1</v>
      </c>
      <c r="Y76" s="62">
        <f t="shared" si="29"/>
        <v>23.298400000000001</v>
      </c>
      <c r="Z76" s="62">
        <f t="shared" si="30"/>
        <v>1.54E-2</v>
      </c>
      <c r="AA76" s="62">
        <f t="shared" si="31"/>
        <v>23.283000000000001</v>
      </c>
      <c r="AB76" s="59" t="e">
        <f>VLOOKUP(A76,Enforcements!$C$7:$K$14,8,0)</f>
        <v>#N/A</v>
      </c>
      <c r="AC76" s="55" t="e">
        <f>VLOOKUP(A76,Enforcements!$C$7:$E$14,3,0)</f>
        <v>#N/A</v>
      </c>
      <c r="AD76" s="56" t="str">
        <f t="shared" si="32"/>
        <v>0164-11</v>
      </c>
      <c r="AE76" s="85" t="str">
        <f t="shared" si="33"/>
        <v>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 &amp; aws s3 cp s3://rtdc.mdm.uploadarchive.raw/RTDC4039/ "%USERPROFILE%\AppData\Local\Temp\OnboardLogs"\RTDC4039\2017-02-12 --exclude "*" --recursive --include "*20170212*" &amp; "%USERPROFILE%\Documents\GitHub\mrs-test-scripts\Headless Mode &amp; Sideloading\WalkAndUnGZ.bat" "%USERPROFILE%\AppData\Local\Temp\OnboardLogs"\RTDC4039\2017-02-12</v>
      </c>
      <c r="AF76" s="82" t="str">
        <f t="shared" si="34"/>
        <v>"C:\Program Files (x86)\AstroGrep\AstroGrep.exe" /spath="%USERPROFILE%\AppData\Local\Temp\OnboardLogs" /stypes="app*4039*20170211*" /stext=" 20:.+((SYSTEM_STATE.+slice.+state.+changed )|(ment ac)|(multiple cpu faults)|(system.+state.+changed )|(\[timeout)|(PRM\|1\|D)|(kpr)|(kdp)|(\|lc)|(penalty))" /e /r /s</v>
      </c>
      <c r="AG76" s="1" t="str">
        <f t="shared" si="35"/>
        <v>EC</v>
      </c>
      <c r="AH76" s="86" t="str">
        <f t="shared" si="18"/>
        <v>"%USERPROFILE%\Documents\GitHub\eaglep3\Utilities\RefineRTDCRunTimes.py" --tripid 164-11 --locoid 4039 --swversion DE.1.0.8.0 --startMP 204:232984 --initTime 2017-02-11T12:19:09 --startdatetime 2017-02-11T12:26:15 --delay 2 --endMP 204:154 --enddatetime 2017-02-11T13:04:08 --enforcementcount 1 &gt;&gt;C:\Users\stu\Documents\GitHub\eaglep3-reporting\EC\2017-02-11-refined-times.txt</v>
      </c>
      <c r="AI76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{"issue":{"subject":"","project_id":79,"tracker_id":40,"status_id":1,"priority_id":2,"assigned_to_id":23,"start_date":"2017-02-11","description":"","custom_fields":[{"id":1,"name":"Subdivision","value":"EC"},{"id":4,"name":"Milepost","value":"0.0154"},{"id":17,"name":"Train ID","value":"164-11"},{"id":16,"name":"Locomotive ID","value":"4039"},{"id":130,"name":"Impact","value":""},{"id":150,"name":"Time of Event (Mountain Time)","value":"13:04:08"},{"id":151,"name":"Denver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4039 --day 2017-02-11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"%USERPROFILE%\AppData\Local\Temp\OnboardLogs"\RTDC4039\*4039*20170211* | grep -SE "(Enforcement Action)|(\[TIMEOUT)|(CHR.+\|PRM\|1\|D.+(SWITCH|SIGNAL).+UNKNOWN)" - &gt;&gt; 2017-02-11-UncaughtWiMAX.txt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628</v>
      </c>
      <c r="B77" s="7">
        <v>4027</v>
      </c>
      <c r="C77" s="21" t="s">
        <v>193</v>
      </c>
      <c r="D77" s="21" t="s">
        <v>206</v>
      </c>
      <c r="E77" s="13">
        <v>42777.484907407408</v>
      </c>
      <c r="F77" s="13">
        <v>42777.489768518521</v>
      </c>
      <c r="G77" s="7">
        <v>1</v>
      </c>
      <c r="H77" s="21" t="s">
        <v>332</v>
      </c>
      <c r="I77" s="13">
        <v>42777.515416666669</v>
      </c>
      <c r="J77" s="7">
        <v>1</v>
      </c>
      <c r="K77" s="98" t="str">
        <f t="shared" ref="K77:K108" si="42">IF(ISEVEN(B77),(B77-1)&amp;"/"&amp;B77,B77&amp;"/"&amp;(B77+1))</f>
        <v>4027/4028</v>
      </c>
      <c r="L77" s="21" t="str">
        <f>VLOOKUP(A77,'Trips&amp;Operators'!$C$1:$G$99999,5,FALSE)</f>
        <v>KILLION DAVID</v>
      </c>
      <c r="M77" s="6">
        <f t="shared" ref="M77:M108" si="43">I77-F77</f>
        <v>2.5648148148320615E-2</v>
      </c>
      <c r="N77" s="7">
        <f t="shared" si="39"/>
        <v>36.933333333581686</v>
      </c>
      <c r="O77" s="7"/>
      <c r="P77" s="7"/>
      <c r="Q77" s="22"/>
      <c r="R77" s="22"/>
      <c r="S77" s="31">
        <f t="shared" ref="S77:S108" si="44">SUM(U77:U77)/IF(AG77="EC",12,1)</f>
        <v>1</v>
      </c>
      <c r="T77" s="46" t="str">
        <f t="shared" ref="T77:T108" si="45">IF(ISEVEN(LEFT(AD77,4)),"Southbound","NorthBound")</f>
        <v>NorthBound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 t="shared" ref="V77:V108" si="4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-11T10:38:16-0700',mode:absolute,to:'2017-02-11T13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7" s="188" t="str">
        <f t="shared" ref="W77:W108" si="47">IF(AA77&lt;IF(AG77="EC",23,5.65),"Y","N")</f>
        <v>N</v>
      </c>
      <c r="X77" s="188">
        <f t="shared" si="41"/>
        <v>1</v>
      </c>
      <c r="Y77" s="62">
        <f t="shared" ref="Y77:Y103" si="48">RIGHT(D77,LEN(D77)-4)/10000</f>
        <v>4.6199999999999998E-2</v>
      </c>
      <c r="Z77" s="62">
        <f t="shared" ref="Z77:Z103" si="49">RIGHT(H77,LEN(H77)-4)/10000</f>
        <v>23.329699999999999</v>
      </c>
      <c r="AA77" s="62">
        <f t="shared" ref="AA77:AA108" si="50">ABS(Z77-Y77)</f>
        <v>23.2835</v>
      </c>
      <c r="AB77" s="59" t="e">
        <f>VLOOKUP(A77,Enforcements!$C$7:$K$14,8,0)</f>
        <v>#N/A</v>
      </c>
      <c r="AC77" s="55" t="e">
        <f>VLOOKUP(A77,Enforcements!$C$7:$E$14,3,0)</f>
        <v>#N/A</v>
      </c>
      <c r="AD77" s="56" t="str">
        <f t="shared" ref="AD77:AD108" si="51">IF(LEN(A77)=6,"0"&amp;A77,A77)</f>
        <v>0165-11</v>
      </c>
      <c r="AE77" s="85" t="str">
        <f t="shared" ref="AE77:AE108" si="5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 &amp; 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</v>
      </c>
      <c r="AF77" s="82" t="str">
        <f t="shared" ref="AF77:AF108" si="5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/stypes="app*4027*20170211*" /stext=" 19:.+((SYSTEM_STATE.+slice.+state.+changed )|(ment ac)|(multiple cpu faults)|(system.+state.+changed )|(\[timeout)|(PRM\|1\|D)|(kpr)|(kdp)|(\|lc)|(penalty))" /e /r /s</v>
      </c>
      <c r="AG77" s="1" t="str">
        <f t="shared" ref="AG77:AG108" si="54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165-11 --locoid 4027 --swversion DE.1.0.8.0 --startMP 204:462 --initTime 2017-02-11T11:38:16 --startdatetime 2017-02-11T11:45:16 --delay 1 --endMP 204:233297 --enddatetime 2017-02-11T12:22:12 --enforcementcount 1 &gt;&gt;C:\Users\stu\Documents\GitHub\eaglep3-reporting\EC\2017-02-11-refined-times.txt</v>
      </c>
      <c r="AI77" s="108" t="str">
        <f t="shared" si="19"/>
        <v>echo {"issue":{"subject":"","project_id":79,"tracker_id":40,"status_id":1,"priority_id":2,"assigned_to_id":23,"start_date":"2017-02-11","description":"","custom_fields":[{"id":1,"name":"Subdivision","value":"EC"},{"id":4,"name":"Milepost","value":"23.3297"},{"id":17,"name":"Train ID","value":"165-11"},{"id":16,"name":"Locomotive ID","value":"4027"},{"id":130,"name":"Impact","value":""},{"id":150,"name":"Time of Event (Mountain Time)","value":"12:22:12"},{"id":151,"name":"Denver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4027 --day 2017-02-11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"%USERPROFILE%\AppData\Local\Temp\OnboardLogs"\RTDC4027\*4027*20170211* | grep -SE "(Enforcement Action)|(\[TIMEOUT)|(CHR.+\|PRM\|1\|D.+(SWITCH|SIGNAL).+UNKNOWN)" - &gt;&gt; 2017-02-11-UncaughtWiMAX.txt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636</v>
      </c>
      <c r="B78" s="7">
        <v>4028</v>
      </c>
      <c r="C78" s="21" t="s">
        <v>193</v>
      </c>
      <c r="D78" s="21" t="s">
        <v>341</v>
      </c>
      <c r="E78" s="13">
        <v>42777.523923611108</v>
      </c>
      <c r="F78" s="13">
        <v>42777.529004629629</v>
      </c>
      <c r="G78" s="7">
        <v>1</v>
      </c>
      <c r="H78" s="21" t="s">
        <v>184</v>
      </c>
      <c r="I78" s="13">
        <v>42777.555266203701</v>
      </c>
      <c r="J78" s="7">
        <v>1</v>
      </c>
      <c r="K78" s="98" t="str">
        <f t="shared" si="42"/>
        <v>4027/4028</v>
      </c>
      <c r="L78" s="21" t="str">
        <f>VLOOKUP(A78,'Trips&amp;Operators'!$C$1:$G$99999,5,FALSE)</f>
        <v>KILLION DAVID</v>
      </c>
      <c r="M78" s="6">
        <f t="shared" si="43"/>
        <v>2.626157407212304E-2</v>
      </c>
      <c r="N78" s="7">
        <f t="shared" si="39"/>
        <v>37.816666663857177</v>
      </c>
      <c r="O78" s="7"/>
      <c r="P78" s="7"/>
      <c r="Q78" s="22"/>
      <c r="R78" s="22"/>
      <c r="S78" s="31">
        <f t="shared" si="44"/>
        <v>1</v>
      </c>
      <c r="T78" s="46" t="str">
        <f t="shared" si="45"/>
        <v>Southbound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 t="shared" si="46"/>
        <v>https://d0f6bd738d7f1b3e5a7ca70fe4ff75f0.us-east-1.aws.found.io/app/kibana#/discover/Steve-Slow-Train-Analysis-(2080s-and-2083s)?_g=(refreshInterval:(display:Off,pause:!f,section:0,value:0),time:(from:'2017-02-11T11:34:27-0700',mode:absolute,to:'2017-02-11T14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8" s="188" t="str">
        <f t="shared" si="47"/>
        <v>N</v>
      </c>
      <c r="X78" s="188">
        <f t="shared" si="41"/>
        <v>1</v>
      </c>
      <c r="Y78" s="62">
        <f t="shared" si="48"/>
        <v>23.298300000000001</v>
      </c>
      <c r="Z78" s="62">
        <f t="shared" si="49"/>
        <v>1.49E-2</v>
      </c>
      <c r="AA78" s="62">
        <f t="shared" si="50"/>
        <v>23.2834</v>
      </c>
      <c r="AB78" s="59" t="e">
        <f>VLOOKUP(A78,Enforcements!$C$7:$K$14,8,0)</f>
        <v>#N/A</v>
      </c>
      <c r="AC78" s="55" t="e">
        <f>VLOOKUP(A78,Enforcements!$C$7:$E$14,3,0)</f>
        <v>#N/A</v>
      </c>
      <c r="AD78" s="56" t="str">
        <f t="shared" si="51"/>
        <v>0166-11</v>
      </c>
      <c r="AE78" s="85" t="str">
        <f t="shared" si="52"/>
        <v>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 &amp; 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</v>
      </c>
      <c r="AF78" s="82" t="str">
        <f t="shared" si="53"/>
        <v>"C:\Program Files (x86)\AstroGrep\AstroGrep.exe" /spath="%USERPROFILE%\AppData\Local\Temp\OnboardLogs" /stypes="app*4028*20170211*" /stext=" 20:.+((SYSTEM_STATE.+slice.+state.+changed )|(ment ac)|(multiple cpu faults)|(system.+state.+changed )|(\[timeout)|(PRM\|1\|D)|(kpr)|(kdp)|(\|lc)|(penalty))" /e /r /s</v>
      </c>
      <c r="AG78" s="1" t="str">
        <f t="shared" si="54"/>
        <v>EC</v>
      </c>
      <c r="AH78" s="86" t="str">
        <f t="shared" ref="AH78:AH143" si="5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166-11 --locoid 4028 --swversion DE.1.0.8.0 --startMP 204:232983 --initTime 2017-02-11T12:34:27 --startdatetime 2017-02-11T12:41:46 --delay 1 --endMP 204:149 --enddatetime 2017-02-11T13:19:35 --enforcementcount 1 &gt;&gt;C:\Users\stu\Documents\GitHub\eaglep3-reporting\EC\2017-02-11-refined-times.txt</v>
      </c>
      <c r="AI78" s="108" t="str">
        <f t="shared" ref="AI78:AI143" si="5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{"issue":{"subject":"","project_id":79,"tracker_id":40,"status_id":1,"priority_id":2,"assigned_to_id":23,"start_date":"2017-02-11","description":"","custom_fields":[{"id":1,"name":"Subdivision","value":"EC"},{"id":4,"name":"Milepost","value":"0.0149"},{"id":17,"name":"Train ID","value":"166-11"},{"id":16,"name":"Locomotive ID","value":"4028"},{"id":130,"name":"Impact","value":""},{"id":150,"name":"Time of Event (Mountain Time)","value":"13:19:35"},{"id":151,"name":"Denver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3" si="57">"start /low /b "&amp;dls3logs&amp;" --loco "&amp;B78&amp;" --day "&amp;TEXT(F78,"YYYY-MM-DD")</f>
        <v>start /low /b %USERPROFILE%\Documents\GitHub\eaglep3\Utilities\DownloadLogsFromS3.py --loco 4028 --day 2017-02-11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"%USERPROFILE%\AppData\Local\Temp\OnboardLogs"\RTDC4028\*4028*20170211* | grep -SE "(Enforcement Action)|(\[TIMEOUT)|(CHR.+\|PRM\|1\|D.+(SWITCH|SIGNAL).+UNKNOWN)" - &gt;&gt; 2017-02-11-UncaughtWiMAX.txt</v>
      </c>
    </row>
    <row r="79" spans="1:91" x14ac:dyDescent="0.25">
      <c r="A79" s="33" t="s">
        <v>629</v>
      </c>
      <c r="B79" s="7">
        <v>4020</v>
      </c>
      <c r="C79" s="21" t="s">
        <v>193</v>
      </c>
      <c r="D79" s="21" t="s">
        <v>270</v>
      </c>
      <c r="E79" s="13">
        <v>42777.49422453704</v>
      </c>
      <c r="F79" s="13">
        <v>42777.500173611108</v>
      </c>
      <c r="G79" s="7">
        <v>4</v>
      </c>
      <c r="H79" s="21" t="s">
        <v>489</v>
      </c>
      <c r="I79" s="13">
        <v>42777.524791666663</v>
      </c>
      <c r="J79" s="7">
        <v>1</v>
      </c>
      <c r="K79" s="98" t="str">
        <f t="shared" si="42"/>
        <v>4019/4020</v>
      </c>
      <c r="L79" s="21" t="str">
        <f>VLOOKUP(A79,'Trips&amp;Operators'!$C$1:$G$99999,5,FALSE)</f>
        <v>LEVIN SCOTT</v>
      </c>
      <c r="M79" s="6">
        <f t="shared" si="43"/>
        <v>2.4618055555038154E-2</v>
      </c>
      <c r="N79" s="7">
        <f t="shared" si="39"/>
        <v>35.449999999254942</v>
      </c>
      <c r="O79" s="7"/>
      <c r="P79" s="7"/>
      <c r="Q79" s="22"/>
      <c r="R79" s="22"/>
      <c r="S79" s="31">
        <f t="shared" si="44"/>
        <v>1</v>
      </c>
      <c r="T79" s="46" t="str">
        <f t="shared" si="45"/>
        <v>NorthBound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 t="shared" si="46"/>
        <v>https://d0f6bd738d7f1b3e5a7ca70fe4ff75f0.us-east-1.aws.found.io/app/kibana#/discover/Steve-Slow-Train-Analysis-(2080s-and-2083s)?_g=(refreshInterval:(display:Off,pause:!f,section:0,value:0),time:(from:'2017-02-11T10:51:41-0700',mode:absolute,to:'2017-02-11T13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9" s="188" t="str">
        <f t="shared" si="47"/>
        <v>N</v>
      </c>
      <c r="X79" s="188">
        <f t="shared" si="41"/>
        <v>1</v>
      </c>
      <c r="Y79" s="62">
        <f t="shared" si="48"/>
        <v>4.53E-2</v>
      </c>
      <c r="Z79" s="62">
        <f t="shared" si="49"/>
        <v>23.3322</v>
      </c>
      <c r="AA79" s="62">
        <f t="shared" si="50"/>
        <v>23.286899999999999</v>
      </c>
      <c r="AB79" s="59" t="e">
        <f>VLOOKUP(A79,Enforcements!$C$7:$K$14,8,0)</f>
        <v>#N/A</v>
      </c>
      <c r="AC79" s="55" t="e">
        <f>VLOOKUP(A79,Enforcements!$C$7:$E$14,3,0)</f>
        <v>#N/A</v>
      </c>
      <c r="AD79" s="56" t="str">
        <f t="shared" si="51"/>
        <v>0167-11</v>
      </c>
      <c r="AE79" s="85" t="str">
        <f t="shared" si="52"/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AF79" s="82" t="str">
        <f t="shared" si="53"/>
        <v>"C:\Program Files (x86)\AstroGrep\AstroGrep.exe" /spath="%USERPROFILE%\AppData\Local\Temp\OnboardLogs" /stypes="app*4020*20170211*" /stext=" 19:.+((SYSTEM_STATE.+slice.+state.+changed )|(ment ac)|(multiple cpu faults)|(system.+state.+changed )|(\[timeout)|(PRM\|1\|D)|(kpr)|(kdp)|(\|lc)|(penalty))" /e /r /s</v>
      </c>
      <c r="AG79" s="1" t="str">
        <f t="shared" si="54"/>
        <v>EC</v>
      </c>
      <c r="AH79" s="86" t="str">
        <f t="shared" si="55"/>
        <v>"%USERPROFILE%\Documents\GitHub\eaglep3\Utilities\RefineRTDCRunTimes.py" --tripid 167-11 --locoid 4020 --swversion DE.1.0.8.0 --startMP 204:453 --initTime 2017-02-11T11:51:41 --startdatetime 2017-02-11T12:00:15 --delay 4 --endMP 204:233322 --enddatetime 2017-02-11T12:35:42 --enforcementcount 1 &gt;&gt;C:\Users\stu\Documents\GitHub\eaglep3-reporting\EC\2017-02-11-refined-times.txt</v>
      </c>
      <c r="AI79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{"issue":{"subject":"","project_id":79,"tracker_id":40,"status_id":1,"priority_id":2,"assigned_to_id":23,"start_date":"2017-02-11","description":"","custom_fields":[{"id":1,"name":"Subdivision","value":"EC"},{"id":4,"name":"Milepost","value":"23.3322"},{"id":17,"name":"Train ID","value":"167-11"},{"id":16,"name":"Locomotive ID","value":"4020"},{"id":130,"name":"Impact","value":""},{"id":150,"name":"Time of Event (Mountain Time)","value":"12:35:42"},{"id":151,"name":"Denver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57"/>
        <v>start /low /b %USERPROFILE%\Documents\GitHub\eaglep3\Utilities\DownloadLogsFromS3.py --loco 4020 --day 2017-02-11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"%USERPROFILE%\AppData\Local\Temp\OnboardLogs"\RTDC4020\*4020*20170211* | grep -SE "(Enforcement Action)|(\[TIMEOUT)|(CHR.+\|PRM\|1\|D.+(SWITCH|SIGNAL).+UNKNOWN)" - &gt;&gt; 2017-02-11-UncaughtWiMAX.txt</v>
      </c>
    </row>
    <row r="80" spans="1:91" s="20" customFormat="1" x14ac:dyDescent="0.25">
      <c r="A80" s="33" t="s">
        <v>639</v>
      </c>
      <c r="B80" s="7">
        <v>4019</v>
      </c>
      <c r="C80" s="21" t="s">
        <v>193</v>
      </c>
      <c r="D80" s="21" t="s">
        <v>440</v>
      </c>
      <c r="E80" s="13">
        <v>42777.532175925924</v>
      </c>
      <c r="F80" s="13">
        <v>42777.539050925923</v>
      </c>
      <c r="G80" s="7">
        <v>1</v>
      </c>
      <c r="H80" s="21" t="s">
        <v>768</v>
      </c>
      <c r="I80" s="13">
        <v>42777.565324074072</v>
      </c>
      <c r="J80" s="7">
        <v>1</v>
      </c>
      <c r="K80" s="98" t="str">
        <f t="shared" si="42"/>
        <v>4019/4020</v>
      </c>
      <c r="L80" s="21" t="str">
        <f>VLOOKUP(A80,'Trips&amp;Operators'!$C$1:$G$99999,5,FALSE)</f>
        <v>LEVIN SCOTT</v>
      </c>
      <c r="M80" s="6">
        <f t="shared" si="43"/>
        <v>2.6273148148902692E-2</v>
      </c>
      <c r="N80" s="7">
        <f t="shared" si="39"/>
        <v>37.833333334419876</v>
      </c>
      <c r="O80" s="7"/>
      <c r="P80" s="7"/>
      <c r="Q80" s="22"/>
      <c r="R80" s="22"/>
      <c r="S80" s="31">
        <f t="shared" si="44"/>
        <v>1</v>
      </c>
      <c r="T80" s="46" t="str">
        <f t="shared" si="45"/>
        <v>Southbound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 t="shared" si="46"/>
        <v>https://d0f6bd738d7f1b3e5a7ca70fe4ff75f0.us-east-1.aws.found.io/app/kibana#/discover/Steve-Slow-Train-Analysis-(2080s-and-2083s)?_g=(refreshInterval:(display:Off,pause:!f,section:0,value:0),time:(from:'2017-02-11T11:46:20-0700',mode:absolute,to:'2017-02-11T14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0" s="188" t="str">
        <f t="shared" si="47"/>
        <v>N</v>
      </c>
      <c r="X80" s="188">
        <f t="shared" si="41"/>
        <v>1</v>
      </c>
      <c r="Y80" s="62">
        <f t="shared" si="48"/>
        <v>23.3</v>
      </c>
      <c r="Z80" s="62">
        <f t="shared" si="49"/>
        <v>9.4000000000000004E-3</v>
      </c>
      <c r="AA80" s="62">
        <f t="shared" si="50"/>
        <v>23.290600000000001</v>
      </c>
      <c r="AB80" s="59" t="e">
        <f>VLOOKUP(A80,Enforcements!$C$7:$K$14,8,0)</f>
        <v>#N/A</v>
      </c>
      <c r="AC80" s="55" t="e">
        <f>VLOOKUP(A80,Enforcements!$C$7:$E$14,3,0)</f>
        <v>#N/A</v>
      </c>
      <c r="AD80" s="56" t="str">
        <f t="shared" si="51"/>
        <v>0168-11</v>
      </c>
      <c r="AE80" s="85" t="str">
        <f t="shared" si="52"/>
        <v>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 &amp; 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</v>
      </c>
      <c r="AF80" s="82" t="str">
        <f t="shared" si="53"/>
        <v>"C:\Program Files (x86)\AstroGrep\AstroGrep.exe" /spath="%USERPROFILE%\AppData\Local\Temp\OnboardLogs" /stypes="app*4019*20170211*" /stext=" 20:.+((SYSTEM_STATE.+slice.+state.+changed )|(ment ac)|(multiple cpu faults)|(system.+state.+changed )|(\[timeout)|(PRM\|1\|D)|(kpr)|(kdp)|(\|lc)|(penalty))" /e /r /s</v>
      </c>
      <c r="AG80" s="1" t="str">
        <f t="shared" si="54"/>
        <v>EC</v>
      </c>
      <c r="AH80" s="86" t="str">
        <f t="shared" si="55"/>
        <v>"%USERPROFILE%\Documents\GitHub\eaglep3\Utilities\RefineRTDCRunTimes.py" --tripid 168-11 --locoid 4019 --swversion DE.1.0.8.0 --startMP 204:233000 --initTime 2017-02-11T12:46:20 --startdatetime 2017-02-11T12:56:14 --delay 1 --endMP 204:94 --enddatetime 2017-02-11T13:34:04 --enforcementcount 1 &gt;&gt;C:\Users\stu\Documents\GitHub\eaglep3-reporting\EC\2017-02-11-refined-times.txt</v>
      </c>
      <c r="AI80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{"issue":{"subject":"","project_id":79,"tracker_id":40,"status_id":1,"priority_id":2,"assigned_to_id":23,"start_date":"2017-02-11","description":"","custom_fields":[{"id":1,"name":"Subdivision","value":"EC"},{"id":4,"name":"Milepost","value":"0.0094"},{"id":17,"name":"Train ID","value":"168-11"},{"id":16,"name":"Locomotive ID","value":"4019"},{"id":130,"name":"Impact","value":""},{"id":150,"name":"Time of Event (Mountain Time)","value":"13:34:04"},{"id":151,"name":"Denver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57"/>
        <v>start /low /b %USERPROFILE%\Documents\GitHub\eaglep3\Utilities\DownloadLogsFromS3.py --loco 4019 --day 2017-02-11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"%USERPROFILE%\AppData\Local\Temp\OnboardLogs"\RTDC4019\*4019*20170211* | grep -SE "(Enforcement Action)|(\[TIMEOUT)|(CHR.+\|PRM\|1\|D.+(SWITCH|SIGNAL).+UNKNOWN)" - &gt;&gt; 2017-02-11-UncaughtWiMAX.txt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633</v>
      </c>
      <c r="B81" s="7">
        <v>4029</v>
      </c>
      <c r="C81" s="21" t="s">
        <v>193</v>
      </c>
      <c r="D81" s="21" t="s">
        <v>769</v>
      </c>
      <c r="E81" s="13">
        <v>42777.505185185182</v>
      </c>
      <c r="F81" s="13">
        <v>42777.510659722226</v>
      </c>
      <c r="G81" s="7">
        <v>1</v>
      </c>
      <c r="H81" s="21" t="s">
        <v>770</v>
      </c>
      <c r="I81" s="13">
        <v>42777.535891203705</v>
      </c>
      <c r="J81" s="7">
        <v>1</v>
      </c>
      <c r="K81" s="98" t="str">
        <f t="shared" si="42"/>
        <v>4029/4030</v>
      </c>
      <c r="L81" s="21" t="str">
        <f>VLOOKUP(A81,'Trips&amp;Operators'!$C$1:$G$99999,5,FALSE)</f>
        <v>ROMERO CHAD</v>
      </c>
      <c r="M81" s="6">
        <f t="shared" si="43"/>
        <v>2.5231481478840578E-2</v>
      </c>
      <c r="N81" s="7">
        <f t="shared" si="39"/>
        <v>36.333333329530433</v>
      </c>
      <c r="O81" s="7"/>
      <c r="P81" s="7"/>
      <c r="Q81" s="22"/>
      <c r="R81" s="22"/>
      <c r="S81" s="31">
        <f t="shared" si="44"/>
        <v>1</v>
      </c>
      <c r="T81" s="46" t="str">
        <f t="shared" si="45"/>
        <v>NorthBound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 t="shared" si="46"/>
        <v>https://d0f6bd738d7f1b3e5a7ca70fe4ff75f0.us-east-1.aws.found.io/app/kibana#/discover/Steve-Slow-Train-Analysis-(2080s-and-2083s)?_g=(refreshInterval:(display:Off,pause:!f,section:0,value:0),time:(from:'2017-02-11T11:07:28-0700',mode:absolute,to:'2017-02-11T13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1" s="188" t="str">
        <f t="shared" si="47"/>
        <v>N</v>
      </c>
      <c r="X81" s="188">
        <f t="shared" si="41"/>
        <v>1</v>
      </c>
      <c r="Y81" s="62">
        <f t="shared" si="48"/>
        <v>4.0899999999999999E-2</v>
      </c>
      <c r="Z81" s="62">
        <f t="shared" si="49"/>
        <v>23.338699999999999</v>
      </c>
      <c r="AA81" s="62">
        <f t="shared" si="50"/>
        <v>23.297799999999999</v>
      </c>
      <c r="AB81" s="59" t="e">
        <f>VLOOKUP(A81,Enforcements!$C$7:$K$14,8,0)</f>
        <v>#N/A</v>
      </c>
      <c r="AC81" s="55" t="e">
        <f>VLOOKUP(A81,Enforcements!$C$7:$E$14,3,0)</f>
        <v>#N/A</v>
      </c>
      <c r="AD81" s="56" t="str">
        <f t="shared" si="51"/>
        <v>0169-11</v>
      </c>
      <c r="AE81" s="85" t="str">
        <f t="shared" si="52"/>
        <v>aws s3 cp s3://rtdc.mdm.uploadarchive.raw/RTDC4029/ "%USERPROFILE%\AppData\Local\Temp\OnboardLogs"\RTDC4029\2017-02-11 --exclude "*" --recursive --include "*20170211*" &amp; "%USERPROFILE%\Documents\GitHub\mrs-test-scripts\Headless Mode &amp; Sideloading\WalkAndUnGZ.bat" "%USERPROFILE%\AppData\Local\Temp\OnboardLogs"\RTDC4029\2017-02-11 &amp; 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</v>
      </c>
      <c r="AF81" s="82" t="str">
        <f t="shared" si="53"/>
        <v>"C:\Program Files (x86)\AstroGrep\AstroGrep.exe" /spath="%USERPROFILE%\AppData\Local\Temp\OnboardLogs" /stypes="app*4029*20170211*" /stext=" 19:.+((SYSTEM_STATE.+slice.+state.+changed )|(ment ac)|(multiple cpu faults)|(system.+state.+changed )|(\[timeout)|(PRM\|1\|D)|(kpr)|(kdp)|(\|lc)|(penalty))" /e /r /s</v>
      </c>
      <c r="AG81" s="1" t="str">
        <f t="shared" si="54"/>
        <v>EC</v>
      </c>
      <c r="AH81" s="86" t="str">
        <f t="shared" si="55"/>
        <v>"%USERPROFILE%\Documents\GitHub\eaglep3\Utilities\RefineRTDCRunTimes.py" --tripid 169-11 --locoid 4029 --swversion DE.1.0.8.0 --startMP 204:409 --initTime 2017-02-11T12:07:28 --startdatetime 2017-02-11T12:15:21 --delay 1 --endMP 204:233387 --enddatetime 2017-02-11T12:51:41 --enforcementcount 1 &gt;&gt;C:\Users\stu\Documents\GitHub\eaglep3-reporting\EC\2017-02-11-refined-times.txt</v>
      </c>
      <c r="AI81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{"issue":{"subject":"","project_id":79,"tracker_id":40,"status_id":1,"priority_id":2,"assigned_to_id":23,"start_date":"2017-02-11","description":"","custom_fields":[{"id":1,"name":"Subdivision","value":"EC"},{"id":4,"name":"Milepost","value":"23.3387"},{"id":17,"name":"Train ID","value":"169-11"},{"id":16,"name":"Locomotive ID","value":"4029"},{"id":130,"name":"Impact","value":""},{"id":150,"name":"Time of Event (Mountain Time)","value":"12:51:41"},{"id":151,"name":"Denver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57"/>
        <v>start /low /b %USERPROFILE%\Documents\GitHub\eaglep3\Utilities\DownloadLogsFromS3.py --loco 4029 --day 2017-02-11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"%USERPROFILE%\AppData\Local\Temp\OnboardLogs"\RTDC4029\*4029*20170211* | grep -SE "(Enforcement Action)|(\[TIMEOUT)|(CHR.+\|PRM\|1\|D.+(SWITCH|SIGNAL).+UNKNOWN)" - &gt;&gt; 2017-02-11-UncaughtWiMAX.txt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642</v>
      </c>
      <c r="B82" s="7">
        <v>4030</v>
      </c>
      <c r="C82" s="21" t="s">
        <v>193</v>
      </c>
      <c r="D82" s="21" t="s">
        <v>771</v>
      </c>
      <c r="E82" s="13">
        <v>42777.541365740741</v>
      </c>
      <c r="F82" s="13">
        <v>42777.549722222226</v>
      </c>
      <c r="G82" s="7">
        <v>1</v>
      </c>
      <c r="H82" s="21" t="s">
        <v>772</v>
      </c>
      <c r="I82" s="13">
        <v>42777.57603009259</v>
      </c>
      <c r="J82" s="7">
        <v>1</v>
      </c>
      <c r="K82" s="98" t="str">
        <f t="shared" si="42"/>
        <v>4029/4030</v>
      </c>
      <c r="L82" s="21" t="str">
        <f>VLOOKUP(A82,'Trips&amp;Operators'!$C$1:$G$99999,5,FALSE)</f>
        <v>ROMERO CHAD</v>
      </c>
      <c r="M82" s="6">
        <f t="shared" si="43"/>
        <v>2.6307870364689734E-2</v>
      </c>
      <c r="N82" s="7">
        <f t="shared" si="39"/>
        <v>37.883333325153217</v>
      </c>
      <c r="O82" s="7"/>
      <c r="P82" s="7"/>
      <c r="Q82" s="22"/>
      <c r="R82" s="22"/>
      <c r="S82" s="31">
        <f t="shared" si="44"/>
        <v>1</v>
      </c>
      <c r="T82" s="46" t="str">
        <f t="shared" si="45"/>
        <v>Southbound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 t="shared" si="46"/>
        <v>https://d0f6bd738d7f1b3e5a7ca70fe4ff75f0.us-east-1.aws.found.io/app/kibana#/discover/Steve-Slow-Train-Analysis-(2080s-and-2083s)?_g=(refreshInterval:(display:Off,pause:!f,section:0,value:0),time:(from:'2017-02-11T11:59:34-0700',mode:absolute,to:'2017-02-11T14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2" s="188" t="str">
        <f t="shared" si="47"/>
        <v>N</v>
      </c>
      <c r="X82" s="188">
        <f t="shared" si="41"/>
        <v>1</v>
      </c>
      <c r="Y82" s="62">
        <f t="shared" si="48"/>
        <v>23.3096</v>
      </c>
      <c r="Z82" s="62">
        <f t="shared" si="49"/>
        <v>1.23E-2</v>
      </c>
      <c r="AA82" s="62">
        <f t="shared" si="50"/>
        <v>23.2973</v>
      </c>
      <c r="AB82" s="59" t="e">
        <f>VLOOKUP(A82,Enforcements!$C$7:$K$14,8,0)</f>
        <v>#N/A</v>
      </c>
      <c r="AC82" s="55" t="e">
        <f>VLOOKUP(A82,Enforcements!$C$7:$E$14,3,0)</f>
        <v>#N/A</v>
      </c>
      <c r="AD82" s="56" t="str">
        <f t="shared" si="51"/>
        <v>0170-11</v>
      </c>
      <c r="AE82" s="85" t="str">
        <f t="shared" si="52"/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AF82" s="82" t="str">
        <f t="shared" si="53"/>
        <v>"C:\Program Files (x86)\AstroGrep\AstroGrep.exe" /spath="%USERPROFILE%\AppData\Local\Temp\OnboardLogs" /stypes="app*4030*20170211*" /stext=" 20:.+((SYSTEM_STATE.+slice.+state.+changed )|(ment ac)|(multiple cpu faults)|(system.+state.+changed )|(\[timeout)|(PRM\|1\|D)|(kpr)|(kdp)|(\|lc)|(penalty))" /e /r /s</v>
      </c>
      <c r="AG82" s="1" t="str">
        <f t="shared" si="54"/>
        <v>EC</v>
      </c>
      <c r="AH82" s="86" t="str">
        <f t="shared" si="55"/>
        <v>"%USERPROFILE%\Documents\GitHub\eaglep3\Utilities\RefineRTDCRunTimes.py" --tripid 170-11 --locoid 4030 --swversion DE.1.0.8.0 --startMP 204:233096 --initTime 2017-02-11T12:59:34 --startdatetime 2017-02-11T13:11:36 --delay 1 --endMP 204:123 --enddatetime 2017-02-11T13:49:29 --enforcementcount 1 &gt;&gt;C:\Users\stu\Documents\GitHub\eaglep3-reporting\EC\2017-02-11-refined-times.txt</v>
      </c>
      <c r="AI82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{"issue":{"subject":"","project_id":79,"tracker_id":40,"status_id":1,"priority_id":2,"assigned_to_id":23,"start_date":"2017-02-11","description":"","custom_fields":[{"id":1,"name":"Subdivision","value":"EC"},{"id":4,"name":"Milepost","value":"0.0123"},{"id":17,"name":"Train ID","value":"170-11"},{"id":16,"name":"Locomotive ID","value":"4030"},{"id":130,"name":"Impact","value":""},{"id":150,"name":"Time of Event (Mountain Time)","value":"13:49:29"},{"id":151,"name":"Denver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57"/>
        <v>start /low /b %USERPROFILE%\Documents\GitHub\eaglep3\Utilities\DownloadLogsFromS3.py --loco 4030 --day 2017-02-11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"%USERPROFILE%\AppData\Local\Temp\OnboardLogs"\RTDC4030\*4030*20170211* | grep -SE "(Enforcement Action)|(\[TIMEOUT)|(CHR.+\|PRM\|1\|D.+(SWITCH|SIGNAL).+UNKNOWN)" - &gt;&gt; 2017-02-11-UncaughtWiMAX.txt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635</v>
      </c>
      <c r="B83" s="7">
        <v>4011</v>
      </c>
      <c r="C83" s="21" t="s">
        <v>193</v>
      </c>
      <c r="D83" s="21" t="s">
        <v>279</v>
      </c>
      <c r="E83" s="13">
        <v>42777.515775462962</v>
      </c>
      <c r="F83" s="13">
        <v>42777.520972222221</v>
      </c>
      <c r="G83" s="7">
        <v>2</v>
      </c>
      <c r="H83" s="21" t="s">
        <v>487</v>
      </c>
      <c r="I83" s="13">
        <v>42777.545543981483</v>
      </c>
      <c r="J83" s="7">
        <v>1</v>
      </c>
      <c r="K83" s="98" t="str">
        <f t="shared" si="42"/>
        <v>4011/4012</v>
      </c>
      <c r="L83" s="21" t="str">
        <f>VLOOKUP(A83,'Trips&amp;Operators'!$C$1:$G$99999,5,FALSE)</f>
        <v>BRANNON JEFFREY</v>
      </c>
      <c r="M83" s="6">
        <f t="shared" si="43"/>
        <v>2.457175926247146E-2</v>
      </c>
      <c r="N83" s="7">
        <f t="shared" si="39"/>
        <v>35.383333337958902</v>
      </c>
      <c r="O83" s="7"/>
      <c r="P83" s="7"/>
      <c r="Q83" s="22"/>
      <c r="R83" s="22"/>
      <c r="S83" s="31">
        <f t="shared" si="44"/>
        <v>1</v>
      </c>
      <c r="T83" s="46" t="str">
        <f t="shared" si="45"/>
        <v>NorthBound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 t="shared" si="46"/>
        <v>https://d0f6bd738d7f1b3e5a7ca70fe4ff75f0.us-east-1.aws.found.io/app/kibana#/discover/Steve-Slow-Train-Analysis-(2080s-and-2083s)?_g=(refreshInterval:(display:Off,pause:!f,section:0,value:0),time:(from:'2017-02-11T11:22:43-0700',mode:absolute,to:'2017-02-11T14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3" s="188" t="str">
        <f t="shared" si="47"/>
        <v>N</v>
      </c>
      <c r="X83" s="188">
        <f t="shared" si="41"/>
        <v>1</v>
      </c>
      <c r="Y83" s="62">
        <f t="shared" si="48"/>
        <v>4.6699999999999998E-2</v>
      </c>
      <c r="Z83" s="62">
        <f t="shared" si="49"/>
        <v>23.330500000000001</v>
      </c>
      <c r="AA83" s="62">
        <f t="shared" si="50"/>
        <v>23.283799999999999</v>
      </c>
      <c r="AB83" s="59" t="e">
        <f>VLOOKUP(A83,Enforcements!$C$7:$K$14,8,0)</f>
        <v>#N/A</v>
      </c>
      <c r="AC83" s="55" t="e">
        <f>VLOOKUP(A83,Enforcements!$C$7:$E$14,3,0)</f>
        <v>#N/A</v>
      </c>
      <c r="AD83" s="56" t="str">
        <f t="shared" si="51"/>
        <v>0171-11</v>
      </c>
      <c r="AE83" s="85" t="str">
        <f t="shared" si="52"/>
        <v>aws s3 cp s3://rtdc.mdm.uploadarchive.raw/RTDC4011/ "%USERPROFILE%\AppData\Local\Temp\OnboardLogs"\RTDC4011\2017-02-11 --exclude "*" --recursive --include "*20170211*" &amp; "%USERPROFILE%\Documents\GitHub\mrs-test-scripts\Headless Mode &amp; Sideloading\WalkAndUnGZ.bat" "%USERPROFILE%\AppData\Local\Temp\OnboardLogs"\RTDC4011\2017-02-11 &amp; 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</v>
      </c>
      <c r="AF83" s="82" t="str">
        <f t="shared" si="53"/>
        <v>"C:\Program Files (x86)\AstroGrep\AstroGrep.exe" /spath="%USERPROFILE%\AppData\Local\Temp\OnboardLogs" /stypes="app*4011*20170211*" /stext=" 20:.+((SYSTEM_STATE.+slice.+state.+changed )|(ment ac)|(multiple cpu faults)|(system.+state.+changed )|(\[timeout)|(PRM\|1\|D)|(kpr)|(kdp)|(\|lc)|(penalty))" /e /r /s</v>
      </c>
      <c r="AG83" s="1" t="str">
        <f t="shared" si="54"/>
        <v>EC</v>
      </c>
      <c r="AH83" s="86" t="str">
        <f t="shared" si="55"/>
        <v>"%USERPROFILE%\Documents\GitHub\eaglep3\Utilities\RefineRTDCRunTimes.py" --tripid 171-11 --locoid 4011 --swversion DE.1.0.8.0 --startMP 204:467 --initTime 2017-02-11T12:22:43 --startdatetime 2017-02-11T12:30:12 --delay 2 --endMP 204:233305 --enddatetime 2017-02-11T13:05:35 --enforcementcount 1 &gt;&gt;C:\Users\stu\Documents\GitHub\eaglep3-reporting\EC\2017-02-11-refined-times.txt</v>
      </c>
      <c r="AI83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{"issue":{"subject":"","project_id":79,"tracker_id":40,"status_id":1,"priority_id":2,"assigned_to_id":23,"start_date":"2017-02-11","description":"","custom_fields":[{"id":1,"name":"Subdivision","value":"EC"},{"id":4,"name":"Milepost","value":"23.3305"},{"id":17,"name":"Train ID","value":"171-11"},{"id":16,"name":"Locomotive ID","value":"4011"},{"id":130,"name":"Impact","value":""},{"id":150,"name":"Time of Event (Mountain Time)","value":"13:05:35"},{"id":151,"name":"Denver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57"/>
        <v>start /low /b %USERPROFILE%\Documents\GitHub\eaglep3\Utilities\DownloadLogsFromS3.py --loco 4011 --day 2017-02-11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"%USERPROFILE%\AppData\Local\Temp\OnboardLogs"\RTDC4011\*4011*20170211* | grep -SE "(Enforcement Action)|(\[TIMEOUT)|(CHR.+\|PRM\|1\|D.+(SWITCH|SIGNAL).+UNKNOWN)" - &gt;&gt; 2017-02-11-UncaughtWiMAX.txt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644</v>
      </c>
      <c r="B84" s="7">
        <v>4012</v>
      </c>
      <c r="C84" s="21" t="s">
        <v>193</v>
      </c>
      <c r="D84" s="21" t="s">
        <v>493</v>
      </c>
      <c r="E84" s="13">
        <v>42777.546736111108</v>
      </c>
      <c r="F84" s="13">
        <v>42777.559872685182</v>
      </c>
      <c r="G84" s="7">
        <v>1</v>
      </c>
      <c r="H84" s="21" t="s">
        <v>184</v>
      </c>
      <c r="I84" s="13">
        <v>42777.586747685185</v>
      </c>
      <c r="J84" s="7">
        <v>1</v>
      </c>
      <c r="K84" s="98" t="str">
        <f t="shared" si="42"/>
        <v>4011/4012</v>
      </c>
      <c r="L84" s="21" t="str">
        <f>VLOOKUP(A84,'Trips&amp;Operators'!$C$1:$G$99999,5,FALSE)</f>
        <v>BRANNON JEFFREY</v>
      </c>
      <c r="M84" s="6">
        <f t="shared" si="43"/>
        <v>2.6875000003201421E-2</v>
      </c>
      <c r="N84" s="7">
        <f t="shared" si="39"/>
        <v>38.700000004610047</v>
      </c>
      <c r="O84" s="7"/>
      <c r="P84" s="7"/>
      <c r="Q84" s="22"/>
      <c r="R84" s="22"/>
      <c r="S84" s="31">
        <f t="shared" si="44"/>
        <v>1</v>
      </c>
      <c r="T84" s="46" t="str">
        <f t="shared" si="45"/>
        <v>Southbound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 t="shared" si="46"/>
        <v>https://d0f6bd738d7f1b3e5a7ca70fe4ff75f0.us-east-1.aws.found.io/app/kibana#/discover/Steve-Slow-Train-Analysis-(2080s-and-2083s)?_g=(refreshInterval:(display:Off,pause:!f,section:0,value:0),time:(from:'2017-02-11T12:07:18-0700',mode:absolute,to:'2017-02-11T15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4" s="188" t="str">
        <f t="shared" si="47"/>
        <v>N</v>
      </c>
      <c r="X84" s="188">
        <f t="shared" si="41"/>
        <v>1</v>
      </c>
      <c r="Y84" s="62">
        <f t="shared" si="48"/>
        <v>23.299199999999999</v>
      </c>
      <c r="Z84" s="62">
        <f t="shared" si="49"/>
        <v>1.49E-2</v>
      </c>
      <c r="AA84" s="62">
        <f t="shared" si="50"/>
        <v>23.284299999999998</v>
      </c>
      <c r="AB84" s="59" t="e">
        <f>VLOOKUP(A84,Enforcements!$C$7:$K$14,8,0)</f>
        <v>#N/A</v>
      </c>
      <c r="AC84" s="55" t="e">
        <f>VLOOKUP(A84,Enforcements!$C$7:$E$14,3,0)</f>
        <v>#N/A</v>
      </c>
      <c r="AD84" s="56" t="str">
        <f t="shared" si="51"/>
        <v>0172-11</v>
      </c>
      <c r="AE84" s="85" t="str">
        <f t="shared" si="52"/>
        <v>aws s3 cp s3://rtdc.mdm.uploadarchive.raw/RTDC4012/ "%USERPROFILE%\AppData\Local\Temp\OnboardLogs"\RTDC4012\2017-02-11 --exclude "*" --recursive --include "*20170211*" &amp; "%USERPROFILE%\Documents\GitHub\mrs-test-scripts\Headless Mode &amp; Sideloading\WalkAndUnGZ.bat" "%USERPROFILE%\AppData\Local\Temp\OnboardLogs"\RTDC4012\2017-02-11 &amp; aws s3 cp s3://rtdc.mdm.uploadarchive.raw/RTDC4012/ "%USERPROFILE%\AppData\Local\Temp\OnboardLogs"\RTDC4012\2017-02-12 --exclude "*" --recursive --include "*20170212*" &amp; "%USERPROFILE%\Documents\GitHub\mrs-test-scripts\Headless Mode &amp; Sideloading\WalkAndUnGZ.bat" "%USERPROFILE%\AppData\Local\Temp\OnboardLogs"\RTDC4012\2017-02-12</v>
      </c>
      <c r="AF84" s="82" t="str">
        <f t="shared" si="53"/>
        <v>"C:\Program Files (x86)\AstroGrep\AstroGrep.exe" /spath="%USERPROFILE%\AppData\Local\Temp\OnboardLogs" /stypes="app*4012*20170211*" /stext=" 21:.+((SYSTEM_STATE.+slice.+state.+changed )|(ment ac)|(multiple cpu faults)|(system.+state.+changed )|(\[timeout)|(PRM\|1\|D)|(kpr)|(kdp)|(\|lc)|(penalty))" /e /r /s</v>
      </c>
      <c r="AG84" s="1" t="str">
        <f t="shared" si="54"/>
        <v>EC</v>
      </c>
      <c r="AH84" s="86" t="str">
        <f t="shared" si="55"/>
        <v>"%USERPROFILE%\Documents\GitHub\eaglep3\Utilities\RefineRTDCRunTimes.py" --tripid 172-11 --locoid 4012 --swversion DE.1.0.8.0 --startMP 204:232992 --initTime 2017-02-11T13:07:18 --startdatetime 2017-02-11T13:26:13 --delay 1 --endMP 204:149 --enddatetime 2017-02-11T14:04:55 --enforcementcount 1 &gt;&gt;C:\Users\stu\Documents\GitHub\eaglep3-reporting\EC\2017-02-11-refined-times.txt</v>
      </c>
      <c r="AI84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{"issue":{"subject":"","project_id":79,"tracker_id":40,"status_id":1,"priority_id":2,"assigned_to_id":23,"start_date":"2017-02-11","description":"","custom_fields":[{"id":1,"name":"Subdivision","value":"EC"},{"id":4,"name":"Milepost","value":"0.0149"},{"id":17,"name":"Train ID","value":"172-11"},{"id":16,"name":"Locomotive ID","value":"4012"},{"id":130,"name":"Impact","value":""},{"id":150,"name":"Time of Event (Mountain Time)","value":"14:04:55"},{"id":151,"name":"Denver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57"/>
        <v>start /low /b %USERPROFILE%\Documents\GitHub\eaglep3\Utilities\DownloadLogsFromS3.py --loco 4012 --day 2017-02-11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"%USERPROFILE%\AppData\Local\Temp\OnboardLogs"\RTDC4012\*4012*20170211* | grep -SE "(Enforcement Action)|(\[TIMEOUT)|(CHR.+\|PRM\|1\|D.+(SWITCH|SIGNAL).+UNKNOWN)" - &gt;&gt; 2017-02-11-UncaughtWiMAX.txt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638</v>
      </c>
      <c r="B85" s="7">
        <v>4031</v>
      </c>
      <c r="C85" s="21" t="s">
        <v>193</v>
      </c>
      <c r="D85" s="21" t="s">
        <v>773</v>
      </c>
      <c r="E85" s="13">
        <v>42777.526597222219</v>
      </c>
      <c r="F85" s="13">
        <v>42777.531504629631</v>
      </c>
      <c r="G85" s="7">
        <v>2</v>
      </c>
      <c r="H85" s="21" t="s">
        <v>774</v>
      </c>
      <c r="I85" s="13">
        <v>42777.557349537034</v>
      </c>
      <c r="J85" s="7">
        <v>1</v>
      </c>
      <c r="K85" s="98" t="str">
        <f t="shared" si="42"/>
        <v>4031/4032</v>
      </c>
      <c r="L85" s="21" t="str">
        <f>VLOOKUP(A85,'Trips&amp;Operators'!$C$1:$G$99999,5,FALSE)</f>
        <v>STEWART MICHAEL</v>
      </c>
      <c r="M85" s="6">
        <f t="shared" si="43"/>
        <v>2.5844907402643003E-2</v>
      </c>
      <c r="N85" s="7">
        <f t="shared" si="39"/>
        <v>37.216666659805924</v>
      </c>
      <c r="O85" s="7"/>
      <c r="P85" s="7"/>
      <c r="Q85" s="22"/>
      <c r="R85" s="22"/>
      <c r="S85" s="31">
        <f t="shared" si="44"/>
        <v>1</v>
      </c>
      <c r="T85" s="46" t="str">
        <f t="shared" si="45"/>
        <v>NorthBound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 t="shared" si="46"/>
        <v>https://d0f6bd738d7f1b3e5a7ca70fe4ff75f0.us-east-1.aws.found.io/app/kibana#/discover/Steve-Slow-Train-Analysis-(2080s-and-2083s)?_g=(refreshInterval:(display:Off,pause:!f,section:0,value:0),time:(from:'2017-02-11T11:38:18-0700',mode:absolute,to:'2017-02-11T14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5" s="188" t="str">
        <f t="shared" si="47"/>
        <v>N</v>
      </c>
      <c r="X85" s="188">
        <f t="shared" si="41"/>
        <v>1</v>
      </c>
      <c r="Y85" s="62">
        <f t="shared" si="48"/>
        <v>4.8000000000000001E-2</v>
      </c>
      <c r="Z85" s="62">
        <f t="shared" si="49"/>
        <v>23.333600000000001</v>
      </c>
      <c r="AA85" s="62">
        <f t="shared" si="50"/>
        <v>23.285600000000002</v>
      </c>
      <c r="AB85" s="59" t="e">
        <f>VLOOKUP(A85,Enforcements!$C$7:$K$14,8,0)</f>
        <v>#N/A</v>
      </c>
      <c r="AC85" s="55" t="e">
        <f>VLOOKUP(A85,Enforcements!$C$7:$E$14,3,0)</f>
        <v>#N/A</v>
      </c>
      <c r="AD85" s="56" t="str">
        <f t="shared" si="51"/>
        <v>0173-11</v>
      </c>
      <c r="AE85" s="85" t="str">
        <f t="shared" si="52"/>
        <v>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 &amp; 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</v>
      </c>
      <c r="AF85" s="82" t="str">
        <f t="shared" si="53"/>
        <v>"C:\Program Files (x86)\AstroGrep\AstroGrep.exe" /spath="%USERPROFILE%\AppData\Local\Temp\OnboardLogs" /stypes="app*4031*20170211*" /stext=" 20:.+((SYSTEM_STATE.+slice.+state.+changed )|(ment ac)|(multiple cpu faults)|(system.+state.+changed )|(\[timeout)|(PRM\|1\|D)|(kpr)|(kdp)|(\|lc)|(penalty))" /e /r /s</v>
      </c>
      <c r="AG85" s="1" t="str">
        <f t="shared" si="54"/>
        <v>EC</v>
      </c>
      <c r="AH85" s="86" t="str">
        <f t="shared" si="55"/>
        <v>"%USERPROFILE%\Documents\GitHub\eaglep3\Utilities\RefineRTDCRunTimes.py" --tripid 173-11 --locoid 4031 --swversion DE.1.0.8.0 --startMP 204:480 --initTime 2017-02-11T12:38:18 --startdatetime 2017-02-11T12:45:22 --delay 2 --endMP 204:233336 --enddatetime 2017-02-11T13:22:35 --enforcementcount 1 &gt;&gt;C:\Users\stu\Documents\GitHub\eaglep3-reporting\EC\2017-02-11-refined-times.txt</v>
      </c>
      <c r="AI85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{"issue":{"subject":"","project_id":79,"tracker_id":40,"status_id":1,"priority_id":2,"assigned_to_id":23,"start_date":"2017-02-11","description":"","custom_fields":[{"id":1,"name":"Subdivision","value":"EC"},{"id":4,"name":"Milepost","value":"23.3336"},{"id":17,"name":"Train ID","value":"173-11"},{"id":16,"name":"Locomotive ID","value":"4031"},{"id":130,"name":"Impact","value":""},{"id":150,"name":"Time of Event (Mountain Time)","value":"13:22:35"},{"id":151,"name":"Denver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57"/>
        <v>start /low /b %USERPROFILE%\Documents\GitHub\eaglep3\Utilities\DownloadLogsFromS3.py --loco 4031 --day 2017-02-11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2017-02-11-UncaughtWiMAX.txt</v>
      </c>
    </row>
    <row r="86" spans="1:91" s="20" customFormat="1" x14ac:dyDescent="0.25">
      <c r="A86" s="33" t="s">
        <v>647</v>
      </c>
      <c r="B86" s="7">
        <v>4032</v>
      </c>
      <c r="C86" s="21" t="s">
        <v>193</v>
      </c>
      <c r="D86" s="21" t="s">
        <v>775</v>
      </c>
      <c r="E86" s="13">
        <v>42777.568182870367</v>
      </c>
      <c r="F86" s="13">
        <v>42777.570486111108</v>
      </c>
      <c r="G86" s="7">
        <v>1</v>
      </c>
      <c r="H86" s="21" t="s">
        <v>209</v>
      </c>
      <c r="I86" s="13">
        <v>42777.596689814818</v>
      </c>
      <c r="J86" s="7">
        <v>1</v>
      </c>
      <c r="K86" s="98" t="str">
        <f t="shared" si="42"/>
        <v>4031/4032</v>
      </c>
      <c r="L86" s="21" t="str">
        <f>VLOOKUP(A86,'Trips&amp;Operators'!$C$1:$G$99999,5,FALSE)</f>
        <v>STEWART MICHAEL</v>
      </c>
      <c r="M86" s="6">
        <f t="shared" si="43"/>
        <v>2.620370371005265E-2</v>
      </c>
      <c r="N86" s="7">
        <f t="shared" si="39"/>
        <v>37.733333342475817</v>
      </c>
      <c r="O86" s="7"/>
      <c r="P86" s="7"/>
      <c r="Q86" s="22"/>
      <c r="R86" s="22"/>
      <c r="S86" s="31">
        <f t="shared" si="44"/>
        <v>1</v>
      </c>
      <c r="T86" s="46" t="str">
        <f t="shared" si="45"/>
        <v>Southbound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 t="shared" si="46"/>
        <v>https://d0f6bd738d7f1b3e5a7ca70fe4ff75f0.us-east-1.aws.found.io/app/kibana#/discover/Steve-Slow-Train-Analysis-(2080s-and-2083s)?_g=(refreshInterval:(display:Off,pause:!f,section:0,value:0),time:(from:'2017-02-11T12:38:11-0700',mode:absolute,to:'2017-02-11T15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6" s="188" t="str">
        <f t="shared" si="47"/>
        <v>N</v>
      </c>
      <c r="X86" s="188">
        <f t="shared" si="41"/>
        <v>1</v>
      </c>
      <c r="Y86" s="62">
        <f t="shared" si="48"/>
        <v>23.299800000000001</v>
      </c>
      <c r="Z86" s="62">
        <f t="shared" si="49"/>
        <v>1.5800000000000002E-2</v>
      </c>
      <c r="AA86" s="62">
        <f t="shared" si="50"/>
        <v>23.284000000000002</v>
      </c>
      <c r="AB86" s="59" t="e">
        <f>VLOOKUP(A86,Enforcements!$C$7:$K$14,8,0)</f>
        <v>#N/A</v>
      </c>
      <c r="AC86" s="55" t="e">
        <f>VLOOKUP(A86,Enforcements!$C$7:$E$14,3,0)</f>
        <v>#N/A</v>
      </c>
      <c r="AD86" s="56" t="str">
        <f t="shared" si="51"/>
        <v>0174-11</v>
      </c>
      <c r="AE86" s="85" t="str">
        <f t="shared" si="52"/>
        <v>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 &amp; 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</v>
      </c>
      <c r="AF86" s="82" t="str">
        <f t="shared" si="53"/>
        <v>"C:\Program Files (x86)\AstroGrep\AstroGrep.exe" /spath="%USERPROFILE%\AppData\Local\Temp\OnboardLogs" /stypes="app*4032*20170211*" /stext=" 21:.+((SYSTEM_STATE.+slice.+state.+changed )|(ment ac)|(multiple cpu faults)|(system.+state.+changed )|(\[timeout)|(PRM\|1\|D)|(kpr)|(kdp)|(\|lc)|(penalty))" /e /r /s</v>
      </c>
      <c r="AG86" s="1" t="str">
        <f t="shared" si="54"/>
        <v>EC</v>
      </c>
      <c r="AH86" s="86" t="str">
        <f t="shared" si="55"/>
        <v>"%USERPROFILE%\Documents\GitHub\eaglep3\Utilities\RefineRTDCRunTimes.py" --tripid 174-11 --locoid 4032 --swversion DE.1.0.8.0 --startMP 204:232998 --initTime 2017-02-11T13:38:11 --startdatetime 2017-02-11T13:41:30 --delay 1 --endMP 204:158 --enddatetime 2017-02-11T14:19:14 --enforcementcount 1 &gt;&gt;C:\Users\stu\Documents\GitHub\eaglep3-reporting\EC\2017-02-11-refined-times.txt</v>
      </c>
      <c r="AI86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{"issue":{"subject":"","project_id":79,"tracker_id":40,"status_id":1,"priority_id":2,"assigned_to_id":23,"start_date":"2017-02-11","description":"","custom_fields":[{"id":1,"name":"Subdivision","value":"EC"},{"id":4,"name":"Milepost","value":"0.0158"},{"id":17,"name":"Train ID","value":"174-11"},{"id":16,"name":"Locomotive ID","value":"4032"},{"id":130,"name":"Impact","value":""},{"id":150,"name":"Time of Event (Mountain Time)","value":"14:19:14"},{"id":151,"name":"Denver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57"/>
        <v>start /low /b %USERPROFILE%\Documents\GitHub\eaglep3\Utilities\DownloadLogsFromS3.py --loco 4032 --day 2017-02-11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2017-02-11-UncaughtWiMAX.txt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640</v>
      </c>
      <c r="B87" s="7">
        <v>4025</v>
      </c>
      <c r="C87" s="21" t="s">
        <v>193</v>
      </c>
      <c r="D87" s="21" t="s">
        <v>776</v>
      </c>
      <c r="E87" s="13">
        <v>42777.538206018522</v>
      </c>
      <c r="F87" s="13">
        <v>42777.54215277778</v>
      </c>
      <c r="G87" s="7">
        <v>1</v>
      </c>
      <c r="H87" s="21" t="s">
        <v>219</v>
      </c>
      <c r="I87" s="13">
        <v>42777.568564814814</v>
      </c>
      <c r="J87" s="7">
        <v>1</v>
      </c>
      <c r="K87" s="98" t="str">
        <f t="shared" si="42"/>
        <v>4025/4026</v>
      </c>
      <c r="L87" s="21" t="str">
        <f>VLOOKUP(A87,'Trips&amp;Operators'!$C$1:$G$99999,5,FALSE)</f>
        <v>DAVIS MICHAEL</v>
      </c>
      <c r="M87" s="6">
        <f t="shared" si="43"/>
        <v>2.6412037033878732E-2</v>
      </c>
      <c r="N87" s="7">
        <f t="shared" si="39"/>
        <v>38.033333328785375</v>
      </c>
      <c r="O87" s="7"/>
      <c r="P87" s="7"/>
      <c r="Q87" s="22"/>
      <c r="R87" s="22"/>
      <c r="S87" s="31">
        <f t="shared" si="44"/>
        <v>1</v>
      </c>
      <c r="T87" s="46" t="str">
        <f t="shared" si="45"/>
        <v>NorthBound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 t="shared" si="46"/>
        <v>https://d0f6bd738d7f1b3e5a7ca70fe4ff75f0.us-east-1.aws.found.io/app/kibana#/discover/Steve-Slow-Train-Analysis-(2080s-and-2083s)?_g=(refreshInterval:(display:Off,pause:!f,section:0,value:0),time:(from:'2017-02-11T11:55:01-0700',mode:absolute,to:'2017-02-11T14:38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7" s="188" t="str">
        <f t="shared" si="47"/>
        <v>N</v>
      </c>
      <c r="X87" s="188">
        <f t="shared" si="41"/>
        <v>1</v>
      </c>
      <c r="Y87" s="62">
        <f t="shared" si="48"/>
        <v>0.05</v>
      </c>
      <c r="Z87" s="62">
        <f t="shared" si="49"/>
        <v>23.329899999999999</v>
      </c>
      <c r="AA87" s="62">
        <f t="shared" si="50"/>
        <v>23.279899999999998</v>
      </c>
      <c r="AB87" s="59" t="e">
        <f>VLOOKUP(A87,Enforcements!$C$7:$K$14,8,0)</f>
        <v>#N/A</v>
      </c>
      <c r="AC87" s="55" t="e">
        <f>VLOOKUP(A87,Enforcements!$C$7:$E$14,3,0)</f>
        <v>#N/A</v>
      </c>
      <c r="AD87" s="56" t="str">
        <f t="shared" si="51"/>
        <v>0175-11</v>
      </c>
      <c r="AE87" s="85" t="str">
        <f t="shared" si="52"/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AF87" s="82" t="str">
        <f t="shared" si="53"/>
        <v>"C:\Program Files (x86)\AstroGrep\AstroGrep.exe" /spath="%USERPROFILE%\AppData\Local\Temp\OnboardLogs" /stypes="app*4025*20170211*" /stext=" 20:.+((SYSTEM_STATE.+slice.+state.+changed )|(ment ac)|(multiple cpu faults)|(system.+state.+changed )|(\[timeout)|(PRM\|1\|D)|(kpr)|(kdp)|(\|lc)|(penalty))" /e /r /s</v>
      </c>
      <c r="AG87" s="1" t="str">
        <f t="shared" si="54"/>
        <v>EC</v>
      </c>
      <c r="AH87" s="86" t="str">
        <f t="shared" si="55"/>
        <v>"%USERPROFILE%\Documents\GitHub\eaglep3\Utilities\RefineRTDCRunTimes.py" --tripid 175-11 --locoid 4025 --swversion DE.1.0.8.0 --startMP 204:500 --initTime 2017-02-11T12:55:01 --startdatetime 2017-02-11T13:00:42 --delay 1 --endMP 204:233299 --enddatetime 2017-02-11T13:38:44 --enforcementcount 1 &gt;&gt;C:\Users\stu\Documents\GitHub\eaglep3-reporting\EC\2017-02-11-refined-times.txt</v>
      </c>
      <c r="AI87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{"issue":{"subject":"","project_id":79,"tracker_id":40,"status_id":1,"priority_id":2,"assigned_to_id":23,"start_date":"2017-02-11","description":"","custom_fields":[{"id":1,"name":"Subdivision","value":"EC"},{"id":4,"name":"Milepost","value":"23.3299"},{"id":17,"name":"Train ID","value":"175-11"},{"id":16,"name":"Locomotive ID","value":"4025"},{"id":130,"name":"Impact","value":""},{"id":150,"name":"Time of Event (Mountain Time)","value":"13:38:44"},{"id":151,"name":"Denver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57"/>
        <v>start /low /b %USERPROFILE%\Documents\GitHub\eaglep3\Utilities\DownloadLogsFromS3.py --loco 4025 --day 2017-02-11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"%USERPROFILE%\AppData\Local\Temp\OnboardLogs"\RTDC4025\*4025*20170211* | grep -SE "(Enforcement Action)|(\[TIMEOUT)|(CHR.+\|PRM\|1\|D.+(SWITCH|SIGNAL).+UNKNOWN)" - &gt;&gt; 2017-02-11-UncaughtWiMAX.txt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649</v>
      </c>
      <c r="B88" s="7">
        <v>4026</v>
      </c>
      <c r="C88" s="21" t="s">
        <v>193</v>
      </c>
      <c r="D88" s="21" t="s">
        <v>340</v>
      </c>
      <c r="E88" s="13">
        <v>42777.577210648145</v>
      </c>
      <c r="F88" s="13">
        <v>42777.580960648149</v>
      </c>
      <c r="G88" s="7">
        <v>1</v>
      </c>
      <c r="H88" s="21" t="s">
        <v>195</v>
      </c>
      <c r="I88" s="13">
        <v>42777.609409722223</v>
      </c>
      <c r="J88" s="7">
        <v>1</v>
      </c>
      <c r="K88" s="98" t="str">
        <f t="shared" si="42"/>
        <v>4025/4026</v>
      </c>
      <c r="L88" s="21" t="str">
        <f>VLOOKUP(A88,'Trips&amp;Operators'!$C$1:$G$99999,5,FALSE)</f>
        <v>DAVIS MICHAEL</v>
      </c>
      <c r="M88" s="6">
        <f t="shared" si="43"/>
        <v>2.8449074074160308E-2</v>
      </c>
      <c r="N88" s="7">
        <f t="shared" si="39"/>
        <v>40.966666666790843</v>
      </c>
      <c r="O88" s="7"/>
      <c r="P88" s="7"/>
      <c r="Q88" s="22"/>
      <c r="R88" s="22"/>
      <c r="S88" s="31">
        <f t="shared" si="44"/>
        <v>1</v>
      </c>
      <c r="T88" s="46" t="str">
        <f t="shared" si="45"/>
        <v>Southbound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 t="shared" si="46"/>
        <v>https://d0f6bd738d7f1b3e5a7ca70fe4ff75f0.us-east-1.aws.found.io/app/kibana#/discover/Steve-Slow-Train-Analysis-(2080s-and-2083s)?_g=(refreshInterval:(display:Off,pause:!f,section:0,value:0),time:(from:'2017-02-11T12:51:11-0700',mode:absolute,to:'2017-02-11T15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8" s="188" t="str">
        <f t="shared" si="47"/>
        <v>N</v>
      </c>
      <c r="X88" s="188">
        <f t="shared" si="41"/>
        <v>1</v>
      </c>
      <c r="Y88" s="62">
        <f t="shared" si="48"/>
        <v>23.2973</v>
      </c>
      <c r="Z88" s="62">
        <f t="shared" si="49"/>
        <v>1.4999999999999999E-2</v>
      </c>
      <c r="AA88" s="62">
        <f t="shared" si="50"/>
        <v>23.282299999999999</v>
      </c>
      <c r="AB88" s="59" t="e">
        <f>VLOOKUP(A88,Enforcements!$C$7:$K$14,8,0)</f>
        <v>#N/A</v>
      </c>
      <c r="AC88" s="55" t="e">
        <f>VLOOKUP(A88,Enforcements!$C$7:$E$14,3,0)</f>
        <v>#N/A</v>
      </c>
      <c r="AD88" s="56" t="str">
        <f t="shared" si="51"/>
        <v>0176-11</v>
      </c>
      <c r="AE88" s="85" t="str">
        <f t="shared" si="52"/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AF88" s="82" t="str">
        <f t="shared" si="53"/>
        <v>"C:\Program Files (x86)\AstroGrep\AstroGrep.exe" /spath="%USERPROFILE%\AppData\Local\Temp\OnboardLogs" /stypes="app*4026*20170211*" /stext=" 21:.+((SYSTEM_STATE.+slice.+state.+changed )|(ment ac)|(multiple cpu faults)|(system.+state.+changed )|(\[timeout)|(PRM\|1\|D)|(kpr)|(kdp)|(\|lc)|(penalty))" /e /r /s</v>
      </c>
      <c r="AG88" s="1" t="str">
        <f t="shared" si="54"/>
        <v>EC</v>
      </c>
      <c r="AH88" s="86" t="str">
        <f t="shared" si="55"/>
        <v>"%USERPROFILE%\Documents\GitHub\eaglep3\Utilities\RefineRTDCRunTimes.py" --tripid 176-11 --locoid 4026 --swversion DE.1.0.8.0 --startMP 204:232973 --initTime 2017-02-11T13:51:11 --startdatetime 2017-02-11T13:56:35 --delay 1 --endMP 204:150 --enddatetime 2017-02-11T14:37:33 --enforcementcount 1 &gt;&gt;C:\Users\stu\Documents\GitHub\eaglep3-reporting\EC\2017-02-11-refined-times.txt</v>
      </c>
      <c r="AI88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{"issue":{"subject":"","project_id":79,"tracker_id":40,"status_id":1,"priority_id":2,"assigned_to_id":23,"start_date":"2017-02-11","description":"","custom_fields":[{"id":1,"name":"Subdivision","value":"EC"},{"id":4,"name":"Milepost","value":"0.015"},{"id":17,"name":"Train ID","value":"176-11"},{"id":16,"name":"Locomotive ID","value":"4026"},{"id":130,"name":"Impact","value":""},{"id":150,"name":"Time of Event (Mountain Time)","value":"14:37:33"},{"id":151,"name":"Denver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57"/>
        <v>start /low /b %USERPROFILE%\Documents\GitHub\eaglep3\Utilities\DownloadLogsFromS3.py --loco 4026 --day 2017-02-11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"%USERPROFILE%\AppData\Local\Temp\OnboardLogs"\RTDC4026\*4026*20170211* | grep -SE "(Enforcement Action)|(\[TIMEOUT)|(CHR.+\|PRM\|1\|D.+(SWITCH|SIGNAL).+UNKNOWN)" - &gt;&gt; 2017-02-11-UncaughtWiMAX.txt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643</v>
      </c>
      <c r="B89" s="7">
        <v>4040</v>
      </c>
      <c r="C89" s="21" t="s">
        <v>193</v>
      </c>
      <c r="D89" s="21" t="s">
        <v>222</v>
      </c>
      <c r="E89" s="13">
        <v>42777.546840277777</v>
      </c>
      <c r="F89" s="13">
        <v>42777.552256944444</v>
      </c>
      <c r="G89" s="7">
        <v>1</v>
      </c>
      <c r="H89" s="21" t="s">
        <v>494</v>
      </c>
      <c r="I89" s="13">
        <v>42777.577916666669</v>
      </c>
      <c r="J89" s="7">
        <v>1</v>
      </c>
      <c r="K89" s="98" t="str">
        <f t="shared" si="42"/>
        <v>4039/4040</v>
      </c>
      <c r="L89" s="21" t="str">
        <f>VLOOKUP(A89,'Trips&amp;Operators'!$C$1:$G$99999,5,FALSE)</f>
        <v>BRUDER RICHARD</v>
      </c>
      <c r="M89" s="6">
        <f t="shared" si="43"/>
        <v>2.5659722225100268E-2</v>
      </c>
      <c r="N89" s="7">
        <f t="shared" si="39"/>
        <v>36.950000004144385</v>
      </c>
      <c r="O89" s="7"/>
      <c r="P89" s="7"/>
      <c r="Q89" s="22"/>
      <c r="R89" s="22"/>
      <c r="S89" s="31">
        <f t="shared" si="44"/>
        <v>1</v>
      </c>
      <c r="T89" s="46" t="str">
        <f t="shared" si="45"/>
        <v>NorthBound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 t="shared" si="46"/>
        <v>https://d0f6bd738d7f1b3e5a7ca70fe4ff75f0.us-east-1.aws.found.io/app/kibana#/discover/Steve-Slow-Train-Analysis-(2080s-and-2083s)?_g=(refreshInterval:(display:Off,pause:!f,section:0,value:0),time:(from:'2017-02-11T12:07:27-0700',mode:absolute,to:'2017-02-11T14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9" s="188" t="str">
        <f t="shared" si="47"/>
        <v>N</v>
      </c>
      <c r="X89" s="188">
        <f t="shared" si="41"/>
        <v>1</v>
      </c>
      <c r="Y89" s="62">
        <f t="shared" si="48"/>
        <v>4.58E-2</v>
      </c>
      <c r="Z89" s="62">
        <f t="shared" si="49"/>
        <v>23.331499999999998</v>
      </c>
      <c r="AA89" s="62">
        <f t="shared" si="50"/>
        <v>23.285699999999999</v>
      </c>
      <c r="AB89" s="59" t="e">
        <f>VLOOKUP(A89,Enforcements!$C$7:$K$14,8,0)</f>
        <v>#N/A</v>
      </c>
      <c r="AC89" s="55" t="e">
        <f>VLOOKUP(A89,Enforcements!$C$7:$E$14,3,0)</f>
        <v>#N/A</v>
      </c>
      <c r="AD89" s="56" t="str">
        <f t="shared" si="51"/>
        <v>0177-11</v>
      </c>
      <c r="AE89" s="85" t="str">
        <f t="shared" si="52"/>
        <v>aws s3 cp s3://rtdc.mdm.uploadarchive.raw/RTDC4040/ "%USERPROFILE%\AppData\Local\Temp\OnboardLogs"\RTDC4040\2017-02-11 --exclude "*" --recursive --include "*20170211*" &amp; "%USERPROFILE%\Documents\GitHub\mrs-test-scripts\Headless Mode &amp; Sideloading\WalkAndUnGZ.bat" "%USERPROFILE%\AppData\Local\Temp\OnboardLogs"\RTDC4040\2017-02-11 &amp; aws s3 cp s3://rtdc.mdm.uploadarchive.raw/RTDC4040/ "%USERPROFILE%\AppData\Local\Temp\OnboardLogs"\RTDC4040\2017-02-12 --exclude "*" --recursive --include "*20170212*" &amp; "%USERPROFILE%\Documents\GitHub\mrs-test-scripts\Headless Mode &amp; Sideloading\WalkAndUnGZ.bat" "%USERPROFILE%\AppData\Local\Temp\OnboardLogs"\RTDC4040\2017-02-12</v>
      </c>
      <c r="AF89" s="82" t="str">
        <f t="shared" si="53"/>
        <v>"C:\Program Files (x86)\AstroGrep\AstroGrep.exe" /spath="%USERPROFILE%\AppData\Local\Temp\OnboardLogs" /stypes="app*4040*20170211*" /stext=" 20:.+((SYSTEM_STATE.+slice.+state.+changed )|(ment ac)|(multiple cpu faults)|(system.+state.+changed )|(\[timeout)|(PRM\|1\|D)|(kpr)|(kdp)|(\|lc)|(penalty))" /e /r /s</v>
      </c>
      <c r="AG89" s="1" t="str">
        <f t="shared" si="54"/>
        <v>EC</v>
      </c>
      <c r="AH89" s="86" t="str">
        <f t="shared" si="55"/>
        <v>"%USERPROFILE%\Documents\GitHub\eaglep3\Utilities\RefineRTDCRunTimes.py" --tripid 177-11 --locoid 4040 --swversion DE.1.0.8.0 --startMP 204:458 --initTime 2017-02-11T13:07:27 --startdatetime 2017-02-11T13:15:15 --delay 1 --endMP 204:233315 --enddatetime 2017-02-11T13:52:12 --enforcementcount 1 &gt;&gt;C:\Users\stu\Documents\GitHub\eaglep3-reporting\EC\2017-02-11-refined-times.txt</v>
      </c>
      <c r="AI89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{"issue":{"subject":"","project_id":79,"tracker_id":40,"status_id":1,"priority_id":2,"assigned_to_id":23,"start_date":"2017-02-11","description":"","custom_fields":[{"id":1,"name":"Subdivision","value":"EC"},{"id":4,"name":"Milepost","value":"23.3315"},{"id":17,"name":"Train ID","value":"177-11"},{"id":16,"name":"Locomotive ID","value":"4040"},{"id":130,"name":"Impact","value":""},{"id":150,"name":"Time of Event (Mountain Time)","value":"13:52:12"},{"id":151,"name":"Denver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57"/>
        <v>start /low /b %USERPROFILE%\Documents\GitHub\eaglep3\Utilities\DownloadLogsFromS3.py --loco 4040 --day 2017-02-11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"%USERPROFILE%\AppData\Local\Temp\OnboardLogs"\RTDC4040\*4040*20170211* | grep -SE "(Enforcement Action)|(\[TIMEOUT)|(CHR.+\|PRM\|1\|D.+(SWITCH|SIGNAL).+UNKNOWN)" - &gt;&gt; 2017-02-11-UncaughtWiMAX.txt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651</v>
      </c>
      <c r="B90" s="7">
        <v>4039</v>
      </c>
      <c r="C90" s="21" t="s">
        <v>193</v>
      </c>
      <c r="D90" s="21" t="s">
        <v>336</v>
      </c>
      <c r="E90" s="13">
        <v>42777.586296296293</v>
      </c>
      <c r="F90" s="13">
        <v>42777.591145833336</v>
      </c>
      <c r="G90" s="7">
        <v>1</v>
      </c>
      <c r="H90" s="21" t="s">
        <v>205</v>
      </c>
      <c r="I90" s="13">
        <v>42777.617291666669</v>
      </c>
      <c r="J90" s="7">
        <v>1</v>
      </c>
      <c r="K90" s="98" t="str">
        <f t="shared" si="42"/>
        <v>4039/4040</v>
      </c>
      <c r="L90" s="21" t="str">
        <f>VLOOKUP(A90,'Trips&amp;Operators'!$C$1:$G$99999,5,FALSE)</f>
        <v>BRUDER RICHARD</v>
      </c>
      <c r="M90" s="6">
        <f t="shared" si="43"/>
        <v>2.6145833333430346E-2</v>
      </c>
      <c r="N90" s="7">
        <f t="shared" si="39"/>
        <v>37.650000000139698</v>
      </c>
      <c r="O90" s="7"/>
      <c r="P90" s="7"/>
      <c r="Q90" s="22"/>
      <c r="R90" s="22"/>
      <c r="S90" s="31">
        <f t="shared" si="44"/>
        <v>1</v>
      </c>
      <c r="T90" s="46" t="str">
        <f t="shared" si="45"/>
        <v>Southbound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 t="shared" si="46"/>
        <v>https://d0f6bd738d7f1b3e5a7ca70fe4ff75f0.us-east-1.aws.found.io/app/kibana#/discover/Steve-Slow-Train-Analysis-(2080s-and-2083s)?_g=(refreshInterval:(display:Off,pause:!f,section:0,value:0),time:(from:'2017-02-11T13:04:16-0700',mode:absolute,to:'2017-02-11T15:48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0" s="188" t="str">
        <f t="shared" si="47"/>
        <v>N</v>
      </c>
      <c r="X90" s="188">
        <f t="shared" si="41"/>
        <v>1</v>
      </c>
      <c r="Y90" s="62">
        <f t="shared" si="48"/>
        <v>23.2989</v>
      </c>
      <c r="Z90" s="62">
        <f t="shared" si="49"/>
        <v>1.6E-2</v>
      </c>
      <c r="AA90" s="62">
        <f t="shared" si="50"/>
        <v>23.282900000000001</v>
      </c>
      <c r="AB90" s="59" t="e">
        <f>VLOOKUP(A90,Enforcements!$C$7:$K$14,8,0)</f>
        <v>#N/A</v>
      </c>
      <c r="AC90" s="55" t="e">
        <f>VLOOKUP(A90,Enforcements!$C$7:$E$14,3,0)</f>
        <v>#N/A</v>
      </c>
      <c r="AD90" s="56" t="str">
        <f t="shared" si="51"/>
        <v>0178-11</v>
      </c>
      <c r="AE90" s="85" t="str">
        <f t="shared" si="52"/>
        <v>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 &amp; aws s3 cp s3://rtdc.mdm.uploadarchive.raw/RTDC4039/ "%USERPROFILE%\AppData\Local\Temp\OnboardLogs"\RTDC4039\2017-02-12 --exclude "*" --recursive --include "*20170212*" &amp; "%USERPROFILE%\Documents\GitHub\mrs-test-scripts\Headless Mode &amp; Sideloading\WalkAndUnGZ.bat" "%USERPROFILE%\AppData\Local\Temp\OnboardLogs"\RTDC4039\2017-02-12</v>
      </c>
      <c r="AF90" s="82" t="str">
        <f t="shared" si="53"/>
        <v>"C:\Program Files (x86)\AstroGrep\AstroGrep.exe" /spath="%USERPROFILE%\AppData\Local\Temp\OnboardLogs" /stypes="app*4039*20170211*" /stext=" 21:.+((SYSTEM_STATE.+slice.+state.+changed )|(ment ac)|(multiple cpu faults)|(system.+state.+changed )|(\[timeout)|(PRM\|1\|D)|(kpr)|(kdp)|(\|lc)|(penalty))" /e /r /s</v>
      </c>
      <c r="AG90" s="1" t="str">
        <f t="shared" si="54"/>
        <v>EC</v>
      </c>
      <c r="AH90" s="86" t="str">
        <f t="shared" si="55"/>
        <v>"%USERPROFILE%\Documents\GitHub\eaglep3\Utilities\RefineRTDCRunTimes.py" --tripid 178-11 --locoid 4039 --swversion DE.1.0.8.0 --startMP 204:232989 --initTime 2017-02-11T14:04:16 --startdatetime 2017-02-11T14:11:15 --delay 1 --endMP 204:160 --enddatetime 2017-02-11T14:48:54 --enforcementcount 1 &gt;&gt;C:\Users\stu\Documents\GitHub\eaglep3-reporting\EC\2017-02-11-refined-times.txt</v>
      </c>
      <c r="AI90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{"issue":{"subject":"","project_id":79,"tracker_id":40,"status_id":1,"priority_id":2,"assigned_to_id":23,"start_date":"2017-02-11","description":"","custom_fields":[{"id":1,"name":"Subdivision","value":"EC"},{"id":4,"name":"Milepost","value":"0.016"},{"id":17,"name":"Train ID","value":"178-11"},{"id":16,"name":"Locomotive ID","value":"4039"},{"id":130,"name":"Impact","value":""},{"id":150,"name":"Time of Event (Mountain Time)","value":"14:48:54"},{"id":151,"name":"Denver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57"/>
        <v>start /low /b %USERPROFILE%\Documents\GitHub\eaglep3\Utilities\DownloadLogsFromS3.py --loco 4039 --day 2017-02-11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"%USERPROFILE%\AppData\Local\Temp\OnboardLogs"\RTDC4039\*4039*20170211* | grep -SE "(Enforcement Action)|(\[TIMEOUT)|(CHR.+\|PRM\|1\|D.+(SWITCH|SIGNAL).+UNKNOWN)" - &gt;&gt; 2017-02-11-UncaughtWiMAX.txt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645</v>
      </c>
      <c r="B91" s="7">
        <v>4027</v>
      </c>
      <c r="C91" s="21" t="s">
        <v>193</v>
      </c>
      <c r="D91" s="21" t="s">
        <v>280</v>
      </c>
      <c r="E91" s="13">
        <v>42777.556585648148</v>
      </c>
      <c r="F91" s="13">
        <v>42777.562824074077</v>
      </c>
      <c r="G91" s="7">
        <v>1</v>
      </c>
      <c r="H91" s="21" t="s">
        <v>488</v>
      </c>
      <c r="I91" s="13">
        <v>42777.587592592594</v>
      </c>
      <c r="J91" s="7">
        <v>1</v>
      </c>
      <c r="K91" s="98" t="str">
        <f t="shared" si="42"/>
        <v>4027/4028</v>
      </c>
      <c r="L91" s="21" t="str">
        <f>VLOOKUP(A91,'Trips&amp;Operators'!$C$1:$G$99999,5,FALSE)</f>
        <v>KILLION DAVID</v>
      </c>
      <c r="M91" s="6">
        <f t="shared" si="43"/>
        <v>2.4768518516793847E-2</v>
      </c>
      <c r="N91" s="7">
        <f t="shared" si="39"/>
        <v>35.66666666418314</v>
      </c>
      <c r="O91" s="7"/>
      <c r="P91" s="7"/>
      <c r="Q91" s="22"/>
      <c r="R91" s="22"/>
      <c r="S91" s="31">
        <f t="shared" si="44"/>
        <v>1</v>
      </c>
      <c r="T91" s="46" t="str">
        <f t="shared" si="45"/>
        <v>NorthBound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7" t="str">
        <f t="shared" si="46"/>
        <v>https://d0f6bd738d7f1b3e5a7ca70fe4ff75f0.us-east-1.aws.found.io/app/kibana#/discover/Steve-Slow-Train-Analysis-(2080s-and-2083s)?_g=(refreshInterval:(display:Off,pause:!f,section:0,value:0),time:(from:'2017-02-11T12:21:29-0700',mode:absolute,to:'2017-02-11T15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1" s="188" t="str">
        <f t="shared" si="47"/>
        <v>N</v>
      </c>
      <c r="X91" s="188">
        <f t="shared" si="41"/>
        <v>1</v>
      </c>
      <c r="Y91" s="62">
        <f t="shared" si="48"/>
        <v>4.4600000000000001E-2</v>
      </c>
      <c r="Z91" s="62">
        <f t="shared" si="49"/>
        <v>23.330100000000002</v>
      </c>
      <c r="AA91" s="62">
        <f t="shared" si="50"/>
        <v>23.285500000000003</v>
      </c>
      <c r="AB91" s="59" t="e">
        <f>VLOOKUP(A91,Enforcements!$C$7:$K$14,8,0)</f>
        <v>#N/A</v>
      </c>
      <c r="AC91" s="55" t="e">
        <f>VLOOKUP(A91,Enforcements!$C$7:$E$14,3,0)</f>
        <v>#N/A</v>
      </c>
      <c r="AD91" s="56" t="str">
        <f t="shared" si="51"/>
        <v>0179-11</v>
      </c>
      <c r="AE91" s="85" t="str">
        <f t="shared" si="52"/>
        <v>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 &amp; 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</v>
      </c>
      <c r="AF91" s="82" t="str">
        <f t="shared" si="53"/>
        <v>"C:\Program Files (x86)\AstroGrep\AstroGrep.exe" /spath="%USERPROFILE%\AppData\Local\Temp\OnboardLogs" /stypes="app*4027*20170211*" /stext=" 21:.+((SYSTEM_STATE.+slice.+state.+changed )|(ment ac)|(multiple cpu faults)|(system.+state.+changed )|(\[timeout)|(PRM\|1\|D)|(kpr)|(kdp)|(\|lc)|(penalty))" /e /r /s</v>
      </c>
      <c r="AG91" s="1" t="str">
        <f t="shared" si="54"/>
        <v>EC</v>
      </c>
      <c r="AH91" s="86" t="str">
        <f t="shared" si="55"/>
        <v>"%USERPROFILE%\Documents\GitHub\eaglep3\Utilities\RefineRTDCRunTimes.py" --tripid 179-11 --locoid 4027 --swversion DE.1.0.8.0 --startMP 204:446 --initTime 2017-02-11T13:21:29 --startdatetime 2017-02-11T13:30:28 --delay 1 --endMP 204:233301 --enddatetime 2017-02-11T14:06:08 --enforcementcount 1 &gt;&gt;C:\Users\stu\Documents\GitHub\eaglep3-reporting\EC\2017-02-11-refined-times.txt</v>
      </c>
      <c r="AI91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{"issue":{"subject":"","project_id":79,"tracker_id":40,"status_id":1,"priority_id":2,"assigned_to_id":23,"start_date":"2017-02-11","description":"","custom_fields":[{"id":1,"name":"Subdivision","value":"EC"},{"id":4,"name":"Milepost","value":"23.3301"},{"id":17,"name":"Train ID","value":"179-11"},{"id":16,"name":"Locomotive ID","value":"4027"},{"id":130,"name":"Impact","value":""},{"id":150,"name":"Time of Event (Mountain Time)","value":"14:06:08"},{"id":151,"name":"Denver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57"/>
        <v>start /low /b %USERPROFILE%\Documents\GitHub\eaglep3\Utilities\DownloadLogsFromS3.py --loco 4027 --day 2017-02-11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"%USERPROFILE%\AppData\Local\Temp\OnboardLogs"\RTDC4027\*4027*20170211* | grep -SE "(Enforcement Action)|(\[TIMEOUT)|(CHR.+\|PRM\|1\|D.+(SWITCH|SIGNAL).+UNKNOWN)" - &gt;&gt; 2017-02-11-UncaughtWiMAX.txt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653</v>
      </c>
      <c r="B92" s="7">
        <v>4028</v>
      </c>
      <c r="C92" s="21" t="s">
        <v>193</v>
      </c>
      <c r="D92" s="21" t="s">
        <v>361</v>
      </c>
      <c r="E92" s="13">
        <v>42777.598587962966</v>
      </c>
      <c r="F92" s="13">
        <v>42777.6015625</v>
      </c>
      <c r="G92" s="7">
        <v>1</v>
      </c>
      <c r="H92" s="21" t="s">
        <v>195</v>
      </c>
      <c r="I92" s="13">
        <v>42777.628032407411</v>
      </c>
      <c r="J92" s="7">
        <v>1</v>
      </c>
      <c r="K92" s="98" t="str">
        <f t="shared" si="42"/>
        <v>4027/4028</v>
      </c>
      <c r="L92" s="21" t="str">
        <f>VLOOKUP(A92,'Trips&amp;Operators'!$C$1:$G$99999,5,FALSE)</f>
        <v>KILLION DAVID</v>
      </c>
      <c r="M92" s="6">
        <f t="shared" si="43"/>
        <v>2.6469907410501037E-2</v>
      </c>
      <c r="N92" s="7">
        <f t="shared" si="39"/>
        <v>38.116666671121493</v>
      </c>
      <c r="O92" s="7"/>
      <c r="P92" s="7"/>
      <c r="Q92" s="22"/>
      <c r="R92" s="22"/>
      <c r="S92" s="31">
        <f t="shared" si="44"/>
        <v>1</v>
      </c>
      <c r="T92" s="46" t="str">
        <f t="shared" si="45"/>
        <v>Southbound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 t="shared" si="46"/>
        <v>https://d0f6bd738d7f1b3e5a7ca70fe4ff75f0.us-east-1.aws.found.io/app/kibana#/discover/Steve-Slow-Train-Analysis-(2080s-and-2083s)?_g=(refreshInterval:(display:Off,pause:!f,section:0,value:0),time:(from:'2017-02-11T13:21:58-0700',mode:absolute,to:'2017-02-11T16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2" s="188" t="str">
        <f t="shared" si="47"/>
        <v>N</v>
      </c>
      <c r="X92" s="188">
        <f t="shared" si="41"/>
        <v>1</v>
      </c>
      <c r="Y92" s="62">
        <f t="shared" si="48"/>
        <v>23.298400000000001</v>
      </c>
      <c r="Z92" s="62">
        <f t="shared" si="49"/>
        <v>1.4999999999999999E-2</v>
      </c>
      <c r="AA92" s="62">
        <f t="shared" si="50"/>
        <v>23.2834</v>
      </c>
      <c r="AB92" s="59" t="e">
        <f>VLOOKUP(A92,Enforcements!$C$7:$K$14,8,0)</f>
        <v>#N/A</v>
      </c>
      <c r="AC92" s="55" t="e">
        <f>VLOOKUP(A92,Enforcements!$C$7:$E$14,3,0)</f>
        <v>#N/A</v>
      </c>
      <c r="AD92" s="56" t="str">
        <f t="shared" si="51"/>
        <v>0180-11</v>
      </c>
      <c r="AE92" s="85" t="str">
        <f t="shared" si="52"/>
        <v>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 &amp; 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</v>
      </c>
      <c r="AF92" s="82" t="str">
        <f t="shared" si="53"/>
        <v>"C:\Program Files (x86)\AstroGrep\AstroGrep.exe" /spath="%USERPROFILE%\AppData\Local\Temp\OnboardLogs" /stypes="app*4028*20170211*" /stext=" 22:.+((SYSTEM_STATE.+slice.+state.+changed )|(ment ac)|(multiple cpu faults)|(system.+state.+changed )|(\[timeout)|(PRM\|1\|D)|(kpr)|(kdp)|(\|lc)|(penalty))" /e /r /s</v>
      </c>
      <c r="AG92" s="1" t="str">
        <f t="shared" si="54"/>
        <v>EC</v>
      </c>
      <c r="AH92" s="86" t="str">
        <f t="shared" si="55"/>
        <v>"%USERPROFILE%\Documents\GitHub\eaglep3\Utilities\RefineRTDCRunTimes.py" --tripid 180-11 --locoid 4028 --swversion DE.1.0.8.0 --startMP 204:232984 --initTime 2017-02-11T14:21:58 --startdatetime 2017-02-11T14:26:15 --delay 1 --endMP 204:150 --enddatetime 2017-02-11T15:04:22 --enforcementcount 1 &gt;&gt;C:\Users\stu\Documents\GitHub\eaglep3-reporting\EC\2017-02-11-refined-times.txt</v>
      </c>
      <c r="AI92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{"issue":{"subject":"","project_id":79,"tracker_id":40,"status_id":1,"priority_id":2,"assigned_to_id":23,"start_date":"2017-02-11","description":"","custom_fields":[{"id":1,"name":"Subdivision","value":"EC"},{"id":4,"name":"Milepost","value":"0.015"},{"id":17,"name":"Train ID","value":"180-11"},{"id":16,"name":"Locomotive ID","value":"4028"},{"id":130,"name":"Impact","value":""},{"id":150,"name":"Time of Event (Mountain Time)","value":"15:04:22"},{"id":151,"name":"Denver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57"/>
        <v>start /low /b %USERPROFILE%\Documents\GitHub\eaglep3\Utilities\DownloadLogsFromS3.py --loco 4028 --day 2017-02-11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"%USERPROFILE%\AppData\Local\Temp\OnboardLogs"\RTDC4028\*4028*20170211* | grep -SE "(Enforcement Action)|(\[TIMEOUT)|(CHR.+\|PRM\|1\|D.+(SWITCH|SIGNAL).+UNKNOWN)" - &gt;&gt; 2017-02-11-UncaughtWiMAX.txt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648</v>
      </c>
      <c r="B93" s="7">
        <v>4020</v>
      </c>
      <c r="C93" s="21" t="s">
        <v>193</v>
      </c>
      <c r="D93" s="21" t="s">
        <v>789</v>
      </c>
      <c r="E93" s="13">
        <v>42777.56994212963</v>
      </c>
      <c r="F93" s="13">
        <v>42777.57309027778</v>
      </c>
      <c r="G93" s="7">
        <v>1</v>
      </c>
      <c r="H93" s="21" t="s">
        <v>356</v>
      </c>
      <c r="I93" s="13">
        <v>42777.598715277774</v>
      </c>
      <c r="J93" s="7">
        <v>1</v>
      </c>
      <c r="K93" s="98" t="str">
        <f t="shared" si="42"/>
        <v>4019/4020</v>
      </c>
      <c r="L93" s="21" t="str">
        <f>VLOOKUP(A93,'Trips&amp;Operators'!$C$1:$G$99999,5,FALSE)</f>
        <v>LEVIN SCOTT</v>
      </c>
      <c r="M93" s="6">
        <f t="shared" si="43"/>
        <v>2.5624999994761311E-2</v>
      </c>
      <c r="N93" s="7">
        <f t="shared" si="39"/>
        <v>36.899999992456287</v>
      </c>
      <c r="O93" s="7"/>
      <c r="P93" s="7"/>
      <c r="Q93" s="22"/>
      <c r="R93" s="22"/>
      <c r="S93" s="31">
        <f t="shared" si="44"/>
        <v>1</v>
      </c>
      <c r="T93" s="46" t="str">
        <f t="shared" si="45"/>
        <v>NorthBound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 t="shared" si="46"/>
        <v>https://d0f6bd738d7f1b3e5a7ca70fe4ff75f0.us-east-1.aws.found.io/app/kibana#/discover/Steve-Slow-Train-Analysis-(2080s-and-2083s)?_g=(refreshInterval:(display:Off,pause:!f,section:0,value:0),time:(from:'2017-02-11T12:40:43-0700',mode:absolute,to:'2017-02-11T15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3" s="188" t="str">
        <f t="shared" si="47"/>
        <v>N</v>
      </c>
      <c r="X93" s="188">
        <f t="shared" si="41"/>
        <v>1</v>
      </c>
      <c r="Y93" s="62">
        <f t="shared" si="48"/>
        <v>3.9800000000000002E-2</v>
      </c>
      <c r="Z93" s="62">
        <f t="shared" si="49"/>
        <v>23.3323</v>
      </c>
      <c r="AA93" s="62">
        <f t="shared" si="50"/>
        <v>23.2925</v>
      </c>
      <c r="AB93" s="59" t="e">
        <f>VLOOKUP(A93,Enforcements!$C$7:$K$14,8,0)</f>
        <v>#N/A</v>
      </c>
      <c r="AC93" s="55" t="e">
        <f>VLOOKUP(A93,Enforcements!$C$7:$E$14,3,0)</f>
        <v>#N/A</v>
      </c>
      <c r="AD93" s="56" t="str">
        <f t="shared" si="51"/>
        <v>0181-11</v>
      </c>
      <c r="AE93" s="85" t="str">
        <f t="shared" si="52"/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AF93" s="82" t="str">
        <f t="shared" si="53"/>
        <v>"C:\Program Files (x86)\AstroGrep\AstroGrep.exe" /spath="%USERPROFILE%\AppData\Local\Temp\OnboardLogs" /stypes="app*4020*20170211*" /stext=" 21:.+((SYSTEM_STATE.+slice.+state.+changed )|(ment ac)|(multiple cpu faults)|(system.+state.+changed )|(\[timeout)|(PRM\|1\|D)|(kpr)|(kdp)|(\|lc)|(penalty))" /e /r /s</v>
      </c>
      <c r="AG93" s="1" t="str">
        <f t="shared" si="54"/>
        <v>EC</v>
      </c>
      <c r="AH93" s="86" t="str">
        <f t="shared" si="55"/>
        <v>"%USERPROFILE%\Documents\GitHub\eaglep3\Utilities\RefineRTDCRunTimes.py" --tripid 181-11 --locoid 4020 --swversion DE.1.0.8.0 --startMP 204:398 --initTime 2017-02-11T13:40:43 --startdatetime 2017-02-11T13:45:15 --delay 1 --endMP 204:233323 --enddatetime 2017-02-11T14:22:09 --enforcementcount 1 &gt;&gt;C:\Users\stu\Documents\GitHub\eaglep3-reporting\EC\2017-02-11-refined-times.txt</v>
      </c>
      <c r="AI93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{"issue":{"subject":"","project_id":79,"tracker_id":40,"status_id":1,"priority_id":2,"assigned_to_id":23,"start_date":"2017-02-11","description":"","custom_fields":[{"id":1,"name":"Subdivision","value":"EC"},{"id":4,"name":"Milepost","value":"23.3323"},{"id":17,"name":"Train ID","value":"181-11"},{"id":16,"name":"Locomotive ID","value":"4020"},{"id":130,"name":"Impact","value":""},{"id":150,"name":"Time of Event (Mountain Time)","value":"14:22:09"},{"id":151,"name":"Denver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57"/>
        <v>start /low /b %USERPROFILE%\Documents\GitHub\eaglep3\Utilities\DownloadLogsFromS3.py --loco 4020 --day 2017-02-11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"%USERPROFILE%\AppData\Local\Temp\OnboardLogs"\RTDC4020\*4020*20170211* | grep -SE "(Enforcement Action)|(\[TIMEOUT)|(CHR.+\|PRM\|1\|D.+(SWITCH|SIGNAL).+UNKNOWN)" - &gt;&gt; 2017-02-11-UncaughtWiMAX.txt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3" t="s">
        <v>655</v>
      </c>
      <c r="B94" s="7">
        <v>4019</v>
      </c>
      <c r="C94" s="21" t="s">
        <v>193</v>
      </c>
      <c r="D94" s="21" t="s">
        <v>803</v>
      </c>
      <c r="E94" s="13">
        <v>42777.608287037037</v>
      </c>
      <c r="F94" s="13">
        <v>42777.611979166664</v>
      </c>
      <c r="G94" s="7">
        <v>1</v>
      </c>
      <c r="H94" s="21" t="s">
        <v>184</v>
      </c>
      <c r="I94" s="13">
        <v>42777.640613425923</v>
      </c>
      <c r="J94" s="7">
        <v>1</v>
      </c>
      <c r="K94" s="98" t="str">
        <f t="shared" si="42"/>
        <v>4019/4020</v>
      </c>
      <c r="L94" s="21" t="str">
        <f>VLOOKUP(A94,'Trips&amp;Operators'!$C$1:$G$99999,5,FALSE)</f>
        <v>LEVIN SCOTT</v>
      </c>
      <c r="M94" s="6">
        <f t="shared" si="43"/>
        <v>2.8634259258979E-2</v>
      </c>
      <c r="N94" s="7">
        <f t="shared" si="39"/>
        <v>41.23333333292976</v>
      </c>
      <c r="O94" s="7"/>
      <c r="P94" s="7"/>
      <c r="Q94" s="22"/>
      <c r="R94" s="22"/>
      <c r="S94" s="31">
        <f t="shared" si="44"/>
        <v>1</v>
      </c>
      <c r="T94" s="46" t="str">
        <f t="shared" si="45"/>
        <v>Southbound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 t="shared" si="46"/>
        <v>https://d0f6bd738d7f1b3e5a7ca70fe4ff75f0.us-east-1.aws.found.io/app/kibana#/discover/Steve-Slow-Train-Analysis-(2080s-and-2083s)?_g=(refreshInterval:(display:Off,pause:!f,section:0,value:0),time:(from:'2017-02-11T13:35:56-0700',mode:absolute,to:'2017-02-11T16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4" s="188" t="str">
        <f t="shared" si="47"/>
        <v>N</v>
      </c>
      <c r="X94" s="188">
        <f t="shared" si="41"/>
        <v>1</v>
      </c>
      <c r="Y94" s="62">
        <f t="shared" si="48"/>
        <v>23.302499999999998</v>
      </c>
      <c r="Z94" s="62">
        <f t="shared" si="49"/>
        <v>1.49E-2</v>
      </c>
      <c r="AA94" s="62">
        <f t="shared" si="50"/>
        <v>23.287599999999998</v>
      </c>
      <c r="AB94" s="59" t="e">
        <f>VLOOKUP(A94,Enforcements!$C$7:$K$14,8,0)</f>
        <v>#N/A</v>
      </c>
      <c r="AC94" s="55" t="e">
        <f>VLOOKUP(A94,Enforcements!$C$7:$E$14,3,0)</f>
        <v>#N/A</v>
      </c>
      <c r="AD94" s="56" t="str">
        <f t="shared" si="51"/>
        <v>0182-11</v>
      </c>
      <c r="AE94" s="85" t="str">
        <f t="shared" si="52"/>
        <v>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 &amp; 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</v>
      </c>
      <c r="AF94" s="82" t="str">
        <f t="shared" si="53"/>
        <v>"C:\Program Files (x86)\AstroGrep\AstroGrep.exe" /spath="%USERPROFILE%\AppData\Local\Temp\OnboardLogs" /stypes="app*4019*20170211*" /stext=" 22:.+((SYSTEM_STATE.+slice.+state.+changed )|(ment ac)|(multiple cpu faults)|(system.+state.+changed )|(\[timeout)|(PRM\|1\|D)|(kpr)|(kdp)|(\|lc)|(penalty))" /e /r /s</v>
      </c>
      <c r="AG94" s="1" t="str">
        <f t="shared" si="54"/>
        <v>EC</v>
      </c>
      <c r="AH94" s="86" t="str">
        <f t="shared" si="55"/>
        <v>"%USERPROFILE%\Documents\GitHub\eaglep3\Utilities\RefineRTDCRunTimes.py" --tripid 182-11 --locoid 4019 --swversion DE.1.0.8.0 --startMP 204:233025 --initTime 2017-02-11T14:35:56 --startdatetime 2017-02-11T14:41:15 --delay 1 --endMP 204:149 --enddatetime 2017-02-11T15:22:29 --enforcementcount 1 &gt;&gt;C:\Users\stu\Documents\GitHub\eaglep3-reporting\EC\2017-02-11-refined-times.txt</v>
      </c>
      <c r="AI94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{"issue":{"subject":"","project_id":79,"tracker_id":40,"status_id":1,"priority_id":2,"assigned_to_id":23,"start_date":"2017-02-11","description":"","custom_fields":[{"id":1,"name":"Subdivision","value":"EC"},{"id":4,"name":"Milepost","value":"0.0149"},{"id":17,"name":"Train ID","value":"182-11"},{"id":16,"name":"Locomotive ID","value":"4019"},{"id":130,"name":"Impact","value":""},{"id":150,"name":"Time of Event (Mountain Time)","value":"15:22:29"},{"id":151,"name":"Denver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57"/>
        <v>start /low /b %USERPROFILE%\Documents\GitHub\eaglep3\Utilities\DownloadLogsFromS3.py --loco 4019 --day 2017-02-11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"%USERPROFILE%\AppData\Local\Temp\OnboardLogs"\RTDC4019\*4019*20170211* | grep -SE "(Enforcement Action)|(\[TIMEOUT)|(CHR.+\|PRM\|1\|D.+(SWITCH|SIGNAL).+UNKNOWN)" - &gt;&gt; 2017-02-11-UncaughtWiMAX.txt</v>
      </c>
    </row>
    <row r="95" spans="1:91" s="20" customFormat="1" x14ac:dyDescent="0.25">
      <c r="A95" s="33" t="s">
        <v>650</v>
      </c>
      <c r="B95" s="7">
        <v>4029</v>
      </c>
      <c r="C95" s="21" t="s">
        <v>193</v>
      </c>
      <c r="D95" s="21" t="s">
        <v>358</v>
      </c>
      <c r="E95" s="13">
        <v>42777.577708333331</v>
      </c>
      <c r="F95" s="13">
        <v>42777.583495370367</v>
      </c>
      <c r="G95" s="7">
        <v>1</v>
      </c>
      <c r="H95" s="21" t="s">
        <v>817</v>
      </c>
      <c r="I95" s="13">
        <v>42777.608946759261</v>
      </c>
      <c r="J95" s="7">
        <v>1</v>
      </c>
      <c r="K95" s="98" t="str">
        <f t="shared" si="42"/>
        <v>4029/4030</v>
      </c>
      <c r="L95" s="21" t="str">
        <f>VLOOKUP(A95,'Trips&amp;Operators'!$C$1:$G$99999,5,FALSE)</f>
        <v>ROMERO CHAD</v>
      </c>
      <c r="M95" s="6">
        <f t="shared" si="43"/>
        <v>2.5451388893998228E-2</v>
      </c>
      <c r="N95" s="7">
        <f t="shared" si="39"/>
        <v>36.650000007357448</v>
      </c>
      <c r="O95" s="7"/>
      <c r="P95" s="7"/>
      <c r="Q95" s="22"/>
      <c r="R95" s="22"/>
      <c r="S95" s="31">
        <f t="shared" si="44"/>
        <v>1</v>
      </c>
      <c r="T95" s="46" t="str">
        <f t="shared" si="45"/>
        <v>NorthBound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 t="shared" si="46"/>
        <v>https://d0f6bd738d7f1b3e5a7ca70fe4ff75f0.us-east-1.aws.found.io/app/kibana#/discover/Steve-Slow-Train-Analysis-(2080s-and-2083s)?_g=(refreshInterval:(display:Off,pause:!f,section:0,value:0),time:(from:'2017-02-11T12:51:54-0700',mode:absolute,to:'2017-02-11T15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5" s="188" t="str">
        <f t="shared" si="47"/>
        <v>N</v>
      </c>
      <c r="X95" s="188">
        <f t="shared" si="41"/>
        <v>1</v>
      </c>
      <c r="Y95" s="62">
        <f t="shared" si="48"/>
        <v>4.3299999999999998E-2</v>
      </c>
      <c r="Z95" s="62">
        <f t="shared" si="49"/>
        <v>23.331600000000002</v>
      </c>
      <c r="AA95" s="62">
        <f t="shared" si="50"/>
        <v>23.288300000000003</v>
      </c>
      <c r="AB95" s="59" t="e">
        <f>VLOOKUP(A95,Enforcements!$C$7:$K$14,8,0)</f>
        <v>#N/A</v>
      </c>
      <c r="AC95" s="55" t="e">
        <f>VLOOKUP(A95,Enforcements!$C$7:$E$14,3,0)</f>
        <v>#N/A</v>
      </c>
      <c r="AD95" s="56" t="str">
        <f t="shared" si="51"/>
        <v>0183-11</v>
      </c>
      <c r="AE95" s="85" t="str">
        <f t="shared" si="52"/>
        <v>aws s3 cp s3://rtdc.mdm.uploadarchive.raw/RTDC4029/ "%USERPROFILE%\AppData\Local\Temp\OnboardLogs"\RTDC4029\2017-02-11 --exclude "*" --recursive --include "*20170211*" &amp; "%USERPROFILE%\Documents\GitHub\mrs-test-scripts\Headless Mode &amp; Sideloading\WalkAndUnGZ.bat" "%USERPROFILE%\AppData\Local\Temp\OnboardLogs"\RTDC4029\2017-02-11 &amp; 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</v>
      </c>
      <c r="AF95" s="82" t="str">
        <f t="shared" si="53"/>
        <v>"C:\Program Files (x86)\AstroGrep\AstroGrep.exe" /spath="%USERPROFILE%\AppData\Local\Temp\OnboardLogs" /stypes="app*4029*20170211*" /stext=" 21:.+((SYSTEM_STATE.+slice.+state.+changed )|(ment ac)|(multiple cpu faults)|(system.+state.+changed )|(\[timeout)|(PRM\|1\|D)|(kpr)|(kdp)|(\|lc)|(penalty))" /e /r /s</v>
      </c>
      <c r="AG95" s="1" t="str">
        <f t="shared" si="54"/>
        <v>EC</v>
      </c>
      <c r="AH95" s="86" t="str">
        <f t="shared" si="55"/>
        <v>"%USERPROFILE%\Documents\GitHub\eaglep3\Utilities\RefineRTDCRunTimes.py" --tripid 183-11 --locoid 4029 --swversion DE.1.0.8.0 --startMP 204:433 --initTime 2017-02-11T13:51:54 --startdatetime 2017-02-11T14:00:14 --delay 1 --endMP 204:233316 --enddatetime 2017-02-11T14:36:53 --enforcementcount 1 &gt;&gt;C:\Users\stu\Documents\GitHub\eaglep3-reporting\EC\2017-02-11-refined-times.txt</v>
      </c>
      <c r="AI95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{"issue":{"subject":"","project_id":79,"tracker_id":40,"status_id":1,"priority_id":2,"assigned_to_id":23,"start_date":"2017-02-11","description":"","custom_fields":[{"id":1,"name":"Subdivision","value":"EC"},{"id":4,"name":"Milepost","value":"23.3316"},{"id":17,"name":"Train ID","value":"183-11"},{"id":16,"name":"Locomotive ID","value":"4029"},{"id":130,"name":"Impact","value":""},{"id":150,"name":"Time of Event (Mountain Time)","value":"14:36:53"},{"id":151,"name":"Denver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57"/>
        <v>start /low /b %USERPROFILE%\Documents\GitHub\eaglep3\Utilities\DownloadLogsFromS3.py --loco 4029 --day 2017-02-11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"%USERPROFILE%\AppData\Local\Temp\OnboardLogs"\RTDC4029\*4029*20170211* | grep -SE "(Enforcement Action)|(\[TIMEOUT)|(CHR.+\|PRM\|1\|D.+(SWITCH|SIGNAL).+UNKNOWN)" - &gt;&gt; 2017-02-11-UncaughtWiMAX.txt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520</v>
      </c>
      <c r="B96" s="7">
        <v>4030</v>
      </c>
      <c r="C96" s="21" t="s">
        <v>193</v>
      </c>
      <c r="D96" s="21" t="s">
        <v>360</v>
      </c>
      <c r="E96" s="13">
        <v>42777.610879629632</v>
      </c>
      <c r="F96" s="13">
        <v>42777.622534722221</v>
      </c>
      <c r="G96" s="7">
        <v>1</v>
      </c>
      <c r="H96" s="21" t="s">
        <v>232</v>
      </c>
      <c r="I96" s="13">
        <v>42777.64880787037</v>
      </c>
      <c r="J96" s="7">
        <v>1</v>
      </c>
      <c r="K96" s="98" t="str">
        <f t="shared" si="42"/>
        <v>4029/4030</v>
      </c>
      <c r="L96" s="21" t="str">
        <f>VLOOKUP(A96,'Trips&amp;Operators'!$C$1:$G$99999,5,FALSE)</f>
        <v>ROMERO CHAD</v>
      </c>
      <c r="M96" s="6">
        <f t="shared" si="43"/>
        <v>2.6273148148902692E-2</v>
      </c>
      <c r="N96" s="7">
        <f t="shared" si="39"/>
        <v>37.833333334419876</v>
      </c>
      <c r="O96" s="7"/>
      <c r="P96" s="7"/>
      <c r="Q96" s="22"/>
      <c r="R96" s="22"/>
      <c r="S96" s="31">
        <f t="shared" si="44"/>
        <v>1</v>
      </c>
      <c r="T96" s="46" t="str">
        <f t="shared" si="45"/>
        <v>Southbound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 t="shared" si="46"/>
        <v>https://d0f6bd738d7f1b3e5a7ca70fe4ff75f0.us-east-1.aws.found.io/app/kibana#/discover/Steve-Slow-Train-Analysis-(2080s-and-2083s)?_g=(refreshInterval:(display:Off,pause:!f,section:0,value:0),time:(from:'2017-02-11T13:39:40-0700',mode:absolute,to:'2017-02-11T16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6" s="188" t="str">
        <f t="shared" si="47"/>
        <v>N</v>
      </c>
      <c r="X96" s="188">
        <f t="shared" si="41"/>
        <v>1</v>
      </c>
      <c r="Y96" s="62">
        <f t="shared" si="48"/>
        <v>23.2986</v>
      </c>
      <c r="Z96" s="62">
        <f t="shared" si="49"/>
        <v>1.43E-2</v>
      </c>
      <c r="AA96" s="62">
        <f t="shared" si="50"/>
        <v>23.284300000000002</v>
      </c>
      <c r="AB96" s="59" t="str">
        <f>VLOOKUP(A96,Enforcements!$C$7:$K$14,8,0)</f>
        <v>Speed (6)</v>
      </c>
      <c r="AC96" s="55" t="str">
        <f>VLOOKUP(A96,Enforcements!$C$7:$E$14,3,0)</f>
        <v>PERMANENT SPEED RESTRICTION</v>
      </c>
      <c r="AD96" s="56" t="str">
        <f t="shared" si="51"/>
        <v>0184-11</v>
      </c>
      <c r="AE96" s="85" t="str">
        <f t="shared" si="52"/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AF96" s="82" t="str">
        <f t="shared" si="53"/>
        <v>"C:\Program Files (x86)\AstroGrep\AstroGrep.exe" /spath="%USERPROFILE%\AppData\Local\Temp\OnboardLogs" /stypes="app*4030*20170211*" /stext=" 22:.+((SYSTEM_STATE.+slice.+state.+changed )|(ment ac)|(multiple cpu faults)|(system.+state.+changed )|(\[timeout)|(PRM\|1\|D)|(kpr)|(kdp)|(\|lc)|(penalty))" /e /r /s</v>
      </c>
      <c r="AG96" s="1" t="str">
        <f t="shared" si="54"/>
        <v>EC</v>
      </c>
      <c r="AH96" s="86" t="str">
        <f t="shared" si="55"/>
        <v>"%USERPROFILE%\Documents\GitHub\eaglep3\Utilities\RefineRTDCRunTimes.py" --tripid 184-11 --locoid 4030 --swversion DE.1.0.8.0 --startMP 204:232986 --initTime 2017-02-11T14:39:40 --startdatetime 2017-02-11T14:56:27 --delay 1 --endMP 204:143 --enddatetime 2017-02-11T15:34:17 --enforcementcount 1 &gt;&gt;C:\Users\stu\Documents\GitHub\eaglep3-reporting\EC\2017-02-11-refined-times.txt</v>
      </c>
      <c r="AI96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{"issue":{"subject":"","project_id":79,"tracker_id":40,"status_id":1,"priority_id":2,"assigned_to_id":23,"start_date":"2017-02-11","description":"","custom_fields":[{"id":1,"name":"Subdivision","value":"EC"},{"id":4,"name":"Milepost","value":"0.0143"},{"id":17,"name":"Train ID","value":"184-11"},{"id":16,"name":"Locomotive ID","value":"4030"},{"id":130,"name":"Impact","value":""},{"id":150,"name":"Time of Event (Mountain Time)","value":"15:34:17"},{"id":151,"name":"Denver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57"/>
        <v>start /low /b %USERPROFILE%\Documents\GitHub\eaglep3\Utilities\DownloadLogsFromS3.py --loco 4030 --day 2017-02-11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"%USERPROFILE%\AppData\Local\Temp\OnboardLogs"\RTDC4030\*4030*20170211* | grep -SE "(Enforcement Action)|(\[TIMEOUT)|(CHR.+\|PRM\|1\|D.+(SWITCH|SIGNAL).+UNKNOWN)" - &gt;&gt; 2017-02-11-UncaughtWiMAX.txt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652</v>
      </c>
      <c r="B97" s="7">
        <v>4011</v>
      </c>
      <c r="C97" s="21" t="s">
        <v>193</v>
      </c>
      <c r="D97" s="21" t="s">
        <v>206</v>
      </c>
      <c r="E97" s="13">
        <v>42777.587997685187</v>
      </c>
      <c r="F97" s="13">
        <v>42777.593900462962</v>
      </c>
      <c r="G97" s="7">
        <v>1</v>
      </c>
      <c r="H97" s="21" t="s">
        <v>821</v>
      </c>
      <c r="I97" s="13">
        <v>42777.618564814817</v>
      </c>
      <c r="J97" s="7">
        <v>1</v>
      </c>
      <c r="K97" s="98" t="str">
        <f t="shared" si="42"/>
        <v>4011/4012</v>
      </c>
      <c r="L97" s="21" t="str">
        <f>VLOOKUP(A97,'Trips&amp;Operators'!$C$1:$G$99999,5,FALSE)</f>
        <v>BRANNON JEFFREY</v>
      </c>
      <c r="M97" s="6">
        <f t="shared" si="43"/>
        <v>2.4664351854880806E-2</v>
      </c>
      <c r="N97" s="7">
        <f t="shared" si="39"/>
        <v>35.516666671028361</v>
      </c>
      <c r="O97" s="7"/>
      <c r="P97" s="7"/>
      <c r="Q97" s="22"/>
      <c r="R97" s="22"/>
      <c r="S97" s="31">
        <f t="shared" si="44"/>
        <v>1</v>
      </c>
      <c r="T97" s="46" t="str">
        <f t="shared" si="45"/>
        <v>NorthBound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 t="shared" si="46"/>
        <v>https://d0f6bd738d7f1b3e5a7ca70fe4ff75f0.us-east-1.aws.found.io/app/kibana#/discover/Steve-Slow-Train-Analysis-(2080s-and-2083s)?_g=(refreshInterval:(display:Off,pause:!f,section:0,value:0),time:(from:'2017-02-11T13:06:43-0700',mode:absolute,to:'2017-02-11T15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7" s="188" t="str">
        <f t="shared" si="47"/>
        <v>N</v>
      </c>
      <c r="X97" s="188">
        <f t="shared" ref="X97:X117" si="58">VALUE(LEFT(AD97,4))-VALUE(LEFT(AD96,4))</f>
        <v>1</v>
      </c>
      <c r="Y97" s="62">
        <f t="shared" si="48"/>
        <v>4.6199999999999998E-2</v>
      </c>
      <c r="Z97" s="62">
        <f t="shared" si="49"/>
        <v>23.330200000000001</v>
      </c>
      <c r="AA97" s="62">
        <f t="shared" si="50"/>
        <v>23.284000000000002</v>
      </c>
      <c r="AB97" s="59" t="e">
        <f>VLOOKUP(A97,Enforcements!$C$7:$K$14,8,0)</f>
        <v>#N/A</v>
      </c>
      <c r="AC97" s="55" t="e">
        <f>VLOOKUP(A97,Enforcements!$C$7:$E$14,3,0)</f>
        <v>#N/A</v>
      </c>
      <c r="AD97" s="56" t="str">
        <f t="shared" si="51"/>
        <v>0185-11</v>
      </c>
      <c r="AE97" s="85" t="str">
        <f t="shared" si="52"/>
        <v>aws s3 cp s3://rtdc.mdm.uploadarchive.raw/RTDC4011/ "%USERPROFILE%\AppData\Local\Temp\OnboardLogs"\RTDC4011\2017-02-11 --exclude "*" --recursive --include "*20170211*" &amp; "%USERPROFILE%\Documents\GitHub\mrs-test-scripts\Headless Mode &amp; Sideloading\WalkAndUnGZ.bat" "%USERPROFILE%\AppData\Local\Temp\OnboardLogs"\RTDC4011\2017-02-11 &amp; 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</v>
      </c>
      <c r="AF97" s="82" t="str">
        <f t="shared" si="53"/>
        <v>"C:\Program Files (x86)\AstroGrep\AstroGrep.exe" /spath="%USERPROFILE%\AppData\Local\Temp\OnboardLogs" /stypes="app*4011*20170211*" /stext=" 21:.+((SYSTEM_STATE.+slice.+state.+changed )|(ment ac)|(multiple cpu faults)|(system.+state.+changed )|(\[timeout)|(PRM\|1\|D)|(kpr)|(kdp)|(\|lc)|(penalty))" /e /r /s</v>
      </c>
      <c r="AG97" s="1" t="str">
        <f t="shared" si="54"/>
        <v>EC</v>
      </c>
      <c r="AH97" s="86" t="str">
        <f t="shared" si="55"/>
        <v>"%USERPROFILE%\Documents\GitHub\eaglep3\Utilities\RefineRTDCRunTimes.py" --tripid 185-11 --locoid 4011 --swversion DE.1.0.8.0 --startMP 204:462 --initTime 2017-02-11T14:06:43 --startdatetime 2017-02-11T14:15:13 --delay 1 --endMP 204:233302 --enddatetime 2017-02-11T14:50:44 --enforcementcount 1 &gt;&gt;C:\Users\stu\Documents\GitHub\eaglep3-reporting\EC\2017-02-11-refined-times.txt</v>
      </c>
      <c r="AI97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{"issue":{"subject":"","project_id":79,"tracker_id":40,"status_id":1,"priority_id":2,"assigned_to_id":23,"start_date":"2017-02-11","description":"","custom_fields":[{"id":1,"name":"Subdivision","value":"EC"},{"id":4,"name":"Milepost","value":"23.3302"},{"id":17,"name":"Train ID","value":"185-11"},{"id":16,"name":"Locomotive ID","value":"4011"},{"id":130,"name":"Impact","value":""},{"id":150,"name":"Time of Event (Mountain Time)","value":"14:50:44"},{"id":151,"name":"Denver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57"/>
        <v>start /low /b %USERPROFILE%\Documents\GitHub\eaglep3\Utilities\DownloadLogsFromS3.py --loco 4011 --day 2017-02-11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"%USERPROFILE%\AppData\Local\Temp\OnboardLogs"\RTDC4011\*4011*20170211* | grep -SE "(Enforcement Action)|(\[TIMEOUT)|(CHR.+\|PRM\|1\|D.+(SWITCH|SIGNAL).+UNKNOWN)" - &gt;&gt; 2017-02-11-UncaughtWiMAX.txt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660</v>
      </c>
      <c r="B98" s="7">
        <v>4012</v>
      </c>
      <c r="C98" s="21" t="s">
        <v>193</v>
      </c>
      <c r="D98" s="21" t="s">
        <v>299</v>
      </c>
      <c r="E98" s="13">
        <v>42777.623645833337</v>
      </c>
      <c r="F98" s="13">
        <v>42777.632881944446</v>
      </c>
      <c r="G98" s="7">
        <v>2</v>
      </c>
      <c r="H98" s="21" t="s">
        <v>734</v>
      </c>
      <c r="I98" s="13">
        <v>42777.662175925929</v>
      </c>
      <c r="J98" s="7">
        <v>1</v>
      </c>
      <c r="K98" s="98" t="str">
        <f t="shared" si="42"/>
        <v>4011/4012</v>
      </c>
      <c r="L98" s="21" t="str">
        <f>VLOOKUP(A98,'Trips&amp;Operators'!$C$1:$G$99999,5,FALSE)</f>
        <v>WHITED DUSTIN</v>
      </c>
      <c r="M98" s="6">
        <f t="shared" si="43"/>
        <v>2.9293981482624076E-2</v>
      </c>
      <c r="N98" s="7">
        <f t="shared" si="39"/>
        <v>42.18333333497867</v>
      </c>
      <c r="O98" s="7"/>
      <c r="P98" s="7"/>
      <c r="Q98" s="22"/>
      <c r="R98" s="22"/>
      <c r="S98" s="31">
        <f t="shared" si="44"/>
        <v>1</v>
      </c>
      <c r="T98" s="46" t="str">
        <f t="shared" si="45"/>
        <v>Southbound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7" t="str">
        <f t="shared" si="46"/>
        <v>https://d0f6bd738d7f1b3e5a7ca70fe4ff75f0.us-east-1.aws.found.io/app/kibana#/discover/Steve-Slow-Train-Analysis-(2080s-and-2083s)?_g=(refreshInterval:(display:Off,pause:!f,section:0,value:0),time:(from:'2017-02-11T13:58:03-0700',mode:absolute,to:'2017-02-11T16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188" t="str">
        <f t="shared" si="47"/>
        <v>N</v>
      </c>
      <c r="X98" s="188">
        <f t="shared" si="58"/>
        <v>1</v>
      </c>
      <c r="Y98" s="62">
        <f t="shared" si="48"/>
        <v>23.297599999999999</v>
      </c>
      <c r="Z98" s="62">
        <f t="shared" si="49"/>
        <v>1.38E-2</v>
      </c>
      <c r="AA98" s="62">
        <f t="shared" si="50"/>
        <v>23.283799999999999</v>
      </c>
      <c r="AB98" s="59" t="e">
        <f>VLOOKUP(A98,Enforcements!$C$7:$K$14,8,0)</f>
        <v>#N/A</v>
      </c>
      <c r="AC98" s="55" t="e">
        <f>VLOOKUP(A98,Enforcements!$C$7:$E$14,3,0)</f>
        <v>#N/A</v>
      </c>
      <c r="AD98" s="56" t="str">
        <f t="shared" si="51"/>
        <v>0186-11</v>
      </c>
      <c r="AE98" s="85" t="str">
        <f t="shared" si="52"/>
        <v>aws s3 cp s3://rtdc.mdm.uploadarchive.raw/RTDC4012/ "%USERPROFILE%\AppData\Local\Temp\OnboardLogs"\RTDC4012\2017-02-11 --exclude "*" --recursive --include "*20170211*" &amp; "%USERPROFILE%\Documents\GitHub\mrs-test-scripts\Headless Mode &amp; Sideloading\WalkAndUnGZ.bat" "%USERPROFILE%\AppData\Local\Temp\OnboardLogs"\RTDC4012\2017-02-11 &amp; aws s3 cp s3://rtdc.mdm.uploadarchive.raw/RTDC4012/ "%USERPROFILE%\AppData\Local\Temp\OnboardLogs"\RTDC4012\2017-02-12 --exclude "*" --recursive --include "*20170212*" &amp; "%USERPROFILE%\Documents\GitHub\mrs-test-scripts\Headless Mode &amp; Sideloading\WalkAndUnGZ.bat" "%USERPROFILE%\AppData\Local\Temp\OnboardLogs"\RTDC4012\2017-02-12</v>
      </c>
      <c r="AF98" s="82" t="str">
        <f t="shared" si="53"/>
        <v>"C:\Program Files (x86)\AstroGrep\AstroGrep.exe" /spath="%USERPROFILE%\AppData\Local\Temp\OnboardLogs" /stypes="app*4012*20170211*" /stext=" 22:.+((SYSTEM_STATE.+slice.+state.+changed )|(ment ac)|(multiple cpu faults)|(system.+state.+changed )|(\[timeout)|(PRM\|1\|D)|(kpr)|(kdp)|(\|lc)|(penalty))" /e /r /s</v>
      </c>
      <c r="AG98" s="1" t="str">
        <f t="shared" si="54"/>
        <v>EC</v>
      </c>
      <c r="AH98" s="86" t="str">
        <f t="shared" si="55"/>
        <v>"%USERPROFILE%\Documents\GitHub\eaglep3\Utilities\RefineRTDCRunTimes.py" --tripid 186-11 --locoid 4012 --swversion DE.1.0.8.0 --startMP 204:232976 --initTime 2017-02-11T14:58:03 --startdatetime 2017-02-11T15:11:21 --delay 2 --endMP 204:138 --enddatetime 2017-02-11T15:53:32 --enforcementcount 1 &gt;&gt;C:\Users\stu\Documents\GitHub\eaglep3-reporting\EC\2017-02-11-refined-times.txt</v>
      </c>
      <c r="AI98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{"issue":{"subject":"","project_id":79,"tracker_id":40,"status_id":1,"priority_id":2,"assigned_to_id":23,"start_date":"2017-02-11","description":"","custom_fields":[{"id":1,"name":"Subdivision","value":"EC"},{"id":4,"name":"Milepost","value":"0.0138"},{"id":17,"name":"Train ID","value":"186-11"},{"id":16,"name":"Locomotive ID","value":"4012"},{"id":130,"name":"Impact","value":""},{"id":150,"name":"Time of Event (Mountain Time)","value":"15:53:32"},{"id":151,"name":"Denver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57"/>
        <v>start /low /b %USERPROFILE%\Documents\GitHub\eaglep3\Utilities\DownloadLogsFromS3.py --loco 4012 --day 2017-02-11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"%USERPROFILE%\AppData\Local\Temp\OnboardLogs"\RTDC4012\*4012*20170211* | grep -SE "(Enforcement Action)|(\[TIMEOUT)|(CHR.+\|PRM\|1\|D.+(SWITCH|SIGNAL).+UNKNOWN)" - &gt;&gt; 2017-02-11-UncaughtWiMAX.txt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654</v>
      </c>
      <c r="B99" s="7">
        <v>4031</v>
      </c>
      <c r="C99" s="21" t="s">
        <v>193</v>
      </c>
      <c r="D99" s="21" t="s">
        <v>324</v>
      </c>
      <c r="E99" s="13">
        <v>42777.59883101852</v>
      </c>
      <c r="F99" s="13">
        <v>42777.604525462964</v>
      </c>
      <c r="G99" s="7">
        <v>1</v>
      </c>
      <c r="H99" s="21" t="s">
        <v>822</v>
      </c>
      <c r="I99" s="13">
        <v>42777.630810185183</v>
      </c>
      <c r="J99" s="7">
        <v>1</v>
      </c>
      <c r="K99" s="98" t="str">
        <f t="shared" si="42"/>
        <v>4031/4032</v>
      </c>
      <c r="L99" s="21" t="str">
        <f>VLOOKUP(A99,'Trips&amp;Operators'!$C$1:$G$99999,5,FALSE)</f>
        <v>STEWART MICHAEL</v>
      </c>
      <c r="M99" s="6">
        <f t="shared" si="43"/>
        <v>2.6284722218406387E-2</v>
      </c>
      <c r="N99" s="7">
        <f t="shared" si="39"/>
        <v>37.849999994505197</v>
      </c>
      <c r="O99" s="7"/>
      <c r="P99" s="7"/>
      <c r="Q99" s="22"/>
      <c r="R99" s="22"/>
      <c r="S99" s="31">
        <f t="shared" si="44"/>
        <v>1</v>
      </c>
      <c r="T99" s="46" t="str">
        <f t="shared" si="45"/>
        <v>NorthBound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 t="shared" si="46"/>
        <v>https://d0f6bd738d7f1b3e5a7ca70fe4ff75f0.us-east-1.aws.found.io/app/kibana#/discover/Steve-Slow-Train-Analysis-(2080s-and-2083s)?_g=(refreshInterval:(display:Off,pause:!f,section:0,value:0),time:(from:'2017-02-11T13:22:19-0700',mode:absolute,to:'2017-02-11T16:08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9" s="188" t="str">
        <f t="shared" si="47"/>
        <v>N</v>
      </c>
      <c r="X99" s="188">
        <f t="shared" si="58"/>
        <v>1</v>
      </c>
      <c r="Y99" s="62">
        <f t="shared" si="48"/>
        <v>4.6399999999999997E-2</v>
      </c>
      <c r="Z99" s="62">
        <f t="shared" si="49"/>
        <v>23.3278</v>
      </c>
      <c r="AA99" s="62">
        <f t="shared" si="50"/>
        <v>23.281400000000001</v>
      </c>
      <c r="AB99" s="59" t="e">
        <f>VLOOKUP(A99,Enforcements!$C$7:$K$14,8,0)</f>
        <v>#N/A</v>
      </c>
      <c r="AC99" s="55" t="e">
        <f>VLOOKUP(A99,Enforcements!$C$7:$E$14,3,0)</f>
        <v>#N/A</v>
      </c>
      <c r="AD99" s="56" t="str">
        <f t="shared" si="51"/>
        <v>0187-11</v>
      </c>
      <c r="AE99" s="85" t="str">
        <f t="shared" si="52"/>
        <v>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 &amp; 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</v>
      </c>
      <c r="AF99" s="82" t="str">
        <f t="shared" si="53"/>
        <v>"C:\Program Files (x86)\AstroGrep\AstroGrep.exe" /spath="%USERPROFILE%\AppData\Local\Temp\OnboardLogs" /stypes="app*4031*20170211*" /stext=" 22:.+((SYSTEM_STATE.+slice.+state.+changed )|(ment ac)|(multiple cpu faults)|(system.+state.+changed )|(\[timeout)|(PRM\|1\|D)|(kpr)|(kdp)|(\|lc)|(penalty))" /e /r /s</v>
      </c>
      <c r="AG99" s="1" t="str">
        <f t="shared" si="54"/>
        <v>EC</v>
      </c>
      <c r="AH99" s="86" t="str">
        <f t="shared" si="55"/>
        <v>"%USERPROFILE%\Documents\GitHub\eaglep3\Utilities\RefineRTDCRunTimes.py" --tripid 187-11 --locoid 4031 --swversion DE.1.0.8.0 --startMP 204:464 --initTime 2017-02-11T14:22:19 --startdatetime 2017-02-11T14:30:31 --delay 1 --endMP 204:233278 --enddatetime 2017-02-11T15:08:22 --enforcementcount 1 &gt;&gt;C:\Users\stu\Documents\GitHub\eaglep3-reporting\EC\2017-02-11-refined-times.txt</v>
      </c>
      <c r="AI99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{"issue":{"subject":"","project_id":79,"tracker_id":40,"status_id":1,"priority_id":2,"assigned_to_id":23,"start_date":"2017-02-11","description":"","custom_fields":[{"id":1,"name":"Subdivision","value":"EC"},{"id":4,"name":"Milepost","value":"23.3278"},{"id":17,"name":"Train ID","value":"187-11"},{"id":16,"name":"Locomotive ID","value":"4031"},{"id":130,"name":"Impact","value":""},{"id":150,"name":"Time of Event (Mountain Time)","value":"15:08:22"},{"id":151,"name":"Denver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57"/>
        <v>start /low /b %USERPROFILE%\Documents\GitHub\eaglep3\Utilities\DownloadLogsFromS3.py --loco 4031 --day 2017-02-11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2017-02-11-UncaughtWiMAX.txt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663</v>
      </c>
      <c r="B100" s="7">
        <v>4032</v>
      </c>
      <c r="C100" s="21" t="s">
        <v>193</v>
      </c>
      <c r="D100" s="21" t="s">
        <v>744</v>
      </c>
      <c r="E100" s="13">
        <v>42777.639016203706</v>
      </c>
      <c r="F100" s="13">
        <v>42777.643252314818</v>
      </c>
      <c r="G100" s="7">
        <v>1</v>
      </c>
      <c r="H100" s="21" t="s">
        <v>484</v>
      </c>
      <c r="I100" s="13">
        <v>42777.669548611113</v>
      </c>
      <c r="J100" s="7">
        <v>1</v>
      </c>
      <c r="K100" s="98" t="str">
        <f t="shared" si="42"/>
        <v>4031/4032</v>
      </c>
      <c r="L100" s="21" t="str">
        <f>VLOOKUP(A100,'Trips&amp;Operators'!$C$1:$G$99999,5,FALSE)</f>
        <v>STEWART MICHAEL</v>
      </c>
      <c r="M100" s="6">
        <f t="shared" si="43"/>
        <v>2.6296296295186039E-2</v>
      </c>
      <c r="N100" s="7">
        <f t="shared" si="39"/>
        <v>37.866666665067896</v>
      </c>
      <c r="O100" s="7"/>
      <c r="P100" s="7"/>
      <c r="Q100" s="22"/>
      <c r="R100" s="22"/>
      <c r="S100" s="31">
        <f t="shared" si="44"/>
        <v>1</v>
      </c>
      <c r="T100" s="46" t="str">
        <f t="shared" si="45"/>
        <v>Southbound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 t="shared" si="46"/>
        <v>https://d0f6bd738d7f1b3e5a7ca70fe4ff75f0.us-east-1.aws.found.io/app/kibana#/discover/Steve-Slow-Train-Analysis-(2080s-and-2083s)?_g=(refreshInterval:(display:Off,pause:!f,section:0,value:0),time:(from:'2017-02-11T14:20:11-0700',mode:absolute,to:'2017-02-11T17:04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0" s="188" t="str">
        <f t="shared" si="47"/>
        <v>N</v>
      </c>
      <c r="X100" s="188">
        <f t="shared" si="58"/>
        <v>1</v>
      </c>
      <c r="Y100" s="62">
        <f t="shared" si="48"/>
        <v>23.296700000000001</v>
      </c>
      <c r="Z100" s="62">
        <f t="shared" si="49"/>
        <v>1.5599999999999999E-2</v>
      </c>
      <c r="AA100" s="62">
        <f t="shared" si="50"/>
        <v>23.281100000000002</v>
      </c>
      <c r="AB100" s="59" t="e">
        <f>VLOOKUP(A100,Enforcements!$C$7:$K$14,8,0)</f>
        <v>#N/A</v>
      </c>
      <c r="AC100" s="55" t="e">
        <f>VLOOKUP(A100,Enforcements!$C$7:$E$14,3,0)</f>
        <v>#N/A</v>
      </c>
      <c r="AD100" s="56" t="str">
        <f t="shared" si="51"/>
        <v>0188-11</v>
      </c>
      <c r="AE100" s="85" t="str">
        <f t="shared" si="52"/>
        <v>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 &amp; 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</v>
      </c>
      <c r="AF100" s="82" t="str">
        <f t="shared" si="53"/>
        <v>"C:\Program Files (x86)\AstroGrep\AstroGrep.exe" /spath="%USERPROFILE%\AppData\Local\Temp\OnboardLogs" /stypes="app*4032*20170211*" /stext=" 23:.+((SYSTEM_STATE.+slice.+state.+changed )|(ment ac)|(multiple cpu faults)|(system.+state.+changed )|(\[timeout)|(PRM\|1\|D)|(kpr)|(kdp)|(\|lc)|(penalty))" /e /r /s</v>
      </c>
      <c r="AG100" s="1" t="str">
        <f t="shared" si="54"/>
        <v>EC</v>
      </c>
      <c r="AH100" s="86" t="str">
        <f t="shared" si="55"/>
        <v>"%USERPROFILE%\Documents\GitHub\eaglep3\Utilities\RefineRTDCRunTimes.py" --tripid 188-11 --locoid 4032 --swversion DE.1.0.8.0 --startMP 204:232967 --initTime 2017-02-11T15:20:11 --startdatetime 2017-02-11T15:26:17 --delay 1 --endMP 204:156 --enddatetime 2017-02-11T16:04:09 --enforcementcount 1 &gt;&gt;C:\Users\stu\Documents\GitHub\eaglep3-reporting\EC\2017-02-11-refined-times.txt</v>
      </c>
      <c r="AI100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{"issue":{"subject":"","project_id":79,"tracker_id":40,"status_id":1,"priority_id":2,"assigned_to_id":23,"start_date":"2017-02-11","description":"","custom_fields":[{"id":1,"name":"Subdivision","value":"EC"},{"id":4,"name":"Milepost","value":"0.0156"},{"id":17,"name":"Train ID","value":"188-11"},{"id":16,"name":"Locomotive ID","value":"4032"},{"id":130,"name":"Impact","value":""},{"id":150,"name":"Time of Event (Mountain Time)","value":"16:04:09"},{"id":151,"name":"Denver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57"/>
        <v>start /low /b %USERPROFILE%\Documents\GitHub\eaglep3\Utilities\DownloadLogsFromS3.py --loco 4032 --day 2017-02-11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2017-02-11-UncaughtWiMAX.txt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521</v>
      </c>
      <c r="B101" s="7">
        <v>4025</v>
      </c>
      <c r="C101" s="21" t="s">
        <v>193</v>
      </c>
      <c r="D101" s="21" t="s">
        <v>271</v>
      </c>
      <c r="E101" s="13">
        <v>42777.611655092594</v>
      </c>
      <c r="F101" s="13">
        <v>42777.615069444444</v>
      </c>
      <c r="G101" s="7">
        <v>2</v>
      </c>
      <c r="H101" s="21" t="s">
        <v>823</v>
      </c>
      <c r="I101" s="13">
        <v>42777.641875000001</v>
      </c>
      <c r="J101" s="7">
        <v>1</v>
      </c>
      <c r="K101" s="98" t="str">
        <f t="shared" si="42"/>
        <v>4025/4026</v>
      </c>
      <c r="L101" s="21" t="str">
        <f>VLOOKUP(A101,'Trips&amp;Operators'!$C$1:$G$99999,5,FALSE)</f>
        <v>HOLCOMB KAMDEN</v>
      </c>
      <c r="M101" s="6">
        <f t="shared" si="43"/>
        <v>2.6805555557075422E-2</v>
      </c>
      <c r="N101" s="7">
        <f t="shared" si="39"/>
        <v>38.600000002188608</v>
      </c>
      <c r="O101" s="7"/>
      <c r="P101" s="7"/>
      <c r="Q101" s="22"/>
      <c r="R101" s="22"/>
      <c r="S101" s="31">
        <f t="shared" si="44"/>
        <v>1</v>
      </c>
      <c r="T101" s="46" t="str">
        <f t="shared" si="45"/>
        <v>NorthBound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 t="shared" si="46"/>
        <v>https://d0f6bd738d7f1b3e5a7ca70fe4ff75f0.us-east-1.aws.found.io/app/kibana#/discover/Steve-Slow-Train-Analysis-(2080s-and-2083s)?_g=(refreshInterval:(display:Off,pause:!f,section:0,value:0),time:(from:'2017-02-11T13:40:47-0700',mode:absolute,to:'2017-02-11T16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1" s="188" t="str">
        <f t="shared" si="47"/>
        <v>N</v>
      </c>
      <c r="X101" s="188">
        <f t="shared" si="58"/>
        <v>1</v>
      </c>
      <c r="Y101" s="62">
        <f t="shared" si="48"/>
        <v>4.7100000000000003E-2</v>
      </c>
      <c r="Z101" s="62">
        <f t="shared" si="49"/>
        <v>23.325900000000001</v>
      </c>
      <c r="AA101" s="62">
        <f t="shared" si="50"/>
        <v>23.2788</v>
      </c>
      <c r="AB101" s="59" t="e">
        <f>VLOOKUP(A101,Enforcements!$C$7:$K$14,8,0)</f>
        <v>#N/A</v>
      </c>
      <c r="AC101" s="55" t="e">
        <f>VLOOKUP(A101,Enforcements!$C$7:$E$14,3,0)</f>
        <v>#N/A</v>
      </c>
      <c r="AD101" s="56" t="str">
        <f t="shared" si="51"/>
        <v>0189-11</v>
      </c>
      <c r="AE101" s="85" t="str">
        <f t="shared" si="52"/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AF101" s="82" t="str">
        <f t="shared" si="53"/>
        <v>"C:\Program Files (x86)\AstroGrep\AstroGrep.exe" /spath="%USERPROFILE%\AppData\Local\Temp\OnboardLogs" /stypes="app*4025*20170211*" /stext=" 22:.+((SYSTEM_STATE.+slice.+state.+changed )|(ment ac)|(multiple cpu faults)|(system.+state.+changed )|(\[timeout)|(PRM\|1\|D)|(kpr)|(kdp)|(\|lc)|(penalty))" /e /r /s</v>
      </c>
      <c r="AG101" s="1" t="str">
        <f t="shared" si="54"/>
        <v>EC</v>
      </c>
      <c r="AH101" s="86" t="str">
        <f t="shared" si="55"/>
        <v>"%USERPROFILE%\Documents\GitHub\eaglep3\Utilities\RefineRTDCRunTimes.py" --tripid 189-11 --locoid 4025 --swversion DE.1.0.8.0 --startMP 204:471 --initTime 2017-02-11T14:40:47 --startdatetime 2017-02-11T14:45:42 --delay 2 --endMP 204:233259 --enddatetime 2017-02-11T15:24:18 --enforcementcount 1 &gt;&gt;C:\Users\stu\Documents\GitHub\eaglep3-reporting\EC\2017-02-11-refined-times.txt</v>
      </c>
      <c r="AI101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{"issue":{"subject":"","project_id":79,"tracker_id":40,"status_id":1,"priority_id":2,"assigned_to_id":23,"start_date":"2017-02-11","description":"","custom_fields":[{"id":1,"name":"Subdivision","value":"EC"},{"id":4,"name":"Milepost","value":"23.3259"},{"id":17,"name":"Train ID","value":"189-11"},{"id":16,"name":"Locomotive ID","value":"4025"},{"id":130,"name":"Impact","value":""},{"id":150,"name":"Time of Event (Mountain Time)","value":"15:24:18"},{"id":151,"name":"Denver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57"/>
        <v>start /low /b %USERPROFILE%\Documents\GitHub\eaglep3\Utilities\DownloadLogsFromS3.py --loco 4025 --day 2017-02-11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"%USERPROFILE%\AppData\Local\Temp\OnboardLogs"\RTDC4025\*4025*20170211* | grep -SE "(Enforcement Action)|(\[TIMEOUT)|(CHR.+\|PRM\|1\|D.+(SWITCH|SIGNAL).+UNKNOWN)" - &gt;&gt; 2017-02-11-UncaughtWiMAX.txt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523</v>
      </c>
      <c r="B102" s="7">
        <v>4026</v>
      </c>
      <c r="C102" s="21" t="s">
        <v>193</v>
      </c>
      <c r="D102" s="21" t="s">
        <v>824</v>
      </c>
      <c r="E102" s="13">
        <v>42777.643784722219</v>
      </c>
      <c r="F102" s="13">
        <v>42777.653738425928</v>
      </c>
      <c r="G102" s="7">
        <v>1</v>
      </c>
      <c r="H102" s="21" t="s">
        <v>326</v>
      </c>
      <c r="I102" s="13">
        <v>42777.680173611108</v>
      </c>
      <c r="J102" s="7">
        <v>1</v>
      </c>
      <c r="K102" s="98" t="str">
        <f t="shared" si="42"/>
        <v>4025/4026</v>
      </c>
      <c r="L102" s="21" t="str">
        <f>VLOOKUP(A102,'Trips&amp;Operators'!$C$1:$G$99999,5,FALSE)</f>
        <v>HOLCOMB KAMDEN</v>
      </c>
      <c r="M102" s="6">
        <f t="shared" si="43"/>
        <v>2.643518518016208E-2</v>
      </c>
      <c r="N102" s="7">
        <f t="shared" si="39"/>
        <v>38.066666659433395</v>
      </c>
      <c r="O102" s="7"/>
      <c r="P102" s="7"/>
      <c r="Q102" s="22"/>
      <c r="R102" s="22"/>
      <c r="S102" s="31">
        <f t="shared" si="44"/>
        <v>1</v>
      </c>
      <c r="T102" s="46" t="str">
        <f t="shared" si="45"/>
        <v>Southbound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 t="shared" si="46"/>
        <v>https://d0f6bd738d7f1b3e5a7ca70fe4ff75f0.us-east-1.aws.found.io/app/kibana#/discover/Steve-Slow-Train-Analysis-(2080s-and-2083s)?_g=(refreshInterval:(display:Off,pause:!f,section:0,value:0),time:(from:'2017-02-11T14:27:03-0700',mode:absolute,to:'2017-02-11T17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2" s="188" t="str">
        <f t="shared" si="47"/>
        <v>N</v>
      </c>
      <c r="X102" s="188">
        <f t="shared" si="58"/>
        <v>1</v>
      </c>
      <c r="Y102" s="62">
        <f t="shared" si="48"/>
        <v>23.294</v>
      </c>
      <c r="Z102" s="62">
        <f t="shared" si="49"/>
        <v>1.6899999999999998E-2</v>
      </c>
      <c r="AA102" s="62">
        <f t="shared" si="50"/>
        <v>23.277100000000001</v>
      </c>
      <c r="AB102" s="59" t="e">
        <f>VLOOKUP(A102,Enforcements!$C$7:$K$14,8,0)</f>
        <v>#N/A</v>
      </c>
      <c r="AC102" s="55" t="e">
        <f>VLOOKUP(A102,Enforcements!$C$7:$E$14,3,0)</f>
        <v>#N/A</v>
      </c>
      <c r="AD102" s="56" t="str">
        <f t="shared" si="51"/>
        <v>0190-11</v>
      </c>
      <c r="AE102" s="85" t="str">
        <f t="shared" si="52"/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AF102" s="82" t="str">
        <f t="shared" si="53"/>
        <v>"C:\Program Files (x86)\AstroGrep\AstroGrep.exe" /spath="%USERPROFILE%\AppData\Local\Temp\OnboardLogs" /stypes="app*4026*20170211*" /stext=" 23:.+((SYSTEM_STATE.+slice.+state.+changed )|(ment ac)|(multiple cpu faults)|(system.+state.+changed )|(\[timeout)|(PRM\|1\|D)|(kpr)|(kdp)|(\|lc)|(penalty))" /e /r /s</v>
      </c>
      <c r="AG102" s="1" t="str">
        <f t="shared" si="54"/>
        <v>EC</v>
      </c>
      <c r="AH102" s="86" t="str">
        <f t="shared" si="55"/>
        <v>"%USERPROFILE%\Documents\GitHub\eaglep3\Utilities\RefineRTDCRunTimes.py" --tripid 190-11 --locoid 4026 --swversion DE.1.0.8.0 --startMP 204:232940 --initTime 2017-02-11T15:27:03 --startdatetime 2017-02-11T15:41:23 --delay 1 --endMP 204:169 --enddatetime 2017-02-11T16:19:27 --enforcementcount 1 &gt;&gt;C:\Users\stu\Documents\GitHub\eaglep3-reporting\EC\2017-02-11-refined-times.txt</v>
      </c>
      <c r="AI102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{"issue":{"subject":"","project_id":79,"tracker_id":40,"status_id":1,"priority_id":2,"assigned_to_id":23,"start_date":"2017-02-11","description":"","custom_fields":[{"id":1,"name":"Subdivision","value":"EC"},{"id":4,"name":"Milepost","value":"0.0169"},{"id":17,"name":"Train ID","value":"190-11"},{"id":16,"name":"Locomotive ID","value":"4026"},{"id":130,"name":"Impact","value":""},{"id":150,"name":"Time of Event (Mountain Time)","value":"16:19:27"},{"id":151,"name":"Denver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57"/>
        <v>start /low /b %USERPROFILE%\Documents\GitHub\eaglep3\Utilities\DownloadLogsFromS3.py --loco 4026 --day 2017-02-11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"%USERPROFILE%\AppData\Local\Temp\OnboardLogs"\RTDC4026\*4026*20170211* | grep -SE "(Enforcement Action)|(\[TIMEOUT)|(CHR.+\|PRM\|1\|D.+(SWITCH|SIGNAL).+UNKNOWN)" - &gt;&gt; 2017-02-11-UncaughtWiMAX.txt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659</v>
      </c>
      <c r="B103" s="7">
        <v>4040</v>
      </c>
      <c r="C103" s="21" t="s">
        <v>193</v>
      </c>
      <c r="D103" s="21" t="s">
        <v>279</v>
      </c>
      <c r="E103" s="13">
        <v>42777.620358796295</v>
      </c>
      <c r="F103" s="13">
        <v>42777.625173611108</v>
      </c>
      <c r="G103" s="7">
        <v>1</v>
      </c>
      <c r="H103" s="21" t="s">
        <v>487</v>
      </c>
      <c r="I103" s="13">
        <v>42777.650405092594</v>
      </c>
      <c r="J103" s="7">
        <v>1</v>
      </c>
      <c r="K103" s="98" t="str">
        <f t="shared" si="42"/>
        <v>4039/4040</v>
      </c>
      <c r="L103" s="21" t="str">
        <f>VLOOKUP(A103,'Trips&amp;Operators'!$C$1:$G$99999,5,FALSE)</f>
        <v>BRUDER RICHARD</v>
      </c>
      <c r="M103" s="6">
        <f t="shared" si="43"/>
        <v>2.5231481486116536E-2</v>
      </c>
      <c r="N103" s="7">
        <f t="shared" si="39"/>
        <v>36.333333340007812</v>
      </c>
      <c r="O103" s="7"/>
      <c r="P103" s="7"/>
      <c r="Q103" s="22"/>
      <c r="R103" s="22"/>
      <c r="S103" s="31">
        <f t="shared" si="44"/>
        <v>1</v>
      </c>
      <c r="T103" s="46" t="str">
        <f t="shared" si="45"/>
        <v>NorthBound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 t="shared" si="46"/>
        <v>https://d0f6bd738d7f1b3e5a7ca70fe4ff75f0.us-east-1.aws.found.io/app/kibana#/discover/Steve-Slow-Train-Analysis-(2080s-and-2083s)?_g=(refreshInterval:(display:Off,pause:!f,section:0,value:0),time:(from:'2017-02-11T13:53:19-0700',mode:absolute,to:'2017-02-11T16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3" s="188" t="str">
        <f t="shared" si="47"/>
        <v>N</v>
      </c>
      <c r="X103" s="188">
        <f t="shared" si="58"/>
        <v>1</v>
      </c>
      <c r="Y103" s="62">
        <f t="shared" si="48"/>
        <v>4.6699999999999998E-2</v>
      </c>
      <c r="Z103" s="62">
        <f t="shared" si="49"/>
        <v>23.330500000000001</v>
      </c>
      <c r="AA103" s="62">
        <f t="shared" si="50"/>
        <v>23.283799999999999</v>
      </c>
      <c r="AB103" s="59" t="e">
        <f>VLOOKUP(A103,Enforcements!$C$7:$K$14,8,0)</f>
        <v>#N/A</v>
      </c>
      <c r="AC103" s="55" t="e">
        <f>VLOOKUP(A103,Enforcements!$C$7:$E$14,3,0)</f>
        <v>#N/A</v>
      </c>
      <c r="AD103" s="56" t="str">
        <f t="shared" si="51"/>
        <v>0191-11</v>
      </c>
      <c r="AE103" s="85" t="str">
        <f t="shared" si="52"/>
        <v>aws s3 cp s3://rtdc.mdm.uploadarchive.raw/RTDC4040/ "%USERPROFILE%\AppData\Local\Temp\OnboardLogs"\RTDC4040\2017-02-11 --exclude "*" --recursive --include "*20170211*" &amp; "%USERPROFILE%\Documents\GitHub\mrs-test-scripts\Headless Mode &amp; Sideloading\WalkAndUnGZ.bat" "%USERPROFILE%\AppData\Local\Temp\OnboardLogs"\RTDC4040\2017-02-11 &amp; aws s3 cp s3://rtdc.mdm.uploadarchive.raw/RTDC4040/ "%USERPROFILE%\AppData\Local\Temp\OnboardLogs"\RTDC4040\2017-02-12 --exclude "*" --recursive --include "*20170212*" &amp; "%USERPROFILE%\Documents\GitHub\mrs-test-scripts\Headless Mode &amp; Sideloading\WalkAndUnGZ.bat" "%USERPROFILE%\AppData\Local\Temp\OnboardLogs"\RTDC4040\2017-02-12</v>
      </c>
      <c r="AF103" s="82" t="str">
        <f t="shared" si="53"/>
        <v>"C:\Program Files (x86)\AstroGrep\AstroGrep.exe" /spath="%USERPROFILE%\AppData\Local\Temp\OnboardLogs" /stypes="app*4040*20170211*" /stext=" 22:.+((SYSTEM_STATE.+slice.+state.+changed )|(ment ac)|(multiple cpu faults)|(system.+state.+changed )|(\[timeout)|(PRM\|1\|D)|(kpr)|(kdp)|(\|lc)|(penalty))" /e /r /s</v>
      </c>
      <c r="AG103" s="1" t="str">
        <f t="shared" si="54"/>
        <v>EC</v>
      </c>
      <c r="AH103" s="86" t="str">
        <f t="shared" si="55"/>
        <v>"%USERPROFILE%\Documents\GitHub\eaglep3\Utilities\RefineRTDCRunTimes.py" --tripid 191-11 --locoid 4040 --swversion DE.1.0.8.0 --startMP 204:467 --initTime 2017-02-11T14:53:19 --startdatetime 2017-02-11T15:00:15 --delay 1 --endMP 204:233305 --enddatetime 2017-02-11T15:36:35 --enforcementcount 1 &gt;&gt;C:\Users\stu\Documents\GitHub\eaglep3-reporting\EC\2017-02-11-refined-times.txt</v>
      </c>
      <c r="AI103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{"issue":{"subject":"","project_id":79,"tracker_id":40,"status_id":1,"priority_id":2,"assigned_to_id":23,"start_date":"2017-02-11","description":"","custom_fields":[{"id":1,"name":"Subdivision","value":"EC"},{"id":4,"name":"Milepost","value":"23.3305"},{"id":17,"name":"Train ID","value":"191-11"},{"id":16,"name":"Locomotive ID","value":"4040"},{"id":130,"name":"Impact","value":""},{"id":150,"name":"Time of Event (Mountain Time)","value":"15:36:35"},{"id":151,"name":"Denver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57"/>
        <v>start /low /b %USERPROFILE%\Documents\GitHub\eaglep3\Utilities\DownloadLogsFromS3.py --loco 4040 --day 2017-02-11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"%USERPROFILE%\AppData\Local\Temp\OnboardLogs"\RTDC4040\*4040*20170211* | grep -SE "(Enforcement Action)|(\[TIMEOUT)|(CHR.+\|PRM\|1\|D.+(SWITCH|SIGNAL).+UNKNOWN)" - &gt;&gt; 2017-02-11-UncaughtWiMAX.txt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667</v>
      </c>
      <c r="B104" s="7">
        <v>4039</v>
      </c>
      <c r="C104" s="21" t="s">
        <v>193</v>
      </c>
      <c r="D104" s="21" t="s">
        <v>279</v>
      </c>
      <c r="E104" s="13">
        <v>42777.620358796295</v>
      </c>
      <c r="F104" s="13">
        <v>42777.660069444442</v>
      </c>
      <c r="G104" s="7">
        <v>1</v>
      </c>
      <c r="H104" s="21" t="s">
        <v>487</v>
      </c>
      <c r="I104" s="13">
        <v>42777.66065972222</v>
      </c>
      <c r="J104" s="7">
        <v>1</v>
      </c>
      <c r="K104" s="98" t="str">
        <f t="shared" si="42"/>
        <v>4039/4040</v>
      </c>
      <c r="L104" s="21" t="str">
        <f>VLOOKUP(A104,'Trips&amp;Operators'!$C$1:$G$99999,5,FALSE)</f>
        <v>BRUDER RICHARD</v>
      </c>
      <c r="M104" s="6">
        <f t="shared" si="43"/>
        <v>5.9027777751907706E-4</v>
      </c>
      <c r="N104" s="7"/>
      <c r="O104" s="7"/>
      <c r="P104" s="7">
        <f>24*60*SUM($M104:$M104)</f>
        <v>0.84999999962747097</v>
      </c>
      <c r="Q104" s="22"/>
      <c r="R104" s="22" t="s">
        <v>363</v>
      </c>
      <c r="S104" s="31">
        <f t="shared" si="44"/>
        <v>0</v>
      </c>
      <c r="T104" s="46" t="str">
        <f t="shared" si="45"/>
        <v>Southbound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187" t="str">
        <f t="shared" si="46"/>
        <v>https://d0f6bd738d7f1b3e5a7ca70fe4ff75f0.us-east-1.aws.found.io/app/kibana#/discover/Steve-Slow-Train-Analysis-(2080s-and-2083s)?_g=(refreshInterval:(display:Off,pause:!f,section:0,value:0),time:(from:'2017-02-11T13:53:19-0700',mode:absolute,to:'2017-02-11T16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4" s="188" t="str">
        <f t="shared" si="47"/>
        <v>Y</v>
      </c>
      <c r="X104" s="188">
        <f t="shared" si="58"/>
        <v>1</v>
      </c>
      <c r="Y104" s="62">
        <v>0</v>
      </c>
      <c r="Z104" s="62">
        <v>0</v>
      </c>
      <c r="AA104" s="62">
        <f t="shared" si="50"/>
        <v>0</v>
      </c>
      <c r="AB104" s="59" t="e">
        <f>VLOOKUP(A104,Enforcements!$C$7:$K$14,8,0)</f>
        <v>#N/A</v>
      </c>
      <c r="AC104" s="55" t="e">
        <f>VLOOKUP(A104,Enforcements!$C$7:$E$14,3,0)</f>
        <v>#N/A</v>
      </c>
      <c r="AD104" s="56" t="str">
        <f t="shared" si="51"/>
        <v>0192-11</v>
      </c>
      <c r="AE104" s="85" t="str">
        <f t="shared" si="52"/>
        <v>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 &amp; aws s3 cp s3://rtdc.mdm.uploadarchive.raw/RTDC4039/ "%USERPROFILE%\AppData\Local\Temp\OnboardLogs"\RTDC4039\2017-02-12 --exclude "*" --recursive --include "*20170212*" &amp; "%USERPROFILE%\Documents\GitHub\mrs-test-scripts\Headless Mode &amp; Sideloading\WalkAndUnGZ.bat" "%USERPROFILE%\AppData\Local\Temp\OnboardLogs"\RTDC4039\2017-02-12</v>
      </c>
      <c r="AF104" s="82" t="str">
        <f t="shared" si="53"/>
        <v>"C:\Program Files (x86)\AstroGrep\AstroGrep.exe" /spath="%USERPROFILE%\AppData\Local\Temp\OnboardLogs" /stypes="app*4039*20170211*" /stext=" 22:.+((SYSTEM_STATE.+slice.+state.+changed )|(ment ac)|(multiple cpu faults)|(system.+state.+changed )|(\[timeout)|(PRM\|1\|D)|(kpr)|(kdp)|(\|lc)|(penalty))" /e /r /s</v>
      </c>
      <c r="AG104" s="1" t="str">
        <f t="shared" si="54"/>
        <v>EC</v>
      </c>
      <c r="AH104" s="86" t="str">
        <f t="shared" ref="AH104" si="59">refinertdcruntimes&amp;" --tripid "&amp;A104&amp;" --locoid "&amp;B104&amp;" --swversion "&amp;C104&amp;" --startMP "&amp;D104&amp;" --initTime "&amp;TEXT(E104,"yyyy-mm-ddTHH:MM:SS")&amp;" --startdatetime "&amp;TEXT(F104,"yyyy-mm-ddTHH:MM:SS")&amp;" --delay "&amp;G104&amp;" --endMP "&amp;H104&amp;" --enddatetime "&amp;TEXT(I104,"yyyy-mm-ddTHH:MM:SS")&amp;" --enforcementcount "&amp;J104&amp;IF(outputrefinedruntimes," &gt;&gt;"&amp;RefinedRTDCRunTimesOutputFile,"")</f>
        <v>"%USERPROFILE%\Documents\GitHub\eaglep3\Utilities\RefineRTDCRunTimes.py" --tripid 192-11 --locoid 4039 --swversion DE.1.0.8.0 --startMP 204:467 --initTime 2017-02-11T14:53:19 --startdatetime 2017-02-11T15:50:30 --delay 1 --endMP 204:233305 --enddatetime 2017-02-11T15:51:21 --enforcementcount 1 &gt;&gt;C:\Users\stu\Documents\GitHub\eaglep3-reporting\EC\2017-02-11-refined-times.txt</v>
      </c>
      <c r="AI104" s="108" t="str">
        <f t="shared" ref="AI104" si="60">"echo {""issue"":{""subject"":"""&amp;R104&amp;""",""project_id"":79,""tracker_id"":40,""status_id"":"&amp;redmine_status&amp;",""priority_id"":"&amp;redmine_priority&amp;",""assigned_to_id"":"&amp;redmine_assignee&amp;",""start_date"":"""&amp;TEXT(I104,"YYYY-mm-dd")&amp;""",""description"":"""&amp;AJ104&amp;""",""custom_fields"":[{""id"":1,""name"":""Subdivision"",""value"":"""&amp;AG104&amp;"""},{""id"":4,""name"":""Milepost"",""value"":"""&amp;Z104&amp;"""},{""id"":17,""name"":""Train ID"",""value"":"""&amp;A104&amp;"""},{""id"":16,""name"":""Locomotive ID"",""value"":"""&amp;B104&amp;"""},{""id"":130,""name"":""Impact"",""value"":"""&amp;AK104&amp;"""},{""id"":150,""name"":""Time of Event (Mountain Time)"",""value"":"""&amp;TEXT(I104,"hh:mm:ss")&amp;"""},{""id"":151,""name"":""Denver Issue ID"",""value"":"""&amp;"""},{""id"":178,""name"":""Operational Impact"",""value"":"""&amp;redmine_op_impact&amp;"""},{""id"":179,""name"":""Denver Segment Assigned"",""value"":"""&amp;AL104&amp;"""}]}}"&amp;"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failure","project_id":79,"tracker_id":40,"status_id":1,"priority_id":2,"assigned_to_id":23,"start_date":"2017-02-11","description":"","custom_fields":[{"id":1,"name":"Subdivision","value":"EC"},{"id":4,"name":"Milepost","value":"0"},{"id":17,"name":"Train ID","value":"192-11"},{"id":16,"name":"Locomotive ID","value":"4039"},{"id":130,"name":"Impact","value":""},{"id":150,"name":"Time of Event (Mountain Time)","value":"15:51:21"},{"id":151,"name":"Denver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ref="AM104" si="61">"start /low /b "&amp;dls3logs&amp;" --loco "&amp;B104&amp;" --day "&amp;TEXT(F104,"YYYY-MM-DD")</f>
        <v>start /low /b %USERPROFILE%\Documents\GitHub\eaglep3\Utilities\DownloadLogsFromS3.py --loco 4039 --day 2017-02-11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"%USERPROFILE%\AppData\Local\Temp\OnboardLogs"\RTDC4039\*4039*20170211* | grep -SE "(Enforcement Action)|(\[TIMEOUT)|(CHR.+\|PRM\|1\|D.+(SWITCH|SIGNAL).+UNKNOWN)" - &gt;&gt; 2017-02-11-UncaughtWiMAX.txt</v>
      </c>
    </row>
    <row r="105" spans="1:91" s="20" customFormat="1" x14ac:dyDescent="0.25">
      <c r="A105" s="33" t="s">
        <v>661</v>
      </c>
      <c r="B105" s="7">
        <v>4027</v>
      </c>
      <c r="C105" s="21" t="s">
        <v>193</v>
      </c>
      <c r="D105" s="21" t="s">
        <v>281</v>
      </c>
      <c r="E105" s="13">
        <v>42777.631608796299</v>
      </c>
      <c r="F105" s="13">
        <v>42777.635601851849</v>
      </c>
      <c r="G105" s="7">
        <v>1</v>
      </c>
      <c r="H105" s="21" t="s">
        <v>491</v>
      </c>
      <c r="I105" s="13">
        <v>42777.660520833335</v>
      </c>
      <c r="J105" s="7">
        <v>1</v>
      </c>
      <c r="K105" s="98" t="str">
        <f t="shared" si="42"/>
        <v>4027/4028</v>
      </c>
      <c r="L105" s="21" t="str">
        <f>VLOOKUP(A105,'Trips&amp;Operators'!$C$1:$G$99999,5,FALSE)</f>
        <v>KILLION DAVID</v>
      </c>
      <c r="M105" s="6">
        <f t="shared" si="43"/>
        <v>2.4918981485825498E-2</v>
      </c>
      <c r="N105" s="7">
        <f t="shared" ref="N105:N136" si="62">24*60*SUM($M105:$M105)</f>
        <v>35.883333339588717</v>
      </c>
      <c r="O105" s="7"/>
      <c r="P105" s="7"/>
      <c r="Q105" s="22"/>
      <c r="R105" s="22"/>
      <c r="S105" s="31">
        <f t="shared" si="44"/>
        <v>1</v>
      </c>
      <c r="T105" s="46" t="str">
        <f t="shared" si="45"/>
        <v>NorthBound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 t="shared" si="46"/>
        <v>https://d0f6bd738d7f1b3e5a7ca70fe4ff75f0.us-east-1.aws.found.io/app/kibana#/discover/Steve-Slow-Train-Analysis-(2080s-and-2083s)?_g=(refreshInterval:(display:Off,pause:!f,section:0,value:0),time:(from:'2017-02-11T14:09:31-0700',mode:absolute,to:'2017-02-11T16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5" s="188" t="str">
        <f t="shared" si="47"/>
        <v>N</v>
      </c>
      <c r="X105" s="188">
        <f t="shared" si="58"/>
        <v>1</v>
      </c>
      <c r="Y105" s="62">
        <f t="shared" ref="Y105:Y119" si="63">RIGHT(D105,LEN(D105)-4)/10000</f>
        <v>4.5499999999999999E-2</v>
      </c>
      <c r="Z105" s="62">
        <f t="shared" ref="Z105:Z119" si="64">RIGHT(H105,LEN(H105)-4)/10000</f>
        <v>23.327999999999999</v>
      </c>
      <c r="AA105" s="62">
        <f t="shared" si="50"/>
        <v>23.282499999999999</v>
      </c>
      <c r="AB105" s="59" t="e">
        <f>VLOOKUP(A105,Enforcements!$C$7:$K$14,8,0)</f>
        <v>#N/A</v>
      </c>
      <c r="AC105" s="55" t="e">
        <f>VLOOKUP(A105,Enforcements!$C$7:$E$14,3,0)</f>
        <v>#N/A</v>
      </c>
      <c r="AD105" s="56" t="str">
        <f t="shared" si="51"/>
        <v>0193-11</v>
      </c>
      <c r="AE105" s="85" t="str">
        <f t="shared" si="52"/>
        <v>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 &amp; 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</v>
      </c>
      <c r="AF105" s="82" t="str">
        <f t="shared" si="53"/>
        <v>"C:\Program Files (x86)\AstroGrep\AstroGrep.exe" /spath="%USERPROFILE%\AppData\Local\Temp\OnboardLogs" /stypes="app*4027*20170211*" /stext=" 22:.+((SYSTEM_STATE.+slice.+state.+changed )|(ment ac)|(multiple cpu faults)|(system.+state.+changed )|(\[timeout)|(PRM\|1\|D)|(kpr)|(kdp)|(\|lc)|(penalty))" /e /r /s</v>
      </c>
      <c r="AG105" s="1" t="str">
        <f t="shared" si="54"/>
        <v>EC</v>
      </c>
      <c r="AH105" s="86" t="str">
        <f t="shared" si="55"/>
        <v>"%USERPROFILE%\Documents\GitHub\eaglep3\Utilities\RefineRTDCRunTimes.py" --tripid 193-11 --locoid 4027 --swversion DE.1.0.8.0 --startMP 204:455 --initTime 2017-02-11T15:09:31 --startdatetime 2017-02-11T15:15:16 --delay 1 --endMP 204:233280 --enddatetime 2017-02-11T15:51:09 --enforcementcount 1 &gt;&gt;C:\Users\stu\Documents\GitHub\eaglep3-reporting\EC\2017-02-11-refined-times.txt</v>
      </c>
      <c r="AI105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{"issue":{"subject":"","project_id":79,"tracker_id":40,"status_id":1,"priority_id":2,"assigned_to_id":23,"start_date":"2017-02-11","description":"","custom_fields":[{"id":1,"name":"Subdivision","value":"EC"},{"id":4,"name":"Milepost","value":"23.328"},{"id":17,"name":"Train ID","value":"193-11"},{"id":16,"name":"Locomotive ID","value":"4027"},{"id":130,"name":"Impact","value":""},{"id":150,"name":"Time of Event (Mountain Time)","value":"15:51:09"},{"id":151,"name":"Denver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57"/>
        <v>start /low /b %USERPROFILE%\Documents\GitHub\eaglep3\Utilities\DownloadLogsFromS3.py --loco 4027 --day 2017-02-11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"%USERPROFILE%\AppData\Local\Temp\OnboardLogs"\RTDC4027\*4027*20170211* | grep -SE "(Enforcement Action)|(\[TIMEOUT)|(CHR.+\|PRM\|1\|D.+(SWITCH|SIGNAL).+UNKNOWN)" - &gt;&gt; 2017-02-11-UncaughtWiMAX.txt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668</v>
      </c>
      <c r="B106" s="7">
        <v>4028</v>
      </c>
      <c r="C106" s="21" t="s">
        <v>193</v>
      </c>
      <c r="D106" s="21" t="s">
        <v>766</v>
      </c>
      <c r="E106" s="13">
        <v>42777.668356481481</v>
      </c>
      <c r="F106" s="13">
        <v>42777.674479166664</v>
      </c>
      <c r="G106" s="7">
        <v>1</v>
      </c>
      <c r="H106" s="21" t="s">
        <v>209</v>
      </c>
      <c r="I106" s="13">
        <v>42777.70175925926</v>
      </c>
      <c r="J106" s="7">
        <v>1</v>
      </c>
      <c r="K106" s="98" t="str">
        <f t="shared" si="42"/>
        <v>4027/4028</v>
      </c>
      <c r="L106" s="21" t="str">
        <f>VLOOKUP(A106,'Trips&amp;Operators'!$C$1:$G$99999,5,FALSE)</f>
        <v>KILLION DAVID</v>
      </c>
      <c r="M106" s="6">
        <f t="shared" si="43"/>
        <v>2.7280092595901806E-2</v>
      </c>
      <c r="N106" s="7">
        <f t="shared" si="62"/>
        <v>39.283333338098601</v>
      </c>
      <c r="O106" s="7"/>
      <c r="P106" s="7"/>
      <c r="Q106" s="22"/>
      <c r="R106" s="22"/>
      <c r="S106" s="31">
        <f t="shared" si="44"/>
        <v>1</v>
      </c>
      <c r="T106" s="46" t="str">
        <f t="shared" si="45"/>
        <v>Southbound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 t="shared" si="46"/>
        <v>https://d0f6bd738d7f1b3e5a7ca70fe4ff75f0.us-east-1.aws.found.io/app/kibana#/discover/Steve-Slow-Train-Analysis-(2080s-and-2083s)?_g=(refreshInterval:(display:Off,pause:!f,section:0,value:0),time:(from:'2017-02-11T15:02:26-0700',mode:absolute,to:'2017-02-11T17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6" s="188" t="str">
        <f t="shared" si="47"/>
        <v>N</v>
      </c>
      <c r="X106" s="188">
        <f t="shared" si="58"/>
        <v>1</v>
      </c>
      <c r="Y106" s="62">
        <f t="shared" si="63"/>
        <v>23.298100000000002</v>
      </c>
      <c r="Z106" s="62">
        <f t="shared" si="64"/>
        <v>1.5800000000000002E-2</v>
      </c>
      <c r="AA106" s="62">
        <f t="shared" si="50"/>
        <v>23.282300000000003</v>
      </c>
      <c r="AB106" s="59" t="e">
        <f>VLOOKUP(A106,Enforcements!$C$7:$K$14,8,0)</f>
        <v>#N/A</v>
      </c>
      <c r="AC106" s="55" t="e">
        <f>VLOOKUP(A106,Enforcements!$C$7:$E$14,3,0)</f>
        <v>#N/A</v>
      </c>
      <c r="AD106" s="56" t="str">
        <f t="shared" si="51"/>
        <v>0194-11</v>
      </c>
      <c r="AE106" s="85" t="str">
        <f t="shared" si="52"/>
        <v>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 &amp; 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</v>
      </c>
      <c r="AF106" s="82" t="str">
        <f t="shared" si="53"/>
        <v>"C:\Program Files (x86)\AstroGrep\AstroGrep.exe" /spath="%USERPROFILE%\AppData\Local\Temp\OnboardLogs" /stypes="app*4028*20170211*" /stext=" 23:.+((SYSTEM_STATE.+slice.+state.+changed )|(ment ac)|(multiple cpu faults)|(system.+state.+changed )|(\[timeout)|(PRM\|1\|D)|(kpr)|(kdp)|(\|lc)|(penalty))" /e /r /s</v>
      </c>
      <c r="AG106" s="1" t="str">
        <f t="shared" si="54"/>
        <v>EC</v>
      </c>
      <c r="AH106" s="86" t="str">
        <f t="shared" si="55"/>
        <v>"%USERPROFILE%\Documents\GitHub\eaglep3\Utilities\RefineRTDCRunTimes.py" --tripid 194-11 --locoid 4028 --swversion DE.1.0.8.0 --startMP 204:232981 --initTime 2017-02-11T16:02:26 --startdatetime 2017-02-11T16:11:15 --delay 1 --endMP 204:158 --enddatetime 2017-02-11T16:50:32 --enforcementcount 1 &gt;&gt;C:\Users\stu\Documents\GitHub\eaglep3-reporting\EC\2017-02-11-refined-times.txt</v>
      </c>
      <c r="AI106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{"issue":{"subject":"","project_id":79,"tracker_id":40,"status_id":1,"priority_id":2,"assigned_to_id":23,"start_date":"2017-02-11","description":"","custom_fields":[{"id":1,"name":"Subdivision","value":"EC"},{"id":4,"name":"Milepost","value":"0.0158"},{"id":17,"name":"Train ID","value":"194-11"},{"id":16,"name":"Locomotive ID","value":"4028"},{"id":130,"name":"Impact","value":""},{"id":150,"name":"Time of Event (Mountain Time)","value":"16:50:32"},{"id":151,"name":"Denver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57"/>
        <v>start /low /b %USERPROFILE%\Documents\GitHub\eaglep3\Utilities\DownloadLogsFromS3.py --loco 4028 --day 2017-02-11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"%USERPROFILE%\AppData\Local\Temp\OnboardLogs"\RTDC4028\*4028*20170211* | grep -SE "(Enforcement Action)|(\[TIMEOUT)|(CHR.+\|PRM\|1\|D.+(SWITCH|SIGNAL).+UNKNOWN)" - &gt;&gt; 2017-02-11-UncaughtWiMAX.txt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664</v>
      </c>
      <c r="B107" s="7">
        <v>4020</v>
      </c>
      <c r="C107" s="21" t="s">
        <v>193</v>
      </c>
      <c r="D107" s="21" t="s">
        <v>271</v>
      </c>
      <c r="E107" s="13">
        <v>42777.642812500002</v>
      </c>
      <c r="F107" s="13">
        <v>42777.646053240744</v>
      </c>
      <c r="G107" s="7">
        <v>1</v>
      </c>
      <c r="H107" s="21" t="s">
        <v>827</v>
      </c>
      <c r="I107" s="13">
        <v>42777.672430555554</v>
      </c>
      <c r="J107" s="7">
        <v>1</v>
      </c>
      <c r="K107" s="98" t="str">
        <f t="shared" si="42"/>
        <v>4019/4020</v>
      </c>
      <c r="L107" s="21" t="str">
        <f>VLOOKUP(A107,'Trips&amp;Operators'!$C$1:$G$99999,5,FALSE)</f>
        <v>LEVIN SCOTT</v>
      </c>
      <c r="M107" s="6">
        <f t="shared" si="43"/>
        <v>2.6377314810815733E-2</v>
      </c>
      <c r="N107" s="7">
        <f t="shared" si="62"/>
        <v>37.983333327574655</v>
      </c>
      <c r="O107" s="7"/>
      <c r="P107" s="7"/>
      <c r="Q107" s="22"/>
      <c r="R107" s="22"/>
      <c r="S107" s="31">
        <f t="shared" si="44"/>
        <v>1</v>
      </c>
      <c r="T107" s="46" t="str">
        <f t="shared" si="45"/>
        <v>NorthBound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 t="shared" si="46"/>
        <v>https://d0f6bd738d7f1b3e5a7ca70fe4ff75f0.us-east-1.aws.found.io/app/kibana#/discover/Steve-Slow-Train-Analysis-(2080s-and-2083s)?_g=(refreshInterval:(display:Off,pause:!f,section:0,value:0),time:(from:'2017-02-11T14:25:39-0700',mode:absolute,to:'2017-02-11T17:08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7" s="188" t="str">
        <f t="shared" si="47"/>
        <v>N</v>
      </c>
      <c r="X107" s="188">
        <f t="shared" si="58"/>
        <v>1</v>
      </c>
      <c r="Y107" s="62">
        <f t="shared" si="63"/>
        <v>4.7100000000000003E-2</v>
      </c>
      <c r="Z107" s="62">
        <f t="shared" si="64"/>
        <v>23.334499999999998</v>
      </c>
      <c r="AA107" s="62">
        <f t="shared" si="50"/>
        <v>23.287399999999998</v>
      </c>
      <c r="AB107" s="59" t="e">
        <f>VLOOKUP(A107,Enforcements!$C$7:$K$14,8,0)</f>
        <v>#N/A</v>
      </c>
      <c r="AC107" s="55" t="e">
        <f>VLOOKUP(A107,Enforcements!$C$7:$E$14,3,0)</f>
        <v>#N/A</v>
      </c>
      <c r="AD107" s="56" t="str">
        <f t="shared" si="51"/>
        <v>0195-11</v>
      </c>
      <c r="AE107" s="85" t="str">
        <f t="shared" si="52"/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AF107" s="82" t="str">
        <f t="shared" si="53"/>
        <v>"C:\Program Files (x86)\AstroGrep\AstroGrep.exe" /spath="%USERPROFILE%\AppData\Local\Temp\OnboardLogs" /stypes="app*4020*20170211*" /stext=" 23:.+((SYSTEM_STATE.+slice.+state.+changed )|(ment ac)|(multiple cpu faults)|(system.+state.+changed )|(\[timeout)|(PRM\|1\|D)|(kpr)|(kdp)|(\|lc)|(penalty))" /e /r /s</v>
      </c>
      <c r="AG107" s="1" t="str">
        <f t="shared" si="54"/>
        <v>EC</v>
      </c>
      <c r="AH107" s="86" t="str">
        <f t="shared" si="55"/>
        <v>"%USERPROFILE%\Documents\GitHub\eaglep3\Utilities\RefineRTDCRunTimes.py" --tripid 195-11 --locoid 4020 --swversion DE.1.0.8.0 --startMP 204:471 --initTime 2017-02-11T15:25:39 --startdatetime 2017-02-11T15:30:19 --delay 1 --endMP 204:233345 --enddatetime 2017-02-11T16:08:18 --enforcementcount 1 &gt;&gt;C:\Users\stu\Documents\GitHub\eaglep3-reporting\EC\2017-02-11-refined-times.txt</v>
      </c>
      <c r="AI107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{"issue":{"subject":"","project_id":79,"tracker_id":40,"status_id":1,"priority_id":2,"assigned_to_id":23,"start_date":"2017-02-11","description":"","custom_fields":[{"id":1,"name":"Subdivision","value":"EC"},{"id":4,"name":"Milepost","value":"23.3345"},{"id":17,"name":"Train ID","value":"195-11"},{"id":16,"name":"Locomotive ID","value":"4020"},{"id":130,"name":"Impact","value":""},{"id":150,"name":"Time of Event (Mountain Time)","value":"16:08:18"},{"id":151,"name":"Denver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57"/>
        <v>start /low /b %USERPROFILE%\Documents\GitHub\eaglep3\Utilities\DownloadLogsFromS3.py --loco 4020 --day 2017-02-11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"%USERPROFILE%\AppData\Local\Temp\OnboardLogs"\RTDC4020\*4020*20170211* | grep -SE "(Enforcement Action)|(\[TIMEOUT)|(CHR.+\|PRM\|1\|D.+(SWITCH|SIGNAL).+UNKNOWN)" - &gt;&gt; 2017-02-11-UncaughtWiMAX.txt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671</v>
      </c>
      <c r="B108" s="7">
        <v>4019</v>
      </c>
      <c r="C108" s="21" t="s">
        <v>193</v>
      </c>
      <c r="D108" s="21" t="s">
        <v>828</v>
      </c>
      <c r="E108" s="13">
        <v>42777.681145833332</v>
      </c>
      <c r="F108" s="13">
        <v>42777.684884259259</v>
      </c>
      <c r="G108" s="7">
        <v>1</v>
      </c>
      <c r="H108" s="21" t="s">
        <v>772</v>
      </c>
      <c r="I108" s="13">
        <v>42777.712395833332</v>
      </c>
      <c r="J108" s="7">
        <v>1</v>
      </c>
      <c r="K108" s="98" t="str">
        <f t="shared" si="42"/>
        <v>4019/4020</v>
      </c>
      <c r="L108" s="21" t="str">
        <f>VLOOKUP(A108,'Trips&amp;Operators'!$C$1:$G$99999,5,FALSE)</f>
        <v>LEVIN SCOTT</v>
      </c>
      <c r="M108" s="6">
        <f t="shared" si="43"/>
        <v>2.7511574073287193E-2</v>
      </c>
      <c r="N108" s="7">
        <f t="shared" si="62"/>
        <v>39.616666665533558</v>
      </c>
      <c r="O108" s="7"/>
      <c r="P108" s="7"/>
      <c r="Q108" s="22"/>
      <c r="R108" s="22"/>
      <c r="S108" s="31">
        <f t="shared" si="44"/>
        <v>1</v>
      </c>
      <c r="T108" s="46" t="str">
        <f t="shared" si="45"/>
        <v>Southbound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 t="shared" si="46"/>
        <v>https://d0f6bd738d7f1b3e5a7ca70fe4ff75f0.us-east-1.aws.found.io/app/kibana#/discover/Steve-Slow-Train-Analysis-(2080s-and-2083s)?_g=(refreshInterval:(display:Off,pause:!f,section:0,value:0),time:(from:'2017-02-11T15:20:51-0700',mode:absolute,to:'2017-02-11T18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8" s="188" t="str">
        <f t="shared" si="47"/>
        <v>N</v>
      </c>
      <c r="X108" s="188">
        <f t="shared" si="58"/>
        <v>1</v>
      </c>
      <c r="Y108" s="62">
        <f t="shared" si="63"/>
        <v>23.3003</v>
      </c>
      <c r="Z108" s="62">
        <f t="shared" si="64"/>
        <v>1.23E-2</v>
      </c>
      <c r="AA108" s="62">
        <f t="shared" si="50"/>
        <v>23.288</v>
      </c>
      <c r="AB108" s="59" t="e">
        <f>VLOOKUP(A108,Enforcements!$C$7:$K$14,8,0)</f>
        <v>#N/A</v>
      </c>
      <c r="AC108" s="55" t="e">
        <f>VLOOKUP(A108,Enforcements!$C$7:$E$14,3,0)</f>
        <v>#N/A</v>
      </c>
      <c r="AD108" s="56" t="str">
        <f t="shared" si="51"/>
        <v>0196-11</v>
      </c>
      <c r="AE108" s="85" t="str">
        <f t="shared" si="52"/>
        <v>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 &amp; 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</v>
      </c>
      <c r="AF108" s="82" t="str">
        <f t="shared" si="53"/>
        <v>"C:\Program Files (x86)\AstroGrep\AstroGrep.exe" /spath="%USERPROFILE%\AppData\Local\Temp\OnboardLogs" /stypes="app*4019*20170212*" /stext=" 00:.+((SYSTEM_STATE.+slice.+state.+changed )|(ment ac)|(multiple cpu faults)|(system.+state.+changed )|(\[timeout)|(PRM\|1\|D)|(kpr)|(kdp)|(\|lc)|(penalty))" /e /r /s</v>
      </c>
      <c r="AG108" s="1" t="str">
        <f t="shared" si="54"/>
        <v>EC</v>
      </c>
      <c r="AH108" s="86" t="str">
        <f t="shared" si="55"/>
        <v>"%USERPROFILE%\Documents\GitHub\eaglep3\Utilities\RefineRTDCRunTimes.py" --tripid 196-11 --locoid 4019 --swversion DE.1.0.8.0 --startMP 204:233003 --initTime 2017-02-11T16:20:51 --startdatetime 2017-02-11T16:26:14 --delay 1 --endMP 204:123 --enddatetime 2017-02-11T17:05:51 --enforcementcount 1 &gt;&gt;C:\Users\stu\Documents\GitHub\eaglep3-reporting\EC\2017-02-11-refined-times.txt</v>
      </c>
      <c r="AI108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{"issue":{"subject":"","project_id":79,"tracker_id":40,"status_id":1,"priority_id":2,"assigned_to_id":23,"start_date":"2017-02-11","description":"","custom_fields":[{"id":1,"name":"Subdivision","value":"EC"},{"id":4,"name":"Milepost","value":"0.0123"},{"id":17,"name":"Train ID","value":"196-11"},{"id":16,"name":"Locomotive ID","value":"4019"},{"id":130,"name":"Impact","value":""},{"id":150,"name":"Time of Event (Mountain Time)","value":"17:05:51"},{"id":151,"name":"Denver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57"/>
        <v>start /low /b %USERPROFILE%\Documents\GitHub\eaglep3\Utilities\DownloadLogsFromS3.py --loco 4019 --day 2017-02-11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"%USERPROFILE%\AppData\Local\Temp\OnboardLogs"\RTDC4019\*4019*20170211* | grep -SE "(Enforcement Action)|(\[TIMEOUT)|(CHR.+\|PRM\|1\|D.+(SWITCH|SIGNAL).+UNKNOWN)" - &gt;&gt; 2017-02-11-UncaughtWiMAX.txt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665</v>
      </c>
      <c r="B109" s="7">
        <v>4029</v>
      </c>
      <c r="C109" s="21" t="s">
        <v>193</v>
      </c>
      <c r="D109" s="21" t="s">
        <v>358</v>
      </c>
      <c r="E109" s="13">
        <v>42777.650821759256</v>
      </c>
      <c r="F109" s="13">
        <v>42777.656481481485</v>
      </c>
      <c r="G109" s="7">
        <v>1</v>
      </c>
      <c r="H109" s="21" t="s">
        <v>829</v>
      </c>
      <c r="I109" s="13">
        <v>42777.682314814818</v>
      </c>
      <c r="J109" s="7">
        <v>1</v>
      </c>
      <c r="K109" s="98" t="str">
        <f t="shared" ref="K109:K140" si="65">IF(ISEVEN(B109),(B109-1)&amp;"/"&amp;B109,B109&amp;"/"&amp;(B109+1))</f>
        <v>4029/4030</v>
      </c>
      <c r="L109" s="21" t="str">
        <f>VLOOKUP(A109,'Trips&amp;Operators'!$C$1:$G$99999,5,FALSE)</f>
        <v>ROMERO CHAD</v>
      </c>
      <c r="M109" s="6">
        <f t="shared" ref="M109:M140" si="66">I109-F109</f>
        <v>2.5833333333139308E-2</v>
      </c>
      <c r="N109" s="7">
        <f t="shared" si="62"/>
        <v>37.199999999720603</v>
      </c>
      <c r="O109" s="7"/>
      <c r="P109" s="7"/>
      <c r="Q109" s="22"/>
      <c r="R109" s="22"/>
      <c r="S109" s="31">
        <f t="shared" ref="S109:S140" si="67">SUM(U109:U109)/IF(AG109="EC",12,1)</f>
        <v>1</v>
      </c>
      <c r="T109" s="46" t="str">
        <f t="shared" ref="T109:T140" si="68">IF(ISEVEN(LEFT(AD109,4)),"Southbound","NorthBound")</f>
        <v>NorthBound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 t="shared" ref="V109:V140" si="69"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-02-11T14:37:11-0700',mode:absolute,to:'2017-02-11T17:22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9" s="188" t="str">
        <f t="shared" ref="W109:W140" si="70">IF(AA109&lt;IF(AG109="EC",23,5.65),"Y","N")</f>
        <v>N</v>
      </c>
      <c r="X109" s="188">
        <f t="shared" si="58"/>
        <v>1</v>
      </c>
      <c r="Y109" s="62">
        <f t="shared" si="63"/>
        <v>4.3299999999999998E-2</v>
      </c>
      <c r="Z109" s="62">
        <f t="shared" si="64"/>
        <v>23.337</v>
      </c>
      <c r="AA109" s="62">
        <f t="shared" ref="AA109:AA140" si="71">ABS(Z109-Y109)</f>
        <v>23.293700000000001</v>
      </c>
      <c r="AB109" s="59" t="e">
        <f>VLOOKUP(A109,Enforcements!$C$7:$K$14,8,0)</f>
        <v>#N/A</v>
      </c>
      <c r="AC109" s="55" t="e">
        <f>VLOOKUP(A109,Enforcements!$C$7:$E$14,3,0)</f>
        <v>#N/A</v>
      </c>
      <c r="AD109" s="56" t="str">
        <f t="shared" ref="AD109:AD140" si="72">IF(LEN(A109)=6,"0"&amp;A109,A109)</f>
        <v>0197-11</v>
      </c>
      <c r="AE109" s="85" t="str">
        <f t="shared" ref="AE109:AE140" si="73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s3://rtdc.mdm.uploadarchive.raw/RTDC4029/ "%USERPROFILE%\AppData\Local\Temp\OnboardLogs"\RTDC4029\2017-02-11 --exclude "*" --recursive --include "*20170211*" &amp; "%USERPROFILE%\Documents\GitHub\mrs-test-scripts\Headless Mode &amp; Sideloading\WalkAndUnGZ.bat" "%USERPROFILE%\AppData\Local\Temp\OnboardLogs"\RTDC4029\2017-02-11 &amp; 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</v>
      </c>
      <c r="AF109" s="82" t="str">
        <f t="shared" ref="AF109:AF140" si="74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/stypes="app*4029*20170211*" /stext=" 23:.+((SYSTEM_STATE.+slice.+state.+changed )|(ment ac)|(multiple cpu faults)|(system.+state.+changed )|(\[timeout)|(PRM\|1\|D)|(kpr)|(kdp)|(\|lc)|(penalty))" /e /r /s</v>
      </c>
      <c r="AG109" s="1" t="str">
        <f t="shared" ref="AG109:AG140" si="75">IFERROR(IF(VALUE(LEFT(AD109,2))&lt;=2,"EC",IF(OR(VALUE(LEFT(AD109,2))=8,VALUE(LEFT(AD109,2))=18),"NW","Other")),"Other")</f>
        <v>EC</v>
      </c>
      <c r="AH109" s="86" t="str">
        <f t="shared" si="55"/>
        <v>"%USERPROFILE%\Documents\GitHub\eaglep3\Utilities\RefineRTDCRunTimes.py" --tripid 197-11 --locoid 4029 --swversion DE.1.0.8.0 --startMP 204:433 --initTime 2017-02-11T15:37:11 --startdatetime 2017-02-11T15:45:20 --delay 1 --endMP 204:233370 --enddatetime 2017-02-11T16:22:32 --enforcementcount 1 &gt;&gt;C:\Users\stu\Documents\GitHub\eaglep3-reporting\EC\2017-02-11-refined-times.txt</v>
      </c>
      <c r="AI109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{"issue":{"subject":"","project_id":79,"tracker_id":40,"status_id":1,"priority_id":2,"assigned_to_id":23,"start_date":"2017-02-11","description":"","custom_fields":[{"id":1,"name":"Subdivision","value":"EC"},{"id":4,"name":"Milepost","value":"23.337"},{"id":17,"name":"Train ID","value":"197-11"},{"id":16,"name":"Locomotive ID","value":"4029"},{"id":130,"name":"Impact","value":""},{"id":150,"name":"Time of Event (Mountain Time)","value":"16:22:32"},{"id":151,"name":"Denver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57"/>
        <v>start /low /b %USERPROFILE%\Documents\GitHub\eaglep3\Utilities\DownloadLogsFromS3.py --loco 4029 --day 2017-02-11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"%USERPROFILE%\AppData\Local\Temp\OnboardLogs"\RTDC4029\*4029*20170211* | grep -SE "(Enforcement Action)|(\[TIMEOUT)|(CHR.+\|PRM\|1\|D.+(SWITCH|SIGNAL).+UNKNOWN)" - &gt;&gt; 2017-02-11-UncaughtWiMAX.txt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673</v>
      </c>
      <c r="B110" s="7">
        <v>4030</v>
      </c>
      <c r="C110" s="21" t="s">
        <v>193</v>
      </c>
      <c r="D110" s="21" t="s">
        <v>830</v>
      </c>
      <c r="E110" s="13">
        <v>42777.68482638889</v>
      </c>
      <c r="F110" s="13">
        <v>42777.695324074077</v>
      </c>
      <c r="G110" s="7">
        <v>1</v>
      </c>
      <c r="H110" s="21" t="s">
        <v>296</v>
      </c>
      <c r="I110" s="13">
        <v>42777.722627314812</v>
      </c>
      <c r="J110" s="7">
        <v>1</v>
      </c>
      <c r="K110" s="98" t="str">
        <f t="shared" si="65"/>
        <v>4029/4030</v>
      </c>
      <c r="L110" s="21" t="str">
        <f>VLOOKUP(A110,'Trips&amp;Operators'!$C$1:$G$99999,5,FALSE)</f>
        <v>ROMERO CHAD</v>
      </c>
      <c r="M110" s="6">
        <f t="shared" si="66"/>
        <v>2.7303240734909195E-2</v>
      </c>
      <c r="N110" s="7">
        <f t="shared" si="62"/>
        <v>39.316666658269241</v>
      </c>
      <c r="O110" s="7"/>
      <c r="P110" s="7"/>
      <c r="Q110" s="22"/>
      <c r="R110" s="22"/>
      <c r="S110" s="31">
        <f t="shared" si="67"/>
        <v>1</v>
      </c>
      <c r="T110" s="46" t="str">
        <f t="shared" si="68"/>
        <v>Southbound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7" t="str">
        <f t="shared" si="69"/>
        <v>https://d0f6bd738d7f1b3e5a7ca70fe4ff75f0.us-east-1.aws.found.io/app/kibana#/discover/Steve-Slow-Train-Analysis-(2080s-and-2083s)?_g=(refreshInterval:(display:Off,pause:!f,section:0,value:0),time:(from:'2017-02-11T15:26:09-0700',mode:absolute,to:'2017-02-11T18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0" s="188" t="str">
        <f t="shared" si="70"/>
        <v>N</v>
      </c>
      <c r="X110" s="188">
        <f t="shared" si="58"/>
        <v>1</v>
      </c>
      <c r="Y110" s="62">
        <f t="shared" si="63"/>
        <v>23.3032</v>
      </c>
      <c r="Z110" s="62">
        <f t="shared" si="64"/>
        <v>1.3899999999999999E-2</v>
      </c>
      <c r="AA110" s="62">
        <f t="shared" si="71"/>
        <v>23.289300000000001</v>
      </c>
      <c r="AB110" s="59" t="e">
        <f>VLOOKUP(A110,Enforcements!$C$7:$K$14,8,0)</f>
        <v>#N/A</v>
      </c>
      <c r="AC110" s="55" t="e">
        <f>VLOOKUP(A110,Enforcements!$C$7:$E$14,3,0)</f>
        <v>#N/A</v>
      </c>
      <c r="AD110" s="56" t="str">
        <f t="shared" si="72"/>
        <v>0198-11</v>
      </c>
      <c r="AE110" s="85" t="str">
        <f t="shared" si="73"/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AF110" s="82" t="str">
        <f t="shared" si="74"/>
        <v>"C:\Program Files (x86)\AstroGrep\AstroGrep.exe" /spath="%USERPROFILE%\AppData\Local\Temp\OnboardLogs" /stypes="app*4030*20170212*" /stext=" 00:.+((SYSTEM_STATE.+slice.+state.+changed )|(ment ac)|(multiple cpu faults)|(system.+state.+changed )|(\[timeout)|(PRM\|1\|D)|(kpr)|(kdp)|(\|lc)|(penalty))" /e /r /s</v>
      </c>
      <c r="AG110" s="1" t="str">
        <f t="shared" si="75"/>
        <v>EC</v>
      </c>
      <c r="AH110" s="86" t="str">
        <f t="shared" si="55"/>
        <v>"%USERPROFILE%\Documents\GitHub\eaglep3\Utilities\RefineRTDCRunTimes.py" --tripid 198-11 --locoid 4030 --swversion DE.1.0.8.0 --startMP 204:233032 --initTime 2017-02-11T16:26:09 --startdatetime 2017-02-11T16:41:16 --delay 1 --endMP 204:139 --enddatetime 2017-02-11T17:20:35 --enforcementcount 1 &gt;&gt;C:\Users\stu\Documents\GitHub\eaglep3-reporting\EC\2017-02-11-refined-times.txt</v>
      </c>
      <c r="AI110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{"issue":{"subject":"","project_id":79,"tracker_id":40,"status_id":1,"priority_id":2,"assigned_to_id":23,"start_date":"2017-02-11","description":"","custom_fields":[{"id":1,"name":"Subdivision","value":"EC"},{"id":4,"name":"Milepost","value":"0.0139"},{"id":17,"name":"Train ID","value":"198-11"},{"id":16,"name":"Locomotive ID","value":"4030"},{"id":130,"name":"Impact","value":""},{"id":150,"name":"Time of Event (Mountain Time)","value":"17:20:35"},{"id":151,"name":"Denver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57"/>
        <v>start /low /b %USERPROFILE%\Documents\GitHub\eaglep3\Utilities\DownloadLogsFromS3.py --loco 4030 --day 2017-02-11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"%USERPROFILE%\AppData\Local\Temp\OnboardLogs"\RTDC4030\*4030*20170212* | grep -SE "(Enforcement Action)|(\[TIMEOUT)|(CHR.+\|PRM\|1\|D.+(SWITCH|SIGNAL).+UNKNOWN)" - &gt;&gt; 2017-02-11-UncaughtWiMAX.txt</v>
      </c>
    </row>
    <row r="111" spans="1:91" s="20" customFormat="1" x14ac:dyDescent="0.25">
      <c r="A111" s="33" t="s">
        <v>666</v>
      </c>
      <c r="B111" s="7">
        <v>4044</v>
      </c>
      <c r="C111" s="21" t="s">
        <v>193</v>
      </c>
      <c r="D111" s="21" t="s">
        <v>831</v>
      </c>
      <c r="E111" s="13">
        <v>42777.665601851855</v>
      </c>
      <c r="F111" s="13">
        <v>42777.667581018519</v>
      </c>
      <c r="G111" s="7">
        <v>2</v>
      </c>
      <c r="H111" s="21" t="s">
        <v>832</v>
      </c>
      <c r="I111" s="13">
        <v>42777.695289351854</v>
      </c>
      <c r="J111" s="7">
        <v>1</v>
      </c>
      <c r="K111" s="98" t="str">
        <f t="shared" si="65"/>
        <v>4043/4044</v>
      </c>
      <c r="L111" s="21" t="str">
        <f>VLOOKUP(A111,'Trips&amp;Operators'!$C$1:$G$99999,5,FALSE)</f>
        <v>NELSON ARIANE</v>
      </c>
      <c r="M111" s="6">
        <f t="shared" si="66"/>
        <v>2.7708333334885538E-2</v>
      </c>
      <c r="N111" s="7">
        <f t="shared" si="62"/>
        <v>39.900000002235174</v>
      </c>
      <c r="O111" s="7"/>
      <c r="P111" s="7"/>
      <c r="Q111" s="22"/>
      <c r="R111" s="22"/>
      <c r="S111" s="31">
        <f t="shared" si="67"/>
        <v>1</v>
      </c>
      <c r="T111" s="46" t="str">
        <f t="shared" si="68"/>
        <v>NorthBound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 t="shared" si="69"/>
        <v>https://d0f6bd738d7f1b3e5a7ca70fe4ff75f0.us-east-1.aws.found.io/app/kibana#/discover/Steve-Slow-Train-Analysis-(2080s-and-2083s)?_g=(refreshInterval:(display:Off,pause:!f,section:0,value:0),time:(from:'2017-02-11T14:58:28-0700',mode:absolute,to:'2017-02-11T17:41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1" s="188" t="str">
        <f t="shared" si="70"/>
        <v>N</v>
      </c>
      <c r="X111" s="188">
        <f t="shared" si="58"/>
        <v>1</v>
      </c>
      <c r="Y111" s="62">
        <f t="shared" si="63"/>
        <v>0.14899999999999999</v>
      </c>
      <c r="Z111" s="62">
        <f t="shared" si="64"/>
        <v>23.331099999999999</v>
      </c>
      <c r="AA111" s="62">
        <f t="shared" si="71"/>
        <v>23.182099999999998</v>
      </c>
      <c r="AB111" s="59" t="e">
        <f>VLOOKUP(A111,Enforcements!$C$7:$K$14,8,0)</f>
        <v>#N/A</v>
      </c>
      <c r="AC111" s="55" t="e">
        <f>VLOOKUP(A111,Enforcements!$C$7:$E$14,3,0)</f>
        <v>#N/A</v>
      </c>
      <c r="AD111" s="56" t="str">
        <f t="shared" si="72"/>
        <v>0199-11</v>
      </c>
      <c r="AE111" s="85" t="str">
        <f t="shared" si="73"/>
        <v>aws s3 cp s3://rtdc.mdm.uploadarchive.raw/RTDC4044/ "%USERPROFILE%\AppData\Local\Temp\OnboardLogs"\RTDC4044\2017-02-11 --exclude "*" --recursive --include "*20170211*" &amp; "%USERPROFILE%\Documents\GitHub\mrs-test-scripts\Headless Mode &amp; Sideloading\WalkAndUnGZ.bat" "%USERPROFILE%\AppData\Local\Temp\OnboardLogs"\RTDC4044\2017-02-11 &amp; aws s3 cp s3://rtdc.mdm.uploadarchive.raw/RTDC4044/ "%USERPROFILE%\AppData\Local\Temp\OnboardLogs"\RTDC4044\2017-02-12 --exclude "*" --recursive --include "*20170212*" &amp; "%USERPROFILE%\Documents\GitHub\mrs-test-scripts\Headless Mode &amp; Sideloading\WalkAndUnGZ.bat" "%USERPROFILE%\AppData\Local\Temp\OnboardLogs"\RTDC4044\2017-02-12</v>
      </c>
      <c r="AF111" s="82" t="str">
        <f t="shared" si="74"/>
        <v>"C:\Program Files (x86)\AstroGrep\AstroGrep.exe" /spath="%USERPROFILE%\AppData\Local\Temp\OnboardLogs" /stypes="app*4044*20170211*" /stext=" 23:.+((SYSTEM_STATE.+slice.+state.+changed )|(ment ac)|(multiple cpu faults)|(system.+state.+changed )|(\[timeout)|(PRM\|1\|D)|(kpr)|(kdp)|(\|lc)|(penalty))" /e /r /s</v>
      </c>
      <c r="AG111" s="1" t="str">
        <f t="shared" si="75"/>
        <v>EC</v>
      </c>
      <c r="AH111" s="86" t="str">
        <f t="shared" si="55"/>
        <v>"%USERPROFILE%\Documents\GitHub\eaglep3\Utilities\RefineRTDCRunTimes.py" --tripid 199-11 --locoid 4044 --swversion DE.1.0.8.0 --startMP 204:1490 --initTime 2017-02-11T15:58:28 --startdatetime 2017-02-11T16:01:19 --delay 2 --endMP 204:233311 --enddatetime 2017-02-11T16:41:13 --enforcementcount 1 &gt;&gt;C:\Users\stu\Documents\GitHub\eaglep3-reporting\EC\2017-02-11-refined-times.txt</v>
      </c>
      <c r="AI111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{"issue":{"subject":"","project_id":79,"tracker_id":40,"status_id":1,"priority_id":2,"assigned_to_id":23,"start_date":"2017-02-11","description":"","custom_fields":[{"id":1,"name":"Subdivision","value":"EC"},{"id":4,"name":"Milepost","value":"23.3311"},{"id":17,"name":"Train ID","value":"199-11"},{"id":16,"name":"Locomotive ID","value":"4044"},{"id":130,"name":"Impact","value":""},{"id":150,"name":"Time of Event (Mountain Time)","value":"16:41:13"},{"id":151,"name":"Denver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57"/>
        <v>start /low /b %USERPROFILE%\Documents\GitHub\eaglep3\Utilities\DownloadLogsFromS3.py --loco 4044 --day 2017-02-11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"%USERPROFILE%\AppData\Local\Temp\OnboardLogs"\RTDC4044\*4044*20170211* | grep -SE "(Enforcement Action)|(\[TIMEOUT)|(CHR.+\|PRM\|1\|D.+(SWITCH|SIGNAL).+UNKNOWN)" - &gt;&gt; 2017-02-11-UncaughtWiMAX.txt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 s="33" t="s">
        <v>675</v>
      </c>
      <c r="B112" s="7">
        <v>4043</v>
      </c>
      <c r="C112" s="21" t="s">
        <v>193</v>
      </c>
      <c r="D112" s="21" t="s">
        <v>493</v>
      </c>
      <c r="E112" s="13">
        <v>42777.703726851854</v>
      </c>
      <c r="F112" s="13">
        <v>42777.705995370372</v>
      </c>
      <c r="G112" s="7">
        <v>3</v>
      </c>
      <c r="H112" s="21" t="s">
        <v>221</v>
      </c>
      <c r="I112" s="13">
        <v>42777.736678240741</v>
      </c>
      <c r="J112" s="7">
        <v>1</v>
      </c>
      <c r="K112" s="98" t="str">
        <f t="shared" si="65"/>
        <v>4043/4044</v>
      </c>
      <c r="L112" s="21" t="str">
        <f>VLOOKUP(A112,'Trips&amp;Operators'!$C$1:$G$99999,5,FALSE)</f>
        <v>NELSON ARIANE</v>
      </c>
      <c r="M112" s="6">
        <f t="shared" si="66"/>
        <v>3.068287036876427E-2</v>
      </c>
      <c r="N112" s="7">
        <f t="shared" si="62"/>
        <v>44.183333331020549</v>
      </c>
      <c r="O112" s="7"/>
      <c r="P112" s="7"/>
      <c r="Q112" s="22"/>
      <c r="R112" s="22"/>
      <c r="S112" s="31">
        <f t="shared" si="67"/>
        <v>1</v>
      </c>
      <c r="T112" s="46" t="str">
        <f t="shared" si="68"/>
        <v>Southbound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7" t="str">
        <f t="shared" si="69"/>
        <v>https://d0f6bd738d7f1b3e5a7ca70fe4ff75f0.us-east-1.aws.found.io/app/kibana#/discover/Steve-Slow-Train-Analysis-(2080s-and-2083s)?_g=(refreshInterval:(display:Off,pause:!f,section:0,value:0),time:(from:'2017-02-11T15:53:22-0700',mode:absolute,to:'2017-02-11T18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2" s="188" t="str">
        <f t="shared" si="70"/>
        <v>N</v>
      </c>
      <c r="X112" s="188">
        <f t="shared" si="58"/>
        <v>1</v>
      </c>
      <c r="Y112" s="62">
        <f t="shared" si="63"/>
        <v>23.299199999999999</v>
      </c>
      <c r="Z112" s="62">
        <f t="shared" si="64"/>
        <v>1.54E-2</v>
      </c>
      <c r="AA112" s="62">
        <f t="shared" si="71"/>
        <v>23.283799999999999</v>
      </c>
      <c r="AB112" s="59" t="e">
        <f>VLOOKUP(A112,Enforcements!$C$7:$K$14,8,0)</f>
        <v>#N/A</v>
      </c>
      <c r="AC112" s="55" t="e">
        <f>VLOOKUP(A112,Enforcements!$C$7:$E$14,3,0)</f>
        <v>#N/A</v>
      </c>
      <c r="AD112" s="56" t="str">
        <f t="shared" si="72"/>
        <v>0200-11</v>
      </c>
      <c r="AE112" s="85" t="str">
        <f t="shared" si="73"/>
        <v>aws s3 cp s3://rtdc.mdm.uploadarchive.raw/RTDC4043/ "%USERPROFILE%\AppData\Local\Temp\OnboardLogs"\RTDC4043\2017-02-11 --exclude "*" --recursive --include "*20170211*" &amp; "%USERPROFILE%\Documents\GitHub\mrs-test-scripts\Headless Mode &amp; Sideloading\WalkAndUnGZ.bat" "%USERPROFILE%\AppData\Local\Temp\OnboardLogs"\RTDC4043\2017-02-11 &amp; aws s3 cp s3://rtdc.mdm.uploadarchive.raw/RTDC4043/ "%USERPROFILE%\AppData\Local\Temp\OnboardLogs"\RTDC4043\2017-02-12 --exclude "*" --recursive --include "*20170212*" &amp; "%USERPROFILE%\Documents\GitHub\mrs-test-scripts\Headless Mode &amp; Sideloading\WalkAndUnGZ.bat" "%USERPROFILE%\AppData\Local\Temp\OnboardLogs"\RTDC4043\2017-02-12</v>
      </c>
      <c r="AF112" s="82" t="str">
        <f t="shared" si="74"/>
        <v>"C:\Program Files (x86)\AstroGrep\AstroGrep.exe" /spath="%USERPROFILE%\AppData\Local\Temp\OnboardLogs" /stypes="app*4043*20170212*" /stext=" 00:.+((SYSTEM_STATE.+slice.+state.+changed )|(ment ac)|(multiple cpu faults)|(system.+state.+changed )|(\[timeout)|(PRM\|1\|D)|(kpr)|(kdp)|(\|lc)|(penalty))" /e /r /s</v>
      </c>
      <c r="AG112" s="1" t="str">
        <f t="shared" si="75"/>
        <v>EC</v>
      </c>
      <c r="AH112" s="86" t="str">
        <f t="shared" si="55"/>
        <v>"%USERPROFILE%\Documents\GitHub\eaglep3\Utilities\RefineRTDCRunTimes.py" --tripid 200-11 --locoid 4043 --swversion DE.1.0.8.0 --startMP 204:232992 --initTime 2017-02-11T16:53:22 --startdatetime 2017-02-11T16:56:38 --delay 3 --endMP 204:154 --enddatetime 2017-02-11T17:40:49 --enforcementcount 1 &gt;&gt;C:\Users\stu\Documents\GitHub\eaglep3-reporting\EC\2017-02-11-refined-times.txt</v>
      </c>
      <c r="AI112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{"issue":{"subject":"","project_id":79,"tracker_id":40,"status_id":1,"priority_id":2,"assigned_to_id":23,"start_date":"2017-02-11","description":"","custom_fields":[{"id":1,"name":"Subdivision","value":"EC"},{"id":4,"name":"Milepost","value":"0.0154"},{"id":17,"name":"Train ID","value":"200-11"},{"id":16,"name":"Locomotive ID","value":"4043"},{"id":130,"name":"Impact","value":""},{"id":150,"name":"Time of Event (Mountain Time)","value":"17:40:49"},{"id":151,"name":"Denver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57"/>
        <v>start /low /b %USERPROFILE%\Documents\GitHub\eaglep3\Utilities\DownloadLogsFromS3.py --loco 4043 --day 2017-02-11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"%USERPROFILE%\AppData\Local\Temp\OnboardLogs"\RTDC4043\*4043*20170212* | grep -SE "(Enforcement Action)|(\[TIMEOUT)|(CHR.+\|PRM\|1\|D.+(SWITCH|SIGNAL).+UNKNOWN)" - &gt;&gt; 2017-02-11-UncaughtWiMAX.txt</v>
      </c>
    </row>
    <row r="113" spans="1:91" s="20" customFormat="1" x14ac:dyDescent="0.25">
      <c r="A113" s="33" t="s">
        <v>669</v>
      </c>
      <c r="B113" s="7">
        <v>4031</v>
      </c>
      <c r="C113" s="21" t="s">
        <v>193</v>
      </c>
      <c r="D113" s="21" t="s">
        <v>773</v>
      </c>
      <c r="E113" s="13">
        <v>42777.673101851855</v>
      </c>
      <c r="F113" s="13">
        <v>42777.677384259259</v>
      </c>
      <c r="G113" s="7">
        <v>2</v>
      </c>
      <c r="H113" s="21" t="s">
        <v>492</v>
      </c>
      <c r="I113" s="13">
        <v>42777.70239583333</v>
      </c>
      <c r="J113" s="7">
        <v>1</v>
      </c>
      <c r="K113" s="98" t="str">
        <f t="shared" si="65"/>
        <v>4031/4032</v>
      </c>
      <c r="L113" s="21" t="str">
        <f>VLOOKUP(A113,'Trips&amp;Operators'!$C$1:$G$99999,5,FALSE)</f>
        <v>STEWART MICHAEL</v>
      </c>
      <c r="M113" s="6">
        <f t="shared" si="66"/>
        <v>2.5011574070958886E-2</v>
      </c>
      <c r="N113" s="7">
        <f t="shared" si="62"/>
        <v>36.016666662180796</v>
      </c>
      <c r="O113" s="7"/>
      <c r="P113" s="7"/>
      <c r="Q113" s="22"/>
      <c r="R113" s="22"/>
      <c r="S113" s="31">
        <f t="shared" si="67"/>
        <v>1</v>
      </c>
      <c r="T113" s="46" t="str">
        <f t="shared" si="68"/>
        <v>NorthBound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 t="shared" si="69"/>
        <v>https://d0f6bd738d7f1b3e5a7ca70fe4ff75f0.us-east-1.aws.found.io/app/kibana#/discover/Steve-Slow-Train-Analysis-(2080s-and-2083s)?_g=(refreshInterval:(display:Off,pause:!f,section:0,value:0),time:(from:'2017-02-11T15:09:16-0700',mode:absolute,to:'2017-02-11T17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3" s="188" t="str">
        <f t="shared" si="70"/>
        <v>N</v>
      </c>
      <c r="X113" s="188">
        <f t="shared" si="58"/>
        <v>1</v>
      </c>
      <c r="Y113" s="62">
        <f t="shared" si="63"/>
        <v>4.8000000000000001E-2</v>
      </c>
      <c r="Z113" s="62">
        <f t="shared" si="64"/>
        <v>23.328900000000001</v>
      </c>
      <c r="AA113" s="62">
        <f t="shared" si="71"/>
        <v>23.280900000000003</v>
      </c>
      <c r="AB113" s="59" t="e">
        <f>VLOOKUP(A113,Enforcements!$C$7:$K$14,8,0)</f>
        <v>#N/A</v>
      </c>
      <c r="AC113" s="55" t="e">
        <f>VLOOKUP(A113,Enforcements!$C$7:$E$14,3,0)</f>
        <v>#N/A</v>
      </c>
      <c r="AD113" s="56" t="str">
        <f t="shared" si="72"/>
        <v>0201-11</v>
      </c>
      <c r="AE113" s="85" t="str">
        <f t="shared" si="73"/>
        <v>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 &amp; 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</v>
      </c>
      <c r="AF113" s="82" t="str">
        <f t="shared" si="74"/>
        <v>"C:\Program Files (x86)\AstroGrep\AstroGrep.exe" /spath="%USERPROFILE%\AppData\Local\Temp\OnboardLogs" /stypes="app*4031*20170211*" /stext=" 23:.+((SYSTEM_STATE.+slice.+state.+changed )|(ment ac)|(multiple cpu faults)|(system.+state.+changed )|(\[timeout)|(PRM\|1\|D)|(kpr)|(kdp)|(\|lc)|(penalty))" /e /r /s</v>
      </c>
      <c r="AG113" s="1" t="str">
        <f t="shared" si="75"/>
        <v>EC</v>
      </c>
      <c r="AH113" s="86" t="str">
        <f t="shared" si="55"/>
        <v>"%USERPROFILE%\Documents\GitHub\eaglep3\Utilities\RefineRTDCRunTimes.py" --tripid 201-11 --locoid 4031 --swversion DE.1.0.8.0 --startMP 204:480 --initTime 2017-02-11T16:09:16 --startdatetime 2017-02-11T16:15:26 --delay 2 --endMP 204:233289 --enddatetime 2017-02-11T16:51:27 --enforcementcount 1 &gt;&gt;C:\Users\stu\Documents\GitHub\eaglep3-reporting\EC\2017-02-11-refined-times.txt</v>
      </c>
      <c r="AI113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{"issue":{"subject":"","project_id":79,"tracker_id":40,"status_id":1,"priority_id":2,"assigned_to_id":23,"start_date":"2017-02-11","description":"","custom_fields":[{"id":1,"name":"Subdivision","value":"EC"},{"id":4,"name":"Milepost","value":"23.3289"},{"id":17,"name":"Train ID","value":"201-11"},{"id":16,"name":"Locomotive ID","value":"4031"},{"id":130,"name":"Impact","value":""},{"id":150,"name":"Time of Event (Mountain Time)","value":"16:51:27"},{"id":151,"name":"Denver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57"/>
        <v>start /low /b %USERPROFILE%\Documents\GitHub\eaglep3\Utilities\DownloadLogsFromS3.py --loco 4031 --day 2017-02-11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2017-02-11-UncaughtWiMAX.txt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677</v>
      </c>
      <c r="B114" s="7">
        <v>4032</v>
      </c>
      <c r="C114" s="21" t="s">
        <v>193</v>
      </c>
      <c r="D114" s="21" t="s">
        <v>833</v>
      </c>
      <c r="E114" s="13">
        <v>42777.713541666664</v>
      </c>
      <c r="F114" s="13">
        <v>42777.716319444444</v>
      </c>
      <c r="G114" s="7">
        <v>1</v>
      </c>
      <c r="H114" s="21" t="s">
        <v>198</v>
      </c>
      <c r="I114" s="13">
        <v>42777.743321759262</v>
      </c>
      <c r="J114" s="7">
        <v>1</v>
      </c>
      <c r="K114" s="98" t="str">
        <f t="shared" si="65"/>
        <v>4031/4032</v>
      </c>
      <c r="L114" s="21" t="str">
        <f>VLOOKUP(A114,'Trips&amp;Operators'!$C$1:$G$99999,5,FALSE)</f>
        <v>STEWART MICHAEL</v>
      </c>
      <c r="M114" s="6">
        <f t="shared" si="66"/>
        <v>2.7002314818673767E-2</v>
      </c>
      <c r="N114" s="7">
        <f t="shared" si="62"/>
        <v>38.883333338890225</v>
      </c>
      <c r="O114" s="7"/>
      <c r="P114" s="7"/>
      <c r="Q114" s="22"/>
      <c r="R114" s="22"/>
      <c r="S114" s="31">
        <f t="shared" si="67"/>
        <v>1</v>
      </c>
      <c r="T114" s="46" t="str">
        <f t="shared" si="68"/>
        <v>Southbound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 t="shared" si="69"/>
        <v>https://d0f6bd738d7f1b3e5a7ca70fe4ff75f0.us-east-1.aws.found.io/app/kibana#/discover/Steve-Slow-Train-Analysis-(2080s-and-2083s)?_g=(refreshInterval:(display:Off,pause:!f,section:0,value:0),time:(from:'2017-02-11T16:07:30-0700',mode:absolute,to:'2017-02-11T18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4" s="188" t="str">
        <f t="shared" si="70"/>
        <v>N</v>
      </c>
      <c r="X114" s="188">
        <f t="shared" si="58"/>
        <v>1</v>
      </c>
      <c r="Y114" s="62">
        <f t="shared" si="63"/>
        <v>23.297899999999998</v>
      </c>
      <c r="Z114" s="62">
        <f t="shared" si="64"/>
        <v>1.4500000000000001E-2</v>
      </c>
      <c r="AA114" s="62">
        <f t="shared" si="71"/>
        <v>23.283399999999997</v>
      </c>
      <c r="AB114" s="59" t="e">
        <f>VLOOKUP(A114,Enforcements!$C$7:$K$14,8,0)</f>
        <v>#N/A</v>
      </c>
      <c r="AC114" s="55" t="e">
        <f>VLOOKUP(A114,Enforcements!$C$7:$E$14,3,0)</f>
        <v>#N/A</v>
      </c>
      <c r="AD114" s="56" t="str">
        <f t="shared" si="72"/>
        <v>0202-11</v>
      </c>
      <c r="AE114" s="85" t="str">
        <f t="shared" si="73"/>
        <v>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 &amp; 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</v>
      </c>
      <c r="AF114" s="82" t="str">
        <f t="shared" si="74"/>
        <v>"C:\Program Files (x86)\AstroGrep\AstroGrep.exe" /spath="%USERPROFILE%\AppData\Local\Temp\OnboardLogs" /stypes="app*4032*20170212*" /stext=" 00:.+((SYSTEM_STATE.+slice.+state.+changed )|(ment ac)|(multiple cpu faults)|(system.+state.+changed )|(\[timeout)|(PRM\|1\|D)|(kpr)|(kdp)|(\|lc)|(penalty))" /e /r /s</v>
      </c>
      <c r="AG114" s="1" t="str">
        <f t="shared" si="75"/>
        <v>EC</v>
      </c>
      <c r="AH114" s="86" t="str">
        <f t="shared" si="55"/>
        <v>"%USERPROFILE%\Documents\GitHub\eaglep3\Utilities\RefineRTDCRunTimes.py" --tripid 202-11 --locoid 4032 --swversion DE.1.0.8.0 --startMP 204:232979 --initTime 2017-02-11T17:07:30 --startdatetime 2017-02-11T17:11:30 --delay 1 --endMP 204:145 --enddatetime 2017-02-11T17:50:23 --enforcementcount 1 &gt;&gt;C:\Users\stu\Documents\GitHub\eaglep3-reporting\EC\2017-02-11-refined-times.txt</v>
      </c>
      <c r="AI114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{"issue":{"subject":"","project_id":79,"tracker_id":40,"status_id":1,"priority_id":2,"assigned_to_id":23,"start_date":"2017-02-11","description":"","custom_fields":[{"id":1,"name":"Subdivision","value":"EC"},{"id":4,"name":"Milepost","value":"0.0145"},{"id":17,"name":"Train ID","value":"202-11"},{"id":16,"name":"Locomotive ID","value":"4032"},{"id":130,"name":"Impact","value":""},{"id":150,"name":"Time of Event (Mountain Time)","value":"17:50:23"},{"id":151,"name":"Denver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57"/>
        <v>start /low /b %USERPROFILE%\Documents\GitHub\eaglep3\Utilities\DownloadLogsFromS3.py --loco 4032 --day 2017-02-11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"%USERPROFILE%\AppData\Local\Temp\OnboardLogs"\RTDC4032\*4032*20170212* | grep -SE "(Enforcement Action)|(\[TIMEOUT)|(CHR.+\|PRM\|1\|D.+(SWITCH|SIGNAL).+UNKNOWN)" - &gt;&gt; 2017-02-11-UncaughtWiMAX.txt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672</v>
      </c>
      <c r="B115" s="7">
        <v>4025</v>
      </c>
      <c r="C115" s="21" t="s">
        <v>193</v>
      </c>
      <c r="D115" s="21" t="s">
        <v>206</v>
      </c>
      <c r="E115" s="13">
        <v>42777.68240740741</v>
      </c>
      <c r="F115" s="13">
        <v>42777.687858796293</v>
      </c>
      <c r="G115" s="7">
        <v>2</v>
      </c>
      <c r="H115" s="21" t="s">
        <v>834</v>
      </c>
      <c r="I115" s="13">
        <v>42777.71597222222</v>
      </c>
      <c r="J115" s="7">
        <v>1</v>
      </c>
      <c r="K115" s="98" t="str">
        <f t="shared" si="65"/>
        <v>4025/4026</v>
      </c>
      <c r="L115" s="21" t="str">
        <f>VLOOKUP(A115,'Trips&amp;Operators'!$C$1:$G$99999,5,FALSE)</f>
        <v>DAVIS MICHAEL</v>
      </c>
      <c r="M115" s="6">
        <f t="shared" si="66"/>
        <v>2.8113425927585922E-2</v>
      </c>
      <c r="N115" s="7">
        <f t="shared" si="62"/>
        <v>40.483333335723728</v>
      </c>
      <c r="O115" s="7"/>
      <c r="P115" s="7"/>
      <c r="Q115" s="22"/>
      <c r="R115" s="22"/>
      <c r="S115" s="31">
        <f t="shared" si="67"/>
        <v>1</v>
      </c>
      <c r="T115" s="46" t="str">
        <f t="shared" si="68"/>
        <v>NorthBound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 t="shared" si="69"/>
        <v>https://d0f6bd738d7f1b3e5a7ca70fe4ff75f0.us-east-1.aws.found.io/app/kibana#/discover/Steve-Slow-Train-Analysis-(2080s-and-2083s)?_g=(refreshInterval:(display:Off,pause:!f,section:0,value:0),time:(from:'2017-02-11T15:22:40-0700',mode:absolute,to:'2017-02-11T18:11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5" s="188" t="str">
        <f t="shared" si="70"/>
        <v>N</v>
      </c>
      <c r="X115" s="188">
        <f t="shared" si="58"/>
        <v>1</v>
      </c>
      <c r="Y115" s="62">
        <f t="shared" si="63"/>
        <v>4.6199999999999998E-2</v>
      </c>
      <c r="Z115" s="62">
        <f t="shared" si="64"/>
        <v>23.328600000000002</v>
      </c>
      <c r="AA115" s="62">
        <f t="shared" si="71"/>
        <v>23.282400000000003</v>
      </c>
      <c r="AB115" s="59" t="e">
        <f>VLOOKUP(A115,Enforcements!$C$7:$K$14,8,0)</f>
        <v>#N/A</v>
      </c>
      <c r="AC115" s="55" t="e">
        <f>VLOOKUP(A115,Enforcements!$C$7:$E$14,3,0)</f>
        <v>#N/A</v>
      </c>
      <c r="AD115" s="56" t="str">
        <f t="shared" si="72"/>
        <v>0203-11</v>
      </c>
      <c r="AE115" s="85" t="str">
        <f t="shared" si="73"/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AF115" s="82" t="str">
        <f t="shared" si="74"/>
        <v>"C:\Program Files (x86)\AstroGrep\AstroGrep.exe" /spath="%USERPROFILE%\AppData\Local\Temp\OnboardLogs" /stypes="app*4025*20170212*" /stext=" 00:.+((SYSTEM_STATE.+slice.+state.+changed )|(ment ac)|(multiple cpu faults)|(system.+state.+changed )|(\[timeout)|(PRM\|1\|D)|(kpr)|(kdp)|(\|lc)|(penalty))" /e /r /s</v>
      </c>
      <c r="AG115" s="1" t="str">
        <f t="shared" si="75"/>
        <v>EC</v>
      </c>
      <c r="AH115" s="86" t="str">
        <f t="shared" si="55"/>
        <v>"%USERPROFILE%\Documents\GitHub\eaglep3\Utilities\RefineRTDCRunTimes.py" --tripid 203-11 --locoid 4025 --swversion DE.1.0.8.0 --startMP 204:462 --initTime 2017-02-11T16:22:40 --startdatetime 2017-02-11T16:30:31 --delay 2 --endMP 204:233286 --enddatetime 2017-02-11T17:11:00 --enforcementcount 1 &gt;&gt;C:\Users\stu\Documents\GitHub\eaglep3-reporting\EC\2017-02-11-refined-times.txt</v>
      </c>
      <c r="AI115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{"issue":{"subject":"","project_id":79,"tracker_id":40,"status_id":1,"priority_id":2,"assigned_to_id":23,"start_date":"2017-02-11","description":"","custom_fields":[{"id":1,"name":"Subdivision","value":"EC"},{"id":4,"name":"Milepost","value":"23.3286"},{"id":17,"name":"Train ID","value":"203-11"},{"id":16,"name":"Locomotive ID","value":"4025"},{"id":130,"name":"Impact","value":""},{"id":150,"name":"Time of Event (Mountain Time)","value":"17:11:00"},{"id":151,"name":"Denver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57"/>
        <v>start /low /b %USERPROFILE%\Documents\GitHub\eaglep3\Utilities\DownloadLogsFromS3.py --loco 4025 --day 2017-02-11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"%USERPROFILE%\AppData\Local\Temp\OnboardLogs"\RTDC4025\*4025*20170211* | grep -SE "(Enforcement Action)|(\[TIMEOUT)|(CHR.+\|PRM\|1\|D.+(SWITCH|SIGNAL).+UNKNOWN)" - &gt;&gt; 2017-02-11-UncaughtWiMAX.txt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681</v>
      </c>
      <c r="B116" s="7">
        <v>4026</v>
      </c>
      <c r="C116" s="21" t="s">
        <v>193</v>
      </c>
      <c r="D116" s="21" t="s">
        <v>744</v>
      </c>
      <c r="E116" s="13">
        <v>42777.724398148152</v>
      </c>
      <c r="F116" s="13">
        <v>42777.726793981485</v>
      </c>
      <c r="G116" s="7">
        <v>1</v>
      </c>
      <c r="H116" s="21" t="s">
        <v>208</v>
      </c>
      <c r="I116" s="13">
        <v>42777.75409722222</v>
      </c>
      <c r="J116" s="7">
        <v>1</v>
      </c>
      <c r="K116" s="98" t="str">
        <f t="shared" si="65"/>
        <v>4025/4026</v>
      </c>
      <c r="L116" s="21" t="str">
        <f>VLOOKUP(A116,'Trips&amp;Operators'!$C$1:$G$99999,5,FALSE)</f>
        <v>DAVIS MICHAEL</v>
      </c>
      <c r="M116" s="6">
        <f t="shared" si="66"/>
        <v>2.7303240734909195E-2</v>
      </c>
      <c r="N116" s="7">
        <f t="shared" si="62"/>
        <v>39.316666658269241</v>
      </c>
      <c r="O116" s="7"/>
      <c r="P116" s="7"/>
      <c r="Q116" s="22"/>
      <c r="R116" s="22"/>
      <c r="S116" s="31">
        <f t="shared" si="67"/>
        <v>1</v>
      </c>
      <c r="T116" s="46" t="str">
        <f t="shared" si="68"/>
        <v>Southbound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 t="shared" si="69"/>
        <v>https://d0f6bd738d7f1b3e5a7ca70fe4ff75f0.us-east-1.aws.found.io/app/kibana#/discover/Steve-Slow-Train-Analysis-(2080s-and-2083s)?_g=(refreshInterval:(display:Off,pause:!f,section:0,value:0),time:(from:'2017-02-11T16:23:08-0700',mode:absolute,to:'2017-02-11T19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188" t="str">
        <f t="shared" si="70"/>
        <v>N</v>
      </c>
      <c r="X116" s="188">
        <f t="shared" si="58"/>
        <v>1</v>
      </c>
      <c r="Y116" s="62">
        <f t="shared" si="63"/>
        <v>23.296700000000001</v>
      </c>
      <c r="Z116" s="62">
        <f t="shared" si="64"/>
        <v>1.52E-2</v>
      </c>
      <c r="AA116" s="62">
        <f t="shared" si="71"/>
        <v>23.281500000000001</v>
      </c>
      <c r="AB116" s="59" t="e">
        <f>VLOOKUP(A116,Enforcements!$C$7:$K$14,8,0)</f>
        <v>#N/A</v>
      </c>
      <c r="AC116" s="55" t="e">
        <f>VLOOKUP(A116,Enforcements!$C$7:$E$14,3,0)</f>
        <v>#N/A</v>
      </c>
      <c r="AD116" s="56" t="str">
        <f t="shared" si="72"/>
        <v>0204-11</v>
      </c>
      <c r="AE116" s="85" t="str">
        <f t="shared" si="73"/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AF116" s="82" t="str">
        <f t="shared" si="74"/>
        <v>"C:\Program Files (x86)\AstroGrep\AstroGrep.exe" /spath="%USERPROFILE%\AppData\Local\Temp\OnboardLogs" /stypes="app*4026*20170212*" /stext=" 01:.+((SYSTEM_STATE.+slice.+state.+changed )|(ment ac)|(multiple cpu faults)|(system.+state.+changed )|(\[timeout)|(PRM\|1\|D)|(kpr)|(kdp)|(\|lc)|(penalty))" /e /r /s</v>
      </c>
      <c r="AG116" s="1" t="str">
        <f t="shared" si="75"/>
        <v>EC</v>
      </c>
      <c r="AH116" s="86" t="str">
        <f t="shared" si="55"/>
        <v>"%USERPROFILE%\Documents\GitHub\eaglep3\Utilities\RefineRTDCRunTimes.py" --tripid 204-11 --locoid 4026 --swversion DE.1.0.8.0 --startMP 204:232967 --initTime 2017-02-11T17:23:08 --startdatetime 2017-02-11T17:26:35 --delay 1 --endMP 204:152 --enddatetime 2017-02-11T18:05:54 --enforcementcount 1 &gt;&gt;C:\Users\stu\Documents\GitHub\eaglep3-reporting\EC\2017-02-11-refined-times.txt</v>
      </c>
      <c r="AI116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{"issue":{"subject":"","project_id":79,"tracker_id":40,"status_id":1,"priority_id":2,"assigned_to_id":23,"start_date":"2017-02-11","description":"","custom_fields":[{"id":1,"name":"Subdivision","value":"EC"},{"id":4,"name":"Milepost","value":"0.0152"},{"id":17,"name":"Train ID","value":"204-11"},{"id":16,"name":"Locomotive ID","value":"4026"},{"id":130,"name":"Impact","value":""},{"id":150,"name":"Time of Event (Mountain Time)","value":"18:05:54"},{"id":151,"name":"Denver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57"/>
        <v>start /low /b %USERPROFILE%\Documents\GitHub\eaglep3\Utilities\DownloadLogsFromS3.py --loco 4026 --day 2017-02-11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"%USERPROFILE%\AppData\Local\Temp\OnboardLogs"\RTDC4026\*4026*20170212* | grep -SE "(Enforcement Action)|(\[TIMEOUT)|(CHR.+\|PRM\|1\|D.+(SWITCH|SIGNAL).+UNKNOWN)" - &gt;&gt; 2017-02-11-UncaughtWiMAX.txt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524</v>
      </c>
      <c r="B117" s="7">
        <v>4011</v>
      </c>
      <c r="C117" s="21" t="s">
        <v>193</v>
      </c>
      <c r="D117" s="21" t="s">
        <v>359</v>
      </c>
      <c r="E117" s="13">
        <v>42777.696655092594</v>
      </c>
      <c r="F117" s="13">
        <v>42777.698252314818</v>
      </c>
      <c r="G117" s="7">
        <v>1</v>
      </c>
      <c r="H117" s="21" t="s">
        <v>758</v>
      </c>
      <c r="I117" s="13">
        <v>42777.723680555559</v>
      </c>
      <c r="J117" s="7">
        <v>1</v>
      </c>
      <c r="K117" s="98" t="str">
        <f t="shared" si="65"/>
        <v>4011/4012</v>
      </c>
      <c r="L117" s="21" t="str">
        <f>VLOOKUP(A117,'Trips&amp;Operators'!$C$1:$G$99999,5,FALSE)</f>
        <v>HOLCOMB KAMDEN</v>
      </c>
      <c r="M117" s="6">
        <f t="shared" si="66"/>
        <v>2.5428240740438923E-2</v>
      </c>
      <c r="N117" s="7">
        <f t="shared" si="62"/>
        <v>36.616666666232049</v>
      </c>
      <c r="O117" s="7"/>
      <c r="P117" s="7"/>
      <c r="Q117" s="22"/>
      <c r="R117" s="22"/>
      <c r="S117" s="31">
        <f t="shared" si="67"/>
        <v>1</v>
      </c>
      <c r="T117" s="46" t="str">
        <f t="shared" si="68"/>
        <v>NorthBound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 t="shared" si="69"/>
        <v>https://d0f6bd738d7f1b3e5a7ca70fe4ff75f0.us-east-1.aws.found.io/app/kibana#/discover/Steve-Slow-Train-Analysis-(2080s-and-2083s)?_g=(refreshInterval:(display:Off,pause:!f,section:0,value:0),time:(from:'2017-02-11T15:43:11-0700',mode:absolute,to:'2017-02-11T18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7" s="188" t="str">
        <f t="shared" si="70"/>
        <v>N</v>
      </c>
      <c r="X117" s="188">
        <f t="shared" si="58"/>
        <v>1</v>
      </c>
      <c r="Y117" s="62">
        <f t="shared" si="63"/>
        <v>4.3999999999999997E-2</v>
      </c>
      <c r="Z117" s="62">
        <f t="shared" si="64"/>
        <v>23.331900000000001</v>
      </c>
      <c r="AA117" s="62">
        <f t="shared" si="71"/>
        <v>23.2879</v>
      </c>
      <c r="AB117" s="59" t="str">
        <f>VLOOKUP(A117,Enforcements!$C$7:$K$14,8,0)</f>
        <v>Speed (6)</v>
      </c>
      <c r="AC117" s="55" t="str">
        <f>VLOOKUP(A117,Enforcements!$C$7:$E$14,3,0)</f>
        <v>PERMANENT SPEED RESTRICTION</v>
      </c>
      <c r="AD117" s="56" t="str">
        <f t="shared" si="72"/>
        <v>0205-11</v>
      </c>
      <c r="AE117" s="85" t="str">
        <f t="shared" si="73"/>
        <v>aws s3 cp s3://rtdc.mdm.uploadarchive.raw/RTDC4011/ "%USERPROFILE%\AppData\Local\Temp\OnboardLogs"\RTDC4011\2017-02-11 --exclude "*" --recursive --include "*20170211*" &amp; "%USERPROFILE%\Documents\GitHub\mrs-test-scripts\Headless Mode &amp; Sideloading\WalkAndUnGZ.bat" "%USERPROFILE%\AppData\Local\Temp\OnboardLogs"\RTDC4011\2017-02-11 &amp; 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</v>
      </c>
      <c r="AF117" s="82" t="str">
        <f t="shared" si="74"/>
        <v>"C:\Program Files (x86)\AstroGrep\AstroGrep.exe" /spath="%USERPROFILE%\AppData\Local\Temp\OnboardLogs" /stypes="app*4011*20170212*" /stext=" 00:.+((SYSTEM_STATE.+slice.+state.+changed )|(ment ac)|(multiple cpu faults)|(system.+state.+changed )|(\[timeout)|(PRM\|1\|D)|(kpr)|(kdp)|(\|lc)|(penalty))" /e /r /s</v>
      </c>
      <c r="AG117" s="1" t="str">
        <f t="shared" si="75"/>
        <v>EC</v>
      </c>
      <c r="AH117" s="86" t="str">
        <f t="shared" si="55"/>
        <v>"%USERPROFILE%\Documents\GitHub\eaglep3\Utilities\RefineRTDCRunTimes.py" --tripid 205-11 --locoid 4011 --swversion DE.1.0.8.0 --startMP 204:440 --initTime 2017-02-11T16:43:11 --startdatetime 2017-02-11T16:45:29 --delay 1 --endMP 204:233319 --enddatetime 2017-02-11T17:22:06 --enforcementcount 1 &gt;&gt;C:\Users\stu\Documents\GitHub\eaglep3-reporting\EC\2017-02-11-refined-times.txt</v>
      </c>
      <c r="AI117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{"issue":{"subject":"","project_id":79,"tracker_id":40,"status_id":1,"priority_id":2,"assigned_to_id":23,"start_date":"2017-02-11","description":"","custom_fields":[{"id":1,"name":"Subdivision","value":"EC"},{"id":4,"name":"Milepost","value":"23.3319"},{"id":17,"name":"Train ID","value":"205-11"},{"id":16,"name":"Locomotive ID","value":"4011"},{"id":130,"name":"Impact","value":""},{"id":150,"name":"Time of Event (Mountain Time)","value":"17:22:06"},{"id":151,"name":"Denver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57"/>
        <v>start /low /b %USERPROFILE%\Documents\GitHub\eaglep3\Utilities\DownloadLogsFromS3.py --loco 4011 --day 2017-02-11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"%USERPROFILE%\AppData\Local\Temp\OnboardLogs"\RTDC4011\*4011*20170212* | grep -SE "(Enforcement Action)|(\[TIMEOUT)|(CHR.+\|PRM\|1\|D.+(SWITCH|SIGNAL).+UNKNOWN)" - &gt;&gt; 2017-02-11-UncaughtWiMAX.txt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525</v>
      </c>
      <c r="B118" s="7">
        <v>4012</v>
      </c>
      <c r="C118" s="21" t="s">
        <v>193</v>
      </c>
      <c r="D118" s="21" t="s">
        <v>835</v>
      </c>
      <c r="E118" s="13">
        <v>42777.732905092591</v>
      </c>
      <c r="F118" s="13">
        <v>42777.737071759257</v>
      </c>
      <c r="G118" s="7">
        <v>1</v>
      </c>
      <c r="H118" s="21" t="s">
        <v>836</v>
      </c>
      <c r="I118" s="13">
        <v>42777.763645833336</v>
      </c>
      <c r="J118" s="7">
        <v>1</v>
      </c>
      <c r="K118" s="98" t="str">
        <f t="shared" si="65"/>
        <v>4011/4012</v>
      </c>
      <c r="L118" s="21" t="str">
        <f>VLOOKUP(A118,'Trips&amp;Operators'!$C$1:$G$99999,5,FALSE)</f>
        <v>HOLCOMB KAMDEN</v>
      </c>
      <c r="M118" s="6">
        <f t="shared" si="66"/>
        <v>2.6574074079690035E-2</v>
      </c>
      <c r="N118" s="7">
        <f t="shared" si="62"/>
        <v>38.266666674753651</v>
      </c>
      <c r="O118" s="7"/>
      <c r="P118" s="7"/>
      <c r="Q118" s="22"/>
      <c r="R118" s="22"/>
      <c r="S118" s="31">
        <f t="shared" si="67"/>
        <v>1</v>
      </c>
      <c r="T118" s="46" t="str">
        <f t="shared" si="68"/>
        <v>Southbound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 t="shared" si="69"/>
        <v>https://d0f6bd738d7f1b3e5a7ca70fe4ff75f0.us-east-1.aws.found.io/app/kibana#/discover/Steve-Slow-Train-Analysis-(2080s-and-2083s)?_g=(refreshInterval:(display:Off,pause:!f,section:0,value:0),time:(from:'2017-02-11T16:35:23-0700',mode:absolute,to:'2017-02-11T19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8" s="188" t="str">
        <f t="shared" si="70"/>
        <v>N</v>
      </c>
      <c r="X118" s="188">
        <f t="shared" ref="X118:X125" si="76">VALUE(LEFT(AD118,4))-VALUE(LEFT(AD117,4))</f>
        <v>1</v>
      </c>
      <c r="Y118" s="62">
        <f t="shared" si="63"/>
        <v>23.301300000000001</v>
      </c>
      <c r="Z118" s="62">
        <f t="shared" si="64"/>
        <v>2.0299999999999999E-2</v>
      </c>
      <c r="AA118" s="62">
        <f t="shared" si="71"/>
        <v>23.281000000000002</v>
      </c>
      <c r="AB118" s="59" t="e">
        <f>VLOOKUP(A118,Enforcements!$C$7:$K$14,8,0)</f>
        <v>#N/A</v>
      </c>
      <c r="AC118" s="55" t="e">
        <f>VLOOKUP(A118,Enforcements!$C$7:$E$14,3,0)</f>
        <v>#N/A</v>
      </c>
      <c r="AD118" s="56" t="str">
        <f t="shared" si="72"/>
        <v>0206-11</v>
      </c>
      <c r="AE118" s="85" t="str">
        <f t="shared" si="73"/>
        <v>aws s3 cp s3://rtdc.mdm.uploadarchive.raw/RTDC4012/ "%USERPROFILE%\AppData\Local\Temp\OnboardLogs"\RTDC4012\2017-02-11 --exclude "*" --recursive --include "*20170211*" &amp; "%USERPROFILE%\Documents\GitHub\mrs-test-scripts\Headless Mode &amp; Sideloading\WalkAndUnGZ.bat" "%USERPROFILE%\AppData\Local\Temp\OnboardLogs"\RTDC4012\2017-02-11 &amp; aws s3 cp s3://rtdc.mdm.uploadarchive.raw/RTDC4012/ "%USERPROFILE%\AppData\Local\Temp\OnboardLogs"\RTDC4012\2017-02-12 --exclude "*" --recursive --include "*20170212*" &amp; "%USERPROFILE%\Documents\GitHub\mrs-test-scripts\Headless Mode &amp; Sideloading\WalkAndUnGZ.bat" "%USERPROFILE%\AppData\Local\Temp\OnboardLogs"\RTDC4012\2017-02-12</v>
      </c>
      <c r="AF118" s="82" t="str">
        <f t="shared" si="74"/>
        <v>"C:\Program Files (x86)\AstroGrep\AstroGrep.exe" /spath="%USERPROFILE%\AppData\Local\Temp\OnboardLogs" /stypes="app*4012*20170212*" /stext=" 01:.+((SYSTEM_STATE.+slice.+state.+changed )|(ment ac)|(multiple cpu faults)|(system.+state.+changed )|(\[timeout)|(PRM\|1\|D)|(kpr)|(kdp)|(\|lc)|(penalty))" /e /r /s</v>
      </c>
      <c r="AG118" s="1" t="str">
        <f t="shared" si="75"/>
        <v>EC</v>
      </c>
      <c r="AH118" s="86" t="str">
        <f t="shared" si="55"/>
        <v>"%USERPROFILE%\Documents\GitHub\eaglep3\Utilities\RefineRTDCRunTimes.py" --tripid 206-11 --locoid 4012 --swversion DE.1.0.8.0 --startMP 204:233013 --initTime 2017-02-11T17:35:23 --startdatetime 2017-02-11T17:41:23 --delay 1 --endMP 204:203 --enddatetime 2017-02-11T18:19:39 --enforcementcount 1 &gt;&gt;C:\Users\stu\Documents\GitHub\eaglep3-reporting\EC\2017-02-11-refined-times.txt</v>
      </c>
      <c r="AI118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{"issue":{"subject":"","project_id":79,"tracker_id":40,"status_id":1,"priority_id":2,"assigned_to_id":23,"start_date":"2017-02-11","description":"","custom_fields":[{"id":1,"name":"Subdivision","value":"EC"},{"id":4,"name":"Milepost","value":"0.0203"},{"id":17,"name":"Train ID","value":"206-11"},{"id":16,"name":"Locomotive ID","value":"4012"},{"id":130,"name":"Impact","value":""},{"id":150,"name":"Time of Event (Mountain Time)","value":"18:19:39"},{"id":151,"name":"Denver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57"/>
        <v>start /low /b %USERPROFILE%\Documents\GitHub\eaglep3\Utilities\DownloadLogsFromS3.py --loco 4012 --day 2017-02-11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"%USERPROFILE%\AppData\Local\Temp\OnboardLogs"\RTDC4012\*4012*20170212* | grep -SE "(Enforcement Action)|(\[TIMEOUT)|(CHR.+\|PRM\|1\|D.+(SWITCH|SIGNAL).+UNKNOWN)" - &gt;&gt; 2017-02-11-UncaughtWiMAX.txt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676</v>
      </c>
      <c r="B119" s="7">
        <v>4027</v>
      </c>
      <c r="C119" s="21" t="s">
        <v>193</v>
      </c>
      <c r="D119" s="21" t="s">
        <v>206</v>
      </c>
      <c r="E119" s="13">
        <v>42777.704247685186</v>
      </c>
      <c r="F119" s="13">
        <v>42777.708599537036</v>
      </c>
      <c r="G119" s="7">
        <v>1</v>
      </c>
      <c r="H119" s="21" t="s">
        <v>335</v>
      </c>
      <c r="I119" s="13">
        <v>42777.733969907407</v>
      </c>
      <c r="J119" s="7">
        <v>1</v>
      </c>
      <c r="K119" s="98" t="str">
        <f t="shared" si="65"/>
        <v>4027/4028</v>
      </c>
      <c r="L119" s="21" t="str">
        <f>VLOOKUP(A119,'Trips&amp;Operators'!$C$1:$G$99999,5,FALSE)</f>
        <v>KILLION DAVID</v>
      </c>
      <c r="M119" s="6">
        <f t="shared" si="66"/>
        <v>2.5370370371092577E-2</v>
      </c>
      <c r="N119" s="7">
        <f t="shared" si="62"/>
        <v>36.53333333437331</v>
      </c>
      <c r="O119" s="7"/>
      <c r="P119" s="7"/>
      <c r="Q119" s="22"/>
      <c r="R119" s="22"/>
      <c r="S119" s="31">
        <f t="shared" si="67"/>
        <v>1</v>
      </c>
      <c r="T119" s="46" t="str">
        <f t="shared" si="68"/>
        <v>NorthBound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 t="shared" si="69"/>
        <v>https://d0f6bd738d7f1b3e5a7ca70fe4ff75f0.us-east-1.aws.found.io/app/kibana#/discover/Steve-Slow-Train-Analysis-(2080s-and-2083s)?_g=(refreshInterval:(display:Off,pause:!f,section:0,value:0),time:(from:'2017-02-11T15:54:07-0700',mode:absolute,to:'2017-02-11T18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9" s="188" t="str">
        <f t="shared" si="70"/>
        <v>N</v>
      </c>
      <c r="X119" s="188">
        <f t="shared" si="76"/>
        <v>1</v>
      </c>
      <c r="Y119" s="62">
        <f t="shared" si="63"/>
        <v>4.6199999999999998E-2</v>
      </c>
      <c r="Z119" s="62">
        <f t="shared" si="64"/>
        <v>23.329499999999999</v>
      </c>
      <c r="AA119" s="62">
        <f t="shared" si="71"/>
        <v>23.283300000000001</v>
      </c>
      <c r="AB119" s="59" t="e">
        <f>VLOOKUP(A119,Enforcements!$C$7:$K$14,8,0)</f>
        <v>#N/A</v>
      </c>
      <c r="AC119" s="55" t="e">
        <f>VLOOKUP(A119,Enforcements!$C$7:$E$14,3,0)</f>
        <v>#N/A</v>
      </c>
      <c r="AD119" s="56" t="str">
        <f t="shared" si="72"/>
        <v>0207-11</v>
      </c>
      <c r="AE119" s="85" t="str">
        <f t="shared" si="73"/>
        <v>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 &amp; 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</v>
      </c>
      <c r="AF119" s="82" t="str">
        <f t="shared" si="74"/>
        <v>"C:\Program Files (x86)\AstroGrep\AstroGrep.exe" /spath="%USERPROFILE%\AppData\Local\Temp\OnboardLogs" /stypes="app*4027*20170212*" /stext=" 00:.+((SYSTEM_STATE.+slice.+state.+changed )|(ment ac)|(multiple cpu faults)|(system.+state.+changed )|(\[timeout)|(PRM\|1\|D)|(kpr)|(kdp)|(\|lc)|(penalty))" /e /r /s</v>
      </c>
      <c r="AG119" s="1" t="str">
        <f t="shared" si="75"/>
        <v>EC</v>
      </c>
      <c r="AH119" s="86" t="str">
        <f t="shared" si="55"/>
        <v>"%USERPROFILE%\Documents\GitHub\eaglep3\Utilities\RefineRTDCRunTimes.py" --tripid 207-11 --locoid 4027 --swversion DE.1.0.8.0 --startMP 204:462 --initTime 2017-02-11T16:54:07 --startdatetime 2017-02-11T17:00:23 --delay 1 --endMP 204:233295 --enddatetime 2017-02-11T17:36:55 --enforcementcount 1 &gt;&gt;C:\Users\stu\Documents\GitHub\eaglep3-reporting\EC\2017-02-11-refined-times.txt</v>
      </c>
      <c r="AI119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{"issue":{"subject":"","project_id":79,"tracker_id":40,"status_id":1,"priority_id":2,"assigned_to_id":23,"start_date":"2017-02-11","description":"","custom_fields":[{"id":1,"name":"Subdivision","value":"EC"},{"id":4,"name":"Milepost","value":"23.3295"},{"id":17,"name":"Train ID","value":"207-11"},{"id":16,"name":"Locomotive ID","value":"4027"},{"id":130,"name":"Impact","value":""},{"id":150,"name":"Time of Event (Mountain Time)","value":"17:36:55"},{"id":151,"name":"Denver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57"/>
        <v>start /low /b %USERPROFILE%\Documents\GitHub\eaglep3\Utilities\DownloadLogsFromS3.py --loco 4027 --day 2017-02-11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2017-02-11-UncaughtWiMAX.txt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526</v>
      </c>
      <c r="B120" s="7">
        <v>4028</v>
      </c>
      <c r="C120" s="21" t="s">
        <v>193</v>
      </c>
      <c r="D120" s="21" t="s">
        <v>206</v>
      </c>
      <c r="E120" s="13">
        <v>42777.704247685186</v>
      </c>
      <c r="F120" s="13">
        <v>42777.748032407406</v>
      </c>
      <c r="G120" s="7">
        <v>1</v>
      </c>
      <c r="H120" s="21" t="s">
        <v>335</v>
      </c>
      <c r="I120" s="13">
        <v>42777.774791666663</v>
      </c>
      <c r="J120" s="7">
        <v>1</v>
      </c>
      <c r="K120" s="98" t="str">
        <f t="shared" si="65"/>
        <v>4027/4028</v>
      </c>
      <c r="L120" s="21" t="str">
        <f>VLOOKUP(A120,'Trips&amp;Operators'!$C$1:$G$99999,5,FALSE)</f>
        <v>KILLION DAVID</v>
      </c>
      <c r="M120" s="6">
        <f t="shared" si="66"/>
        <v>2.675925925723277E-2</v>
      </c>
      <c r="N120" s="7">
        <f t="shared" si="62"/>
        <v>38.533333330415189</v>
      </c>
      <c r="O120" s="7"/>
      <c r="P120" s="7"/>
      <c r="Q120" s="22"/>
      <c r="R120" s="22"/>
      <c r="S120" s="31">
        <f t="shared" si="67"/>
        <v>1</v>
      </c>
      <c r="T120" s="46" t="str">
        <f t="shared" si="68"/>
        <v>Southbound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 t="shared" si="69"/>
        <v>https://d0f6bd738d7f1b3e5a7ca70fe4ff75f0.us-east-1.aws.found.io/app/kibana#/discover/Steve-Slow-Train-Analysis-(2080s-and-2083s)?_g=(refreshInterval:(display:Off,pause:!f,section:0,value:0),time:(from:'2017-02-11T15:54:07-0700',mode:absolute,to:'2017-02-11T19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0" s="188" t="str">
        <f t="shared" si="70"/>
        <v>N</v>
      </c>
      <c r="X120" s="188">
        <f t="shared" si="76"/>
        <v>1</v>
      </c>
      <c r="Y120" s="62">
        <v>23.301300000000001</v>
      </c>
      <c r="Z120" s="62">
        <v>2.0299999999999999E-2</v>
      </c>
      <c r="AA120" s="62">
        <f t="shared" si="71"/>
        <v>23.281000000000002</v>
      </c>
      <c r="AB120" s="59" t="e">
        <f>VLOOKUP(A120,Enforcements!$C$7:$K$14,8,0)</f>
        <v>#N/A</v>
      </c>
      <c r="AC120" s="55" t="e">
        <f>VLOOKUP(A120,Enforcements!$C$7:$E$14,3,0)</f>
        <v>#N/A</v>
      </c>
      <c r="AD120" s="56" t="str">
        <f t="shared" si="72"/>
        <v>0208-11</v>
      </c>
      <c r="AE120" s="85" t="str">
        <f t="shared" si="73"/>
        <v>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 &amp; 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</v>
      </c>
      <c r="AF120" s="82" t="str">
        <f t="shared" si="74"/>
        <v>"C:\Program Files (x86)\AstroGrep\AstroGrep.exe" /spath="%USERPROFILE%\AppData\Local\Temp\OnboardLogs" /stypes="app*4028*20170212*" /stext=" 01:.+((SYSTEM_STATE.+slice.+state.+changed )|(ment ac)|(multiple cpu faults)|(system.+state.+changed )|(\[timeout)|(PRM\|1\|D)|(kpr)|(kdp)|(\|lc)|(penalty))" /e /r /s</v>
      </c>
      <c r="AG120" s="1" t="str">
        <f t="shared" si="75"/>
        <v>EC</v>
      </c>
      <c r="AH120" s="86" t="str">
        <f t="shared" ref="AH120" si="77"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208-11 --locoid 4028 --swversion DE.1.0.8.0 --startMP 204:462 --initTime 2017-02-11T16:54:07 --startdatetime 2017-02-11T17:57:10 --delay 1 --endMP 204:233295 --enddatetime 2017-02-11T18:35:42 --enforcementcount 1 &gt;&gt;C:\Users\stu\Documents\GitHub\eaglep3-reporting\EC\2017-02-11-refined-times.txt</v>
      </c>
      <c r="AI120" s="108" t="str">
        <f t="shared" ref="AI120" si="78"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{"issue":{"subject":"","project_id":79,"tracker_id":40,"status_id":1,"priority_id":2,"assigned_to_id":23,"start_date":"2017-02-11","description":"","custom_fields":[{"id":1,"name":"Subdivision","value":"EC"},{"id":4,"name":"Milepost","value":"0.0203"},{"id":17,"name":"Train ID","value":"208-11"},{"id":16,"name":"Locomotive ID","value":"4028"},{"id":130,"name":"Impact","value":""},{"id":150,"name":"Time of Event (Mountain Time)","value":"18:35:42"},{"id":151,"name":"Denver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ref="AM120" si="79">"start /low /b "&amp;dls3logs&amp;" --loco "&amp;B120&amp;" --day "&amp;TEXT(F120,"YYYY-MM-DD")</f>
        <v>start /low /b %USERPROFILE%\Documents\GitHub\eaglep3\Utilities\DownloadLogsFromS3.py --loco 4028 --day 2017-02-11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2017-02-11-UncaughtWiMAX.txt</v>
      </c>
    </row>
    <row r="121" spans="1:91" s="20" customFormat="1" x14ac:dyDescent="0.25">
      <c r="A121" s="33" t="s">
        <v>678</v>
      </c>
      <c r="B121" s="7">
        <v>4020</v>
      </c>
      <c r="C121" s="21" t="s">
        <v>193</v>
      </c>
      <c r="D121" s="21" t="s">
        <v>837</v>
      </c>
      <c r="E121" s="13">
        <v>42777.714236111111</v>
      </c>
      <c r="F121" s="13">
        <v>42777.718935185185</v>
      </c>
      <c r="G121" s="7">
        <v>1</v>
      </c>
      <c r="H121" s="21" t="s">
        <v>838</v>
      </c>
      <c r="I121" s="13">
        <v>42777.743877314817</v>
      </c>
      <c r="J121" s="7">
        <v>1</v>
      </c>
      <c r="K121" s="98" t="str">
        <f t="shared" si="65"/>
        <v>4019/4020</v>
      </c>
      <c r="L121" s="21" t="str">
        <f>VLOOKUP(A121,'Trips&amp;Operators'!$C$1:$G$99999,5,FALSE)</f>
        <v>LEVIN SCOTT</v>
      </c>
      <c r="M121" s="6">
        <f t="shared" si="66"/>
        <v>2.4942129632108845E-2</v>
      </c>
      <c r="N121" s="7">
        <f t="shared" si="62"/>
        <v>35.916666670236737</v>
      </c>
      <c r="O121" s="7"/>
      <c r="P121" s="7"/>
      <c r="Q121" s="22"/>
      <c r="R121" s="22"/>
      <c r="S121" s="31">
        <f t="shared" si="67"/>
        <v>1</v>
      </c>
      <c r="T121" s="46" t="str">
        <f t="shared" si="68"/>
        <v>NorthBound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 t="shared" si="69"/>
        <v>https://d0f6bd738d7f1b3e5a7ca70fe4ff75f0.us-east-1.aws.found.io/app/kibana#/discover/Steve-Slow-Train-Analysis-(2080s-and-2083s)?_g=(refreshInterval:(display:Off,pause:!f,section:0,value:0),time:(from:'2017-02-11T16:08:30-0700',mode:absolute,to:'2017-02-11T18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1" s="188" t="str">
        <f t="shared" si="70"/>
        <v>N</v>
      </c>
      <c r="X121" s="188">
        <f t="shared" si="76"/>
        <v>1</v>
      </c>
      <c r="Y121" s="62">
        <f t="shared" ref="Y121:Y152" si="80">RIGHT(D121,LEN(D121)-4)/10000</f>
        <v>4.1500000000000002E-2</v>
      </c>
      <c r="Z121" s="62">
        <f t="shared" ref="Z121:Z152" si="81">RIGHT(H121,LEN(H121)-4)/10000</f>
        <v>23.334</v>
      </c>
      <c r="AA121" s="62">
        <f t="shared" si="71"/>
        <v>23.2925</v>
      </c>
      <c r="AB121" s="59" t="e">
        <f>VLOOKUP(A121,Enforcements!$C$7:$K$14,8,0)</f>
        <v>#N/A</v>
      </c>
      <c r="AC121" s="55" t="e">
        <f>VLOOKUP(A121,Enforcements!$C$7:$E$14,3,0)</f>
        <v>#N/A</v>
      </c>
      <c r="AD121" s="56" t="str">
        <f t="shared" si="72"/>
        <v>0209-11</v>
      </c>
      <c r="AE121" s="85" t="str">
        <f t="shared" si="73"/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AF121" s="82" t="str">
        <f t="shared" si="74"/>
        <v>"C:\Program Files (x86)\AstroGrep\AstroGrep.exe" /spath="%USERPROFILE%\AppData\Local\Temp\OnboardLogs" /stypes="app*4020*20170212*" /stext=" 00:.+((SYSTEM_STATE.+slice.+state.+changed )|(ment ac)|(multiple cpu faults)|(system.+state.+changed )|(\[timeout)|(PRM\|1\|D)|(kpr)|(kdp)|(\|lc)|(penalty))" /e /r /s</v>
      </c>
      <c r="AG121" s="1" t="str">
        <f t="shared" si="75"/>
        <v>EC</v>
      </c>
      <c r="AH121" s="86" t="str">
        <f t="shared" si="55"/>
        <v>"%USERPROFILE%\Documents\GitHub\eaglep3\Utilities\RefineRTDCRunTimes.py" --tripid 209-11 --locoid 4020 --swversion DE.1.0.8.0 --startMP 204:415 --initTime 2017-02-11T17:08:30 --startdatetime 2017-02-11T17:15:16 --delay 1 --endMP 204:233340 --enddatetime 2017-02-11T17:51:11 --enforcementcount 1 &gt;&gt;C:\Users\stu\Documents\GitHub\eaglep3-reporting\EC\2017-02-11-refined-times.txt</v>
      </c>
      <c r="AI121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{"issue":{"subject":"","project_id":79,"tracker_id":40,"status_id":1,"priority_id":2,"assigned_to_id":23,"start_date":"2017-02-11","description":"","custom_fields":[{"id":1,"name":"Subdivision","value":"EC"},{"id":4,"name":"Milepost","value":"23.334"},{"id":17,"name":"Train ID","value":"209-11"},{"id":16,"name":"Locomotive ID","value":"4020"},{"id":130,"name":"Impact","value":""},{"id":150,"name":"Time of Event (Mountain Time)","value":"17:51:11"},{"id":151,"name":"Denver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57"/>
        <v>start /low /b %USERPROFILE%\Documents\GitHub\eaglep3\Utilities\DownloadLogsFromS3.py --loco 4020 --day 2017-02-11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"%USERPROFILE%\AppData\Local\Temp\OnboardLogs"\RTDC4020\*4020*20170212* | grep -SE "(Enforcement Action)|(\[TIMEOUT)|(CHR.+\|PRM\|1\|D.+(SWITCH|SIGNAL).+UNKNOWN)" - &gt;&gt; 2017-02-11-UncaughtWiMAX.txt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686</v>
      </c>
      <c r="B122" s="7">
        <v>4019</v>
      </c>
      <c r="C122" s="21" t="s">
        <v>193</v>
      </c>
      <c r="D122" s="21" t="s">
        <v>839</v>
      </c>
      <c r="E122" s="13">
        <v>42777.753287037034</v>
      </c>
      <c r="F122" s="13">
        <v>42777.757847222223</v>
      </c>
      <c r="G122" s="7">
        <v>1</v>
      </c>
      <c r="H122" s="21" t="s">
        <v>840</v>
      </c>
      <c r="I122" s="13">
        <v>42777.784236111111</v>
      </c>
      <c r="J122" s="7">
        <v>1</v>
      </c>
      <c r="K122" s="98" t="str">
        <f t="shared" si="65"/>
        <v>4019/4020</v>
      </c>
      <c r="L122" s="21" t="str">
        <f>VLOOKUP(A122,'Trips&amp;Operators'!$C$1:$G$99999,5,FALSE)</f>
        <v>LEVIN SCOTT</v>
      </c>
      <c r="M122" s="6">
        <f t="shared" si="66"/>
        <v>2.6388888887595385E-2</v>
      </c>
      <c r="N122" s="7">
        <f t="shared" si="62"/>
        <v>37.999999998137355</v>
      </c>
      <c r="O122" s="7"/>
      <c r="P122" s="7"/>
      <c r="Q122" s="22"/>
      <c r="R122" s="22"/>
      <c r="S122" s="31">
        <f t="shared" si="67"/>
        <v>1</v>
      </c>
      <c r="T122" s="46" t="str">
        <f t="shared" si="68"/>
        <v>Southbound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 t="shared" si="69"/>
        <v>https://d0f6bd738d7f1b3e5a7ca70fe4ff75f0.us-east-1.aws.found.io/app/kibana#/discover/Steve-Slow-Train-Analysis-(2080s-and-2083s)?_g=(refreshInterval:(display:Off,pause:!f,section:0,value:0),time:(from:'2017-02-11T17:04:44-0700',mode:absolute,to:'2017-02-11T19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2" s="188" t="str">
        <f t="shared" si="70"/>
        <v>N</v>
      </c>
      <c r="X122" s="188">
        <f t="shared" si="76"/>
        <v>1</v>
      </c>
      <c r="Y122" s="62">
        <f t="shared" si="80"/>
        <v>23.303000000000001</v>
      </c>
      <c r="Z122" s="62">
        <f t="shared" si="81"/>
        <v>1.18E-2</v>
      </c>
      <c r="AA122" s="62">
        <f t="shared" si="71"/>
        <v>23.2912</v>
      </c>
      <c r="AB122" s="59" t="e">
        <f>VLOOKUP(A122,Enforcements!$C$7:$K$14,8,0)</f>
        <v>#N/A</v>
      </c>
      <c r="AC122" s="55" t="e">
        <f>VLOOKUP(A122,Enforcements!$C$7:$E$14,3,0)</f>
        <v>#N/A</v>
      </c>
      <c r="AD122" s="56" t="str">
        <f t="shared" si="72"/>
        <v>0210-11</v>
      </c>
      <c r="AE122" s="85" t="str">
        <f t="shared" si="73"/>
        <v>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 &amp; 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</v>
      </c>
      <c r="AF122" s="82" t="str">
        <f t="shared" si="74"/>
        <v>"C:\Program Files (x86)\AstroGrep\AstroGrep.exe" /spath="%USERPROFILE%\AppData\Local\Temp\OnboardLogs" /stypes="app*4019*20170212*" /stext=" 01:.+((SYSTEM_STATE.+slice.+state.+changed )|(ment ac)|(multiple cpu faults)|(system.+state.+changed )|(\[timeout)|(PRM\|1\|D)|(kpr)|(kdp)|(\|lc)|(penalty))" /e /r /s</v>
      </c>
      <c r="AG122" s="1" t="str">
        <f t="shared" si="75"/>
        <v>EC</v>
      </c>
      <c r="AH122" s="86" t="str">
        <f t="shared" si="55"/>
        <v>"%USERPROFILE%\Documents\GitHub\eaglep3\Utilities\RefineRTDCRunTimes.py" --tripid 210-11 --locoid 4019 --swversion DE.1.0.8.0 --startMP 204:233030 --initTime 2017-02-11T18:04:44 --startdatetime 2017-02-11T18:11:18 --delay 1 --endMP 204:118 --enddatetime 2017-02-11T18:49:18 --enforcementcount 1 &gt;&gt;C:\Users\stu\Documents\GitHub\eaglep3-reporting\EC\2017-02-11-refined-times.txt</v>
      </c>
      <c r="AI122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{"issue":{"subject":"","project_id":79,"tracker_id":40,"status_id":1,"priority_id":2,"assigned_to_id":23,"start_date":"2017-02-11","description":"","custom_fields":[{"id":1,"name":"Subdivision","value":"EC"},{"id":4,"name":"Milepost","value":"0.0118"},{"id":17,"name":"Train ID","value":"210-11"},{"id":16,"name":"Locomotive ID","value":"4019"},{"id":130,"name":"Impact","value":""},{"id":150,"name":"Time of Event (Mountain Time)","value":"18:49:18"},{"id":151,"name":"Denver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57"/>
        <v>start /low /b %USERPROFILE%\Documents\GitHub\eaglep3\Utilities\DownloadLogsFromS3.py --loco 4019 --day 2017-02-11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"%USERPROFILE%\AppData\Local\Temp\OnboardLogs"\RTDC4019\*4019*20170212* | grep -SE "(Enforcement Action)|(\[TIMEOUT)|(CHR.+\|PRM\|1\|D.+(SWITCH|SIGNAL).+UNKNOWN)" - &gt;&gt; 2017-02-11-UncaughtWiMAX.txt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680</v>
      </c>
      <c r="B123" s="7">
        <v>4029</v>
      </c>
      <c r="C123" s="21" t="s">
        <v>193</v>
      </c>
      <c r="D123" s="21" t="s">
        <v>763</v>
      </c>
      <c r="E123" s="13">
        <v>42777.723993055559</v>
      </c>
      <c r="F123" s="13">
        <v>42777.729328703703</v>
      </c>
      <c r="G123" s="7">
        <v>1</v>
      </c>
      <c r="H123" s="21" t="s">
        <v>841</v>
      </c>
      <c r="I123" s="13">
        <v>42777.75509259259</v>
      </c>
      <c r="J123" s="7">
        <v>1</v>
      </c>
      <c r="K123" s="98" t="str">
        <f t="shared" si="65"/>
        <v>4029/4030</v>
      </c>
      <c r="L123" s="21" t="str">
        <f>VLOOKUP(A123,'Trips&amp;Operators'!$C$1:$G$99999,5,FALSE)</f>
        <v>ROMERO CHAD</v>
      </c>
      <c r="M123" s="6">
        <f t="shared" si="66"/>
        <v>2.5763888887013309E-2</v>
      </c>
      <c r="N123" s="7">
        <f t="shared" si="62"/>
        <v>37.099999997299165</v>
      </c>
      <c r="O123" s="7"/>
      <c r="P123" s="7"/>
      <c r="Q123" s="22"/>
      <c r="R123" s="22"/>
      <c r="S123" s="31">
        <f t="shared" si="67"/>
        <v>1</v>
      </c>
      <c r="T123" s="46" t="str">
        <f t="shared" si="68"/>
        <v>NorthBound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 t="shared" si="69"/>
        <v>https://d0f6bd738d7f1b3e5a7ca70fe4ff75f0.us-east-1.aws.found.io/app/kibana#/discover/Steve-Slow-Train-Analysis-(2080s-and-2083s)?_g=(refreshInterval:(display:Off,pause:!f,section:0,value:0),time:(from:'2017-02-11T16:22:33-0700',mode:absolute,to:'2017-02-11T19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3" s="188" t="str">
        <f t="shared" si="70"/>
        <v>N</v>
      </c>
      <c r="X123" s="188">
        <f t="shared" si="76"/>
        <v>1</v>
      </c>
      <c r="Y123" s="62">
        <f t="shared" si="80"/>
        <v>4.2900000000000001E-2</v>
      </c>
      <c r="Z123" s="62">
        <f t="shared" si="81"/>
        <v>23.340499999999999</v>
      </c>
      <c r="AA123" s="62">
        <f t="shared" si="71"/>
        <v>23.297599999999999</v>
      </c>
      <c r="AB123" s="59" t="e">
        <f>VLOOKUP(A123,Enforcements!$C$7:$K$14,8,0)</f>
        <v>#N/A</v>
      </c>
      <c r="AC123" s="55" t="e">
        <f>VLOOKUP(A123,Enforcements!$C$7:$E$14,3,0)</f>
        <v>#N/A</v>
      </c>
      <c r="AD123" s="56" t="str">
        <f t="shared" si="72"/>
        <v>0211-11</v>
      </c>
      <c r="AE123" s="85" t="str">
        <f t="shared" si="73"/>
        <v>aws s3 cp s3://rtdc.mdm.uploadarchive.raw/RTDC4029/ "%USERPROFILE%\AppData\Local\Temp\OnboardLogs"\RTDC4029\2017-02-11 --exclude "*" --recursive --include "*20170211*" &amp; "%USERPROFILE%\Documents\GitHub\mrs-test-scripts\Headless Mode &amp; Sideloading\WalkAndUnGZ.bat" "%USERPROFILE%\AppData\Local\Temp\OnboardLogs"\RTDC4029\2017-02-11 &amp; 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</v>
      </c>
      <c r="AF123" s="82" t="str">
        <f t="shared" si="74"/>
        <v>"C:\Program Files (x86)\AstroGrep\AstroGrep.exe" /spath="%USERPROFILE%\AppData\Local\Temp\OnboardLogs" /stypes="app*4029*20170212*" /stext=" 01:.+((SYSTEM_STATE.+slice.+state.+changed )|(ment ac)|(multiple cpu faults)|(system.+state.+changed )|(\[timeout)|(PRM\|1\|D)|(kpr)|(kdp)|(\|lc)|(penalty))" /e /r /s</v>
      </c>
      <c r="AG123" s="1" t="str">
        <f t="shared" si="75"/>
        <v>EC</v>
      </c>
      <c r="AH123" s="86" t="str">
        <f t="shared" si="55"/>
        <v>"%USERPROFILE%\Documents\GitHub\eaglep3\Utilities\RefineRTDCRunTimes.py" --tripid 211-11 --locoid 4029 --swversion DE.1.0.8.0 --startMP 204:429 --initTime 2017-02-11T17:22:33 --startdatetime 2017-02-11T17:30:14 --delay 1 --endMP 204:233405 --enddatetime 2017-02-11T18:07:20 --enforcementcount 1 &gt;&gt;C:\Users\stu\Documents\GitHub\eaglep3-reporting\EC\2017-02-11-refined-times.txt</v>
      </c>
      <c r="AI123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{"issue":{"subject":"","project_id":79,"tracker_id":40,"status_id":1,"priority_id":2,"assigned_to_id":23,"start_date":"2017-02-11","description":"","custom_fields":[{"id":1,"name":"Subdivision","value":"EC"},{"id":4,"name":"Milepost","value":"23.3405"},{"id":17,"name":"Train ID","value":"211-11"},{"id":16,"name":"Locomotive ID","value":"4029"},{"id":130,"name":"Impact","value":""},{"id":150,"name":"Time of Event (Mountain Time)","value":"18:07:20"},{"id":151,"name":"Denver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57"/>
        <v>start /low /b %USERPROFILE%\Documents\GitHub\eaglep3\Utilities\DownloadLogsFromS3.py --loco 4029 --day 2017-02-11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"%USERPROFILE%\AppData\Local\Temp\OnboardLogs"\RTDC4029\*4029*20170212* | grep -SE "(Enforcement Action)|(\[TIMEOUT)|(CHR.+\|PRM\|1\|D.+(SWITCH|SIGNAL).+UNKNOWN)" - &gt;&gt; 2017-02-11-UncaughtWiMAX.txt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688</v>
      </c>
      <c r="B124" s="7">
        <v>4030</v>
      </c>
      <c r="C124" s="21" t="s">
        <v>193</v>
      </c>
      <c r="D124" s="21" t="s">
        <v>842</v>
      </c>
      <c r="E124" s="13">
        <v>42777.763831018521</v>
      </c>
      <c r="F124" s="13">
        <v>42777.768240740741</v>
      </c>
      <c r="G124" s="7">
        <v>1</v>
      </c>
      <c r="H124" s="21" t="s">
        <v>495</v>
      </c>
      <c r="I124" s="13">
        <v>42777.793564814812</v>
      </c>
      <c r="J124" s="7">
        <v>1</v>
      </c>
      <c r="K124" s="98" t="str">
        <f t="shared" si="65"/>
        <v>4029/4030</v>
      </c>
      <c r="L124" s="21" t="str">
        <f>VLOOKUP(A124,'Trips&amp;Operators'!$C$1:$G$99999,5,FALSE)</f>
        <v>ROMERO CHAD</v>
      </c>
      <c r="M124" s="6">
        <f t="shared" si="66"/>
        <v>2.5324074071249925E-2</v>
      </c>
      <c r="N124" s="7">
        <f t="shared" si="62"/>
        <v>36.466666662599891</v>
      </c>
      <c r="O124" s="7"/>
      <c r="P124" s="7"/>
      <c r="Q124" s="22"/>
      <c r="R124" s="22"/>
      <c r="S124" s="31">
        <f t="shared" si="67"/>
        <v>1</v>
      </c>
      <c r="T124" s="46" t="str">
        <f t="shared" si="68"/>
        <v>Southbound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 t="shared" si="69"/>
        <v>https://d0f6bd738d7f1b3e5a7ca70fe4ff75f0.us-east-1.aws.found.io/app/kibana#/discover/Steve-Slow-Train-Analysis-(2080s-and-2083s)?_g=(refreshInterval:(display:Off,pause:!f,section:0,value:0),time:(from:'2017-02-11T17:19:55-0700',mode:absolute,to:'2017-02-11T20:02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4" s="188" t="str">
        <f t="shared" si="70"/>
        <v>N</v>
      </c>
      <c r="X124" s="188">
        <f t="shared" si="76"/>
        <v>1</v>
      </c>
      <c r="Y124" s="62">
        <f t="shared" si="80"/>
        <v>23.308399999999999</v>
      </c>
      <c r="Z124" s="62">
        <f t="shared" si="81"/>
        <v>1.47E-2</v>
      </c>
      <c r="AA124" s="62">
        <f t="shared" si="71"/>
        <v>23.293699999999998</v>
      </c>
      <c r="AB124" s="59" t="e">
        <f>VLOOKUP(A124,Enforcements!$C$7:$K$14,8,0)</f>
        <v>#N/A</v>
      </c>
      <c r="AC124" s="55" t="e">
        <f>VLOOKUP(A124,Enforcements!$C$7:$E$14,3,0)</f>
        <v>#N/A</v>
      </c>
      <c r="AD124" s="56" t="str">
        <f t="shared" si="72"/>
        <v>0212-11</v>
      </c>
      <c r="AE124" s="85" t="str">
        <f t="shared" si="73"/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AF124" s="82" t="str">
        <f t="shared" si="74"/>
        <v>"C:\Program Files (x86)\AstroGrep\AstroGrep.exe" /spath="%USERPROFILE%\AppData\Local\Temp\OnboardLogs" /stypes="app*4030*20170212*" /stext=" 02:.+((SYSTEM_STATE.+slice.+state.+changed )|(ment ac)|(multiple cpu faults)|(system.+state.+changed )|(\[timeout)|(PRM\|1\|D)|(kpr)|(kdp)|(\|lc)|(penalty))" /e /r /s</v>
      </c>
      <c r="AG124" s="1" t="str">
        <f t="shared" si="75"/>
        <v>EC</v>
      </c>
      <c r="AH124" s="86" t="str">
        <f t="shared" si="55"/>
        <v>"%USERPROFILE%\Documents\GitHub\eaglep3\Utilities\RefineRTDCRunTimes.py" --tripid 212-11 --locoid 4030 --swversion DE.1.0.8.0 --startMP 204:233084 --initTime 2017-02-11T18:19:55 --startdatetime 2017-02-11T18:26:16 --delay 1 --endMP 204:147 --enddatetime 2017-02-11T19:02:44 --enforcementcount 1 &gt;&gt;C:\Users\stu\Documents\GitHub\eaglep3-reporting\EC\2017-02-11-refined-times.txt</v>
      </c>
      <c r="AI124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{"issue":{"subject":"","project_id":79,"tracker_id":40,"status_id":1,"priority_id":2,"assigned_to_id":23,"start_date":"2017-02-11","description":"","custom_fields":[{"id":1,"name":"Subdivision","value":"EC"},{"id":4,"name":"Milepost","value":"0.0147"},{"id":17,"name":"Train ID","value":"212-11"},{"id":16,"name":"Locomotive ID","value":"4030"},{"id":130,"name":"Impact","value":""},{"id":150,"name":"Time of Event (Mountain Time)","value":"19:02:44"},{"id":151,"name":"Denver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57"/>
        <v>start /low /b %USERPROFILE%\Documents\GitHub\eaglep3\Utilities\DownloadLogsFromS3.py --loco 4030 --day 2017-02-11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"%USERPROFILE%\AppData\Local\Temp\OnboardLogs"\RTDC4030\*4030*20170212* | grep -SE "(Enforcement Action)|(\[TIMEOUT)|(CHR.+\|PRM\|1\|D.+(SWITCH|SIGNAL).+UNKNOWN)" - &gt;&gt; 2017-02-11-UncaughtWiMAX.txt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684</v>
      </c>
      <c r="B125" s="7">
        <v>4044</v>
      </c>
      <c r="C125" s="21" t="s">
        <v>193</v>
      </c>
      <c r="D125" s="21" t="s">
        <v>218</v>
      </c>
      <c r="E125" s="13">
        <v>42777.738912037035</v>
      </c>
      <c r="F125" s="13">
        <v>42777.740636574075</v>
      </c>
      <c r="G125" s="7">
        <v>1</v>
      </c>
      <c r="H125" s="21" t="s">
        <v>843</v>
      </c>
      <c r="I125" s="13">
        <v>42777.765277777777</v>
      </c>
      <c r="J125" s="7">
        <v>1</v>
      </c>
      <c r="K125" s="98" t="str">
        <f t="shared" si="65"/>
        <v>4043/4044</v>
      </c>
      <c r="L125" s="21" t="str">
        <f>VLOOKUP(A125,'Trips&amp;Operators'!$C$1:$G$99999,5,FALSE)</f>
        <v>SMITH MICHAEL</v>
      </c>
      <c r="M125" s="6">
        <f t="shared" si="66"/>
        <v>2.4641203701321501E-2</v>
      </c>
      <c r="N125" s="7">
        <f t="shared" si="62"/>
        <v>35.483333329902962</v>
      </c>
      <c r="O125" s="7"/>
      <c r="P125" s="7"/>
      <c r="Q125" s="22"/>
      <c r="R125" s="22"/>
      <c r="S125" s="31">
        <f t="shared" si="67"/>
        <v>1</v>
      </c>
      <c r="T125" s="46" t="str">
        <f t="shared" si="68"/>
        <v>NorthBound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 t="shared" si="69"/>
        <v>https://d0f6bd738d7f1b3e5a7ca70fe4ff75f0.us-east-1.aws.found.io/app/kibana#/discover/Steve-Slow-Train-Analysis-(2080s-and-2083s)?_g=(refreshInterval:(display:Off,pause:!f,section:0,value:0),time:(from:'2017-02-11T16:44:02-0700',mode:absolute,to:'2017-02-11T19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188" t="str">
        <f t="shared" si="70"/>
        <v>N</v>
      </c>
      <c r="X125" s="188">
        <f t="shared" si="76"/>
        <v>1</v>
      </c>
      <c r="Y125" s="62">
        <f t="shared" si="80"/>
        <v>4.6899999999999997E-2</v>
      </c>
      <c r="Z125" s="62">
        <f t="shared" si="81"/>
        <v>23.334199999999999</v>
      </c>
      <c r="AA125" s="62">
        <f t="shared" si="71"/>
        <v>23.287299999999998</v>
      </c>
      <c r="AB125" s="59" t="e">
        <f>VLOOKUP(A125,Enforcements!$C$7:$K$14,8,0)</f>
        <v>#N/A</v>
      </c>
      <c r="AC125" s="55" t="e">
        <f>VLOOKUP(A125,Enforcements!$C$7:$E$14,3,0)</f>
        <v>#N/A</v>
      </c>
      <c r="AD125" s="56" t="str">
        <f t="shared" si="72"/>
        <v>0213-11</v>
      </c>
      <c r="AE125" s="85" t="str">
        <f t="shared" si="73"/>
        <v>aws s3 cp s3://rtdc.mdm.uploadarchive.raw/RTDC4044/ "%USERPROFILE%\AppData\Local\Temp\OnboardLogs"\RTDC4044\2017-02-11 --exclude "*" --recursive --include "*20170211*" &amp; "%USERPROFILE%\Documents\GitHub\mrs-test-scripts\Headless Mode &amp; Sideloading\WalkAndUnGZ.bat" "%USERPROFILE%\AppData\Local\Temp\OnboardLogs"\RTDC4044\2017-02-11 &amp; aws s3 cp s3://rtdc.mdm.uploadarchive.raw/RTDC4044/ "%USERPROFILE%\AppData\Local\Temp\OnboardLogs"\RTDC4044\2017-02-12 --exclude "*" --recursive --include "*20170212*" &amp; "%USERPROFILE%\Documents\GitHub\mrs-test-scripts\Headless Mode &amp; Sideloading\WalkAndUnGZ.bat" "%USERPROFILE%\AppData\Local\Temp\OnboardLogs"\RTDC4044\2017-02-12</v>
      </c>
      <c r="AF125" s="82" t="str">
        <f t="shared" si="74"/>
        <v>"C:\Program Files (x86)\AstroGrep\AstroGrep.exe" /spath="%USERPROFILE%\AppData\Local\Temp\OnboardLogs" /stypes="app*4044*20170212*" /stext=" 01:.+((SYSTEM_STATE.+slice.+state.+changed )|(ment ac)|(multiple cpu faults)|(system.+state.+changed )|(\[timeout)|(PRM\|1\|D)|(kpr)|(kdp)|(\|lc)|(penalty))" /e /r /s</v>
      </c>
      <c r="AG125" s="1" t="str">
        <f t="shared" si="75"/>
        <v>EC</v>
      </c>
      <c r="AH125" s="86" t="str">
        <f t="shared" si="55"/>
        <v>"%USERPROFILE%\Documents\GitHub\eaglep3\Utilities\RefineRTDCRunTimes.py" --tripid 213-11 --locoid 4044 --swversion DE.1.0.8.0 --startMP 204:469 --initTime 2017-02-11T17:44:02 --startdatetime 2017-02-11T17:46:31 --delay 1 --endMP 204:233342 --enddatetime 2017-02-11T18:22:00 --enforcementcount 1 &gt;&gt;C:\Users\stu\Documents\GitHub\eaglep3-reporting\EC\2017-02-11-refined-times.txt</v>
      </c>
      <c r="AI125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{"issue":{"subject":"","project_id":79,"tracker_id":40,"status_id":1,"priority_id":2,"assigned_to_id":23,"start_date":"2017-02-11","description":"","custom_fields":[{"id":1,"name":"Subdivision","value":"EC"},{"id":4,"name":"Milepost","value":"23.3342"},{"id":17,"name":"Train ID","value":"213-11"},{"id":16,"name":"Locomotive ID","value":"4044"},{"id":130,"name":"Impact","value":""},{"id":150,"name":"Time of Event (Mountain Time)","value":"18:22:00"},{"id":151,"name":"Denver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57"/>
        <v>start /low /b %USERPROFILE%\Documents\GitHub\eaglep3\Utilities\DownloadLogsFromS3.py --loco 4044 --day 2017-02-11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"%USERPROFILE%\AppData\Local\Temp\OnboardLogs"\RTDC4044\*4044*20170212* | grep -SE "(Enforcement Action)|(\[TIMEOUT)|(CHR.+\|PRM\|1\|D.+(SWITCH|SIGNAL).+UNKNOWN)" - &gt;&gt; 2017-02-11-UncaughtWiMAX.txt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690</v>
      </c>
      <c r="B126" s="7">
        <v>4043</v>
      </c>
      <c r="C126" s="21" t="s">
        <v>193</v>
      </c>
      <c r="D126" s="21" t="s">
        <v>766</v>
      </c>
      <c r="E126" s="13">
        <v>42777.768726851849</v>
      </c>
      <c r="F126" s="13">
        <v>42777.778715277775</v>
      </c>
      <c r="G126" s="7">
        <v>1</v>
      </c>
      <c r="H126" s="21" t="s">
        <v>484</v>
      </c>
      <c r="I126" s="13">
        <v>42777.80537037037</v>
      </c>
      <c r="J126" s="7">
        <v>1</v>
      </c>
      <c r="K126" s="98" t="str">
        <f t="shared" si="65"/>
        <v>4043/4044</v>
      </c>
      <c r="L126" s="21" t="str">
        <f>VLOOKUP(A126,'Trips&amp;Operators'!$C$1:$G$99999,5,FALSE)</f>
        <v>SMITH MICHAEL</v>
      </c>
      <c r="M126" s="6">
        <f t="shared" si="66"/>
        <v>2.6655092595319729E-2</v>
      </c>
      <c r="N126" s="7">
        <f t="shared" si="62"/>
        <v>38.38333333726041</v>
      </c>
      <c r="O126" s="7"/>
      <c r="P126" s="7"/>
      <c r="Q126" s="22"/>
      <c r="R126" s="22"/>
      <c r="S126" s="31">
        <f t="shared" si="67"/>
        <v>1</v>
      </c>
      <c r="T126" s="46" t="str">
        <f t="shared" si="68"/>
        <v>Southbound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 t="shared" si="69"/>
        <v>https://d0f6bd738d7f1b3e5a7ca70fe4ff75f0.us-east-1.aws.found.io/app/kibana#/discover/Steve-Slow-Train-Analysis-(2080s-and-2083s)?_g=(refreshInterval:(display:Off,pause:!f,section:0,value:0),time:(from:'2017-02-11T17:26:58-0700',mode:absolute,to:'2017-02-11T20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188" t="str">
        <f t="shared" si="70"/>
        <v>N</v>
      </c>
      <c r="X126" s="188">
        <f t="shared" ref="X126:X147" si="82">VALUE(LEFT(AD126,4))-VALUE(LEFT(AD125,4))</f>
        <v>1</v>
      </c>
      <c r="Y126" s="62">
        <f t="shared" si="80"/>
        <v>23.298100000000002</v>
      </c>
      <c r="Z126" s="62">
        <f t="shared" si="81"/>
        <v>1.5599999999999999E-2</v>
      </c>
      <c r="AA126" s="62">
        <f t="shared" si="71"/>
        <v>23.282500000000002</v>
      </c>
      <c r="AB126" s="59" t="e">
        <f>VLOOKUP(A126,Enforcements!$C$7:$K$14,8,0)</f>
        <v>#N/A</v>
      </c>
      <c r="AC126" s="55" t="e">
        <f>VLOOKUP(A126,Enforcements!$C$7:$E$14,3,0)</f>
        <v>#N/A</v>
      </c>
      <c r="AD126" s="56" t="str">
        <f t="shared" si="72"/>
        <v>0214-11</v>
      </c>
      <c r="AE126" s="85" t="str">
        <f t="shared" si="73"/>
        <v>aws s3 cp s3://rtdc.mdm.uploadarchive.raw/RTDC4043/ "%USERPROFILE%\AppData\Local\Temp\OnboardLogs"\RTDC4043\2017-02-11 --exclude "*" --recursive --include "*20170211*" &amp; "%USERPROFILE%\Documents\GitHub\mrs-test-scripts\Headless Mode &amp; Sideloading\WalkAndUnGZ.bat" "%USERPROFILE%\AppData\Local\Temp\OnboardLogs"\RTDC4043\2017-02-11 &amp; aws s3 cp s3://rtdc.mdm.uploadarchive.raw/RTDC4043/ "%USERPROFILE%\AppData\Local\Temp\OnboardLogs"\RTDC4043\2017-02-12 --exclude "*" --recursive --include "*20170212*" &amp; "%USERPROFILE%\Documents\GitHub\mrs-test-scripts\Headless Mode &amp; Sideloading\WalkAndUnGZ.bat" "%USERPROFILE%\AppData\Local\Temp\OnboardLogs"\RTDC4043\2017-02-12</v>
      </c>
      <c r="AF126" s="82" t="str">
        <f t="shared" si="74"/>
        <v>"C:\Program Files (x86)\AstroGrep\AstroGrep.exe" /spath="%USERPROFILE%\AppData\Local\Temp\OnboardLogs" /stypes="app*4043*20170212*" /stext=" 02:.+((SYSTEM_STATE.+slice.+state.+changed )|(ment ac)|(multiple cpu faults)|(system.+state.+changed )|(\[timeout)|(PRM\|1\|D)|(kpr)|(kdp)|(\|lc)|(penalty))" /e /r /s</v>
      </c>
      <c r="AG126" s="1" t="str">
        <f t="shared" si="75"/>
        <v>EC</v>
      </c>
      <c r="AH126" s="86" t="str">
        <f t="shared" si="55"/>
        <v>"%USERPROFILE%\Documents\GitHub\eaglep3\Utilities\RefineRTDCRunTimes.py" --tripid 214-11 --locoid 4043 --swversion DE.1.0.8.0 --startMP 204:232981 --initTime 2017-02-11T18:26:58 --startdatetime 2017-02-11T18:41:21 --delay 1 --endMP 204:156 --enddatetime 2017-02-11T19:19:44 --enforcementcount 1 &gt;&gt;C:\Users\stu\Documents\GitHub\eaglep3-reporting\EC\2017-02-11-refined-times.txt</v>
      </c>
      <c r="AI126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{"issue":{"subject":"","project_id":79,"tracker_id":40,"status_id":1,"priority_id":2,"assigned_to_id":23,"start_date":"2017-02-11","description":"","custom_fields":[{"id":1,"name":"Subdivision","value":"EC"},{"id":4,"name":"Milepost","value":"0.0156"},{"id":17,"name":"Train ID","value":"214-11"},{"id":16,"name":"Locomotive ID","value":"4043"},{"id":130,"name":"Impact","value":""},{"id":150,"name":"Time of Event (Mountain Time)","value":"19:19:44"},{"id":151,"name":"Denver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57"/>
        <v>start /low /b %USERPROFILE%\Documents\GitHub\eaglep3\Utilities\DownloadLogsFromS3.py --loco 4043 --day 2017-02-11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"%USERPROFILE%\AppData\Local\Temp\OnboardLogs"\RTDC4043\*4043*20170212* | grep -SE "(Enforcement Action)|(\[TIMEOUT)|(CHR.+\|PRM\|1\|D.+(SWITCH|SIGNAL).+UNKNOWN)" - &gt;&gt; 2017-02-11-UncaughtWiMAX.txt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685</v>
      </c>
      <c r="B127" s="7">
        <v>4031</v>
      </c>
      <c r="C127" s="21" t="s">
        <v>193</v>
      </c>
      <c r="D127" s="21" t="s">
        <v>206</v>
      </c>
      <c r="E127" s="13">
        <v>42777.747291666667</v>
      </c>
      <c r="F127" s="13">
        <v>42777.750150462962</v>
      </c>
      <c r="G127" s="7">
        <v>1</v>
      </c>
      <c r="H127" s="21" t="s">
        <v>219</v>
      </c>
      <c r="I127" s="13">
        <v>42777.775289351855</v>
      </c>
      <c r="J127" s="7">
        <v>1</v>
      </c>
      <c r="K127" s="98" t="str">
        <f t="shared" si="65"/>
        <v>4031/4032</v>
      </c>
      <c r="L127" s="21" t="str">
        <f>VLOOKUP(A127,'Trips&amp;Operators'!$C$1:$G$99999,5,FALSE)</f>
        <v>BRANNON JEFFREY</v>
      </c>
      <c r="M127" s="6">
        <f t="shared" si="66"/>
        <v>2.513888889370719E-2</v>
      </c>
      <c r="N127" s="7">
        <f t="shared" si="62"/>
        <v>36.200000006938353</v>
      </c>
      <c r="O127" s="7"/>
      <c r="P127" s="7"/>
      <c r="Q127" s="22"/>
      <c r="R127" s="22"/>
      <c r="S127" s="31">
        <f t="shared" si="67"/>
        <v>1</v>
      </c>
      <c r="T127" s="46" t="str">
        <f t="shared" si="68"/>
        <v>NorthBound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 t="shared" si="69"/>
        <v>https://d0f6bd738d7f1b3e5a7ca70fe4ff75f0.us-east-1.aws.found.io/app/kibana#/discover/Steve-Slow-Train-Analysis-(2080s-and-2083s)?_g=(refreshInterval:(display:Off,pause:!f,section:0,value:0),time:(from:'2017-02-11T16:56:06-0700',mode:absolute,to:'2017-02-11T19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7" s="188" t="str">
        <f t="shared" si="70"/>
        <v>N</v>
      </c>
      <c r="X127" s="188">
        <f t="shared" si="82"/>
        <v>1</v>
      </c>
      <c r="Y127" s="62">
        <f t="shared" si="80"/>
        <v>4.6199999999999998E-2</v>
      </c>
      <c r="Z127" s="62">
        <f t="shared" si="81"/>
        <v>23.329899999999999</v>
      </c>
      <c r="AA127" s="62">
        <f t="shared" si="71"/>
        <v>23.2837</v>
      </c>
      <c r="AB127" s="59" t="e">
        <f>VLOOKUP(A127,Enforcements!$C$7:$K$14,8,0)</f>
        <v>#N/A</v>
      </c>
      <c r="AC127" s="55" t="e">
        <f>VLOOKUP(A127,Enforcements!$C$7:$E$14,3,0)</f>
        <v>#N/A</v>
      </c>
      <c r="AD127" s="56" t="str">
        <f t="shared" si="72"/>
        <v>0215-11</v>
      </c>
      <c r="AE127" s="85" t="str">
        <f t="shared" si="73"/>
        <v>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 &amp; 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</v>
      </c>
      <c r="AF127" s="82" t="str">
        <f t="shared" si="74"/>
        <v>"C:\Program Files (x86)\AstroGrep\AstroGrep.exe" /spath="%USERPROFILE%\AppData\Local\Temp\OnboardLogs" /stypes="app*4031*20170212*" /stext=" 01:.+((SYSTEM_STATE.+slice.+state.+changed )|(ment ac)|(multiple cpu faults)|(system.+state.+changed )|(\[timeout)|(PRM\|1\|D)|(kpr)|(kdp)|(\|lc)|(penalty))" /e /r /s</v>
      </c>
      <c r="AG127" s="1" t="str">
        <f t="shared" si="75"/>
        <v>EC</v>
      </c>
      <c r="AH127" s="86" t="str">
        <f t="shared" si="55"/>
        <v>"%USERPROFILE%\Documents\GitHub\eaglep3\Utilities\RefineRTDCRunTimes.py" --tripid 215-11 --locoid 4031 --swversion DE.1.0.8.0 --startMP 204:462 --initTime 2017-02-11T17:56:06 --startdatetime 2017-02-11T18:00:13 --delay 1 --endMP 204:233299 --enddatetime 2017-02-11T18:36:25 --enforcementcount 1 &gt;&gt;C:\Users\stu\Documents\GitHub\eaglep3-reporting\EC\2017-02-11-refined-times.txt</v>
      </c>
      <c r="AI127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{"issue":{"subject":"","project_id":79,"tracker_id":40,"status_id":1,"priority_id":2,"assigned_to_id":23,"start_date":"2017-02-11","description":"","custom_fields":[{"id":1,"name":"Subdivision","value":"EC"},{"id":4,"name":"Milepost","value":"23.3299"},{"id":17,"name":"Train ID","value":"215-11"},{"id":16,"name":"Locomotive ID","value":"4031"},{"id":130,"name":"Impact","value":""},{"id":150,"name":"Time of Event (Mountain Time)","value":"18:36:25"},{"id":151,"name":"Denver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57"/>
        <v>start /low /b %USERPROFILE%\Documents\GitHub\eaglep3\Utilities\DownloadLogsFromS3.py --loco 4031 --day 2017-02-11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"%USERPROFILE%\AppData\Local\Temp\OnboardLogs"\RTDC4031\*4031*20170212* | grep -SE "(Enforcement Action)|(\[TIMEOUT)|(CHR.+\|PRM\|1\|D.+(SWITCH|SIGNAL).+UNKNOWN)" - &gt;&gt; 2017-02-11-UncaughtWiMAX.txt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693</v>
      </c>
      <c r="B128" s="7">
        <v>4032</v>
      </c>
      <c r="C128" s="21" t="s">
        <v>193</v>
      </c>
      <c r="D128" s="21" t="s">
        <v>303</v>
      </c>
      <c r="E128" s="13">
        <v>42777.786828703705</v>
      </c>
      <c r="F128" s="13">
        <v>42777.789039351854</v>
      </c>
      <c r="G128" s="7">
        <v>1</v>
      </c>
      <c r="H128" s="21" t="s">
        <v>198</v>
      </c>
      <c r="I128" s="13">
        <v>42777.814444444448</v>
      </c>
      <c r="J128" s="7">
        <v>1</v>
      </c>
      <c r="K128" s="98" t="str">
        <f t="shared" si="65"/>
        <v>4031/4032</v>
      </c>
      <c r="L128" s="21" t="str">
        <f>VLOOKUP(A128,'Trips&amp;Operators'!$C$1:$G$99999,5,FALSE)</f>
        <v>BRANNON JEFFREY</v>
      </c>
      <c r="M128" s="6">
        <f t="shared" si="66"/>
        <v>2.5405092594155576E-2</v>
      </c>
      <c r="N128" s="7">
        <f t="shared" si="62"/>
        <v>36.58333333558403</v>
      </c>
      <c r="O128" s="7"/>
      <c r="P128" s="7"/>
      <c r="Q128" s="22"/>
      <c r="R128" s="22"/>
      <c r="S128" s="31">
        <f t="shared" si="67"/>
        <v>1</v>
      </c>
      <c r="T128" s="46" t="str">
        <f t="shared" si="68"/>
        <v>Southbound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 t="shared" si="69"/>
        <v>https://d0f6bd738d7f1b3e5a7ca70fe4ff75f0.us-east-1.aws.found.io/app/kibana#/discover/Steve-Slow-Train-Analysis-(2080s-and-2083s)?_g=(refreshInterval:(display:Off,pause:!f,section:0,value:0),time:(from:'2017-02-11T17:53:02-0700',mode:absolute,to:'2017-02-11T20:32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8" s="188" t="str">
        <f t="shared" si="70"/>
        <v>N</v>
      </c>
      <c r="X128" s="188">
        <f t="shared" si="82"/>
        <v>1</v>
      </c>
      <c r="Y128" s="62">
        <f t="shared" si="80"/>
        <v>23.297699999999999</v>
      </c>
      <c r="Z128" s="62">
        <f t="shared" si="81"/>
        <v>1.4500000000000001E-2</v>
      </c>
      <c r="AA128" s="62">
        <f t="shared" si="71"/>
        <v>23.283199999999997</v>
      </c>
      <c r="AB128" s="59" t="e">
        <f>VLOOKUP(A128,Enforcements!$C$7:$K$14,8,0)</f>
        <v>#N/A</v>
      </c>
      <c r="AC128" s="55" t="e">
        <f>VLOOKUP(A128,Enforcements!$C$7:$E$14,3,0)</f>
        <v>#N/A</v>
      </c>
      <c r="AD128" s="56" t="str">
        <f t="shared" si="72"/>
        <v>0216-11</v>
      </c>
      <c r="AE128" s="85" t="str">
        <f t="shared" si="73"/>
        <v>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 &amp; 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</v>
      </c>
      <c r="AF128" s="82" t="str">
        <f t="shared" si="74"/>
        <v>"C:\Program Files (x86)\AstroGrep\AstroGrep.exe" /spath="%USERPROFILE%\AppData\Local\Temp\OnboardLogs" /stypes="app*4032*20170212*" /stext=" 02:.+((SYSTEM_STATE.+slice.+state.+changed )|(ment ac)|(multiple cpu faults)|(system.+state.+changed )|(\[timeout)|(PRM\|1\|D)|(kpr)|(kdp)|(\|lc)|(penalty))" /e /r /s</v>
      </c>
      <c r="AG128" s="1" t="str">
        <f t="shared" si="75"/>
        <v>EC</v>
      </c>
      <c r="AH128" s="86" t="str">
        <f t="shared" si="55"/>
        <v>"%USERPROFILE%\Documents\GitHub\eaglep3\Utilities\RefineRTDCRunTimes.py" --tripid 216-11 --locoid 4032 --swversion DE.1.0.8.0 --startMP 204:232977 --initTime 2017-02-11T18:53:02 --startdatetime 2017-02-11T18:56:13 --delay 1 --endMP 204:145 --enddatetime 2017-02-11T19:32:48 --enforcementcount 1 &gt;&gt;C:\Users\stu\Documents\GitHub\eaglep3-reporting\EC\2017-02-11-refined-times.txt</v>
      </c>
      <c r="AI128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{"issue":{"subject":"","project_id":79,"tracker_id":40,"status_id":1,"priority_id":2,"assigned_to_id":23,"start_date":"2017-02-11","description":"","custom_fields":[{"id":1,"name":"Subdivision","value":"EC"},{"id":4,"name":"Milepost","value":"0.0145"},{"id":17,"name":"Train ID","value":"216-11"},{"id":16,"name":"Locomotive ID","value":"4032"},{"id":130,"name":"Impact","value":""},{"id":150,"name":"Time of Event (Mountain Time)","value":"19:32:48"},{"id":151,"name":"Denver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57"/>
        <v>start /low /b %USERPROFILE%\Documents\GitHub\eaglep3\Utilities\DownloadLogsFromS3.py --loco 4032 --day 2017-02-11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"%USERPROFILE%\AppData\Local\Temp\OnboardLogs"\RTDC4032\*4032*20170212* | grep -SE "(Enforcement Action)|(\[TIMEOUT)|(CHR.+\|PRM\|1\|D.+(SWITCH|SIGNAL).+UNKNOWN)" - &gt;&gt; 2017-02-11-UncaughtWiMAX.txt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527</v>
      </c>
      <c r="B129" s="7">
        <v>4025</v>
      </c>
      <c r="C129" s="21" t="s">
        <v>193</v>
      </c>
      <c r="D129" s="21" t="s">
        <v>324</v>
      </c>
      <c r="E129" s="13">
        <v>42777.756782407407</v>
      </c>
      <c r="F129" s="13">
        <v>42777.760960648149</v>
      </c>
      <c r="G129" s="7">
        <v>1</v>
      </c>
      <c r="H129" s="21" t="s">
        <v>752</v>
      </c>
      <c r="I129" s="13">
        <v>42777.785451388889</v>
      </c>
      <c r="J129" s="7">
        <v>1</v>
      </c>
      <c r="K129" s="98" t="str">
        <f t="shared" si="65"/>
        <v>4025/4026</v>
      </c>
      <c r="L129" s="21" t="str">
        <f>VLOOKUP(A129,'Trips&amp;Operators'!$C$1:$G$99999,5,FALSE)</f>
        <v>STAMBAUGH JAMES</v>
      </c>
      <c r="M129" s="6">
        <f t="shared" si="66"/>
        <v>2.4490740739565808E-2</v>
      </c>
      <c r="N129" s="7">
        <f t="shared" si="62"/>
        <v>35.266666664974764</v>
      </c>
      <c r="O129" s="7"/>
      <c r="P129" s="7"/>
      <c r="Q129" s="22"/>
      <c r="R129" s="22"/>
      <c r="S129" s="31">
        <f t="shared" si="67"/>
        <v>1</v>
      </c>
      <c r="T129" s="46" t="str">
        <f t="shared" si="68"/>
        <v>NorthBound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 t="shared" si="69"/>
        <v>https://d0f6bd738d7f1b3e5a7ca70fe4ff75f0.us-east-1.aws.found.io/app/kibana#/discover/Steve-Slow-Train-Analysis-(2080s-and-2083s)?_g=(refreshInterval:(display:Off,pause:!f,section:0,value:0),time:(from:'2017-02-11T17:09:46-0700',mode:absolute,to:'2017-02-11T19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9" s="188" t="str">
        <f t="shared" si="70"/>
        <v>N</v>
      </c>
      <c r="X129" s="188">
        <f t="shared" si="82"/>
        <v>1</v>
      </c>
      <c r="Y129" s="62">
        <f t="shared" si="80"/>
        <v>4.6399999999999997E-2</v>
      </c>
      <c r="Z129" s="62">
        <f t="shared" si="81"/>
        <v>23.331399999999999</v>
      </c>
      <c r="AA129" s="62">
        <f t="shared" si="71"/>
        <v>23.285</v>
      </c>
      <c r="AB129" s="59" t="str">
        <f>VLOOKUP(A129,Enforcements!$C$7:$K$14,8,0)</f>
        <v>Speed (6)</v>
      </c>
      <c r="AC129" s="55" t="str">
        <f>VLOOKUP(A129,Enforcements!$C$7:$E$14,3,0)</f>
        <v>PERMANENT SPEED RESTRICTION</v>
      </c>
      <c r="AD129" s="56" t="str">
        <f t="shared" si="72"/>
        <v>0217-11</v>
      </c>
      <c r="AE129" s="85" t="str">
        <f t="shared" si="73"/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AF129" s="82" t="str">
        <f t="shared" si="74"/>
        <v>"C:\Program Files (x86)\AstroGrep\AstroGrep.exe" /spath="%USERPROFILE%\AppData\Local\Temp\OnboardLogs" /stypes="app*4025*20170212*" /stext=" 01:.+((SYSTEM_STATE.+slice.+state.+changed )|(ment ac)|(multiple cpu faults)|(system.+state.+changed )|(\[timeout)|(PRM\|1\|D)|(kpr)|(kdp)|(\|lc)|(penalty))" /e /r /s</v>
      </c>
      <c r="AG129" s="1" t="str">
        <f t="shared" si="75"/>
        <v>EC</v>
      </c>
      <c r="AH129" s="86" t="str">
        <f t="shared" si="55"/>
        <v>"%USERPROFILE%\Documents\GitHub\eaglep3\Utilities\RefineRTDCRunTimes.py" --tripid 217-11 --locoid 4025 --swversion DE.1.0.8.0 --startMP 204:464 --initTime 2017-02-11T18:09:46 --startdatetime 2017-02-11T18:15:47 --delay 1 --endMP 204:233314 --enddatetime 2017-02-11T18:51:03 --enforcementcount 1 &gt;&gt;C:\Users\stu\Documents\GitHub\eaglep3-reporting\EC\2017-02-11-refined-times.txt</v>
      </c>
      <c r="AI129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{"issue":{"subject":"","project_id":79,"tracker_id":40,"status_id":1,"priority_id":2,"assigned_to_id":23,"start_date":"2017-02-11","description":"","custom_fields":[{"id":1,"name":"Subdivision","value":"EC"},{"id":4,"name":"Milepost","value":"23.3314"},{"id":17,"name":"Train ID","value":"217-11"},{"id":16,"name":"Locomotive ID","value":"4025"},{"id":130,"name":"Impact","value":""},{"id":150,"name":"Time of Event (Mountain Time)","value":"18:51:03"},{"id":151,"name":"Denver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57"/>
        <v>start /low /b %USERPROFILE%\Documents\GitHub\eaglep3\Utilities\DownloadLogsFromS3.py --loco 4025 --day 2017-02-11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"%USERPROFILE%\AppData\Local\Temp\OnboardLogs"\RTDC4025\*4025*20170212* | grep -SE "(Enforcement Action)|(\[TIMEOUT)|(CHR.+\|PRM\|1\|D.+(SWITCH|SIGNAL).+UNKNOWN)" - &gt;&gt; 2017-02-11-UncaughtWiMAX.txt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695</v>
      </c>
      <c r="B130" s="7">
        <v>4026</v>
      </c>
      <c r="C130" s="21" t="s">
        <v>193</v>
      </c>
      <c r="D130" s="21" t="s">
        <v>362</v>
      </c>
      <c r="E130" s="13">
        <v>42777.791770833333</v>
      </c>
      <c r="F130" s="13">
        <v>42777.800034722219</v>
      </c>
      <c r="G130" s="7">
        <v>1</v>
      </c>
      <c r="H130" s="21" t="s">
        <v>198</v>
      </c>
      <c r="I130" s="13">
        <v>42777.825682870367</v>
      </c>
      <c r="J130" s="7">
        <v>1</v>
      </c>
      <c r="K130" s="98" t="str">
        <f t="shared" si="65"/>
        <v>4025/4026</v>
      </c>
      <c r="L130" s="21" t="str">
        <f>VLOOKUP(A130,'Trips&amp;Operators'!$C$1:$G$99999,5,FALSE)</f>
        <v>STAMBAUGH JAMES</v>
      </c>
      <c r="M130" s="6">
        <f t="shared" si="66"/>
        <v>2.5648148148320615E-2</v>
      </c>
      <c r="N130" s="7">
        <f t="shared" si="62"/>
        <v>36.933333333581686</v>
      </c>
      <c r="O130" s="7"/>
      <c r="P130" s="7"/>
      <c r="Q130" s="22"/>
      <c r="R130" s="22"/>
      <c r="S130" s="31">
        <f t="shared" si="67"/>
        <v>1</v>
      </c>
      <c r="T130" s="46" t="str">
        <f t="shared" si="68"/>
        <v>Southbound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7" t="str">
        <f t="shared" si="69"/>
        <v>https://d0f6bd738d7f1b3e5a7ca70fe4ff75f0.us-east-1.aws.found.io/app/kibana#/discover/Steve-Slow-Train-Analysis-(2080s-and-2083s)?_g=(refreshInterval:(display:Off,pause:!f,section:0,value:0),time:(from:'2017-02-11T18:00:09-0700',mode:absolute,to:'2017-02-11T20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0" s="188" t="str">
        <f t="shared" si="70"/>
        <v>N</v>
      </c>
      <c r="X130" s="188">
        <f t="shared" si="82"/>
        <v>1</v>
      </c>
      <c r="Y130" s="62">
        <f t="shared" si="80"/>
        <v>23.3017</v>
      </c>
      <c r="Z130" s="62">
        <f t="shared" si="81"/>
        <v>1.4500000000000001E-2</v>
      </c>
      <c r="AA130" s="62">
        <f t="shared" si="71"/>
        <v>23.287199999999999</v>
      </c>
      <c r="AB130" s="59" t="e">
        <f>VLOOKUP(A130,Enforcements!$C$7:$K$14,8,0)</f>
        <v>#N/A</v>
      </c>
      <c r="AC130" s="55" t="e">
        <f>VLOOKUP(A130,Enforcements!$C$7:$E$14,3,0)</f>
        <v>#N/A</v>
      </c>
      <c r="AD130" s="56" t="str">
        <f t="shared" si="72"/>
        <v>0218-11</v>
      </c>
      <c r="AE130" s="85" t="str">
        <f t="shared" si="73"/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AF130" s="82" t="str">
        <f t="shared" si="74"/>
        <v>"C:\Program Files (x86)\AstroGrep\AstroGrep.exe" /spath="%USERPROFILE%\AppData\Local\Temp\OnboardLogs" /stypes="app*4026*20170212*" /stext=" 02:.+((SYSTEM_STATE.+slice.+state.+changed )|(ment ac)|(multiple cpu faults)|(system.+state.+changed )|(\[timeout)|(PRM\|1\|D)|(kpr)|(kdp)|(\|lc)|(penalty))" /e /r /s</v>
      </c>
      <c r="AG130" s="1" t="str">
        <f t="shared" si="75"/>
        <v>EC</v>
      </c>
      <c r="AH130" s="86" t="str">
        <f t="shared" si="55"/>
        <v>"%USERPROFILE%\Documents\GitHub\eaglep3\Utilities\RefineRTDCRunTimes.py" --tripid 218-11 --locoid 4026 --swversion DE.1.0.8.0 --startMP 204:233017 --initTime 2017-02-11T19:00:09 --startdatetime 2017-02-11T19:12:03 --delay 1 --endMP 204:145 --enddatetime 2017-02-11T19:48:59 --enforcementcount 1 &gt;&gt;C:\Users\stu\Documents\GitHub\eaglep3-reporting\EC\2017-02-11-refined-times.txt</v>
      </c>
      <c r="AI130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{"issue":{"subject":"","project_id":79,"tracker_id":40,"status_id":1,"priority_id":2,"assigned_to_id":23,"start_date":"2017-02-11","description":"","custom_fields":[{"id":1,"name":"Subdivision","value":"EC"},{"id":4,"name":"Milepost","value":"0.0145"},{"id":17,"name":"Train ID","value":"218-11"},{"id":16,"name":"Locomotive ID","value":"4026"},{"id":130,"name":"Impact","value":""},{"id":150,"name":"Time of Event (Mountain Time)","value":"19:48:59"},{"id":151,"name":"Denver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57"/>
        <v>start /low /b %USERPROFILE%\Documents\GitHub\eaglep3\Utilities\DownloadLogsFromS3.py --loco 4026 --day 2017-02-11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"%USERPROFILE%\AppData\Local\Temp\OnboardLogs"\RTDC4026\*4026*20170212* | grep -SE "(Enforcement Action)|(\[TIMEOUT)|(CHR.+\|PRM\|1\|D.+(SWITCH|SIGNAL).+UNKNOWN)" - &gt;&gt; 2017-02-11-UncaughtWiMAX.txt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689</v>
      </c>
      <c r="B131" s="7">
        <v>4011</v>
      </c>
      <c r="C131" s="21" t="s">
        <v>193</v>
      </c>
      <c r="D131" s="21" t="s">
        <v>844</v>
      </c>
      <c r="E131" s="13">
        <v>42777.765381944446</v>
      </c>
      <c r="F131" s="13">
        <v>42777.771238425928</v>
      </c>
      <c r="G131" s="7">
        <v>1</v>
      </c>
      <c r="H131" s="21" t="s">
        <v>219</v>
      </c>
      <c r="I131" s="13">
        <v>42777.796817129631</v>
      </c>
      <c r="J131" s="7">
        <v>1</v>
      </c>
      <c r="K131" s="98" t="str">
        <f t="shared" si="65"/>
        <v>4011/4012</v>
      </c>
      <c r="L131" s="21" t="str">
        <f>VLOOKUP(A131,'Trips&amp;Operators'!$C$1:$G$99999,5,FALSE)</f>
        <v>PERKINS DARREN</v>
      </c>
      <c r="M131" s="6">
        <f t="shared" si="66"/>
        <v>2.5578703702194616E-2</v>
      </c>
      <c r="N131" s="7">
        <f t="shared" si="62"/>
        <v>36.833333331160247</v>
      </c>
      <c r="O131" s="7"/>
      <c r="P131" s="7"/>
      <c r="Q131" s="22"/>
      <c r="R131" s="22"/>
      <c r="S131" s="31">
        <f t="shared" si="67"/>
        <v>1</v>
      </c>
      <c r="T131" s="46" t="str">
        <f t="shared" si="68"/>
        <v>NorthBound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 t="shared" si="69"/>
        <v>https://d0f6bd738d7f1b3e5a7ca70fe4ff75f0.us-east-1.aws.found.io/app/kibana#/discover/Steve-Slow-Train-Analysis-(2080s-and-2083s)?_g=(refreshInterval:(display:Off,pause:!f,section:0,value:0),time:(from:'2017-02-11T17:22:09-0700',mode:absolute,to:'2017-02-11T20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1" s="188" t="str">
        <f t="shared" si="70"/>
        <v>N</v>
      </c>
      <c r="X131" s="188">
        <f t="shared" si="82"/>
        <v>1</v>
      </c>
      <c r="Y131" s="62">
        <f t="shared" si="80"/>
        <v>5.0900000000000001E-2</v>
      </c>
      <c r="Z131" s="62">
        <f t="shared" si="81"/>
        <v>23.329899999999999</v>
      </c>
      <c r="AA131" s="62">
        <f t="shared" si="71"/>
        <v>23.279</v>
      </c>
      <c r="AB131" s="59" t="e">
        <f>VLOOKUP(A131,Enforcements!$C$7:$K$14,8,0)</f>
        <v>#N/A</v>
      </c>
      <c r="AC131" s="55" t="e">
        <f>VLOOKUP(A131,Enforcements!$C$7:$E$14,3,0)</f>
        <v>#N/A</v>
      </c>
      <c r="AD131" s="56" t="str">
        <f t="shared" si="72"/>
        <v>0219-11</v>
      </c>
      <c r="AE131" s="85" t="str">
        <f t="shared" si="73"/>
        <v>aws s3 cp s3://rtdc.mdm.uploadarchive.raw/RTDC4011/ "%USERPROFILE%\AppData\Local\Temp\OnboardLogs"\RTDC4011\2017-02-11 --exclude "*" --recursive --include "*20170211*" &amp; "%USERPROFILE%\Documents\GitHub\mrs-test-scripts\Headless Mode &amp; Sideloading\WalkAndUnGZ.bat" "%USERPROFILE%\AppData\Local\Temp\OnboardLogs"\RTDC4011\2017-02-11 &amp; 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</v>
      </c>
      <c r="AF131" s="82" t="str">
        <f t="shared" si="74"/>
        <v>"C:\Program Files (x86)\AstroGrep\AstroGrep.exe" /spath="%USERPROFILE%\AppData\Local\Temp\OnboardLogs" /stypes="app*4011*20170212*" /stext=" 02:.+((SYSTEM_STATE.+slice.+state.+changed )|(ment ac)|(multiple cpu faults)|(system.+state.+changed )|(\[timeout)|(PRM\|1\|D)|(kpr)|(kdp)|(\|lc)|(penalty))" /e /r /s</v>
      </c>
      <c r="AG131" s="1" t="str">
        <f t="shared" si="75"/>
        <v>EC</v>
      </c>
      <c r="AH131" s="86" t="str">
        <f t="shared" si="55"/>
        <v>"%USERPROFILE%\Documents\GitHub\eaglep3\Utilities\RefineRTDCRunTimes.py" --tripid 219-11 --locoid 4011 --swversion DE.1.0.8.0 --startMP 204:509 --initTime 2017-02-11T18:22:09 --startdatetime 2017-02-11T18:30:35 --delay 1 --endMP 204:233299 --enddatetime 2017-02-11T19:07:25 --enforcementcount 1 &gt;&gt;C:\Users\stu\Documents\GitHub\eaglep3-reporting\EC\2017-02-11-refined-times.txt</v>
      </c>
      <c r="AI131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{"issue":{"subject":"","project_id":79,"tracker_id":40,"status_id":1,"priority_id":2,"assigned_to_id":23,"start_date":"2017-02-11","description":"","custom_fields":[{"id":1,"name":"Subdivision","value":"EC"},{"id":4,"name":"Milepost","value":"23.3299"},{"id":17,"name":"Train ID","value":"219-11"},{"id":16,"name":"Locomotive ID","value":"4011"},{"id":130,"name":"Impact","value":""},{"id":150,"name":"Time of Event (Mountain Time)","value":"19:07:25"},{"id":151,"name":"Denver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57"/>
        <v>start /low /b %USERPROFILE%\Documents\GitHub\eaglep3\Utilities\DownloadLogsFromS3.py --loco 4011 --day 2017-02-11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"%USERPROFILE%\AppData\Local\Temp\OnboardLogs"\RTDC4011\*4011*20170212* | grep -SE "(Enforcement Action)|(\[TIMEOUT)|(CHR.+\|PRM\|1\|D.+(SWITCH|SIGNAL).+UNKNOWN)" - &gt;&gt; 2017-02-11-UncaughtWiMAX.txt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697</v>
      </c>
      <c r="B132" s="7">
        <v>4012</v>
      </c>
      <c r="C132" s="21" t="s">
        <v>193</v>
      </c>
      <c r="D132" s="21" t="s">
        <v>439</v>
      </c>
      <c r="E132" s="13">
        <v>42777.803298611114</v>
      </c>
      <c r="F132" s="13">
        <v>42777.809907407405</v>
      </c>
      <c r="G132" s="7">
        <v>1</v>
      </c>
      <c r="H132" s="21" t="s">
        <v>483</v>
      </c>
      <c r="I132" s="13">
        <v>42777.836319444446</v>
      </c>
      <c r="J132" s="7">
        <v>1</v>
      </c>
      <c r="K132" s="98" t="str">
        <f t="shared" si="65"/>
        <v>4011/4012</v>
      </c>
      <c r="L132" s="21" t="str">
        <f>VLOOKUP(A132,'Trips&amp;Operators'!$C$1:$G$99999,5,FALSE)</f>
        <v>PERKINS DARREN</v>
      </c>
      <c r="M132" s="6">
        <f t="shared" si="66"/>
        <v>2.641203704115469E-2</v>
      </c>
      <c r="N132" s="7">
        <f t="shared" si="62"/>
        <v>38.033333339262754</v>
      </c>
      <c r="O132" s="7"/>
      <c r="P132" s="7"/>
      <c r="Q132" s="22"/>
      <c r="R132" s="22"/>
      <c r="S132" s="31">
        <f t="shared" si="67"/>
        <v>1</v>
      </c>
      <c r="T132" s="46" t="str">
        <f t="shared" si="68"/>
        <v>Southbound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 t="shared" si="69"/>
        <v>https://d0f6bd738d7f1b3e5a7ca70fe4ff75f0.us-east-1.aws.found.io/app/kibana#/discover/Steve-Slow-Train-Analysis-(2080s-and-2083s)?_g=(refreshInterval:(display:Off,pause:!f,section:0,value:0),time:(from:'2017-02-11T18:16:45-0700',mode:absolute,to:'2017-02-11T21:04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2" s="188" t="str">
        <f t="shared" si="70"/>
        <v>N</v>
      </c>
      <c r="X132" s="188">
        <f t="shared" si="82"/>
        <v>1</v>
      </c>
      <c r="Y132" s="62">
        <f t="shared" si="80"/>
        <v>23.297499999999999</v>
      </c>
      <c r="Z132" s="62">
        <f t="shared" si="81"/>
        <v>1.3599999999999999E-2</v>
      </c>
      <c r="AA132" s="62">
        <f t="shared" si="71"/>
        <v>23.283899999999999</v>
      </c>
      <c r="AB132" s="59" t="e">
        <f>VLOOKUP(A132,Enforcements!$C$7:$K$14,8,0)</f>
        <v>#N/A</v>
      </c>
      <c r="AC132" s="55" t="e">
        <f>VLOOKUP(A132,Enforcements!$C$7:$E$14,3,0)</f>
        <v>#N/A</v>
      </c>
      <c r="AD132" s="56" t="str">
        <f t="shared" si="72"/>
        <v>0220-11</v>
      </c>
      <c r="AE132" s="85" t="str">
        <f t="shared" si="73"/>
        <v>aws s3 cp s3://rtdc.mdm.uploadarchive.raw/RTDC4012/ "%USERPROFILE%\AppData\Local\Temp\OnboardLogs"\RTDC4012\2017-02-11 --exclude "*" --recursive --include "*20170211*" &amp; "%USERPROFILE%\Documents\GitHub\mrs-test-scripts\Headless Mode &amp; Sideloading\WalkAndUnGZ.bat" "%USERPROFILE%\AppData\Local\Temp\OnboardLogs"\RTDC4012\2017-02-11 &amp; aws s3 cp s3://rtdc.mdm.uploadarchive.raw/RTDC4012/ "%USERPROFILE%\AppData\Local\Temp\OnboardLogs"\RTDC4012\2017-02-12 --exclude "*" --recursive --include "*20170212*" &amp; "%USERPROFILE%\Documents\GitHub\mrs-test-scripts\Headless Mode &amp; Sideloading\WalkAndUnGZ.bat" "%USERPROFILE%\AppData\Local\Temp\OnboardLogs"\RTDC4012\2017-02-12</v>
      </c>
      <c r="AF132" s="82" t="str">
        <f t="shared" si="74"/>
        <v>"C:\Program Files (x86)\AstroGrep\AstroGrep.exe" /spath="%USERPROFILE%\AppData\Local\Temp\OnboardLogs" /stypes="app*4012*20170212*" /stext=" 03:.+((SYSTEM_STATE.+slice.+state.+changed )|(ment ac)|(multiple cpu faults)|(system.+state.+changed )|(\[timeout)|(PRM\|1\|D)|(kpr)|(kdp)|(\|lc)|(penalty))" /e /r /s</v>
      </c>
      <c r="AG132" s="1" t="str">
        <f t="shared" si="75"/>
        <v>EC</v>
      </c>
      <c r="AH132" s="86" t="str">
        <f t="shared" si="55"/>
        <v>"%USERPROFILE%\Documents\GitHub\eaglep3\Utilities\RefineRTDCRunTimes.py" --tripid 220-11 --locoid 4012 --swversion DE.1.0.8.0 --startMP 204:232975 --initTime 2017-02-11T19:16:45 --startdatetime 2017-02-11T19:26:16 --delay 1 --endMP 204:136 --enddatetime 2017-02-11T20:04:18 --enforcementcount 1 &gt;&gt;C:\Users\stu\Documents\GitHub\eaglep3-reporting\EC\2017-02-11-refined-times.txt</v>
      </c>
      <c r="AI132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{"issue":{"subject":"","project_id":79,"tracker_id":40,"status_id":1,"priority_id":2,"assigned_to_id":23,"start_date":"2017-02-11","description":"","custom_fields":[{"id":1,"name":"Subdivision","value":"EC"},{"id":4,"name":"Milepost","value":"0.0136"},{"id":17,"name":"Train ID","value":"220-11"},{"id":16,"name":"Locomotive ID","value":"4012"},{"id":130,"name":"Impact","value":""},{"id":150,"name":"Time of Event (Mountain Time)","value":"20:04:18"},{"id":151,"name":"Denver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57"/>
        <v>start /low /b %USERPROFILE%\Documents\GitHub\eaglep3\Utilities\DownloadLogsFromS3.py --loco 4012 --day 2017-02-11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"%USERPROFILE%\AppData\Local\Temp\OnboardLogs"\RTDC4012\*4012*20170212* | grep -SE "(Enforcement Action)|(\[TIMEOUT)|(CHR.+\|PRM\|1\|D.+(SWITCH|SIGNAL).+UNKNOWN)" - &gt;&gt; 2017-02-11-UncaughtWiMAX.txt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694</v>
      </c>
      <c r="B133" s="7">
        <v>4020</v>
      </c>
      <c r="C133" s="21" t="s">
        <v>193</v>
      </c>
      <c r="D133" s="21" t="s">
        <v>845</v>
      </c>
      <c r="E133" s="13">
        <v>42777.789409722223</v>
      </c>
      <c r="F133" s="13">
        <v>42777.792048611111</v>
      </c>
      <c r="G133" s="7">
        <v>2</v>
      </c>
      <c r="H133" s="21" t="s">
        <v>846</v>
      </c>
      <c r="I133" s="13">
        <v>42777.816979166666</v>
      </c>
      <c r="J133" s="7">
        <v>1</v>
      </c>
      <c r="K133" s="98" t="str">
        <f t="shared" si="65"/>
        <v>4019/4020</v>
      </c>
      <c r="L133" s="21" t="str">
        <f>VLOOKUP(A133,'Trips&amp;Operators'!$C$1:$G$99999,5,FALSE)</f>
        <v>BROWN JACOB</v>
      </c>
      <c r="M133" s="6">
        <f t="shared" si="66"/>
        <v>2.4930555555329192E-2</v>
      </c>
      <c r="N133" s="7">
        <f t="shared" si="62"/>
        <v>35.899999999674037</v>
      </c>
      <c r="O133" s="7"/>
      <c r="P133" s="7"/>
      <c r="Q133" s="22"/>
      <c r="R133" s="22"/>
      <c r="S133" s="31">
        <f t="shared" si="67"/>
        <v>1</v>
      </c>
      <c r="T133" s="46" t="str">
        <f t="shared" si="68"/>
        <v>NorthBound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 t="shared" si="69"/>
        <v>https://d0f6bd738d7f1b3e5a7ca70fe4ff75f0.us-east-1.aws.found.io/app/kibana#/discover/Steve-Slow-Train-Analysis-(2080s-and-2083s)?_g=(refreshInterval:(display:Off,pause:!f,section:0,value:0),time:(from:'2017-02-11T17:56:45-0700',mode:absolute,to:'2017-02-11T20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3" s="188" t="str">
        <f t="shared" si="70"/>
        <v>N</v>
      </c>
      <c r="X133" s="188">
        <f t="shared" si="82"/>
        <v>1</v>
      </c>
      <c r="Y133" s="62">
        <f t="shared" si="80"/>
        <v>4.2599999999999999E-2</v>
      </c>
      <c r="Z133" s="62">
        <f t="shared" si="81"/>
        <v>23.333400000000001</v>
      </c>
      <c r="AA133" s="62">
        <f t="shared" si="71"/>
        <v>23.290800000000001</v>
      </c>
      <c r="AB133" s="59" t="e">
        <f>VLOOKUP(A133,Enforcements!$C$7:$K$14,8,0)</f>
        <v>#N/A</v>
      </c>
      <c r="AC133" s="55" t="e">
        <f>VLOOKUP(A133,Enforcements!$C$7:$E$14,3,0)</f>
        <v>#N/A</v>
      </c>
      <c r="AD133" s="56" t="str">
        <f t="shared" si="72"/>
        <v>0221-11</v>
      </c>
      <c r="AE133" s="85" t="str">
        <f t="shared" si="73"/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AF133" s="82" t="str">
        <f t="shared" si="74"/>
        <v>"C:\Program Files (x86)\AstroGrep\AstroGrep.exe" /spath="%USERPROFILE%\AppData\Local\Temp\OnboardLogs" /stypes="app*4020*20170212*" /stext=" 02:.+((SYSTEM_STATE.+slice.+state.+changed )|(ment ac)|(multiple cpu faults)|(system.+state.+changed )|(\[timeout)|(PRM\|1\|D)|(kpr)|(kdp)|(\|lc)|(penalty))" /e /r /s</v>
      </c>
      <c r="AG133" s="1" t="str">
        <f t="shared" si="75"/>
        <v>EC</v>
      </c>
      <c r="AH133" s="86" t="str">
        <f t="shared" si="55"/>
        <v>"%USERPROFILE%\Documents\GitHub\eaglep3\Utilities\RefineRTDCRunTimes.py" --tripid 221-11 --locoid 4020 --swversion DE.1.0.8.0 --startMP 204:426 --initTime 2017-02-11T18:56:45 --startdatetime 2017-02-11T19:00:33 --delay 2 --endMP 204:233334 --enddatetime 2017-02-11T19:36:27 --enforcementcount 1 &gt;&gt;C:\Users\stu\Documents\GitHub\eaglep3-reporting\EC\2017-02-11-refined-times.txt</v>
      </c>
      <c r="AI133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{"issue":{"subject":"","project_id":79,"tracker_id":40,"status_id":1,"priority_id":2,"assigned_to_id":23,"start_date":"2017-02-11","description":"","custom_fields":[{"id":1,"name":"Subdivision","value":"EC"},{"id":4,"name":"Milepost","value":"23.3334"},{"id":17,"name":"Train ID","value":"221-11"},{"id":16,"name":"Locomotive ID","value":"4020"},{"id":130,"name":"Impact","value":""},{"id":150,"name":"Time of Event (Mountain Time)","value":"19:36:27"},{"id":151,"name":"Denver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57"/>
        <v>start /low /b %USERPROFILE%\Documents\GitHub\eaglep3\Utilities\DownloadLogsFromS3.py --loco 4020 --day 2017-02-11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"%USERPROFILE%\AppData\Local\Temp\OnboardLogs"\RTDC4020\*4020*20170212* | grep -SE "(Enforcement Action)|(\[TIMEOUT)|(CHR.+\|PRM\|1\|D.+(SWITCH|SIGNAL).+UNKNOWN)" - &gt;&gt; 2017-02-11-UncaughtWiMAX.txt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529</v>
      </c>
      <c r="B134" s="7">
        <v>4019</v>
      </c>
      <c r="C134" s="21" t="s">
        <v>193</v>
      </c>
      <c r="D134" s="21" t="s">
        <v>759</v>
      </c>
      <c r="E134" s="13">
        <v>42777.826365740744</v>
      </c>
      <c r="F134" s="13">
        <v>42777.830775462964</v>
      </c>
      <c r="G134" s="7">
        <v>2</v>
      </c>
      <c r="H134" s="21" t="s">
        <v>184</v>
      </c>
      <c r="I134" s="13">
        <v>42777.857291666667</v>
      </c>
      <c r="J134" s="7">
        <v>1</v>
      </c>
      <c r="K134" s="98" t="str">
        <f t="shared" si="65"/>
        <v>4019/4020</v>
      </c>
      <c r="L134" s="21" t="str">
        <f>VLOOKUP(A134,'Trips&amp;Operators'!$C$1:$G$99999,5,FALSE)</f>
        <v>BROWN JACOB</v>
      </c>
      <c r="M134" s="6">
        <f t="shared" si="66"/>
        <v>2.6516203703067731E-2</v>
      </c>
      <c r="N134" s="7">
        <f t="shared" si="62"/>
        <v>38.183333332417533</v>
      </c>
      <c r="O134" s="7"/>
      <c r="P134" s="7"/>
      <c r="Q134" s="22"/>
      <c r="R134" s="22"/>
      <c r="S134" s="31">
        <f t="shared" si="67"/>
        <v>1</v>
      </c>
      <c r="T134" s="46" t="str">
        <f t="shared" si="68"/>
        <v>Southbound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 t="shared" si="69"/>
        <v>https://d0f6bd738d7f1b3e5a7ca70fe4ff75f0.us-east-1.aws.found.io/app/kibana#/discover/Steve-Slow-Train-Analysis-(2080s-and-2083s)?_g=(refreshInterval:(display:Off,pause:!f,section:0,value:0),time:(from:'2017-02-11T18:49:58-0700',mode:absolute,to:'2017-02-11T21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4" s="188" t="str">
        <f t="shared" si="70"/>
        <v>N</v>
      </c>
      <c r="X134" s="188">
        <f t="shared" si="82"/>
        <v>1</v>
      </c>
      <c r="Y134" s="62">
        <f t="shared" si="80"/>
        <v>23.300799999999999</v>
      </c>
      <c r="Z134" s="62">
        <f t="shared" si="81"/>
        <v>1.49E-2</v>
      </c>
      <c r="AA134" s="62">
        <f t="shared" si="71"/>
        <v>23.285899999999998</v>
      </c>
      <c r="AB134" s="59" t="e">
        <f>VLOOKUP(A134,Enforcements!$C$7:$K$14,8,0)</f>
        <v>#N/A</v>
      </c>
      <c r="AC134" s="55" t="e">
        <f>VLOOKUP(A134,Enforcements!$C$7:$E$14,3,0)</f>
        <v>#N/A</v>
      </c>
      <c r="AD134" s="56" t="str">
        <f t="shared" si="72"/>
        <v>0222-11</v>
      </c>
      <c r="AE134" s="85" t="str">
        <f t="shared" si="73"/>
        <v>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 &amp; 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</v>
      </c>
      <c r="AF134" s="82" t="str">
        <f t="shared" si="74"/>
        <v>"C:\Program Files (x86)\AstroGrep\AstroGrep.exe" /spath="%USERPROFILE%\AppData\Local\Temp\OnboardLogs" /stypes="app*4019*20170212*" /stext=" 03:.+((SYSTEM_STATE.+slice.+state.+changed )|(ment ac)|(multiple cpu faults)|(system.+state.+changed )|(\[timeout)|(PRM\|1\|D)|(kpr)|(kdp)|(\|lc)|(penalty))" /e /r /s</v>
      </c>
      <c r="AG134" s="1" t="str">
        <f t="shared" si="75"/>
        <v>EC</v>
      </c>
      <c r="AH134" s="86" t="str">
        <f t="shared" si="55"/>
        <v>"%USERPROFILE%\Documents\GitHub\eaglep3\Utilities\RefineRTDCRunTimes.py" --tripid 222-11 --locoid 4019 --swversion DE.1.0.8.0 --startMP 204:233008 --initTime 2017-02-11T19:49:58 --startdatetime 2017-02-11T19:56:19 --delay 2 --endMP 204:149 --enddatetime 2017-02-11T20:34:30 --enforcementcount 1 &gt;&gt;C:\Users\stu\Documents\GitHub\eaglep3-reporting\EC\2017-02-11-refined-times.txt</v>
      </c>
      <c r="AI134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{"issue":{"subject":"","project_id":79,"tracker_id":40,"status_id":1,"priority_id":2,"assigned_to_id":23,"start_date":"2017-02-11","description":"","custom_fields":[{"id":1,"name":"Subdivision","value":"EC"},{"id":4,"name":"Milepost","value":"0.0149"},{"id":17,"name":"Train ID","value":"222-11"},{"id":16,"name":"Locomotive ID","value":"4019"},{"id":130,"name":"Impact","value":""},{"id":150,"name":"Time of Event (Mountain Time)","value":"20:34:30"},{"id":151,"name":"Denver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57"/>
        <v>start /low /b %USERPROFILE%\Documents\GitHub\eaglep3\Utilities\DownloadLogsFromS3.py --loco 4019 --day 2017-02-11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"%USERPROFILE%\AppData\Local\Temp\OnboardLogs"\RTDC4019\*4019*20170212* | grep -SE "(Enforcement Action)|(\[TIMEOUT)|(CHR.+\|PRM\|1\|D.+(SWITCH|SIGNAL).+UNKNOWN)" - &gt;&gt; 2017-02-11-UncaughtWiMAX.txt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699</v>
      </c>
      <c r="B135" s="7">
        <v>4044</v>
      </c>
      <c r="C135" s="21" t="s">
        <v>193</v>
      </c>
      <c r="D135" s="21" t="s">
        <v>281</v>
      </c>
      <c r="E135" s="13">
        <v>42777.807893518519</v>
      </c>
      <c r="F135" s="13">
        <v>42777.812685185185</v>
      </c>
      <c r="G135" s="7">
        <v>1</v>
      </c>
      <c r="H135" s="21" t="s">
        <v>335</v>
      </c>
      <c r="I135" s="13">
        <v>42777.837569444448</v>
      </c>
      <c r="J135" s="7">
        <v>1</v>
      </c>
      <c r="K135" s="98" t="str">
        <f t="shared" si="65"/>
        <v>4043/4044</v>
      </c>
      <c r="L135" s="21" t="str">
        <f>VLOOKUP(A135,'Trips&amp;Operators'!$C$1:$G$99999,5,FALSE)</f>
        <v>SMITH MICHAEL</v>
      </c>
      <c r="M135" s="6">
        <f t="shared" si="66"/>
        <v>2.4884259262762498E-2</v>
      </c>
      <c r="N135" s="7">
        <f t="shared" si="62"/>
        <v>35.833333338377997</v>
      </c>
      <c r="O135" s="7"/>
      <c r="P135" s="7"/>
      <c r="Q135" s="22"/>
      <c r="R135" s="22"/>
      <c r="S135" s="31">
        <f t="shared" si="67"/>
        <v>1</v>
      </c>
      <c r="T135" s="46" t="str">
        <f t="shared" si="68"/>
        <v>NorthBound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 t="shared" si="69"/>
        <v>https://d0f6bd738d7f1b3e5a7ca70fe4ff75f0.us-east-1.aws.found.io/app/kibana#/discover/Steve-Slow-Train-Analysis-(2080s-and-2083s)?_g=(refreshInterval:(display:Off,pause:!f,section:0,value:0),time:(from:'2017-02-11T18:23:22-0700',mode:absolute,to:'2017-02-11T21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5" s="188" t="str">
        <f t="shared" si="70"/>
        <v>N</v>
      </c>
      <c r="X135" s="188">
        <f t="shared" si="82"/>
        <v>1</v>
      </c>
      <c r="Y135" s="62">
        <f t="shared" si="80"/>
        <v>4.5499999999999999E-2</v>
      </c>
      <c r="Z135" s="62">
        <f t="shared" si="81"/>
        <v>23.329499999999999</v>
      </c>
      <c r="AA135" s="62">
        <f t="shared" si="71"/>
        <v>23.283999999999999</v>
      </c>
      <c r="AB135" s="59" t="e">
        <f>VLOOKUP(A135,Enforcements!$C$7:$K$14,8,0)</f>
        <v>#N/A</v>
      </c>
      <c r="AC135" s="55" t="e">
        <f>VLOOKUP(A135,Enforcements!$C$7:$E$14,3,0)</f>
        <v>#N/A</v>
      </c>
      <c r="AD135" s="56" t="str">
        <f t="shared" si="72"/>
        <v>0223-11</v>
      </c>
      <c r="AE135" s="85" t="str">
        <f t="shared" si="73"/>
        <v>aws s3 cp s3://rtdc.mdm.uploadarchive.raw/RTDC4044/ "%USERPROFILE%\AppData\Local\Temp\OnboardLogs"\RTDC4044\2017-02-11 --exclude "*" --recursive --include "*20170211*" &amp; "%USERPROFILE%\Documents\GitHub\mrs-test-scripts\Headless Mode &amp; Sideloading\WalkAndUnGZ.bat" "%USERPROFILE%\AppData\Local\Temp\OnboardLogs"\RTDC4044\2017-02-11 &amp; aws s3 cp s3://rtdc.mdm.uploadarchive.raw/RTDC4044/ "%USERPROFILE%\AppData\Local\Temp\OnboardLogs"\RTDC4044\2017-02-12 --exclude "*" --recursive --include "*20170212*" &amp; "%USERPROFILE%\Documents\GitHub\mrs-test-scripts\Headless Mode &amp; Sideloading\WalkAndUnGZ.bat" "%USERPROFILE%\AppData\Local\Temp\OnboardLogs"\RTDC4044\2017-02-12</v>
      </c>
      <c r="AF135" s="82" t="str">
        <f t="shared" si="74"/>
        <v>"C:\Program Files (x86)\AstroGrep\AstroGrep.exe" /spath="%USERPROFILE%\AppData\Local\Temp\OnboardLogs" /stypes="app*4044*20170212*" /stext=" 03:.+((SYSTEM_STATE.+slice.+state.+changed )|(ment ac)|(multiple cpu faults)|(system.+state.+changed )|(\[timeout)|(PRM\|1\|D)|(kpr)|(kdp)|(\|lc)|(penalty))" /e /r /s</v>
      </c>
      <c r="AG135" s="1" t="str">
        <f t="shared" si="75"/>
        <v>EC</v>
      </c>
      <c r="AH135" s="86" t="str">
        <f t="shared" si="55"/>
        <v>"%USERPROFILE%\Documents\GitHub\eaglep3\Utilities\RefineRTDCRunTimes.py" --tripid 223-11 --locoid 4044 --swversion DE.1.0.8.0 --startMP 204:455 --initTime 2017-02-11T19:23:22 --startdatetime 2017-02-11T19:30:16 --delay 1 --endMP 204:233295 --enddatetime 2017-02-11T20:06:06 --enforcementcount 1 &gt;&gt;C:\Users\stu\Documents\GitHub\eaglep3-reporting\EC\2017-02-11-refined-times.txt</v>
      </c>
      <c r="AI135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{"issue":{"subject":"","project_id":79,"tracker_id":40,"status_id":1,"priority_id":2,"assigned_to_id":23,"start_date":"2017-02-11","description":"","custom_fields":[{"id":1,"name":"Subdivision","value":"EC"},{"id":4,"name":"Milepost","value":"23.3295"},{"id":17,"name":"Train ID","value":"223-11"},{"id":16,"name":"Locomotive ID","value":"4044"},{"id":130,"name":"Impact","value":""},{"id":150,"name":"Time of Event (Mountain Time)","value":"20:06:06"},{"id":151,"name":"Denver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57"/>
        <v>start /low /b %USERPROFILE%\Documents\GitHub\eaglep3\Utilities\DownloadLogsFromS3.py --loco 4044 --day 2017-02-11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"%USERPROFILE%\AppData\Local\Temp\OnboardLogs"\RTDC4044\*4044*20170212* | grep -SE "(Enforcement Action)|(\[TIMEOUT)|(CHR.+\|PRM\|1\|D.+(SWITCH|SIGNAL).+UNKNOWN)" - &gt;&gt; 2017-02-11-UncaughtWiMAX.txt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703</v>
      </c>
      <c r="B136" s="7">
        <v>4043</v>
      </c>
      <c r="C136" s="21" t="s">
        <v>193</v>
      </c>
      <c r="D136" s="21" t="s">
        <v>278</v>
      </c>
      <c r="E136" s="13">
        <v>42777.843171296299</v>
      </c>
      <c r="F136" s="13">
        <v>42777.851597222223</v>
      </c>
      <c r="G136" s="7">
        <v>1</v>
      </c>
      <c r="H136" s="21" t="s">
        <v>334</v>
      </c>
      <c r="I136" s="13">
        <v>42777.877928240741</v>
      </c>
      <c r="J136" s="7">
        <v>1</v>
      </c>
      <c r="K136" s="98" t="str">
        <f t="shared" si="65"/>
        <v>4043/4044</v>
      </c>
      <c r="L136" s="21" t="str">
        <f>VLOOKUP(A136,'Trips&amp;Operators'!$C$1:$G$99999,5,FALSE)</f>
        <v>SMITH MICHAEL</v>
      </c>
      <c r="M136" s="6">
        <f t="shared" si="66"/>
        <v>2.6331018518249039E-2</v>
      </c>
      <c r="N136" s="7">
        <f t="shared" si="62"/>
        <v>37.916666666278616</v>
      </c>
      <c r="O136" s="7"/>
      <c r="P136" s="7"/>
      <c r="Q136" s="22"/>
      <c r="R136" s="22"/>
      <c r="S136" s="31">
        <f t="shared" si="67"/>
        <v>1</v>
      </c>
      <c r="T136" s="46" t="str">
        <f t="shared" si="68"/>
        <v>Southbound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 t="shared" si="69"/>
        <v>https://d0f6bd738d7f1b3e5a7ca70fe4ff75f0.us-east-1.aws.found.io/app/kibana#/discover/Steve-Slow-Train-Analysis-(2080s-and-2083s)?_g=(refreshInterval:(display:Off,pause:!f,section:0,value:0),time:(from:'2017-02-11T19:14:10-0700',mode:absolute,to:'2017-02-11T22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6" s="188" t="str">
        <f t="shared" si="70"/>
        <v>N</v>
      </c>
      <c r="X136" s="188">
        <f t="shared" si="82"/>
        <v>1</v>
      </c>
      <c r="Y136" s="62">
        <f t="shared" si="80"/>
        <v>23.299399999999999</v>
      </c>
      <c r="Z136" s="62">
        <f t="shared" si="81"/>
        <v>1.6299999999999999E-2</v>
      </c>
      <c r="AA136" s="62">
        <f t="shared" si="71"/>
        <v>23.283099999999997</v>
      </c>
      <c r="AB136" s="59" t="e">
        <f>VLOOKUP(A136,Enforcements!$C$7:$K$14,8,0)</f>
        <v>#N/A</v>
      </c>
      <c r="AC136" s="55" t="e">
        <f>VLOOKUP(A136,Enforcements!$C$7:$E$14,3,0)</f>
        <v>#N/A</v>
      </c>
      <c r="AD136" s="56" t="str">
        <f t="shared" si="72"/>
        <v>0224-11</v>
      </c>
      <c r="AE136" s="85" t="str">
        <f t="shared" si="73"/>
        <v>aws s3 cp s3://rtdc.mdm.uploadarchive.raw/RTDC4043/ "%USERPROFILE%\AppData\Local\Temp\OnboardLogs"\RTDC4043\2017-02-11 --exclude "*" --recursive --include "*20170211*" &amp; "%USERPROFILE%\Documents\GitHub\mrs-test-scripts\Headless Mode &amp; Sideloading\WalkAndUnGZ.bat" "%USERPROFILE%\AppData\Local\Temp\OnboardLogs"\RTDC4043\2017-02-11 &amp; aws s3 cp s3://rtdc.mdm.uploadarchive.raw/RTDC4043/ "%USERPROFILE%\AppData\Local\Temp\OnboardLogs"\RTDC4043\2017-02-12 --exclude "*" --recursive --include "*20170212*" &amp; "%USERPROFILE%\Documents\GitHub\mrs-test-scripts\Headless Mode &amp; Sideloading\WalkAndUnGZ.bat" "%USERPROFILE%\AppData\Local\Temp\OnboardLogs"\RTDC4043\2017-02-12</v>
      </c>
      <c r="AF136" s="82" t="str">
        <f t="shared" si="74"/>
        <v>"C:\Program Files (x86)\AstroGrep\AstroGrep.exe" /spath="%USERPROFILE%\AppData\Local\Temp\OnboardLogs" /stypes="app*4043*20170212*" /stext=" 04:.+((SYSTEM_STATE.+slice.+state.+changed )|(ment ac)|(multiple cpu faults)|(system.+state.+changed )|(\[timeout)|(PRM\|1\|D)|(kpr)|(kdp)|(\|lc)|(penalty))" /e /r /s</v>
      </c>
      <c r="AG136" s="1" t="str">
        <f t="shared" si="75"/>
        <v>EC</v>
      </c>
      <c r="AH136" s="86" t="str">
        <f t="shared" si="55"/>
        <v>"%USERPROFILE%\Documents\GitHub\eaglep3\Utilities\RefineRTDCRunTimes.py" --tripid 224-11 --locoid 4043 --swversion DE.1.0.8.0 --startMP 204:232994 --initTime 2017-02-11T20:14:10 --startdatetime 2017-02-11T20:26:18 --delay 1 --endMP 204:163 --enddatetime 2017-02-11T21:04:13 --enforcementcount 1 &gt;&gt;C:\Users\stu\Documents\GitHub\eaglep3-reporting\EC\2017-02-11-refined-times.txt</v>
      </c>
      <c r="AI136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{"issue":{"subject":"","project_id":79,"tracker_id":40,"status_id":1,"priority_id":2,"assigned_to_id":23,"start_date":"2017-02-11","description":"","custom_fields":[{"id":1,"name":"Subdivision","value":"EC"},{"id":4,"name":"Milepost","value":"0.0163"},{"id":17,"name":"Train ID","value":"224-11"},{"id":16,"name":"Locomotive ID","value":"4043"},{"id":130,"name":"Impact","value":""},{"id":150,"name":"Time of Event (Mountain Time)","value":"21:04:13"},{"id":151,"name":"Denver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57"/>
        <v>start /low /b %USERPROFILE%\Documents\GitHub\eaglep3\Utilities\DownloadLogsFromS3.py --loco 4043 --day 2017-02-11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"%USERPROFILE%\AppData\Local\Temp\OnboardLogs"\RTDC4043\*4043*20170212* | grep -SE "(Enforcement Action)|(\[TIMEOUT)|(CHR.+\|PRM\|1\|D.+(SWITCH|SIGNAL).+UNKNOWN)" - &gt;&gt; 2017-02-11-UncaughtWiMAX.txt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702</v>
      </c>
      <c r="B137" s="7">
        <v>4025</v>
      </c>
      <c r="C137" s="21" t="s">
        <v>193</v>
      </c>
      <c r="D137" s="21" t="s">
        <v>222</v>
      </c>
      <c r="E137" s="13">
        <v>42777.827233796299</v>
      </c>
      <c r="F137" s="13">
        <v>42777.833645833336</v>
      </c>
      <c r="G137" s="7">
        <v>2</v>
      </c>
      <c r="H137" s="21" t="s">
        <v>738</v>
      </c>
      <c r="I137" s="13">
        <v>42777.858229166668</v>
      </c>
      <c r="J137" s="7">
        <v>1</v>
      </c>
      <c r="K137" s="98" t="str">
        <f t="shared" si="65"/>
        <v>4025/4026</v>
      </c>
      <c r="L137" s="21" t="str">
        <f>VLOOKUP(A137,'Trips&amp;Operators'!$C$1:$G$99999,5,FALSE)</f>
        <v>STAMBAUGH JAMES</v>
      </c>
      <c r="M137" s="6">
        <f t="shared" si="66"/>
        <v>2.4583333331975155E-2</v>
      </c>
      <c r="N137" s="7">
        <f t="shared" ref="N137:N168" si="83">24*60*SUM($M137:$M137)</f>
        <v>35.399999998044223</v>
      </c>
      <c r="O137" s="7"/>
      <c r="P137" s="7"/>
      <c r="Q137" s="22"/>
      <c r="R137" s="22"/>
      <c r="S137" s="31">
        <f t="shared" si="67"/>
        <v>1</v>
      </c>
      <c r="T137" s="46" t="str">
        <f t="shared" si="68"/>
        <v>NorthBound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 t="shared" si="69"/>
        <v>https://d0f6bd738d7f1b3e5a7ca70fe4ff75f0.us-east-1.aws.found.io/app/kibana#/discover/Steve-Slow-Train-Analysis-(2080s-and-2083s)?_g=(refreshInterval:(display:Off,pause:!f,section:0,value:0),time:(from:'2017-02-11T18:51:13-0700',mode:absolute,to:'2017-02-11T21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7" s="188" t="str">
        <f t="shared" si="70"/>
        <v>N</v>
      </c>
      <c r="X137" s="188">
        <f t="shared" si="82"/>
        <v>1</v>
      </c>
      <c r="Y137" s="62">
        <f t="shared" si="80"/>
        <v>4.58E-2</v>
      </c>
      <c r="Z137" s="62">
        <f t="shared" si="81"/>
        <v>23.334599999999998</v>
      </c>
      <c r="AA137" s="62">
        <f t="shared" si="71"/>
        <v>23.288799999999998</v>
      </c>
      <c r="AB137" s="59" t="e">
        <f>VLOOKUP(A137,Enforcements!$C$7:$K$14,8,0)</f>
        <v>#N/A</v>
      </c>
      <c r="AC137" s="55" t="e">
        <f>VLOOKUP(A137,Enforcements!$C$7:$E$14,3,0)</f>
        <v>#N/A</v>
      </c>
      <c r="AD137" s="56" t="str">
        <f t="shared" si="72"/>
        <v>0225-11</v>
      </c>
      <c r="AE137" s="85" t="str">
        <f t="shared" si="73"/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AF137" s="82" t="str">
        <f t="shared" si="74"/>
        <v>"C:\Program Files (x86)\AstroGrep\AstroGrep.exe" /spath="%USERPROFILE%\AppData\Local\Temp\OnboardLogs" /stypes="app*4025*20170212*" /stext=" 03:.+((SYSTEM_STATE.+slice.+state.+changed )|(ment ac)|(multiple cpu faults)|(system.+state.+changed )|(\[timeout)|(PRM\|1\|D)|(kpr)|(kdp)|(\|lc)|(penalty))" /e /r /s</v>
      </c>
      <c r="AG137" s="1" t="str">
        <f t="shared" si="75"/>
        <v>EC</v>
      </c>
      <c r="AH137" s="86" t="str">
        <f t="shared" si="55"/>
        <v>"%USERPROFILE%\Documents\GitHub\eaglep3\Utilities\RefineRTDCRunTimes.py" --tripid 225-11 --locoid 4025 --swversion DE.1.0.8.0 --startMP 204:458 --initTime 2017-02-11T19:51:13 --startdatetime 2017-02-11T20:00:27 --delay 2 --endMP 204:233346 --enddatetime 2017-02-11T20:35:51 --enforcementcount 1 &gt;&gt;C:\Users\stu\Documents\GitHub\eaglep3-reporting\EC\2017-02-11-refined-times.txt</v>
      </c>
      <c r="AI137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{"issue":{"subject":"","project_id":79,"tracker_id":40,"status_id":1,"priority_id":2,"assigned_to_id":23,"start_date":"2017-02-11","description":"","custom_fields":[{"id":1,"name":"Subdivision","value":"EC"},{"id":4,"name":"Milepost","value":"23.3346"},{"id":17,"name":"Train ID","value":"225-11"},{"id":16,"name":"Locomotive ID","value":"4025"},{"id":130,"name":"Impact","value":""},{"id":150,"name":"Time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57"/>
        <v>start /low /b %USERPROFILE%\Documents\GitHub\eaglep3\Utilities\DownloadLogsFromS3.py --loco 4025 --day 2017-02-11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"%USERPROFILE%\AppData\Local\Temp\OnboardLogs"\RTDC4025\*4025*20170212* | grep -SE "(Enforcement Action)|(\[TIMEOUT)|(CHR.+\|PRM\|1\|D.+(SWITCH|SIGNAL).+UNKNOWN)" - &gt;&gt; 2017-02-11-UncaughtWiMAX.txt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707</v>
      </c>
      <c r="B138" s="7">
        <v>4026</v>
      </c>
      <c r="C138" s="21" t="s">
        <v>193</v>
      </c>
      <c r="D138" s="21" t="s">
        <v>847</v>
      </c>
      <c r="E138" s="13">
        <v>42777.870347222219</v>
      </c>
      <c r="F138" s="13">
        <v>42777.872604166667</v>
      </c>
      <c r="G138" s="7">
        <v>1</v>
      </c>
      <c r="H138" s="21" t="s">
        <v>325</v>
      </c>
      <c r="I138" s="13">
        <v>42777.898449074077</v>
      </c>
      <c r="J138" s="7">
        <v>1</v>
      </c>
      <c r="K138" s="98" t="str">
        <f t="shared" si="65"/>
        <v>4025/4026</v>
      </c>
      <c r="L138" s="21" t="str">
        <f>VLOOKUP(A138,'Trips&amp;Operators'!$C$1:$G$99999,5,FALSE)</f>
        <v>STAMBAUGH JAMES</v>
      </c>
      <c r="M138" s="6">
        <f t="shared" si="66"/>
        <v>2.584490740991896E-2</v>
      </c>
      <c r="N138" s="7">
        <f t="shared" si="83"/>
        <v>37.216666670283303</v>
      </c>
      <c r="O138" s="7"/>
      <c r="P138" s="7"/>
      <c r="Q138" s="22"/>
      <c r="R138" s="22"/>
      <c r="S138" s="31">
        <f t="shared" si="67"/>
        <v>1</v>
      </c>
      <c r="T138" s="46" t="str">
        <f t="shared" si="68"/>
        <v>Southbound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 t="shared" si="69"/>
        <v>https://d0f6bd738d7f1b3e5a7ca70fe4ff75f0.us-east-1.aws.found.io/app/kibana#/discover/Steve-Slow-Train-Analysis-(2080s-and-2083s)?_g=(refreshInterval:(display:Off,pause:!f,section:0,value:0),time:(from:'2017-02-11T19:53:18-0700',mode:absolute,to:'2017-02-11T22:33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8" s="188" t="str">
        <f t="shared" si="70"/>
        <v>N</v>
      </c>
      <c r="X138" s="188">
        <f t="shared" si="82"/>
        <v>1</v>
      </c>
      <c r="Y138" s="62">
        <f t="shared" si="80"/>
        <v>23.302299999999999</v>
      </c>
      <c r="Z138" s="62">
        <f t="shared" si="81"/>
        <v>1.6500000000000001E-2</v>
      </c>
      <c r="AA138" s="62">
        <f t="shared" si="71"/>
        <v>23.285799999999998</v>
      </c>
      <c r="AB138" s="59" t="e">
        <f>VLOOKUP(A138,Enforcements!$C$7:$K$14,8,0)</f>
        <v>#N/A</v>
      </c>
      <c r="AC138" s="55" t="e">
        <f>VLOOKUP(A138,Enforcements!$C$7:$E$14,3,0)</f>
        <v>#N/A</v>
      </c>
      <c r="AD138" s="56" t="str">
        <f t="shared" si="72"/>
        <v>0226-11</v>
      </c>
      <c r="AE138" s="85" t="str">
        <f t="shared" si="73"/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AF138" s="82" t="str">
        <f t="shared" si="74"/>
        <v>"C:\Program Files (x86)\AstroGrep\AstroGrep.exe" /spath="%USERPROFILE%\AppData\Local\Temp\OnboardLogs" /stypes="app*4026*20170212*" /stext=" 04:.+((SYSTEM_STATE.+slice.+state.+changed )|(ment ac)|(multiple cpu faults)|(system.+state.+changed )|(\[timeout)|(PRM\|1\|D)|(kpr)|(kdp)|(\|lc)|(penalty))" /e /r /s</v>
      </c>
      <c r="AG138" s="1" t="str">
        <f t="shared" si="75"/>
        <v>EC</v>
      </c>
      <c r="AH138" s="86" t="str">
        <f t="shared" si="55"/>
        <v>"%USERPROFILE%\Documents\GitHub\eaglep3\Utilities\RefineRTDCRunTimes.py" --tripid 226-11 --locoid 4026 --swversion DE.1.0.8.0 --startMP 204:233023 --initTime 2017-02-11T20:53:18 --startdatetime 2017-02-11T20:56:33 --delay 1 --endMP 204:165 --enddatetime 2017-02-11T21:33:46 --enforcementcount 1 &gt;&gt;C:\Users\stu\Documents\GitHub\eaglep3-reporting\EC\2017-02-11-refined-times.txt</v>
      </c>
      <c r="AI138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{"issue":{"subject":"","project_id":79,"tracker_id":40,"status_id":1,"priority_id":2,"assigned_to_id":23,"start_date":"2017-02-11","description":"","custom_fields":[{"id":1,"name":"Subdivision","value":"EC"},{"id":4,"name":"Milepost","value":"0.0165"},{"id":17,"name":"Train ID","value":"226-11"},{"id":16,"name":"Locomotive ID","value":"4026"},{"id":130,"name":"Impact","value":""},{"id":150,"name":"Time of Event (Mountain Time)","value":"21:33:46"},{"id":151,"name":"Denver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57"/>
        <v>start /low /b %USERPROFILE%\Documents\GitHub\eaglep3\Utilities\DownloadLogsFromS3.py --loco 4026 --day 2017-02-11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"%USERPROFILE%\AppData\Local\Temp\OnboardLogs"\RTDC4026\*4026*20170212* | grep -SE "(Enforcement Action)|(\[TIMEOUT)|(CHR.+\|PRM\|1\|D.+(SWITCH|SIGNAL).+UNKNOWN)" - &gt;&gt; 2017-02-11-UncaughtWiMAX.txt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704</v>
      </c>
      <c r="B139" s="7">
        <v>4011</v>
      </c>
      <c r="C139" s="21" t="s">
        <v>193</v>
      </c>
      <c r="D139" s="21" t="s">
        <v>218</v>
      </c>
      <c r="E139" s="13">
        <v>42777.844039351854</v>
      </c>
      <c r="F139" s="13">
        <v>42777.854328703703</v>
      </c>
      <c r="G139" s="7">
        <v>3</v>
      </c>
      <c r="H139" s="21" t="s">
        <v>848</v>
      </c>
      <c r="I139" s="13">
        <v>42777.879988425928</v>
      </c>
      <c r="J139" s="7">
        <v>1</v>
      </c>
      <c r="K139" s="98" t="str">
        <f t="shared" si="65"/>
        <v>4011/4012</v>
      </c>
      <c r="L139" s="21" t="str">
        <f>VLOOKUP(A139,'Trips&amp;Operators'!$C$1:$G$99999,5,FALSE)</f>
        <v>PERKINS DARREN</v>
      </c>
      <c r="M139" s="6">
        <f t="shared" si="66"/>
        <v>2.5659722225100268E-2</v>
      </c>
      <c r="N139" s="7">
        <f t="shared" si="83"/>
        <v>36.950000004144385</v>
      </c>
      <c r="O139" s="7"/>
      <c r="P139" s="7"/>
      <c r="Q139" s="22"/>
      <c r="R139" s="22"/>
      <c r="S139" s="31">
        <f t="shared" si="67"/>
        <v>1</v>
      </c>
      <c r="T139" s="46" t="str">
        <f t="shared" si="68"/>
        <v>NorthBound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 t="shared" si="69"/>
        <v>https://d0f6bd738d7f1b3e5a7ca70fe4ff75f0.us-east-1.aws.found.io/app/kibana#/discover/Steve-Slow-Train-Analysis-(2080s-and-2083s)?_g=(refreshInterval:(display:Off,pause:!f,section:0,value:0),time:(from:'2017-02-11T19:15:25-0700',mode:absolute,to:'2017-02-11T22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188" t="str">
        <f t="shared" si="70"/>
        <v>N</v>
      </c>
      <c r="X139" s="188">
        <f t="shared" si="82"/>
        <v>1</v>
      </c>
      <c r="Y139" s="62">
        <f t="shared" si="80"/>
        <v>4.6899999999999997E-2</v>
      </c>
      <c r="Z139" s="62">
        <f t="shared" si="81"/>
        <v>23.326799999999999</v>
      </c>
      <c r="AA139" s="62">
        <f t="shared" si="71"/>
        <v>23.279899999999998</v>
      </c>
      <c r="AB139" s="59" t="e">
        <f>VLOOKUP(A139,Enforcements!$C$7:$K$14,8,0)</f>
        <v>#N/A</v>
      </c>
      <c r="AC139" s="55" t="e">
        <f>VLOOKUP(A139,Enforcements!$C$7:$E$14,3,0)</f>
        <v>#N/A</v>
      </c>
      <c r="AD139" s="56" t="str">
        <f t="shared" si="72"/>
        <v>0227-11</v>
      </c>
      <c r="AE139" s="85" t="str">
        <f t="shared" si="73"/>
        <v>aws s3 cp s3://rtdc.mdm.uploadarchive.raw/RTDC4011/ "%USERPROFILE%\AppData\Local\Temp\OnboardLogs"\RTDC4011\2017-02-11 --exclude "*" --recursive --include "*20170211*" &amp; "%USERPROFILE%\Documents\GitHub\mrs-test-scripts\Headless Mode &amp; Sideloading\WalkAndUnGZ.bat" "%USERPROFILE%\AppData\Local\Temp\OnboardLogs"\RTDC4011\2017-02-11 &amp; 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</v>
      </c>
      <c r="AF139" s="82" t="str">
        <f t="shared" si="74"/>
        <v>"C:\Program Files (x86)\AstroGrep\AstroGrep.exe" /spath="%USERPROFILE%\AppData\Local\Temp\OnboardLogs" /stypes="app*4011*20170212*" /stext=" 04:.+((SYSTEM_STATE.+slice.+state.+changed )|(ment ac)|(multiple cpu faults)|(system.+state.+changed )|(\[timeout)|(PRM\|1\|D)|(kpr)|(kdp)|(\|lc)|(penalty))" /e /r /s</v>
      </c>
      <c r="AG139" s="1" t="str">
        <f t="shared" si="75"/>
        <v>EC</v>
      </c>
      <c r="AH139" s="86" t="str">
        <f t="shared" si="55"/>
        <v>"%USERPROFILE%\Documents\GitHub\eaglep3\Utilities\RefineRTDCRunTimes.py" --tripid 227-11 --locoid 4011 --swversion DE.1.0.8.0 --startMP 204:469 --initTime 2017-02-11T20:15:25 --startdatetime 2017-02-11T20:30:14 --delay 3 --endMP 204:233268 --enddatetime 2017-02-11T21:07:11 --enforcementcount 1 &gt;&gt;C:\Users\stu\Documents\GitHub\eaglep3-reporting\EC\2017-02-11-refined-times.txt</v>
      </c>
      <c r="AI139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{"issue":{"subject":"","project_id":79,"tracker_id":40,"status_id":1,"priority_id":2,"assigned_to_id":23,"start_date":"2017-02-11","description":"","custom_fields":[{"id":1,"name":"Subdivision","value":"EC"},{"id":4,"name":"Milepost","value":"23.3268"},{"id":17,"name":"Train ID","value":"227-11"},{"id":16,"name":"Locomotive ID","value":"4011"},{"id":130,"name":"Impact","value":""},{"id":150,"name":"Time of Event (Mountain Time)","value":"21:07:11"},{"id":151,"name":"Denver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57"/>
        <v>start /low /b %USERPROFILE%\Documents\GitHub\eaglep3\Utilities\DownloadLogsFromS3.py --loco 4011 --day 2017-02-11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"%USERPROFILE%\AppData\Local\Temp\OnboardLogs"\RTDC4011\*4011*20170212* | grep -SE "(Enforcement Action)|(\[TIMEOUT)|(CHR.+\|PRM\|1\|D.+(SWITCH|SIGNAL).+UNKNOWN)" - &gt;&gt; 2017-02-11-UncaughtWiMAX.txt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710</v>
      </c>
      <c r="B140" s="7">
        <v>4012</v>
      </c>
      <c r="C140" s="21" t="s">
        <v>193</v>
      </c>
      <c r="D140" s="21" t="s">
        <v>353</v>
      </c>
      <c r="E140" s="13">
        <v>42777.887002314812</v>
      </c>
      <c r="F140" s="13">
        <v>42777.893217592595</v>
      </c>
      <c r="G140" s="7">
        <v>1</v>
      </c>
      <c r="H140" s="21" t="s">
        <v>208</v>
      </c>
      <c r="I140" s="13">
        <v>42777.920405092591</v>
      </c>
      <c r="J140" s="7">
        <v>1</v>
      </c>
      <c r="K140" s="98" t="str">
        <f t="shared" si="65"/>
        <v>4011/4012</v>
      </c>
      <c r="L140" s="21" t="str">
        <f>VLOOKUP(A140,'Trips&amp;Operators'!$C$1:$G$99999,5,FALSE)</f>
        <v>PERKINS DARREN</v>
      </c>
      <c r="M140" s="6">
        <f t="shared" si="66"/>
        <v>2.7187499996216502E-2</v>
      </c>
      <c r="N140" s="7">
        <f t="shared" si="83"/>
        <v>39.149999994551763</v>
      </c>
      <c r="O140" s="7"/>
      <c r="P140" s="7"/>
      <c r="Q140" s="22"/>
      <c r="R140" s="22"/>
      <c r="S140" s="31">
        <f t="shared" si="67"/>
        <v>1</v>
      </c>
      <c r="T140" s="46" t="str">
        <f t="shared" si="68"/>
        <v>Southbound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 t="shared" si="69"/>
        <v>https://d0f6bd738d7f1b3e5a7ca70fe4ff75f0.us-east-1.aws.found.io/app/kibana#/discover/Steve-Slow-Train-Analysis-(2080s-and-2083s)?_g=(refreshInterval:(display:Off,pause:!f,section:0,value:0),time:(from:'2017-02-11T20:17:17-0700',mode:absolute,to:'2017-02-11T23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0" s="188" t="str">
        <f t="shared" si="70"/>
        <v>N</v>
      </c>
      <c r="X140" s="188">
        <f t="shared" si="82"/>
        <v>1</v>
      </c>
      <c r="Y140" s="62">
        <f t="shared" si="80"/>
        <v>23.299600000000002</v>
      </c>
      <c r="Z140" s="62">
        <f t="shared" si="81"/>
        <v>1.52E-2</v>
      </c>
      <c r="AA140" s="62">
        <f t="shared" si="71"/>
        <v>23.284400000000002</v>
      </c>
      <c r="AB140" s="59" t="e">
        <f>VLOOKUP(A140,Enforcements!$C$7:$K$14,8,0)</f>
        <v>#N/A</v>
      </c>
      <c r="AC140" s="55" t="e">
        <f>VLOOKUP(A140,Enforcements!$C$7:$E$14,3,0)</f>
        <v>#N/A</v>
      </c>
      <c r="AD140" s="56" t="str">
        <f t="shared" si="72"/>
        <v>0228-11</v>
      </c>
      <c r="AE140" s="85" t="str">
        <f t="shared" si="73"/>
        <v>aws s3 cp s3://rtdc.mdm.uploadarchive.raw/RTDC4012/ "%USERPROFILE%\AppData\Local\Temp\OnboardLogs"\RTDC4012\2017-02-11 --exclude "*" --recursive --include "*20170211*" &amp; "%USERPROFILE%\Documents\GitHub\mrs-test-scripts\Headless Mode &amp; Sideloading\WalkAndUnGZ.bat" "%USERPROFILE%\AppData\Local\Temp\OnboardLogs"\RTDC4012\2017-02-11 &amp; aws s3 cp s3://rtdc.mdm.uploadarchive.raw/RTDC4012/ "%USERPROFILE%\AppData\Local\Temp\OnboardLogs"\RTDC4012\2017-02-12 --exclude "*" --recursive --include "*20170212*" &amp; "%USERPROFILE%\Documents\GitHub\mrs-test-scripts\Headless Mode &amp; Sideloading\WalkAndUnGZ.bat" "%USERPROFILE%\AppData\Local\Temp\OnboardLogs"\RTDC4012\2017-02-12</v>
      </c>
      <c r="AF140" s="82" t="str">
        <f t="shared" si="74"/>
        <v>"C:\Program Files (x86)\AstroGrep\AstroGrep.exe" /spath="%USERPROFILE%\AppData\Local\Temp\OnboardLogs" /stypes="app*4012*20170212*" /stext=" 05:.+((SYSTEM_STATE.+slice.+state.+changed )|(ment ac)|(multiple cpu faults)|(system.+state.+changed )|(\[timeout)|(PRM\|1\|D)|(kpr)|(kdp)|(\|lc)|(penalty))" /e /r /s</v>
      </c>
      <c r="AG140" s="1" t="str">
        <f t="shared" si="75"/>
        <v>EC</v>
      </c>
      <c r="AH140" s="86" t="str">
        <f t="shared" si="55"/>
        <v>"%USERPROFILE%\Documents\GitHub\eaglep3\Utilities\RefineRTDCRunTimes.py" --tripid 228-11 --locoid 4012 --swversion DE.1.0.8.0 --startMP 204:232996 --initTime 2017-02-11T21:17:17 --startdatetime 2017-02-11T21:26:14 --delay 1 --endMP 204:152 --enddatetime 2017-02-11T22:05:23 --enforcementcount 1 &gt;&gt;C:\Users\stu\Documents\GitHub\eaglep3-reporting\EC\2017-02-11-refined-times.txt</v>
      </c>
      <c r="AI140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{"issue":{"subject":"","project_id":79,"tracker_id":40,"status_id":1,"priority_id":2,"assigned_to_id":23,"start_date":"2017-02-11","description":"","custom_fields":[{"id":1,"name":"Subdivision","value":"EC"},{"id":4,"name":"Milepost","value":"0.0152"},{"id":17,"name":"Train ID","value":"228-11"},{"id":16,"name":"Locomotive ID","value":"4012"},{"id":130,"name":"Impact","value":""},{"id":150,"name":"Time of Event (Mountain Time)","value":"22:05:23"},{"id":151,"name":"Denver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57"/>
        <v>start /low /b %USERPROFILE%\Documents\GitHub\eaglep3\Utilities\DownloadLogsFromS3.py --loco 4012 --day 2017-02-11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"%USERPROFILE%\AppData\Local\Temp\OnboardLogs"\RTDC4012\*4012*20170212* | grep -SE "(Enforcement Action)|(\[TIMEOUT)|(CHR.+\|PRM\|1\|D.+(SWITCH|SIGNAL).+UNKNOWN)" - &gt;&gt; 2017-02-11-UncaughtWiMAX.txt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706</v>
      </c>
      <c r="B141" s="7">
        <v>4020</v>
      </c>
      <c r="C141" s="21" t="s">
        <v>193</v>
      </c>
      <c r="D141" s="21" t="s">
        <v>281</v>
      </c>
      <c r="E141" s="13">
        <v>42777.868483796294</v>
      </c>
      <c r="F141" s="13">
        <v>42777.875173611108</v>
      </c>
      <c r="G141" s="7">
        <v>1</v>
      </c>
      <c r="H141" s="21" t="s">
        <v>497</v>
      </c>
      <c r="I141" s="13">
        <v>42777.900347222225</v>
      </c>
      <c r="J141" s="7">
        <v>1</v>
      </c>
      <c r="K141" s="98" t="str">
        <f t="shared" ref="K141:K172" si="84">IF(ISEVEN(B141),(B141-1)&amp;"/"&amp;B141,B141&amp;"/"&amp;(B141+1))</f>
        <v>4019/4020</v>
      </c>
      <c r="L141" s="21" t="str">
        <f>VLOOKUP(A141,'Trips&amp;Operators'!$C$1:$G$99999,5,FALSE)</f>
        <v>BROWN JACOB</v>
      </c>
      <c r="M141" s="6">
        <f t="shared" ref="M141:M172" si="85">I141-F141</f>
        <v>2.5173611116770189E-2</v>
      </c>
      <c r="N141" s="7">
        <f t="shared" si="83"/>
        <v>36.250000008149073</v>
      </c>
      <c r="O141" s="7"/>
      <c r="P141" s="7"/>
      <c r="Q141" s="22"/>
      <c r="R141" s="22"/>
      <c r="S141" s="31">
        <f t="shared" ref="S141:S172" si="86">SUM(U141:U141)/IF(AG141="EC",12,1)</f>
        <v>1</v>
      </c>
      <c r="T141" s="46" t="str">
        <f t="shared" ref="T141:T172" si="87">IF(ISEVEN(LEFT(AD141,4)),"Southbound","NorthBound")</f>
        <v>NorthBound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 t="shared" ref="V141:V172" si="8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-11T19:50:37-0700',mode:absolute,to:'2017-02-11T22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1" s="188" t="str">
        <f t="shared" ref="W141:W172" si="89">IF(AA141&lt;IF(AG141="EC",23,5.65),"Y","N")</f>
        <v>N</v>
      </c>
      <c r="X141" s="188">
        <f t="shared" si="82"/>
        <v>1</v>
      </c>
      <c r="Y141" s="62">
        <f t="shared" si="80"/>
        <v>4.5499999999999999E-2</v>
      </c>
      <c r="Z141" s="62">
        <f t="shared" si="81"/>
        <v>23.333200000000001</v>
      </c>
      <c r="AA141" s="62">
        <f t="shared" ref="AA141:AA172" si="90">ABS(Z141-Y141)</f>
        <v>23.287700000000001</v>
      </c>
      <c r="AB141" s="59" t="e">
        <f>VLOOKUP(A141,Enforcements!$C$7:$K$14,8,0)</f>
        <v>#N/A</v>
      </c>
      <c r="AC141" s="55" t="e">
        <f>VLOOKUP(A141,Enforcements!$C$7:$E$14,3,0)</f>
        <v>#N/A</v>
      </c>
      <c r="AD141" s="56" t="str">
        <f t="shared" ref="AD141:AD172" si="91">IF(LEN(A141)=6,"0"&amp;A141,A141)</f>
        <v>0229-11</v>
      </c>
      <c r="AE141" s="85" t="str">
        <f t="shared" ref="AE141:AE172" si="9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AF141" s="82" t="str">
        <f t="shared" ref="AF141:AF172" si="93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/stypes="app*4020*20170212*" /stext=" 04:.+((SYSTEM_STATE.+slice.+state.+changed )|(ment ac)|(multiple cpu faults)|(system.+state.+changed )|(\[timeout)|(PRM\|1\|D)|(kpr)|(kdp)|(\|lc)|(penalty))" /e /r /s</v>
      </c>
      <c r="AG141" s="1" t="str">
        <f t="shared" ref="AG141:AG172" si="94">IFERROR(IF(VALUE(LEFT(AD141,2))&lt;=2,"EC",IF(OR(VALUE(LEFT(AD141,2))=8,VALUE(LEFT(AD141,2))=18),"NW","Other")),"Other")</f>
        <v>EC</v>
      </c>
      <c r="AH141" s="86" t="str">
        <f t="shared" si="55"/>
        <v>"%USERPROFILE%\Documents\GitHub\eaglep3\Utilities\RefineRTDCRunTimes.py" --tripid 229-11 --locoid 4020 --swversion DE.1.0.8.0 --startMP 204:455 --initTime 2017-02-11T20:50:37 --startdatetime 2017-02-11T21:00:15 --delay 1 --endMP 204:233332 --enddatetime 2017-02-11T21:36:30 --enforcementcount 1 &gt;&gt;C:\Users\stu\Documents\GitHub\eaglep3-reporting\EC\2017-02-11-refined-times.txt</v>
      </c>
      <c r="AI141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{"issue":{"subject":"","project_id":79,"tracker_id":40,"status_id":1,"priority_id":2,"assigned_to_id":23,"start_date":"2017-02-11","description":"","custom_fields":[{"id":1,"name":"Subdivision","value":"EC"},{"id":4,"name":"Milepost","value":"23.3332"},{"id":17,"name":"Train ID","value":"229-11"},{"id":16,"name":"Locomotive ID","value":"4020"},{"id":130,"name":"Impact","value":""},{"id":150,"name":"Time of Event (Mountain Time)","value":"21:36:30"},{"id":151,"name":"Denver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57"/>
        <v>start /low /b %USERPROFILE%\Documents\GitHub\eaglep3\Utilities\DownloadLogsFromS3.py --loco 4020 --day 2017-02-11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"%USERPROFILE%\AppData\Local\Temp\OnboardLogs"\RTDC4020\*4020*20170212* | grep -SE "(Enforcement Action)|(\[TIMEOUT)|(CHR.+\|PRM\|1\|D.+(SWITCH|SIGNAL).+UNKNOWN)" - &gt;&gt; 2017-02-11-UncaughtWiMAX.txt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713</v>
      </c>
      <c r="B142" s="7">
        <v>4019</v>
      </c>
      <c r="C142" s="21" t="s">
        <v>193</v>
      </c>
      <c r="D142" s="21" t="s">
        <v>490</v>
      </c>
      <c r="E142" s="13">
        <v>42777.90488425926</v>
      </c>
      <c r="F142" s="13">
        <v>42777.914039351854</v>
      </c>
      <c r="G142" s="7">
        <v>1</v>
      </c>
      <c r="H142" s="21" t="s">
        <v>221</v>
      </c>
      <c r="I142" s="13">
        <v>42777.940740740742</v>
      </c>
      <c r="J142" s="7">
        <v>1</v>
      </c>
      <c r="K142" s="98" t="str">
        <f t="shared" si="84"/>
        <v>4019/4020</v>
      </c>
      <c r="L142" s="21" t="str">
        <f>VLOOKUP(A142,'Trips&amp;Operators'!$C$1:$G$99999,5,FALSE)</f>
        <v>BROWN JACOB</v>
      </c>
      <c r="M142" s="6">
        <f t="shared" si="85"/>
        <v>2.6701388887886424E-2</v>
      </c>
      <c r="N142" s="7">
        <f t="shared" si="83"/>
        <v>38.44999999855645</v>
      </c>
      <c r="O142" s="7"/>
      <c r="P142" s="7"/>
      <c r="Q142" s="22"/>
      <c r="R142" s="22"/>
      <c r="S142" s="31">
        <f t="shared" si="86"/>
        <v>1</v>
      </c>
      <c r="T142" s="46" t="str">
        <f t="shared" si="87"/>
        <v>Southbound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 t="shared" si="88"/>
        <v>https://d0f6bd738d7f1b3e5a7ca70fe4ff75f0.us-east-1.aws.found.io/app/kibana#/discover/Steve-Slow-Train-Analysis-(2080s-and-2083s)?_g=(refreshInterval:(display:Off,pause:!f,section:0,value:0),time:(from:'2017-02-11T20:43:02-0700',mode:absolute,to:'2017-02-11T23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2" s="188" t="str">
        <f t="shared" si="89"/>
        <v>N</v>
      </c>
      <c r="X142" s="188">
        <f t="shared" si="82"/>
        <v>1</v>
      </c>
      <c r="Y142" s="62">
        <f t="shared" si="80"/>
        <v>23.3019</v>
      </c>
      <c r="Z142" s="62">
        <f t="shared" si="81"/>
        <v>1.54E-2</v>
      </c>
      <c r="AA142" s="62">
        <f t="shared" si="90"/>
        <v>23.2865</v>
      </c>
      <c r="AB142" s="59" t="e">
        <f>VLOOKUP(A142,Enforcements!$C$7:$K$14,8,0)</f>
        <v>#N/A</v>
      </c>
      <c r="AC142" s="55" t="e">
        <f>VLOOKUP(A142,Enforcements!$C$7:$E$14,3,0)</f>
        <v>#N/A</v>
      </c>
      <c r="AD142" s="56" t="str">
        <f t="shared" si="91"/>
        <v>0230-11</v>
      </c>
      <c r="AE142" s="85" t="str">
        <f t="shared" si="92"/>
        <v>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 &amp; 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</v>
      </c>
      <c r="AF142" s="82" t="str">
        <f t="shared" si="93"/>
        <v>"C:\Program Files (x86)\AstroGrep\AstroGrep.exe" /spath="%USERPROFILE%\AppData\Local\Temp\OnboardLogs" /stypes="app*4019*20170212*" /stext=" 05:.+((SYSTEM_STATE.+slice.+state.+changed )|(ment ac)|(multiple cpu faults)|(system.+state.+changed )|(\[timeout)|(PRM\|1\|D)|(kpr)|(kdp)|(\|lc)|(penalty))" /e /r /s</v>
      </c>
      <c r="AG142" s="1" t="str">
        <f t="shared" si="94"/>
        <v>EC</v>
      </c>
      <c r="AH142" s="86" t="str">
        <f t="shared" si="55"/>
        <v>"%USERPROFILE%\Documents\GitHub\eaglep3\Utilities\RefineRTDCRunTimes.py" --tripid 230-11 --locoid 4019 --swversion DE.1.0.8.0 --startMP 204:233019 --initTime 2017-02-11T21:43:02 --startdatetime 2017-02-11T21:56:13 --delay 1 --endMP 204:154 --enddatetime 2017-02-11T22:34:40 --enforcementcount 1 &gt;&gt;C:\Users\stu\Documents\GitHub\eaglep3-reporting\EC\2017-02-11-refined-times.txt</v>
      </c>
      <c r="AI142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{"issue":{"subject":"","project_id":79,"tracker_id":40,"status_id":1,"priority_id":2,"assigned_to_id":23,"start_date":"2017-02-11","description":"","custom_fields":[{"id":1,"name":"Subdivision","value":"EC"},{"id":4,"name":"Milepost","value":"0.0154"},{"id":17,"name":"Train ID","value":"230-11"},{"id":16,"name":"Locomotive ID","value":"4019"},{"id":130,"name":"Impact","value":""},{"id":150,"name":"Time of Event (Mountain Time)","value":"22:34:40"},{"id":151,"name":"Denver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57"/>
        <v>start /low /b %USERPROFILE%\Documents\GitHub\eaglep3\Utilities\DownloadLogsFromS3.py --loco 4019 --day 2017-02-11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"%USERPROFILE%\AppData\Local\Temp\OnboardLogs"\RTDC4019\*4019*20170212* | grep -SE "(Enforcement Action)|(\[TIMEOUT)|(CHR.+\|PRM\|1\|D.+(SWITCH|SIGNAL).+UNKNOWN)" - &gt;&gt; 2017-02-11-UncaughtWiMAX.txt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708</v>
      </c>
      <c r="B143" s="7">
        <v>4044</v>
      </c>
      <c r="C143" s="21" t="s">
        <v>193</v>
      </c>
      <c r="D143" s="21" t="s">
        <v>849</v>
      </c>
      <c r="E143" s="13">
        <v>42777.883923611109</v>
      </c>
      <c r="F143" s="13">
        <v>42777.896053240744</v>
      </c>
      <c r="G143" s="7">
        <v>1</v>
      </c>
      <c r="H143" s="21" t="s">
        <v>486</v>
      </c>
      <c r="I143" s="13">
        <v>42777.920995370368</v>
      </c>
      <c r="J143" s="7">
        <v>1</v>
      </c>
      <c r="K143" s="98" t="str">
        <f t="shared" si="84"/>
        <v>4043/4044</v>
      </c>
      <c r="L143" s="21" t="str">
        <f>VLOOKUP(A143,'Trips&amp;Operators'!$C$1:$G$99999,5,FALSE)</f>
        <v>SMITH MICHAEL</v>
      </c>
      <c r="M143" s="6">
        <f t="shared" si="85"/>
        <v>2.4942129624832887E-2</v>
      </c>
      <c r="N143" s="7">
        <f t="shared" si="83"/>
        <v>35.916666659759358</v>
      </c>
      <c r="O143" s="7"/>
      <c r="P143" s="7"/>
      <c r="Q143" s="22"/>
      <c r="R143" s="22"/>
      <c r="S143" s="31">
        <f t="shared" si="86"/>
        <v>1</v>
      </c>
      <c r="T143" s="46" t="str">
        <f t="shared" si="87"/>
        <v>NorthBound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 t="shared" si="88"/>
        <v>https://d0f6bd738d7f1b3e5a7ca70fe4ff75f0.us-east-1.aws.found.io/app/kibana#/discover/Steve-Slow-Train-Analysis-(2080s-and-2083s)?_g=(refreshInterval:(display:Off,pause:!f,section:0,value:0),time:(from:'2017-02-11T20:12:51-0700',mode:absolute,to:'2017-02-11T23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3" s="188" t="str">
        <f t="shared" si="89"/>
        <v>N</v>
      </c>
      <c r="X143" s="188">
        <f t="shared" si="82"/>
        <v>1</v>
      </c>
      <c r="Y143" s="62">
        <f t="shared" si="80"/>
        <v>4.7699999999999999E-2</v>
      </c>
      <c r="Z143" s="62">
        <f t="shared" si="81"/>
        <v>23.331</v>
      </c>
      <c r="AA143" s="62">
        <f t="shared" si="90"/>
        <v>23.283300000000001</v>
      </c>
      <c r="AB143" s="59" t="e">
        <f>VLOOKUP(A143,Enforcements!$C$7:$K$14,8,0)</f>
        <v>#N/A</v>
      </c>
      <c r="AC143" s="55" t="e">
        <f>VLOOKUP(A143,Enforcements!$C$7:$E$14,3,0)</f>
        <v>#N/A</v>
      </c>
      <c r="AD143" s="56" t="str">
        <f t="shared" si="91"/>
        <v>0231-11</v>
      </c>
      <c r="AE143" s="85" t="str">
        <f t="shared" si="92"/>
        <v>aws s3 cp s3://rtdc.mdm.uploadarchive.raw/RTDC4044/ "%USERPROFILE%\AppData\Local\Temp\OnboardLogs"\RTDC4044\2017-02-11 --exclude "*" --recursive --include "*20170211*" &amp; "%USERPROFILE%\Documents\GitHub\mrs-test-scripts\Headless Mode &amp; Sideloading\WalkAndUnGZ.bat" "%USERPROFILE%\AppData\Local\Temp\OnboardLogs"\RTDC4044\2017-02-11 &amp; aws s3 cp s3://rtdc.mdm.uploadarchive.raw/RTDC4044/ "%USERPROFILE%\AppData\Local\Temp\OnboardLogs"\RTDC4044\2017-02-12 --exclude "*" --recursive --include "*20170212*" &amp; "%USERPROFILE%\Documents\GitHub\mrs-test-scripts\Headless Mode &amp; Sideloading\WalkAndUnGZ.bat" "%USERPROFILE%\AppData\Local\Temp\OnboardLogs"\RTDC4044\2017-02-12</v>
      </c>
      <c r="AF143" s="82" t="str">
        <f t="shared" si="93"/>
        <v>"C:\Program Files (x86)\AstroGrep\AstroGrep.exe" /spath="%USERPROFILE%\AppData\Local\Temp\OnboardLogs" /stypes="app*4044*20170212*" /stext=" 05:.+((SYSTEM_STATE.+slice.+state.+changed )|(ment ac)|(multiple cpu faults)|(system.+state.+changed )|(\[timeout)|(PRM\|1\|D)|(kpr)|(kdp)|(\|lc)|(penalty))" /e /r /s</v>
      </c>
      <c r="AG143" s="1" t="str">
        <f t="shared" si="94"/>
        <v>EC</v>
      </c>
      <c r="AH143" s="86" t="str">
        <f t="shared" si="55"/>
        <v>"%USERPROFILE%\Documents\GitHub\eaglep3\Utilities\RefineRTDCRunTimes.py" --tripid 231-11 --locoid 4044 --swversion DE.1.0.8.0 --startMP 204:477 --initTime 2017-02-11T21:12:51 --startdatetime 2017-02-11T21:30:19 --delay 1 --endMP 204:233310 --enddatetime 2017-02-11T22:06:14 --enforcementcount 1 &gt;&gt;C:\Users\stu\Documents\GitHub\eaglep3-reporting\EC\2017-02-11-refined-times.txt</v>
      </c>
      <c r="AI143" s="108" t="str">
        <f t="shared" si="56"/>
        <v>echo {"issue":{"subject":"","project_id":79,"tracker_id":40,"status_id":1,"priority_id":2,"assigned_to_id":23,"start_date":"2017-02-11","description":"","custom_fields":[{"id":1,"name":"Subdivision","value":"EC"},{"id":4,"name":"Milepost","value":"23.331"},{"id":17,"name":"Train ID","value":"231-11"},{"id":16,"name":"Locomotive ID","value":"4044"},{"id":130,"name":"Impact","value":""},{"id":150,"name":"Time of Event (Mountain Time)","value":"22:06:14"},{"id":151,"name":"Denver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57"/>
        <v>start /low /b %USERPROFILE%\Documents\GitHub\eaglep3\Utilities\DownloadLogsFromS3.py --loco 4044 --day 2017-02-11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"%USERPROFILE%\AppData\Local\Temp\OnboardLogs"\RTDC4044\*4044*20170212* | grep -SE "(Enforcement Action)|(\[TIMEOUT)|(CHR.+\|PRM\|1\|D.+(SWITCH|SIGNAL).+UNKNOWN)" - &gt;&gt; 2017-02-11-UncaughtWiMAX.txt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716</v>
      </c>
      <c r="B144" s="7">
        <v>4043</v>
      </c>
      <c r="C144" s="21" t="s">
        <v>193</v>
      </c>
      <c r="D144" s="21" t="s">
        <v>301</v>
      </c>
      <c r="E144" s="13">
        <v>42777.926412037035</v>
      </c>
      <c r="F144" s="13">
        <v>42777.934999999998</v>
      </c>
      <c r="G144" s="7">
        <v>1</v>
      </c>
      <c r="H144" s="21" t="s">
        <v>484</v>
      </c>
      <c r="I144" s="13">
        <v>42777.963136574072</v>
      </c>
      <c r="J144" s="7">
        <v>1</v>
      </c>
      <c r="K144" s="98" t="str">
        <f t="shared" si="84"/>
        <v>4043/4044</v>
      </c>
      <c r="L144" s="21" t="str">
        <f>VLOOKUP(A144,'Trips&amp;Operators'!$C$1:$G$99999,5,FALSE)</f>
        <v>SMITH MICHAEL</v>
      </c>
      <c r="M144" s="6">
        <f t="shared" si="85"/>
        <v>2.8136574073869269E-2</v>
      </c>
      <c r="N144" s="7">
        <f t="shared" si="83"/>
        <v>40.516666666371748</v>
      </c>
      <c r="O144" s="7"/>
      <c r="P144" s="7"/>
      <c r="Q144" s="22"/>
      <c r="R144" s="22"/>
      <c r="S144" s="31">
        <f t="shared" si="86"/>
        <v>1</v>
      </c>
      <c r="T144" s="46" t="str">
        <f t="shared" si="87"/>
        <v>Southbound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 t="shared" si="88"/>
        <v>https://d0f6bd738d7f1b3e5a7ca70fe4ff75f0.us-east-1.aws.found.io/app/kibana#/discover/Steve-Slow-Train-Analysis-(2080s-and-2083s)?_g=(refreshInterval:(display:Off,pause:!f,section:0,value:0),time:(from:'2017-02-11T21:14:02-0700',mode:absolute,to:'2017-02-12T00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4" s="188" t="str">
        <f t="shared" si="89"/>
        <v>N</v>
      </c>
      <c r="X144" s="188">
        <f t="shared" si="82"/>
        <v>1</v>
      </c>
      <c r="Y144" s="62">
        <f t="shared" si="80"/>
        <v>23.299299999999999</v>
      </c>
      <c r="Z144" s="62">
        <f t="shared" si="81"/>
        <v>1.5599999999999999E-2</v>
      </c>
      <c r="AA144" s="62">
        <f t="shared" si="90"/>
        <v>23.2837</v>
      </c>
      <c r="AB144" s="59" t="e">
        <f>VLOOKUP(A144,Enforcements!$C$7:$K$14,8,0)</f>
        <v>#N/A</v>
      </c>
      <c r="AC144" s="55" t="e">
        <f>VLOOKUP(A144,Enforcements!$C$7:$E$14,3,0)</f>
        <v>#N/A</v>
      </c>
      <c r="AD144" s="56" t="str">
        <f t="shared" si="91"/>
        <v>0232-11</v>
      </c>
      <c r="AE144" s="85" t="str">
        <f t="shared" si="92"/>
        <v>aws s3 cp s3://rtdc.mdm.uploadarchive.raw/RTDC4043/ "%USERPROFILE%\AppData\Local\Temp\OnboardLogs"\RTDC4043\2017-02-11 --exclude "*" --recursive --include "*20170211*" &amp; "%USERPROFILE%\Documents\GitHub\mrs-test-scripts\Headless Mode &amp; Sideloading\WalkAndUnGZ.bat" "%USERPROFILE%\AppData\Local\Temp\OnboardLogs"\RTDC4043\2017-02-11 &amp; aws s3 cp s3://rtdc.mdm.uploadarchive.raw/RTDC4043/ "%USERPROFILE%\AppData\Local\Temp\OnboardLogs"\RTDC4043\2017-02-12 --exclude "*" --recursive --include "*20170212*" &amp; "%USERPROFILE%\Documents\GitHub\mrs-test-scripts\Headless Mode &amp; Sideloading\WalkAndUnGZ.bat" "%USERPROFILE%\AppData\Local\Temp\OnboardLogs"\RTDC4043\2017-02-12</v>
      </c>
      <c r="AF144" s="82" t="str">
        <f t="shared" si="93"/>
        <v>"C:\Program Files (x86)\AstroGrep\AstroGrep.exe" /spath="%USERPROFILE%\AppData\Local\Temp\OnboardLogs" /stypes="app*4043*20170212*" /stext=" 06:.+((SYSTEM_STATE.+slice.+state.+changed )|(ment ac)|(multiple cpu faults)|(system.+state.+changed )|(\[timeout)|(PRM\|1\|D)|(kpr)|(kdp)|(\|lc)|(penalty))" /e /r /s</v>
      </c>
      <c r="AG144" s="1" t="str">
        <f t="shared" si="94"/>
        <v>EC</v>
      </c>
      <c r="AH144" s="86" t="str">
        <f t="shared" ref="AH144:AH201" si="95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232-11 --locoid 4043 --swversion DE.1.0.8.0 --startMP 204:232993 --initTime 2017-02-11T22:14:02 --startdatetime 2017-02-11T22:26:24 --delay 1 --endMP 204:156 --enddatetime 2017-02-11T23:06:55 --enforcementcount 1 &gt;&gt;C:\Users\stu\Documents\GitHub\eaglep3-reporting\EC\2017-02-11-refined-times.txt</v>
      </c>
      <c r="AI144" s="108" t="str">
        <f t="shared" ref="AI144:AI201" si="96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{"issue":{"subject":"","project_id":79,"tracker_id":40,"status_id":1,"priority_id":2,"assigned_to_id":23,"start_date":"2017-02-11","description":"","custom_fields":[{"id":1,"name":"Subdivision","value":"EC"},{"id":4,"name":"Milepost","value":"0.0156"},{"id":17,"name":"Train ID","value":"232-11"},{"id":16,"name":"Locomotive ID","value":"4043"},{"id":130,"name":"Impact","value":""},{"id":150,"name":"Time of Event (Mountain Time)","value":"23:06:55"},{"id":151,"name":"Denver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ref="AM144:AM201" si="97">"start /low /b "&amp;dls3logs&amp;" --loco "&amp;B144&amp;" --day "&amp;TEXT(F144,"YYYY-MM-DD")</f>
        <v>start /low /b %USERPROFILE%\Documents\GitHub\eaglep3\Utilities\DownloadLogsFromS3.py --loco 4043 --day 2017-02-11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"%USERPROFILE%\AppData\Local\Temp\OnboardLogs"\RTDC4043\*4043*20170212* | grep -SE "(Enforcement Action)|(\[TIMEOUT)|(CHR.+\|PRM\|1\|D.+(SWITCH|SIGNAL).+UNKNOWN)" - &gt;&gt; 2017-02-11-UncaughtWiMAX.txt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712</v>
      </c>
      <c r="B145" s="7">
        <v>4025</v>
      </c>
      <c r="C145" s="21" t="s">
        <v>193</v>
      </c>
      <c r="D145" s="21" t="s">
        <v>845</v>
      </c>
      <c r="E145" s="13">
        <v>42777.901087962964</v>
      </c>
      <c r="F145" s="13">
        <v>42777.917164351849</v>
      </c>
      <c r="G145" s="7">
        <v>2</v>
      </c>
      <c r="H145" s="21" t="s">
        <v>754</v>
      </c>
      <c r="I145" s="13">
        <v>42777.942916666667</v>
      </c>
      <c r="J145" s="7">
        <v>1</v>
      </c>
      <c r="K145" s="98" t="str">
        <f t="shared" si="84"/>
        <v>4025/4026</v>
      </c>
      <c r="L145" s="21" t="str">
        <f>VLOOKUP(A145,'Trips&amp;Operators'!$C$1:$G$99999,5,FALSE)</f>
        <v>STAMBAUGH JAMES</v>
      </c>
      <c r="M145" s="6">
        <f t="shared" si="85"/>
        <v>2.5752314817509614E-2</v>
      </c>
      <c r="N145" s="7">
        <f t="shared" si="83"/>
        <v>37.083333337213844</v>
      </c>
      <c r="O145" s="7"/>
      <c r="P145" s="7"/>
      <c r="Q145" s="22"/>
      <c r="R145" s="22"/>
      <c r="S145" s="31">
        <f t="shared" si="86"/>
        <v>1</v>
      </c>
      <c r="T145" s="46" t="str">
        <f t="shared" si="87"/>
        <v>NorthBound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 t="shared" si="88"/>
        <v>https://d0f6bd738d7f1b3e5a7ca70fe4ff75f0.us-east-1.aws.found.io/app/kibana#/discover/Steve-Slow-Train-Analysis-(2080s-and-2083s)?_g=(refreshInterval:(display:Off,pause:!f,section:0,value:0),time:(from:'2017-02-11T20:37:34-0700',mode:absolute,to:'2017-02-11T23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5" s="188" t="str">
        <f t="shared" si="89"/>
        <v>N</v>
      </c>
      <c r="X145" s="188">
        <f t="shared" si="82"/>
        <v>1</v>
      </c>
      <c r="Y145" s="62">
        <f t="shared" si="80"/>
        <v>4.2599999999999999E-2</v>
      </c>
      <c r="Z145" s="62">
        <f t="shared" si="81"/>
        <v>23.336600000000001</v>
      </c>
      <c r="AA145" s="62">
        <f t="shared" si="90"/>
        <v>23.294</v>
      </c>
      <c r="AB145" s="59" t="e">
        <f>VLOOKUP(A145,Enforcements!$C$7:$K$14,8,0)</f>
        <v>#N/A</v>
      </c>
      <c r="AC145" s="55" t="e">
        <f>VLOOKUP(A145,Enforcements!$C$7:$E$14,3,0)</f>
        <v>#N/A</v>
      </c>
      <c r="AD145" s="56" t="str">
        <f t="shared" si="91"/>
        <v>0233-11</v>
      </c>
      <c r="AE145" s="85" t="str">
        <f t="shared" si="92"/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AF145" s="82" t="str">
        <f t="shared" si="93"/>
        <v>"C:\Program Files (x86)\AstroGrep\AstroGrep.exe" /spath="%USERPROFILE%\AppData\Local\Temp\OnboardLogs" /stypes="app*4025*20170212*" /stext=" 05:.+((SYSTEM_STATE.+slice.+state.+changed )|(ment ac)|(multiple cpu faults)|(system.+state.+changed )|(\[timeout)|(PRM\|1\|D)|(kpr)|(kdp)|(\|lc)|(penalty))" /e /r /s</v>
      </c>
      <c r="AG145" s="1" t="str">
        <f t="shared" si="94"/>
        <v>EC</v>
      </c>
      <c r="AH145" s="86" t="str">
        <f t="shared" si="95"/>
        <v>"%USERPROFILE%\Documents\GitHub\eaglep3\Utilities\RefineRTDCRunTimes.py" --tripid 233-11 --locoid 4025 --swversion DE.1.0.8.0 --startMP 204:426 --initTime 2017-02-11T21:37:34 --startdatetime 2017-02-11T22:00:43 --delay 2 --endMP 204:233366 --enddatetime 2017-02-11T22:37:48 --enforcementcount 1 &gt;&gt;C:\Users\stu\Documents\GitHub\eaglep3-reporting\EC\2017-02-11-refined-times.txt</v>
      </c>
      <c r="AI145" s="108" t="str">
        <f t="shared" si="96"/>
        <v>echo {"issue":{"subject":"","project_id":79,"tracker_id":40,"status_id":1,"priority_id":2,"assigned_to_id":23,"start_date":"2017-02-11","description":"","custom_fields":[{"id":1,"name":"Subdivision","value":"EC"},{"id":4,"name":"Milepost","value":"23.3366"},{"id":17,"name":"Train ID","value":"233-11"},{"id":16,"name":"Locomotive ID","value":"4025"},{"id":130,"name":"Impact","value":""},{"id":150,"name":"Time of Event (Mountain Time)","value":"22:37:48"},{"id":151,"name":"Denver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97"/>
        <v>start /low /b %USERPROFILE%\Documents\GitHub\eaglep3\Utilities\DownloadLogsFromS3.py --loco 4025 --day 2017-02-11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"%USERPROFILE%\AppData\Local\Temp\OnboardLogs"\RTDC4025\*4025*20170212* | grep -SE "(Enforcement Action)|(\[TIMEOUT)|(CHR.+\|PRM\|1\|D.+(SWITCH|SIGNAL).+UNKNOWN)" - &gt;&gt; 2017-02-11-UncaughtWiMAX.txt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530</v>
      </c>
      <c r="B146" s="7">
        <v>4026</v>
      </c>
      <c r="C146" s="21" t="s">
        <v>193</v>
      </c>
      <c r="D146" s="21" t="s">
        <v>850</v>
      </c>
      <c r="E146" s="13">
        <v>42777.954282407409</v>
      </c>
      <c r="F146" s="13">
        <v>42777.956145833334</v>
      </c>
      <c r="G146" s="7">
        <v>1</v>
      </c>
      <c r="H146" s="21" t="s">
        <v>209</v>
      </c>
      <c r="I146" s="13">
        <v>42777.982615740744</v>
      </c>
      <c r="J146" s="7">
        <v>1</v>
      </c>
      <c r="K146" s="98" t="str">
        <f t="shared" si="84"/>
        <v>4025/4026</v>
      </c>
      <c r="L146" s="21" t="str">
        <f>VLOOKUP(A146,'Trips&amp;Operators'!$C$1:$G$99999,5,FALSE)</f>
        <v>STAMBAUGH JAMES</v>
      </c>
      <c r="M146" s="6">
        <f t="shared" si="85"/>
        <v>2.6469907410501037E-2</v>
      </c>
      <c r="N146" s="7">
        <f t="shared" si="83"/>
        <v>38.116666671121493</v>
      </c>
      <c r="O146" s="7"/>
      <c r="P146" s="7"/>
      <c r="Q146" s="22"/>
      <c r="R146" s="22"/>
      <c r="S146" s="31">
        <f t="shared" si="86"/>
        <v>1</v>
      </c>
      <c r="T146" s="46" t="str">
        <f t="shared" si="87"/>
        <v>Southbound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 t="shared" si="88"/>
        <v>https://d0f6bd738d7f1b3e5a7ca70fe4ff75f0.us-east-1.aws.found.io/app/kibana#/discover/Steve-Slow-Train-Analysis-(2080s-and-2083s)?_g=(refreshInterval:(display:Off,pause:!f,section:0,value:0),time:(from:'2017-02-11T21:54:10-0700',mode:absolute,to:'2017-02-12T00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6" s="188" t="str">
        <f t="shared" si="89"/>
        <v>N</v>
      </c>
      <c r="X146" s="188">
        <f t="shared" si="82"/>
        <v>1</v>
      </c>
      <c r="Y146" s="62">
        <f t="shared" si="80"/>
        <v>23.306000000000001</v>
      </c>
      <c r="Z146" s="62">
        <f t="shared" si="81"/>
        <v>1.5800000000000002E-2</v>
      </c>
      <c r="AA146" s="62">
        <f t="shared" si="90"/>
        <v>23.290200000000002</v>
      </c>
      <c r="AB146" s="59" t="str">
        <f>VLOOKUP(A146,Enforcements!$C$7:$K$14,8,0)</f>
        <v>Speed (6)</v>
      </c>
      <c r="AC146" s="55" t="str">
        <f>VLOOKUP(A146,Enforcements!$C$7:$E$14,3,0)</f>
        <v>PERMANENT SPEED RESTRICTION</v>
      </c>
      <c r="AD146" s="56" t="str">
        <f t="shared" si="91"/>
        <v>0234-11</v>
      </c>
      <c r="AE146" s="85" t="str">
        <f t="shared" si="92"/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AF146" s="82" t="str">
        <f t="shared" si="93"/>
        <v>"C:\Program Files (x86)\AstroGrep\AstroGrep.exe" /spath="%USERPROFILE%\AppData\Local\Temp\OnboardLogs" /stypes="app*4026*20170212*" /stext=" 06:.+((SYSTEM_STATE.+slice.+state.+changed )|(ment ac)|(multiple cpu faults)|(system.+state.+changed )|(\[timeout)|(PRM\|1\|D)|(kpr)|(kdp)|(\|lc)|(penalty))" /e /r /s</v>
      </c>
      <c r="AG146" s="1" t="str">
        <f t="shared" si="94"/>
        <v>EC</v>
      </c>
      <c r="AH146" s="86" t="str">
        <f t="shared" si="95"/>
        <v>"%USERPROFILE%\Documents\GitHub\eaglep3\Utilities\RefineRTDCRunTimes.py" --tripid 234-11 --locoid 4026 --swversion DE.1.0.8.0 --startMP 204:233060 --initTime 2017-02-11T22:54:10 --startdatetime 2017-02-11T22:56:51 --delay 1 --endMP 204:158 --enddatetime 2017-02-11T23:34:58 --enforcementcount 1 &gt;&gt;C:\Users\stu\Documents\GitHub\eaglep3-reporting\EC\2017-02-11-refined-times.txt</v>
      </c>
      <c r="AI146" s="108" t="str">
        <f t="shared" si="96"/>
        <v>echo {"issue":{"subject":"","project_id":79,"tracker_id":40,"status_id":1,"priority_id":2,"assigned_to_id":23,"start_date":"2017-02-11","description":"","custom_fields":[{"id":1,"name":"Subdivision","value":"EC"},{"id":4,"name":"Milepost","value":"0.0158"},{"id":17,"name":"Train ID","value":"234-11"},{"id":16,"name":"Locomotive ID","value":"4026"},{"id":130,"name":"Impact","value":""},{"id":150,"name":"Time of Event (Mountain Time)","value":"23:34:58"},{"id":151,"name":"Denver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97"/>
        <v>start /low /b %USERPROFILE%\Documents\GitHub\eaglep3\Utilities\DownloadLogsFromS3.py --loco 4026 --day 2017-02-11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"%USERPROFILE%\AppData\Local\Temp\OnboardLogs"\RTDC4026\*4026*20170212* | grep -SE "(Enforcement Action)|(\[TIMEOUT)|(CHR.+\|PRM\|1\|D.+(SWITCH|SIGNAL).+UNKNOWN)" - &gt;&gt; 2017-02-11-UncaughtWiMAX.txt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714</v>
      </c>
      <c r="B147" s="7">
        <v>4011</v>
      </c>
      <c r="C147" s="21" t="s">
        <v>193</v>
      </c>
      <c r="D147" s="21" t="s">
        <v>280</v>
      </c>
      <c r="E147" s="13">
        <v>42777.923101851855</v>
      </c>
      <c r="F147" s="13">
        <v>42777.937696759262</v>
      </c>
      <c r="G147" s="7">
        <v>1</v>
      </c>
      <c r="H147" s="21" t="s">
        <v>851</v>
      </c>
      <c r="I147" s="13">
        <v>42777.962812500002</v>
      </c>
      <c r="J147" s="7">
        <v>1</v>
      </c>
      <c r="K147" s="98" t="str">
        <f t="shared" si="84"/>
        <v>4011/4012</v>
      </c>
      <c r="L147" s="21" t="str">
        <f>VLOOKUP(A147,'Trips&amp;Operators'!$C$1:$G$99999,5,FALSE)</f>
        <v>HILLS DUSTIN</v>
      </c>
      <c r="M147" s="6">
        <f t="shared" si="85"/>
        <v>2.5115740740147885E-2</v>
      </c>
      <c r="N147" s="7">
        <f t="shared" si="83"/>
        <v>36.166666665812954</v>
      </c>
      <c r="O147" s="7"/>
      <c r="P147" s="7"/>
      <c r="Q147" s="22"/>
      <c r="R147" s="22"/>
      <c r="S147" s="31">
        <f t="shared" si="86"/>
        <v>1</v>
      </c>
      <c r="T147" s="46" t="str">
        <f t="shared" si="87"/>
        <v>NorthBound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 t="shared" si="88"/>
        <v>https://d0f6bd738d7f1b3e5a7ca70fe4ff75f0.us-east-1.aws.found.io/app/kibana#/discover/Steve-Slow-Train-Analysis-(2080s-and-2083s)?_g=(refreshInterval:(display:Off,pause:!f,section:0,value:0),time:(from:'2017-02-11T21:09:16-0700',mode:absolute,to:'2017-02-12T00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188" t="str">
        <f t="shared" si="89"/>
        <v>N</v>
      </c>
      <c r="X147" s="188">
        <f t="shared" si="82"/>
        <v>1</v>
      </c>
      <c r="Y147" s="62">
        <f t="shared" si="80"/>
        <v>4.4600000000000001E-2</v>
      </c>
      <c r="Z147" s="62">
        <f t="shared" si="81"/>
        <v>23.341000000000001</v>
      </c>
      <c r="AA147" s="62">
        <f t="shared" si="90"/>
        <v>23.296400000000002</v>
      </c>
      <c r="AB147" s="59" t="e">
        <f>VLOOKUP(A147,Enforcements!$C$7:$K$14,8,0)</f>
        <v>#N/A</v>
      </c>
      <c r="AC147" s="55" t="e">
        <f>VLOOKUP(A147,Enforcements!$C$7:$E$14,3,0)</f>
        <v>#N/A</v>
      </c>
      <c r="AD147" s="56" t="str">
        <f t="shared" si="91"/>
        <v>0235-11</v>
      </c>
      <c r="AE147" s="85" t="str">
        <f t="shared" si="92"/>
        <v>aws s3 cp s3://rtdc.mdm.uploadarchive.raw/RTDC4011/ "%USERPROFILE%\AppData\Local\Temp\OnboardLogs"\RTDC4011\2017-02-11 --exclude "*" --recursive --include "*20170211*" &amp; "%USERPROFILE%\Documents\GitHub\mrs-test-scripts\Headless Mode &amp; Sideloading\WalkAndUnGZ.bat" "%USERPROFILE%\AppData\Local\Temp\OnboardLogs"\RTDC4011\2017-02-11 &amp; 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</v>
      </c>
      <c r="AF147" s="82" t="str">
        <f t="shared" si="93"/>
        <v>"C:\Program Files (x86)\AstroGrep\AstroGrep.exe" /spath="%USERPROFILE%\AppData\Local\Temp\OnboardLogs" /stypes="app*4011*20170212*" /stext=" 06:.+((SYSTEM_STATE.+slice.+state.+changed )|(ment ac)|(multiple cpu faults)|(system.+state.+changed )|(\[timeout)|(PRM\|1\|D)|(kpr)|(kdp)|(\|lc)|(penalty))" /e /r /s</v>
      </c>
      <c r="AG147" s="1" t="str">
        <f t="shared" si="94"/>
        <v>EC</v>
      </c>
      <c r="AH147" s="86" t="str">
        <f t="shared" si="95"/>
        <v>"%USERPROFILE%\Documents\GitHub\eaglep3\Utilities\RefineRTDCRunTimes.py" --tripid 235-11 --locoid 4011 --swversion DE.1.0.8.0 --startMP 204:446 --initTime 2017-02-11T22:09:16 --startdatetime 2017-02-11T22:30:17 --delay 1 --endMP 204:233410 --enddatetime 2017-02-11T23:06:27 --enforcementcount 1 &gt;&gt;C:\Users\stu\Documents\GitHub\eaglep3-reporting\EC\2017-02-11-refined-times.txt</v>
      </c>
      <c r="AI147" s="108" t="str">
        <f t="shared" si="96"/>
        <v>echo {"issue":{"subject":"","project_id":79,"tracker_id":40,"status_id":1,"priority_id":2,"assigned_to_id":23,"start_date":"2017-02-11","description":"","custom_fields":[{"id":1,"name":"Subdivision","value":"EC"},{"id":4,"name":"Milepost","value":"23.341"},{"id":17,"name":"Train ID","value":"235-11"},{"id":16,"name":"Locomotive ID","value":"4011"},{"id":130,"name":"Impact","value":""},{"id":150,"name":"Time of Event (Mountain Time)","value":"23:06:27"},{"id":151,"name":"Denver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97"/>
        <v>start /low /b %USERPROFILE%\Documents\GitHub\eaglep3\Utilities\DownloadLogsFromS3.py --loco 4011 --day 2017-02-11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"%USERPROFILE%\AppData\Local\Temp\OnboardLogs"\RTDC4011\*4011*20170212* | grep -SE "(Enforcement Action)|(\[TIMEOUT)|(CHR.+\|PRM\|1\|D.+(SWITCH|SIGNAL).+UNKNOWN)" - &gt;&gt; 2017-02-11-UncaughtWiMAX.txt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719</v>
      </c>
      <c r="B148" s="7">
        <v>4012</v>
      </c>
      <c r="C148" s="21" t="s">
        <v>193</v>
      </c>
      <c r="D148" s="21" t="s">
        <v>852</v>
      </c>
      <c r="E148" s="13">
        <v>42777.967858796299</v>
      </c>
      <c r="F148" s="13">
        <v>42777.976643518516</v>
      </c>
      <c r="G148" s="7">
        <v>0</v>
      </c>
      <c r="H148" s="21" t="s">
        <v>483</v>
      </c>
      <c r="I148" s="13">
        <v>42778.004837962966</v>
      </c>
      <c r="J148" s="7">
        <v>1</v>
      </c>
      <c r="K148" s="98" t="str">
        <f t="shared" si="84"/>
        <v>4011/4012</v>
      </c>
      <c r="L148" s="21" t="str">
        <f>VLOOKUP(A148,'Trips&amp;Operators'!$C$1:$G$99999,5,FALSE)</f>
        <v>HILLS DUSTIN</v>
      </c>
      <c r="M148" s="6">
        <f t="shared" si="85"/>
        <v>2.8194444450491574E-2</v>
      </c>
      <c r="N148" s="7">
        <f t="shared" si="83"/>
        <v>40.600000008707866</v>
      </c>
      <c r="O148" s="7"/>
      <c r="P148" s="7"/>
      <c r="Q148" s="22"/>
      <c r="R148" s="22"/>
      <c r="S148" s="31">
        <f t="shared" si="86"/>
        <v>1</v>
      </c>
      <c r="T148" s="46" t="str">
        <f t="shared" si="87"/>
        <v>Southbound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 t="shared" si="88"/>
        <v>https://d0f6bd738d7f1b3e5a7ca70fe4ff75f0.us-east-1.aws.found.io/app/kibana#/discover/Steve-Slow-Train-Analysis-(2080s-and-2083s)?_g=(refreshInterval:(display:Off,pause:!f,section:0,value:0),time:(from:'2017-02-11T22:13:43-0700',mode:absolute,to:'2017-02-12T01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8" s="188" t="str">
        <f t="shared" si="89"/>
        <v>N</v>
      </c>
      <c r="X148" s="188">
        <f t="shared" ref="X148:X151" si="98">VALUE(LEFT(AD148,4))-VALUE(LEFT(AD147,4))</f>
        <v>1</v>
      </c>
      <c r="Y148" s="62">
        <f t="shared" si="80"/>
        <v>23.310400000000001</v>
      </c>
      <c r="Z148" s="62">
        <f t="shared" si="81"/>
        <v>1.3599999999999999E-2</v>
      </c>
      <c r="AA148" s="62">
        <f t="shared" si="90"/>
        <v>23.296800000000001</v>
      </c>
      <c r="AB148" s="59" t="e">
        <f>VLOOKUP(A148,Enforcements!$C$7:$K$14,8,0)</f>
        <v>#N/A</v>
      </c>
      <c r="AC148" s="55" t="e">
        <f>VLOOKUP(A148,Enforcements!$C$7:$E$14,3,0)</f>
        <v>#N/A</v>
      </c>
      <c r="AD148" s="56" t="str">
        <f t="shared" si="91"/>
        <v>0236-11</v>
      </c>
      <c r="AE148" s="85" t="str">
        <f t="shared" si="92"/>
        <v>aws s3 cp s3://rtdc.mdm.uploadarchive.raw/RTDC4012/ "%USERPROFILE%\AppData\Local\Temp\OnboardLogs"\RTDC4012\2017-02-11 --exclude "*" --recursive --include "*20170211*" &amp; "%USERPROFILE%\Documents\GitHub\mrs-test-scripts\Headless Mode &amp; Sideloading\WalkAndUnGZ.bat" "%USERPROFILE%\AppData\Local\Temp\OnboardLogs"\RTDC4012\2017-02-11 &amp; aws s3 cp s3://rtdc.mdm.uploadarchive.raw/RTDC4012/ "%USERPROFILE%\AppData\Local\Temp\OnboardLogs"\RTDC4012\2017-02-12 --exclude "*" --recursive --include "*20170212*" &amp; "%USERPROFILE%\Documents\GitHub\mrs-test-scripts\Headless Mode &amp; Sideloading\WalkAndUnGZ.bat" "%USERPROFILE%\AppData\Local\Temp\OnboardLogs"\RTDC4012\2017-02-12</v>
      </c>
      <c r="AF148" s="82" t="str">
        <f t="shared" si="93"/>
        <v>"C:\Program Files (x86)\AstroGrep\AstroGrep.exe" /spath="%USERPROFILE%\AppData\Local\Temp\OnboardLogs" /stypes="app*4012*20170212*" /stext=" 07:.+((SYSTEM_STATE.+slice.+state.+changed )|(ment ac)|(multiple cpu faults)|(system.+state.+changed )|(\[timeout)|(PRM\|1\|D)|(kpr)|(kdp)|(\|lc)|(penalty))" /e /r /s</v>
      </c>
      <c r="AG148" s="1" t="str">
        <f t="shared" si="94"/>
        <v>EC</v>
      </c>
      <c r="AH148" s="86" t="str">
        <f t="shared" si="95"/>
        <v>"%USERPROFILE%\Documents\GitHub\eaglep3\Utilities\RefineRTDCRunTimes.py" --tripid 236-11 --locoid 4012 --swversion DE.1.0.8.0 --startMP 204:233104 --initTime 2017-02-11T23:13:43 --startdatetime 2017-02-11T23:26:22 --delay 0 --endMP 204:136 --enddatetime 2017-02-12T00:06:58 --enforcementcount 1 &gt;&gt;C:\Users\stu\Documents\GitHub\eaglep3-reporting\EC\2017-02-11-refined-times.txt</v>
      </c>
      <c r="AI148" s="108" t="str">
        <f t="shared" si="96"/>
        <v>echo {"issue":{"subject":"","project_id":79,"tracker_id":40,"status_id":1,"priority_id":2,"assigned_to_id":23,"start_date":"2017-02-12","description":"","custom_fields":[{"id":1,"name":"Subdivision","value":"EC"},{"id":4,"name":"Milepost","value":"0.0136"},{"id":17,"name":"Train ID","value":"236-11"},{"id":16,"name":"Locomotive ID","value":"4012"},{"id":130,"name":"Impact","value":""},{"id":150,"name":"Time of Event (Mountain Time)","value":"00:06:58"},{"id":151,"name":"Denver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97"/>
        <v>start /low /b %USERPROFILE%\Documents\GitHub\eaglep3\Utilities\DownloadLogsFromS3.py --loco 4012 --day 2017-02-11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"%USERPROFILE%\AppData\Local\Temp\OnboardLogs"\RTDC4012\*4012*20170212* | grep -SE "(Enforcement Action)|(\[TIMEOUT)|(CHR.+\|PRM\|1\|D.+(SWITCH|SIGNAL).+UNKNOWN)" - &gt;&gt; 2017-02-11-UncaughtWiMAX.txt</v>
      </c>
    </row>
    <row r="149" spans="1:91" s="20" customFormat="1" x14ac:dyDescent="0.25">
      <c r="A149" s="33" t="s">
        <v>718</v>
      </c>
      <c r="B149" s="7">
        <v>4020</v>
      </c>
      <c r="C149" s="21" t="s">
        <v>193</v>
      </c>
      <c r="D149" s="21" t="s">
        <v>235</v>
      </c>
      <c r="E149" s="13">
        <v>42777.951006944444</v>
      </c>
      <c r="F149" s="13">
        <v>42777.958483796298</v>
      </c>
      <c r="G149" s="7">
        <v>2</v>
      </c>
      <c r="H149" s="21" t="s">
        <v>356</v>
      </c>
      <c r="I149" s="13">
        <v>42777.984479166669</v>
      </c>
      <c r="J149" s="7">
        <v>1</v>
      </c>
      <c r="K149" s="98" t="str">
        <f t="shared" si="84"/>
        <v>4019/4020</v>
      </c>
      <c r="L149" s="21" t="str">
        <f>VLOOKUP(A149,'Trips&amp;Operators'!$C$1:$G$99999,5,FALSE)</f>
        <v>BROWN JACOB</v>
      </c>
      <c r="M149" s="6">
        <f t="shared" si="85"/>
        <v>2.5995370371674653E-2</v>
      </c>
      <c r="N149" s="7">
        <f t="shared" si="83"/>
        <v>37.433333335211501</v>
      </c>
      <c r="O149" s="7"/>
      <c r="P149" s="7"/>
      <c r="Q149" s="22"/>
      <c r="R149" s="22"/>
      <c r="S149" s="31">
        <f t="shared" si="86"/>
        <v>1</v>
      </c>
      <c r="T149" s="46" t="str">
        <f t="shared" si="87"/>
        <v>NorthBound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 t="shared" si="88"/>
        <v>https://d0f6bd738d7f1b3e5a7ca70fe4ff75f0.us-east-1.aws.found.io/app/kibana#/discover/Steve-Slow-Train-Analysis-(2080s-and-2083s)?_g=(refreshInterval:(display:Off,pause:!f,section:0,value:0),time:(from:'2017-02-11T21:49:27-0700',mode:absolute,to:'2017-02-12T00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9" s="188" t="str">
        <f t="shared" si="89"/>
        <v>N</v>
      </c>
      <c r="X149" s="188">
        <f t="shared" si="98"/>
        <v>1</v>
      </c>
      <c r="Y149" s="62">
        <f t="shared" si="80"/>
        <v>4.5100000000000001E-2</v>
      </c>
      <c r="Z149" s="62">
        <f t="shared" si="81"/>
        <v>23.3323</v>
      </c>
      <c r="AA149" s="62">
        <f t="shared" si="90"/>
        <v>23.287199999999999</v>
      </c>
      <c r="AB149" s="59" t="e">
        <f>VLOOKUP(A149,Enforcements!$C$7:$K$14,8,0)</f>
        <v>#N/A</v>
      </c>
      <c r="AC149" s="55" t="e">
        <f>VLOOKUP(A149,Enforcements!$C$7:$E$14,3,0)</f>
        <v>#N/A</v>
      </c>
      <c r="AD149" s="56" t="str">
        <f t="shared" si="91"/>
        <v>0237-11</v>
      </c>
      <c r="AE149" s="85" t="str">
        <f t="shared" si="92"/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AF149" s="82" t="str">
        <f t="shared" si="93"/>
        <v>"C:\Program Files (x86)\AstroGrep\AstroGrep.exe" /spath="%USERPROFILE%\AppData\Local\Temp\OnboardLogs" /stypes="app*4020*20170212*" /stext=" 06:.+((SYSTEM_STATE.+slice.+state.+changed )|(ment ac)|(multiple cpu faults)|(system.+state.+changed )|(\[timeout)|(PRM\|1\|D)|(kpr)|(kdp)|(\|lc)|(penalty))" /e /r /s</v>
      </c>
      <c r="AG149" s="1" t="str">
        <f t="shared" si="94"/>
        <v>EC</v>
      </c>
      <c r="AH149" s="86" t="str">
        <f t="shared" si="95"/>
        <v>"%USERPROFILE%\Documents\GitHub\eaglep3\Utilities\RefineRTDCRunTimes.py" --tripid 237-11 --locoid 4020 --swversion DE.1.0.8.0 --startMP 204:451 --initTime 2017-02-11T22:49:27 --startdatetime 2017-02-11T23:00:13 --delay 2 --endMP 204:233323 --enddatetime 2017-02-11T23:37:39 --enforcementcount 1 &gt;&gt;C:\Users\stu\Documents\GitHub\eaglep3-reporting\EC\2017-02-11-refined-times.txt</v>
      </c>
      <c r="AI149" s="108" t="str">
        <f t="shared" si="96"/>
        <v>echo {"issue":{"subject":"","project_id":79,"tracker_id":40,"status_id":1,"priority_id":2,"assigned_to_id":23,"start_date":"2017-02-11","description":"","custom_fields":[{"id":1,"name":"Subdivision","value":"EC"},{"id":4,"name":"Milepost","value":"23.3323"},{"id":17,"name":"Train ID","value":"237-11"},{"id":16,"name":"Locomotive ID","value":"4020"},{"id":130,"name":"Impact","value":""},{"id":150,"name":"Time of Event (Mountain Time)","value":"23:37:39"},{"id":151,"name":"Denver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97"/>
        <v>start /low /b %USERPROFILE%\Documents\GitHub\eaglep3\Utilities\DownloadLogsFromS3.py --loco 4020 --day 2017-02-11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"%USERPROFILE%\AppData\Local\Temp\OnboardLogs"\RTDC4020\*4020*20170212* | grep -SE "(Enforcement Action)|(\[TIMEOUT)|(CHR.+\|PRM\|1\|D.+(SWITCH|SIGNAL).+UNKNOWN)" - &gt;&gt; 2017-02-11-UncaughtWiMAX.txt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721</v>
      </c>
      <c r="B150" s="7">
        <v>4019</v>
      </c>
      <c r="C150" s="21" t="s">
        <v>193</v>
      </c>
      <c r="D150" s="21" t="s">
        <v>853</v>
      </c>
      <c r="E150" s="13">
        <v>42777.99496527778</v>
      </c>
      <c r="F150" s="13">
        <v>42777.997372685182</v>
      </c>
      <c r="G150" s="7">
        <v>1</v>
      </c>
      <c r="H150" s="21" t="s">
        <v>854</v>
      </c>
      <c r="I150" s="13">
        <v>42778.023692129631</v>
      </c>
      <c r="J150" s="7">
        <v>1</v>
      </c>
      <c r="K150" s="98" t="str">
        <f t="shared" si="84"/>
        <v>4019/4020</v>
      </c>
      <c r="L150" s="21" t="str">
        <f>VLOOKUP(A150,'Trips&amp;Operators'!$C$1:$G$99999,5,FALSE)</f>
        <v>BROWN JACOB</v>
      </c>
      <c r="M150" s="6">
        <f t="shared" si="85"/>
        <v>2.6319444448745344E-2</v>
      </c>
      <c r="N150" s="7">
        <f t="shared" si="83"/>
        <v>37.900000006193295</v>
      </c>
      <c r="O150" s="7"/>
      <c r="P150" s="7"/>
      <c r="Q150" s="22"/>
      <c r="R150" s="22"/>
      <c r="S150" s="31">
        <f t="shared" si="86"/>
        <v>1</v>
      </c>
      <c r="T150" s="46" t="str">
        <f t="shared" si="87"/>
        <v>Southbound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 t="shared" si="88"/>
        <v>https://d0f6bd738d7f1b3e5a7ca70fe4ff75f0.us-east-1.aws.found.io/app/kibana#/discover/Steve-Slow-Train-Analysis-(2080s-and-2083s)?_g=(refreshInterval:(display:Off,pause:!f,section:0,value:0),time:(from:'2017-02-11T22:52:45-0700',mode:absolute,to:'2017-02-12T01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188" t="str">
        <f t="shared" si="89"/>
        <v>N</v>
      </c>
      <c r="X150" s="188">
        <f t="shared" si="98"/>
        <v>1</v>
      </c>
      <c r="Y150" s="62">
        <f t="shared" si="80"/>
        <v>23.300999999999998</v>
      </c>
      <c r="Z150" s="62">
        <f t="shared" si="81"/>
        <v>1.5100000000000001E-2</v>
      </c>
      <c r="AA150" s="62">
        <f t="shared" si="90"/>
        <v>23.285899999999998</v>
      </c>
      <c r="AB150" s="59" t="e">
        <f>VLOOKUP(A150,Enforcements!$C$7:$K$14,8,0)</f>
        <v>#N/A</v>
      </c>
      <c r="AC150" s="55" t="e">
        <f>VLOOKUP(A150,Enforcements!$C$7:$E$14,3,0)</f>
        <v>#N/A</v>
      </c>
      <c r="AD150" s="56" t="str">
        <f t="shared" si="91"/>
        <v>0238-11</v>
      </c>
      <c r="AE150" s="85" t="str">
        <f t="shared" si="92"/>
        <v>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 &amp; 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</v>
      </c>
      <c r="AF150" s="82" t="str">
        <f t="shared" si="93"/>
        <v>"C:\Program Files (x86)\AstroGrep\AstroGrep.exe" /spath="%USERPROFILE%\AppData\Local\Temp\OnboardLogs" /stypes="app*4019*20170212*" /stext=" 07:.+((SYSTEM_STATE.+slice.+state.+changed )|(ment ac)|(multiple cpu faults)|(system.+state.+changed )|(\[timeout)|(PRM\|1\|D)|(kpr)|(kdp)|(\|lc)|(penalty))" /e /r /s</v>
      </c>
      <c r="AG150" s="1" t="str">
        <f t="shared" si="94"/>
        <v>EC</v>
      </c>
      <c r="AH150" s="86" t="str">
        <f t="shared" si="95"/>
        <v>"%USERPROFILE%\Documents\GitHub\eaglep3\Utilities\RefineRTDCRunTimes.py" --tripid 238-11 --locoid 4019 --swversion DE.1.0.8.0 --startMP 204:233010 --initTime 2017-02-11T23:52:45 --startdatetime 2017-02-11T23:56:13 --delay 1 --endMP 204:151 --enddatetime 2017-02-12T00:34:07 --enforcementcount 1 &gt;&gt;C:\Users\stu\Documents\GitHub\eaglep3-reporting\EC\2017-02-11-refined-times.txt</v>
      </c>
      <c r="AI150" s="108" t="str">
        <f t="shared" si="96"/>
        <v>echo {"issue":{"subject":"","project_id":79,"tracker_id":40,"status_id":1,"priority_id":2,"assigned_to_id":23,"start_date":"2017-02-12","description":"","custom_fields":[{"id":1,"name":"Subdivision","value":"EC"},{"id":4,"name":"Milepost","value":"0.0151"},{"id":17,"name":"Train ID","value":"238-11"},{"id":16,"name":"Locomotive ID","value":"4019"},{"id":130,"name":"Impact","value":""},{"id":150,"name":"Time of Event (Mountain Time)","value":"00:34:07"},{"id":151,"name":"Denver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97"/>
        <v>start /low /b %USERPROFILE%\Documents\GitHub\eaglep3\Utilities\DownloadLogsFromS3.py --loco 4019 --day 2017-02-11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"%USERPROFILE%\AppData\Local\Temp\OnboardLogs"\RTDC4019\*4019*20170212* | grep -SE "(Enforcement Action)|(\[TIMEOUT)|(CHR.+\|PRM\|1\|D.+(SWITCH|SIGNAL).+UNKNOWN)" - &gt;&gt; 2017-02-11-UncaughtWiMAX.txt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531</v>
      </c>
      <c r="B151" s="7">
        <v>4044</v>
      </c>
      <c r="C151" s="21" t="s">
        <v>193</v>
      </c>
      <c r="D151" s="21" t="s">
        <v>218</v>
      </c>
      <c r="E151" s="13">
        <v>42777.965497685182</v>
      </c>
      <c r="F151" s="13">
        <v>42777.979363425926</v>
      </c>
      <c r="G151" s="7">
        <v>1</v>
      </c>
      <c r="H151" s="21" t="s">
        <v>855</v>
      </c>
      <c r="I151" s="13">
        <v>42778.007430555554</v>
      </c>
      <c r="J151" s="7">
        <v>1</v>
      </c>
      <c r="K151" s="98" t="str">
        <f t="shared" si="84"/>
        <v>4043/4044</v>
      </c>
      <c r="L151" s="21" t="str">
        <f>VLOOKUP(A151,'Trips&amp;Operators'!$C$1:$G$99999,5,FALSE)</f>
        <v>SMITH MICHAEL</v>
      </c>
      <c r="M151" s="6">
        <f t="shared" si="85"/>
        <v>2.806712962774327E-2</v>
      </c>
      <c r="N151" s="7">
        <f t="shared" si="83"/>
        <v>40.416666663950309</v>
      </c>
      <c r="O151" s="7"/>
      <c r="P151" s="7"/>
      <c r="Q151" s="22"/>
      <c r="R151" s="22"/>
      <c r="S151" s="31">
        <f t="shared" si="86"/>
        <v>1</v>
      </c>
      <c r="T151" s="46" t="str">
        <f t="shared" si="87"/>
        <v>NorthBound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 t="shared" si="88"/>
        <v>https://d0f6bd738d7f1b3e5a7ca70fe4ff75f0.us-east-1.aws.found.io/app/kibana#/discover/Steve-Slow-Train-Analysis-(2080s-and-2083s)?_g=(refreshInterval:(display:Off,pause:!f,section:0,value:0),time:(from:'2017-02-11T22:10:19-0700',mode:absolute,to:'2017-02-12T01:10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1" s="188" t="str">
        <f t="shared" si="89"/>
        <v>N</v>
      </c>
      <c r="X151" s="188">
        <f t="shared" si="98"/>
        <v>1</v>
      </c>
      <c r="Y151" s="62">
        <f t="shared" si="80"/>
        <v>4.6899999999999997E-2</v>
      </c>
      <c r="Z151" s="62">
        <f t="shared" si="81"/>
        <v>23.347000000000001</v>
      </c>
      <c r="AA151" s="62">
        <f t="shared" si="90"/>
        <v>23.3001</v>
      </c>
      <c r="AB151" s="59" t="e">
        <f>VLOOKUP(A151,Enforcements!$C$7:$K$14,8,0)</f>
        <v>#N/A</v>
      </c>
      <c r="AC151" s="55" t="e">
        <f>VLOOKUP(A151,Enforcements!$C$7:$E$14,3,0)</f>
        <v>#N/A</v>
      </c>
      <c r="AD151" s="56" t="str">
        <f t="shared" si="91"/>
        <v>0239-11</v>
      </c>
      <c r="AE151" s="85" t="str">
        <f t="shared" si="92"/>
        <v>aws s3 cp s3://rtdc.mdm.uploadarchive.raw/RTDC4044/ "%USERPROFILE%\AppData\Local\Temp\OnboardLogs"\RTDC4044\2017-02-11 --exclude "*" --recursive --include "*20170211*" &amp; "%USERPROFILE%\Documents\GitHub\mrs-test-scripts\Headless Mode &amp; Sideloading\WalkAndUnGZ.bat" "%USERPROFILE%\AppData\Local\Temp\OnboardLogs"\RTDC4044\2017-02-11 &amp; aws s3 cp s3://rtdc.mdm.uploadarchive.raw/RTDC4044/ "%USERPROFILE%\AppData\Local\Temp\OnboardLogs"\RTDC4044\2017-02-12 --exclude "*" --recursive --include "*20170212*" &amp; "%USERPROFILE%\Documents\GitHub\mrs-test-scripts\Headless Mode &amp; Sideloading\WalkAndUnGZ.bat" "%USERPROFILE%\AppData\Local\Temp\OnboardLogs"\RTDC4044\2017-02-12</v>
      </c>
      <c r="AF151" s="82" t="str">
        <f t="shared" si="93"/>
        <v>"C:\Program Files (x86)\AstroGrep\AstroGrep.exe" /spath="%USERPROFILE%\AppData\Local\Temp\OnboardLogs" /stypes="app*4044*20170212*" /stext=" 07:.+((SYSTEM_STATE.+slice.+state.+changed )|(ment ac)|(multiple cpu faults)|(system.+state.+changed )|(\[timeout)|(PRM\|1\|D)|(kpr)|(kdp)|(\|lc)|(penalty))" /e /r /s</v>
      </c>
      <c r="AG151" s="1" t="str">
        <f t="shared" si="94"/>
        <v>EC</v>
      </c>
      <c r="AH151" s="86" t="str">
        <f t="shared" si="95"/>
        <v>"%USERPROFILE%\Documents\GitHub\eaglep3\Utilities\RefineRTDCRunTimes.py" --tripid 239-11 --locoid 4044 --swversion DE.1.0.8.0 --startMP 204:469 --initTime 2017-02-11T23:10:19 --startdatetime 2017-02-11T23:30:17 --delay 1 --endMP 204:233470 --enddatetime 2017-02-12T00:10:42 --enforcementcount 1 &gt;&gt;C:\Users\stu\Documents\GitHub\eaglep3-reporting\EC\2017-02-11-refined-times.txt</v>
      </c>
      <c r="AI151" s="108" t="str">
        <f t="shared" si="96"/>
        <v>echo {"issue":{"subject":"","project_id":79,"tracker_id":40,"status_id":1,"priority_id":2,"assigned_to_id":23,"start_date":"2017-02-12","description":"","custom_fields":[{"id":1,"name":"Subdivision","value":"EC"},{"id":4,"name":"Milepost","value":"23.347"},{"id":17,"name":"Train ID","value":"239-11"},{"id":16,"name":"Locomotive ID","value":"4044"},{"id":130,"name":"Impact","value":""},{"id":150,"name":"Time of Event (Mountain Time)","value":"00:10:42"},{"id":151,"name":"Denver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97"/>
        <v>start /low /b %USERPROFILE%\Documents\GitHub\eaglep3\Utilities\DownloadLogsFromS3.py --loco 4044 --day 2017-02-11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"%USERPROFILE%\AppData\Local\Temp\OnboardLogs"\RTDC4044\*4044*20170212* | grep -SE "(Enforcement Action)|(\[TIMEOUT)|(CHR.+\|PRM\|1\|D.+(SWITCH|SIGNAL).+UNKNOWN)" - &gt;&gt; 2017-02-11-UncaughtWiMAX.txt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720</v>
      </c>
      <c r="B152" s="7">
        <v>4025</v>
      </c>
      <c r="C152" s="21" t="s">
        <v>193</v>
      </c>
      <c r="D152" s="21" t="s">
        <v>279</v>
      </c>
      <c r="E152" s="13">
        <v>42777.98636574074</v>
      </c>
      <c r="F152" s="13">
        <v>42778.000821759262</v>
      </c>
      <c r="G152" s="7">
        <v>1</v>
      </c>
      <c r="H152" s="21" t="s">
        <v>856</v>
      </c>
      <c r="I152" s="13">
        <v>42778.029062499998</v>
      </c>
      <c r="J152" s="7">
        <v>1</v>
      </c>
      <c r="K152" s="98" t="str">
        <f t="shared" si="84"/>
        <v>4025/4026</v>
      </c>
      <c r="L152" s="21" t="str">
        <f>VLOOKUP(A152,'Trips&amp;Operators'!$C$1:$G$99999,5,FALSE)</f>
        <v>STAMBAUGH JAMES</v>
      </c>
      <c r="M152" s="6">
        <f t="shared" si="85"/>
        <v>2.824074073578231E-2</v>
      </c>
      <c r="N152" s="7">
        <f t="shared" si="83"/>
        <v>40.666666659526527</v>
      </c>
      <c r="O152" s="7"/>
      <c r="P152" s="7"/>
      <c r="Q152" s="22"/>
      <c r="R152" s="22"/>
      <c r="S152" s="31">
        <f t="shared" si="86"/>
        <v>1</v>
      </c>
      <c r="T152" s="46" t="str">
        <f t="shared" si="87"/>
        <v>NorthBound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7" t="str">
        <f t="shared" si="88"/>
        <v>https://d0f6bd738d7f1b3e5a7ca70fe4ff75f0.us-east-1.aws.found.io/app/kibana#/discover/Steve-Slow-Train-Analysis-(2080s-and-2083s)?_g=(refreshInterval:(display:Off,pause:!f,section:0,value:0),time:(from:'2017-02-11T22:40:22-0700',mode:absolute,to:'2017-02-12T01:41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2" s="188" t="str">
        <f t="shared" si="89"/>
        <v>N</v>
      </c>
      <c r="X152" s="188">
        <f t="shared" ref="X152:X183" si="99">VALUE(LEFT(AD152,4))-VALUE(LEFT(AD151,4))</f>
        <v>2</v>
      </c>
      <c r="Y152" s="62">
        <f t="shared" si="80"/>
        <v>4.6699999999999998E-2</v>
      </c>
      <c r="Z152" s="62">
        <f t="shared" si="81"/>
        <v>23.315300000000001</v>
      </c>
      <c r="AA152" s="62">
        <f t="shared" si="90"/>
        <v>23.268599999999999</v>
      </c>
      <c r="AB152" s="59" t="e">
        <f>VLOOKUP(A152,Enforcements!$C$7:$K$14,8,0)</f>
        <v>#N/A</v>
      </c>
      <c r="AC152" s="55" t="e">
        <f>VLOOKUP(A152,Enforcements!$C$7:$E$14,3,0)</f>
        <v>#N/A</v>
      </c>
      <c r="AD152" s="56" t="str">
        <f t="shared" si="91"/>
        <v>0241-11</v>
      </c>
      <c r="AE152" s="85" t="str">
        <f t="shared" si="92"/>
        <v>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 &amp; aws s3 cp s3://rtdc.mdm.uploadarchive.raw/RTDC4025/ "%USERPROFILE%\AppData\Local\Temp\OnboardLogs"\RTDC4025\2017-02-13 --exclude "*" --recursive --include "*20170213*" &amp; "%USERPROFILE%\Documents\GitHub\mrs-test-scripts\Headless Mode &amp; Sideloading\WalkAndUnGZ.bat" "%USERPROFILE%\AppData\Local\Temp\OnboardLogs"\RTDC4025\2017-02-13</v>
      </c>
      <c r="AF152" s="82" t="str">
        <f t="shared" si="93"/>
        <v>"C:\Program Files (x86)\AstroGrep\AstroGrep.exe" /spath="%USERPROFILE%\AppData\Local\Temp\OnboardLogs" /stypes="app*4025*20170212*" /stext=" 07:.+((SYSTEM_STATE.+slice.+state.+changed )|(ment ac)|(multiple cpu faults)|(system.+state.+changed )|(\[timeout)|(PRM\|1\|D)|(kpr)|(kdp)|(\|lc)|(penalty))" /e /r /s</v>
      </c>
      <c r="AG152" s="1" t="str">
        <f t="shared" si="94"/>
        <v>EC</v>
      </c>
      <c r="AH152" s="86" t="str">
        <f t="shared" si="95"/>
        <v>"%USERPROFILE%\Documents\GitHub\eaglep3\Utilities\RefineRTDCRunTimes.py" --tripid 241-11 --locoid 4025 --swversion DE.1.0.8.0 --startMP 204:467 --initTime 2017-02-11T23:40:22 --startdatetime 2017-02-12T00:01:11 --delay 1 --endMP 204:233153 --enddatetime 2017-02-12T00:41:51 --enforcementcount 1 &gt;&gt;C:\Users\stu\Documents\GitHub\eaglep3-reporting\EC\2017-02-11-refined-times.txt</v>
      </c>
      <c r="AI152" s="108" t="str">
        <f t="shared" si="96"/>
        <v>echo {"issue":{"subject":"","project_id":79,"tracker_id":40,"status_id":1,"priority_id":2,"assigned_to_id":23,"start_date":"2017-02-12","description":"","custom_fields":[{"id":1,"name":"Subdivision","value":"EC"},{"id":4,"name":"Milepost","value":"23.3153"},{"id":17,"name":"Train ID","value":"241-11"},{"id":16,"name":"Locomotive ID","value":"4025"},{"id":130,"name":"Impact","value":""},{"id":150,"name":"Time of Event (Mountain Time)","value":"00:41:51"},{"id":151,"name":"Denver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97"/>
        <v>start /low /b %USERPROFILE%\Documents\GitHub\eaglep3\Utilities\DownloadLogsFromS3.py --loco 4025 --day 2017-02-12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"%USERPROFILE%\AppData\Local\Temp\OnboardLogs"\RTDC4025\*4025*20170212* | grep -SE "(Enforcement Action)|(\[TIMEOUT)|(CHR.+\|PRM\|1\|D.+(SWITCH|SIGNAL).+UNKNOWN)" - &gt;&gt; 2017-02-11-UncaughtWiMAX.txt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3" t="s">
        <v>561</v>
      </c>
      <c r="B153" s="7">
        <v>4010</v>
      </c>
      <c r="C153" s="21" t="s">
        <v>193</v>
      </c>
      <c r="D153" s="21" t="s">
        <v>777</v>
      </c>
      <c r="E153" s="13">
        <v>42777.233344907407</v>
      </c>
      <c r="F153" s="13">
        <v>42777.236886574072</v>
      </c>
      <c r="G153" s="7">
        <v>1</v>
      </c>
      <c r="H153" s="21" t="s">
        <v>778</v>
      </c>
      <c r="I153" s="13">
        <v>42777.246805555558</v>
      </c>
      <c r="J153" s="7">
        <v>1</v>
      </c>
      <c r="K153" s="98" t="str">
        <f t="shared" si="84"/>
        <v>4009/4010</v>
      </c>
      <c r="L153" s="21" t="str">
        <f>VLOOKUP(A153,'Trips&amp;Operators'!$C$1:$G$99999,5,FALSE)</f>
        <v>SHOOK JOHN</v>
      </c>
      <c r="M153" s="6">
        <f t="shared" si="85"/>
        <v>9.9189814864075743E-3</v>
      </c>
      <c r="N153" s="7">
        <f t="shared" si="83"/>
        <v>14.283333340426907</v>
      </c>
      <c r="O153" s="7"/>
      <c r="P153" s="7"/>
      <c r="Q153" s="22"/>
      <c r="R153" s="22"/>
      <c r="S153" s="31">
        <f t="shared" si="86"/>
        <v>1</v>
      </c>
      <c r="T153" s="46" t="str">
        <f t="shared" si="87"/>
        <v>Southbound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187" t="str">
        <f t="shared" si="88"/>
        <v>https://d0f6bd738d7f1b3e5a7ca70fe4ff75f0.us-east-1.aws.found.io/app/kibana#/discover/Steve-Slow-Train-Analysis-(2080s-and-2083s)?_g=(refreshInterval:(display:Off,pause:!f,section:0,value:0),time:(from:'2017-02-11T04:36:01-0700',mode:absolute,to:'2017-02-11T06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188" t="str">
        <f t="shared" si="89"/>
        <v>N</v>
      </c>
      <c r="X153" s="188">
        <f t="shared" si="99"/>
        <v>1559</v>
      </c>
      <c r="Y153" s="62">
        <f t="shared" ref="Y153:Y184" si="100">RIGHT(D153,LEN(D153)-4)/10000</f>
        <v>5.8673999999999999</v>
      </c>
      <c r="Z153" s="62">
        <f t="shared" ref="Z153:Z184" si="101">RIGHT(H153,LEN(H153)-4)/10000</f>
        <v>7.4700000000000003E-2</v>
      </c>
      <c r="AA153" s="62">
        <f t="shared" si="90"/>
        <v>5.7927</v>
      </c>
      <c r="AB153" s="59" t="e">
        <f>VLOOKUP(A153,Enforcements!$C$7:$K$14,8,0)</f>
        <v>#N/A</v>
      </c>
      <c r="AC153" s="55" t="e">
        <f>VLOOKUP(A153,Enforcements!$C$7:$E$14,3,0)</f>
        <v>#N/A</v>
      </c>
      <c r="AD153" s="56" t="str">
        <f t="shared" si="91"/>
        <v>1800-11</v>
      </c>
      <c r="AE153" s="85" t="str">
        <f t="shared" si="92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53" s="82" t="str">
        <f t="shared" si="93"/>
        <v>"C:\Program Files (x86)\AstroGrep\AstroGrep.exe" /spath="%USERPROFILE%\AppData\Local\Temp\OnboardLogs" /stypes="app*4010*20170211*" /stext=" 12:.+((SYSTEM_STATE.+slice.+state.+changed )|(ment ac)|(multiple cpu faults)|(system.+state.+changed )|(\[timeout)|(PRM\|1\|D)|(kpr)|(kdp)|(\|lc)|(penalty))" /e /r /s</v>
      </c>
      <c r="AG153" s="1" t="str">
        <f t="shared" si="94"/>
        <v>NW</v>
      </c>
      <c r="AH153" s="86" t="str">
        <f t="shared" si="95"/>
        <v>"%USERPROFILE%\Documents\GitHub\eaglep3\Utilities\RefineRTDCRunTimes.py" --tripid 1800-11 --locoid 4010 --swversion DE.1.0.8.0 --startMP 300:58674 --initTime 2017-02-11T05:36:01 --startdatetime 2017-02-11T05:41:07 --delay 1 --endMP 204:747 --enddatetime 2017-02-11T05:55:24 --enforcementcount 1 &gt;&gt;C:\Users\stu\Documents\GitHub\eaglep3-reporting\EC\2017-02-11-refined-times.txt</v>
      </c>
      <c r="AI153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{"issue":{"subject":"","project_id":79,"tracker_id":40,"status_id":1,"priority_id":2,"assigned_to_id":23,"start_date":"2017-02-11","description":"","custom_fields":[{"id":1,"name":"Subdivision","value":"NW"},{"id":4,"name":"Milepost","value":"0.0747"},{"id":17,"name":"Train ID","value":"1800-11"},{"id":16,"name":"Locomotive ID","value":"4010"},{"id":130,"name":"Impact","value":""},{"id":150,"name":"Time of Event (Mountain Time)","value":"05:55:24"},{"id":151,"name":"Denver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97"/>
        <v>start /low /b %USERPROFILE%\Documents\GitHub\eaglep3\Utilities\DownloadLogsFromS3.py --loco 4010 --day 2017-02-11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2017-02-11-UncaughtWiMAX.txt</v>
      </c>
    </row>
    <row r="154" spans="1:91" s="20" customFormat="1" x14ac:dyDescent="0.25">
      <c r="A154" s="33" t="s">
        <v>565</v>
      </c>
      <c r="B154" s="7">
        <v>4009</v>
      </c>
      <c r="C154" s="21" t="s">
        <v>193</v>
      </c>
      <c r="D154" s="21" t="s">
        <v>779</v>
      </c>
      <c r="E154" s="13">
        <v>42777.24832175926</v>
      </c>
      <c r="F154" s="13">
        <v>42777.264756944445</v>
      </c>
      <c r="G154" s="7">
        <v>0</v>
      </c>
      <c r="H154" s="21" t="s">
        <v>780</v>
      </c>
      <c r="I154" s="13">
        <v>42777.27447916667</v>
      </c>
      <c r="J154" s="7">
        <v>1</v>
      </c>
      <c r="K154" s="98" t="str">
        <f t="shared" si="84"/>
        <v>4009/4010</v>
      </c>
      <c r="L154" s="21" t="str">
        <f>VLOOKUP(A154,'Trips&amp;Operators'!$C$1:$G$99999,5,FALSE)</f>
        <v>SHOOK JOHN</v>
      </c>
      <c r="M154" s="6">
        <f t="shared" si="85"/>
        <v>9.7222222248092294E-3</v>
      </c>
      <c r="N154" s="7">
        <f t="shared" si="83"/>
        <v>14.00000000372529</v>
      </c>
      <c r="O154" s="7"/>
      <c r="P154" s="7"/>
      <c r="Q154" s="22"/>
      <c r="R154" s="22"/>
      <c r="S154" s="31">
        <f t="shared" si="86"/>
        <v>1</v>
      </c>
      <c r="T154" s="46" t="str">
        <f t="shared" si="87"/>
        <v>NorthBound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187" t="str">
        <f t="shared" si="88"/>
        <v>https://d0f6bd738d7f1b3e5a7ca70fe4ff75f0.us-east-1.aws.found.io/app/kibana#/discover/Steve-Slow-Train-Analysis-(2080s-and-2083s)?_g=(refreshInterval:(display:Off,pause:!f,section:0,value:0),time:(from:'2017-02-11T04:57:35-0700',mode:absolute,to:'2017-02-11T07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188" t="str">
        <f t="shared" si="89"/>
        <v>N</v>
      </c>
      <c r="X154" s="188">
        <f t="shared" si="99"/>
        <v>1</v>
      </c>
      <c r="Y154" s="62">
        <f t="shared" si="100"/>
        <v>0.10340000000000001</v>
      </c>
      <c r="Z154" s="62">
        <f t="shared" si="101"/>
        <v>5.8983999999999996</v>
      </c>
      <c r="AA154" s="62">
        <f t="shared" si="90"/>
        <v>5.7949999999999999</v>
      </c>
      <c r="AB154" s="59" t="e">
        <f>VLOOKUP(A154,Enforcements!$C$7:$K$14,8,0)</f>
        <v>#N/A</v>
      </c>
      <c r="AC154" s="55" t="e">
        <f>VLOOKUP(A154,Enforcements!$C$7:$E$14,3,0)</f>
        <v>#N/A</v>
      </c>
      <c r="AD154" s="56" t="str">
        <f t="shared" si="91"/>
        <v>1801-11</v>
      </c>
      <c r="AE154" s="85" t="str">
        <f t="shared" si="92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54" s="82" t="str">
        <f t="shared" si="93"/>
        <v>"C:\Program Files (x86)\AstroGrep\AstroGrep.exe" /spath="%USERPROFILE%\AppData\Local\Temp\OnboardLogs" /stypes="app*4009*20170211*" /stext=" 13:.+((SYSTEM_STATE.+slice.+state.+changed )|(ment ac)|(multiple cpu faults)|(system.+state.+changed )|(\[timeout)|(PRM\|1\|D)|(kpr)|(kdp)|(\|lc)|(penalty))" /e /r /s</v>
      </c>
      <c r="AG154" s="1" t="str">
        <f t="shared" si="94"/>
        <v>NW</v>
      </c>
      <c r="AH154" s="86" t="str">
        <f t="shared" si="95"/>
        <v>"%USERPROFILE%\Documents\GitHub\eaglep3\Utilities\RefineRTDCRunTimes.py" --tripid 1801-11 --locoid 4009 --swversion DE.1.0.8.0 --startMP 204:1034 --initTime 2017-02-11T05:57:35 --startdatetime 2017-02-11T06:21:15 --delay 0 --endMP 300:58984 --enddatetime 2017-02-11T06:35:15 --enforcementcount 1 &gt;&gt;C:\Users\stu\Documents\GitHub\eaglep3-reporting\EC\2017-02-11-refined-times.txt</v>
      </c>
      <c r="AI154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{"issue":{"subject":"","project_id":79,"tracker_id":40,"status_id":1,"priority_id":2,"assigned_to_id":23,"start_date":"2017-02-11","description":"","custom_fields":[{"id":1,"name":"Subdivision","value":"NW"},{"id":4,"name":"Milepost","value":"5.8984"},{"id":17,"name":"Train ID","value":"1801-11"},{"id":16,"name":"Locomotive ID","value":"4009"},{"id":130,"name":"Impact","value":""},{"id":150,"name":"Time of Event (Mountain Time)","value":"06:35:15"},{"id":151,"name":"Denver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97"/>
        <v>start /low /b %USERPROFILE%\Documents\GitHub\eaglep3\Utilities\DownloadLogsFromS3.py --loco 4009 --day 2017-02-11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2017-02-11-UncaughtWiMAX.txt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569</v>
      </c>
      <c r="B155" s="7">
        <v>4010</v>
      </c>
      <c r="C155" s="21" t="s">
        <v>193</v>
      </c>
      <c r="D155" s="21" t="s">
        <v>501</v>
      </c>
      <c r="E155" s="13">
        <v>42777.276261574072</v>
      </c>
      <c r="F155" s="13">
        <v>42777.27847222222</v>
      </c>
      <c r="G155" s="7">
        <v>1</v>
      </c>
      <c r="H155" s="21" t="s">
        <v>781</v>
      </c>
      <c r="I155" s="13">
        <v>42777.288495370369</v>
      </c>
      <c r="J155" s="7">
        <v>1</v>
      </c>
      <c r="K155" s="98" t="str">
        <f t="shared" si="84"/>
        <v>4009/4010</v>
      </c>
      <c r="L155" s="21" t="str">
        <f>VLOOKUP(A155,'Trips&amp;Operators'!$C$1:$G$99999,5,FALSE)</f>
        <v>SHOOK JOHN</v>
      </c>
      <c r="M155" s="6">
        <f t="shared" si="85"/>
        <v>1.0023148148320615E-2</v>
      </c>
      <c r="N155" s="7">
        <f t="shared" si="83"/>
        <v>14.433333333581686</v>
      </c>
      <c r="O155" s="7"/>
      <c r="P155" s="7"/>
      <c r="Q155" s="22"/>
      <c r="R155" s="22"/>
      <c r="S155" s="31">
        <f t="shared" si="86"/>
        <v>1</v>
      </c>
      <c r="T155" s="46" t="str">
        <f t="shared" si="87"/>
        <v>Southbound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87" t="str">
        <f t="shared" si="88"/>
        <v>https://d0f6bd738d7f1b3e5a7ca70fe4ff75f0.us-east-1.aws.found.io/app/kibana#/discover/Steve-Slow-Train-Analysis-(2080s-and-2083s)?_g=(refreshInterval:(display:Off,pause:!f,section:0,value:0),time:(from:'2017-02-11T05:37:49-0700',mode:absolute,to:'2017-02-11T07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5" s="188" t="str">
        <f t="shared" si="89"/>
        <v>N</v>
      </c>
      <c r="X155" s="188">
        <f t="shared" si="99"/>
        <v>1</v>
      </c>
      <c r="Y155" s="62">
        <f t="shared" si="100"/>
        <v>5.8678999999999997</v>
      </c>
      <c r="Z155" s="62">
        <f t="shared" si="101"/>
        <v>7.3599999999999999E-2</v>
      </c>
      <c r="AA155" s="62">
        <f t="shared" si="90"/>
        <v>5.7942999999999998</v>
      </c>
      <c r="AB155" s="59" t="e">
        <f>VLOOKUP(A155,Enforcements!$C$7:$K$14,8,0)</f>
        <v>#N/A</v>
      </c>
      <c r="AC155" s="55" t="e">
        <f>VLOOKUP(A155,Enforcements!$C$7:$E$14,3,0)</f>
        <v>#N/A</v>
      </c>
      <c r="AD155" s="56" t="str">
        <f t="shared" si="91"/>
        <v>1802-11</v>
      </c>
      <c r="AE155" s="85" t="str">
        <f t="shared" si="92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55" s="82" t="str">
        <f t="shared" si="93"/>
        <v>"C:\Program Files (x86)\AstroGrep\AstroGrep.exe" /spath="%USERPROFILE%\AppData\Local\Temp\OnboardLogs" /stypes="app*4010*20170211*" /stext=" 13:.+((SYSTEM_STATE.+slice.+state.+changed )|(ment ac)|(multiple cpu faults)|(system.+state.+changed )|(\[timeout)|(PRM\|1\|D)|(kpr)|(kdp)|(\|lc)|(penalty))" /e /r /s</v>
      </c>
      <c r="AG155" s="1" t="str">
        <f t="shared" si="94"/>
        <v>NW</v>
      </c>
      <c r="AH155" s="86" t="str">
        <f t="shared" si="95"/>
        <v>"%USERPROFILE%\Documents\GitHub\eaglep3\Utilities\RefineRTDCRunTimes.py" --tripid 1802-11 --locoid 4010 --swversion DE.1.0.8.0 --startMP 300:58679 --initTime 2017-02-11T06:37:49 --startdatetime 2017-02-11T06:41:00 --delay 1 --endMP 204:736 --enddatetime 2017-02-11T06:55:26 --enforcementcount 1 &gt;&gt;C:\Users\stu\Documents\GitHub\eaglep3-reporting\EC\2017-02-11-refined-times.txt</v>
      </c>
      <c r="AI155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{"issue":{"subject":"","project_id":79,"tracker_id":40,"status_id":1,"priority_id":2,"assigned_to_id":23,"start_date":"2017-02-11","description":"","custom_fields":[{"id":1,"name":"Subdivision","value":"NW"},{"id":4,"name":"Milepost","value":"0.0736"},{"id":17,"name":"Train ID","value":"1802-11"},{"id":16,"name":"Locomotive ID","value":"4010"},{"id":130,"name":"Impact","value":""},{"id":150,"name":"Time of Event (Mountain Time)","value":"06:55:26"},{"id":151,"name":"Denver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97"/>
        <v>start /low /b %USERPROFILE%\Documents\GitHub\eaglep3\Utilities\DownloadLogsFromS3.py --loco 4010 --day 2017-02-11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2017-02-11-UncaughtWiMAX.txt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576</v>
      </c>
      <c r="B156" s="7">
        <v>4009</v>
      </c>
      <c r="C156" s="21" t="s">
        <v>193</v>
      </c>
      <c r="D156" s="21" t="s">
        <v>782</v>
      </c>
      <c r="E156" s="13">
        <v>42777.290358796294</v>
      </c>
      <c r="F156" s="13">
        <v>42777.306423611109</v>
      </c>
      <c r="G156" s="7">
        <v>1</v>
      </c>
      <c r="H156" s="21" t="s">
        <v>508</v>
      </c>
      <c r="I156" s="13">
        <v>42777.315810185188</v>
      </c>
      <c r="J156" s="7">
        <v>1</v>
      </c>
      <c r="K156" s="98" t="str">
        <f t="shared" si="84"/>
        <v>4009/4010</v>
      </c>
      <c r="L156" s="21" t="str">
        <f>VLOOKUP(A156,'Trips&amp;Operators'!$C$1:$G$99999,5,FALSE)</f>
        <v>SHOOK JOHN</v>
      </c>
      <c r="M156" s="6">
        <f t="shared" si="85"/>
        <v>9.3865740782348439E-3</v>
      </c>
      <c r="N156" s="7">
        <f t="shared" si="83"/>
        <v>13.516666672658175</v>
      </c>
      <c r="O156" s="7"/>
      <c r="P156" s="7"/>
      <c r="Q156" s="22"/>
      <c r="R156" s="22"/>
      <c r="S156" s="31">
        <f t="shared" si="86"/>
        <v>1</v>
      </c>
      <c r="T156" s="46" t="str">
        <f t="shared" si="87"/>
        <v>NorthBound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87" t="str">
        <f t="shared" si="88"/>
        <v>https://d0f6bd738d7f1b3e5a7ca70fe4ff75f0.us-east-1.aws.found.io/app/kibana#/discover/Steve-Slow-Train-Analysis-(2080s-and-2083s)?_g=(refreshInterval:(display:Off,pause:!f,section:0,value:0),time:(from:'2017-02-11T05:58:07-0700',mode:absolute,to:'2017-02-11T08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6" s="188" t="str">
        <f t="shared" si="89"/>
        <v>N</v>
      </c>
      <c r="X156" s="188">
        <f t="shared" si="99"/>
        <v>1</v>
      </c>
      <c r="Y156" s="62">
        <f t="shared" si="100"/>
        <v>0.1027</v>
      </c>
      <c r="Z156" s="62">
        <f t="shared" si="101"/>
        <v>5.8993000000000002</v>
      </c>
      <c r="AA156" s="62">
        <f t="shared" si="90"/>
        <v>5.7966000000000006</v>
      </c>
      <c r="AB156" s="59" t="e">
        <f>VLOOKUP(A156,Enforcements!$C$7:$K$14,8,0)</f>
        <v>#N/A</v>
      </c>
      <c r="AC156" s="55" t="e">
        <f>VLOOKUP(A156,Enforcements!$C$7:$E$14,3,0)</f>
        <v>#N/A</v>
      </c>
      <c r="AD156" s="56" t="str">
        <f t="shared" si="91"/>
        <v>1803-11</v>
      </c>
      <c r="AE156" s="85" t="str">
        <f t="shared" si="92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56" s="82" t="str">
        <f t="shared" si="93"/>
        <v>"C:\Program Files (x86)\AstroGrep\AstroGrep.exe" /spath="%USERPROFILE%\AppData\Local\Temp\OnboardLogs" /stypes="app*4009*20170211*" /stext=" 14:.+((SYSTEM_STATE.+slice.+state.+changed )|(ment ac)|(multiple cpu faults)|(system.+state.+changed )|(\[timeout)|(PRM\|1\|D)|(kpr)|(kdp)|(\|lc)|(penalty))" /e /r /s</v>
      </c>
      <c r="AG156" s="1" t="str">
        <f t="shared" si="94"/>
        <v>NW</v>
      </c>
      <c r="AH156" s="86" t="str">
        <f t="shared" si="95"/>
        <v>"%USERPROFILE%\Documents\GitHub\eaglep3\Utilities\RefineRTDCRunTimes.py" --tripid 1803-11 --locoid 4009 --swversion DE.1.0.8.0 --startMP 204:1027 --initTime 2017-02-11T06:58:07 --startdatetime 2017-02-11T07:21:15 --delay 1 --endMP 300:58993 --enddatetime 2017-02-11T07:34:46 --enforcementcount 1 &gt;&gt;C:\Users\stu\Documents\GitHub\eaglep3-reporting\EC\2017-02-11-refined-times.txt</v>
      </c>
      <c r="AI156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{"issue":{"subject":"","project_id":79,"tracker_id":40,"status_id":1,"priority_id":2,"assigned_to_id":23,"start_date":"2017-02-11","description":"","custom_fields":[{"id":1,"name":"Subdivision","value":"NW"},{"id":4,"name":"Milepost","value":"5.8993"},{"id":17,"name":"Train ID","value":"1803-11"},{"id":16,"name":"Locomotive ID","value":"4009"},{"id":130,"name":"Impact","value":""},{"id":150,"name":"Time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97"/>
        <v>start /low /b %USERPROFILE%\Documents\GitHub\eaglep3\Utilities\DownloadLogsFromS3.py --loco 4009 --day 2017-02-11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2017-02-11-UncaughtWiMAX.txt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581</v>
      </c>
      <c r="B157" s="7">
        <v>4010</v>
      </c>
      <c r="C157" s="21" t="s">
        <v>193</v>
      </c>
      <c r="D157" s="21" t="s">
        <v>783</v>
      </c>
      <c r="E157" s="13">
        <v>42777.317465277774</v>
      </c>
      <c r="F157" s="13">
        <v>42777.320034722223</v>
      </c>
      <c r="G157" s="7">
        <v>1</v>
      </c>
      <c r="H157" s="21" t="s">
        <v>784</v>
      </c>
      <c r="I157" s="13">
        <v>42777.33</v>
      </c>
      <c r="J157" s="7">
        <v>1</v>
      </c>
      <c r="K157" s="98" t="str">
        <f t="shared" si="84"/>
        <v>4009/4010</v>
      </c>
      <c r="L157" s="21" t="str">
        <f>VLOOKUP(A157,'Trips&amp;Operators'!$C$1:$G$99999,5,FALSE)</f>
        <v>SHOOK JOHN</v>
      </c>
      <c r="M157" s="6">
        <f t="shared" si="85"/>
        <v>9.9652777789742686E-3</v>
      </c>
      <c r="N157" s="7">
        <f t="shared" si="83"/>
        <v>14.350000001722947</v>
      </c>
      <c r="O157" s="7"/>
      <c r="P157" s="7"/>
      <c r="Q157" s="22"/>
      <c r="R157" s="22"/>
      <c r="S157" s="31">
        <f t="shared" si="86"/>
        <v>1</v>
      </c>
      <c r="T157" s="46" t="str">
        <f t="shared" si="87"/>
        <v>Southbound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7" t="str">
        <f t="shared" si="88"/>
        <v>https://d0f6bd738d7f1b3e5a7ca70fe4ff75f0.us-east-1.aws.found.io/app/kibana#/discover/Steve-Slow-Train-Analysis-(2080s-and-2083s)?_g=(refreshInterval:(display:Off,pause:!f,section:0,value:0),time:(from:'2017-02-11T06:37:09-0700',mode:absolute,to:'2017-02-11T08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7" s="188" t="str">
        <f t="shared" si="89"/>
        <v>N</v>
      </c>
      <c r="X157" s="188">
        <f t="shared" si="99"/>
        <v>1</v>
      </c>
      <c r="Y157" s="62">
        <f t="shared" si="100"/>
        <v>5.8686999999999996</v>
      </c>
      <c r="Z157" s="62">
        <f t="shared" si="101"/>
        <v>7.3800000000000004E-2</v>
      </c>
      <c r="AA157" s="62">
        <f t="shared" si="90"/>
        <v>5.7948999999999993</v>
      </c>
      <c r="AB157" s="59" t="e">
        <f>VLOOKUP(A157,Enforcements!$C$7:$K$14,8,0)</f>
        <v>#N/A</v>
      </c>
      <c r="AC157" s="55" t="e">
        <f>VLOOKUP(A157,Enforcements!$C$7:$E$14,3,0)</f>
        <v>#N/A</v>
      </c>
      <c r="AD157" s="56" t="str">
        <f t="shared" si="91"/>
        <v>1804-11</v>
      </c>
      <c r="AE157" s="85" t="str">
        <f t="shared" si="92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57" s="82" t="str">
        <f t="shared" si="93"/>
        <v>"C:\Program Files (x86)\AstroGrep\AstroGrep.exe" /spath="%USERPROFILE%\AppData\Local\Temp\OnboardLogs" /stypes="app*4010*20170211*" /stext=" 14:.+((SYSTEM_STATE.+slice.+state.+changed )|(ment ac)|(multiple cpu faults)|(system.+state.+changed )|(\[timeout)|(PRM\|1\|D)|(kpr)|(kdp)|(\|lc)|(penalty))" /e /r /s</v>
      </c>
      <c r="AG157" s="1" t="str">
        <f t="shared" si="94"/>
        <v>NW</v>
      </c>
      <c r="AH157" s="86" t="str">
        <f t="shared" si="95"/>
        <v>"%USERPROFILE%\Documents\GitHub\eaglep3\Utilities\RefineRTDCRunTimes.py" --tripid 1804-11 --locoid 4010 --swversion DE.1.0.8.0 --startMP 300:58687 --initTime 2017-02-11T07:37:09 --startdatetime 2017-02-11T07:40:51 --delay 1 --endMP 204:738 --enddatetime 2017-02-11T07:55:12 --enforcementcount 1 &gt;&gt;C:\Users\stu\Documents\GitHub\eaglep3-reporting\EC\2017-02-11-refined-times.txt</v>
      </c>
      <c r="AI157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{"issue":{"subject":"","project_id":79,"tracker_id":40,"status_id":1,"priority_id":2,"assigned_to_id":23,"start_date":"2017-02-11","description":"","custom_fields":[{"id":1,"name":"Subdivision","value":"NW"},{"id":4,"name":"Milepost","value":"0.0738"},{"id":17,"name":"Train ID","value":"1804-11"},{"id":16,"name":"Locomotive ID","value":"4010"},{"id":130,"name":"Impact","value":""},{"id":150,"name":"Time of Event (Mountain Time)","value":"07:55:12"},{"id":151,"name":"Denver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97"/>
        <v>start /low /b %USERPROFILE%\Documents\GitHub\eaglep3\Utilities\DownloadLogsFromS3.py --loco 4010 --day 2017-02-11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2017-02-11-UncaughtWiMAX.txt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588</v>
      </c>
      <c r="B158" s="7">
        <v>4009</v>
      </c>
      <c r="C158" s="21" t="s">
        <v>193</v>
      </c>
      <c r="D158" s="21" t="s">
        <v>779</v>
      </c>
      <c r="E158" s="13">
        <v>42777.331655092596</v>
      </c>
      <c r="F158" s="13">
        <v>42777.348090277781</v>
      </c>
      <c r="G158" s="7">
        <v>1</v>
      </c>
      <c r="H158" s="21" t="s">
        <v>785</v>
      </c>
      <c r="I158" s="13">
        <v>42777.357662037037</v>
      </c>
      <c r="J158" s="7">
        <v>1</v>
      </c>
      <c r="K158" s="98" t="str">
        <f t="shared" si="84"/>
        <v>4009/4010</v>
      </c>
      <c r="L158" s="21" t="str">
        <f>VLOOKUP(A158,'Trips&amp;Operators'!$C$1:$G$99999,5,FALSE)</f>
        <v>SHOOK JOHN</v>
      </c>
      <c r="M158" s="6">
        <f t="shared" si="85"/>
        <v>9.5717592557775788E-3</v>
      </c>
      <c r="N158" s="7">
        <f t="shared" si="83"/>
        <v>13.783333328319713</v>
      </c>
      <c r="O158" s="7"/>
      <c r="P158" s="7"/>
      <c r="Q158" s="22"/>
      <c r="R158" s="22"/>
      <c r="S158" s="31">
        <f t="shared" si="86"/>
        <v>1</v>
      </c>
      <c r="T158" s="46" t="str">
        <f t="shared" si="87"/>
        <v>NorthBound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7" t="str">
        <f t="shared" si="88"/>
        <v>https://d0f6bd738d7f1b3e5a7ca70fe4ff75f0.us-east-1.aws.found.io/app/kibana#/discover/Steve-Slow-Train-Analysis-(2080s-and-2083s)?_g=(refreshInterval:(display:Off,pause:!f,section:0,value:0),time:(from:'2017-02-11T06:57:35-0700',mode:absolute,to:'2017-02-11T09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8" s="188" t="str">
        <f t="shared" si="89"/>
        <v>N</v>
      </c>
      <c r="X158" s="188">
        <f t="shared" si="99"/>
        <v>1</v>
      </c>
      <c r="Y158" s="62">
        <f t="shared" si="100"/>
        <v>0.10340000000000001</v>
      </c>
      <c r="Z158" s="62">
        <f t="shared" si="101"/>
        <v>5.8987999999999996</v>
      </c>
      <c r="AA158" s="62">
        <f t="shared" si="90"/>
        <v>5.7953999999999999</v>
      </c>
      <c r="AB158" s="59" t="e">
        <f>VLOOKUP(A158,Enforcements!$C$7:$K$14,8,0)</f>
        <v>#N/A</v>
      </c>
      <c r="AC158" s="55" t="e">
        <f>VLOOKUP(A158,Enforcements!$C$7:$E$14,3,0)</f>
        <v>#N/A</v>
      </c>
      <c r="AD158" s="56" t="str">
        <f t="shared" si="91"/>
        <v>1805-11</v>
      </c>
      <c r="AE158" s="85" t="str">
        <f t="shared" si="92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58" s="82" t="str">
        <f t="shared" si="93"/>
        <v>"C:\Program Files (x86)\AstroGrep\AstroGrep.exe" /spath="%USERPROFILE%\AppData\Local\Temp\OnboardLogs" /stypes="app*4009*20170211*" /stext=" 15:.+((SYSTEM_STATE.+slice.+state.+changed )|(ment ac)|(multiple cpu faults)|(system.+state.+changed )|(\[timeout)|(PRM\|1\|D)|(kpr)|(kdp)|(\|lc)|(penalty))" /e /r /s</v>
      </c>
      <c r="AG158" s="1" t="str">
        <f t="shared" si="94"/>
        <v>NW</v>
      </c>
      <c r="AH158" s="86" t="str">
        <f t="shared" si="95"/>
        <v>"%USERPROFILE%\Documents\GitHub\eaglep3\Utilities\RefineRTDCRunTimes.py" --tripid 1805-11 --locoid 4009 --swversion DE.1.0.8.0 --startMP 204:1034 --initTime 2017-02-11T07:57:35 --startdatetime 2017-02-11T08:21:15 --delay 1 --endMP 300:58988 --enddatetime 2017-02-11T08:35:02 --enforcementcount 1 &gt;&gt;C:\Users\stu\Documents\GitHub\eaglep3-reporting\EC\2017-02-11-refined-times.txt</v>
      </c>
      <c r="AI158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{"issue":{"subject":"","project_id":79,"tracker_id":40,"status_id":1,"priority_id":2,"assigned_to_id":23,"start_date":"2017-02-11","description":"","custom_fields":[{"id":1,"name":"Subdivision","value":"NW"},{"id":4,"name":"Milepost","value":"5.8988"},{"id":17,"name":"Train ID","value":"1805-11"},{"id":16,"name":"Locomotive ID","value":"4009"},{"id":130,"name":"Impact","value":""},{"id":150,"name":"Time of Event (Mountain Time)","value":"08:35:02"},{"id":151,"name":"Denver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97"/>
        <v>start /low /b %USERPROFILE%\Documents\GitHub\eaglep3\Utilities\DownloadLogsFromS3.py --loco 4009 --day 2017-02-11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2017-02-11-UncaughtWiMAX.txt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594</v>
      </c>
      <c r="B159" s="7">
        <v>4010</v>
      </c>
      <c r="C159" s="21" t="s">
        <v>193</v>
      </c>
      <c r="D159" s="21" t="s">
        <v>502</v>
      </c>
      <c r="E159" s="13">
        <v>42777.359224537038</v>
      </c>
      <c r="F159" s="13">
        <v>42777.361701388887</v>
      </c>
      <c r="G159" s="7">
        <v>1</v>
      </c>
      <c r="H159" s="21" t="s">
        <v>500</v>
      </c>
      <c r="I159" s="13">
        <v>42777.372002314813</v>
      </c>
      <c r="J159" s="7">
        <v>1</v>
      </c>
      <c r="K159" s="98" t="str">
        <f t="shared" si="84"/>
        <v>4009/4010</v>
      </c>
      <c r="L159" s="21" t="str">
        <f>VLOOKUP(A159,'Trips&amp;Operators'!$C$1:$G$99999,5,FALSE)</f>
        <v>SHOOK JOHN</v>
      </c>
      <c r="M159" s="6">
        <f t="shared" si="85"/>
        <v>1.0300925925548654E-2</v>
      </c>
      <c r="N159" s="7">
        <f t="shared" si="83"/>
        <v>14.833333332790062</v>
      </c>
      <c r="O159" s="7"/>
      <c r="P159" s="7"/>
      <c r="Q159" s="22"/>
      <c r="R159" s="22"/>
      <c r="S159" s="31">
        <f t="shared" si="86"/>
        <v>1</v>
      </c>
      <c r="T159" s="46" t="str">
        <f t="shared" si="87"/>
        <v>Southbound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7" t="str">
        <f t="shared" si="88"/>
        <v>https://d0f6bd738d7f1b3e5a7ca70fe4ff75f0.us-east-1.aws.found.io/app/kibana#/discover/Steve-Slow-Train-Analysis-(2080s-and-2083s)?_g=(refreshInterval:(display:Off,pause:!f,section:0,value:0),time:(from:'2017-02-11T07:37:17-0700',mode:absolute,to:'2017-02-11T09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9" s="188" t="str">
        <f t="shared" si="89"/>
        <v>N</v>
      </c>
      <c r="X159" s="188">
        <f t="shared" si="99"/>
        <v>1</v>
      </c>
      <c r="Y159" s="62">
        <f t="shared" si="100"/>
        <v>5.867</v>
      </c>
      <c r="Z159" s="62">
        <f t="shared" si="101"/>
        <v>7.1499999999999994E-2</v>
      </c>
      <c r="AA159" s="62">
        <f t="shared" si="90"/>
        <v>5.7954999999999997</v>
      </c>
      <c r="AB159" s="59" t="e">
        <f>VLOOKUP(A159,Enforcements!$C$7:$K$14,8,0)</f>
        <v>#N/A</v>
      </c>
      <c r="AC159" s="55" t="e">
        <f>VLOOKUP(A159,Enforcements!$C$7:$E$14,3,0)</f>
        <v>#N/A</v>
      </c>
      <c r="AD159" s="56" t="str">
        <f t="shared" si="91"/>
        <v>1806-11</v>
      </c>
      <c r="AE159" s="85" t="str">
        <f t="shared" si="92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59" s="82" t="str">
        <f t="shared" si="93"/>
        <v>"C:\Program Files (x86)\AstroGrep\AstroGrep.exe" /spath="%USERPROFILE%\AppData\Local\Temp\OnboardLogs" /stypes="app*4010*20170211*" /stext=" 15:.+((SYSTEM_STATE.+slice.+state.+changed )|(ment ac)|(multiple cpu faults)|(system.+state.+changed )|(\[timeout)|(PRM\|1\|D)|(kpr)|(kdp)|(\|lc)|(penalty))" /e /r /s</v>
      </c>
      <c r="AG159" s="1" t="str">
        <f t="shared" si="94"/>
        <v>NW</v>
      </c>
      <c r="AH159" s="86" t="str">
        <f t="shared" si="95"/>
        <v>"%USERPROFILE%\Documents\GitHub\eaglep3\Utilities\RefineRTDCRunTimes.py" --tripid 1806-11 --locoid 4010 --swversion DE.1.0.8.0 --startMP 300:58670 --initTime 2017-02-11T08:37:17 --startdatetime 2017-02-11T08:40:51 --delay 1 --endMP 204:715 --enddatetime 2017-02-11T08:55:41 --enforcementcount 1 &gt;&gt;C:\Users\stu\Documents\GitHub\eaglep3-reporting\EC\2017-02-11-refined-times.txt</v>
      </c>
      <c r="AI159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{"issue":{"subject":"","project_id":79,"tracker_id":40,"status_id":1,"priority_id":2,"assigned_to_id":23,"start_date":"2017-02-11","description":"","custom_fields":[{"id":1,"name":"Subdivision","value":"NW"},{"id":4,"name":"Milepost","value":"0.0715"},{"id":17,"name":"Train ID","value":"1806-11"},{"id":16,"name":"Locomotive ID","value":"4010"},{"id":130,"name":"Impact","value":""},{"id":150,"name":"Time of Event (Mountain Time)","value":"08:55:41"},{"id":151,"name":"Denver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97"/>
        <v>start /low /b %USERPROFILE%\Documents\GitHub\eaglep3\Utilities\DownloadLogsFromS3.py --loco 4010 --day 2017-02-11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2017-02-11-UncaughtWiMAX.txt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597</v>
      </c>
      <c r="B160" s="7">
        <v>4009</v>
      </c>
      <c r="C160" s="21" t="s">
        <v>193</v>
      </c>
      <c r="D160" s="21" t="s">
        <v>779</v>
      </c>
      <c r="E160" s="13">
        <v>42777.374525462961</v>
      </c>
      <c r="F160" s="13">
        <v>42777.389756944445</v>
      </c>
      <c r="G160" s="7">
        <v>1</v>
      </c>
      <c r="H160" s="21" t="s">
        <v>786</v>
      </c>
      <c r="I160" s="13">
        <v>42777.400254629632</v>
      </c>
      <c r="J160" s="7">
        <v>1</v>
      </c>
      <c r="K160" s="98" t="str">
        <f t="shared" si="84"/>
        <v>4009/4010</v>
      </c>
      <c r="L160" s="21" t="str">
        <f>VLOOKUP(A160,'Trips&amp;Operators'!$C$1:$G$99999,5,FALSE)</f>
        <v>SHOOK JOHN</v>
      </c>
      <c r="M160" s="6">
        <f t="shared" si="85"/>
        <v>1.0497685187146999E-2</v>
      </c>
      <c r="N160" s="7">
        <f t="shared" si="83"/>
        <v>15.116666669491678</v>
      </c>
      <c r="O160" s="7"/>
      <c r="P160" s="7"/>
      <c r="Q160" s="22"/>
      <c r="R160" s="22"/>
      <c r="S160" s="31">
        <f t="shared" si="86"/>
        <v>1</v>
      </c>
      <c r="T160" s="46" t="str">
        <f t="shared" si="87"/>
        <v>NorthBound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7" t="str">
        <f t="shared" si="88"/>
        <v>https://d0f6bd738d7f1b3e5a7ca70fe4ff75f0.us-east-1.aws.found.io/app/kibana#/discover/Steve-Slow-Train-Analysis-(2080s-and-2083s)?_g=(refreshInterval:(display:Off,pause:!f,section:0,value:0),time:(from:'2017-02-11T07:59:19-0700',mode:absolute,to:'2017-02-11T10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0" s="188" t="str">
        <f t="shared" si="89"/>
        <v>N</v>
      </c>
      <c r="X160" s="188">
        <f t="shared" si="99"/>
        <v>1</v>
      </c>
      <c r="Y160" s="62">
        <f t="shared" si="100"/>
        <v>0.10340000000000001</v>
      </c>
      <c r="Z160" s="62">
        <f t="shared" si="101"/>
        <v>5.8939000000000004</v>
      </c>
      <c r="AA160" s="62">
        <f t="shared" si="90"/>
        <v>5.7905000000000006</v>
      </c>
      <c r="AB160" s="59" t="e">
        <f>VLOOKUP(A160,Enforcements!$C$7:$K$14,8,0)</f>
        <v>#N/A</v>
      </c>
      <c r="AC160" s="55" t="e">
        <f>VLOOKUP(A160,Enforcements!$C$7:$E$14,3,0)</f>
        <v>#N/A</v>
      </c>
      <c r="AD160" s="56" t="str">
        <f t="shared" si="91"/>
        <v>1807-11</v>
      </c>
      <c r="AE160" s="85" t="str">
        <f t="shared" si="92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60" s="82" t="str">
        <f t="shared" si="93"/>
        <v>"C:\Program Files (x86)\AstroGrep\AstroGrep.exe" /spath="%USERPROFILE%\AppData\Local\Temp\OnboardLogs" /stypes="app*4009*20170211*" /stext=" 16:.+((SYSTEM_STATE.+slice.+state.+changed )|(ment ac)|(multiple cpu faults)|(system.+state.+changed )|(\[timeout)|(PRM\|1\|D)|(kpr)|(kdp)|(\|lc)|(penalty))" /e /r /s</v>
      </c>
      <c r="AG160" s="1" t="str">
        <f t="shared" si="94"/>
        <v>NW</v>
      </c>
      <c r="AH160" s="86" t="str">
        <f t="shared" si="95"/>
        <v>"%USERPROFILE%\Documents\GitHub\eaglep3\Utilities\RefineRTDCRunTimes.py" --tripid 1807-11 --locoid 4009 --swversion DE.1.0.8.0 --startMP 204:1034 --initTime 2017-02-11T08:59:19 --startdatetime 2017-02-11T09:21:15 --delay 1 --endMP 300:58939 --enddatetime 2017-02-11T09:36:22 --enforcementcount 1 &gt;&gt;C:\Users\stu\Documents\GitHub\eaglep3-reporting\EC\2017-02-11-refined-times.txt</v>
      </c>
      <c r="AI160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{"issue":{"subject":"","project_id":79,"tracker_id":40,"status_id":1,"priority_id":2,"assigned_to_id":23,"start_date":"2017-02-11","description":"","custom_fields":[{"id":1,"name":"Subdivision","value":"NW"},{"id":4,"name":"Milepost","value":"5.8939"},{"id":17,"name":"Train ID","value":"1807-11"},{"id":16,"name":"Locomotive ID","value":"4009"},{"id":130,"name":"Impact","value":""},{"id":150,"name":"Time of Event (Mountain Time)","value":"09:36:22"},{"id":151,"name":"Denver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97"/>
        <v>start /low /b %USERPROFILE%\Documents\GitHub\eaglep3\Utilities\DownloadLogsFromS3.py --loco 4009 --day 2017-02-11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2017-02-11-UncaughtWiMAX.txt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602</v>
      </c>
      <c r="B161" s="7">
        <v>4010</v>
      </c>
      <c r="C161" s="21" t="s">
        <v>193</v>
      </c>
      <c r="D161" s="21" t="s">
        <v>787</v>
      </c>
      <c r="E161" s="13">
        <v>42777.401678240742</v>
      </c>
      <c r="F161" s="13">
        <v>42777.403425925928</v>
      </c>
      <c r="G161" s="7">
        <v>1</v>
      </c>
      <c r="H161" s="21" t="s">
        <v>781</v>
      </c>
      <c r="I161" s="13">
        <v>42777.413321759261</v>
      </c>
      <c r="J161" s="7">
        <v>1</v>
      </c>
      <c r="K161" s="98" t="str">
        <f t="shared" si="84"/>
        <v>4009/4010</v>
      </c>
      <c r="L161" s="21" t="str">
        <f>VLOOKUP(A161,'Trips&amp;Operators'!$C$1:$G$99999,5,FALSE)</f>
        <v>SHOOK JOHN</v>
      </c>
      <c r="M161" s="6">
        <f t="shared" si="85"/>
        <v>9.8958333328482695E-3</v>
      </c>
      <c r="N161" s="7">
        <f t="shared" si="83"/>
        <v>14.249999999301508</v>
      </c>
      <c r="O161" s="7"/>
      <c r="P161" s="7"/>
      <c r="Q161" s="22"/>
      <c r="R161" s="22"/>
      <c r="S161" s="31">
        <f t="shared" si="86"/>
        <v>1</v>
      </c>
      <c r="T161" s="46" t="str">
        <f t="shared" si="87"/>
        <v>Southbound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 t="shared" si="88"/>
        <v>https://d0f6bd738d7f1b3e5a7ca70fe4ff75f0.us-east-1.aws.found.io/app/kibana#/discover/Steve-Slow-Train-Analysis-(2080s-and-2083s)?_g=(refreshInterval:(display:Off,pause:!f,section:0,value:0),time:(from:'2017-02-11T08:38:25-0700',mode:absolute,to:'2017-02-11T10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1" s="188" t="str">
        <f t="shared" si="89"/>
        <v>N</v>
      </c>
      <c r="X161" s="188">
        <f t="shared" si="99"/>
        <v>1</v>
      </c>
      <c r="Y161" s="62">
        <f t="shared" si="100"/>
        <v>5.8672000000000004</v>
      </c>
      <c r="Z161" s="62">
        <f t="shared" si="101"/>
        <v>7.3599999999999999E-2</v>
      </c>
      <c r="AA161" s="62">
        <f t="shared" si="90"/>
        <v>5.7936000000000005</v>
      </c>
      <c r="AB161" s="59" t="e">
        <f>VLOOKUP(A161,Enforcements!$C$7:$K$14,8,0)</f>
        <v>#N/A</v>
      </c>
      <c r="AC161" s="55" t="e">
        <f>VLOOKUP(A161,Enforcements!$C$7:$E$14,3,0)</f>
        <v>#N/A</v>
      </c>
      <c r="AD161" s="56" t="str">
        <f t="shared" si="91"/>
        <v>1808-11</v>
      </c>
      <c r="AE161" s="85" t="str">
        <f t="shared" si="92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61" s="82" t="str">
        <f t="shared" si="93"/>
        <v>"C:\Program Files (x86)\AstroGrep\AstroGrep.exe" /spath="%USERPROFILE%\AppData\Local\Temp\OnboardLogs" /stypes="app*4010*20170211*" /stext=" 16:.+((SYSTEM_STATE.+slice.+state.+changed )|(ment ac)|(multiple cpu faults)|(system.+state.+changed )|(\[timeout)|(PRM\|1\|D)|(kpr)|(kdp)|(\|lc)|(penalty))" /e /r /s</v>
      </c>
      <c r="AG161" s="1" t="str">
        <f t="shared" si="94"/>
        <v>NW</v>
      </c>
      <c r="AH161" s="86" t="str">
        <f t="shared" si="95"/>
        <v>"%USERPROFILE%\Documents\GitHub\eaglep3\Utilities\RefineRTDCRunTimes.py" --tripid 1808-11 --locoid 4010 --swversion DE.1.0.8.0 --startMP 300:58672 --initTime 2017-02-11T09:38:25 --startdatetime 2017-02-11T09:40:56 --delay 1 --endMP 204:736 --enddatetime 2017-02-11T09:55:11 --enforcementcount 1 &gt;&gt;C:\Users\stu\Documents\GitHub\eaglep3-reporting\EC\2017-02-11-refined-times.txt</v>
      </c>
      <c r="AI161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{"issue":{"subject":"","project_id":79,"tracker_id":40,"status_id":1,"priority_id":2,"assigned_to_id":23,"start_date":"2017-02-11","description":"","custom_fields":[{"id":1,"name":"Subdivision","value":"NW"},{"id":4,"name":"Milepost","value":"0.0736"},{"id":17,"name":"Train ID","value":"1808-11"},{"id":16,"name":"Locomotive ID","value":"4010"},{"id":130,"name":"Impact","value":""},{"id":150,"name":"Time of Event (Mountain Time)","value":"09:55:11"},{"id":151,"name":"Denver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97"/>
        <v>start /low /b %USERPROFILE%\Documents\GitHub\eaglep3\Utilities\DownloadLogsFromS3.py --loco 4010 --day 2017-02-11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2017-02-11-UncaughtWiMAX.txt</v>
      </c>
    </row>
    <row r="162" spans="1:91" x14ac:dyDescent="0.25">
      <c r="A162" s="33" t="s">
        <v>605</v>
      </c>
      <c r="B162" s="7">
        <v>4009</v>
      </c>
      <c r="C162" s="21" t="s">
        <v>193</v>
      </c>
      <c r="D162" s="21" t="s">
        <v>788</v>
      </c>
      <c r="E162" s="13">
        <v>42777.415046296293</v>
      </c>
      <c r="F162" s="13">
        <v>42777.431423611109</v>
      </c>
      <c r="G162" s="7">
        <v>1</v>
      </c>
      <c r="H162" s="21" t="s">
        <v>508</v>
      </c>
      <c r="I162" s="13">
        <v>42777.441203703704</v>
      </c>
      <c r="J162" s="7">
        <v>1</v>
      </c>
      <c r="K162" s="98" t="str">
        <f t="shared" si="84"/>
        <v>4009/4010</v>
      </c>
      <c r="L162" s="21" t="str">
        <f>VLOOKUP(A162,'Trips&amp;Operators'!$C$1:$G$99999,5,FALSE)</f>
        <v>SHOOK JOHN</v>
      </c>
      <c r="M162" s="6">
        <f t="shared" si="85"/>
        <v>9.7800925941555761E-3</v>
      </c>
      <c r="N162" s="7">
        <f t="shared" si="83"/>
        <v>14.08333333558403</v>
      </c>
      <c r="O162" s="7"/>
      <c r="P162" s="7"/>
      <c r="Q162" s="22"/>
      <c r="R162" s="22"/>
      <c r="S162" s="31">
        <f t="shared" si="86"/>
        <v>1</v>
      </c>
      <c r="T162" s="46" t="str">
        <f t="shared" si="87"/>
        <v>NorthBound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 t="shared" si="88"/>
        <v>https://d0f6bd738d7f1b3e5a7ca70fe4ff75f0.us-east-1.aws.found.io/app/kibana#/discover/Steve-Slow-Train-Analysis-(2080s-and-2083s)?_g=(refreshInterval:(display:Off,pause:!f,section:0,value:0),time:(from:'2017-02-11T08:57:40-0700',mode:absolute,to:'2017-02-11T11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2" s="188" t="str">
        <f t="shared" si="89"/>
        <v>N</v>
      </c>
      <c r="X162" s="188">
        <f t="shared" si="99"/>
        <v>1</v>
      </c>
      <c r="Y162" s="62">
        <f t="shared" si="100"/>
        <v>0.1023</v>
      </c>
      <c r="Z162" s="62">
        <f t="shared" si="101"/>
        <v>5.8993000000000002</v>
      </c>
      <c r="AA162" s="62">
        <f t="shared" si="90"/>
        <v>5.7970000000000006</v>
      </c>
      <c r="AB162" s="59" t="e">
        <f>VLOOKUP(A162,Enforcements!$C$7:$K$14,8,0)</f>
        <v>#N/A</v>
      </c>
      <c r="AC162" s="55" t="e">
        <f>VLOOKUP(A162,Enforcements!$C$7:$E$14,3,0)</f>
        <v>#N/A</v>
      </c>
      <c r="AD162" s="56" t="str">
        <f t="shared" si="91"/>
        <v>1809-11</v>
      </c>
      <c r="AE162" s="85" t="str">
        <f t="shared" si="92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62" s="82" t="str">
        <f t="shared" si="93"/>
        <v>"C:\Program Files (x86)\AstroGrep\AstroGrep.exe" /spath="%USERPROFILE%\AppData\Local\Temp\OnboardLogs" /stypes="app*4009*20170211*" /stext=" 17:.+((SYSTEM_STATE.+slice.+state.+changed )|(ment ac)|(multiple cpu faults)|(system.+state.+changed )|(\[timeout)|(PRM\|1\|D)|(kpr)|(kdp)|(\|lc)|(penalty))" /e /r /s</v>
      </c>
      <c r="AG162" s="1" t="str">
        <f t="shared" si="94"/>
        <v>NW</v>
      </c>
      <c r="AH162" s="86" t="str">
        <f t="shared" si="95"/>
        <v>"%USERPROFILE%\Documents\GitHub\eaglep3\Utilities\RefineRTDCRunTimes.py" --tripid 1809-11 --locoid 4009 --swversion DE.1.0.8.0 --startMP 204:1023 --initTime 2017-02-11T09:57:40 --startdatetime 2017-02-11T10:21:15 --delay 1 --endMP 300:58993 --enddatetime 2017-02-11T10:35:20 --enforcementcount 1 &gt;&gt;C:\Users\stu\Documents\GitHub\eaglep3-reporting\EC\2017-02-11-refined-times.txt</v>
      </c>
      <c r="AI162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{"issue":{"subject":"","project_id":79,"tracker_id":40,"status_id":1,"priority_id":2,"assigned_to_id":23,"start_date":"2017-02-11","description":"","custom_fields":[{"id":1,"name":"Subdivision","value":"NW"},{"id":4,"name":"Milepost","value":"5.8993"},{"id":17,"name":"Train ID","value":"1809-11"},{"id":16,"name":"Locomotive ID","value":"4009"},{"id":130,"name":"Impact","value":""},{"id":150,"name":"Time of Event (Mountain Time)","value":"10:35:20"},{"id":151,"name":"Denver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97"/>
        <v>start /low /b %USERPROFILE%\Documents\GitHub\eaglep3\Utilities\DownloadLogsFromS3.py --loco 4009 --day 2017-02-11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2017-02-11-UncaughtWiMAX.txt</v>
      </c>
    </row>
    <row r="163" spans="1:91" x14ac:dyDescent="0.25">
      <c r="A163" s="33" t="s">
        <v>617</v>
      </c>
      <c r="B163" s="7">
        <v>4010</v>
      </c>
      <c r="C163" s="21" t="s">
        <v>193</v>
      </c>
      <c r="D163" s="21" t="s">
        <v>503</v>
      </c>
      <c r="E163" s="13">
        <v>42777.442766203705</v>
      </c>
      <c r="F163" s="13">
        <v>42777.445023148146</v>
      </c>
      <c r="G163" s="7">
        <v>1</v>
      </c>
      <c r="H163" s="21" t="s">
        <v>790</v>
      </c>
      <c r="I163" s="13">
        <v>42777.454988425925</v>
      </c>
      <c r="J163" s="7">
        <v>1</v>
      </c>
      <c r="K163" s="98" t="str">
        <f t="shared" si="84"/>
        <v>4009/4010</v>
      </c>
      <c r="L163" s="21" t="str">
        <f>VLOOKUP(A163,'Trips&amp;Operators'!$C$1:$G$99999,5,FALSE)</f>
        <v>SHOOK JOHN</v>
      </c>
      <c r="M163" s="6">
        <f t="shared" si="85"/>
        <v>9.9652777789742686E-3</v>
      </c>
      <c r="N163" s="7">
        <f t="shared" si="83"/>
        <v>14.350000001722947</v>
      </c>
      <c r="O163" s="7"/>
      <c r="P163" s="7"/>
      <c r="Q163" s="22"/>
      <c r="R163" s="22"/>
      <c r="S163" s="31">
        <f t="shared" si="86"/>
        <v>1</v>
      </c>
      <c r="T163" s="46" t="str">
        <f t="shared" si="87"/>
        <v>Southbound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 t="shared" si="88"/>
        <v>https://d0f6bd738d7f1b3e5a7ca70fe4ff75f0.us-east-1.aws.found.io/app/kibana#/discover/Steve-Slow-Train-Analysis-(2080s-and-2083s)?_g=(refreshInterval:(display:Off,pause:!f,section:0,value:0),time:(from:'2017-02-11T09:37:35-0700',mode:absolute,to:'2017-02-11T11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3" s="188" t="str">
        <f t="shared" si="89"/>
        <v>N</v>
      </c>
      <c r="X163" s="188">
        <f t="shared" si="99"/>
        <v>1</v>
      </c>
      <c r="Y163" s="62">
        <f t="shared" si="100"/>
        <v>5.8674999999999997</v>
      </c>
      <c r="Z163" s="62">
        <f t="shared" si="101"/>
        <v>7.4099999999999999E-2</v>
      </c>
      <c r="AA163" s="62">
        <f t="shared" si="90"/>
        <v>5.7934000000000001</v>
      </c>
      <c r="AB163" s="59" t="e">
        <f>VLOOKUP(A163,Enforcements!$C$7:$K$14,8,0)</f>
        <v>#N/A</v>
      </c>
      <c r="AC163" s="55" t="e">
        <f>VLOOKUP(A163,Enforcements!$C$7:$E$14,3,0)</f>
        <v>#N/A</v>
      </c>
      <c r="AD163" s="56" t="str">
        <f t="shared" si="91"/>
        <v>1810-11</v>
      </c>
      <c r="AE163" s="85" t="str">
        <f t="shared" si="92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63" s="82" t="str">
        <f t="shared" si="93"/>
        <v>"C:\Program Files (x86)\AstroGrep\AstroGrep.exe" /spath="%USERPROFILE%\AppData\Local\Temp\OnboardLogs" /stypes="app*4010*20170211*" /stext=" 17:.+((SYSTEM_STATE.+slice.+state.+changed )|(ment ac)|(multiple cpu faults)|(system.+state.+changed )|(\[timeout)|(PRM\|1\|D)|(kpr)|(kdp)|(\|lc)|(penalty))" /e /r /s</v>
      </c>
      <c r="AG163" s="1" t="str">
        <f t="shared" si="94"/>
        <v>NW</v>
      </c>
      <c r="AH163" s="86" t="str">
        <f t="shared" si="95"/>
        <v>"%USERPROFILE%\Documents\GitHub\eaglep3\Utilities\RefineRTDCRunTimes.py" --tripid 1810-11 --locoid 4010 --swversion DE.1.0.8.0 --startMP 300:58675 --initTime 2017-02-11T10:37:35 --startdatetime 2017-02-11T10:40:50 --delay 1 --endMP 204:741 --enddatetime 2017-02-11T10:55:11 --enforcementcount 1 &gt;&gt;C:\Users\stu\Documents\GitHub\eaglep3-reporting\EC\2017-02-11-refined-times.txt</v>
      </c>
      <c r="AI163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{"issue":{"subject":"","project_id":79,"tracker_id":40,"status_id":1,"priority_id":2,"assigned_to_id":23,"start_date":"2017-02-11","description":"","custom_fields":[{"id":1,"name":"Subdivision","value":"NW"},{"id":4,"name":"Milepost","value":"0.0741"},{"id":17,"name":"Train ID","value":"1810-11"},{"id":16,"name":"Locomotive ID","value":"4010"},{"id":130,"name":"Impact","value":""},{"id":150,"name":"Time of Event (Mountain Time)","value":"10:55:11"},{"id":151,"name":"Denver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97"/>
        <v>start /low /b %USERPROFILE%\Documents\GitHub\eaglep3\Utilities\DownloadLogsFromS3.py --loco 4010 --day 2017-02-11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2017-02-11-UncaughtWiMAX.txt</v>
      </c>
    </row>
    <row r="164" spans="1:91" x14ac:dyDescent="0.25">
      <c r="A164" s="33" t="s">
        <v>619</v>
      </c>
      <c r="B164" s="7">
        <v>4009</v>
      </c>
      <c r="C164" s="21" t="s">
        <v>193</v>
      </c>
      <c r="D164" s="21" t="s">
        <v>791</v>
      </c>
      <c r="E164" s="13">
        <v>42777.456608796296</v>
      </c>
      <c r="F164" s="13">
        <v>42777.473101851851</v>
      </c>
      <c r="G164" s="7">
        <v>1</v>
      </c>
      <c r="H164" s="21" t="s">
        <v>508</v>
      </c>
      <c r="I164" s="13">
        <v>42777.48265046296</v>
      </c>
      <c r="J164" s="7">
        <v>1</v>
      </c>
      <c r="K164" s="98" t="str">
        <f t="shared" si="84"/>
        <v>4009/4010</v>
      </c>
      <c r="L164" s="21" t="str">
        <f>VLOOKUP(A164,'Trips&amp;Operators'!$C$1:$G$99999,5,FALSE)</f>
        <v>SHOOK JOHN</v>
      </c>
      <c r="M164" s="6">
        <f t="shared" si="85"/>
        <v>9.5486111094942316E-3</v>
      </c>
      <c r="N164" s="7">
        <f t="shared" si="83"/>
        <v>13.749999997671694</v>
      </c>
      <c r="O164" s="7"/>
      <c r="P164" s="7"/>
      <c r="Q164" s="22"/>
      <c r="R164" s="22"/>
      <c r="S164" s="31">
        <f t="shared" si="86"/>
        <v>1</v>
      </c>
      <c r="T164" s="46" t="str">
        <f t="shared" si="87"/>
        <v>NorthBound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 t="shared" si="88"/>
        <v>https://d0f6bd738d7f1b3e5a7ca70fe4ff75f0.us-east-1.aws.found.io/app/kibana#/discover/Steve-Slow-Train-Analysis-(2080s-and-2083s)?_g=(refreshInterval:(display:Off,pause:!f,section:0,value:0),time:(from:'2017-02-11T09:57:31-0700',mode:absolute,to:'2017-02-11T12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4" s="188" t="str">
        <f t="shared" si="89"/>
        <v>N</v>
      </c>
      <c r="X164" s="188">
        <f t="shared" si="99"/>
        <v>1</v>
      </c>
      <c r="Y164" s="62">
        <f t="shared" si="100"/>
        <v>0.1018</v>
      </c>
      <c r="Z164" s="62">
        <f t="shared" si="101"/>
        <v>5.8993000000000002</v>
      </c>
      <c r="AA164" s="62">
        <f t="shared" si="90"/>
        <v>5.7975000000000003</v>
      </c>
      <c r="AB164" s="59" t="e">
        <f>VLOOKUP(A164,Enforcements!$C$7:$K$14,8,0)</f>
        <v>#N/A</v>
      </c>
      <c r="AC164" s="55" t="e">
        <f>VLOOKUP(A164,Enforcements!$C$7:$E$14,3,0)</f>
        <v>#N/A</v>
      </c>
      <c r="AD164" s="56" t="str">
        <f t="shared" si="91"/>
        <v>1811-11</v>
      </c>
      <c r="AE164" s="85" t="str">
        <f t="shared" si="92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64" s="82" t="str">
        <f t="shared" si="93"/>
        <v>"C:\Program Files (x86)\AstroGrep\AstroGrep.exe" /spath="%USERPROFILE%\AppData\Local\Temp\OnboardLogs" /stypes="app*4009*20170211*" /stext=" 18:.+((SYSTEM_STATE.+slice.+state.+changed )|(ment ac)|(multiple cpu faults)|(system.+state.+changed )|(\[timeout)|(PRM\|1\|D)|(kpr)|(kdp)|(\|lc)|(penalty))" /e /r /s</v>
      </c>
      <c r="AG164" s="1" t="str">
        <f t="shared" si="94"/>
        <v>NW</v>
      </c>
      <c r="AH164" s="86" t="str">
        <f t="shared" si="95"/>
        <v>"%USERPROFILE%\Documents\GitHub\eaglep3\Utilities\RefineRTDCRunTimes.py" --tripid 1811-11 --locoid 4009 --swversion DE.1.0.8.0 --startMP 204:1018 --initTime 2017-02-11T10:57:31 --startdatetime 2017-02-11T11:21:16 --delay 1 --endMP 300:58993 --enddatetime 2017-02-11T11:35:01 --enforcementcount 1 &gt;&gt;C:\Users\stu\Documents\GitHub\eaglep3-reporting\EC\2017-02-11-refined-times.txt</v>
      </c>
      <c r="AI164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{"issue":{"subject":"","project_id":79,"tracker_id":40,"status_id":1,"priority_id":2,"assigned_to_id":23,"start_date":"2017-02-11","description":"","custom_fields":[{"id":1,"name":"Subdivision","value":"NW"},{"id":4,"name":"Milepost","value":"5.8993"},{"id":17,"name":"Train ID","value":"1811-11"},{"id":16,"name":"Locomotive ID","value":"4009"},{"id":130,"name":"Impact","value":""},{"id":150,"name":"Time of Event (Mountain Time)","value":"11:35:01"},{"id":151,"name":"Denver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97"/>
        <v>start /low /b %USERPROFILE%\Documents\GitHub\eaglep3\Utilities\DownloadLogsFromS3.py --loco 4009 --day 2017-02-11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2017-02-11-UncaughtWiMAX.txt</v>
      </c>
    </row>
    <row r="165" spans="1:91" s="20" customFormat="1" x14ac:dyDescent="0.25">
      <c r="A165" s="33" t="s">
        <v>627</v>
      </c>
      <c r="B165" s="7">
        <v>4010</v>
      </c>
      <c r="C165" s="21" t="s">
        <v>193</v>
      </c>
      <c r="D165" s="21" t="s">
        <v>501</v>
      </c>
      <c r="E165" s="13">
        <v>42777.484212962961</v>
      </c>
      <c r="F165" s="13">
        <v>42777.48641203704</v>
      </c>
      <c r="G165" s="7">
        <v>1</v>
      </c>
      <c r="H165" s="21" t="s">
        <v>506</v>
      </c>
      <c r="I165" s="13">
        <v>42777.496817129628</v>
      </c>
      <c r="J165" s="7">
        <v>1</v>
      </c>
      <c r="K165" s="98" t="str">
        <f t="shared" si="84"/>
        <v>4009/4010</v>
      </c>
      <c r="L165" s="21" t="str">
        <f>VLOOKUP(A165,'Trips&amp;Operators'!$C$1:$G$99999,5,FALSE)</f>
        <v>SHOOK JOHN</v>
      </c>
      <c r="M165" s="6">
        <f t="shared" si="85"/>
        <v>1.0405092587461695E-2</v>
      </c>
      <c r="N165" s="7">
        <f t="shared" si="83"/>
        <v>14.983333325944841</v>
      </c>
      <c r="O165" s="7"/>
      <c r="P165" s="7"/>
      <c r="Q165" s="22"/>
      <c r="R165" s="22"/>
      <c r="S165" s="31">
        <f t="shared" si="86"/>
        <v>1</v>
      </c>
      <c r="T165" s="46" t="str">
        <f t="shared" si="87"/>
        <v>Southbound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 t="shared" si="88"/>
        <v>https://d0f6bd738d7f1b3e5a7ca70fe4ff75f0.us-east-1.aws.found.io/app/kibana#/discover/Steve-Slow-Train-Analysis-(2080s-and-2083s)?_g=(refreshInterval:(display:Off,pause:!f,section:0,value:0),time:(from:'2017-02-11T10:37:16-0700',mode:absolute,to:'2017-02-11T12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5" s="188" t="str">
        <f t="shared" si="89"/>
        <v>N</v>
      </c>
      <c r="X165" s="188">
        <f t="shared" si="99"/>
        <v>1</v>
      </c>
      <c r="Y165" s="62">
        <f t="shared" si="100"/>
        <v>5.8678999999999997</v>
      </c>
      <c r="Z165" s="62">
        <f t="shared" si="101"/>
        <v>6.9900000000000004E-2</v>
      </c>
      <c r="AA165" s="62">
        <f t="shared" si="90"/>
        <v>5.798</v>
      </c>
      <c r="AB165" s="59" t="e">
        <f>VLOOKUP(A165,Enforcements!$C$7:$K$14,8,0)</f>
        <v>#N/A</v>
      </c>
      <c r="AC165" s="55" t="e">
        <f>VLOOKUP(A165,Enforcements!$C$7:$E$14,3,0)</f>
        <v>#N/A</v>
      </c>
      <c r="AD165" s="56" t="str">
        <f t="shared" si="91"/>
        <v>1812-11</v>
      </c>
      <c r="AE165" s="85" t="str">
        <f t="shared" si="92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65" s="82" t="str">
        <f t="shared" si="93"/>
        <v>"C:\Program Files (x86)\AstroGrep\AstroGrep.exe" /spath="%USERPROFILE%\AppData\Local\Temp\OnboardLogs" /stypes="app*4010*20170211*" /stext=" 18:.+((SYSTEM_STATE.+slice.+state.+changed )|(ment ac)|(multiple cpu faults)|(system.+state.+changed )|(\[timeout)|(PRM\|1\|D)|(kpr)|(kdp)|(\|lc)|(penalty))" /e /r /s</v>
      </c>
      <c r="AG165" s="1" t="str">
        <f t="shared" si="94"/>
        <v>NW</v>
      </c>
      <c r="AH165" s="86" t="str">
        <f t="shared" si="95"/>
        <v>"%USERPROFILE%\Documents\GitHub\eaglep3\Utilities\RefineRTDCRunTimes.py" --tripid 1812-11 --locoid 4010 --swversion DE.1.0.8.0 --startMP 300:58679 --initTime 2017-02-11T11:37:16 --startdatetime 2017-02-11T11:40:26 --delay 1 --endMP 204:699 --enddatetime 2017-02-11T11:55:25 --enforcementcount 1 &gt;&gt;C:\Users\stu\Documents\GitHub\eaglep3-reporting\EC\2017-02-11-refined-times.txt</v>
      </c>
      <c r="AI165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{"issue":{"subject":"","project_id":79,"tracker_id":40,"status_id":1,"priority_id":2,"assigned_to_id":23,"start_date":"2017-02-11","description":"","custom_fields":[{"id":1,"name":"Subdivision","value":"NW"},{"id":4,"name":"Milepost","value":"0.0699"},{"id":17,"name":"Train ID","value":"1812-11"},{"id":16,"name":"Locomotive ID","value":"4010"},{"id":130,"name":"Impact","value":""},{"id":150,"name":"Time of Event (Mountain Time)","value":"11:55:25"},{"id":151,"name":"Denver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97"/>
        <v>start /low /b %USERPROFILE%\Documents\GitHub\eaglep3\Utilities\DownloadLogsFromS3.py --loco 4010 --day 2017-02-11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2017-02-11-UncaughtWiMAX.txt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632</v>
      </c>
      <c r="B166" s="7">
        <v>4009</v>
      </c>
      <c r="C166" s="21" t="s">
        <v>193</v>
      </c>
      <c r="D166" s="21" t="s">
        <v>792</v>
      </c>
      <c r="E166" s="13">
        <v>42777.498726851853</v>
      </c>
      <c r="F166" s="13">
        <v>42777.514756944445</v>
      </c>
      <c r="G166" s="7">
        <v>1</v>
      </c>
      <c r="H166" s="21" t="s">
        <v>793</v>
      </c>
      <c r="I166" s="13">
        <v>42777.524189814816</v>
      </c>
      <c r="J166" s="7">
        <v>1</v>
      </c>
      <c r="K166" s="98" t="str">
        <f t="shared" si="84"/>
        <v>4009/4010</v>
      </c>
      <c r="L166" s="21" t="str">
        <f>VLOOKUP(A166,'Trips&amp;Operators'!$C$1:$G$99999,5,FALSE)</f>
        <v>SHOOK JOHN</v>
      </c>
      <c r="M166" s="6">
        <f t="shared" si="85"/>
        <v>9.4328703708015382E-3</v>
      </c>
      <c r="N166" s="7">
        <f t="shared" si="83"/>
        <v>13.583333333954215</v>
      </c>
      <c r="O166" s="7"/>
      <c r="P166" s="7"/>
      <c r="Q166" s="22"/>
      <c r="R166" s="22"/>
      <c r="S166" s="31">
        <f t="shared" si="86"/>
        <v>1</v>
      </c>
      <c r="T166" s="46" t="str">
        <f t="shared" si="87"/>
        <v>NorthBound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 t="shared" si="88"/>
        <v>https://d0f6bd738d7f1b3e5a7ca70fe4ff75f0.us-east-1.aws.found.io/app/kibana#/discover/Steve-Slow-Train-Analysis-(2080s-and-2083s)?_g=(refreshInterval:(display:Off,pause:!f,section:0,value:0),time:(from:'2017-02-11T10:58:10-0700',mode:absolute,to:'2017-02-11T13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6" s="188" t="str">
        <f t="shared" si="89"/>
        <v>N</v>
      </c>
      <c r="X166" s="188">
        <f t="shared" si="99"/>
        <v>1</v>
      </c>
      <c r="Y166" s="62">
        <f t="shared" si="100"/>
        <v>9.9900000000000003E-2</v>
      </c>
      <c r="Z166" s="62">
        <f t="shared" si="101"/>
        <v>5.9005000000000001</v>
      </c>
      <c r="AA166" s="62">
        <f t="shared" si="90"/>
        <v>5.8006000000000002</v>
      </c>
      <c r="AB166" s="59" t="e">
        <f>VLOOKUP(A166,Enforcements!$C$7:$K$14,8,0)</f>
        <v>#N/A</v>
      </c>
      <c r="AC166" s="55" t="e">
        <f>VLOOKUP(A166,Enforcements!$C$7:$E$14,3,0)</f>
        <v>#N/A</v>
      </c>
      <c r="AD166" s="56" t="str">
        <f t="shared" si="91"/>
        <v>1813-11</v>
      </c>
      <c r="AE166" s="85" t="str">
        <f t="shared" si="92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66" s="82" t="str">
        <f t="shared" si="93"/>
        <v>"C:\Program Files (x86)\AstroGrep\AstroGrep.exe" /spath="%USERPROFILE%\AppData\Local\Temp\OnboardLogs" /stypes="app*4009*20170211*" /stext=" 19:.+((SYSTEM_STATE.+slice.+state.+changed )|(ment ac)|(multiple cpu faults)|(system.+state.+changed )|(\[timeout)|(PRM\|1\|D)|(kpr)|(kdp)|(\|lc)|(penalty))" /e /r /s</v>
      </c>
      <c r="AG166" s="1" t="str">
        <f t="shared" si="94"/>
        <v>NW</v>
      </c>
      <c r="AH166" s="86" t="str">
        <f t="shared" si="95"/>
        <v>"%USERPROFILE%\Documents\GitHub\eaglep3\Utilities\RefineRTDCRunTimes.py" --tripid 1813-11 --locoid 4009 --swversion DE.1.0.8.0 --startMP 204:999 --initTime 2017-02-11T11:58:10 --startdatetime 2017-02-11T12:21:15 --delay 1 --endMP 300:59005 --enddatetime 2017-02-11T12:34:50 --enforcementcount 1 &gt;&gt;C:\Users\stu\Documents\GitHub\eaglep3-reporting\EC\2017-02-11-refined-times.txt</v>
      </c>
      <c r="AI166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{"issue":{"subject":"","project_id":79,"tracker_id":40,"status_id":1,"priority_id":2,"assigned_to_id":23,"start_date":"2017-02-11","description":"","custom_fields":[{"id":1,"name":"Subdivision","value":"NW"},{"id":4,"name":"Milepost","value":"5.9005"},{"id":17,"name":"Train ID","value":"1813-11"},{"id":16,"name":"Locomotive ID","value":"4009"},{"id":130,"name":"Impact","value":""},{"id":150,"name":"Time of Event (Mountain Time)","value":"12:34:50"},{"id":151,"name":"Denver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97"/>
        <v>start /low /b %USERPROFILE%\Documents\GitHub\eaglep3\Utilities\DownloadLogsFromS3.py --loco 4009 --day 2017-02-11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2017-02-11-UncaughtWiMAX.txt</v>
      </c>
    </row>
    <row r="167" spans="1:91" x14ac:dyDescent="0.25">
      <c r="A167" s="33" t="s">
        <v>637</v>
      </c>
      <c r="B167" s="7">
        <v>4010</v>
      </c>
      <c r="C167" s="21" t="s">
        <v>193</v>
      </c>
      <c r="D167" s="21" t="s">
        <v>509</v>
      </c>
      <c r="E167" s="13">
        <v>42777.525763888887</v>
      </c>
      <c r="F167" s="13">
        <v>42777.528310185182</v>
      </c>
      <c r="G167" s="7">
        <v>1</v>
      </c>
      <c r="H167" s="21" t="s">
        <v>794</v>
      </c>
      <c r="I167" s="13">
        <v>42777.538425925923</v>
      </c>
      <c r="J167" s="7">
        <v>1</v>
      </c>
      <c r="K167" s="98" t="str">
        <f t="shared" si="84"/>
        <v>4009/4010</v>
      </c>
      <c r="L167" s="21" t="str">
        <f>VLOOKUP(A167,'Trips&amp;Operators'!$C$1:$G$99999,5,FALSE)</f>
        <v>SHOOK JOHN</v>
      </c>
      <c r="M167" s="6">
        <f t="shared" si="85"/>
        <v>1.0115740740729962E-2</v>
      </c>
      <c r="N167" s="7">
        <f t="shared" si="83"/>
        <v>14.566666666651145</v>
      </c>
      <c r="O167" s="7"/>
      <c r="P167" s="7"/>
      <c r="Q167" s="22"/>
      <c r="R167" s="22"/>
      <c r="S167" s="31">
        <f t="shared" si="86"/>
        <v>1</v>
      </c>
      <c r="T167" s="46" t="str">
        <f t="shared" si="87"/>
        <v>Southbound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 t="shared" si="88"/>
        <v>https://d0f6bd738d7f1b3e5a7ca70fe4ff75f0.us-east-1.aws.found.io/app/kibana#/discover/Steve-Slow-Train-Analysis-(2080s-and-2083s)?_g=(refreshInterval:(display:Off,pause:!f,section:0,value:0),time:(from:'2017-02-11T11:37:06-0700',mode:absolute,to:'2017-02-11T13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7" s="188" t="str">
        <f t="shared" si="89"/>
        <v>N</v>
      </c>
      <c r="X167" s="188">
        <f t="shared" si="99"/>
        <v>1</v>
      </c>
      <c r="Y167" s="62">
        <f t="shared" si="100"/>
        <v>5.8685</v>
      </c>
      <c r="Z167" s="62">
        <f t="shared" si="101"/>
        <v>7.3300000000000004E-2</v>
      </c>
      <c r="AA167" s="62">
        <f t="shared" si="90"/>
        <v>5.7952000000000004</v>
      </c>
      <c r="AB167" s="59" t="e">
        <f>VLOOKUP(A167,Enforcements!$C$7:$K$14,8,0)</f>
        <v>#N/A</v>
      </c>
      <c r="AC167" s="55" t="e">
        <f>VLOOKUP(A167,Enforcements!$C$7:$E$14,3,0)</f>
        <v>#N/A</v>
      </c>
      <c r="AD167" s="56" t="str">
        <f t="shared" si="91"/>
        <v>1814-11</v>
      </c>
      <c r="AE167" s="85" t="str">
        <f t="shared" si="92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67" s="82" t="str">
        <f t="shared" si="93"/>
        <v>"C:\Program Files (x86)\AstroGrep\AstroGrep.exe" /spath="%USERPROFILE%\AppData\Local\Temp\OnboardLogs" /stypes="app*4010*20170211*" /stext=" 19:.+((SYSTEM_STATE.+slice.+state.+changed )|(ment ac)|(multiple cpu faults)|(system.+state.+changed )|(\[timeout)|(PRM\|1\|D)|(kpr)|(kdp)|(\|lc)|(penalty))" /e /r /s</v>
      </c>
      <c r="AG167" s="1" t="str">
        <f t="shared" si="94"/>
        <v>NW</v>
      </c>
      <c r="AH167" s="86" t="str">
        <f t="shared" si="95"/>
        <v>"%USERPROFILE%\Documents\GitHub\eaglep3\Utilities\RefineRTDCRunTimes.py" --tripid 1814-11 --locoid 4010 --swversion DE.1.0.8.0 --startMP 300:58685 --initTime 2017-02-11T12:37:06 --startdatetime 2017-02-11T12:40:46 --delay 1 --endMP 204:733 --enddatetime 2017-02-11T12:55:20 --enforcementcount 1 &gt;&gt;C:\Users\stu\Documents\GitHub\eaglep3-reporting\EC\2017-02-11-refined-times.txt</v>
      </c>
      <c r="AI167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{"issue":{"subject":"","project_id":79,"tracker_id":40,"status_id":1,"priority_id":2,"assigned_to_id":23,"start_date":"2017-02-11","description":"","custom_fields":[{"id":1,"name":"Subdivision","value":"NW"},{"id":4,"name":"Milepost","value":"0.0733"},{"id":17,"name":"Train ID","value":"1814-11"},{"id":16,"name":"Locomotive ID","value":"4010"},{"id":130,"name":"Impact","value":""},{"id":150,"name":"Time of Event (Mountain Time)","value":"12:55:20"},{"id":151,"name":"Denver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97"/>
        <v>start /low /b %USERPROFILE%\Documents\GitHub\eaglep3\Utilities\DownloadLogsFromS3.py --loco 4010 --day 2017-02-11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2017-02-11-UncaughtWiMAX.txt</v>
      </c>
    </row>
    <row r="168" spans="1:91" x14ac:dyDescent="0.25">
      <c r="A168" s="33" t="s">
        <v>641</v>
      </c>
      <c r="B168" s="7">
        <v>4009</v>
      </c>
      <c r="C168" s="21" t="s">
        <v>193</v>
      </c>
      <c r="D168" s="21" t="s">
        <v>795</v>
      </c>
      <c r="E168" s="13">
        <v>42777.540324074071</v>
      </c>
      <c r="F168" s="13">
        <v>42777.556435185186</v>
      </c>
      <c r="G168" s="7">
        <v>1</v>
      </c>
      <c r="H168" s="21" t="s">
        <v>796</v>
      </c>
      <c r="I168" s="13">
        <v>42777.566006944442</v>
      </c>
      <c r="J168" s="7">
        <v>1</v>
      </c>
      <c r="K168" s="98" t="str">
        <f t="shared" si="84"/>
        <v>4009/4010</v>
      </c>
      <c r="L168" s="21" t="str">
        <f>VLOOKUP(A168,'Trips&amp;Operators'!$C$1:$G$99999,5,FALSE)</f>
        <v>SHOOK JOHN</v>
      </c>
      <c r="M168" s="6">
        <f t="shared" si="85"/>
        <v>9.5717592557775788E-3</v>
      </c>
      <c r="N168" s="7">
        <f t="shared" si="83"/>
        <v>13.783333328319713</v>
      </c>
      <c r="O168" s="7"/>
      <c r="P168" s="7"/>
      <c r="Q168" s="22"/>
      <c r="R168" s="22"/>
      <c r="S168" s="31">
        <f t="shared" si="86"/>
        <v>1</v>
      </c>
      <c r="T168" s="46" t="str">
        <f t="shared" si="87"/>
        <v>NorthBound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 t="shared" si="88"/>
        <v>https://d0f6bd738d7f1b3e5a7ca70fe4ff75f0.us-east-1.aws.found.io/app/kibana#/discover/Steve-Slow-Train-Analysis-(2080s-and-2083s)?_g=(refreshInterval:(display:Off,pause:!f,section:0,value:0),time:(from:'2017-02-11T11:58:04-0700',mode:absolute,to:'2017-02-11T14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8" s="188" t="str">
        <f t="shared" si="89"/>
        <v>N</v>
      </c>
      <c r="X168" s="188">
        <f t="shared" si="99"/>
        <v>1</v>
      </c>
      <c r="Y168" s="62">
        <f t="shared" si="100"/>
        <v>0.10299999999999999</v>
      </c>
      <c r="Z168" s="62">
        <f t="shared" si="101"/>
        <v>5.9008000000000003</v>
      </c>
      <c r="AA168" s="62">
        <f t="shared" si="90"/>
        <v>5.7978000000000005</v>
      </c>
      <c r="AB168" s="59" t="e">
        <f>VLOOKUP(A168,Enforcements!$C$7:$K$14,8,0)</f>
        <v>#N/A</v>
      </c>
      <c r="AC168" s="55" t="e">
        <f>VLOOKUP(A168,Enforcements!$C$7:$E$14,3,0)</f>
        <v>#N/A</v>
      </c>
      <c r="AD168" s="56" t="str">
        <f t="shared" si="91"/>
        <v>1815-11</v>
      </c>
      <c r="AE168" s="85" t="str">
        <f t="shared" si="92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68" s="82" t="str">
        <f t="shared" si="93"/>
        <v>"C:\Program Files (x86)\AstroGrep\AstroGrep.exe" /spath="%USERPROFILE%\AppData\Local\Temp\OnboardLogs" /stypes="app*4009*20170211*" /stext=" 20:.+((SYSTEM_STATE.+slice.+state.+changed )|(ment ac)|(multiple cpu faults)|(system.+state.+changed )|(\[timeout)|(PRM\|1\|D)|(kpr)|(kdp)|(\|lc)|(penalty))" /e /r /s</v>
      </c>
      <c r="AG168" s="1" t="str">
        <f t="shared" si="94"/>
        <v>NW</v>
      </c>
      <c r="AH168" s="86" t="str">
        <f t="shared" si="95"/>
        <v>"%USERPROFILE%\Documents\GitHub\eaglep3\Utilities\RefineRTDCRunTimes.py" --tripid 1815-11 --locoid 4009 --swversion DE.1.0.8.0 --startMP 204:1030 --initTime 2017-02-11T12:58:04 --startdatetime 2017-02-11T13:21:16 --delay 1 --endMP 300:59008 --enddatetime 2017-02-11T13:35:03 --enforcementcount 1 &gt;&gt;C:\Users\stu\Documents\GitHub\eaglep3-reporting\EC\2017-02-11-refined-times.txt</v>
      </c>
      <c r="AI168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{"issue":{"subject":"","project_id":79,"tracker_id":40,"status_id":1,"priority_id":2,"assigned_to_id":23,"start_date":"2017-02-11","description":"","custom_fields":[{"id":1,"name":"Subdivision","value":"NW"},{"id":4,"name":"Milepost","value":"5.9008"},{"id":17,"name":"Train ID","value":"1815-11"},{"id":16,"name":"Locomotive ID","value":"4009"},{"id":130,"name":"Impact","value":""},{"id":150,"name":"Time of Event (Mountain Time)","value":"13:35:03"},{"id":151,"name":"Denver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97"/>
        <v>start /low /b %USERPROFILE%\Documents\GitHub\eaglep3\Utilities\DownloadLogsFromS3.py --loco 4009 --day 2017-02-11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2017-02-11-UncaughtWiMAX.txt</v>
      </c>
    </row>
    <row r="169" spans="1:91" x14ac:dyDescent="0.25">
      <c r="A169" s="33" t="s">
        <v>646</v>
      </c>
      <c r="B169" s="7">
        <v>4010</v>
      </c>
      <c r="C169" s="21" t="s">
        <v>193</v>
      </c>
      <c r="D169" s="21" t="s">
        <v>797</v>
      </c>
      <c r="E169" s="13">
        <v>42777.56790509259</v>
      </c>
      <c r="F169" s="13">
        <v>42777.56994212963</v>
      </c>
      <c r="G169" s="7">
        <v>1</v>
      </c>
      <c r="H169" s="21" t="s">
        <v>794</v>
      </c>
      <c r="I169" s="13">
        <v>42777.580046296294</v>
      </c>
      <c r="J169" s="7">
        <v>1</v>
      </c>
      <c r="K169" s="98" t="str">
        <f t="shared" si="84"/>
        <v>4009/4010</v>
      </c>
      <c r="L169" s="21" t="str">
        <f>VLOOKUP(A169,'Trips&amp;Operators'!$C$1:$G$99999,5,FALSE)</f>
        <v>SHOOK JOHN</v>
      </c>
      <c r="M169" s="6">
        <f t="shared" si="85"/>
        <v>1.0104166663950309E-2</v>
      </c>
      <c r="N169" s="7">
        <f t="shared" ref="N169:N201" si="102">24*60*SUM($M169:$M169)</f>
        <v>14.549999996088445</v>
      </c>
      <c r="O169" s="7"/>
      <c r="P169" s="7"/>
      <c r="Q169" s="22"/>
      <c r="R169" s="22"/>
      <c r="S169" s="31">
        <f t="shared" si="86"/>
        <v>1</v>
      </c>
      <c r="T169" s="46" t="str">
        <f t="shared" si="87"/>
        <v>Southbound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 t="shared" si="88"/>
        <v>https://d0f6bd738d7f1b3e5a7ca70fe4ff75f0.us-east-1.aws.found.io/app/kibana#/discover/Steve-Slow-Train-Analysis-(2080s-and-2083s)?_g=(refreshInterval:(display:Off,pause:!f,section:0,value:0),time:(from:'2017-02-11T12:37:47-0700',mode:absolute,to:'2017-02-11T14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9" s="188" t="str">
        <f t="shared" si="89"/>
        <v>N</v>
      </c>
      <c r="X169" s="188">
        <f t="shared" si="99"/>
        <v>1</v>
      </c>
      <c r="Y169" s="62">
        <f t="shared" si="100"/>
        <v>5.8693999999999997</v>
      </c>
      <c r="Z169" s="62">
        <f t="shared" si="101"/>
        <v>7.3300000000000004E-2</v>
      </c>
      <c r="AA169" s="62">
        <f t="shared" si="90"/>
        <v>5.7961</v>
      </c>
      <c r="AB169" s="59" t="e">
        <f>VLOOKUP(A169,Enforcements!$C$7:$K$14,8,0)</f>
        <v>#N/A</v>
      </c>
      <c r="AC169" s="55" t="e">
        <f>VLOOKUP(A169,Enforcements!$C$7:$E$14,3,0)</f>
        <v>#N/A</v>
      </c>
      <c r="AD169" s="56" t="str">
        <f t="shared" si="91"/>
        <v>1816-11</v>
      </c>
      <c r="AE169" s="85" t="str">
        <f t="shared" si="92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69" s="82" t="str">
        <f t="shared" si="93"/>
        <v>"C:\Program Files (x86)\AstroGrep\AstroGrep.exe" /spath="%USERPROFILE%\AppData\Local\Temp\OnboardLogs" /stypes="app*4010*20170211*" /stext=" 20:.+((SYSTEM_STATE.+slice.+state.+changed )|(ment ac)|(multiple cpu faults)|(system.+state.+changed )|(\[timeout)|(PRM\|1\|D)|(kpr)|(kdp)|(\|lc)|(penalty))" /e /r /s</v>
      </c>
      <c r="AG169" s="1" t="str">
        <f t="shared" si="94"/>
        <v>NW</v>
      </c>
      <c r="AH169" s="86" t="str">
        <f t="shared" si="95"/>
        <v>"%USERPROFILE%\Documents\GitHub\eaglep3\Utilities\RefineRTDCRunTimes.py" --tripid 1816-11 --locoid 4010 --swversion DE.1.0.8.0 --startMP 300:58694 --initTime 2017-02-11T13:37:47 --startdatetime 2017-02-11T13:40:43 --delay 1 --endMP 204:733 --enddatetime 2017-02-11T13:55:16 --enforcementcount 1 &gt;&gt;C:\Users\stu\Documents\GitHub\eaglep3-reporting\EC\2017-02-11-refined-times.txt</v>
      </c>
      <c r="AI169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{"issue":{"subject":"","project_id":79,"tracker_id":40,"status_id":1,"priority_id":2,"assigned_to_id":23,"start_date":"2017-02-11","description":"","custom_fields":[{"id":1,"name":"Subdivision","value":"NW"},{"id":4,"name":"Milepost","value":"0.0733"},{"id":17,"name":"Train ID","value":"1816-11"},{"id":16,"name":"Locomotive ID","value":"4010"},{"id":130,"name":"Impact","value":""},{"id":150,"name":"Time of Event (Mountain Time)","value":"13:55:16"},{"id":151,"name":"Denver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97"/>
        <v>start /low /b %USERPROFILE%\Documents\GitHub\eaglep3\Utilities\DownloadLogsFromS3.py --loco 4010 --day 2017-02-11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2017-02-11-UncaughtWiMAX.txt</v>
      </c>
    </row>
    <row r="170" spans="1:91" x14ac:dyDescent="0.25">
      <c r="A170" s="33" t="s">
        <v>519</v>
      </c>
      <c r="B170" s="7">
        <v>4009</v>
      </c>
      <c r="C170" s="21" t="s">
        <v>193</v>
      </c>
      <c r="D170" s="21" t="s">
        <v>798</v>
      </c>
      <c r="E170" s="13">
        <v>42777.592291666668</v>
      </c>
      <c r="F170" s="13">
        <v>42777.598090277781</v>
      </c>
      <c r="G170" s="7">
        <v>2</v>
      </c>
      <c r="H170" s="21" t="s">
        <v>799</v>
      </c>
      <c r="I170" s="13">
        <v>42777.609155092592</v>
      </c>
      <c r="J170" s="7">
        <v>1</v>
      </c>
      <c r="K170" s="98" t="str">
        <f t="shared" si="84"/>
        <v>4009/4010</v>
      </c>
      <c r="L170" s="21" t="str">
        <f>VLOOKUP(A170,'Trips&amp;Operators'!$C$1:$G$99999,5,FALSE)</f>
        <v>DELGADO DIANAH</v>
      </c>
      <c r="M170" s="6">
        <f t="shared" si="85"/>
        <v>1.1064814811106771E-2</v>
      </c>
      <c r="N170" s="7">
        <f t="shared" si="102"/>
        <v>15.933333327993751</v>
      </c>
      <c r="O170" s="7"/>
      <c r="P170" s="7"/>
      <c r="Q170" s="22"/>
      <c r="R170" s="22"/>
      <c r="S170" s="31">
        <f t="shared" si="86"/>
        <v>1</v>
      </c>
      <c r="T170" s="46" t="str">
        <f t="shared" si="87"/>
        <v>NorthBound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 t="shared" si="88"/>
        <v>https://d0f6bd738d7f1b3e5a7ca70fe4ff75f0.us-east-1.aws.found.io/app/kibana#/discover/Steve-Slow-Train-Analysis-(2080s-and-2083s)?_g=(refreshInterval:(display:Off,pause:!f,section:0,value:0),time:(from:'2017-02-11T13:12:54-0700',mode:absolute,to:'2017-02-11T15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0" s="188" t="str">
        <f t="shared" si="89"/>
        <v>N</v>
      </c>
      <c r="X170" s="188">
        <f t="shared" si="99"/>
        <v>1</v>
      </c>
      <c r="Y170" s="62">
        <f t="shared" si="100"/>
        <v>0.10390000000000001</v>
      </c>
      <c r="Z170" s="62">
        <f t="shared" si="101"/>
        <v>5.8935000000000004</v>
      </c>
      <c r="AA170" s="62">
        <f t="shared" si="90"/>
        <v>5.7896000000000001</v>
      </c>
      <c r="AB170" s="59" t="e">
        <f>VLOOKUP(A170,Enforcements!$C$7:$K$14,8,0)</f>
        <v>#N/A</v>
      </c>
      <c r="AC170" s="55" t="e">
        <f>VLOOKUP(A170,Enforcements!$C$7:$E$14,3,0)</f>
        <v>#N/A</v>
      </c>
      <c r="AD170" s="56" t="str">
        <f t="shared" si="91"/>
        <v>1817-11</v>
      </c>
      <c r="AE170" s="85" t="str">
        <f t="shared" si="92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70" s="82" t="str">
        <f t="shared" si="93"/>
        <v>"C:\Program Files (x86)\AstroGrep\AstroGrep.exe" /spath="%USERPROFILE%\AppData\Local\Temp\OnboardLogs" /stypes="app*4009*20170211*" /stext=" 21:.+((SYSTEM_STATE.+slice.+state.+changed )|(ment ac)|(multiple cpu faults)|(system.+state.+changed )|(\[timeout)|(PRM\|1\|D)|(kpr)|(kdp)|(\|lc)|(penalty))" /e /r /s</v>
      </c>
      <c r="AG170" s="1" t="str">
        <f t="shared" si="94"/>
        <v>NW</v>
      </c>
      <c r="AH170" s="86" t="str">
        <f t="shared" si="95"/>
        <v>"%USERPROFILE%\Documents\GitHub\eaglep3\Utilities\RefineRTDCRunTimes.py" --tripid 1817-11 --locoid 4009 --swversion DE.1.0.8.0 --startMP 204:1039 --initTime 2017-02-11T14:12:54 --startdatetime 2017-02-11T14:21:15 --delay 2 --endMP 300:58935 --enddatetime 2017-02-11T14:37:11 --enforcementcount 1 &gt;&gt;C:\Users\stu\Documents\GitHub\eaglep3-reporting\EC\2017-02-11-refined-times.txt</v>
      </c>
      <c r="AI170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{"issue":{"subject":"","project_id":79,"tracker_id":40,"status_id":1,"priority_id":2,"assigned_to_id":23,"start_date":"2017-02-11","description":"","custom_fields":[{"id":1,"name":"Subdivision","value":"NW"},{"id":4,"name":"Milepost","value":"5.8935"},{"id":17,"name":"Train ID","value":"1817-11"},{"id":16,"name":"Locomotive ID","value":"4009"},{"id":130,"name":"Impact","value":""},{"id":150,"name":"Time of Event (Mountain Time)","value":"14:37:11"},{"id":151,"name":"Denver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97"/>
        <v>start /low /b %USERPROFILE%\Documents\GitHub\eaglep3\Utilities\DownloadLogsFromS3.py --loco 4009 --day 2017-02-11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2017-02-11-UncaughtWiMAX.txt</v>
      </c>
    </row>
    <row r="171" spans="1:91" s="20" customFormat="1" x14ac:dyDescent="0.25">
      <c r="A171" s="33" t="s">
        <v>656</v>
      </c>
      <c r="B171" s="7">
        <v>4010</v>
      </c>
      <c r="C171" s="21" t="s">
        <v>193</v>
      </c>
      <c r="D171" s="21" t="s">
        <v>800</v>
      </c>
      <c r="E171" s="13">
        <v>42777.610092592593</v>
      </c>
      <c r="F171" s="13">
        <v>42777.611458333333</v>
      </c>
      <c r="G171" s="7">
        <v>1</v>
      </c>
      <c r="H171" s="21" t="s">
        <v>801</v>
      </c>
      <c r="I171" s="13">
        <v>42777.62158564815</v>
      </c>
      <c r="J171" s="7">
        <v>1</v>
      </c>
      <c r="K171" s="98" t="str">
        <f t="shared" si="84"/>
        <v>4009/4010</v>
      </c>
      <c r="L171" s="21" t="str">
        <f>VLOOKUP(A171,'Trips&amp;Operators'!$C$1:$G$99999,5,FALSE)</f>
        <v>DELGADO DIANAH</v>
      </c>
      <c r="M171" s="6">
        <f t="shared" si="85"/>
        <v>1.0127314817509614E-2</v>
      </c>
      <c r="N171" s="7">
        <f t="shared" si="102"/>
        <v>14.583333337213844</v>
      </c>
      <c r="O171" s="7"/>
      <c r="P171" s="7"/>
      <c r="Q171" s="22"/>
      <c r="R171" s="22"/>
      <c r="S171" s="31">
        <f t="shared" si="86"/>
        <v>1</v>
      </c>
      <c r="T171" s="46" t="str">
        <f t="shared" si="87"/>
        <v>Southbound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 t="shared" si="88"/>
        <v>https://d0f6bd738d7f1b3e5a7ca70fe4ff75f0.us-east-1.aws.found.io/app/kibana#/discover/Steve-Slow-Train-Analysis-(2080s-and-2083s)?_g=(refreshInterval:(display:Off,pause:!f,section:0,value:0),time:(from:'2017-02-11T13:38:32-0700',mode:absolute,to:'2017-02-11T15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1" s="188" t="str">
        <f t="shared" si="89"/>
        <v>N</v>
      </c>
      <c r="X171" s="188">
        <f t="shared" si="99"/>
        <v>1</v>
      </c>
      <c r="Y171" s="62">
        <f t="shared" si="100"/>
        <v>5.8623000000000003</v>
      </c>
      <c r="Z171" s="62">
        <f t="shared" si="101"/>
        <v>6.7699999999999996E-2</v>
      </c>
      <c r="AA171" s="62">
        <f t="shared" si="90"/>
        <v>5.7946</v>
      </c>
      <c r="AB171" s="59" t="e">
        <f>VLOOKUP(A171,Enforcements!$C$7:$K$14,8,0)</f>
        <v>#N/A</v>
      </c>
      <c r="AC171" s="55" t="e">
        <f>VLOOKUP(A171,Enforcements!$C$7:$E$14,3,0)</f>
        <v>#N/A</v>
      </c>
      <c r="AD171" s="56" t="str">
        <f t="shared" si="91"/>
        <v>1818-11</v>
      </c>
      <c r="AE171" s="85" t="str">
        <f t="shared" si="92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71" s="82" t="str">
        <f t="shared" si="93"/>
        <v>"C:\Program Files (x86)\AstroGrep\AstroGrep.exe" /spath="%USERPROFILE%\AppData\Local\Temp\OnboardLogs" /stypes="app*4010*20170211*" /stext=" 21:.+((SYSTEM_STATE.+slice.+state.+changed )|(ment ac)|(multiple cpu faults)|(system.+state.+changed )|(\[timeout)|(PRM\|1\|D)|(kpr)|(kdp)|(\|lc)|(penalty))" /e /r /s</v>
      </c>
      <c r="AG171" s="1" t="str">
        <f t="shared" si="94"/>
        <v>NW</v>
      </c>
      <c r="AH171" s="86" t="str">
        <f t="shared" si="95"/>
        <v>"%USERPROFILE%\Documents\GitHub\eaglep3\Utilities\RefineRTDCRunTimes.py" --tripid 1818-11 --locoid 4010 --swversion DE.1.0.8.0 --startMP 300:58623 --initTime 2017-02-11T14:38:32 --startdatetime 2017-02-11T14:40:30 --delay 1 --endMP 204:677 --enddatetime 2017-02-11T14:55:05 --enforcementcount 1 &gt;&gt;C:\Users\stu\Documents\GitHub\eaglep3-reporting\EC\2017-02-11-refined-times.txt</v>
      </c>
      <c r="AI171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{"issue":{"subject":"","project_id":79,"tracker_id":40,"status_id":1,"priority_id":2,"assigned_to_id":23,"start_date":"2017-02-11","description":"","custom_fields":[{"id":1,"name":"Subdivision","value":"NW"},{"id":4,"name":"Milepost","value":"0.0677"},{"id":17,"name":"Train ID","value":"1818-11"},{"id":16,"name":"Locomotive ID","value":"4010"},{"id":130,"name":"Impact","value":""},{"id":150,"name":"Time of Event (Mountain Time)","value":"14:55:05"},{"id":151,"name":"Denver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97"/>
        <v>start /low /b %USERPROFILE%\Documents\GitHub\eaglep3\Utilities\DownloadLogsFromS3.py --loco 4010 --day 2017-02-11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2017-02-11-UncaughtWiMAX.txt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662</v>
      </c>
      <c r="B172" s="7">
        <v>4009</v>
      </c>
      <c r="C172" s="21" t="s">
        <v>193</v>
      </c>
      <c r="D172" s="21" t="s">
        <v>802</v>
      </c>
      <c r="E172" s="13">
        <v>42777.632048611114</v>
      </c>
      <c r="F172" s="13">
        <v>42777.639907407407</v>
      </c>
      <c r="G172" s="7">
        <v>3</v>
      </c>
      <c r="H172" s="21" t="s">
        <v>441</v>
      </c>
      <c r="I172" s="13">
        <v>42777.649293981478</v>
      </c>
      <c r="J172" s="7">
        <v>1</v>
      </c>
      <c r="K172" s="98" t="str">
        <f t="shared" si="84"/>
        <v>4009/4010</v>
      </c>
      <c r="L172" s="21" t="str">
        <f>VLOOKUP(A172,'Trips&amp;Operators'!$C$1:$G$99999,5,FALSE)</f>
        <v>HELVIE ADAM</v>
      </c>
      <c r="M172" s="6">
        <f t="shared" si="85"/>
        <v>9.3865740709588863E-3</v>
      </c>
      <c r="N172" s="7">
        <f t="shared" si="102"/>
        <v>13.516666662180796</v>
      </c>
      <c r="O172" s="7"/>
      <c r="P172" s="7"/>
      <c r="Q172" s="22"/>
      <c r="R172" s="22"/>
      <c r="S172" s="31">
        <f t="shared" si="86"/>
        <v>1</v>
      </c>
      <c r="T172" s="46" t="str">
        <f t="shared" si="87"/>
        <v>NorthBound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 t="shared" si="88"/>
        <v>https://d0f6bd738d7f1b3e5a7ca70fe4ff75f0.us-east-1.aws.found.io/app/kibana#/discover/Steve-Slow-Train-Analysis-(2080s-and-2083s)?_g=(refreshInterval:(display:Off,pause:!f,section:0,value:0),time:(from:'2017-02-11T14:10:09-0700',mode:absolute,to:'2017-02-11T16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2" s="188" t="str">
        <f t="shared" si="89"/>
        <v>N</v>
      </c>
      <c r="X172" s="188">
        <f t="shared" si="99"/>
        <v>1</v>
      </c>
      <c r="Y172" s="62">
        <f t="shared" si="100"/>
        <v>9.64E-2</v>
      </c>
      <c r="Z172" s="62">
        <f t="shared" si="101"/>
        <v>5.8943000000000003</v>
      </c>
      <c r="AA172" s="62">
        <f t="shared" si="90"/>
        <v>5.7979000000000003</v>
      </c>
      <c r="AB172" s="59" t="e">
        <f>VLOOKUP(A172,Enforcements!$C$7:$K$14,8,0)</f>
        <v>#N/A</v>
      </c>
      <c r="AC172" s="55" t="e">
        <f>VLOOKUP(A172,Enforcements!$C$7:$E$14,3,0)</f>
        <v>#N/A</v>
      </c>
      <c r="AD172" s="56" t="str">
        <f t="shared" si="91"/>
        <v>1819-11</v>
      </c>
      <c r="AE172" s="85" t="str">
        <f t="shared" si="92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72" s="82" t="str">
        <f t="shared" si="93"/>
        <v>"C:\Program Files (x86)\AstroGrep\AstroGrep.exe" /spath="%USERPROFILE%\AppData\Local\Temp\OnboardLogs" /stypes="app*4009*20170211*" /stext=" 22:.+((SYSTEM_STATE.+slice.+state.+changed )|(ment ac)|(multiple cpu faults)|(system.+state.+changed )|(\[timeout)|(PRM\|1\|D)|(kpr)|(kdp)|(\|lc)|(penalty))" /e /r /s</v>
      </c>
      <c r="AG172" s="1" t="str">
        <f t="shared" si="94"/>
        <v>NW</v>
      </c>
      <c r="AH172" s="86" t="str">
        <f t="shared" si="95"/>
        <v>"%USERPROFILE%\Documents\GitHub\eaglep3\Utilities\RefineRTDCRunTimes.py" --tripid 1819-11 --locoid 4009 --swversion DE.1.0.8.0 --startMP 204:964 --initTime 2017-02-11T15:10:09 --startdatetime 2017-02-11T15:21:28 --delay 3 --endMP 300:58943 --enddatetime 2017-02-11T15:34:59 --enforcementcount 1 &gt;&gt;C:\Users\stu\Documents\GitHub\eaglep3-reporting\EC\2017-02-11-refined-times.txt</v>
      </c>
      <c r="AI172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{"issue":{"subject":"","project_id":79,"tracker_id":40,"status_id":1,"priority_id":2,"assigned_to_id":23,"start_date":"2017-02-11","description":"","custom_fields":[{"id":1,"name":"Subdivision","value":"NW"},{"id":4,"name":"Milepost","value":"5.8943"},{"id":17,"name":"Train ID","value":"1819-11"},{"id":16,"name":"Locomotive ID","value":"4009"},{"id":130,"name":"Impact","value":""},{"id":150,"name":"Time of Event (Mountain Time)","value":"15:34:59"},{"id":151,"name":"Denver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97"/>
        <v>start /low /b %USERPROFILE%\Documents\GitHub\eaglep3\Utilities\DownloadLogsFromS3.py --loco 4009 --day 2017-02-11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2017-02-11-UncaughtWiMAX.txt</v>
      </c>
    </row>
    <row r="173" spans="1:91" x14ac:dyDescent="0.25">
      <c r="A173" s="33" t="s">
        <v>522</v>
      </c>
      <c r="B173" s="7">
        <v>4010</v>
      </c>
      <c r="C173" s="21" t="s">
        <v>193</v>
      </c>
      <c r="D173" s="21" t="s">
        <v>804</v>
      </c>
      <c r="E173" s="13">
        <v>42777.651504629626</v>
      </c>
      <c r="F173" s="13">
        <v>42777.65351851852</v>
      </c>
      <c r="G173" s="7">
        <v>1</v>
      </c>
      <c r="H173" s="21" t="s">
        <v>485</v>
      </c>
      <c r="I173" s="13">
        <v>42777.663148148145</v>
      </c>
      <c r="J173" s="7">
        <v>1</v>
      </c>
      <c r="K173" s="98" t="str">
        <f t="shared" ref="K173:K201" si="103">IF(ISEVEN(B173),(B173-1)&amp;"/"&amp;B173,B173&amp;"/"&amp;(B173+1))</f>
        <v>4009/4010</v>
      </c>
      <c r="L173" s="21" t="str">
        <f>VLOOKUP(A173,'Trips&amp;Operators'!$C$1:$G$99999,5,FALSE)</f>
        <v>HELVIE ADAM</v>
      </c>
      <c r="M173" s="6">
        <f t="shared" ref="M173:M201" si="104">I173-F173</f>
        <v>9.6296296251239255E-3</v>
      </c>
      <c r="N173" s="7">
        <f t="shared" si="102"/>
        <v>13.866666660178453</v>
      </c>
      <c r="O173" s="7"/>
      <c r="P173" s="7"/>
      <c r="Q173" s="22"/>
      <c r="R173" s="22"/>
      <c r="S173" s="31">
        <f t="shared" ref="S173:S201" si="105">SUM(U173:U173)/IF(AG173="EC",12,1)</f>
        <v>1</v>
      </c>
      <c r="T173" s="46" t="str">
        <f t="shared" ref="T173:T201" si="106">IF(ISEVEN(LEFT(AD173,4)),"Southbound","NorthBound")</f>
        <v>Southbound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 t="shared" ref="V173:V201" si="107"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-02-11T14:38:10-0700',mode:absolute,to:'2017-02-11T16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3" s="188" t="str">
        <f t="shared" ref="W173:W201" si="108">IF(AA173&lt;IF(AG173="EC",23,5.65),"Y","N")</f>
        <v>N</v>
      </c>
      <c r="X173" s="188">
        <f t="shared" si="99"/>
        <v>1</v>
      </c>
      <c r="Y173" s="62">
        <f t="shared" si="100"/>
        <v>5.8620999999999999</v>
      </c>
      <c r="Z173" s="62">
        <f t="shared" si="101"/>
        <v>7.4800000000000005E-2</v>
      </c>
      <c r="AA173" s="62">
        <f t="shared" ref="AA173:AA201" si="109">ABS(Z173-Y173)</f>
        <v>5.7873000000000001</v>
      </c>
      <c r="AB173" s="59" t="e">
        <f>VLOOKUP(A173,Enforcements!$C$7:$K$14,8,0)</f>
        <v>#N/A</v>
      </c>
      <c r="AC173" s="55" t="e">
        <f>VLOOKUP(A173,Enforcements!$C$7:$E$14,3,0)</f>
        <v>#N/A</v>
      </c>
      <c r="AD173" s="56" t="str">
        <f t="shared" ref="AD173:AD201" si="110">IF(LEN(A173)=6,"0"&amp;A173,A173)</f>
        <v>1820-11</v>
      </c>
      <c r="AE173" s="85" t="str">
        <f t="shared" ref="AE173:AE201" si="111"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73" s="82" t="str">
        <f t="shared" ref="AF173:AF201" si="112"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/stypes="app*4010*20170211*" /stext=" 22:.+((SYSTEM_STATE.+slice.+state.+changed )|(ment ac)|(multiple cpu faults)|(system.+state.+changed )|(\[timeout)|(PRM\|1\|D)|(kpr)|(kdp)|(\|lc)|(penalty))" /e /r /s</v>
      </c>
      <c r="AG173" s="1" t="str">
        <f t="shared" ref="AG173:AG201" si="113">IFERROR(IF(VALUE(LEFT(AD173,2))&lt;=2,"EC",IF(OR(VALUE(LEFT(AD173,2))=8,VALUE(LEFT(AD173,2))=18),"NW","Other")),"Other")</f>
        <v>NW</v>
      </c>
      <c r="AH173" s="86" t="str">
        <f t="shared" si="95"/>
        <v>"%USERPROFILE%\Documents\GitHub\eaglep3\Utilities\RefineRTDCRunTimes.py" --tripid 1820-11 --locoid 4010 --swversion DE.1.0.8.0 --startMP 300:58621 --initTime 2017-02-11T15:38:10 --startdatetime 2017-02-11T15:41:04 --delay 1 --endMP 204:748 --enddatetime 2017-02-11T15:54:56 --enforcementcount 1 &gt;&gt;C:\Users\stu\Documents\GitHub\eaglep3-reporting\EC\2017-02-11-refined-times.txt</v>
      </c>
      <c r="AI173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{"issue":{"subject":"","project_id":79,"tracker_id":40,"status_id":1,"priority_id":2,"assigned_to_id":23,"start_date":"2017-02-11","description":"","custom_fields":[{"id":1,"name":"Subdivision","value":"NW"},{"id":4,"name":"Milepost","value":"0.0748"},{"id":17,"name":"Train ID","value":"1820-11"},{"id":16,"name":"Locomotive ID","value":"4010"},{"id":130,"name":"Impact","value":""},{"id":150,"name":"Time of Event (Mountain Time)","value":"15:54:56"},{"id":151,"name":"Denver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97"/>
        <v>start /low /b %USERPROFILE%\Documents\GitHub\eaglep3\Utilities\DownloadLogsFromS3.py --loco 4010 --day 2017-02-11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2017-02-11-UncaughtWiMAX.txt</v>
      </c>
    </row>
    <row r="174" spans="1:91" x14ac:dyDescent="0.25">
      <c r="A174" s="33" t="s">
        <v>670</v>
      </c>
      <c r="B174" s="7">
        <v>4009</v>
      </c>
      <c r="C174" s="21" t="s">
        <v>193</v>
      </c>
      <c r="D174" s="21" t="s">
        <v>798</v>
      </c>
      <c r="E174" s="13">
        <v>42777.678159722222</v>
      </c>
      <c r="F174" s="13">
        <v>42777.681481481479</v>
      </c>
      <c r="G174" s="7">
        <v>1</v>
      </c>
      <c r="H174" s="21" t="s">
        <v>805</v>
      </c>
      <c r="I174" s="13">
        <v>42777.690625000003</v>
      </c>
      <c r="J174" s="7">
        <v>1</v>
      </c>
      <c r="K174" s="98" t="str">
        <f t="shared" si="103"/>
        <v>4009/4010</v>
      </c>
      <c r="L174" s="21" t="str">
        <f>VLOOKUP(A174,'Trips&amp;Operators'!$C$1:$G$99999,5,FALSE)</f>
        <v>HELVIE ADAM</v>
      </c>
      <c r="M174" s="6">
        <f t="shared" si="104"/>
        <v>9.1435185240698047E-3</v>
      </c>
      <c r="N174" s="7">
        <f t="shared" si="102"/>
        <v>13.166666674660519</v>
      </c>
      <c r="O174" s="7"/>
      <c r="P174" s="7"/>
      <c r="Q174" s="22"/>
      <c r="R174" s="22"/>
      <c r="S174" s="31">
        <f t="shared" si="105"/>
        <v>1</v>
      </c>
      <c r="T174" s="46" t="str">
        <f t="shared" si="106"/>
        <v>NorthBound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 t="shared" si="107"/>
        <v>https://d0f6bd738d7f1b3e5a7ca70fe4ff75f0.us-east-1.aws.found.io/app/kibana#/discover/Steve-Slow-Train-Analysis-(2080s-and-2083s)?_g=(refreshInterval:(display:Off,pause:!f,section:0,value:0),time:(from:'2017-02-11T15:16:33-0700',mode:absolute,to:'2017-02-11T17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4" s="188" t="str">
        <f t="shared" si="108"/>
        <v>N</v>
      </c>
      <c r="X174" s="188">
        <f t="shared" si="99"/>
        <v>1</v>
      </c>
      <c r="Y174" s="62">
        <f t="shared" si="100"/>
        <v>0.10390000000000001</v>
      </c>
      <c r="Z174" s="62">
        <f t="shared" si="101"/>
        <v>5.8930999999999996</v>
      </c>
      <c r="AA174" s="62">
        <f t="shared" si="109"/>
        <v>5.7891999999999992</v>
      </c>
      <c r="AB174" s="59" t="e">
        <f>VLOOKUP(A174,Enforcements!$C$7:$K$14,8,0)</f>
        <v>#N/A</v>
      </c>
      <c r="AC174" s="55" t="e">
        <f>VLOOKUP(A174,Enforcements!$C$7:$E$14,3,0)</f>
        <v>#N/A</v>
      </c>
      <c r="AD174" s="56" t="str">
        <f t="shared" si="110"/>
        <v>1821-11</v>
      </c>
      <c r="AE174" s="85" t="str">
        <f t="shared" si="111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74" s="82" t="str">
        <f t="shared" si="112"/>
        <v>"C:\Program Files (x86)\AstroGrep\AstroGrep.exe" /spath="%USERPROFILE%\AppData\Local\Temp\OnboardLogs" /stypes="app*4009*20170211*" /stext=" 23:.+((SYSTEM_STATE.+slice.+state.+changed )|(ment ac)|(multiple cpu faults)|(system.+state.+changed )|(\[timeout)|(PRM\|1\|D)|(kpr)|(kdp)|(\|lc)|(penalty))" /e /r /s</v>
      </c>
      <c r="AG174" s="1" t="str">
        <f t="shared" si="113"/>
        <v>NW</v>
      </c>
      <c r="AH174" s="86" t="str">
        <f t="shared" si="95"/>
        <v>"%USERPROFILE%\Documents\GitHub\eaglep3\Utilities\RefineRTDCRunTimes.py" --tripid 1821-11 --locoid 4009 --swversion DE.1.0.8.0 --startMP 204:1039 --initTime 2017-02-11T16:16:33 --startdatetime 2017-02-11T16:21:20 --delay 1 --endMP 300:58931 --enddatetime 2017-02-11T16:34:30 --enforcementcount 1 &gt;&gt;C:\Users\stu\Documents\GitHub\eaglep3-reporting\EC\2017-02-11-refined-times.txt</v>
      </c>
      <c r="AI174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{"issue":{"subject":"","project_id":79,"tracker_id":40,"status_id":1,"priority_id":2,"assigned_to_id":23,"start_date":"2017-02-11","description":"","custom_fields":[{"id":1,"name":"Subdivision","value":"NW"},{"id":4,"name":"Milepost","value":"5.8931"},{"id":17,"name":"Train ID","value":"1821-11"},{"id":16,"name":"Locomotive ID","value":"4009"},{"id":130,"name":"Impact","value":""},{"id":150,"name":"Time of Event (Mountain Time)","value":"16:34:30"},{"id":151,"name":"Denver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97"/>
        <v>start /low /b %USERPROFILE%\Documents\GitHub\eaglep3\Utilities\DownloadLogsFromS3.py --loco 4009 --day 2017-02-11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2017-02-11-UncaughtWiMAX.txt</v>
      </c>
    </row>
    <row r="175" spans="1:91" s="20" customFormat="1" x14ac:dyDescent="0.25">
      <c r="A175" s="33" t="s">
        <v>674</v>
      </c>
      <c r="B175" s="7">
        <v>4010</v>
      </c>
      <c r="C175" s="21" t="s">
        <v>193</v>
      </c>
      <c r="D175" s="21" t="s">
        <v>504</v>
      </c>
      <c r="E175" s="13">
        <v>42777.691874999997</v>
      </c>
      <c r="F175" s="13">
        <v>42777.69321759259</v>
      </c>
      <c r="G175" s="7">
        <v>1</v>
      </c>
      <c r="H175" s="21" t="s">
        <v>806</v>
      </c>
      <c r="I175" s="13">
        <v>42777.704583333332</v>
      </c>
      <c r="J175" s="7">
        <v>1</v>
      </c>
      <c r="K175" s="98" t="str">
        <f t="shared" si="103"/>
        <v>4009/4010</v>
      </c>
      <c r="L175" s="21" t="str">
        <f>VLOOKUP(A175,'Trips&amp;Operators'!$C$1:$G$99999,5,FALSE)</f>
        <v>HELVIE ADAM</v>
      </c>
      <c r="M175" s="6">
        <f t="shared" si="104"/>
        <v>1.1365740741894115E-2</v>
      </c>
      <c r="N175" s="7">
        <f t="shared" si="102"/>
        <v>16.366666668327525</v>
      </c>
      <c r="O175" s="7"/>
      <c r="P175" s="7"/>
      <c r="Q175" s="22"/>
      <c r="R175" s="22"/>
      <c r="S175" s="31">
        <f t="shared" si="105"/>
        <v>1</v>
      </c>
      <c r="T175" s="46" t="str">
        <f t="shared" si="106"/>
        <v>Southbound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 t="shared" si="107"/>
        <v>https://d0f6bd738d7f1b3e5a7ca70fe4ff75f0.us-east-1.aws.found.io/app/kibana#/discover/Steve-Slow-Train-Analysis-(2080s-and-2083s)?_g=(refreshInterval:(display:Off,pause:!f,section:0,value:0),time:(from:'2017-02-11T15:36:18-0700',mode:absolute,to:'2017-02-11T17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5" s="188" t="str">
        <f t="shared" si="108"/>
        <v>N</v>
      </c>
      <c r="X175" s="188">
        <f t="shared" si="99"/>
        <v>1</v>
      </c>
      <c r="Y175" s="62">
        <f t="shared" si="100"/>
        <v>5.8611000000000004</v>
      </c>
      <c r="Z175" s="62">
        <f t="shared" si="101"/>
        <v>7.1199999999999999E-2</v>
      </c>
      <c r="AA175" s="62">
        <f t="shared" si="109"/>
        <v>5.7899000000000003</v>
      </c>
      <c r="AB175" s="59" t="e">
        <f>VLOOKUP(A175,Enforcements!$C$7:$K$14,8,0)</f>
        <v>#N/A</v>
      </c>
      <c r="AC175" s="55" t="e">
        <f>VLOOKUP(A175,Enforcements!$C$7:$E$14,3,0)</f>
        <v>#N/A</v>
      </c>
      <c r="AD175" s="56" t="str">
        <f t="shared" si="110"/>
        <v>1822-11</v>
      </c>
      <c r="AE175" s="85" t="str">
        <f t="shared" si="111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75" s="82" t="str">
        <f t="shared" si="112"/>
        <v>"C:\Program Files (x86)\AstroGrep\AstroGrep.exe" /spath="%USERPROFILE%\AppData\Local\Temp\OnboardLogs" /stypes="app*4010*20170211*" /stext=" 23:.+((SYSTEM_STATE.+slice.+state.+changed )|(ment ac)|(multiple cpu faults)|(system.+state.+changed )|(\[timeout)|(PRM\|1\|D)|(kpr)|(kdp)|(\|lc)|(penalty))" /e /r /s</v>
      </c>
      <c r="AG175" s="1" t="str">
        <f t="shared" si="113"/>
        <v>NW</v>
      </c>
      <c r="AH175" s="86" t="str">
        <f t="shared" si="95"/>
        <v>"%USERPROFILE%\Documents\GitHub\eaglep3\Utilities\RefineRTDCRunTimes.py" --tripid 1822-11 --locoid 4010 --swversion DE.1.0.8.0 --startMP 300:58611 --initTime 2017-02-11T16:36:18 --startdatetime 2017-02-11T16:38:14 --delay 1 --endMP 204:712 --enddatetime 2017-02-11T16:54:36 --enforcementcount 1 &gt;&gt;C:\Users\stu\Documents\GitHub\eaglep3-reporting\EC\2017-02-11-refined-times.txt</v>
      </c>
      <c r="AI175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{"issue":{"subject":"","project_id":79,"tracker_id":40,"status_id":1,"priority_id":2,"assigned_to_id":23,"start_date":"2017-02-11","description":"","custom_fields":[{"id":1,"name":"Subdivision","value":"NW"},{"id":4,"name":"Milepost","value":"0.0712"},{"id":17,"name":"Train ID","value":"1822-11"},{"id":16,"name":"Locomotive ID","value":"4010"},{"id":130,"name":"Impact","value":""},{"id":150,"name":"Time of Event (Mountain Time)","value":"16:54:36"},{"id":151,"name":"Denver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97"/>
        <v>start /low /b %USERPROFILE%\Documents\GitHub\eaglep3\Utilities\DownloadLogsFromS3.py --loco 4010 --day 2017-02-11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2017-02-11-UncaughtWiMAX.txt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679</v>
      </c>
      <c r="B176" s="7">
        <v>4009</v>
      </c>
      <c r="C176" s="21" t="s">
        <v>193</v>
      </c>
      <c r="D176" s="21" t="s">
        <v>807</v>
      </c>
      <c r="E176" s="13">
        <v>42777.720208333332</v>
      </c>
      <c r="F176" s="13">
        <v>42777.723252314812</v>
      </c>
      <c r="G176" s="7">
        <v>2</v>
      </c>
      <c r="H176" s="21" t="s">
        <v>443</v>
      </c>
      <c r="I176" s="13">
        <v>42777.732569444444</v>
      </c>
      <c r="J176" s="7">
        <v>1</v>
      </c>
      <c r="K176" s="98" t="str">
        <f t="shared" si="103"/>
        <v>4009/4010</v>
      </c>
      <c r="L176" s="21" t="str">
        <f>VLOOKUP(A176,'Trips&amp;Operators'!$C$1:$G$99999,5,FALSE)</f>
        <v>HELVIE ADAM</v>
      </c>
      <c r="M176" s="6">
        <f t="shared" si="104"/>
        <v>9.3171296321088448E-3</v>
      </c>
      <c r="N176" s="7">
        <f t="shared" si="102"/>
        <v>13.416666670236737</v>
      </c>
      <c r="O176" s="7"/>
      <c r="P176" s="7"/>
      <c r="Q176" s="22"/>
      <c r="R176" s="22"/>
      <c r="S176" s="31">
        <f t="shared" si="105"/>
        <v>1</v>
      </c>
      <c r="T176" s="46" t="str">
        <f t="shared" si="106"/>
        <v>NorthBound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 t="shared" si="107"/>
        <v>https://d0f6bd738d7f1b3e5a7ca70fe4ff75f0.us-east-1.aws.found.io/app/kibana#/discover/Steve-Slow-Train-Analysis-(2080s-and-2083s)?_g=(refreshInterval:(display:Off,pause:!f,section:0,value:0),time:(from:'2017-02-11T16:17:06-0700',mode:absolute,to:'2017-02-11T18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6" s="188" t="str">
        <f t="shared" si="108"/>
        <v>N</v>
      </c>
      <c r="X176" s="188">
        <f t="shared" si="99"/>
        <v>1</v>
      </c>
      <c r="Y176" s="62">
        <f t="shared" si="100"/>
        <v>9.9299999999999999E-2</v>
      </c>
      <c r="Z176" s="62">
        <f t="shared" si="101"/>
        <v>5.8949999999999996</v>
      </c>
      <c r="AA176" s="62">
        <f t="shared" si="109"/>
        <v>5.7956999999999992</v>
      </c>
      <c r="AB176" s="59" t="e">
        <f>VLOOKUP(A176,Enforcements!$C$7:$K$14,8,0)</f>
        <v>#N/A</v>
      </c>
      <c r="AC176" s="55" t="e">
        <f>VLOOKUP(A176,Enforcements!$C$7:$E$14,3,0)</f>
        <v>#N/A</v>
      </c>
      <c r="AD176" s="56" t="str">
        <f t="shared" si="110"/>
        <v>1823-11</v>
      </c>
      <c r="AE176" s="85" t="str">
        <f t="shared" si="111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76" s="82" t="str">
        <f t="shared" si="112"/>
        <v>"C:\Program Files (x86)\AstroGrep\AstroGrep.exe" /spath="%USERPROFILE%\AppData\Local\Temp\OnboardLogs" /stypes="app*4009*20170212*" /stext=" 00:.+((SYSTEM_STATE.+slice.+state.+changed )|(ment ac)|(multiple cpu faults)|(system.+state.+changed )|(\[timeout)|(PRM\|1\|D)|(kpr)|(kdp)|(\|lc)|(penalty))" /e /r /s</v>
      </c>
      <c r="AG176" s="1" t="str">
        <f t="shared" si="113"/>
        <v>NW</v>
      </c>
      <c r="AH176" s="86" t="str">
        <f t="shared" si="95"/>
        <v>"%USERPROFILE%\Documents\GitHub\eaglep3\Utilities\RefineRTDCRunTimes.py" --tripid 1823-11 --locoid 4009 --swversion DE.1.0.8.0 --startMP 204:993 --initTime 2017-02-11T17:17:06 --startdatetime 2017-02-11T17:21:29 --delay 2 --endMP 300:58950 --enddatetime 2017-02-11T17:34:54 --enforcementcount 1 &gt;&gt;C:\Users\stu\Documents\GitHub\eaglep3-reporting\EC\2017-02-11-refined-times.txt</v>
      </c>
      <c r="AI176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{"issue":{"subject":"","project_id":79,"tracker_id":40,"status_id":1,"priority_id":2,"assigned_to_id":23,"start_date":"2017-02-11","description":"","custom_fields":[{"id":1,"name":"Subdivision","value":"NW"},{"id":4,"name":"Milepost","value":"5.895"},{"id":17,"name":"Train ID","value":"1823-11"},{"id":16,"name":"Locomotive ID","value":"4009"},{"id":130,"name":"Impact","value":""},{"id":150,"name":"Time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97"/>
        <v>start /low /b %USERPROFILE%\Documents\GitHub\eaglep3\Utilities\DownloadLogsFromS3.py --loco 4009 --day 2017-02-11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2017-02-11-UncaughtWiMAX.txt</v>
      </c>
    </row>
    <row r="177" spans="1:91" x14ac:dyDescent="0.25">
      <c r="A177" s="33" t="s">
        <v>682</v>
      </c>
      <c r="B177" s="7">
        <v>4010</v>
      </c>
      <c r="C177" s="21" t="s">
        <v>193</v>
      </c>
      <c r="D177" s="21" t="s">
        <v>442</v>
      </c>
      <c r="E177" s="13">
        <v>42777.734305555554</v>
      </c>
      <c r="F177" s="13">
        <v>42777.735590277778</v>
      </c>
      <c r="G177" s="7">
        <v>1</v>
      </c>
      <c r="H177" s="21" t="s">
        <v>778</v>
      </c>
      <c r="I177" s="13">
        <v>42777.746365740742</v>
      </c>
      <c r="J177" s="7">
        <v>1</v>
      </c>
      <c r="K177" s="98" t="str">
        <f t="shared" si="103"/>
        <v>4009/4010</v>
      </c>
      <c r="L177" s="21" t="str">
        <f>VLOOKUP(A177,'Trips&amp;Operators'!$C$1:$G$99999,5,FALSE)</f>
        <v>HELVIE ADAM</v>
      </c>
      <c r="M177" s="6">
        <f t="shared" si="104"/>
        <v>1.0775462964375038E-2</v>
      </c>
      <c r="N177" s="7">
        <f t="shared" si="102"/>
        <v>15.516666668700054</v>
      </c>
      <c r="O177" s="7"/>
      <c r="P177" s="7"/>
      <c r="Q177" s="22"/>
      <c r="R177" s="22"/>
      <c r="S177" s="31">
        <f t="shared" si="105"/>
        <v>1</v>
      </c>
      <c r="T177" s="46" t="str">
        <f t="shared" si="106"/>
        <v>Southbound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 t="shared" si="107"/>
        <v>https://d0f6bd738d7f1b3e5a7ca70fe4ff75f0.us-east-1.aws.found.io/app/kibana#/discover/Steve-Slow-Train-Analysis-(2080s-and-2083s)?_g=(refreshInterval:(display:Off,pause:!f,section:0,value:0),time:(from:'2017-02-11T16:37:24-0700',mode:absolute,to:'2017-02-11T18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7" s="188" t="str">
        <f t="shared" si="108"/>
        <v>N</v>
      </c>
      <c r="X177" s="188">
        <f t="shared" si="99"/>
        <v>1</v>
      </c>
      <c r="Y177" s="62">
        <f t="shared" si="100"/>
        <v>5.8628</v>
      </c>
      <c r="Z177" s="62">
        <f t="shared" si="101"/>
        <v>7.4700000000000003E-2</v>
      </c>
      <c r="AA177" s="62">
        <f t="shared" si="109"/>
        <v>5.7881</v>
      </c>
      <c r="AB177" s="59" t="e">
        <f>VLOOKUP(A177,Enforcements!$C$7:$K$14,8,0)</f>
        <v>#N/A</v>
      </c>
      <c r="AC177" s="55" t="e">
        <f>VLOOKUP(A177,Enforcements!$C$7:$E$14,3,0)</f>
        <v>#N/A</v>
      </c>
      <c r="AD177" s="56" t="str">
        <f t="shared" si="110"/>
        <v>1824-11</v>
      </c>
      <c r="AE177" s="85" t="str">
        <f t="shared" si="111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77" s="82" t="str">
        <f t="shared" si="112"/>
        <v>"C:\Program Files (x86)\AstroGrep\AstroGrep.exe" /spath="%USERPROFILE%\AppData\Local\Temp\OnboardLogs" /stypes="app*4010*20170212*" /stext=" 00:.+((SYSTEM_STATE.+slice.+state.+changed )|(ment ac)|(multiple cpu faults)|(system.+state.+changed )|(\[timeout)|(PRM\|1\|D)|(kpr)|(kdp)|(\|lc)|(penalty))" /e /r /s</v>
      </c>
      <c r="AG177" s="1" t="str">
        <f t="shared" si="113"/>
        <v>NW</v>
      </c>
      <c r="AH177" s="86" t="str">
        <f t="shared" si="95"/>
        <v>"%USERPROFILE%\Documents\GitHub\eaglep3\Utilities\RefineRTDCRunTimes.py" --tripid 1824-11 --locoid 4010 --swversion DE.1.0.8.0 --startMP 300:58628 --initTime 2017-02-11T17:37:24 --startdatetime 2017-02-11T17:39:15 --delay 1 --endMP 204:747 --enddatetime 2017-02-11T17:54:46 --enforcementcount 1 &gt;&gt;C:\Users\stu\Documents\GitHub\eaglep3-reporting\EC\2017-02-11-refined-times.txt</v>
      </c>
      <c r="AI177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{"issue":{"subject":"","project_id":79,"tracker_id":40,"status_id":1,"priority_id":2,"assigned_to_id":23,"start_date":"2017-02-11","description":"","custom_fields":[{"id":1,"name":"Subdivision","value":"NW"},{"id":4,"name":"Milepost","value":"0.0747"},{"id":17,"name":"Train ID","value":"1824-11"},{"id":16,"name":"Locomotive ID","value":"4010"},{"id":130,"name":"Impact","value":""},{"id":150,"name":"Time of Event (Mountain Time)","value":"17:54:46"},{"id":151,"name":"Denver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97"/>
        <v>start /low /b %USERPROFILE%\Documents\GitHub\eaglep3\Utilities\DownloadLogsFromS3.py --loco 4010 --day 2017-02-11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"%USERPROFILE%\AppData\Local\Temp\OnboardLogs"\RTDC4010\*4010*20170212* | grep -SE "(Enforcement Action)|(\[TIMEOUT)|(CHR.+\|PRM\|1\|D.+(SWITCH|SIGNAL).+UNKNOWN)" - &gt;&gt; 2017-02-11-UncaughtWiMAX.txt</v>
      </c>
    </row>
    <row r="178" spans="1:91" x14ac:dyDescent="0.25">
      <c r="A178" s="33" t="s">
        <v>687</v>
      </c>
      <c r="B178" s="7">
        <v>4009</v>
      </c>
      <c r="C178" s="21" t="s">
        <v>193</v>
      </c>
      <c r="D178" s="21" t="s">
        <v>788</v>
      </c>
      <c r="E178" s="13">
        <v>42777.761724537035</v>
      </c>
      <c r="F178" s="13">
        <v>42777.764803240738</v>
      </c>
      <c r="G178" s="7">
        <v>1</v>
      </c>
      <c r="H178" s="21" t="s">
        <v>505</v>
      </c>
      <c r="I178" s="13">
        <v>42777.775023148148</v>
      </c>
      <c r="J178" s="7">
        <v>1</v>
      </c>
      <c r="K178" s="98" t="str">
        <f t="shared" si="103"/>
        <v>4009/4010</v>
      </c>
      <c r="L178" s="21" t="str">
        <f>VLOOKUP(A178,'Trips&amp;Operators'!$C$1:$G$99999,5,FALSE)</f>
        <v>HELVIE ADAM</v>
      </c>
      <c r="M178" s="6">
        <f t="shared" si="104"/>
        <v>1.021990740991896E-2</v>
      </c>
      <c r="N178" s="7">
        <f t="shared" si="102"/>
        <v>14.716666670283303</v>
      </c>
      <c r="O178" s="7"/>
      <c r="P178" s="7"/>
      <c r="Q178" s="22"/>
      <c r="R178" s="22"/>
      <c r="S178" s="31">
        <f t="shared" si="105"/>
        <v>1</v>
      </c>
      <c r="T178" s="46" t="str">
        <f t="shared" si="106"/>
        <v>NorthBound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 t="shared" si="107"/>
        <v>https://d0f6bd738d7f1b3e5a7ca70fe4ff75f0.us-east-1.aws.found.io/app/kibana#/discover/Steve-Slow-Train-Analysis-(2080s-and-2083s)?_g=(refreshInterval:(display:Off,pause:!f,section:0,value:0),time:(from:'2017-02-11T17:16:53-0700',mode:absolute,to:'2017-02-11T19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8" s="188" t="str">
        <f t="shared" si="108"/>
        <v>N</v>
      </c>
      <c r="X178" s="188">
        <f t="shared" si="99"/>
        <v>1</v>
      </c>
      <c r="Y178" s="62">
        <f t="shared" si="100"/>
        <v>0.1023</v>
      </c>
      <c r="Z178" s="62">
        <f t="shared" si="101"/>
        <v>5.8948</v>
      </c>
      <c r="AA178" s="62">
        <f t="shared" si="109"/>
        <v>5.7925000000000004</v>
      </c>
      <c r="AB178" s="59" t="e">
        <f>VLOOKUP(A178,Enforcements!$C$7:$K$14,8,0)</f>
        <v>#N/A</v>
      </c>
      <c r="AC178" s="55" t="e">
        <f>VLOOKUP(A178,Enforcements!$C$7:$E$14,3,0)</f>
        <v>#N/A</v>
      </c>
      <c r="AD178" s="56" t="str">
        <f t="shared" si="110"/>
        <v>1825-11</v>
      </c>
      <c r="AE178" s="85" t="str">
        <f t="shared" si="111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78" s="82" t="str">
        <f t="shared" si="112"/>
        <v>"C:\Program Files (x86)\AstroGrep\AstroGrep.exe" /spath="%USERPROFILE%\AppData\Local\Temp\OnboardLogs" /stypes="app*4009*20170212*" /stext=" 01:.+((SYSTEM_STATE.+slice.+state.+changed )|(ment ac)|(multiple cpu faults)|(system.+state.+changed )|(\[timeout)|(PRM\|1\|D)|(kpr)|(kdp)|(\|lc)|(penalty))" /e /r /s</v>
      </c>
      <c r="AG178" s="1" t="str">
        <f t="shared" si="113"/>
        <v>NW</v>
      </c>
      <c r="AH178" s="86" t="str">
        <f t="shared" si="95"/>
        <v>"%USERPROFILE%\Documents\GitHub\eaglep3\Utilities\RefineRTDCRunTimes.py" --tripid 1825-11 --locoid 4009 --swversion DE.1.0.8.0 --startMP 204:1023 --initTime 2017-02-11T18:16:53 --startdatetime 2017-02-11T18:21:19 --delay 1 --endMP 300:58948 --enddatetime 2017-02-11T18:36:02 --enforcementcount 1 &gt;&gt;C:\Users\stu\Documents\GitHub\eaglep3-reporting\EC\2017-02-11-refined-times.txt</v>
      </c>
      <c r="AI178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{"issue":{"subject":"","project_id":79,"tracker_id":40,"status_id":1,"priority_id":2,"assigned_to_id":23,"start_date":"2017-02-11","description":"","custom_fields":[{"id":1,"name":"Subdivision","value":"NW"},{"id":4,"name":"Milepost","value":"5.8948"},{"id":17,"name":"Train ID","value":"1825-11"},{"id":16,"name":"Locomotive ID","value":"4009"},{"id":130,"name":"Impact","value":""},{"id":150,"name":"Time of Event (Mountain Time)","value":"18:36:02"},{"id":151,"name":"Denver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97"/>
        <v>start /low /b %USERPROFILE%\Documents\GitHub\eaglep3\Utilities\DownloadLogsFromS3.py --loco 4009 --day 2017-02-11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2017-02-11-UncaughtWiMAX.txt</v>
      </c>
    </row>
    <row r="179" spans="1:91" s="20" customFormat="1" x14ac:dyDescent="0.25">
      <c r="A179" s="33" t="s">
        <v>691</v>
      </c>
      <c r="B179" s="7">
        <v>4010</v>
      </c>
      <c r="C179" s="21" t="s">
        <v>193</v>
      </c>
      <c r="D179" s="21" t="s">
        <v>808</v>
      </c>
      <c r="E179" s="13">
        <v>42777.776562500003</v>
      </c>
      <c r="F179" s="13">
        <v>42777.777905092589</v>
      </c>
      <c r="G179" s="7">
        <v>0</v>
      </c>
      <c r="H179" s="21" t="s">
        <v>809</v>
      </c>
      <c r="I179" s="13">
        <v>42777.788425925923</v>
      </c>
      <c r="J179" s="7">
        <v>1</v>
      </c>
      <c r="K179" s="98" t="str">
        <f t="shared" si="103"/>
        <v>4009/4010</v>
      </c>
      <c r="L179" s="21" t="str">
        <f>VLOOKUP(A179,'Trips&amp;Operators'!$C$1:$G$99999,5,FALSE)</f>
        <v>HELVIE ADAM</v>
      </c>
      <c r="M179" s="6">
        <f t="shared" si="104"/>
        <v>1.0520833333430346E-2</v>
      </c>
      <c r="N179" s="7">
        <f t="shared" si="102"/>
        <v>15.150000000139698</v>
      </c>
      <c r="O179" s="7"/>
      <c r="P179" s="7"/>
      <c r="Q179" s="22"/>
      <c r="R179" s="22"/>
      <c r="S179" s="31">
        <f t="shared" si="105"/>
        <v>1</v>
      </c>
      <c r="T179" s="46" t="str">
        <f t="shared" si="106"/>
        <v>Southbound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 t="shared" si="107"/>
        <v>https://d0f6bd738d7f1b3e5a7ca70fe4ff75f0.us-east-1.aws.found.io/app/kibana#/discover/Steve-Slow-Train-Analysis-(2080s-and-2083s)?_g=(refreshInterval:(display:Off,pause:!f,section:0,value:0),time:(from:'2017-02-11T17:38:15-0700',mode:absolute,to:'2017-02-11T19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9" s="188" t="str">
        <f t="shared" si="108"/>
        <v>N</v>
      </c>
      <c r="X179" s="188">
        <f t="shared" si="99"/>
        <v>1</v>
      </c>
      <c r="Y179" s="62">
        <f t="shared" si="100"/>
        <v>5.8635999999999999</v>
      </c>
      <c r="Z179" s="62">
        <f t="shared" si="101"/>
        <v>7.22E-2</v>
      </c>
      <c r="AA179" s="62">
        <f t="shared" si="109"/>
        <v>5.7914000000000003</v>
      </c>
      <c r="AB179" s="59" t="e">
        <f>VLOOKUP(A179,Enforcements!$C$7:$K$14,8,0)</f>
        <v>#N/A</v>
      </c>
      <c r="AC179" s="55" t="e">
        <f>VLOOKUP(A179,Enforcements!$C$7:$E$14,3,0)</f>
        <v>#N/A</v>
      </c>
      <c r="AD179" s="56" t="str">
        <f t="shared" si="110"/>
        <v>1826-11</v>
      </c>
      <c r="AE179" s="85" t="str">
        <f t="shared" si="111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79" s="82" t="str">
        <f t="shared" si="112"/>
        <v>"C:\Program Files (x86)\AstroGrep\AstroGrep.exe" /spath="%USERPROFILE%\AppData\Local\Temp\OnboardLogs" /stypes="app*4010*20170212*" /stext=" 01:.+((SYSTEM_STATE.+slice.+state.+changed )|(ment ac)|(multiple cpu faults)|(system.+state.+changed )|(\[timeout)|(PRM\|1\|D)|(kpr)|(kdp)|(\|lc)|(penalty))" /e /r /s</v>
      </c>
      <c r="AG179" s="1" t="str">
        <f t="shared" si="113"/>
        <v>NW</v>
      </c>
      <c r="AH179" s="86" t="str">
        <f t="shared" si="95"/>
        <v>"%USERPROFILE%\Documents\GitHub\eaglep3\Utilities\RefineRTDCRunTimes.py" --tripid 1826-11 --locoid 4010 --swversion DE.1.0.8.0 --startMP 300:58636 --initTime 2017-02-11T18:38:15 --startdatetime 2017-02-11T18:40:11 --delay 0 --endMP 204:722 --enddatetime 2017-02-11T18:55:20 --enforcementcount 1 &gt;&gt;C:\Users\stu\Documents\GitHub\eaglep3-reporting\EC\2017-02-11-refined-times.txt</v>
      </c>
      <c r="AI179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{"issue":{"subject":"","project_id":79,"tracker_id":40,"status_id":1,"priority_id":2,"assigned_to_id":23,"start_date":"2017-02-11","description":"","custom_fields":[{"id":1,"name":"Subdivision","value":"NW"},{"id":4,"name":"Milepost","value":"0.0722"},{"id":17,"name":"Train ID","value":"1826-11"},{"id":16,"name":"Locomotive ID","value":"4010"},{"id":130,"name":"Impact","value":""},{"id":150,"name":"Time of Event (Mountain Time)","value":"18:55:20"},{"id":151,"name":"Denver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97"/>
        <v>start /low /b %USERPROFILE%\Documents\GitHub\eaglep3\Utilities\DownloadLogsFromS3.py --loco 4010 --day 2017-02-11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"%USERPROFILE%\AppData\Local\Temp\OnboardLogs"\RTDC4010\*4010*20170212* | grep -SE "(Enforcement Action)|(\[TIMEOUT)|(CHR.+\|PRM\|1\|D.+(SWITCH|SIGNAL).+UNKNOWN)" - &gt;&gt; 2017-02-11-UncaughtWiMAX.txt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698</v>
      </c>
      <c r="B180" s="7">
        <v>4009</v>
      </c>
      <c r="C180" s="21" t="s">
        <v>193</v>
      </c>
      <c r="D180" s="21" t="s">
        <v>810</v>
      </c>
      <c r="E180" s="13">
        <v>42777.803865740738</v>
      </c>
      <c r="F180" s="13">
        <v>42777.806435185186</v>
      </c>
      <c r="G180" s="7">
        <v>1</v>
      </c>
      <c r="H180" s="21" t="s">
        <v>786</v>
      </c>
      <c r="I180" s="13">
        <v>42777.815717592595</v>
      </c>
      <c r="J180" s="7">
        <v>1</v>
      </c>
      <c r="K180" s="98" t="str">
        <f t="shared" si="103"/>
        <v>4009/4010</v>
      </c>
      <c r="L180" s="21" t="str">
        <f>VLOOKUP(A180,'Trips&amp;Operators'!$C$1:$G$99999,5,FALSE)</f>
        <v>HELVIE ADAM</v>
      </c>
      <c r="M180" s="6">
        <f t="shared" si="104"/>
        <v>9.2824074090458453E-3</v>
      </c>
      <c r="N180" s="7">
        <f t="shared" si="102"/>
        <v>13.366666669026017</v>
      </c>
      <c r="O180" s="7"/>
      <c r="P180" s="7"/>
      <c r="Q180" s="22"/>
      <c r="R180" s="22"/>
      <c r="S180" s="31">
        <f t="shared" si="105"/>
        <v>1</v>
      </c>
      <c r="T180" s="46" t="str">
        <f t="shared" si="106"/>
        <v>NorthBound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 t="shared" si="107"/>
        <v>https://d0f6bd738d7f1b3e5a7ca70fe4ff75f0.us-east-1.aws.found.io/app/kibana#/discover/Steve-Slow-Train-Analysis-(2080s-and-2083s)?_g=(refreshInterval:(display:Off,pause:!f,section:0,value:0),time:(from:'2017-02-11T18:17:34-0700',mode:absolute,to:'2017-02-11T20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0" s="188" t="str">
        <f t="shared" si="108"/>
        <v>N</v>
      </c>
      <c r="X180" s="188">
        <f t="shared" si="99"/>
        <v>1</v>
      </c>
      <c r="Y180" s="62">
        <f t="shared" si="100"/>
        <v>0.1028</v>
      </c>
      <c r="Z180" s="62">
        <f t="shared" si="101"/>
        <v>5.8939000000000004</v>
      </c>
      <c r="AA180" s="62">
        <f t="shared" si="109"/>
        <v>5.7911000000000001</v>
      </c>
      <c r="AB180" s="59" t="e">
        <f>VLOOKUP(A180,Enforcements!$C$7:$K$14,8,0)</f>
        <v>#N/A</v>
      </c>
      <c r="AC180" s="55" t="e">
        <f>VLOOKUP(A180,Enforcements!$C$7:$E$14,3,0)</f>
        <v>#N/A</v>
      </c>
      <c r="AD180" s="56" t="str">
        <f t="shared" si="110"/>
        <v>1827-11</v>
      </c>
      <c r="AE180" s="85" t="str">
        <f t="shared" si="111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80" s="82" t="str">
        <f t="shared" si="112"/>
        <v>"C:\Program Files (x86)\AstroGrep\AstroGrep.exe" /spath="%USERPROFILE%\AppData\Local\Temp\OnboardLogs" /stypes="app*4009*20170212*" /stext=" 02:.+((SYSTEM_STATE.+slice.+state.+changed )|(ment ac)|(multiple cpu faults)|(system.+state.+changed )|(\[timeout)|(PRM\|1\|D)|(kpr)|(kdp)|(\|lc)|(penalty))" /e /r /s</v>
      </c>
      <c r="AG180" s="1" t="str">
        <f t="shared" si="113"/>
        <v>NW</v>
      </c>
      <c r="AH180" s="86" t="str">
        <f t="shared" si="95"/>
        <v>"%USERPROFILE%\Documents\GitHub\eaglep3\Utilities\RefineRTDCRunTimes.py" --tripid 1827-11 --locoid 4009 --swversion DE.1.0.8.0 --startMP 204:1028 --initTime 2017-02-11T19:17:34 --startdatetime 2017-02-11T19:21:16 --delay 1 --endMP 300:58939 --enddatetime 2017-02-11T19:34:38 --enforcementcount 1 &gt;&gt;C:\Users\stu\Documents\GitHub\eaglep3-reporting\EC\2017-02-11-refined-times.txt</v>
      </c>
      <c r="AI180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{"issue":{"subject":"","project_id":79,"tracker_id":40,"status_id":1,"priority_id":2,"assigned_to_id":23,"start_date":"2017-02-11","description":"","custom_fields":[{"id":1,"name":"Subdivision","value":"NW"},{"id":4,"name":"Milepost","value":"5.8939"},{"id":17,"name":"Train ID","value":"1827-11"},{"id":16,"name":"Locomotive ID","value":"4009"},{"id":130,"name":"Impact","value":""},{"id":150,"name":"Time of Event (Mountain Time)","value":"19:34:38"},{"id":151,"name":"Denver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97"/>
        <v>start /low /b %USERPROFILE%\Documents\GitHub\eaglep3\Utilities\DownloadLogsFromS3.py --loco 4009 --day 2017-02-11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2017-02-11-UncaughtWiMAX.txt</v>
      </c>
    </row>
    <row r="181" spans="1:91" s="20" customFormat="1" x14ac:dyDescent="0.25">
      <c r="A181" s="33" t="s">
        <v>701</v>
      </c>
      <c r="B181" s="7">
        <v>4010</v>
      </c>
      <c r="C181" s="21" t="s">
        <v>193</v>
      </c>
      <c r="D181" s="21" t="s">
        <v>811</v>
      </c>
      <c r="E181" s="13">
        <v>42777.817974537036</v>
      </c>
      <c r="F181" s="13">
        <v>42777.819224537037</v>
      </c>
      <c r="G181" s="7">
        <v>1</v>
      </c>
      <c r="H181" s="21" t="s">
        <v>812</v>
      </c>
      <c r="I181" s="13">
        <v>42777.829629629632</v>
      </c>
      <c r="J181" s="7">
        <v>1</v>
      </c>
      <c r="K181" s="98" t="str">
        <f t="shared" si="103"/>
        <v>4009/4010</v>
      </c>
      <c r="L181" s="21" t="str">
        <f>VLOOKUP(A181,'Trips&amp;Operators'!$C$1:$G$99999,5,FALSE)</f>
        <v>HELVIE ADAM</v>
      </c>
      <c r="M181" s="6">
        <f t="shared" si="104"/>
        <v>1.0405092594737653E-2</v>
      </c>
      <c r="N181" s="7">
        <f t="shared" si="102"/>
        <v>14.98333333642222</v>
      </c>
      <c r="O181" s="7"/>
      <c r="P181" s="7"/>
      <c r="Q181" s="22"/>
      <c r="R181" s="22"/>
      <c r="S181" s="31">
        <f t="shared" si="105"/>
        <v>1</v>
      </c>
      <c r="T181" s="46" t="str">
        <f t="shared" si="106"/>
        <v>Southbound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 t="shared" si="107"/>
        <v>https://d0f6bd738d7f1b3e5a7ca70fe4ff75f0.us-east-1.aws.found.io/app/kibana#/discover/Steve-Slow-Train-Analysis-(2080s-and-2083s)?_g=(refreshInterval:(display:Off,pause:!f,section:0,value:0),time:(from:'2017-02-11T18:37:53-0700',mode:absolute,to:'2017-02-11T20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1" s="188" t="str">
        <f t="shared" si="108"/>
        <v>N</v>
      </c>
      <c r="X181" s="188">
        <f t="shared" si="99"/>
        <v>1</v>
      </c>
      <c r="Y181" s="62">
        <f t="shared" si="100"/>
        <v>5.8616999999999999</v>
      </c>
      <c r="Z181" s="62">
        <f t="shared" si="101"/>
        <v>7.4999999999999997E-2</v>
      </c>
      <c r="AA181" s="62">
        <f t="shared" si="109"/>
        <v>5.7866999999999997</v>
      </c>
      <c r="AB181" s="59" t="e">
        <f>VLOOKUP(A181,Enforcements!$C$7:$K$14,8,0)</f>
        <v>#N/A</v>
      </c>
      <c r="AC181" s="55" t="e">
        <f>VLOOKUP(A181,Enforcements!$C$7:$E$14,3,0)</f>
        <v>#N/A</v>
      </c>
      <c r="AD181" s="56" t="str">
        <f t="shared" si="110"/>
        <v>1828-11</v>
      </c>
      <c r="AE181" s="85" t="str">
        <f t="shared" si="111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81" s="82" t="str">
        <f t="shared" si="112"/>
        <v>"C:\Program Files (x86)\AstroGrep\AstroGrep.exe" /spath="%USERPROFILE%\AppData\Local\Temp\OnboardLogs" /stypes="app*4010*20170212*" /stext=" 02:.+((SYSTEM_STATE.+slice.+state.+changed )|(ment ac)|(multiple cpu faults)|(system.+state.+changed )|(\[timeout)|(PRM\|1\|D)|(kpr)|(kdp)|(\|lc)|(penalty))" /e /r /s</v>
      </c>
      <c r="AG181" s="1" t="str">
        <f t="shared" si="113"/>
        <v>NW</v>
      </c>
      <c r="AH181" s="86" t="str">
        <f t="shared" si="95"/>
        <v>"%USERPROFILE%\Documents\GitHub\eaglep3\Utilities\RefineRTDCRunTimes.py" --tripid 1828-11 --locoid 4010 --swversion DE.1.0.8.0 --startMP 300:58617 --initTime 2017-02-11T19:37:53 --startdatetime 2017-02-11T19:39:41 --delay 1 --endMP 204:750 --enddatetime 2017-02-11T19:54:40 --enforcementcount 1 &gt;&gt;C:\Users\stu\Documents\GitHub\eaglep3-reporting\EC\2017-02-11-refined-times.txt</v>
      </c>
      <c r="AI181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{"issue":{"subject":"","project_id":79,"tracker_id":40,"status_id":1,"priority_id":2,"assigned_to_id":23,"start_date":"2017-02-11","description":"","custom_fields":[{"id":1,"name":"Subdivision","value":"NW"},{"id":4,"name":"Milepost","value":"0.075"},{"id":17,"name":"Train ID","value":"1828-11"},{"id":16,"name":"Locomotive ID","value":"4010"},{"id":130,"name":"Impact","value":""},{"id":150,"name":"Time of Event (Mountain Time)","value":"19:54:40"},{"id":151,"name":"Denver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97"/>
        <v>start /low /b %USERPROFILE%\Documents\GitHub\eaglep3\Utilities\DownloadLogsFromS3.py --loco 4010 --day 2017-02-11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"%USERPROFILE%\AppData\Local\Temp\OnboardLogs"\RTDC4010\*4010*20170212* | grep -SE "(Enforcement Action)|(\[TIMEOUT)|(CHR.+\|PRM\|1\|D.+(SWITCH|SIGNAL).+UNKNOWN)" - &gt;&gt; 2017-02-11-UncaughtWiMAX.txt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528</v>
      </c>
      <c r="B182" s="7">
        <v>4009</v>
      </c>
      <c r="C182" s="21" t="s">
        <v>193</v>
      </c>
      <c r="D182" s="21" t="s">
        <v>813</v>
      </c>
      <c r="E182" s="13">
        <v>42777.845694444448</v>
      </c>
      <c r="F182" s="13">
        <v>42777.857685185183</v>
      </c>
      <c r="G182" s="7">
        <v>1</v>
      </c>
      <c r="H182" s="21" t="s">
        <v>814</v>
      </c>
      <c r="I182" s="13">
        <v>42777.859664351854</v>
      </c>
      <c r="J182" s="7">
        <v>1</v>
      </c>
      <c r="K182" s="98" t="str">
        <f t="shared" si="103"/>
        <v>4009/4010</v>
      </c>
      <c r="L182" s="21" t="str">
        <f>VLOOKUP(A182,'Trips&amp;Operators'!$C$1:$G$99999,5,FALSE)</f>
        <v>HELVIE ADAM</v>
      </c>
      <c r="M182" s="6">
        <f t="shared" si="104"/>
        <v>1.9791666709352285E-3</v>
      </c>
      <c r="N182" s="7">
        <f t="shared" si="102"/>
        <v>2.850000006146729</v>
      </c>
      <c r="O182" s="7"/>
      <c r="P182" s="7"/>
      <c r="Q182" s="22"/>
      <c r="R182" s="22"/>
      <c r="S182" s="31">
        <f t="shared" si="105"/>
        <v>0</v>
      </c>
      <c r="T182" s="46" t="str">
        <f t="shared" si="106"/>
        <v>NorthBound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0</v>
      </c>
      <c r="V182" s="187" t="str">
        <f t="shared" si="107"/>
        <v>https://d0f6bd738d7f1b3e5a7ca70fe4ff75f0.us-east-1.aws.found.io/app/kibana#/discover/Steve-Slow-Train-Analysis-(2080s-and-2083s)?_g=(refreshInterval:(display:Off,pause:!f,section:0,value:0),time:(from:'2017-02-11T19:17:48-0700',mode:absolute,to:'2017-02-11T21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2" s="188" t="str">
        <f t="shared" si="108"/>
        <v>Y</v>
      </c>
      <c r="X182" s="188">
        <f t="shared" si="99"/>
        <v>1</v>
      </c>
      <c r="Y182" s="62">
        <f t="shared" si="100"/>
        <v>0.10440000000000001</v>
      </c>
      <c r="Z182" s="62">
        <f t="shared" si="101"/>
        <v>0.92310000000000003</v>
      </c>
      <c r="AA182" s="62">
        <f t="shared" si="109"/>
        <v>0.81869999999999998</v>
      </c>
      <c r="AB182" s="59" t="e">
        <f>VLOOKUP(A182,Enforcements!$C$7:$K$14,8,0)</f>
        <v>#N/A</v>
      </c>
      <c r="AC182" s="55" t="e">
        <f>VLOOKUP(A182,Enforcements!$C$7:$E$14,3,0)</f>
        <v>#N/A</v>
      </c>
      <c r="AD182" s="56" t="str">
        <f t="shared" si="110"/>
        <v>1829-11</v>
      </c>
      <c r="AE182" s="85" t="str">
        <f t="shared" si="111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82" s="82" t="str">
        <f t="shared" si="112"/>
        <v>"C:\Program Files (x86)\AstroGrep\AstroGrep.exe" /spath="%USERPROFILE%\AppData\Local\Temp\OnboardLogs" /stypes="app*4009*20170212*" /stext=" 03:.+((SYSTEM_STATE.+slice.+state.+changed )|(ment ac)|(multiple cpu faults)|(system.+state.+changed )|(\[timeout)|(PRM\|1\|D)|(kpr)|(kdp)|(\|lc)|(penalty))" /e /r /s</v>
      </c>
      <c r="AG182" s="1" t="str">
        <f t="shared" si="113"/>
        <v>NW</v>
      </c>
      <c r="AH182" s="86" t="str">
        <f t="shared" si="95"/>
        <v>"%USERPROFILE%\Documents\GitHub\eaglep3\Utilities\RefineRTDCRunTimes.py" --tripid 1829-11 --locoid 4009 --swversion DE.1.0.8.0 --startMP 204:1044 --initTime 2017-02-11T20:17:48 --startdatetime 2017-02-11T20:35:04 --delay 1 --endMP 300:9231 --enddatetime 2017-02-11T20:37:55 --enforcementcount 1 &gt;&gt;C:\Users\stu\Documents\GitHub\eaglep3-reporting\EC\2017-02-11-refined-times.txt</v>
      </c>
      <c r="AI182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{"issue":{"subject":"","project_id":79,"tracker_id":40,"status_id":1,"priority_id":2,"assigned_to_id":23,"start_date":"2017-02-11","description":"","custom_fields":[{"id":1,"name":"Subdivision","value":"NW"},{"id":4,"name":"Milepost","value":"0.9231"},{"id":17,"name":"Train ID","value":"1829-11"},{"id":16,"name":"Locomotive ID","value":"4009"},{"id":130,"name":"Impact","value":""},{"id":150,"name":"Time of Event (Mountain Time)","value":"20:37:55"},{"id":151,"name":"Denver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97"/>
        <v>start /low /b %USERPROFILE%\Documents\GitHub\eaglep3\Utilities\DownloadLogsFromS3.py --loco 4009 --day 2017-02-11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2017-02-11-UncaughtWiMAX.txt</v>
      </c>
    </row>
    <row r="183" spans="1:91" x14ac:dyDescent="0.25">
      <c r="A183" s="33" t="s">
        <v>528</v>
      </c>
      <c r="B183" s="7">
        <v>4009</v>
      </c>
      <c r="C183" s="21" t="s">
        <v>193</v>
      </c>
      <c r="D183" s="21" t="s">
        <v>815</v>
      </c>
      <c r="E183" s="13">
        <v>42777.852650462963</v>
      </c>
      <c r="F183" s="13">
        <v>42777.857685185183</v>
      </c>
      <c r="G183" s="7">
        <v>6</v>
      </c>
      <c r="H183" s="21" t="s">
        <v>816</v>
      </c>
      <c r="I183" s="13">
        <v>42777.859664351854</v>
      </c>
      <c r="J183" s="7">
        <v>1</v>
      </c>
      <c r="K183" s="98" t="str">
        <f t="shared" si="103"/>
        <v>4009/4010</v>
      </c>
      <c r="L183" s="21" t="str">
        <f>VLOOKUP(A183,'Trips&amp;Operators'!$C$1:$G$99999,5,FALSE)</f>
        <v>HELVIE ADAM</v>
      </c>
      <c r="M183" s="6">
        <f t="shared" si="104"/>
        <v>1.9791666709352285E-3</v>
      </c>
      <c r="N183" s="7">
        <f t="shared" si="102"/>
        <v>2.850000006146729</v>
      </c>
      <c r="O183" s="7"/>
      <c r="P183" s="7"/>
      <c r="Q183" s="22"/>
      <c r="R183" s="22"/>
      <c r="S183" s="31">
        <f t="shared" si="105"/>
        <v>0</v>
      </c>
      <c r="T183" s="46" t="str">
        <f t="shared" si="106"/>
        <v>NorthBound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187" t="str">
        <f t="shared" si="107"/>
        <v>https://d0f6bd738d7f1b3e5a7ca70fe4ff75f0.us-east-1.aws.found.io/app/kibana#/discover/Steve-Slow-Train-Analysis-(2080s-and-2083s)?_g=(refreshInterval:(display:Off,pause:!f,section:0,value:0),time:(from:'2017-02-11T19:27:49-0700',mode:absolute,to:'2017-02-11T21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188" t="str">
        <f t="shared" si="108"/>
        <v>Y</v>
      </c>
      <c r="X183" s="188">
        <f t="shared" si="99"/>
        <v>0</v>
      </c>
      <c r="Y183" s="62">
        <f t="shared" si="100"/>
        <v>5.5746000000000002</v>
      </c>
      <c r="Z183" s="62">
        <f t="shared" si="101"/>
        <v>5.8929</v>
      </c>
      <c r="AA183" s="62">
        <f t="shared" si="109"/>
        <v>0.31829999999999981</v>
      </c>
      <c r="AB183" s="59" t="e">
        <f>VLOOKUP(A183,Enforcements!$C$7:$K$14,8,0)</f>
        <v>#N/A</v>
      </c>
      <c r="AC183" s="55" t="e">
        <f>VLOOKUP(A183,Enforcements!$C$7:$E$14,3,0)</f>
        <v>#N/A</v>
      </c>
      <c r="AD183" s="56" t="str">
        <f t="shared" si="110"/>
        <v>1829-11</v>
      </c>
      <c r="AE183" s="85" t="str">
        <f t="shared" si="111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83" s="82" t="str">
        <f t="shared" si="112"/>
        <v>"C:\Program Files (x86)\AstroGrep\AstroGrep.exe" /spath="%USERPROFILE%\AppData\Local\Temp\OnboardLogs" /stypes="app*4009*20170212*" /stext=" 03:.+((SYSTEM_STATE.+slice.+state.+changed )|(ment ac)|(multiple cpu faults)|(system.+state.+changed )|(\[timeout)|(PRM\|1\|D)|(kpr)|(kdp)|(\|lc)|(penalty))" /e /r /s</v>
      </c>
      <c r="AG183" s="1" t="str">
        <f t="shared" si="113"/>
        <v>NW</v>
      </c>
      <c r="AH183" s="86" t="str">
        <f t="shared" si="95"/>
        <v>"%USERPROFILE%\Documents\GitHub\eaglep3\Utilities\RefineRTDCRunTimes.py" --tripid 1829-11 --locoid 4009 --swversion DE.1.0.8.0 --startMP 300:55746 --initTime 2017-02-11T20:27:49 --startdatetime 2017-02-11T20:35:04 --delay 6 --endMP 300:58929 --enddatetime 2017-02-11T20:37:55 --enforcementcount 1 &gt;&gt;C:\Users\stu\Documents\GitHub\eaglep3-reporting\EC\2017-02-11-refined-times.txt</v>
      </c>
      <c r="AI183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{"issue":{"subject":"","project_id":79,"tracker_id":40,"status_id":1,"priority_id":2,"assigned_to_id":23,"start_date":"2017-02-11","description":"","custom_fields":[{"id":1,"name":"Subdivision","value":"NW"},{"id":4,"name":"Milepost","value":"5.8929"},{"id":17,"name":"Train ID","value":"1829-11"},{"id":16,"name":"Locomotive ID","value":"4009"},{"id":130,"name":"Impact","value":""},{"id":150,"name":"Time of Event (Mountain Time)","value":"20:37:55"},{"id":151,"name":"Denver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97"/>
        <v>start /low /b %USERPROFILE%\Documents\GitHub\eaglep3\Utilities\DownloadLogsFromS3.py --loco 4009 --day 2017-02-11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2017-02-11-UncaughtWiMAX.txt</v>
      </c>
    </row>
    <row r="184" spans="1:91" s="20" customFormat="1" x14ac:dyDescent="0.25">
      <c r="A184" s="33" t="s">
        <v>705</v>
      </c>
      <c r="B184" s="7">
        <v>4010</v>
      </c>
      <c r="C184" s="21" t="s">
        <v>193</v>
      </c>
      <c r="D184" s="21" t="s">
        <v>818</v>
      </c>
      <c r="E184" s="13">
        <v>42777.860879629632</v>
      </c>
      <c r="F184" s="13">
        <v>42777.862256944441</v>
      </c>
      <c r="G184" s="7">
        <v>1</v>
      </c>
      <c r="H184" s="21" t="s">
        <v>778</v>
      </c>
      <c r="I184" s="13">
        <v>42777.871377314812</v>
      </c>
      <c r="J184" s="7">
        <v>1</v>
      </c>
      <c r="K184" s="98" t="str">
        <f t="shared" si="103"/>
        <v>4009/4010</v>
      </c>
      <c r="L184" s="21" t="str">
        <f>VLOOKUP(A184,'Trips&amp;Operators'!$C$1:$G$99999,5,FALSE)</f>
        <v>HELVIE ADAM</v>
      </c>
      <c r="M184" s="6">
        <f t="shared" si="104"/>
        <v>9.1203703705104999E-3</v>
      </c>
      <c r="N184" s="7">
        <f t="shared" si="102"/>
        <v>13.13333333353512</v>
      </c>
      <c r="O184" s="7"/>
      <c r="P184" s="7"/>
      <c r="Q184" s="22"/>
      <c r="R184" s="22"/>
      <c r="S184" s="31">
        <f t="shared" si="105"/>
        <v>1</v>
      </c>
      <c r="T184" s="46" t="str">
        <f t="shared" si="106"/>
        <v>Southbound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 t="shared" si="107"/>
        <v>https://d0f6bd738d7f1b3e5a7ca70fe4ff75f0.us-east-1.aws.found.io/app/kibana#/discover/Steve-Slow-Train-Analysis-(2080s-and-2083s)?_g=(refreshInterval:(display:Off,pause:!f,section:0,value:0),time:(from:'2017-02-11T19:39:40-0700',mode:absolute,to:'2017-02-11T21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188" t="str">
        <f t="shared" si="108"/>
        <v>N</v>
      </c>
      <c r="X184" s="188">
        <f t="shared" ref="X184:X201" si="114">VALUE(LEFT(AD184,4))-VALUE(LEFT(AD183,4))</f>
        <v>1</v>
      </c>
      <c r="Y184" s="62">
        <f t="shared" si="100"/>
        <v>5.8624000000000001</v>
      </c>
      <c r="Z184" s="62">
        <f t="shared" si="101"/>
        <v>7.4700000000000003E-2</v>
      </c>
      <c r="AA184" s="62">
        <f t="shared" si="109"/>
        <v>5.7877000000000001</v>
      </c>
      <c r="AB184" s="59" t="e">
        <f>VLOOKUP(A184,Enforcements!$C$7:$K$14,8,0)</f>
        <v>#N/A</v>
      </c>
      <c r="AC184" s="55" t="e">
        <f>VLOOKUP(A184,Enforcements!$C$7:$E$14,3,0)</f>
        <v>#N/A</v>
      </c>
      <c r="AD184" s="56" t="str">
        <f t="shared" si="110"/>
        <v>1830-11</v>
      </c>
      <c r="AE184" s="85" t="str">
        <f t="shared" si="111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84" s="82" t="str">
        <f t="shared" si="112"/>
        <v>"C:\Program Files (x86)\AstroGrep\AstroGrep.exe" /spath="%USERPROFILE%\AppData\Local\Temp\OnboardLogs" /stypes="app*4010*20170212*" /stext=" 03:.+((SYSTEM_STATE.+slice.+state.+changed )|(ment ac)|(multiple cpu faults)|(system.+state.+changed )|(\[timeout)|(PRM\|1\|D)|(kpr)|(kdp)|(\|lc)|(penalty))" /e /r /s</v>
      </c>
      <c r="AG184" s="1" t="str">
        <f t="shared" si="113"/>
        <v>NW</v>
      </c>
      <c r="AH184" s="86" t="str">
        <f t="shared" si="95"/>
        <v>"%USERPROFILE%\Documents\GitHub\eaglep3\Utilities\RefineRTDCRunTimes.py" --tripid 1830-11 --locoid 4010 --swversion DE.1.0.8.0 --startMP 300:58624 --initTime 2017-02-11T20:39:40 --startdatetime 2017-02-11T20:41:39 --delay 1 --endMP 204:747 --enddatetime 2017-02-11T20:54:47 --enforcementcount 1 &gt;&gt;C:\Users\stu\Documents\GitHub\eaglep3-reporting\EC\2017-02-11-refined-times.txt</v>
      </c>
      <c r="AI184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{"issue":{"subject":"","project_id":79,"tracker_id":40,"status_id":1,"priority_id":2,"assigned_to_id":23,"start_date":"2017-02-11","description":"","custom_fields":[{"id":1,"name":"Subdivision","value":"NW"},{"id":4,"name":"Milepost","value":"0.0747"},{"id":17,"name":"Train ID","value":"1830-11"},{"id":16,"name":"Locomotive ID","value":"4010"},{"id":130,"name":"Impact","value":""},{"id":150,"name":"Time of Event (Mountain Time)","value":"20:54:47"},{"id":151,"name":"Denver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97"/>
        <v>start /low /b %USERPROFILE%\Documents\GitHub\eaglep3\Utilities\DownloadLogsFromS3.py --loco 4010 --day 2017-02-11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"%USERPROFILE%\AppData\Local\Temp\OnboardLogs"\RTDC4010\*4010*20170212* | grep -SE "(Enforcement Action)|(\[TIMEOUT)|(CHR.+\|PRM\|1\|D.+(SWITCH|SIGNAL).+UNKNOWN)" - &gt;&gt; 2017-02-11-UncaughtWiMAX.txt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709</v>
      </c>
      <c r="B185" s="7">
        <v>4009</v>
      </c>
      <c r="C185" s="21" t="s">
        <v>193</v>
      </c>
      <c r="D185" s="21" t="s">
        <v>810</v>
      </c>
      <c r="E185" s="13">
        <v>42777.886701388888</v>
      </c>
      <c r="F185" s="13">
        <v>42777.88994212963</v>
      </c>
      <c r="G185" s="7">
        <v>1</v>
      </c>
      <c r="H185" s="21" t="s">
        <v>799</v>
      </c>
      <c r="I185" s="13">
        <v>42777.899282407408</v>
      </c>
      <c r="J185" s="7">
        <v>1</v>
      </c>
      <c r="K185" s="98" t="str">
        <f t="shared" si="103"/>
        <v>4009/4010</v>
      </c>
      <c r="L185" s="21" t="str">
        <f>VLOOKUP(A185,'Trips&amp;Operators'!$C$1:$G$99999,5,FALSE)</f>
        <v>HELVIE ADAM</v>
      </c>
      <c r="M185" s="6">
        <f t="shared" si="104"/>
        <v>9.340277778392192E-3</v>
      </c>
      <c r="N185" s="7">
        <f t="shared" si="102"/>
        <v>13.450000000884756</v>
      </c>
      <c r="O185" s="7"/>
      <c r="P185" s="7"/>
      <c r="Q185" s="22"/>
      <c r="R185" s="22"/>
      <c r="S185" s="31">
        <f t="shared" si="105"/>
        <v>1</v>
      </c>
      <c r="T185" s="46" t="str">
        <f t="shared" si="106"/>
        <v>NorthBound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 t="shared" si="107"/>
        <v>https://d0f6bd738d7f1b3e5a7ca70fe4ff75f0.us-east-1.aws.found.io/app/kibana#/discover/Steve-Slow-Train-Analysis-(2080s-and-2083s)?_g=(refreshInterval:(display:Off,pause:!f,section:0,value:0),time:(from:'2017-02-11T20:16:51-0700',mode:absolute,to:'2017-02-11T22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188" t="str">
        <f t="shared" si="108"/>
        <v>N</v>
      </c>
      <c r="X185" s="188">
        <f t="shared" si="114"/>
        <v>1</v>
      </c>
      <c r="Y185" s="62">
        <f t="shared" ref="Y185:Y201" si="115">RIGHT(D185,LEN(D185)-4)/10000</f>
        <v>0.1028</v>
      </c>
      <c r="Z185" s="62">
        <f t="shared" ref="Z185:Z201" si="116">RIGHT(H185,LEN(H185)-4)/10000</f>
        <v>5.8935000000000004</v>
      </c>
      <c r="AA185" s="62">
        <f t="shared" si="109"/>
        <v>5.7907000000000002</v>
      </c>
      <c r="AB185" s="59" t="e">
        <f>VLOOKUP(A185,Enforcements!$C$7:$K$14,8,0)</f>
        <v>#N/A</v>
      </c>
      <c r="AC185" s="55" t="e">
        <f>VLOOKUP(A185,Enforcements!$C$7:$E$14,3,0)</f>
        <v>#N/A</v>
      </c>
      <c r="AD185" s="56" t="str">
        <f t="shared" si="110"/>
        <v>1831-11</v>
      </c>
      <c r="AE185" s="85" t="str">
        <f t="shared" si="111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85" s="82" t="str">
        <f t="shared" si="112"/>
        <v>"C:\Program Files (x86)\AstroGrep\AstroGrep.exe" /spath="%USERPROFILE%\AppData\Local\Temp\OnboardLogs" /stypes="app*4009*20170212*" /stext=" 04:.+((SYSTEM_STATE.+slice.+state.+changed )|(ment ac)|(multiple cpu faults)|(system.+state.+changed )|(\[timeout)|(PRM\|1\|D)|(kpr)|(kdp)|(\|lc)|(penalty))" /e /r /s</v>
      </c>
      <c r="AG185" s="1" t="str">
        <f t="shared" si="113"/>
        <v>NW</v>
      </c>
      <c r="AH185" s="86" t="str">
        <f t="shared" si="95"/>
        <v>"%USERPROFILE%\Documents\GitHub\eaglep3\Utilities\RefineRTDCRunTimes.py" --tripid 1831-11 --locoid 4009 --swversion DE.1.0.8.0 --startMP 204:1028 --initTime 2017-02-11T21:16:51 --startdatetime 2017-02-11T21:21:31 --delay 1 --endMP 300:58935 --enddatetime 2017-02-11T21:34:58 --enforcementcount 1 &gt;&gt;C:\Users\stu\Documents\GitHub\eaglep3-reporting\EC\2017-02-11-refined-times.txt</v>
      </c>
      <c r="AI185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{"issue":{"subject":"","project_id":79,"tracker_id":40,"status_id":1,"priority_id":2,"assigned_to_id":23,"start_date":"2017-02-11","description":"","custom_fields":[{"id":1,"name":"Subdivision","value":"NW"},{"id":4,"name":"Milepost","value":"5.8935"},{"id":17,"name":"Train ID","value":"1831-11"},{"id":16,"name":"Locomotive ID","value":"4009"},{"id":130,"name":"Impact","value":""},{"id":150,"name":"Time of Event (Mountain Time)","value":"21:34:58"},{"id":151,"name":"Denver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97"/>
        <v>start /low /b %USERPROFILE%\Documents\GitHub\eaglep3\Utilities\DownloadLogsFromS3.py --loco 4009 --day 2017-02-11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2017-02-11-UncaughtWiMAX.txt</v>
      </c>
    </row>
    <row r="186" spans="1:91" s="20" customFormat="1" x14ac:dyDescent="0.25">
      <c r="A186" s="33" t="s">
        <v>711</v>
      </c>
      <c r="B186" s="7">
        <v>4010</v>
      </c>
      <c r="C186" s="21" t="s">
        <v>193</v>
      </c>
      <c r="D186" s="21" t="s">
        <v>800</v>
      </c>
      <c r="E186" s="13">
        <v>42777.900509259256</v>
      </c>
      <c r="F186" s="13">
        <v>42777.90284722222</v>
      </c>
      <c r="G186" s="7">
        <v>1</v>
      </c>
      <c r="H186" s="21" t="s">
        <v>819</v>
      </c>
      <c r="I186" s="13">
        <v>42777.91300925926</v>
      </c>
      <c r="J186" s="7">
        <v>1</v>
      </c>
      <c r="K186" s="98" t="str">
        <f t="shared" si="103"/>
        <v>4009/4010</v>
      </c>
      <c r="L186" s="21" t="str">
        <f>VLOOKUP(A186,'Trips&amp;Operators'!$C$1:$G$99999,5,FALSE)</f>
        <v>HELVIE ADAM</v>
      </c>
      <c r="M186" s="6">
        <f t="shared" si="104"/>
        <v>1.0162037040572613E-2</v>
      </c>
      <c r="N186" s="7">
        <f t="shared" si="102"/>
        <v>14.633333338424563</v>
      </c>
      <c r="O186" s="7"/>
      <c r="P186" s="7"/>
      <c r="Q186" s="22"/>
      <c r="R186" s="22"/>
      <c r="S186" s="31">
        <f t="shared" si="105"/>
        <v>1</v>
      </c>
      <c r="T186" s="46" t="str">
        <f t="shared" si="106"/>
        <v>Southbound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 t="shared" si="107"/>
        <v>https://d0f6bd738d7f1b3e5a7ca70fe4ff75f0.us-east-1.aws.found.io/app/kibana#/discover/Steve-Slow-Train-Analysis-(2080s-and-2083s)?_g=(refreshInterval:(display:Off,pause:!f,section:0,value:0),time:(from:'2017-02-11T20:36:44-0700',mode:absolute,to:'2017-02-11T22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6" s="188" t="str">
        <f t="shared" si="108"/>
        <v>N</v>
      </c>
      <c r="X186" s="188">
        <f t="shared" si="114"/>
        <v>1</v>
      </c>
      <c r="Y186" s="62">
        <f t="shared" si="115"/>
        <v>5.8623000000000003</v>
      </c>
      <c r="Z186" s="62">
        <f t="shared" si="116"/>
        <v>7.0499999999999993E-2</v>
      </c>
      <c r="AA186" s="62">
        <f t="shared" si="109"/>
        <v>5.7918000000000003</v>
      </c>
      <c r="AB186" s="59" t="e">
        <f>VLOOKUP(A186,Enforcements!$C$7:$K$14,8,0)</f>
        <v>#N/A</v>
      </c>
      <c r="AC186" s="55" t="e">
        <f>VLOOKUP(A186,Enforcements!$C$7:$E$14,3,0)</f>
        <v>#N/A</v>
      </c>
      <c r="AD186" s="56" t="str">
        <f t="shared" si="110"/>
        <v>1832-11</v>
      </c>
      <c r="AE186" s="85" t="str">
        <f t="shared" si="111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86" s="82" t="str">
        <f t="shared" si="112"/>
        <v>"C:\Program Files (x86)\AstroGrep\AstroGrep.exe" /spath="%USERPROFILE%\AppData\Local\Temp\OnboardLogs" /stypes="app*4010*20170212*" /stext=" 04:.+((SYSTEM_STATE.+slice.+state.+changed )|(ment ac)|(multiple cpu faults)|(system.+state.+changed )|(\[timeout)|(PRM\|1\|D)|(kpr)|(kdp)|(\|lc)|(penalty))" /e /r /s</v>
      </c>
      <c r="AG186" s="1" t="str">
        <f t="shared" si="113"/>
        <v>NW</v>
      </c>
      <c r="AH186" s="86" t="str">
        <f t="shared" si="95"/>
        <v>"%USERPROFILE%\Documents\GitHub\eaglep3\Utilities\RefineRTDCRunTimes.py" --tripid 1832-11 --locoid 4010 --swversion DE.1.0.8.0 --startMP 300:58623 --initTime 2017-02-11T21:36:44 --startdatetime 2017-02-11T21:40:06 --delay 1 --endMP 204:705 --enddatetime 2017-02-11T21:54:44 --enforcementcount 1 &gt;&gt;C:\Users\stu\Documents\GitHub\eaglep3-reporting\EC\2017-02-11-refined-times.txt</v>
      </c>
      <c r="AI186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{"issue":{"subject":"","project_id":79,"tracker_id":40,"status_id":1,"priority_id":2,"assigned_to_id":23,"start_date":"2017-02-11","description":"","custom_fields":[{"id":1,"name":"Subdivision","value":"NW"},{"id":4,"name":"Milepost","value":"0.0705"},{"id":17,"name":"Train ID","value":"1832-11"},{"id":16,"name":"Locomotive ID","value":"4010"},{"id":130,"name":"Impact","value":""},{"id":150,"name":"Time of Event (Mountain Time)","value":"21:54:44"},{"id":151,"name":"Denver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97"/>
        <v>start /low /b %USERPROFILE%\Documents\GitHub\eaglep3\Utilities\DownloadLogsFromS3.py --loco 4010 --day 2017-02-11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"%USERPROFILE%\AppData\Local\Temp\OnboardLogs"\RTDC4010\*4010*20170212* | grep -SE "(Enforcement Action)|(\[TIMEOUT)|(CHR.+\|PRM\|1\|D.+(SWITCH|SIGNAL).+UNKNOWN)" - &gt;&gt; 2017-02-11-UncaughtWiMAX.txt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715</v>
      </c>
      <c r="B187" s="7">
        <v>4009</v>
      </c>
      <c r="C187" s="21" t="s">
        <v>193</v>
      </c>
      <c r="D187" s="21" t="s">
        <v>820</v>
      </c>
      <c r="E187" s="13">
        <v>42777.925752314812</v>
      </c>
      <c r="F187" s="13">
        <v>42777.931469907409</v>
      </c>
      <c r="G187" s="7">
        <v>2</v>
      </c>
      <c r="H187" s="21" t="s">
        <v>441</v>
      </c>
      <c r="I187" s="13">
        <v>42777.940555555557</v>
      </c>
      <c r="J187" s="7">
        <v>1</v>
      </c>
      <c r="K187" s="98" t="str">
        <f t="shared" si="103"/>
        <v>4009/4010</v>
      </c>
      <c r="L187" s="21" t="str">
        <f>VLOOKUP(A187,'Trips&amp;Operators'!$C$1:$G$99999,5,FALSE)</f>
        <v>HELVIE ADAM</v>
      </c>
      <c r="M187" s="6">
        <f t="shared" si="104"/>
        <v>9.0856481474475004E-3</v>
      </c>
      <c r="N187" s="7">
        <f t="shared" si="102"/>
        <v>13.083333332324401</v>
      </c>
      <c r="O187" s="7"/>
      <c r="P187" s="7"/>
      <c r="Q187" s="22"/>
      <c r="R187" s="22"/>
      <c r="S187" s="31">
        <f t="shared" si="105"/>
        <v>1</v>
      </c>
      <c r="T187" s="46" t="str">
        <f t="shared" si="106"/>
        <v>NorthBound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 t="shared" si="107"/>
        <v>https://d0f6bd738d7f1b3e5a7ca70fe4ff75f0.us-east-1.aws.found.io/app/kibana#/discover/Steve-Slow-Train-Analysis-(2080s-and-2083s)?_g=(refreshInterval:(display:Off,pause:!f,section:0,value:0),time:(from:'2017-02-11T21:13:05-0700',mode:absolute,to:'2017-02-11T23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7" s="188" t="str">
        <f t="shared" si="108"/>
        <v>N</v>
      </c>
      <c r="X187" s="188">
        <f t="shared" si="114"/>
        <v>1</v>
      </c>
      <c r="Y187" s="62">
        <f t="shared" si="115"/>
        <v>9.9000000000000005E-2</v>
      </c>
      <c r="Z187" s="62">
        <f t="shared" si="116"/>
        <v>5.8943000000000003</v>
      </c>
      <c r="AA187" s="62">
        <f t="shared" si="109"/>
        <v>5.7953000000000001</v>
      </c>
      <c r="AB187" s="59" t="e">
        <f>VLOOKUP(A187,Enforcements!$C$7:$K$14,8,0)</f>
        <v>#N/A</v>
      </c>
      <c r="AC187" s="55" t="e">
        <f>VLOOKUP(A187,Enforcements!$C$7:$E$14,3,0)</f>
        <v>#N/A</v>
      </c>
      <c r="AD187" s="56" t="str">
        <f t="shared" si="110"/>
        <v>1833-11</v>
      </c>
      <c r="AE187" s="85" t="str">
        <f t="shared" si="111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87" s="82" t="str">
        <f t="shared" si="112"/>
        <v>"C:\Program Files (x86)\AstroGrep\AstroGrep.exe" /spath="%USERPROFILE%\AppData\Local\Temp\OnboardLogs" /stypes="app*4009*20170212*" /stext=" 05:.+((SYSTEM_STATE.+slice.+state.+changed )|(ment ac)|(multiple cpu faults)|(system.+state.+changed )|(\[timeout)|(PRM\|1\|D)|(kpr)|(kdp)|(\|lc)|(penalty))" /e /r /s</v>
      </c>
      <c r="AG187" s="1" t="str">
        <f t="shared" si="113"/>
        <v>NW</v>
      </c>
      <c r="AH187" s="86" t="str">
        <f t="shared" si="95"/>
        <v>"%USERPROFILE%\Documents\GitHub\eaglep3\Utilities\RefineRTDCRunTimes.py" --tripid 1833-11 --locoid 4009 --swversion DE.1.0.8.0 --startMP 204:990 --initTime 2017-02-11T22:13:05 --startdatetime 2017-02-11T22:21:19 --delay 2 --endMP 300:58943 --enddatetime 2017-02-11T22:34:24 --enforcementcount 1 &gt;&gt;C:\Users\stu\Documents\GitHub\eaglep3-reporting\EC\2017-02-11-refined-times.txt</v>
      </c>
      <c r="AI187" s="108" t="str">
        <f t="shared" si="96"/>
        <v>echo {"issue":{"subject":"","project_id":79,"tracker_id":40,"status_id":1,"priority_id":2,"assigned_to_id":23,"start_date":"2017-02-11","description":"","custom_fields":[{"id":1,"name":"Subdivision","value":"NW"},{"id":4,"name":"Milepost","value":"5.8943"},{"id":17,"name":"Train ID","value":"1833-11"},{"id":16,"name":"Locomotive ID","value":"4009"},{"id":130,"name":"Impact","value":""},{"id":150,"name":"Time of Event (Mountain Time)","value":"22:34:24"},{"id":151,"name":"Denver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97"/>
        <v>start /low /b %USERPROFILE%\Documents\GitHub\eaglep3\Utilities\DownloadLogsFromS3.py --loco 4009 --day 2017-02-11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2017-02-11-UncaughtWiMAX.txt</v>
      </c>
    </row>
    <row r="188" spans="1:91" x14ac:dyDescent="0.25">
      <c r="A188" s="33" t="s">
        <v>511</v>
      </c>
      <c r="B188" s="7">
        <v>4030</v>
      </c>
      <c r="C188" s="21" t="s">
        <v>193</v>
      </c>
      <c r="D188" s="21" t="s">
        <v>857</v>
      </c>
      <c r="E188" s="13">
        <v>42777.116365740738</v>
      </c>
      <c r="F188" s="13">
        <v>42777.117627314816</v>
      </c>
      <c r="G188" s="7">
        <v>1</v>
      </c>
      <c r="H188" s="21" t="s">
        <v>858</v>
      </c>
      <c r="I188" s="13">
        <v>42777.123206018521</v>
      </c>
      <c r="J188" s="7">
        <v>1</v>
      </c>
      <c r="K188" s="98" t="str">
        <f t="shared" si="103"/>
        <v>4029/4030</v>
      </c>
      <c r="L188" s="21" t="str">
        <f>VLOOKUP(A188,'Trips&amp;Operators'!$C$1:$G$99999,5,FALSE)</f>
        <v>BADERTSCHER DIANE</v>
      </c>
      <c r="M188" s="6">
        <f t="shared" si="104"/>
        <v>5.5787037053960375E-3</v>
      </c>
      <c r="N188" s="7">
        <f t="shared" si="102"/>
        <v>8.0333333357702941</v>
      </c>
      <c r="O188" s="7"/>
      <c r="P188" s="7"/>
      <c r="Q188" s="22"/>
      <c r="R188" s="22"/>
      <c r="S188" s="31">
        <f t="shared" si="105"/>
        <v>1</v>
      </c>
      <c r="T188" s="46" t="str">
        <f t="shared" si="106"/>
        <v>Southbound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 t="shared" si="107"/>
        <v>https://d0f6bd738d7f1b3e5a7ca70fe4ff75f0.us-east-1.aws.found.io/app/kibana#/discover/Steve-Slow-Train-Analysis-(2080s-and-2083s)?_g=(refreshInterval:(display:Off,pause:!f,section:0,value:0),time:(from:'2017-02-11T01:47:34-0700',mode:absolute,to:'2017-02-11T03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8" s="188" t="str">
        <f t="shared" si="108"/>
        <v>Y</v>
      </c>
      <c r="X188" s="188">
        <f t="shared" si="114"/>
        <v>-1531</v>
      </c>
      <c r="Y188" s="62">
        <f t="shared" si="115"/>
        <v>2.2208000000000001</v>
      </c>
      <c r="Z188" s="62">
        <f t="shared" si="116"/>
        <v>1.9800000000000002E-2</v>
      </c>
      <c r="AA188" s="62">
        <f t="shared" si="109"/>
        <v>2.2010000000000001</v>
      </c>
      <c r="AB188" s="59" t="e">
        <f>VLOOKUP(A188,Enforcements!$C$7:$K$14,8,0)</f>
        <v>#N/A</v>
      </c>
      <c r="AC188" s="55" t="e">
        <f>VLOOKUP(A188,Enforcements!$C$7:$E$14,3,0)</f>
        <v>#N/A</v>
      </c>
      <c r="AD188" s="56" t="str">
        <f t="shared" si="110"/>
        <v>0302-11</v>
      </c>
      <c r="AE188" s="85" t="str">
        <f t="shared" si="111"/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AF188" s="82" t="str">
        <f t="shared" si="112"/>
        <v>"C:\Program Files (x86)\AstroGrep\AstroGrep.exe" /spath="%USERPROFILE%\AppData\Local\Temp\OnboardLogs" /stypes="app*4030*20170211*" /stext=" 09:.+((SYSTEM_STATE.+slice.+state.+changed )|(ment ac)|(multiple cpu faults)|(system.+state.+changed )|(\[timeout)|(PRM\|1\|D)|(kpr)|(kdp)|(\|lc)|(penalty))" /e /r /s</v>
      </c>
      <c r="AG188" s="1" t="str">
        <f t="shared" si="113"/>
        <v>Other</v>
      </c>
      <c r="AH188" s="86" t="str">
        <f t="shared" si="95"/>
        <v>"%USERPROFILE%\Documents\GitHub\eaglep3\Utilities\RefineRTDCRunTimes.py" --tripid 302-11 --locoid 4030 --swversion DE.1.0.8.0 --startMP 300:22208 --initTime 2017-02-11T02:47:34 --startdatetime 2017-02-11T02:49:23 --delay 1 --endMP 204:198 --enddatetime 2017-02-11T02:57:25 --enforcementcount 1 &gt;&gt;C:\Users\stu\Documents\GitHub\eaglep3-reporting\EC\2017-02-11-refined-times.txt</v>
      </c>
      <c r="AI188" s="108" t="str">
        <f t="shared" si="96"/>
        <v>echo {"issue":{"subject":"","project_id":79,"tracker_id":40,"status_id":1,"priority_id":2,"assigned_to_id":23,"start_date":"2017-02-11","description":"","custom_fields":[{"id":1,"name":"Subdivision","value":"Other"},{"id":4,"name":"Milepost","value":"0.0198"},{"id":17,"name":"Train ID","value":"302-11"},{"id":16,"name":"Locomotive ID","value":"4030"},{"id":130,"name":"Impact","value":""},{"id":150,"name":"Time of Event (Mountain Time)","value":"02:57:25"},{"id":151,"name":"Denver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97"/>
        <v>start /low /b %USERPROFILE%\Documents\GitHub\eaglep3\Utilities\DownloadLogsFromS3.py --loco 4030 --day 2017-02-11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"%USERPROFILE%\AppData\Local\Temp\OnboardLogs"\RTDC4030\*4030*20170211* | grep -SE "(Enforcement Action)|(\[TIMEOUT)|(CHR.+\|PRM\|1\|D.+(SWITCH|SIGNAL).+UNKNOWN)" - &gt;&gt; 2017-02-11-UncaughtWiMAX.txt</v>
      </c>
    </row>
    <row r="189" spans="1:91" x14ac:dyDescent="0.25">
      <c r="A189" s="33" t="s">
        <v>692</v>
      </c>
      <c r="B189" s="7">
        <v>4027</v>
      </c>
      <c r="C189" s="21" t="s">
        <v>193</v>
      </c>
      <c r="D189" s="21" t="s">
        <v>859</v>
      </c>
      <c r="E189" s="13">
        <v>42777.776782407411</v>
      </c>
      <c r="F189" s="13">
        <v>42777.778391203705</v>
      </c>
      <c r="G189" s="7">
        <v>1</v>
      </c>
      <c r="H189" s="21" t="s">
        <v>498</v>
      </c>
      <c r="I189" s="13">
        <v>42777.786550925928</v>
      </c>
      <c r="J189" s="7">
        <v>1</v>
      </c>
      <c r="K189" s="98" t="str">
        <f t="shared" si="103"/>
        <v>4027/4028</v>
      </c>
      <c r="L189" s="21" t="str">
        <f>VLOOKUP(A189,'Trips&amp;Operators'!$C$1:$G$99999,5,FALSE)</f>
        <v>KILLION DAVID</v>
      </c>
      <c r="M189" s="6">
        <f t="shared" si="104"/>
        <v>8.1597222233540379E-3</v>
      </c>
      <c r="N189" s="7">
        <f t="shared" si="102"/>
        <v>11.750000001629815</v>
      </c>
      <c r="O189" s="7"/>
      <c r="P189" s="7"/>
      <c r="Q189" s="22"/>
      <c r="R189" s="22"/>
      <c r="S189" s="31">
        <f t="shared" si="105"/>
        <v>1</v>
      </c>
      <c r="T189" s="46" t="str">
        <f t="shared" si="106"/>
        <v>NorthBound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 t="shared" si="107"/>
        <v>https://d0f6bd738d7f1b3e5a7ca70fe4ff75f0.us-east-1.aws.found.io/app/kibana#/discover/Steve-Slow-Train-Analysis-(2080s-and-2083s)?_g=(refreshInterval:(display:Off,pause:!f,section:0,value:0),time:(from:'2017-02-11T17:38:34-0700',mode:absolute,to:'2017-02-11T19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9" s="188" t="str">
        <f t="shared" si="108"/>
        <v>Y</v>
      </c>
      <c r="X189" s="188">
        <f t="shared" si="114"/>
        <v>1</v>
      </c>
      <c r="Y189" s="62">
        <f t="shared" si="115"/>
        <v>3.9E-2</v>
      </c>
      <c r="Z189" s="62">
        <f t="shared" si="116"/>
        <v>2.3346</v>
      </c>
      <c r="AA189" s="62">
        <f t="shared" si="109"/>
        <v>2.2955999999999999</v>
      </c>
      <c r="AB189" s="59" t="e">
        <f>VLOOKUP(A189,Enforcements!$C$7:$K$14,8,0)</f>
        <v>#N/A</v>
      </c>
      <c r="AC189" s="55" t="e">
        <f>VLOOKUP(A189,Enforcements!$C$7:$E$14,3,0)</f>
        <v>#N/A</v>
      </c>
      <c r="AD189" s="56" t="str">
        <f t="shared" si="110"/>
        <v>0303-11</v>
      </c>
      <c r="AE189" s="85" t="str">
        <f t="shared" si="111"/>
        <v>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 &amp; 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</v>
      </c>
      <c r="AF189" s="82" t="str">
        <f t="shared" si="112"/>
        <v>"C:\Program Files (x86)\AstroGrep\AstroGrep.exe" /spath="%USERPROFILE%\AppData\Local\Temp\OnboardLogs" /stypes="app*4027*20170212*" /stext=" 01:.+((SYSTEM_STATE.+slice.+state.+changed )|(ment ac)|(multiple cpu faults)|(system.+state.+changed )|(\[timeout)|(PRM\|1\|D)|(kpr)|(kdp)|(\|lc)|(penalty))" /e /r /s</v>
      </c>
      <c r="AG189" s="1" t="str">
        <f t="shared" si="113"/>
        <v>Other</v>
      </c>
      <c r="AH189" s="86" t="str">
        <f t="shared" si="95"/>
        <v>"%USERPROFILE%\Documents\GitHub\eaglep3\Utilities\RefineRTDCRunTimes.py" --tripid 303-11 --locoid 4027 --swversion DE.1.0.8.0 --startMP 204:390 --initTime 2017-02-11T18:38:34 --startdatetime 2017-02-11T18:40:53 --delay 1 --endMP 300:23346 --enddatetime 2017-02-11T18:52:38 --enforcementcount 1 &gt;&gt;C:\Users\stu\Documents\GitHub\eaglep3-reporting\EC\2017-02-11-refined-times.txt</v>
      </c>
      <c r="AI189" s="108" t="str">
        <f t="shared" si="96"/>
        <v>echo {"issue":{"subject":"","project_id":79,"tracker_id":40,"status_id":1,"priority_id":2,"assigned_to_id":23,"start_date":"2017-02-11","description":"","custom_fields":[{"id":1,"name":"Subdivision","value":"Other"},{"id":4,"name":"Milepost","value":"2.3346"},{"id":17,"name":"Train ID","value":"303-11"},{"id":16,"name":"Locomotive ID","value":"4027"},{"id":130,"name":"Impact","value":""},{"id":150,"name":"Time of Event (Mountain Time)","value":"18:52:38"},{"id":151,"name":"Denver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97"/>
        <v>start /low /b %USERPROFILE%\Documents\GitHub\eaglep3\Utilities\DownloadLogsFromS3.py --loco 4027 --day 2017-02-11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2017-02-11-UncaughtWiMAX.txt</v>
      </c>
    </row>
    <row r="190" spans="1:91" s="20" customFormat="1" x14ac:dyDescent="0.25">
      <c r="A190" s="33" t="s">
        <v>538</v>
      </c>
      <c r="B190" s="7">
        <v>4028</v>
      </c>
      <c r="C190" s="21" t="s">
        <v>193</v>
      </c>
      <c r="D190" s="21" t="s">
        <v>860</v>
      </c>
      <c r="E190" s="13">
        <v>42777.139155092591</v>
      </c>
      <c r="F190" s="13">
        <v>42777.1403587963</v>
      </c>
      <c r="G190" s="7">
        <v>1</v>
      </c>
      <c r="H190" s="21" t="s">
        <v>195</v>
      </c>
      <c r="I190" s="13">
        <v>42777.146145833336</v>
      </c>
      <c r="J190" s="7">
        <v>1</v>
      </c>
      <c r="K190" s="98" t="str">
        <f t="shared" si="103"/>
        <v>4027/4028</v>
      </c>
      <c r="L190" s="21" t="str">
        <f>VLOOKUP(A190,'Trips&amp;Operators'!$C$1:$G$99999,5,FALSE)</f>
        <v>ROBINSON KADDIBA</v>
      </c>
      <c r="M190" s="6">
        <f t="shared" si="104"/>
        <v>5.7870370364980772E-3</v>
      </c>
      <c r="N190" s="7">
        <f t="shared" si="102"/>
        <v>8.3333333325572312</v>
      </c>
      <c r="O190" s="7"/>
      <c r="P190" s="7"/>
      <c r="Q190" s="22"/>
      <c r="R190" s="22"/>
      <c r="S190" s="31">
        <f t="shared" si="105"/>
        <v>1</v>
      </c>
      <c r="T190" s="46" t="str">
        <f t="shared" si="106"/>
        <v>Southbound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 t="shared" si="107"/>
        <v>https://d0f6bd738d7f1b3e5a7ca70fe4ff75f0.us-east-1.aws.found.io/app/kibana#/discover/Steve-Slow-Train-Analysis-(2080s-and-2083s)?_g=(refreshInterval:(display:Off,pause:!f,section:0,value:0),time:(from:'2017-02-11T02:20:23-0700',mode:absolute,to:'2017-02-11T04:30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188" t="str">
        <f t="shared" si="108"/>
        <v>Y</v>
      </c>
      <c r="X190" s="188">
        <f t="shared" si="114"/>
        <v>1</v>
      </c>
      <c r="Y190" s="62">
        <f t="shared" si="115"/>
        <v>2.3285999999999998</v>
      </c>
      <c r="Z190" s="62">
        <f t="shared" si="116"/>
        <v>1.4999999999999999E-2</v>
      </c>
      <c r="AA190" s="62">
        <f t="shared" si="109"/>
        <v>2.3135999999999997</v>
      </c>
      <c r="AB190" s="59" t="e">
        <f>VLOOKUP(A190,Enforcements!$C$7:$K$14,8,0)</f>
        <v>#N/A</v>
      </c>
      <c r="AC190" s="55" t="e">
        <f>VLOOKUP(A190,Enforcements!$C$7:$E$14,3,0)</f>
        <v>#N/A</v>
      </c>
      <c r="AD190" s="56" t="str">
        <f t="shared" si="110"/>
        <v>0304-11</v>
      </c>
      <c r="AE190" s="85" t="str">
        <f t="shared" si="111"/>
        <v>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 &amp; 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</v>
      </c>
      <c r="AF190" s="82" t="str">
        <f t="shared" si="112"/>
        <v>"C:\Program Files (x86)\AstroGrep\AstroGrep.exe" /spath="%USERPROFILE%\AppData\Local\Temp\OnboardLogs" /stypes="app*4028*20170211*" /stext=" 10:.+((SYSTEM_STATE.+slice.+state.+changed )|(ment ac)|(multiple cpu faults)|(system.+state.+changed )|(\[timeout)|(PRM\|1\|D)|(kpr)|(kdp)|(\|lc)|(penalty))" /e /r /s</v>
      </c>
      <c r="AG190" s="1" t="str">
        <f t="shared" si="113"/>
        <v>Other</v>
      </c>
      <c r="AH190" s="86" t="str">
        <f t="shared" si="95"/>
        <v>"%USERPROFILE%\Documents\GitHub\eaglep3\Utilities\RefineRTDCRunTimes.py" --tripid 304-11 --locoid 4028 --swversion DE.1.0.8.0 --startMP 300:23286 --initTime 2017-02-11T03:20:23 --startdatetime 2017-02-11T03:22:07 --delay 1 --endMP 204:150 --enddatetime 2017-02-11T03:30:27 --enforcementcount 1 &gt;&gt;C:\Users\stu\Documents\GitHub\eaglep3-reporting\EC\2017-02-11-refined-times.txt</v>
      </c>
      <c r="AI190" s="108" t="str">
        <f t="shared" si="96"/>
        <v>echo {"issue":{"subject":"","project_id":79,"tracker_id":40,"status_id":1,"priority_id":2,"assigned_to_id":23,"start_date":"2017-02-11","description":"","custom_fields":[{"id":1,"name":"Subdivision","value":"Other"},{"id":4,"name":"Milepost","value":"0.015"},{"id":17,"name":"Train ID","value":"304-11"},{"id":16,"name":"Locomotive ID","value":"4028"},{"id":130,"name":"Impact","value":""},{"id":150,"name":"Time of Event (Mountain Time)","value":"03:30:27"},{"id":151,"name":"Denver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97"/>
        <v>start /low /b %USERPROFILE%\Documents\GitHub\eaglep3\Utilities\DownloadLogsFromS3.py --loco 4028 --day 2017-02-11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"%USERPROFILE%\AppData\Local\Temp\OnboardLogs"\RTDC4028\*4028*20170211* | grep -SE "(Enforcement Action)|(\[TIMEOUT)|(CHR.+\|PRM\|1\|D.+(SWITCH|SIGNAL).+UNKNOWN)" - &gt;&gt; 2017-02-11-UncaughtWiMAX.txt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3" t="s">
        <v>696</v>
      </c>
      <c r="B191" s="7">
        <v>4029</v>
      </c>
      <c r="C191" s="21" t="s">
        <v>193</v>
      </c>
      <c r="D191" s="21" t="s">
        <v>280</v>
      </c>
      <c r="E191" s="13">
        <v>42777.795324074075</v>
      </c>
      <c r="F191" s="13">
        <v>42777.796932870369</v>
      </c>
      <c r="G191" s="7">
        <v>1</v>
      </c>
      <c r="H191" s="21" t="s">
        <v>499</v>
      </c>
      <c r="I191" s="13">
        <v>42777.804386574076</v>
      </c>
      <c r="J191" s="7">
        <v>1</v>
      </c>
      <c r="K191" s="98" t="str">
        <f t="shared" si="103"/>
        <v>4029/4030</v>
      </c>
      <c r="L191" s="21" t="str">
        <f>VLOOKUP(A191,'Trips&amp;Operators'!$C$1:$G$99999,5,FALSE)</f>
        <v>ROMERO CHAD</v>
      </c>
      <c r="M191" s="6">
        <f t="shared" si="104"/>
        <v>7.4537037071422674E-3</v>
      </c>
      <c r="N191" s="7">
        <f t="shared" si="102"/>
        <v>10.733333338284865</v>
      </c>
      <c r="O191" s="7"/>
      <c r="P191" s="7"/>
      <c r="Q191" s="22"/>
      <c r="R191" s="22"/>
      <c r="S191" s="31">
        <f t="shared" si="105"/>
        <v>1</v>
      </c>
      <c r="T191" s="46" t="str">
        <f t="shared" si="106"/>
        <v>NorthBound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 t="shared" si="107"/>
        <v>https://d0f6bd738d7f1b3e5a7ca70fe4ff75f0.us-east-1.aws.found.io/app/kibana#/discover/Steve-Slow-Train-Analysis-(2080s-and-2083s)?_g=(refreshInterval:(display:Off,pause:!f,section:0,value:0),time:(from:'2017-02-11T18:05:16-0700',mode:absolute,to:'2017-02-11T20:18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188" t="str">
        <f t="shared" si="108"/>
        <v>Y</v>
      </c>
      <c r="X191" s="188">
        <f t="shared" si="114"/>
        <v>1</v>
      </c>
      <c r="Y191" s="62">
        <f t="shared" si="115"/>
        <v>4.4600000000000001E-2</v>
      </c>
      <c r="Z191" s="62">
        <f t="shared" si="116"/>
        <v>2.3306</v>
      </c>
      <c r="AA191" s="62">
        <f t="shared" si="109"/>
        <v>2.286</v>
      </c>
      <c r="AB191" s="59" t="e">
        <f>VLOOKUP(A191,Enforcements!$C$7:$K$14,8,0)</f>
        <v>#N/A</v>
      </c>
      <c r="AC191" s="55" t="e">
        <f>VLOOKUP(A191,Enforcements!$C$7:$E$14,3,0)</f>
        <v>#N/A</v>
      </c>
      <c r="AD191" s="56" t="str">
        <f t="shared" si="110"/>
        <v>0305-11</v>
      </c>
      <c r="AE191" s="85" t="str">
        <f t="shared" si="111"/>
        <v>aws s3 cp s3://rtdc.mdm.uploadarchive.raw/RTDC4029/ "%USERPROFILE%\AppData\Local\Temp\OnboardLogs"\RTDC4029\2017-02-11 --exclude "*" --recursive --include "*20170211*" &amp; "%USERPROFILE%\Documents\GitHub\mrs-test-scripts\Headless Mode &amp; Sideloading\WalkAndUnGZ.bat" "%USERPROFILE%\AppData\Local\Temp\OnboardLogs"\RTDC4029\2017-02-11 &amp; 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</v>
      </c>
      <c r="AF191" s="82" t="str">
        <f t="shared" si="112"/>
        <v>"C:\Program Files (x86)\AstroGrep\AstroGrep.exe" /spath="%USERPROFILE%\AppData\Local\Temp\OnboardLogs" /stypes="app*4029*20170212*" /stext=" 02:.+((SYSTEM_STATE.+slice.+state.+changed )|(ment ac)|(multiple cpu faults)|(system.+state.+changed )|(\[timeout)|(PRM\|1\|D)|(kpr)|(kdp)|(\|lc)|(penalty))" /e /r /s</v>
      </c>
      <c r="AG191" s="1" t="str">
        <f t="shared" si="113"/>
        <v>Other</v>
      </c>
      <c r="AH191" s="86" t="str">
        <f t="shared" si="95"/>
        <v>"%USERPROFILE%\Documents\GitHub\eaglep3\Utilities\RefineRTDCRunTimes.py" --tripid 305-11 --locoid 4029 --swversion DE.1.0.8.0 --startMP 204:446 --initTime 2017-02-11T19:05:16 --startdatetime 2017-02-11T19:07:35 --delay 1 --endMP 300:23306 --enddatetime 2017-02-11T19:18:19 --enforcementcount 1 &gt;&gt;C:\Users\stu\Documents\GitHub\eaglep3-reporting\EC\2017-02-11-refined-times.txt</v>
      </c>
      <c r="AI191" s="108" t="str">
        <f t="shared" si="96"/>
        <v>echo {"issue":{"subject":"","project_id":79,"tracker_id":40,"status_id":1,"priority_id":2,"assigned_to_id":23,"start_date":"2017-02-11","description":"","custom_fields":[{"id":1,"name":"Subdivision","value":"Other"},{"id":4,"name":"Milepost","value":"2.3306"},{"id":17,"name":"Train ID","value":"305-11"},{"id":16,"name":"Locomotive ID","value":"4029"},{"id":130,"name":"Impact","value":""},{"id":150,"name":"Time of Event (Mountain Time)","value":"19:18:19"},{"id":151,"name":"Denver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97"/>
        <v>start /low /b %USERPROFILE%\Documents\GitHub\eaglep3\Utilities\DownloadLogsFromS3.py --loco 4029 --day 2017-02-11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"%USERPROFILE%\AppData\Local\Temp\OnboardLogs"\RTDC4029\*4029*20170212* | grep -SE "(Enforcement Action)|(\[TIMEOUT)|(CHR.+\|PRM\|1\|D.+(SWITCH|SIGNAL).+UNKNOWN)" - &gt;&gt; 2017-02-11-UncaughtWiMAX.txt</v>
      </c>
    </row>
    <row r="192" spans="1:91" s="20" customFormat="1" x14ac:dyDescent="0.25">
      <c r="A192" s="33" t="s">
        <v>540</v>
      </c>
      <c r="B192" s="7">
        <v>4015</v>
      </c>
      <c r="C192" s="21" t="s">
        <v>193</v>
      </c>
      <c r="D192" s="21" t="s">
        <v>861</v>
      </c>
      <c r="E192" s="13">
        <v>42777.157233796293</v>
      </c>
      <c r="F192" s="13">
        <v>42777.159699074073</v>
      </c>
      <c r="G192" s="7">
        <v>3</v>
      </c>
      <c r="H192" s="21" t="s">
        <v>495</v>
      </c>
      <c r="I192" s="13">
        <v>42777.164594907408</v>
      </c>
      <c r="J192" s="7">
        <v>1</v>
      </c>
      <c r="K192" s="98" t="str">
        <f t="shared" si="103"/>
        <v>4015/4016</v>
      </c>
      <c r="L192" s="21" t="str">
        <f>VLOOKUP(A192,'Trips&amp;Operators'!$C$1:$G$99999,5,FALSE)</f>
        <v>MAELZER KURT</v>
      </c>
      <c r="M192" s="6">
        <f t="shared" si="104"/>
        <v>4.8958333354676142E-3</v>
      </c>
      <c r="N192" s="7">
        <f t="shared" si="102"/>
        <v>7.0500000030733645</v>
      </c>
      <c r="O192" s="7"/>
      <c r="P192" s="7"/>
      <c r="Q192" s="22"/>
      <c r="R192" s="22"/>
      <c r="S192" s="31">
        <f t="shared" si="105"/>
        <v>1</v>
      </c>
      <c r="T192" s="46" t="str">
        <f t="shared" si="106"/>
        <v>Southbound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 t="shared" si="107"/>
        <v>https://d0f6bd738d7f1b3e5a7ca70fe4ff75f0.us-east-1.aws.found.io/app/kibana#/discover/Steve-Slow-Train-Analysis-(2080s-and-2083s)?_g=(refreshInterval:(display:Off,pause:!f,section:0,value:0),time:(from:'2017-02-11T02:46:25-0700',mode:absolute,to:'2017-02-11T04:57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2" s="188" t="str">
        <f t="shared" si="108"/>
        <v>Y</v>
      </c>
      <c r="X192" s="188">
        <f t="shared" si="114"/>
        <v>1</v>
      </c>
      <c r="Y192" s="62">
        <f t="shared" si="115"/>
        <v>1.9938</v>
      </c>
      <c r="Z192" s="62">
        <f t="shared" si="116"/>
        <v>1.47E-2</v>
      </c>
      <c r="AA192" s="62">
        <f t="shared" si="109"/>
        <v>1.9791000000000001</v>
      </c>
      <c r="AB192" s="59" t="e">
        <f>VLOOKUP(A192,Enforcements!$C$7:$K$14,8,0)</f>
        <v>#N/A</v>
      </c>
      <c r="AC192" s="55" t="e">
        <f>VLOOKUP(A192,Enforcements!$C$7:$E$14,3,0)</f>
        <v>#N/A</v>
      </c>
      <c r="AD192" s="56" t="str">
        <f t="shared" si="110"/>
        <v>0306-11</v>
      </c>
      <c r="AE192" s="85" t="str">
        <f t="shared" si="111"/>
        <v>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 &amp; aws s3 cp s3://rtdc.mdm.uploadarchive.raw/RTDC4015/ "%USERPROFILE%\AppData\Local\Temp\OnboardLogs"\RTDC4015\2017-02-12 --exclude "*" --recursive --include "*20170212*" &amp; "%USERPROFILE%\Documents\GitHub\mrs-test-scripts\Headless Mode &amp; Sideloading\WalkAndUnGZ.bat" "%USERPROFILE%\AppData\Local\Temp\OnboardLogs"\RTDC4015\2017-02-12</v>
      </c>
      <c r="AF192" s="82" t="str">
        <f t="shared" si="112"/>
        <v>"C:\Program Files (x86)\AstroGrep\AstroGrep.exe" /spath="%USERPROFILE%\AppData\Local\Temp\OnboardLogs" /stypes="app*4015*20170211*" /stext=" 10:.+((SYSTEM_STATE.+slice.+state.+changed )|(ment ac)|(multiple cpu faults)|(system.+state.+changed )|(\[timeout)|(PRM\|1\|D)|(kpr)|(kdp)|(\|lc)|(penalty))" /e /r /s</v>
      </c>
      <c r="AG192" s="1" t="str">
        <f t="shared" si="113"/>
        <v>Other</v>
      </c>
      <c r="AH192" s="86" t="str">
        <f t="shared" si="95"/>
        <v>"%USERPROFILE%\Documents\GitHub\eaglep3\Utilities\RefineRTDCRunTimes.py" --tripid 306-11 --locoid 4015 --swversion DE.1.0.8.0 --startMP 300:19938 --initTime 2017-02-11T03:46:25 --startdatetime 2017-02-11T03:49:58 --delay 3 --endMP 204:147 --enddatetime 2017-02-11T03:57:01 --enforcementcount 1 &gt;&gt;C:\Users\stu\Documents\GitHub\eaglep3-reporting\EC\2017-02-11-refined-times.txt</v>
      </c>
      <c r="AI192" s="108" t="str">
        <f t="shared" si="96"/>
        <v>echo {"issue":{"subject":"","project_id":79,"tracker_id":40,"status_id":1,"priority_id":2,"assigned_to_id":23,"start_date":"2017-02-11","description":"","custom_fields":[{"id":1,"name":"Subdivision","value":"Other"},{"id":4,"name":"Milepost","value":"0.0147"},{"id":17,"name":"Train ID","value":"306-11"},{"id":16,"name":"Locomotive ID","value":"4015"},{"id":130,"name":"Impact","value":""},{"id":150,"name":"Time of Event (Mountain Time)","value":"03:57:01"},{"id":151,"name":"Denver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97"/>
        <v>start /low /b %USERPROFILE%\Documents\GitHub\eaglep3\Utilities\DownloadLogsFromS3.py --loco 4015 --day 2017-02-11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"%USERPROFILE%\AppData\Local\Temp\OnboardLogs"\RTDC4015\*4015*20170211* | grep -SE "(Enforcement Action)|(\[TIMEOUT)|(CHR.+\|PRM\|1\|D.+(SWITCH|SIGNAL).+UNKNOWN)" - &gt;&gt; 2017-02-11-UncaughtWiMAX.txt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40" x14ac:dyDescent="0.25">
      <c r="A193" s="33" t="s">
        <v>700</v>
      </c>
      <c r="B193" s="7">
        <v>4031</v>
      </c>
      <c r="C193" s="21" t="s">
        <v>193</v>
      </c>
      <c r="D193" s="21" t="s">
        <v>324</v>
      </c>
      <c r="E193" s="13">
        <v>42777.81591435185</v>
      </c>
      <c r="F193" s="13">
        <v>42777.818553240744</v>
      </c>
      <c r="G193" s="7">
        <v>1</v>
      </c>
      <c r="H193" s="21" t="s">
        <v>862</v>
      </c>
      <c r="I193" s="13">
        <v>42777.825879629629</v>
      </c>
      <c r="J193" s="7">
        <v>1</v>
      </c>
      <c r="K193" s="98" t="str">
        <f t="shared" si="103"/>
        <v>4031/4032</v>
      </c>
      <c r="L193" s="21" t="str">
        <f>VLOOKUP(A193,'Trips&amp;Operators'!$C$1:$G$99999,5,FALSE)</f>
        <v>BRANNON JEFFREY</v>
      </c>
      <c r="M193" s="6">
        <f t="shared" si="104"/>
        <v>7.326388884393964E-3</v>
      </c>
      <c r="N193" s="7">
        <f t="shared" si="102"/>
        <v>10.549999993527308</v>
      </c>
      <c r="O193" s="7"/>
      <c r="P193" s="7"/>
      <c r="Q193" s="22"/>
      <c r="R193" s="22"/>
      <c r="S193" s="31">
        <f t="shared" si="105"/>
        <v>1</v>
      </c>
      <c r="T193" s="46" t="str">
        <f t="shared" si="106"/>
        <v>NorthBound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 t="shared" si="107"/>
        <v>https://d0f6bd738d7f1b3e5a7ca70fe4ff75f0.us-east-1.aws.found.io/app/kibana#/discover/Steve-Slow-Train-Analysis-(2080s-and-2083s)?_g=(refreshInterval:(display:Off,pause:!f,section:0,value:0),time:(from:'2017-02-11T18:34:55-0700',mode:absolute,to:'2017-02-11T20:49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188" t="str">
        <f t="shared" si="108"/>
        <v>Y</v>
      </c>
      <c r="X193" s="188">
        <f t="shared" si="114"/>
        <v>1</v>
      </c>
      <c r="Y193" s="62">
        <f t="shared" si="115"/>
        <v>4.6399999999999997E-2</v>
      </c>
      <c r="Z193" s="62">
        <f t="shared" si="116"/>
        <v>2.3298999999999999</v>
      </c>
      <c r="AA193" s="62">
        <f t="shared" si="109"/>
        <v>2.2835000000000001</v>
      </c>
      <c r="AB193" s="59" t="e">
        <f>VLOOKUP(A193,Enforcements!$C$7:$K$14,8,0)</f>
        <v>#N/A</v>
      </c>
      <c r="AC193" s="55" t="e">
        <f>VLOOKUP(A193,Enforcements!$C$7:$E$14,3,0)</f>
        <v>#N/A</v>
      </c>
      <c r="AD193" s="56" t="str">
        <f t="shared" si="110"/>
        <v>0307-11</v>
      </c>
      <c r="AE193" s="85" t="str">
        <f t="shared" si="111"/>
        <v>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 &amp; 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</v>
      </c>
      <c r="AF193" s="82" t="str">
        <f t="shared" si="112"/>
        <v>"C:\Program Files (x86)\AstroGrep\AstroGrep.exe" /spath="%USERPROFILE%\AppData\Local\Temp\OnboardLogs" /stypes="app*4031*20170212*" /stext=" 02:.+((SYSTEM_STATE.+slice.+state.+changed )|(ment ac)|(multiple cpu faults)|(system.+state.+changed )|(\[timeout)|(PRM\|1\|D)|(kpr)|(kdp)|(\|lc)|(penalty))" /e /r /s</v>
      </c>
      <c r="AG193" s="1" t="str">
        <f t="shared" si="113"/>
        <v>Other</v>
      </c>
      <c r="AH193" s="86" t="str">
        <f t="shared" si="95"/>
        <v>"%USERPROFILE%\Documents\GitHub\eaglep3\Utilities\RefineRTDCRunTimes.py" --tripid 307-11 --locoid 4031 --swversion DE.1.0.8.0 --startMP 204:464 --initTime 2017-02-11T19:34:55 --startdatetime 2017-02-11T19:38:43 --delay 1 --endMP 300:23299 --enddatetime 2017-02-11T19:49:16 --enforcementcount 1 &gt;&gt;C:\Users\stu\Documents\GitHub\eaglep3-reporting\EC\2017-02-11-refined-times.txt</v>
      </c>
      <c r="AI193" s="108" t="str">
        <f t="shared" si="96"/>
        <v>echo {"issue":{"subject":"","project_id":79,"tracker_id":40,"status_id":1,"priority_id":2,"assigned_to_id":23,"start_date":"2017-02-11","description":"","custom_fields":[{"id":1,"name":"Subdivision","value":"Other"},{"id":4,"name":"Milepost","value":"2.3299"},{"id":17,"name":"Train ID","value":"307-11"},{"id":16,"name":"Locomotive ID","value":"4031"},{"id":130,"name":"Impact","value":""},{"id":150,"name":"Time of Event (Mountain Time)","value":"19:49:16"},{"id":151,"name":"Denver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97"/>
        <v>start /low /b %USERPROFILE%\Documents\GitHub\eaglep3\Utilities\DownloadLogsFromS3.py --loco 4031 --day 2017-02-11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"%USERPROFILE%\AppData\Local\Temp\OnboardLogs"\RTDC4031\*4031*20170212* | grep -SE "(Enforcement Action)|(\[TIMEOUT)|(CHR.+\|PRM\|1\|D.+(SWITCH|SIGNAL).+UNKNOWN)" - &gt;&gt; 2017-02-11-UncaughtWiMAX.txt</v>
      </c>
    </row>
    <row r="194" spans="1:40" x14ac:dyDescent="0.25">
      <c r="A194" s="33" t="s">
        <v>545</v>
      </c>
      <c r="B194" s="7">
        <v>4039</v>
      </c>
      <c r="C194" s="21" t="s">
        <v>193</v>
      </c>
      <c r="D194" s="21" t="s">
        <v>863</v>
      </c>
      <c r="E194" s="13">
        <v>42777.1796875</v>
      </c>
      <c r="F194" s="13">
        <v>42777.180717592593</v>
      </c>
      <c r="G194" s="7">
        <v>1</v>
      </c>
      <c r="H194" s="21" t="s">
        <v>232</v>
      </c>
      <c r="I194" s="13">
        <v>42777.186574074076</v>
      </c>
      <c r="J194" s="7">
        <v>1</v>
      </c>
      <c r="K194" s="98" t="str">
        <f t="shared" si="103"/>
        <v>4039/4040</v>
      </c>
      <c r="L194" s="21" t="str">
        <f>VLOOKUP(A194,'Trips&amp;Operators'!$C$1:$G$99999,5,FALSE)</f>
        <v>DAVIS WENDY</v>
      </c>
      <c r="M194" s="6">
        <f t="shared" si="104"/>
        <v>5.8564814826240763E-3</v>
      </c>
      <c r="N194" s="7">
        <f t="shared" si="102"/>
        <v>8.4333333349786699</v>
      </c>
      <c r="O194" s="7"/>
      <c r="P194" s="7"/>
      <c r="Q194" s="22"/>
      <c r="R194" s="22"/>
      <c r="S194" s="31">
        <f t="shared" si="105"/>
        <v>1</v>
      </c>
      <c r="T194" s="46" t="str">
        <f t="shared" si="106"/>
        <v>Southbound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 t="shared" si="107"/>
        <v>https://d0f6bd738d7f1b3e5a7ca70fe4ff75f0.us-east-1.aws.found.io/app/kibana#/discover/Steve-Slow-Train-Analysis-(2080s-and-2083s)?_g=(refreshInterval:(display:Off,pause:!f,section:0,value:0),time:(from:'2017-02-11T03:18:45-0700',mode:absolute,to:'2017-02-11T05:28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4" s="188" t="str">
        <f t="shared" si="108"/>
        <v>Y</v>
      </c>
      <c r="X194" s="188">
        <f t="shared" si="114"/>
        <v>1</v>
      </c>
      <c r="Y194" s="62">
        <f t="shared" si="115"/>
        <v>2.3408000000000002</v>
      </c>
      <c r="Z194" s="62">
        <f t="shared" si="116"/>
        <v>1.43E-2</v>
      </c>
      <c r="AA194" s="62">
        <f t="shared" si="109"/>
        <v>2.3265000000000002</v>
      </c>
      <c r="AB194" s="59" t="e">
        <f>VLOOKUP(A194,Enforcements!$C$7:$K$14,8,0)</f>
        <v>#N/A</v>
      </c>
      <c r="AC194" s="55" t="e">
        <f>VLOOKUP(A194,Enforcements!$C$7:$E$14,3,0)</f>
        <v>#N/A</v>
      </c>
      <c r="AD194" s="56" t="str">
        <f t="shared" si="110"/>
        <v>0308-11</v>
      </c>
      <c r="AE194" s="85" t="str">
        <f t="shared" si="111"/>
        <v>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 &amp; aws s3 cp s3://rtdc.mdm.uploadarchive.raw/RTDC4039/ "%USERPROFILE%\AppData\Local\Temp\OnboardLogs"\RTDC4039\2017-02-12 --exclude "*" --recursive --include "*20170212*" &amp; "%USERPROFILE%\Documents\GitHub\mrs-test-scripts\Headless Mode &amp; Sideloading\WalkAndUnGZ.bat" "%USERPROFILE%\AppData\Local\Temp\OnboardLogs"\RTDC4039\2017-02-12</v>
      </c>
      <c r="AF194" s="82" t="str">
        <f t="shared" si="112"/>
        <v>"C:\Program Files (x86)\AstroGrep\AstroGrep.exe" /spath="%USERPROFILE%\AppData\Local\Temp\OnboardLogs" /stypes="app*4039*20170211*" /stext=" 11:.+((SYSTEM_STATE.+slice.+state.+changed )|(ment ac)|(multiple cpu faults)|(system.+state.+changed )|(\[timeout)|(PRM\|1\|D)|(kpr)|(kdp)|(\|lc)|(penalty))" /e /r /s</v>
      </c>
      <c r="AG194" s="1" t="str">
        <f t="shared" si="113"/>
        <v>Other</v>
      </c>
      <c r="AH194" s="86" t="str">
        <f t="shared" si="95"/>
        <v>"%USERPROFILE%\Documents\GitHub\eaglep3\Utilities\RefineRTDCRunTimes.py" --tripid 308-11 --locoid 4039 --swversion DE.1.0.8.0 --startMP 300:23408 --initTime 2017-02-11T04:18:45 --startdatetime 2017-02-11T04:20:14 --delay 1 --endMP 204:143 --enddatetime 2017-02-11T04:28:40 --enforcementcount 1 &gt;&gt;C:\Users\stu\Documents\GitHub\eaglep3-reporting\EC\2017-02-11-refined-times.txt</v>
      </c>
      <c r="AI194" s="108" t="str">
        <f t="shared" si="96"/>
        <v>echo {"issue":{"subject":"","project_id":79,"tracker_id":40,"status_id":1,"priority_id":2,"assigned_to_id":23,"start_date":"2017-02-11","description":"","custom_fields":[{"id":1,"name":"Subdivision","value":"Other"},{"id":4,"name":"Milepost","value":"0.0143"},{"id":17,"name":"Train ID","value":"308-11"},{"id":16,"name":"Locomotive ID","value":"4039"},{"id":130,"name":"Impact","value":""},{"id":150,"name":"Time of Event (Mountain Time)","value":"04:28:40"},{"id":151,"name":"Denver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97"/>
        <v>start /low /b %USERPROFILE%\Documents\GitHub\eaglep3\Utilities\DownloadLogsFromS3.py --loco 4039 --day 2017-02-11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"%USERPROFILE%\AppData\Local\Temp\OnboardLogs"\RTDC4039\*4039*20170211* | grep -SE "(Enforcement Action)|(\[TIMEOUT)|(CHR.+\|PRM\|1\|D.+(SWITCH|SIGNAL).+UNKNOWN)" - &gt;&gt; 2017-02-11-UncaughtWiMAX.txt</v>
      </c>
    </row>
    <row r="195" spans="1:40" x14ac:dyDescent="0.25">
      <c r="A195" s="33" t="s">
        <v>548</v>
      </c>
      <c r="B195" s="7">
        <v>4032</v>
      </c>
      <c r="C195" s="21" t="s">
        <v>193</v>
      </c>
      <c r="D195" s="21" t="s">
        <v>864</v>
      </c>
      <c r="E195" s="13">
        <v>42777.182141203702</v>
      </c>
      <c r="F195" s="13">
        <v>42777.185555555552</v>
      </c>
      <c r="G195" s="7">
        <v>4</v>
      </c>
      <c r="H195" s="21" t="s">
        <v>495</v>
      </c>
      <c r="I195" s="13">
        <v>42777.194837962961</v>
      </c>
      <c r="J195" s="7">
        <v>1</v>
      </c>
      <c r="K195" s="98" t="str">
        <f t="shared" si="103"/>
        <v>4031/4032</v>
      </c>
      <c r="L195" s="21" t="str">
        <f>VLOOKUP(A195,'Trips&amp;Operators'!$C$1:$G$99999,5,FALSE)</f>
        <v>OUN ZACK</v>
      </c>
      <c r="M195" s="6">
        <f t="shared" si="104"/>
        <v>9.2824074090458453E-3</v>
      </c>
      <c r="N195" s="7">
        <f t="shared" si="102"/>
        <v>13.366666669026017</v>
      </c>
      <c r="O195" s="7"/>
      <c r="P195" s="7"/>
      <c r="Q195" s="22"/>
      <c r="R195" s="22"/>
      <c r="S195" s="31">
        <f t="shared" si="105"/>
        <v>1</v>
      </c>
      <c r="T195" s="46" t="str">
        <f t="shared" si="106"/>
        <v>Southbound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 t="shared" si="107"/>
        <v>https://d0f6bd738d7f1b3e5a7ca70fe4ff75f0.us-east-1.aws.found.io/app/kibana#/discover/Steve-Slow-Train-Analysis-(2080s-and-2083s)?_g=(refreshInterval:(display:Off,pause:!f,section:0,value:0),time:(from:'2017-02-11T03:22:17-0700',mode:absolute,to:'2017-02-11T05:40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188" t="str">
        <f t="shared" si="108"/>
        <v>Y</v>
      </c>
      <c r="X195" s="188">
        <f t="shared" si="114"/>
        <v>2</v>
      </c>
      <c r="Y195" s="62">
        <f t="shared" si="115"/>
        <v>2.3182</v>
      </c>
      <c r="Z195" s="62">
        <f t="shared" si="116"/>
        <v>1.47E-2</v>
      </c>
      <c r="AA195" s="62">
        <f t="shared" si="109"/>
        <v>2.3035000000000001</v>
      </c>
      <c r="AB195" s="59" t="e">
        <f>VLOOKUP(A195,Enforcements!$C$7:$K$14,8,0)</f>
        <v>#N/A</v>
      </c>
      <c r="AC195" s="55" t="e">
        <f>VLOOKUP(A195,Enforcements!$C$7:$E$14,3,0)</f>
        <v>#N/A</v>
      </c>
      <c r="AD195" s="56" t="str">
        <f t="shared" si="110"/>
        <v>0310-11</v>
      </c>
      <c r="AE195" s="85" t="str">
        <f t="shared" si="111"/>
        <v>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 &amp; 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</v>
      </c>
      <c r="AF195" s="82" t="str">
        <f t="shared" si="112"/>
        <v>"C:\Program Files (x86)\AstroGrep\AstroGrep.exe" /spath="%USERPROFILE%\AppData\Local\Temp\OnboardLogs" /stypes="app*4032*20170211*" /stext=" 11:.+((SYSTEM_STATE.+slice.+state.+changed )|(ment ac)|(multiple cpu faults)|(system.+state.+changed )|(\[timeout)|(PRM\|1\|D)|(kpr)|(kdp)|(\|lc)|(penalty))" /e /r /s</v>
      </c>
      <c r="AG195" s="1" t="str">
        <f t="shared" si="113"/>
        <v>Other</v>
      </c>
      <c r="AH195" s="86" t="str">
        <f t="shared" si="95"/>
        <v>"%USERPROFILE%\Documents\GitHub\eaglep3\Utilities\RefineRTDCRunTimes.py" --tripid 310-11 --locoid 4032 --swversion DE.1.0.8.0 --startMP 300:23182 --initTime 2017-02-11T04:22:17 --startdatetime 2017-02-11T04:27:12 --delay 4 --endMP 204:147 --enddatetime 2017-02-11T04:40:34 --enforcementcount 1 &gt;&gt;C:\Users\stu\Documents\GitHub\eaglep3-reporting\EC\2017-02-11-refined-times.txt</v>
      </c>
      <c r="AI195" s="108" t="str">
        <f t="shared" si="96"/>
        <v>echo {"issue":{"subject":"","project_id":79,"tracker_id":40,"status_id":1,"priority_id":2,"assigned_to_id":23,"start_date":"2017-02-11","description":"","custom_fields":[{"id":1,"name":"Subdivision","value":"Other"},{"id":4,"name":"Milepost","value":"0.0147"},{"id":17,"name":"Train ID","value":"310-11"},{"id":16,"name":"Locomotive ID","value":"4032"},{"id":130,"name":"Impact","value":""},{"id":150,"name":"Time of Event (Mountain Time)","value":"04:40:34"},{"id":151,"name":"Denver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97"/>
        <v>start /low /b %USERPROFILE%\Documents\GitHub\eaglep3\Utilities\DownloadLogsFromS3.py --loco 4032 --day 2017-02-11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2017-02-11-UncaughtWiMAX.txt</v>
      </c>
    </row>
    <row r="196" spans="1:40" x14ac:dyDescent="0.25">
      <c r="A196" s="33" t="s">
        <v>722</v>
      </c>
      <c r="B196" s="7">
        <v>4011</v>
      </c>
      <c r="C196" s="21" t="s">
        <v>193</v>
      </c>
      <c r="D196" s="21" t="s">
        <v>865</v>
      </c>
      <c r="E196" s="13">
        <v>42778.006238425929</v>
      </c>
      <c r="F196" s="13">
        <v>42778.007881944446</v>
      </c>
      <c r="G196" s="7">
        <v>1</v>
      </c>
      <c r="H196" s="21" t="s">
        <v>866</v>
      </c>
      <c r="I196" s="13">
        <v>42778.013969907406</v>
      </c>
      <c r="J196" s="7">
        <v>1</v>
      </c>
      <c r="K196" s="98" t="str">
        <f t="shared" si="103"/>
        <v>4011/4012</v>
      </c>
      <c r="L196" s="21" t="str">
        <f>VLOOKUP(A196,'Trips&amp;Operators'!$C$1:$G$99999,5,FALSE)</f>
        <v>HILLS DUSTIN</v>
      </c>
      <c r="M196" s="6">
        <f t="shared" si="104"/>
        <v>6.0879629600094631E-3</v>
      </c>
      <c r="N196" s="7">
        <f t="shared" si="102"/>
        <v>8.7666666624136269</v>
      </c>
      <c r="O196" s="7"/>
      <c r="P196" s="7"/>
      <c r="Q196" s="22"/>
      <c r="R196" s="22"/>
      <c r="S196" s="31">
        <f t="shared" si="105"/>
        <v>1</v>
      </c>
      <c r="T196" s="46" t="str">
        <f t="shared" si="106"/>
        <v>NorthBound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 t="shared" si="107"/>
        <v>https://d0f6bd738d7f1b3e5a7ca70fe4ff75f0.us-east-1.aws.found.io/app/kibana#/discover/Steve-Slow-Train-Analysis-(2080s-and-2083s)?_g=(refreshInterval:(display:Off,pause:!f,section:0,value:0),time:(from:'2017-02-11T23:08:59-0700',mode:absolute,to:'2017-02-12T01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6" s="188" t="str">
        <f t="shared" si="108"/>
        <v>Y</v>
      </c>
      <c r="X196" s="188">
        <f t="shared" si="114"/>
        <v>3</v>
      </c>
      <c r="Y196" s="62">
        <f t="shared" si="115"/>
        <v>4.3499999999999997E-2</v>
      </c>
      <c r="Z196" s="62">
        <f t="shared" si="116"/>
        <v>2.2930000000000001</v>
      </c>
      <c r="AA196" s="62">
        <f t="shared" si="109"/>
        <v>2.2495000000000003</v>
      </c>
      <c r="AB196" s="59" t="e">
        <f>VLOOKUP(A196,Enforcements!$C$7:$K$14,8,0)</f>
        <v>#N/A</v>
      </c>
      <c r="AC196" s="55" t="e">
        <f>VLOOKUP(A196,Enforcements!$C$7:$E$14,3,0)</f>
        <v>#N/A</v>
      </c>
      <c r="AD196" s="56" t="str">
        <f t="shared" si="110"/>
        <v>0313-11</v>
      </c>
      <c r="AE196" s="85" t="str">
        <f t="shared" si="111"/>
        <v>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 &amp; 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</v>
      </c>
      <c r="AF196" s="82" t="str">
        <f t="shared" si="112"/>
        <v>"C:\Program Files (x86)\AstroGrep\AstroGrep.exe" /spath="%USERPROFILE%\AppData\Local\Temp\OnboardLogs" /stypes="app*4011*20170212*" /stext=" 07:.+((SYSTEM_STATE.+slice.+state.+changed )|(ment ac)|(multiple cpu faults)|(system.+state.+changed )|(\[timeout)|(PRM\|1\|D)|(kpr)|(kdp)|(\|lc)|(penalty))" /e /r /s</v>
      </c>
      <c r="AG196" s="1" t="str">
        <f t="shared" si="113"/>
        <v>Other</v>
      </c>
      <c r="AH196" s="86" t="str">
        <f t="shared" si="95"/>
        <v>"%USERPROFILE%\Documents\GitHub\eaglep3\Utilities\RefineRTDCRunTimes.py" --tripid 313-11 --locoid 4011 --swversion DE.1.0.8.0 --startMP 204:435 --initTime 2017-02-12T00:08:59 --startdatetime 2017-02-12T00:11:21 --delay 1 --endMP 300:22930 --enddatetime 2017-02-12T00:20:07 --enforcementcount 1 &gt;&gt;C:\Users\stu\Documents\GitHub\eaglep3-reporting\EC\2017-02-11-refined-times.txt</v>
      </c>
      <c r="AI196" s="108" t="str">
        <f t="shared" si="96"/>
        <v>echo {"issue":{"subject":"","project_id":79,"tracker_id":40,"status_id":1,"priority_id":2,"assigned_to_id":23,"start_date":"2017-02-12","description":"","custom_fields":[{"id":1,"name":"Subdivision","value":"Other"},{"id":4,"name":"Milepost","value":"2.293"},{"id":17,"name":"Train ID","value":"313-11"},{"id":16,"name":"Locomotive ID","value":"4011"},{"id":130,"name":"Impact","value":""},{"id":150,"name":"Time of Event (Mountain Time)","value":"00:20:07"},{"id":151,"name":"Denver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97"/>
        <v>start /low /b %USERPROFILE%\Documents\GitHub\eaglep3\Utilities\DownloadLogsFromS3.py --loco 4011 --day 2017-02-12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"%USERPROFILE%\AppData\Local\Temp\OnboardLogs"\RTDC4011\*4011*20170212* | grep -SE "(Enforcement Action)|(\[TIMEOUT)|(CHR.+\|PRM\|1\|D.+(SWITCH|SIGNAL).+UNKNOWN)" - &gt;&gt; 2017-02-11-UncaughtWiMAX.txt</v>
      </c>
    </row>
    <row r="197" spans="1:40" x14ac:dyDescent="0.25">
      <c r="A197" s="33" t="s">
        <v>723</v>
      </c>
      <c r="B197" s="7">
        <v>4020</v>
      </c>
      <c r="C197" s="21" t="s">
        <v>193</v>
      </c>
      <c r="D197" s="21" t="s">
        <v>312</v>
      </c>
      <c r="E197" s="13">
        <v>42778.025706018518</v>
      </c>
      <c r="F197" s="13">
        <v>42778.031539351854</v>
      </c>
      <c r="G197" s="7">
        <v>1</v>
      </c>
      <c r="H197" s="21" t="s">
        <v>498</v>
      </c>
      <c r="I197" s="13">
        <v>42778.039236111108</v>
      </c>
      <c r="J197" s="7">
        <v>1</v>
      </c>
      <c r="K197" s="98" t="str">
        <f t="shared" si="103"/>
        <v>4019/4020</v>
      </c>
      <c r="L197" s="21" t="str">
        <f>VLOOKUP(A197,'Trips&amp;Operators'!$C$1:$G$99999,5,FALSE)</f>
        <v>BROWN JACOB</v>
      </c>
      <c r="M197" s="6">
        <f t="shared" si="104"/>
        <v>7.696759254031349E-3</v>
      </c>
      <c r="N197" s="7">
        <f t="shared" si="102"/>
        <v>11.083333325805143</v>
      </c>
      <c r="O197" s="7"/>
      <c r="P197" s="7"/>
      <c r="Q197" s="22"/>
      <c r="R197" s="22"/>
      <c r="S197" s="31">
        <f t="shared" si="105"/>
        <v>1</v>
      </c>
      <c r="T197" s="46" t="str">
        <f t="shared" si="106"/>
        <v>NorthBound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 t="shared" si="107"/>
        <v>https://d0f6bd738d7f1b3e5a7ca70fe4ff75f0.us-east-1.aws.found.io/app/kibana#/discover/Steve-Slow-Train-Analysis-(2080s-and-2083s)?_g=(refreshInterval:(display:Off,pause:!f,section:0,value:0),time:(from:'2017-02-11T23:37:01-0700',mode:absolute,to:'2017-02-12T01:56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7" s="188" t="str">
        <f t="shared" si="108"/>
        <v>Y</v>
      </c>
      <c r="X197" s="188">
        <f t="shared" si="114"/>
        <v>2</v>
      </c>
      <c r="Y197" s="62">
        <f t="shared" si="115"/>
        <v>4.4200000000000003E-2</v>
      </c>
      <c r="Z197" s="62">
        <f t="shared" si="116"/>
        <v>2.3346</v>
      </c>
      <c r="AA197" s="62">
        <f t="shared" si="109"/>
        <v>2.2904</v>
      </c>
      <c r="AB197" s="59" t="e">
        <f>VLOOKUP(A197,Enforcements!$C$7:$K$14,8,0)</f>
        <v>#N/A</v>
      </c>
      <c r="AC197" s="55" t="e">
        <f>VLOOKUP(A197,Enforcements!$C$7:$E$14,3,0)</f>
        <v>#N/A</v>
      </c>
      <c r="AD197" s="56" t="str">
        <f t="shared" si="110"/>
        <v>0315-11</v>
      </c>
      <c r="AE197" s="85" t="str">
        <f t="shared" si="111"/>
        <v>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 &amp; aws s3 cp s3://rtdc.mdm.uploadarchive.raw/RTDC4020/ "%USERPROFILE%\AppData\Local\Temp\OnboardLogs"\RTDC4020\2017-02-13 --exclude "*" --recursive --include "*20170213*" &amp; "%USERPROFILE%\Documents\GitHub\mrs-test-scripts\Headless Mode &amp; Sideloading\WalkAndUnGZ.bat" "%USERPROFILE%\AppData\Local\Temp\OnboardLogs"\RTDC4020\2017-02-13</v>
      </c>
      <c r="AF197" s="82" t="str">
        <f t="shared" si="112"/>
        <v>"C:\Program Files (x86)\AstroGrep\AstroGrep.exe" /spath="%USERPROFILE%\AppData\Local\Temp\OnboardLogs" /stypes="app*4020*20170212*" /stext=" 07:.+((SYSTEM_STATE.+slice.+state.+changed )|(ment ac)|(multiple cpu faults)|(system.+state.+changed )|(\[timeout)|(PRM\|1\|D)|(kpr)|(kdp)|(\|lc)|(penalty))" /e /r /s</v>
      </c>
      <c r="AG197" s="1" t="str">
        <f t="shared" si="113"/>
        <v>Other</v>
      </c>
      <c r="AH197" s="86" t="str">
        <f t="shared" si="95"/>
        <v>"%USERPROFILE%\Documents\GitHub\eaglep3\Utilities\RefineRTDCRunTimes.py" --tripid 315-11 --locoid 4020 --swversion DE.1.0.8.0 --startMP 204:442 --initTime 2017-02-12T00:37:01 --startdatetime 2017-02-12T00:45:25 --delay 1 --endMP 300:23346 --enddatetime 2017-02-12T00:56:30 --enforcementcount 1 &gt;&gt;C:\Users\stu\Documents\GitHub\eaglep3-reporting\EC\2017-02-11-refined-times.txt</v>
      </c>
      <c r="AI197" s="108" t="str">
        <f t="shared" si="96"/>
        <v>echo {"issue":{"subject":"","project_id":79,"tracker_id":40,"status_id":1,"priority_id":2,"assigned_to_id":23,"start_date":"2017-02-12","description":"","custom_fields":[{"id":1,"name":"Subdivision","value":"Other"},{"id":4,"name":"Milepost","value":"2.3346"},{"id":17,"name":"Train ID","value":"315-11"},{"id":16,"name":"Locomotive ID","value":"4020"},{"id":130,"name":"Impact","value":""},{"id":150,"name":"Time of Event (Mountain Time)","value":"00:56:30"},{"id":151,"name":"Denver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97"/>
        <v>start /low /b %USERPROFILE%\Documents\GitHub\eaglep3\Utilities\DownloadLogsFromS3.py --loco 4020 --day 2017-02-12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"%USERPROFILE%\AppData\Local\Temp\OnboardLogs"\RTDC4020\*4020*20170212* | grep -SE "(Enforcement Action)|(\[TIMEOUT)|(CHR.+\|PRM\|1\|D.+(SWITCH|SIGNAL).+UNKNOWN)" - &gt;&gt; 2017-02-11-UncaughtWiMAX.txt</v>
      </c>
    </row>
    <row r="198" spans="1:40" x14ac:dyDescent="0.25">
      <c r="A198" s="33" t="s">
        <v>557</v>
      </c>
      <c r="B198" s="7">
        <v>4009</v>
      </c>
      <c r="C198" s="21" t="s">
        <v>193</v>
      </c>
      <c r="D198" s="21" t="s">
        <v>825</v>
      </c>
      <c r="E198" s="13">
        <v>42777.224062499998</v>
      </c>
      <c r="F198" s="13">
        <v>42777.225416666668</v>
      </c>
      <c r="G198" s="7">
        <v>1</v>
      </c>
      <c r="H198" s="21" t="s">
        <v>507</v>
      </c>
      <c r="I198" s="13">
        <v>42777.231168981481</v>
      </c>
      <c r="J198" s="7">
        <v>1</v>
      </c>
      <c r="K198" s="98" t="str">
        <f t="shared" si="103"/>
        <v>4009/4010</v>
      </c>
      <c r="L198" s="21" t="str">
        <f>VLOOKUP(A198,'Trips&amp;Operators'!$C$1:$G$99999,5,FALSE)</f>
        <v>SHOOK JOHN</v>
      </c>
      <c r="M198" s="6">
        <f t="shared" si="104"/>
        <v>5.7523148134350777E-3</v>
      </c>
      <c r="N198" s="7">
        <f t="shared" si="102"/>
        <v>8.2833333313465118</v>
      </c>
      <c r="O198" s="7"/>
      <c r="P198" s="7"/>
      <c r="Q198" s="22"/>
      <c r="R198" s="22"/>
      <c r="S198" s="31">
        <f t="shared" si="105"/>
        <v>0</v>
      </c>
      <c r="T198" s="46" t="str">
        <f t="shared" si="106"/>
        <v>NorthBound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87" t="str">
        <f t="shared" si="107"/>
        <v>https://d0f6bd738d7f1b3e5a7ca70fe4ff75f0.us-east-1.aws.found.io/app/kibana#/discover/Steve-Slow-Train-Analysis-(2080s-and-2083s)?_g=(refreshInterval:(display:Off,pause:!f,section:0,value:0),time:(from:'2017-02-11T04:22:39-0700',mode:absolute,to:'2017-02-11T06:32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8" s="188" t="str">
        <f t="shared" si="108"/>
        <v>Y</v>
      </c>
      <c r="X198" s="188">
        <f t="shared" si="114"/>
        <v>1586</v>
      </c>
      <c r="Y198" s="62">
        <f t="shared" si="115"/>
        <v>3.0123000000000002</v>
      </c>
      <c r="Z198" s="62">
        <f t="shared" si="116"/>
        <v>5.8992000000000004</v>
      </c>
      <c r="AA198" s="62">
        <f t="shared" si="109"/>
        <v>2.8869000000000002</v>
      </c>
      <c r="AB198" s="59" t="e">
        <f>VLOOKUP(A198,Enforcements!$C$7:$K$14,8,0)</f>
        <v>#N/A</v>
      </c>
      <c r="AC198" s="55" t="e">
        <f>VLOOKUP(A198,Enforcements!$C$7:$E$14,3,0)</f>
        <v>#N/A</v>
      </c>
      <c r="AD198" s="56" t="str">
        <f t="shared" si="110"/>
        <v>1901-11</v>
      </c>
      <c r="AE198" s="85" t="str">
        <f t="shared" si="111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198" s="82" t="str">
        <f t="shared" si="112"/>
        <v>"C:\Program Files (x86)\AstroGrep\AstroGrep.exe" /spath="%USERPROFILE%\AppData\Local\Temp\OnboardLogs" /stypes="app*4009*20170211*" /stext=" 12:.+((SYSTEM_STATE.+slice.+state.+changed )|(ment ac)|(multiple cpu faults)|(system.+state.+changed )|(\[timeout)|(PRM\|1\|D)|(kpr)|(kdp)|(\|lc)|(penalty))" /e /r /s</v>
      </c>
      <c r="AG198" s="1" t="str">
        <f t="shared" si="113"/>
        <v>Other</v>
      </c>
      <c r="AH198" s="86" t="str">
        <f t="shared" si="95"/>
        <v>"%USERPROFILE%\Documents\GitHub\eaglep3\Utilities\RefineRTDCRunTimes.py" --tripid 1901-11 --locoid 4009 --swversion DE.1.0.8.0 --startMP 300:30123 --initTime 2017-02-11T05:22:39 --startdatetime 2017-02-11T05:24:36 --delay 1 --endMP 300:58992 --enddatetime 2017-02-11T05:32:53 --enforcementcount 1 &gt;&gt;C:\Users\stu\Documents\GitHub\eaglep3-reporting\EC\2017-02-11-refined-times.txt</v>
      </c>
      <c r="AI198" s="108" t="str">
        <f t="shared" si="96"/>
        <v>echo {"issue":{"subject":"","project_id":79,"tracker_id":40,"status_id":1,"priority_id":2,"assigned_to_id":23,"start_date":"2017-02-11","description":"","custom_fields":[{"id":1,"name":"Subdivision","value":"Other"},{"id":4,"name":"Milepost","value":"5.8992"},{"id":17,"name":"Train ID","value":"1901-11"},{"id":16,"name":"Locomotive ID","value":"4009"},{"id":130,"name":"Impact","value":""},{"id":150,"name":"Time of Event (Mountain Time)","value":"05:32:53"},{"id":151,"name":"Denver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97"/>
        <v>start /low /b %USERPROFILE%\Documents\GitHub\eaglep3\Utilities\DownloadLogsFromS3.py --loco 4009 --day 2017-02-11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2017-02-11-UncaughtWiMAX.txt</v>
      </c>
    </row>
    <row r="199" spans="1:40" x14ac:dyDescent="0.25">
      <c r="A199" s="33" t="s">
        <v>717</v>
      </c>
      <c r="B199" s="7">
        <v>4010</v>
      </c>
      <c r="C199" s="21" t="s">
        <v>193</v>
      </c>
      <c r="D199" s="21" t="s">
        <v>818</v>
      </c>
      <c r="E199" s="13">
        <v>42777.941331018519</v>
      </c>
      <c r="F199" s="13">
        <v>42777.942465277774</v>
      </c>
      <c r="G199" s="7">
        <v>1</v>
      </c>
      <c r="H199" s="21" t="s">
        <v>826</v>
      </c>
      <c r="I199" s="13">
        <v>42777.946817129632</v>
      </c>
      <c r="J199" s="7">
        <v>1</v>
      </c>
      <c r="K199" s="98" t="str">
        <f t="shared" si="103"/>
        <v>4009/4010</v>
      </c>
      <c r="L199" s="21" t="str">
        <f>VLOOKUP(A199,'Trips&amp;Operators'!$C$1:$G$99999,5,FALSE)</f>
        <v>HELVIE ADAM</v>
      </c>
      <c r="M199" s="6">
        <f t="shared" si="104"/>
        <v>4.3518518577911891E-3</v>
      </c>
      <c r="N199" s="7">
        <f t="shared" si="102"/>
        <v>6.2666666752193123</v>
      </c>
      <c r="O199" s="7"/>
      <c r="P199" s="7"/>
      <c r="Q199" s="22"/>
      <c r="R199" s="22"/>
      <c r="S199" s="31">
        <f t="shared" si="105"/>
        <v>0</v>
      </c>
      <c r="T199" s="46" t="str">
        <f t="shared" si="106"/>
        <v>Southbound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87" t="str">
        <f t="shared" si="107"/>
        <v>https://d0f6bd738d7f1b3e5a7ca70fe4ff75f0.us-east-1.aws.found.io/app/kibana#/discover/Steve-Slow-Train-Analysis-(2080s-and-2083s)?_g=(refreshInterval:(display:Off,pause:!f,section:0,value:0),time:(from:'2017-02-11T21:35:31-0700',mode:absolute,to:'2017-02-11T23:43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9" s="188" t="str">
        <f t="shared" si="108"/>
        <v>Y</v>
      </c>
      <c r="X199" s="188">
        <f t="shared" si="114"/>
        <v>1</v>
      </c>
      <c r="Y199" s="62">
        <f t="shared" si="115"/>
        <v>5.8624000000000001</v>
      </c>
      <c r="Z199" s="62">
        <f t="shared" si="116"/>
        <v>2.1747999999999998</v>
      </c>
      <c r="AA199" s="62">
        <f t="shared" si="109"/>
        <v>3.6876000000000002</v>
      </c>
      <c r="AB199" s="59" t="e">
        <f>VLOOKUP(A199,Enforcements!$C$7:$K$14,8,0)</f>
        <v>#N/A</v>
      </c>
      <c r="AC199" s="55" t="e">
        <f>VLOOKUP(A199,Enforcements!$C$7:$E$14,3,0)</f>
        <v>#N/A</v>
      </c>
      <c r="AD199" s="56" t="str">
        <f t="shared" si="110"/>
        <v>1902-11</v>
      </c>
      <c r="AE199" s="85" t="str">
        <f t="shared" si="111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99" s="82" t="str">
        <f t="shared" si="112"/>
        <v>"C:\Program Files (x86)\AstroGrep\AstroGrep.exe" /spath="%USERPROFILE%\AppData\Local\Temp\OnboardLogs" /stypes="app*4010*20170212*" /stext=" 05:.+((SYSTEM_STATE.+slice.+state.+changed )|(ment ac)|(multiple cpu faults)|(system.+state.+changed )|(\[timeout)|(PRM\|1\|D)|(kpr)|(kdp)|(\|lc)|(penalty))" /e /r /s</v>
      </c>
      <c r="AG199" s="1" t="str">
        <f t="shared" si="113"/>
        <v>Other</v>
      </c>
      <c r="AH199" s="86" t="str">
        <f t="shared" si="95"/>
        <v>"%USERPROFILE%\Documents\GitHub\eaglep3\Utilities\RefineRTDCRunTimes.py" --tripid 1902-11 --locoid 4010 --swversion DE.1.0.8.0 --startMP 300:58624 --initTime 2017-02-11T22:35:31 --startdatetime 2017-02-11T22:37:09 --delay 1 --endMP 300:21748 --enddatetime 2017-02-11T22:43:25 --enforcementcount 1 &gt;&gt;C:\Users\stu\Documents\GitHub\eaglep3-reporting\EC\2017-02-11-refined-times.txt</v>
      </c>
      <c r="AI199" s="108" t="str">
        <f t="shared" si="96"/>
        <v>echo {"issue":{"subject":"","project_id":79,"tracker_id":40,"status_id":1,"priority_id":2,"assigned_to_id":23,"start_date":"2017-02-11","description":"","custom_fields":[{"id":1,"name":"Subdivision","value":"Other"},{"id":4,"name":"Milepost","value":"2.1748"},{"id":17,"name":"Train ID","value":"1902-11"},{"id":16,"name":"Locomotive ID","value":"4010"},{"id":130,"name":"Impact","value":""},{"id":150,"name":"Time of Event (Mountain Time)","value":"22:43:25"},{"id":151,"name":"Denver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97"/>
        <v>start /low /b %USERPROFILE%\Documents\GitHub\eaglep3\Utilities\DownloadLogsFromS3.py --loco 4010 --day 2017-02-11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"%USERPROFILE%\AppData\Local\Temp\OnboardLogs"\RTDC4010\*4010*20170212* | grep -SE "(Enforcement Action)|(\[TIMEOUT)|(CHR.+\|PRM\|1\|D.+(SWITCH|SIGNAL).+UNKNOWN)" - &gt;&gt; 2017-02-11-UncaughtWiMAX.txt</v>
      </c>
    </row>
    <row r="200" spans="1:40" x14ac:dyDescent="0.25">
      <c r="A200" s="33" t="s">
        <v>609</v>
      </c>
      <c r="B200" s="7">
        <v>4031</v>
      </c>
      <c r="C200" s="21" t="s">
        <v>193</v>
      </c>
      <c r="D200" s="21" t="s">
        <v>867</v>
      </c>
      <c r="E200" s="13">
        <v>42777.426493055558</v>
      </c>
      <c r="F200" s="13">
        <v>42777.441655092596</v>
      </c>
      <c r="G200" s="7">
        <v>1</v>
      </c>
      <c r="H200" s="21" t="s">
        <v>868</v>
      </c>
      <c r="I200" s="13">
        <v>42777.447650462964</v>
      </c>
      <c r="J200" s="7">
        <v>1</v>
      </c>
      <c r="K200" s="98" t="str">
        <f t="shared" si="103"/>
        <v>4031/4032</v>
      </c>
      <c r="L200" s="21" t="str">
        <f>VLOOKUP(A200,'Trips&amp;Operators'!$C$1:$G$99999,5,FALSE)</f>
        <v>ARVIDSON DANIEL</v>
      </c>
      <c r="M200" s="6">
        <f t="shared" si="104"/>
        <v>5.9953703676001169E-3</v>
      </c>
      <c r="N200" s="7">
        <f t="shared" si="102"/>
        <v>8.6333333293441683</v>
      </c>
      <c r="O200" s="7"/>
      <c r="P200" s="7"/>
      <c r="Q200" s="22"/>
      <c r="R200" s="22"/>
      <c r="S200" s="31">
        <f t="shared" si="105"/>
        <v>0</v>
      </c>
      <c r="T200" s="46" t="e">
        <f t="shared" si="106"/>
        <v>#VALUE!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87" t="str">
        <f t="shared" si="107"/>
        <v>https://d0f6bd738d7f1b3e5a7ca70fe4ff75f0.us-east-1.aws.found.io/app/kibana#/discover/Steve-Slow-Train-Analysis-(2080s-and-2083s)?_g=(refreshInterval:(display:Off,pause:!f,section:0,value:0),time:(from:'2017-02-11T09:14:09-0700',mode:absolute,to:'2017-02-11T11:44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0" s="188" t="str">
        <f t="shared" si="108"/>
        <v>Y</v>
      </c>
      <c r="X200" s="188" t="e">
        <f t="shared" si="114"/>
        <v>#VALUE!</v>
      </c>
      <c r="Y200" s="62">
        <f t="shared" si="115"/>
        <v>0.14829999999999999</v>
      </c>
      <c r="Z200" s="62">
        <f t="shared" si="116"/>
        <v>2.5548000000000002</v>
      </c>
      <c r="AA200" s="62">
        <f t="shared" si="109"/>
        <v>2.4065000000000003</v>
      </c>
      <c r="AB200" s="59" t="e">
        <f>VLOOKUP(A200,Enforcements!$C$7:$K$14,8,0)</f>
        <v>#N/A</v>
      </c>
      <c r="AC200" s="55" t="e">
        <f>VLOOKUP(A200,Enforcements!$C$7:$E$14,3,0)</f>
        <v>#N/A</v>
      </c>
      <c r="AD200" s="56" t="str">
        <f t="shared" si="110"/>
        <v>51-11</v>
      </c>
      <c r="AE200" s="85" t="str">
        <f t="shared" si="111"/>
        <v>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 &amp; 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</v>
      </c>
      <c r="AF200" s="82" t="str">
        <f t="shared" si="112"/>
        <v>"C:\Program Files (x86)\AstroGrep\AstroGrep.exe" /spath="%USERPROFILE%\AppData\Local\Temp\OnboardLogs" /stypes="app*4031*20170211*" /stext=" 17:.+((SYSTEM_STATE.+slice.+state.+changed )|(ment ac)|(multiple cpu faults)|(system.+state.+changed )|(\[timeout)|(PRM\|1\|D)|(kpr)|(kdp)|(\|lc)|(penalty))" /e /r /s</v>
      </c>
      <c r="AG200" s="1" t="str">
        <f t="shared" si="113"/>
        <v>Other</v>
      </c>
      <c r="AH200" s="86" t="str">
        <f t="shared" si="95"/>
        <v>"%USERPROFILE%\Documents\GitHub\eaglep3\Utilities\RefineRTDCRunTimes.py" --tripid 51-11 --locoid 4031 --swversion DE.1.0.8.0 --startMP 204:1483 --initTime 2017-02-11T10:14:09 --startdatetime 2017-02-11T10:35:59 --delay 1 --endMP 300:25548 --enddatetime 2017-02-11T10:44:37 --enforcementcount 1 &gt;&gt;C:\Users\stu\Documents\GitHub\eaglep3-reporting\EC\2017-02-11-refined-times.txt</v>
      </c>
      <c r="AI200" s="108" t="str">
        <f t="shared" si="96"/>
        <v>echo {"issue":{"subject":"","project_id":79,"tracker_id":40,"status_id":1,"priority_id":2,"assigned_to_id":23,"start_date":"2017-02-11","description":"","custom_fields":[{"id":1,"name":"Subdivision","value":"Other"},{"id":4,"name":"Milepost","value":"2.5548"},{"id":17,"name":"Train ID","value":"51-11"},{"id":16,"name":"Locomotive ID","value":"4031"},{"id":130,"name":"Impact","value":""},{"id":150,"name":"Time of Event (Mountain Time)","value":"10:44:37"},{"id":151,"name":"Denver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97"/>
        <v>start /low /b %USERPROFILE%\Documents\GitHub\eaglep3\Utilities\DownloadLogsFromS3.py --loco 4031 --day 2017-02-11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2017-02-11-UncaughtWiMAX.txt</v>
      </c>
    </row>
    <row r="201" spans="1:40" x14ac:dyDescent="0.25">
      <c r="A201" s="33" t="s">
        <v>609</v>
      </c>
      <c r="B201" s="7">
        <v>4032</v>
      </c>
      <c r="C201" s="21" t="s">
        <v>193</v>
      </c>
      <c r="D201" s="21" t="s">
        <v>869</v>
      </c>
      <c r="E201" s="13">
        <v>42777.439606481479</v>
      </c>
      <c r="F201" s="13">
        <v>42777.441655092596</v>
      </c>
      <c r="G201" s="7">
        <v>1</v>
      </c>
      <c r="H201" s="21" t="s">
        <v>870</v>
      </c>
      <c r="I201" s="13">
        <v>42777.447650462964</v>
      </c>
      <c r="J201" s="7">
        <v>1</v>
      </c>
      <c r="K201" s="98" t="str">
        <f t="shared" si="103"/>
        <v>4031/4032</v>
      </c>
      <c r="L201" s="21" t="str">
        <f>VLOOKUP(A201,'Trips&amp;Operators'!$C$1:$G$99999,5,FALSE)</f>
        <v>ARVIDSON DANIEL</v>
      </c>
      <c r="M201" s="6">
        <f t="shared" si="104"/>
        <v>5.9953703676001169E-3</v>
      </c>
      <c r="N201" s="7">
        <f t="shared" si="102"/>
        <v>8.6333333293441683</v>
      </c>
      <c r="O201" s="7"/>
      <c r="P201" s="7"/>
      <c r="Q201" s="22"/>
      <c r="R201" s="22"/>
      <c r="S201" s="31">
        <f t="shared" si="105"/>
        <v>0</v>
      </c>
      <c r="T201" s="46" t="e">
        <f t="shared" si="106"/>
        <v>#VALUE!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87" t="str">
        <f t="shared" si="107"/>
        <v>https://d0f6bd738d7f1b3e5a7ca70fe4ff75f0.us-east-1.aws.found.io/app/kibana#/discover/Steve-Slow-Train-Analysis-(2080s-and-2083s)?_g=(refreshInterval:(display:Off,pause:!f,section:0,value:0),time:(from:'2017-02-11T09:33:02-0700',mode:absolute,to:'2017-02-11T11:44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1" s="188" t="str">
        <f t="shared" si="108"/>
        <v>Y</v>
      </c>
      <c r="X201" s="188" t="e">
        <f t="shared" si="114"/>
        <v>#VALUE!</v>
      </c>
      <c r="Y201" s="62">
        <f t="shared" si="115"/>
        <v>2.5240999999999998</v>
      </c>
      <c r="Z201" s="62">
        <f t="shared" si="116"/>
        <v>0.1169</v>
      </c>
      <c r="AA201" s="62">
        <f t="shared" si="109"/>
        <v>2.4071999999999996</v>
      </c>
      <c r="AB201" s="59" t="e">
        <f>VLOOKUP(A201,Enforcements!$C$7:$K$14,8,0)</f>
        <v>#N/A</v>
      </c>
      <c r="AC201" s="55" t="e">
        <f>VLOOKUP(A201,Enforcements!$C$7:$E$14,3,0)</f>
        <v>#N/A</v>
      </c>
      <c r="AD201" s="56" t="str">
        <f t="shared" si="110"/>
        <v>51-11</v>
      </c>
      <c r="AE201" s="85" t="str">
        <f t="shared" si="111"/>
        <v>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 &amp; 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</v>
      </c>
      <c r="AF201" s="82" t="str">
        <f t="shared" si="112"/>
        <v>"C:\Program Files (x86)\AstroGrep\AstroGrep.exe" /spath="%USERPROFILE%\AppData\Local\Temp\OnboardLogs" /stypes="app*4032*20170211*" /stext=" 17:.+((SYSTEM_STATE.+slice.+state.+changed )|(ment ac)|(multiple cpu faults)|(system.+state.+changed )|(\[timeout)|(PRM\|1\|D)|(kpr)|(kdp)|(\|lc)|(penalty))" /e /r /s</v>
      </c>
      <c r="AG201" s="1" t="str">
        <f t="shared" si="113"/>
        <v>Other</v>
      </c>
      <c r="AH201" s="86" t="str">
        <f t="shared" si="95"/>
        <v>"%USERPROFILE%\Documents\GitHub\eaglep3\Utilities\RefineRTDCRunTimes.py" --tripid 51-11 --locoid 4032 --swversion DE.1.0.8.0 --startMP 300:25241 --initTime 2017-02-11T10:33:02 --startdatetime 2017-02-11T10:35:59 --delay 1 --endMP 204:1169 --enddatetime 2017-02-11T10:44:37 --enforcementcount 1 &gt;&gt;C:\Users\stu\Documents\GitHub\eaglep3-reporting\EC\2017-02-11-refined-times.txt</v>
      </c>
      <c r="AI201" s="108" t="str">
        <f t="shared" si="96"/>
        <v>echo {"issue":{"subject":"","project_id":79,"tracker_id":40,"status_id":1,"priority_id":2,"assigned_to_id":23,"start_date":"2017-02-11","description":"","custom_fields":[{"id":1,"name":"Subdivision","value":"Other"},{"id":4,"name":"Milepost","value":"0.1169"},{"id":17,"name":"Train ID","value":"51-11"},{"id":16,"name":"Locomotive ID","value":"4032"},{"id":130,"name":"Impact","value":""},{"id":150,"name":"Time of Event (Mountain Time)","value":"10:44:37"},{"id":151,"name":"Denver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97"/>
        <v>start /low /b %USERPROFILE%\Documents\GitHub\eaglep3\Utilities\DownloadLogsFromS3.py --loco 4032 --day 2017-02-11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2017-02-11-UncaughtWiMAX.txt</v>
      </c>
    </row>
    <row r="202" spans="1:40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S202"/>
      <c r="U202"/>
      <c r="V202"/>
      <c r="W202"/>
      <c r="X202"/>
      <c r="Y202"/>
      <c r="Z202"/>
      <c r="AA202"/>
      <c r="AB202"/>
      <c r="AC202"/>
      <c r="AD202"/>
      <c r="AE202"/>
      <c r="AF202"/>
      <c r="AH202"/>
      <c r="AI202"/>
      <c r="AM202"/>
    </row>
    <row r="203" spans="1:40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S203"/>
      <c r="U203"/>
      <c r="V203"/>
      <c r="W203"/>
      <c r="X203"/>
      <c r="Y203"/>
      <c r="Z203"/>
      <c r="AA203"/>
      <c r="AB203"/>
      <c r="AC203"/>
      <c r="AD203"/>
      <c r="AE203"/>
      <c r="AF203"/>
      <c r="AH203"/>
      <c r="AI203"/>
      <c r="AM203"/>
    </row>
    <row r="204" spans="1:40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S204"/>
      <c r="U204"/>
      <c r="V204"/>
      <c r="W204"/>
      <c r="X204"/>
      <c r="Y204"/>
      <c r="Z204"/>
      <c r="AA204"/>
      <c r="AB204"/>
      <c r="AC204"/>
      <c r="AD204"/>
      <c r="AE204"/>
      <c r="AF204"/>
      <c r="AH204"/>
      <c r="AI204"/>
      <c r="AM204"/>
    </row>
    <row r="205" spans="1:40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S205"/>
      <c r="U205"/>
      <c r="V205"/>
      <c r="W205"/>
      <c r="X205"/>
      <c r="Y205"/>
      <c r="Z205"/>
      <c r="AA205"/>
      <c r="AB205"/>
      <c r="AC205"/>
      <c r="AD205"/>
      <c r="AE205"/>
      <c r="AF205"/>
      <c r="AH205"/>
      <c r="AI205"/>
      <c r="AM205"/>
    </row>
    <row r="206" spans="1:40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S206"/>
      <c r="U206"/>
      <c r="V206"/>
      <c r="W206"/>
      <c r="X206"/>
      <c r="Y206"/>
      <c r="Z206"/>
      <c r="AA206"/>
      <c r="AB206"/>
      <c r="AC206"/>
      <c r="AD206"/>
      <c r="AE206"/>
      <c r="AF206"/>
      <c r="AH206"/>
      <c r="AI206"/>
      <c r="AM206"/>
    </row>
    <row r="207" spans="1:40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S207"/>
      <c r="U207"/>
      <c r="V207"/>
      <c r="W207"/>
      <c r="X207"/>
      <c r="Y207"/>
      <c r="Z207"/>
      <c r="AA207"/>
      <c r="AB207"/>
      <c r="AC207"/>
      <c r="AD207"/>
      <c r="AE207"/>
      <c r="AF207"/>
      <c r="AH207"/>
      <c r="AI207"/>
      <c r="AM207"/>
    </row>
    <row r="208" spans="1:40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S208"/>
      <c r="U208"/>
      <c r="V208"/>
      <c r="W208"/>
      <c r="X208"/>
      <c r="Y208"/>
      <c r="Z208"/>
      <c r="AA208"/>
      <c r="AB208"/>
      <c r="AC208"/>
      <c r="AD208"/>
      <c r="AE208"/>
      <c r="AF208"/>
      <c r="AH208"/>
      <c r="AI208"/>
      <c r="AM208"/>
    </row>
    <row r="209" spans="1:39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S209"/>
      <c r="U209"/>
      <c r="V209"/>
      <c r="W209"/>
      <c r="X209"/>
      <c r="Y209"/>
      <c r="Z209"/>
      <c r="AA209"/>
      <c r="AB209"/>
      <c r="AC209"/>
      <c r="AD209"/>
      <c r="AE209"/>
      <c r="AF209"/>
      <c r="AH209"/>
      <c r="AI209"/>
      <c r="AM209"/>
    </row>
    <row r="210" spans="1:39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S210"/>
      <c r="U210"/>
      <c r="V210"/>
      <c r="W210"/>
      <c r="X210"/>
      <c r="Y210"/>
      <c r="Z210"/>
      <c r="AA210"/>
      <c r="AB210"/>
      <c r="AC210"/>
      <c r="AD210"/>
      <c r="AE210"/>
      <c r="AF210"/>
      <c r="AH210"/>
      <c r="AI210"/>
      <c r="AM210"/>
    </row>
    <row r="211" spans="1:39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S211"/>
      <c r="U211"/>
      <c r="V211"/>
      <c r="W211"/>
      <c r="X211"/>
      <c r="Y211"/>
      <c r="Z211"/>
      <c r="AA211"/>
      <c r="AB211"/>
      <c r="AC211"/>
      <c r="AD211"/>
      <c r="AE211"/>
      <c r="AF211"/>
      <c r="AH211"/>
      <c r="AI211"/>
      <c r="AM211"/>
    </row>
    <row r="212" spans="1:39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S212"/>
      <c r="U212"/>
      <c r="V212"/>
      <c r="W212"/>
      <c r="X212"/>
      <c r="Y212"/>
      <c r="Z212"/>
      <c r="AA212"/>
      <c r="AB212"/>
      <c r="AC212"/>
      <c r="AD212"/>
      <c r="AE212"/>
      <c r="AF212"/>
      <c r="AH212"/>
      <c r="AI212"/>
      <c r="AM212"/>
    </row>
    <row r="213" spans="1:39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S213"/>
      <c r="U213"/>
      <c r="V213"/>
      <c r="W213"/>
      <c r="X213"/>
      <c r="Y213"/>
      <c r="Z213"/>
      <c r="AA213"/>
      <c r="AB213"/>
      <c r="AC213"/>
      <c r="AD213"/>
      <c r="AE213"/>
      <c r="AF213"/>
      <c r="AH213"/>
      <c r="AI213"/>
      <c r="AM213"/>
    </row>
    <row r="214" spans="1:39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  <c r="AM214"/>
    </row>
    <row r="215" spans="1:39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  <c r="AM215"/>
    </row>
    <row r="216" spans="1:3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3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39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3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3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3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3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3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3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</sheetData>
  <autoFilter ref="A12:AG230">
    <sortState ref="A13:AG229">
      <sortCondition ref="AG13:AG200"/>
      <sortCondition ref="AD13:AD200"/>
    </sortState>
  </autoFilter>
  <sortState ref="A13:AH200">
    <sortCondition ref="AG13:AG200"/>
    <sortCondition ref="AD13:AD200"/>
  </sortState>
  <mergeCells count="1">
    <mergeCell ref="A11:P11"/>
  </mergeCells>
  <conditionalFormatting sqref="W11:W12 W254:X1048576 W13:X201">
    <cfRule type="cellIs" dxfId="10" priority="356" operator="equal">
      <formula>"Y"</formula>
    </cfRule>
  </conditionalFormatting>
  <conditionalFormatting sqref="X254:X1048576 X13:X201">
    <cfRule type="cellIs" dxfId="9" priority="339" operator="greaterThan">
      <formula>1</formula>
    </cfRule>
  </conditionalFormatting>
  <conditionalFormatting sqref="X254:X1048576 X12:X201">
    <cfRule type="cellIs" dxfId="8" priority="336" operator="equal">
      <formula>0</formula>
    </cfRule>
  </conditionalFormatting>
  <conditionalFormatting sqref="A13:S201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A13:S201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AK13:AK201</xm:sqref>
        </x14:dataValidation>
        <x14:dataValidation type="list" allowBlank="1" showInputMessage="1" showErrorMessage="1">
          <x14:formula1>
            <xm:f>'Redmine List Values'!$C$2:$C$15</xm:f>
          </x14:formula1>
          <xm:sqref>AL13:AL201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7"/>
  <sheetViews>
    <sheetView topLeftCell="A2" zoomScaleNormal="100" workbookViewId="0">
      <selection activeCell="P13" sqref="P1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COUNTIF($O$7:$O$316,"=Y")</f>
        <v>3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COUNTA($O$7:$O$316)-O2</f>
        <v>19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- 2017-02-11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197</v>
      </c>
      <c r="AE6" s="155" t="s">
        <v>211</v>
      </c>
    </row>
    <row r="7" spans="1:32" s="1" customFormat="1" x14ac:dyDescent="0.25">
      <c r="A7" s="32">
        <v>42777.216122685182</v>
      </c>
      <c r="B7" s="30" t="s">
        <v>337</v>
      </c>
      <c r="C7" s="30" t="s">
        <v>513</v>
      </c>
      <c r="D7" s="30" t="s">
        <v>98</v>
      </c>
      <c r="E7" s="30" t="s">
        <v>199</v>
      </c>
      <c r="F7" s="43">
        <v>330</v>
      </c>
      <c r="G7" s="43">
        <v>383</v>
      </c>
      <c r="H7" s="43">
        <v>33208</v>
      </c>
      <c r="I7" s="43">
        <v>34249</v>
      </c>
      <c r="J7" s="30" t="s">
        <v>200</v>
      </c>
      <c r="K7" s="43">
        <v>33137</v>
      </c>
      <c r="L7" s="143" t="s">
        <v>50</v>
      </c>
      <c r="M7" s="144">
        <f t="shared" ref="M7:M28" si="0">CONVERT((I7-K7)/10000,"mi","ft")*IF(L7="Increasing Mileposts (1)",-1,1)</f>
        <v>-587.13599999999997</v>
      </c>
      <c r="N7" s="145" t="str">
        <f>VLOOKUP(C7,'Trips&amp;Operators'!$C$1:$G$99999,5,FALSE)</f>
        <v>LOZA FIDEL</v>
      </c>
      <c r="O7" s="194" t="s">
        <v>185</v>
      </c>
      <c r="P7" s="146" t="s">
        <v>342</v>
      </c>
      <c r="Q7" s="30"/>
      <c r="R7" s="89" t="str">
        <f>VLOOKUP(C7,'Train Runs'!$A$13:$AE$9958,31,0)</f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S7" s="92" t="str">
        <f>VLOOKUP(C7,'Train Runs'!$A$13:$AE$9958,22,0)</f>
        <v>https://d0f6bd738d7f1b3e5a7ca70fe4ff75f0.us-east-1.aws.found.io/app/kibana#/discover/Steve-Slow-Train-Analysis-(2080s-and-2083s)?_g=(refreshInterval:(display:Off,pause:!f,section:0,value:0),time:(from:'2017-02-11T04:00:32-0700',mode:absolute,to:'2017-02-11T06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94" t="str">
        <f t="shared" ref="T7:T2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/stypes="*4020*201702111*" /stext=" 12:.+((SYSTEM_STATE.+slice.+state.+changed )|(ment ac)|(multiple cpu faults)|(system.+state.+changed )|(\[timeout)|(PRM\|1\|D)|(kpr)|(kdp)|(\|lc)|(penalty))" /e /r /s</v>
      </c>
      <c r="U7" s="9" t="str">
        <f t="shared" ref="U7:U28" si="2">MID(B7,13,4)</f>
        <v>4020</v>
      </c>
      <c r="V7" s="32">
        <f t="shared" ref="V7:V28" si="3">A7-utc_offset/24</f>
        <v>42777.507789351846</v>
      </c>
      <c r="W7" s="46" t="str">
        <f t="shared" ref="W7:W2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28" si="5">IF(AND(E7="TRACK WARRANT AUTHORITY",G7&lt;10),"OMIT","KEEP")</f>
        <v>KEEP</v>
      </c>
      <c r="Y7" s="108" t="str">
        <f t="shared" ref="Y7:Y2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arrival","project_id":79,"tracker_id":40,"status_id":1,"priority_id":2,"assigned_to_id":23,"start_date":"2017-02-11","description":"","custom_fields":[{"id":1,"name":"Subdivision","value":"EC"},{"id":4,"name":"Milepost","value":"3.3137"},{"id":17,"name":"Train ID","value":"111-11"},{"id":16,"name":"Locomotive ID","value":"4020"},{"id":130,"name":"Impact","value":""},{"id":150,"name":"Time of Event (Mountain Time)","value":"05:11:13"},{"id":151,"name":"Denver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2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"%USERPROFILE%\AppData\Local\Temp\OnboardLogs"\RTDC4020\*4020*201702111*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"%USERPROFILE%\AppData\Local\Temp\OnboardLogs"\RTDC4020\*4020*201702111* &gt;&gt; 2017-02-11-SliceDisagreementCheck.txt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4020 --day 2017-02-11</v>
      </c>
    </row>
    <row r="8" spans="1:32" s="1" customFormat="1" x14ac:dyDescent="0.25">
      <c r="A8" s="32">
        <v>42777.700636574074</v>
      </c>
      <c r="B8" s="30" t="s">
        <v>192</v>
      </c>
      <c r="C8" s="30" t="s">
        <v>524</v>
      </c>
      <c r="D8" s="30" t="s">
        <v>49</v>
      </c>
      <c r="E8" s="30" t="s">
        <v>215</v>
      </c>
      <c r="F8" s="43">
        <v>400</v>
      </c>
      <c r="G8" s="43">
        <v>519</v>
      </c>
      <c r="H8" s="43">
        <v>16781</v>
      </c>
      <c r="I8" s="43">
        <v>17797</v>
      </c>
      <c r="J8" s="30" t="s">
        <v>216</v>
      </c>
      <c r="K8" s="43">
        <v>17867</v>
      </c>
      <c r="L8" s="143" t="s">
        <v>50</v>
      </c>
      <c r="M8" s="144">
        <f t="shared" si="0"/>
        <v>36.96</v>
      </c>
      <c r="N8" s="145" t="str">
        <f>VLOOKUP(C8,'Trips&amp;Operators'!$C$1:$G$99999,5,FALSE)</f>
        <v>HOLCOMB KAMDEN</v>
      </c>
      <c r="O8" s="194" t="s">
        <v>185</v>
      </c>
      <c r="P8" s="146"/>
      <c r="Q8" s="30"/>
      <c r="R8" s="89" t="str">
        <f>VLOOKUP(C8,'Train Runs'!$A$13:$AE$9958,31,0)</f>
        <v>aws s3 cp s3://rtdc.mdm.uploadarchive.raw/RTDC4011/ "%USERPROFILE%\AppData\Local\Temp\OnboardLogs"\RTDC4011\2017-02-11 --exclude "*" --recursive --include "*20170211*" &amp; "%USERPROFILE%\Documents\GitHub\mrs-test-scripts\Headless Mode &amp; Sideloading\WalkAndUnGZ.bat" "%USERPROFILE%\AppData\Local\Temp\OnboardLogs"\RTDC4011\2017-02-11 &amp; 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</v>
      </c>
      <c r="S8" s="92" t="str">
        <f>VLOOKUP(C8,'Train Runs'!$A$13:$AE$9958,22,0)</f>
        <v>https://d0f6bd738d7f1b3e5a7ca70fe4ff75f0.us-east-1.aws.found.io/app/kibana#/discover/Steve-Slow-Train-Analysis-(2080s-and-2083s)?_g=(refreshInterval:(display:Off,pause:!f,section:0,value:0),time:(from:'2017-02-11T15:43:11-0700',mode:absolute,to:'2017-02-11T18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8" s="94" t="str">
        <f t="shared" si="1"/>
        <v>"C:\Program Files (x86)\AstroGrep\AstroGrep.exe" /spath="%USERPROFILE%\AppData\Local\Temp\OnboardLogs" /stypes="*4011*201702112*" /stext=" 23:.+((SYSTEM_STATE.+slice.+state.+changed )|(ment ac)|(multiple cpu faults)|(system.+state.+changed )|(\[timeout)|(PRM\|1\|D)|(kpr)|(kdp)|(\|lc)|(penalty))" /e /r /s</v>
      </c>
      <c r="U8" s="9" t="str">
        <f t="shared" si="2"/>
        <v>4011</v>
      </c>
      <c r="V8" s="32">
        <f t="shared" si="3"/>
        <v>42777.992303240739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{"issue":{"subject":"","project_id":79,"tracker_id":40,"status_id":1,"priority_id":2,"assigned_to_id":23,"start_date":"2017-02-11","description":"","custom_fields":[{"id":1,"name":"Subdivision","value":"EC"},{"id":4,"name":"Milepost","value":"1.7867"},{"id":17,"name":"Train ID","value":"205-11"},{"id":16,"name":"Locomotive ID","value":"4011"},{"id":130,"name":"Impact","value":""},{"id":150,"name":"Time of Event (Mountain Time)","value":"16:48:55"},{"id":151,"name":"Denver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"%USERPROFILE%\AppData\Local\Temp\OnboardLogs"\RTDC4011\*4011*201702112*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"%USERPROFILE%\AppData\Local\Temp\OnboardLogs"\RTDC4011\*4011*201702112* &gt;&gt; 2017-02-11-SliceDisagreementCheck.txt</v>
      </c>
      <c r="AE8" s="157" t="str">
        <f t="shared" ref="AE8:AE28" si="9">"start /low /b "&amp;dls3logs&amp;" --loco "&amp;U8&amp;" --day "&amp;TEXT(V8,"YYYY-MM-DD")</f>
        <v>start /low /b %USERPROFILE%\Documents\GitHub\eaglep3\Utilities\DownloadLogsFromS3.py --loco 4011 --day 2017-02-11</v>
      </c>
    </row>
    <row r="9" spans="1:32" s="1" customFormat="1" x14ac:dyDescent="0.25">
      <c r="A9" s="32">
        <v>42777.519270833334</v>
      </c>
      <c r="B9" s="30" t="s">
        <v>330</v>
      </c>
      <c r="C9" s="30" t="s">
        <v>517</v>
      </c>
      <c r="D9" s="30" t="s">
        <v>49</v>
      </c>
      <c r="E9" s="30" t="s">
        <v>215</v>
      </c>
      <c r="F9" s="43">
        <v>300</v>
      </c>
      <c r="G9" s="43">
        <v>433</v>
      </c>
      <c r="H9" s="43">
        <v>23567</v>
      </c>
      <c r="I9" s="43">
        <v>22219</v>
      </c>
      <c r="J9" s="30" t="s">
        <v>216</v>
      </c>
      <c r="K9" s="43">
        <v>21848</v>
      </c>
      <c r="L9" s="143" t="s">
        <v>51</v>
      </c>
      <c r="M9" s="144">
        <f t="shared" si="0"/>
        <v>195.88800000000001</v>
      </c>
      <c r="N9" s="145" t="str">
        <f>VLOOKUP(C9,'Trips&amp;Operators'!$C$1:$G$99999,5,FALSE)</f>
        <v>STEWART MICHAEL</v>
      </c>
      <c r="O9" s="194" t="s">
        <v>185</v>
      </c>
      <c r="P9" s="146"/>
      <c r="Q9" s="30"/>
      <c r="R9" s="89" t="str">
        <f>VLOOKUP(C9,'Train Runs'!$A$13:$AE$9958,31,0)</f>
        <v>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 &amp; 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</v>
      </c>
      <c r="S9" s="92" t="str">
        <f>VLOOKUP(C9,'Train Runs'!$A$13:$AE$9958,22,0)</f>
        <v>https://d0f6bd738d7f1b3e5a7ca70fe4ff75f0.us-east-1.aws.found.io/app/kibana#/discover/Steve-Slow-Train-Analysis-(2080s-and-2083s)?_g=(refreshInterval:(display:Off,pause:!f,section:0,value:0),time:(from:'2017-02-11T10:49:46-0700',mode:absolute,to:'2017-02-11T13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94" t="str">
        <f t="shared" si="1"/>
        <v>"C:\Program Files (x86)\AstroGrep\AstroGrep.exe" /spath="%USERPROFILE%\AppData\Local\Temp\OnboardLogs" /stypes="*4032*201702111*" /stext=" 19:.+((SYSTEM_STATE.+slice.+state.+changed )|(ment ac)|(multiple cpu faults)|(system.+state.+changed )|(\[timeout)|(PRM\|1\|D)|(kpr)|(kdp)|(\|lc)|(penalty))" /e /r /s</v>
      </c>
      <c r="U9" s="9" t="str">
        <f t="shared" si="2"/>
        <v>4032</v>
      </c>
      <c r="V9" s="32">
        <f t="shared" si="3"/>
        <v>42777.810937499999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{"issue":{"subject":"","project_id":79,"tracker_id":40,"status_id":1,"priority_id":2,"assigned_to_id":23,"start_date":"2017-02-11","description":"","custom_fields":[{"id":1,"name":"Subdivision","value":"EC"},{"id":4,"name":"Milepost","value":"2.1848"},{"id":17,"name":"Train ID","value":"160-11"},{"id":16,"name":"Locomotive ID","value":"4032"},{"id":130,"name":"Impact","value":""},{"id":150,"name":"Time of Event (Mountain Time)","value":"12:27:45"},{"id":151,"name":"Denver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"%USERPROFILE%\AppData\Local\Temp\OnboardLogs"\RTDC4032\*4032*201702111*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"%USERPROFILE%\AppData\Local\Temp\OnboardLogs"\RTDC4032\*4032*201702111* &gt;&gt; 2017-02-11-SliceDisagreementCheck.txt</v>
      </c>
      <c r="AE9" s="157" t="str">
        <f t="shared" si="9"/>
        <v>start /low /b %USERPROFILE%\Documents\GitHub\eaglep3\Utilities\DownloadLogsFromS3.py --loco 4032 --day 2017-02-11</v>
      </c>
    </row>
    <row r="10" spans="1:32" s="1" customFormat="1" x14ac:dyDescent="0.25">
      <c r="A10" s="32">
        <v>42777.775034722225</v>
      </c>
      <c r="B10" s="30" t="s">
        <v>243</v>
      </c>
      <c r="C10" s="30" t="s">
        <v>527</v>
      </c>
      <c r="D10" s="30" t="s">
        <v>98</v>
      </c>
      <c r="E10" s="30" t="s">
        <v>215</v>
      </c>
      <c r="F10" s="43">
        <v>400</v>
      </c>
      <c r="G10" s="43">
        <v>458</v>
      </c>
      <c r="H10" s="43">
        <v>119594</v>
      </c>
      <c r="I10" s="43">
        <v>120965</v>
      </c>
      <c r="J10" s="30" t="s">
        <v>216</v>
      </c>
      <c r="K10" s="43">
        <v>116838</v>
      </c>
      <c r="L10" s="143" t="s">
        <v>50</v>
      </c>
      <c r="M10" s="144">
        <f t="shared" si="0"/>
        <v>-2179.056</v>
      </c>
      <c r="N10" s="145" t="str">
        <f>VLOOKUP(C10,'Trips&amp;Operators'!$C$1:$G$99999,5,FALSE)</f>
        <v>STAMBAUGH JAMES</v>
      </c>
      <c r="O10" s="194" t="s">
        <v>185</v>
      </c>
      <c r="P10" s="146"/>
      <c r="Q10" s="30"/>
      <c r="R10" s="89" t="str">
        <f>VLOOKUP(C10,'Train Runs'!$A$13:$AE$9958,31,0)</f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S10" s="92" t="str">
        <f>VLOOKUP(C10,'Train Runs'!$A$13:$AE$9958,22,0)</f>
        <v>https://d0f6bd738d7f1b3e5a7ca70fe4ff75f0.us-east-1.aws.found.io/app/kibana#/discover/Steve-Slow-Train-Analysis-(2080s-and-2083s)?_g=(refreshInterval:(display:Off,pause:!f,section:0,value:0),time:(from:'2017-02-11T17:09:46-0700',mode:absolute,to:'2017-02-11T19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94" t="str">
        <f t="shared" si="1"/>
        <v>"C:\Program Files (x86)\AstroGrep\AstroGrep.exe" /spath="%USERPROFILE%\AppData\Local\Temp\OnboardLogs" /stypes="*4025*201702120*" /stext=" 01:.+((SYSTEM_STATE.+slice.+state.+changed )|(ment ac)|(multiple cpu faults)|(system.+state.+changed )|(\[timeout)|(PRM\|1\|D)|(kpr)|(kdp)|(\|lc)|(penalty))" /e /r /s</v>
      </c>
      <c r="U10" s="9" t="str">
        <f t="shared" si="2"/>
        <v>4025</v>
      </c>
      <c r="V10" s="32">
        <f t="shared" si="3"/>
        <v>42778.066701388889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{"issue":{"subject":"","project_id":79,"tracker_id":40,"status_id":1,"priority_id":2,"assigned_to_id":23,"start_date":"2017-02-11","description":"","custom_fields":[{"id":1,"name":"Subdivision","value":"EC"},{"id":4,"name":"Milepost","value":"11.6838"},{"id":17,"name":"Train ID","value":"217-11"},{"id":16,"name":"Locomotive ID","value":"4025"},{"id":130,"name":"Impact","value":""},{"id":150,"name":"Time of Event (Mountain Time)","value":"18:36:03"},{"id":151,"name":"Denver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"%USERPROFILE%\AppData\Local\Temp\OnboardLogs"\RTDC4025\*4025*201702120*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"%USERPROFILE%\AppData\Local\Temp\OnboardLogs"\RTDC4025\*4025*201702120* &gt;&gt; 2017-02-11-SliceDisagreementCheck.txt</v>
      </c>
      <c r="AE10" s="157" t="str">
        <f t="shared" si="9"/>
        <v>start /low /b %USERPROFILE%\Documents\GitHub\eaglep3\Utilities\DownloadLogsFromS3.py --loco 4025 --day 2017-02-12</v>
      </c>
    </row>
    <row r="11" spans="1:32" s="1" customFormat="1" x14ac:dyDescent="0.25">
      <c r="A11" s="32">
        <v>42777.966354166667</v>
      </c>
      <c r="B11" s="30" t="s">
        <v>220</v>
      </c>
      <c r="C11" s="30" t="s">
        <v>530</v>
      </c>
      <c r="D11" s="30" t="s">
        <v>49</v>
      </c>
      <c r="E11" s="30" t="s">
        <v>215</v>
      </c>
      <c r="F11" s="43">
        <v>400</v>
      </c>
      <c r="G11" s="43">
        <v>558</v>
      </c>
      <c r="H11" s="43">
        <v>122305</v>
      </c>
      <c r="I11" s="43">
        <v>120401</v>
      </c>
      <c r="J11" s="30" t="s">
        <v>216</v>
      </c>
      <c r="K11" s="43">
        <v>119716</v>
      </c>
      <c r="L11" s="143" t="s">
        <v>51</v>
      </c>
      <c r="M11" s="144">
        <f t="shared" si="0"/>
        <v>361.68</v>
      </c>
      <c r="N11" s="145" t="str">
        <f>VLOOKUP(C11,'Trips&amp;Operators'!$C$1:$G$99999,5,FALSE)</f>
        <v>STAMBAUGH JAMES</v>
      </c>
      <c r="O11" s="194" t="s">
        <v>185</v>
      </c>
      <c r="P11" s="146"/>
      <c r="Q11" s="30"/>
      <c r="R11" s="89" t="str">
        <f>VLOOKUP(C11,'Train Runs'!$A$13:$AE$9958,31,0)</f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S11" s="92" t="str">
        <f>VLOOKUP(C11,'Train Runs'!$A$13:$AE$9958,22,0)</f>
        <v>https://d0f6bd738d7f1b3e5a7ca70fe4ff75f0.us-east-1.aws.found.io/app/kibana#/discover/Steve-Slow-Train-Analysis-(2080s-and-2083s)?_g=(refreshInterval:(display:Off,pause:!f,section:0,value:0),time:(from:'2017-02-11T21:54:10-0700',mode:absolute,to:'2017-02-12T00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1" s="94" t="str">
        <f t="shared" si="1"/>
        <v>"C:\Program Files (x86)\AstroGrep\AstroGrep.exe" /spath="%USERPROFILE%\AppData\Local\Temp\OnboardLogs" /stypes="*4026*201702120*" /stext=" 06:.+((SYSTEM_STATE.+slice.+state.+changed )|(ment ac)|(multiple cpu faults)|(system.+state.+changed )|(\[timeout)|(PRM\|1\|D)|(kpr)|(kdp)|(\|lc)|(penalty))" /e /r /s</v>
      </c>
      <c r="U11" s="9" t="str">
        <f t="shared" si="2"/>
        <v>4026</v>
      </c>
      <c r="V11" s="32">
        <f t="shared" si="3"/>
        <v>42778.258020833331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{"issue":{"subject":"","project_id":79,"tracker_id":40,"status_id":1,"priority_id":2,"assigned_to_id":23,"start_date":"2017-02-11","description":"","custom_fields":[{"id":1,"name":"Subdivision","value":"EC"},{"id":4,"name":"Milepost","value":"11.9716"},{"id":17,"name":"Train ID","value":"234-11"},{"id":16,"name":"Locomotive ID","value":"4026"},{"id":130,"name":"Impact","value":""},{"id":150,"name":"Time of Event (Mountain Time)","value":"23:11:33"},{"id":151,"name":"Denver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"%USERPROFILE%\AppData\Local\Temp\OnboardLogs"\RTDC4026\*4026*201702120*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"%USERPROFILE%\AppData\Local\Temp\OnboardLogs"\RTDC4026\*4026*201702120* &gt;&gt; 2017-02-11-SliceDisagreementCheck.txt</v>
      </c>
      <c r="AE11" s="157" t="str">
        <f t="shared" si="9"/>
        <v>start /low /b %USERPROFILE%\Documents\GitHub\eaglep3\Utilities\DownloadLogsFromS3.py --loco 4026 --day 2017-02-12</v>
      </c>
    </row>
    <row r="12" spans="1:32" s="1" customFormat="1" x14ac:dyDescent="0.25">
      <c r="A12" s="32">
        <v>42777.622824074075</v>
      </c>
      <c r="B12" s="30" t="s">
        <v>210</v>
      </c>
      <c r="C12" s="30" t="s">
        <v>520</v>
      </c>
      <c r="D12" s="30" t="s">
        <v>98</v>
      </c>
      <c r="E12" s="30" t="s">
        <v>215</v>
      </c>
      <c r="F12" s="43">
        <v>150</v>
      </c>
      <c r="G12" s="43">
        <v>202</v>
      </c>
      <c r="H12" s="43">
        <v>232245</v>
      </c>
      <c r="I12" s="43">
        <v>231930</v>
      </c>
      <c r="J12" s="30" t="s">
        <v>216</v>
      </c>
      <c r="K12" s="43">
        <v>233492</v>
      </c>
      <c r="L12" s="143" t="s">
        <v>51</v>
      </c>
      <c r="M12" s="144">
        <f t="shared" si="0"/>
        <v>-824.73599999999999</v>
      </c>
      <c r="N12" s="145" t="str">
        <f>VLOOKUP(C12,'Trips&amp;Operators'!$C$1:$G$99999,5,FALSE)</f>
        <v>ROMERO CHAD</v>
      </c>
      <c r="O12" s="194" t="s">
        <v>185</v>
      </c>
      <c r="P12" s="146"/>
      <c r="Q12" s="30"/>
      <c r="R12" s="89" t="str">
        <f>VLOOKUP(C12,'Train Runs'!$A$13:$AE$9958,31,0)</f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S12" s="92" t="str">
        <f>VLOOKUP(C12,'Train Runs'!$A$13:$AE$9958,22,0)</f>
        <v>https://d0f6bd738d7f1b3e5a7ca70fe4ff75f0.us-east-1.aws.found.io/app/kibana#/discover/Steve-Slow-Train-Analysis-(2080s-and-2083s)?_g=(refreshInterval:(display:Off,pause:!f,section:0,value:0),time:(from:'2017-02-11T13:39:40-0700',mode:absolute,to:'2017-02-11T16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94" t="str">
        <f t="shared" si="1"/>
        <v>"C:\Program Files (x86)\AstroGrep\AstroGrep.exe" /spath="%USERPROFILE%\AppData\Local\Temp\OnboardLogs" /stypes="*4030*201702112*" /stext=" 21:.+((SYSTEM_STATE.+slice.+state.+changed )|(ment ac)|(multiple cpu faults)|(system.+state.+changed )|(\[timeout)|(PRM\|1\|D)|(kpr)|(kdp)|(\|lc)|(penalty))" /e /r /s</v>
      </c>
      <c r="U12" s="9" t="str">
        <f t="shared" si="2"/>
        <v>4030</v>
      </c>
      <c r="V12" s="32">
        <f t="shared" si="3"/>
        <v>42777.914490740739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{"issue":{"subject":"","project_id":79,"tracker_id":40,"status_id":1,"priority_id":2,"assigned_to_id":23,"start_date":"2017-02-11","description":"","custom_fields":[{"id":1,"name":"Subdivision","value":"EC"},{"id":4,"name":"Milepost","value":"23.3492"},{"id":17,"name":"Train ID","value":"184-11"},{"id":16,"name":"Locomotive ID","value":"4030"},{"id":130,"name":"Impact","value":""},{"id":150,"name":"Time of Event (Mountain Time)","value":"14:56:52"},{"id":151,"name":"Denver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"%USERPROFILE%\AppData\Local\Temp\OnboardLogs"\RTDC4030\*4030*201702112*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"%USERPROFILE%\AppData\Local\Temp\OnboardLogs"\RTDC4030\*4030*201702112* &gt;&gt; 2017-02-11-SliceDisagreementCheck.txt</v>
      </c>
      <c r="AE12" s="157" t="str">
        <f t="shared" si="9"/>
        <v>start /low /b %USERPROFILE%\Documents\GitHub\eaglep3\Utilities\DownloadLogsFromS3.py --loco 4030 --day 2017-02-11</v>
      </c>
    </row>
    <row r="13" spans="1:32" s="1" customFormat="1" x14ac:dyDescent="0.25">
      <c r="A13" s="32">
        <v>42777.147048611114</v>
      </c>
      <c r="B13" s="30" t="s">
        <v>337</v>
      </c>
      <c r="C13" s="30" t="s">
        <v>512</v>
      </c>
      <c r="D13" s="30" t="s">
        <v>49</v>
      </c>
      <c r="E13" s="30" t="s">
        <v>186</v>
      </c>
      <c r="F13" s="43">
        <v>0</v>
      </c>
      <c r="G13" s="43">
        <v>630</v>
      </c>
      <c r="H13" s="43">
        <v>80045</v>
      </c>
      <c r="I13" s="43">
        <v>82359</v>
      </c>
      <c r="J13" s="30" t="s">
        <v>187</v>
      </c>
      <c r="K13" s="43">
        <v>81738</v>
      </c>
      <c r="L13" s="143" t="s">
        <v>50</v>
      </c>
      <c r="M13" s="144">
        <f t="shared" si="0"/>
        <v>-327.88799999999998</v>
      </c>
      <c r="N13" s="145" t="str">
        <f>VLOOKUP(C13,'Trips&amp;Operators'!$C$1:$G$99999,5,FALSE)</f>
        <v>BADERTSCHER DIANE</v>
      </c>
      <c r="O13" s="194" t="s">
        <v>217</v>
      </c>
      <c r="P13" s="146" t="s">
        <v>444</v>
      </c>
      <c r="Q13" s="30"/>
      <c r="R13" s="89" t="str">
        <f>VLOOKUP(C13,'Train Runs'!$A$13:$AE$9958,31,0)</f>
        <v>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 &amp; 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</v>
      </c>
      <c r="S13" s="92" t="str">
        <f>VLOOKUP(C13,'Train Runs'!$A$13:$AE$9958,22,0)</f>
        <v>https://d0f6bd738d7f1b3e5a7ca70fe4ff75f0.us-east-1.aws.found.io/app/kibana#/discover/Steve-Slow-Train-Analysis-(2080s-and-2083s)?_g=(refreshInterval:(display:Off,pause:!f,section:0,value:0),time:(from:'2017-02-11T02:00:35-0700',mode:absolute,to:'2017-02-11T04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3" s="94" t="str">
        <f t="shared" si="1"/>
        <v>"C:\Program Files (x86)\AstroGrep\AstroGrep.exe" /spath="%USERPROFILE%\AppData\Local\Temp\OnboardLogs" /stypes="*4020*201702111*" /stext=" 10:.+((SYSTEM_STATE.+slice.+state.+changed )|(ment ac)|(multiple cpu faults)|(system.+state.+changed )|(\[timeout)|(PRM\|1\|D)|(kpr)|(kdp)|(\|lc)|(penalty))" /e /r /s</v>
      </c>
      <c r="U13" s="9" t="str">
        <f t="shared" si="2"/>
        <v>4020</v>
      </c>
      <c r="V13" s="32">
        <f t="shared" si="3"/>
        <v>42777.438715277778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{"issue":{"subject":"Wi-MAX data drop","project_id":79,"tracker_id":40,"status_id":1,"priority_id":2,"assigned_to_id":23,"start_date":"2017-02-11","description":"","custom_fields":[{"id":1,"name":"Subdivision","value":"EC"},{"id":4,"name":"Milepost","value":"8.1738"},{"id":17,"name":"Train ID","value":"101-11"},{"id":16,"name":"Locomotive ID","value":"4020"},{"id":130,"name":"Impact","value":""},{"id":150,"name":"Time of Event (Mountain Time)","value":"03:31:45"},{"id":151,"name":"Denver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"%USERPROFILE%\AppData\Local\Temp\OnboardLogs"\RTDC4020\*4020*201702111*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"%USERPROFILE%\AppData\Local\Temp\OnboardLogs"\RTDC4020\*4020*201702111* &gt;&gt; 2017-02-11-SliceDisagreementCheck.txt</v>
      </c>
      <c r="AE13" s="157" t="str">
        <f t="shared" si="9"/>
        <v>start /low /b %USERPROFILE%\Documents\GitHub\eaglep3\Utilities\DownloadLogsFromS3.py --loco 4020 --day 2017-02-11</v>
      </c>
    </row>
    <row r="14" spans="1:32" s="1" customFormat="1" x14ac:dyDescent="0.25">
      <c r="A14" s="32">
        <v>42777.399108796293</v>
      </c>
      <c r="B14" s="30" t="s">
        <v>331</v>
      </c>
      <c r="C14" s="30" t="s">
        <v>515</v>
      </c>
      <c r="D14" s="30" t="s">
        <v>49</v>
      </c>
      <c r="E14" s="30" t="s">
        <v>188</v>
      </c>
      <c r="F14" s="43">
        <v>0</v>
      </c>
      <c r="G14" s="43">
        <v>36</v>
      </c>
      <c r="H14" s="43">
        <v>154</v>
      </c>
      <c r="I14" s="43">
        <v>132</v>
      </c>
      <c r="J14" s="30" t="s">
        <v>189</v>
      </c>
      <c r="K14" s="43">
        <v>1</v>
      </c>
      <c r="L14" s="143" t="s">
        <v>51</v>
      </c>
      <c r="M14" s="144">
        <f t="shared" si="0"/>
        <v>69.168000000000006</v>
      </c>
      <c r="N14" s="145" t="str">
        <f>VLOOKUP(C14,'Trips&amp;Operators'!$C$1:$G$99999,5,FALSE)</f>
        <v>STRICKLAND EVAN</v>
      </c>
      <c r="O14" s="194" t="s">
        <v>185</v>
      </c>
      <c r="P14" s="146"/>
      <c r="Q14" s="30"/>
      <c r="R14" s="89" t="str">
        <f>VLOOKUP(C14,'Train Runs'!$A$13:$AE$9958,31,0)</f>
        <v>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 &amp; aws s3 cp s3://rtdc.mdm.uploadarchive.raw/RTDC4039/ "%USERPROFILE%\AppData\Local\Temp\OnboardLogs"\RTDC4039\2017-02-12 --exclude "*" --recursive --include "*20170212*" &amp; "%USERPROFILE%\Documents\GitHub\mrs-test-scripts\Headless Mode &amp; Sideloading\WalkAndUnGZ.bat" "%USERPROFILE%\AppData\Local\Temp\OnboardLogs"\RTDC4039\2017-02-12</v>
      </c>
      <c r="S14" s="92" t="str">
        <f>VLOOKUP(C14,'Train Runs'!$A$13:$AE$9958,22,0)</f>
        <v>https://d0f6bd738d7f1b3e5a7ca70fe4ff75f0.us-east-1.aws.found.io/app/kibana#/discover/Steve-Slow-Train-Analysis-(2080s-and-2083s)?_g=(refreshInterval:(display:Off,pause:!f,section:0,value:0),time:(from:'2017-02-11T07:39:59-0700',mode:absolute,to:'2017-02-11T10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94" t="str">
        <f t="shared" si="1"/>
        <v>"C:\Program Files (x86)\AstroGrep\AstroGrep.exe" /spath="%USERPROFILE%\AppData\Local\Temp\OnboardLogs" /stypes="*4039*201702111*" /stext=" 16:.+((SYSTEM_STATE.+slice.+state.+changed )|(ment ac)|(multiple cpu faults)|(system.+state.+changed )|(\[timeout)|(PRM\|1\|D)|(kpr)|(kdp)|(\|lc)|(penalty))" /e /r /s</v>
      </c>
      <c r="U14" s="9" t="str">
        <f t="shared" si="2"/>
        <v>4039</v>
      </c>
      <c r="V14" s="32">
        <f t="shared" si="3"/>
        <v>42777.690775462957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{"issue":{"subject":"","project_id":79,"tracker_id":40,"status_id":1,"priority_id":2,"assigned_to_id":23,"start_date":"2017-02-11","description":"","custom_fields":[{"id":1,"name":"Subdivision","value":"EC"},{"id":4,"name":"Milepost","value":"0.0001"},{"id":17,"name":"Train ID","value":"136-11"},{"id":16,"name":"Locomotive ID","value":"4039"},{"id":130,"name":"Impact","value":""},{"id":150,"name":"Time of Event (Mountain Time)","value":"09:34:43"},{"id":151,"name":"Denver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"%USERPROFILE%\AppData\Local\Temp\OnboardLogs"\RTDC4039\*4039*201702111*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"%USERPROFILE%\AppData\Local\Temp\OnboardLogs"\RTDC4039\*4039*201702111* &gt;&gt; 2017-02-11-SliceDisagreementCheck.txt</v>
      </c>
      <c r="AE14" s="157" t="str">
        <f t="shared" si="9"/>
        <v>start /low /b %USERPROFILE%\Documents\GitHub\eaglep3\Utilities\DownloadLogsFromS3.py --loco 4039 --day 2017-02-11</v>
      </c>
    </row>
    <row r="15" spans="1:32" x14ac:dyDescent="0.25">
      <c r="A15" s="32">
        <v>42777.430868055555</v>
      </c>
      <c r="B15" s="30" t="s">
        <v>210</v>
      </c>
      <c r="C15" s="30" t="s">
        <v>516</v>
      </c>
      <c r="D15" s="30" t="s">
        <v>49</v>
      </c>
      <c r="E15" s="30" t="s">
        <v>188</v>
      </c>
      <c r="F15" s="43">
        <v>0</v>
      </c>
      <c r="G15" s="43">
        <v>44</v>
      </c>
      <c r="H15" s="43">
        <v>147</v>
      </c>
      <c r="I15" s="43">
        <v>116</v>
      </c>
      <c r="J15" s="30" t="s">
        <v>189</v>
      </c>
      <c r="K15" s="43">
        <v>1</v>
      </c>
      <c r="L15" s="143" t="s">
        <v>51</v>
      </c>
      <c r="M15" s="144">
        <f t="shared" si="0"/>
        <v>60.72</v>
      </c>
      <c r="N15" s="145" t="str">
        <f>VLOOKUP(C15,'Trips&amp;Operators'!$C$1:$G$99999,5,FALSE)</f>
        <v>BADERTSCHER DIANE</v>
      </c>
      <c r="O15" s="194" t="s">
        <v>185</v>
      </c>
      <c r="P15" s="146"/>
      <c r="Q15" s="30"/>
      <c r="R15" s="89" t="str">
        <f>VLOOKUP(C15,'Train Runs'!$A$13:$AE$9958,31,0)</f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S15" s="92" t="str">
        <f>VLOOKUP(C15,'Train Runs'!$A$13:$AE$9958,22,0)</f>
        <v>https://d0f6bd738d7f1b3e5a7ca70fe4ff75f0.us-east-1.aws.found.io/app/kibana#/discover/Steve-Slow-Train-Analysis-(2080s-and-2083s)?_g=(refreshInterval:(display:Off,pause:!f,section:0,value:0),time:(from:'2017-02-11T08:34:47-0700',mode:absolute,to:'2017-02-11T11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5" s="94" t="str">
        <f t="shared" si="1"/>
        <v>"C:\Program Files (x86)\AstroGrep\AstroGrep.exe" /spath="%USERPROFILE%\AppData\Local\Temp\OnboardLogs" /stypes="*4030*201702111*" /stext=" 17:.+((SYSTEM_STATE.+slice.+state.+changed )|(ment ac)|(multiple cpu faults)|(system.+state.+changed )|(\[timeout)|(PRM\|1\|D)|(kpr)|(kdp)|(\|lc)|(penalty))" /e /r /s</v>
      </c>
      <c r="U15" s="9" t="str">
        <f t="shared" si="2"/>
        <v>4030</v>
      </c>
      <c r="V15" s="32">
        <f t="shared" si="3"/>
        <v>42777.722534722219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{"issue":{"subject":"","project_id":79,"tracker_id":40,"status_id":1,"priority_id":2,"assigned_to_id":23,"start_date":"2017-02-11","description":"","custom_fields":[{"id":1,"name":"Subdivision","value":"EC"},{"id":4,"name":"Milepost","value":"0.0001"},{"id":17,"name":"Train ID","value":"142-11"},{"id":16,"name":"Locomotive ID","value":"4030"},{"id":130,"name":"Impact","value":""},{"id":150,"name":"Time of Event (Mountain Time)","value":"10:20:27"},{"id":151,"name":"Denver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"%USERPROFILE%\AppData\Local\Temp\OnboardLogs"\RTDC4030\*4030*201702111*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"%USERPROFILE%\AppData\Local\Temp\OnboardLogs"\RTDC4030\*4030*201702111* &gt;&gt; 2017-02-11-SliceDisagreementCheck.txt</v>
      </c>
      <c r="AE15" s="157" t="str">
        <f t="shared" si="9"/>
        <v>start /low /b %USERPROFILE%\Documents\GitHub\eaglep3\Utilities\DownloadLogsFromS3.py --loco 4030 --day 2017-02-11</v>
      </c>
      <c r="AF15" s="1"/>
    </row>
    <row r="16" spans="1:32" x14ac:dyDescent="0.25">
      <c r="A16" s="32">
        <v>42777.535474537035</v>
      </c>
      <c r="B16" s="30" t="s">
        <v>220</v>
      </c>
      <c r="C16" s="30" t="s">
        <v>518</v>
      </c>
      <c r="D16" s="30" t="s">
        <v>49</v>
      </c>
      <c r="E16" s="30" t="s">
        <v>188</v>
      </c>
      <c r="F16" s="43">
        <v>0</v>
      </c>
      <c r="G16" s="43">
        <v>58</v>
      </c>
      <c r="H16" s="43">
        <v>214</v>
      </c>
      <c r="I16" s="43">
        <v>167</v>
      </c>
      <c r="J16" s="30" t="s">
        <v>189</v>
      </c>
      <c r="K16" s="43">
        <v>1</v>
      </c>
      <c r="L16" s="143" t="s">
        <v>51</v>
      </c>
      <c r="M16" s="144">
        <f t="shared" si="0"/>
        <v>87.647999999999996</v>
      </c>
      <c r="N16" s="145" t="str">
        <f>VLOOKUP(C16,'Trips&amp;Operators'!$C$1:$G$99999,5,FALSE)</f>
        <v>DAVIS MICHAEL</v>
      </c>
      <c r="O16" s="194" t="s">
        <v>185</v>
      </c>
      <c r="P16" s="146"/>
      <c r="Q16" s="30"/>
      <c r="R16" s="89" t="str">
        <f>VLOOKUP(C16,'Train Runs'!$A$13:$AE$9958,31,0)</f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S16" s="92" t="str">
        <f>VLOOKUP(C16,'Train Runs'!$A$13:$AE$9958,22,0)</f>
        <v>https://d0f6bd738d7f1b3e5a7ca70fe4ff75f0.us-east-1.aws.found.io/app/kibana#/discover/Steve-Slow-Train-Analysis-(2080s-and-2083s)?_g=(refreshInterval:(display:Off,pause:!f,section:0,value:0),time:(from:'2017-02-11T11:07:27-0700',mode:absolute,to:'2017-02-11T13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6" s="94" t="str">
        <f t="shared" si="1"/>
        <v>"C:\Program Files (x86)\AstroGrep\AstroGrep.exe" /spath="%USERPROFILE%\AppData\Local\Temp\OnboardLogs" /stypes="*4026*201702111*" /stext=" 19:.+((SYSTEM_STATE.+slice.+state.+changed )|(ment ac)|(multiple cpu faults)|(system.+state.+changed )|(\[timeout)|(PRM\|1\|D)|(kpr)|(kdp)|(\|lc)|(penalty))" /e /r /s</v>
      </c>
      <c r="U16" s="9" t="str">
        <f t="shared" si="2"/>
        <v>4026</v>
      </c>
      <c r="V16" s="32">
        <f t="shared" si="3"/>
        <v>42777.827141203699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{"issue":{"subject":"","project_id":79,"tracker_id":40,"status_id":1,"priority_id":2,"assigned_to_id":23,"start_date":"2017-02-11","description":"","custom_fields":[{"id":1,"name":"Subdivision","value":"EC"},{"id":4,"name":"Milepost","value":"0.0001"},{"id":17,"name":"Train ID","value":"162-11"},{"id":16,"name":"Locomotive ID","value":"4026"},{"id":130,"name":"Impact","value":""},{"id":150,"name":"Time of Event (Mountain Time)","value":"12:51:05"},{"id":151,"name":"Denver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"%USERPROFILE%\AppData\Local\Temp\OnboardLogs"\RTDC4026\*4026*201702111*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"%USERPROFILE%\AppData\Local\Temp\OnboardLogs"\RTDC4026\*4026*201702111* &gt;&gt; 2017-02-11-SliceDisagreementCheck.txt</v>
      </c>
      <c r="AE16" s="157" t="str">
        <f t="shared" si="9"/>
        <v>start /low /b %USERPROFILE%\Documents\GitHub\eaglep3\Utilities\DownloadLogsFromS3.py --loco 4026 --day 2017-02-11</v>
      </c>
      <c r="AF16" s="1"/>
    </row>
    <row r="17" spans="1:32" x14ac:dyDescent="0.25">
      <c r="A17" s="32">
        <v>42777.680185185185</v>
      </c>
      <c r="B17" s="30" t="s">
        <v>220</v>
      </c>
      <c r="C17" s="30" t="s">
        <v>523</v>
      </c>
      <c r="D17" s="30" t="s">
        <v>49</v>
      </c>
      <c r="E17" s="30" t="s">
        <v>188</v>
      </c>
      <c r="F17" s="43">
        <v>0</v>
      </c>
      <c r="G17" s="43">
        <v>56</v>
      </c>
      <c r="H17" s="43">
        <v>178</v>
      </c>
      <c r="I17" s="43">
        <v>139</v>
      </c>
      <c r="J17" s="30" t="s">
        <v>189</v>
      </c>
      <c r="K17" s="43">
        <v>1</v>
      </c>
      <c r="L17" s="143" t="s">
        <v>51</v>
      </c>
      <c r="M17" s="144">
        <f t="shared" si="0"/>
        <v>72.864000000000004</v>
      </c>
      <c r="N17" s="145" t="str">
        <f>VLOOKUP(C17,'Trips&amp;Operators'!$C$1:$G$99999,5,FALSE)</f>
        <v>HOLCOMB KAMDEN</v>
      </c>
      <c r="O17" s="194" t="s">
        <v>185</v>
      </c>
      <c r="P17" s="146"/>
      <c r="Q17" s="30"/>
      <c r="R17" s="89" t="str">
        <f>VLOOKUP(C17,'Train Runs'!$A$13:$AE$9958,31,0)</f>
        <v>aws s3 cp s3://rtdc.mdm.uploadarchive.raw/RTDC4026/ "%USERPROFILE%\AppData\Local\Temp\OnboardLogs"\RTDC4026\2017-02-11 --exclude "*" --recursive --include "*20170211*" &amp; "%USERPROFILE%\Documents\GitHub\mrs-test-scripts\Headless Mode &amp; Sideloading\WalkAndUnGZ.bat" "%USERPROFILE%\AppData\Local\Temp\OnboardLogs"\RTDC4026\2017-02-11 &amp; aws s3 cp s3://rtdc.mdm.uploadarchive.raw/RTDC4026/ "%USERPROFILE%\AppData\Local\Temp\OnboardLogs"\RTDC4026\2017-02-12 --exclude "*" --recursive --include "*20170212*" &amp; "%USERPROFILE%\Documents\GitHub\mrs-test-scripts\Headless Mode &amp; Sideloading\WalkAndUnGZ.bat" "%USERPROFILE%\AppData\Local\Temp\OnboardLogs"\RTDC4026\2017-02-12</v>
      </c>
      <c r="S17" s="92" t="str">
        <f>VLOOKUP(C17,'Train Runs'!$A$13:$AE$9958,22,0)</f>
        <v>https://d0f6bd738d7f1b3e5a7ca70fe4ff75f0.us-east-1.aws.found.io/app/kibana#/discover/Steve-Slow-Train-Analysis-(2080s-and-2083s)?_g=(refreshInterval:(display:Off,pause:!f,section:0,value:0),time:(from:'2017-02-11T14:27:03-0700',mode:absolute,to:'2017-02-11T17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7" s="94" t="str">
        <f t="shared" si="1"/>
        <v>"C:\Program Files (x86)\AstroGrep\AstroGrep.exe" /spath="%USERPROFILE%\AppData\Local\Temp\OnboardLogs" /stypes="*4026*201702112*" /stext=" 23:.+((SYSTEM_STATE.+slice.+state.+changed )|(ment ac)|(multiple cpu faults)|(system.+state.+changed )|(\[timeout)|(PRM\|1\|D)|(kpr)|(kdp)|(\|lc)|(penalty))" /e /r /s</v>
      </c>
      <c r="U17" s="9" t="str">
        <f t="shared" si="2"/>
        <v>4026</v>
      </c>
      <c r="V17" s="32">
        <f t="shared" si="3"/>
        <v>42777.971851851849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{"issue":{"subject":"","project_id":79,"tracker_id":40,"status_id":1,"priority_id":2,"assigned_to_id":23,"start_date":"2017-02-11","description":"","custom_fields":[{"id":1,"name":"Subdivision","value":"EC"},{"id":4,"name":"Milepost","value":"0.0001"},{"id":17,"name":"Train ID","value":"190-11"},{"id":16,"name":"Locomotive ID","value":"4026"},{"id":130,"name":"Impact","value":""},{"id":150,"name":"Time of Event (Mountain Time)","value":"16:19:28"},{"id":151,"name":"Denver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"%USERPROFILE%\AppData\Local\Temp\OnboardLogs"\RTDC4026\*4026*201702112*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"%USERPROFILE%\AppData\Local\Temp\OnboardLogs"\RTDC4026\*4026*201702112* &gt;&gt; 2017-02-11-SliceDisagreementCheck.txt</v>
      </c>
      <c r="AE17" s="157" t="str">
        <f t="shared" si="9"/>
        <v>start /low /b %USERPROFILE%\Documents\GitHub\eaglep3\Utilities\DownloadLogsFromS3.py --loco 4026 --day 2017-02-11</v>
      </c>
      <c r="AF17" s="1"/>
    </row>
    <row r="18" spans="1:32" x14ac:dyDescent="0.25">
      <c r="A18" s="32">
        <v>42777.76363425926</v>
      </c>
      <c r="B18" s="30" t="s">
        <v>445</v>
      </c>
      <c r="C18" s="30" t="s">
        <v>525</v>
      </c>
      <c r="D18" s="30" t="s">
        <v>49</v>
      </c>
      <c r="E18" s="30" t="s">
        <v>188</v>
      </c>
      <c r="F18" s="43">
        <v>0</v>
      </c>
      <c r="G18" s="43">
        <v>57</v>
      </c>
      <c r="H18" s="43">
        <v>205</v>
      </c>
      <c r="I18" s="43">
        <v>174</v>
      </c>
      <c r="J18" s="30" t="s">
        <v>189</v>
      </c>
      <c r="K18" s="43">
        <v>1</v>
      </c>
      <c r="L18" s="143" t="s">
        <v>51</v>
      </c>
      <c r="M18" s="144">
        <f t="shared" si="0"/>
        <v>91.343999999999994</v>
      </c>
      <c r="N18" s="145" t="str">
        <f>VLOOKUP(C18,'Trips&amp;Operators'!$C$1:$G$99999,5,FALSE)</f>
        <v>HOLCOMB KAMDEN</v>
      </c>
      <c r="O18" s="194" t="s">
        <v>185</v>
      </c>
      <c r="P18" s="146"/>
      <c r="Q18" s="30"/>
      <c r="R18" s="89" t="str">
        <f>VLOOKUP(C18,'Train Runs'!$A$13:$AE$9958,31,0)</f>
        <v>aws s3 cp s3://rtdc.mdm.uploadarchive.raw/RTDC4012/ "%USERPROFILE%\AppData\Local\Temp\OnboardLogs"\RTDC4012\2017-02-11 --exclude "*" --recursive --include "*20170211*" &amp; "%USERPROFILE%\Documents\GitHub\mrs-test-scripts\Headless Mode &amp; Sideloading\WalkAndUnGZ.bat" "%USERPROFILE%\AppData\Local\Temp\OnboardLogs"\RTDC4012\2017-02-11 &amp; aws s3 cp s3://rtdc.mdm.uploadarchive.raw/RTDC4012/ "%USERPROFILE%\AppData\Local\Temp\OnboardLogs"\RTDC4012\2017-02-12 --exclude "*" --recursive --include "*20170212*" &amp; "%USERPROFILE%\Documents\GitHub\mrs-test-scripts\Headless Mode &amp; Sideloading\WalkAndUnGZ.bat" "%USERPROFILE%\AppData\Local\Temp\OnboardLogs"\RTDC4012\2017-02-12</v>
      </c>
      <c r="S18" s="92" t="str">
        <f>VLOOKUP(C18,'Train Runs'!$A$13:$AE$9958,22,0)</f>
        <v>https://d0f6bd738d7f1b3e5a7ca70fe4ff75f0.us-east-1.aws.found.io/app/kibana#/discover/Steve-Slow-Train-Analysis-(2080s-and-2083s)?_g=(refreshInterval:(display:Off,pause:!f,section:0,value:0),time:(from:'2017-02-11T16:35:23-0700',mode:absolute,to:'2017-02-11T19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8" s="94" t="str">
        <f t="shared" si="1"/>
        <v>"C:\Program Files (x86)\AstroGrep\AstroGrep.exe" /spath="%USERPROFILE%\AppData\Local\Temp\OnboardLogs" /stypes="*4012*201702120*" /stext=" 01:.+((SYSTEM_STATE.+slice.+state.+changed )|(ment ac)|(multiple cpu faults)|(system.+state.+changed )|(\[timeout)|(PRM\|1\|D)|(kpr)|(kdp)|(\|lc)|(penalty))" /e /r /s</v>
      </c>
      <c r="U18" s="9" t="str">
        <f t="shared" si="2"/>
        <v>4012</v>
      </c>
      <c r="V18" s="32">
        <f t="shared" si="3"/>
        <v>42778.055300925924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{"issue":{"subject":"","project_id":79,"tracker_id":40,"status_id":1,"priority_id":2,"assigned_to_id":23,"start_date":"2017-02-11","description":"","custom_fields":[{"id":1,"name":"Subdivision","value":"EC"},{"id":4,"name":"Milepost","value":"0.0001"},{"id":17,"name":"Train ID","value":"206-11"},{"id":16,"name":"Locomotive ID","value":"4012"},{"id":130,"name":"Impact","value":""},{"id":150,"name":"Time of Event (Mountain Time)","value":"18:19:38"},{"id":151,"name":"Denver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"%USERPROFILE%\AppData\Local\Temp\OnboardLogs"\RTDC4012\*4012*201702120*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"%USERPROFILE%\AppData\Local\Temp\OnboardLogs"\RTDC4012\*4012*201702120* &gt;&gt; 2017-02-11-SliceDisagreementCheck.txt</v>
      </c>
      <c r="AE18" s="157" t="str">
        <f t="shared" si="9"/>
        <v>start /low /b %USERPROFILE%\Documents\GitHub\eaglep3\Utilities\DownloadLogsFromS3.py --loco 4012 --day 2017-02-12</v>
      </c>
      <c r="AF18" s="1"/>
    </row>
    <row r="19" spans="1:32" ht="15" customHeight="1" x14ac:dyDescent="0.25">
      <c r="A19" s="32">
        <v>42777.774791666663</v>
      </c>
      <c r="B19" s="30" t="s">
        <v>228</v>
      </c>
      <c r="C19" s="30" t="s">
        <v>526</v>
      </c>
      <c r="D19" s="30" t="s">
        <v>49</v>
      </c>
      <c r="E19" s="30" t="s">
        <v>188</v>
      </c>
      <c r="F19" s="43">
        <v>0</v>
      </c>
      <c r="G19" s="43">
        <v>27</v>
      </c>
      <c r="H19" s="43">
        <v>79</v>
      </c>
      <c r="I19" s="43">
        <v>46</v>
      </c>
      <c r="J19" s="30" t="s">
        <v>189</v>
      </c>
      <c r="K19" s="43">
        <v>1</v>
      </c>
      <c r="L19" s="143" t="s">
        <v>51</v>
      </c>
      <c r="M19" s="144">
        <f t="shared" si="0"/>
        <v>23.76</v>
      </c>
      <c r="N19" s="145" t="str">
        <f>VLOOKUP(C19,'Trips&amp;Operators'!$C$1:$G$99999,5,FALSE)</f>
        <v>KILLION DAVID</v>
      </c>
      <c r="O19" s="194" t="s">
        <v>185</v>
      </c>
      <c r="P19" s="146"/>
      <c r="Q19" s="30"/>
      <c r="R19" s="89" t="str">
        <f>VLOOKUP(C19,'Train Runs'!$A$13:$AE$9958,31,0)</f>
        <v>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 &amp; 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</v>
      </c>
      <c r="S19" s="92" t="str">
        <f>VLOOKUP(C19,'Train Runs'!$A$13:$AE$9958,22,0)</f>
        <v>https://d0f6bd738d7f1b3e5a7ca70fe4ff75f0.us-east-1.aws.found.io/app/kibana#/discover/Steve-Slow-Train-Analysis-(2080s-and-2083s)?_g=(refreshInterval:(display:Off,pause:!f,section:0,value:0),time:(from:'2017-02-11T15:54:07-0700',mode:absolute,to:'2017-02-11T19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9" s="94" t="str">
        <f t="shared" si="1"/>
        <v>"C:\Program Files (x86)\AstroGrep\AstroGrep.exe" /spath="%USERPROFILE%\AppData\Local\Temp\OnboardLogs" /stypes="*4028*201702120*" /stext=" 01:.+((SYSTEM_STATE.+slice.+state.+changed )|(ment ac)|(multiple cpu faults)|(system.+state.+changed )|(\[timeout)|(PRM\|1\|D)|(kpr)|(kdp)|(\|lc)|(penalty))" /e /r /s</v>
      </c>
      <c r="U19" s="9" t="str">
        <f t="shared" si="2"/>
        <v>4028</v>
      </c>
      <c r="V19" s="32">
        <f t="shared" si="3"/>
        <v>42778.066458333327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{"issue":{"subject":"","project_id":79,"tracker_id":40,"status_id":1,"priority_id":2,"assigned_to_id":23,"start_date":"2017-02-11","description":"","custom_fields":[{"id":1,"name":"Subdivision","value":"EC"},{"id":4,"name":"Milepost","value":"0.0001"},{"id":17,"name":"Train ID","value":"208-11"},{"id":16,"name":"Locomotive ID","value":"4028"},{"id":130,"name":"Impact","value":""},{"id":150,"name":"Time of Event (Mountain Time)","value":"18:35:42"},{"id":151,"name":"Denver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"%USERPROFILE%\AppData\Local\Temp\OnboardLogs"\RTDC4028\*4028*201702120*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"%USERPROFILE%\AppData\Local\Temp\OnboardLogs"\RTDC4028\*4028*201702120* &gt;&gt; 2017-02-11-SliceDisagreementCheck.txt</v>
      </c>
      <c r="AE19" s="157" t="str">
        <f t="shared" si="9"/>
        <v>start /low /b %USERPROFILE%\Documents\GitHub\eaglep3\Utilities\DownloadLogsFromS3.py --loco 4028 --day 2017-02-12</v>
      </c>
      <c r="AF19" s="1"/>
    </row>
    <row r="20" spans="1:32" x14ac:dyDescent="0.25">
      <c r="A20" s="32">
        <v>42777.857291666667</v>
      </c>
      <c r="B20" s="30" t="s">
        <v>313</v>
      </c>
      <c r="C20" s="30" t="s">
        <v>529</v>
      </c>
      <c r="D20" s="30" t="s">
        <v>49</v>
      </c>
      <c r="E20" s="30" t="s">
        <v>188</v>
      </c>
      <c r="F20" s="43">
        <v>0</v>
      </c>
      <c r="G20" s="43">
        <v>74</v>
      </c>
      <c r="H20" s="43">
        <v>283</v>
      </c>
      <c r="I20" s="43">
        <v>205</v>
      </c>
      <c r="J20" s="30" t="s">
        <v>189</v>
      </c>
      <c r="K20" s="43">
        <v>1</v>
      </c>
      <c r="L20" s="143" t="s">
        <v>51</v>
      </c>
      <c r="M20" s="144">
        <f t="shared" si="0"/>
        <v>107.712</v>
      </c>
      <c r="N20" s="145" t="str">
        <f>VLOOKUP(C20,'Trips&amp;Operators'!$C$1:$G$99999,5,FALSE)</f>
        <v>BROWN JACOB</v>
      </c>
      <c r="O20" s="194" t="s">
        <v>185</v>
      </c>
      <c r="P20" s="146"/>
      <c r="Q20" s="30"/>
      <c r="R20" s="89" t="str">
        <f>VLOOKUP(C20,'Train Runs'!$A$13:$AE$9958,31,0)</f>
        <v>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 &amp; 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</v>
      </c>
      <c r="S20" s="92" t="str">
        <f>VLOOKUP(C20,'Train Runs'!$A$13:$AE$9958,22,0)</f>
        <v>https://d0f6bd738d7f1b3e5a7ca70fe4ff75f0.us-east-1.aws.found.io/app/kibana#/discover/Steve-Slow-Train-Analysis-(2080s-and-2083s)?_g=(refreshInterval:(display:Off,pause:!f,section:0,value:0),time:(from:'2017-02-11T18:49:58-0700',mode:absolute,to:'2017-02-11T21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0" s="94" t="str">
        <f t="shared" si="1"/>
        <v>"C:\Program Files (x86)\AstroGrep\AstroGrep.exe" /spath="%USERPROFILE%\AppData\Local\Temp\OnboardLogs" /stypes="*4019*201702120*" /stext=" 03:.+((SYSTEM_STATE.+slice.+state.+changed )|(ment ac)|(multiple cpu faults)|(system.+state.+changed )|(\[timeout)|(PRM\|1\|D)|(kpr)|(kdp)|(\|lc)|(penalty))" /e /r /s</v>
      </c>
      <c r="U20" s="9" t="str">
        <f t="shared" si="2"/>
        <v>4019</v>
      </c>
      <c r="V20" s="32">
        <f t="shared" si="3"/>
        <v>42778.148958333331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{"issue":{"subject":"","project_id":79,"tracker_id":40,"status_id":1,"priority_id":2,"assigned_to_id":23,"start_date":"2017-02-11","description":"","custom_fields":[{"id":1,"name":"Subdivision","value":"EC"},{"id":4,"name":"Milepost","value":"0.0001"},{"id":17,"name":"Train ID","value":"222-11"},{"id":16,"name":"Locomotive ID","value":"4019"},{"id":130,"name":"Impact","value":""},{"id":150,"name":"Time of Event (Mountain Time)","value":"20:34:30"},{"id":151,"name":"Denver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"%USERPROFILE%\AppData\Local\Temp\OnboardLogs"\RTDC4019\*4019*201702120*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"%USERPROFILE%\AppData\Local\Temp\OnboardLogs"\RTDC4019\*4019*201702120* &gt;&gt; 2017-02-11-SliceDisagreementCheck.txt</v>
      </c>
      <c r="AE20" s="157" t="str">
        <f t="shared" si="9"/>
        <v>start /low /b %USERPROFILE%\Documents\GitHub\eaglep3\Utilities\DownloadLogsFromS3.py --loco 4019 --day 2017-02-12</v>
      </c>
      <c r="AF20" s="1"/>
    </row>
    <row r="21" spans="1:32" x14ac:dyDescent="0.25">
      <c r="A21" s="32">
        <v>42777.295706018522</v>
      </c>
      <c r="B21" s="30" t="s">
        <v>327</v>
      </c>
      <c r="C21" s="30" t="s">
        <v>514</v>
      </c>
      <c r="D21" s="30" t="s">
        <v>49</v>
      </c>
      <c r="E21" s="30" t="s">
        <v>188</v>
      </c>
      <c r="F21" s="43">
        <v>0</v>
      </c>
      <c r="G21" s="43">
        <v>51</v>
      </c>
      <c r="H21" s="43">
        <v>233301</v>
      </c>
      <c r="I21" s="43">
        <v>233339</v>
      </c>
      <c r="J21" s="30" t="s">
        <v>189</v>
      </c>
      <c r="K21" s="43">
        <v>233491</v>
      </c>
      <c r="L21" s="143" t="s">
        <v>50</v>
      </c>
      <c r="M21" s="144">
        <f t="shared" si="0"/>
        <v>80.256</v>
      </c>
      <c r="N21" s="145" t="str">
        <f>VLOOKUP(C21,'Trips&amp;Operators'!$C$1:$G$99999,5,FALSE)</f>
        <v>OUN ZACK</v>
      </c>
      <c r="O21" s="194" t="s">
        <v>185</v>
      </c>
      <c r="P21" s="146"/>
      <c r="Q21" s="30"/>
      <c r="R21" s="89" t="str">
        <f>VLOOKUP(C21,'Train Runs'!$A$13:$AE$9958,31,0)</f>
        <v>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 &amp; 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</v>
      </c>
      <c r="S21" s="92" t="str">
        <f>VLOOKUP(C21,'Train Runs'!$A$13:$AE$9958,22,0)</f>
        <v>https://d0f6bd738d7f1b3e5a7ca70fe4ff75f0.us-east-1.aws.found.io/app/kibana#/discover/Steve-Slow-Train-Analysis-(2080s-and-2083s)?_g=(refreshInterval:(display:Off,pause:!f,section:0,value:0),time:(from:'2017-02-11T05:26:37-0700',mode:absolute,to:'2017-02-11T08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94" t="str">
        <f t="shared" si="1"/>
        <v>"C:\Program Files (x86)\AstroGrep\AstroGrep.exe" /spath="%USERPROFILE%\AppData\Local\Temp\OnboardLogs" /stypes="*4031*201702111*" /stext=" 14:.+((SYSTEM_STATE.+slice.+state.+changed )|(ment ac)|(multiple cpu faults)|(system.+state.+changed )|(\[timeout)|(PRM\|1\|D)|(kpr)|(kdp)|(\|lc)|(penalty))" /e /r /s</v>
      </c>
      <c r="U21" s="9" t="str">
        <f t="shared" si="2"/>
        <v>4031</v>
      </c>
      <c r="V21" s="32">
        <f t="shared" si="3"/>
        <v>42777.587372685186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{"issue":{"subject":"","project_id":79,"tracker_id":40,"status_id":1,"priority_id":2,"assigned_to_id":23,"start_date":"2017-02-11","description":"","custom_fields":[{"id":1,"name":"Subdivision","value":"EC"},{"id":4,"name":"Milepost","value":"23.3491"},{"id":17,"name":"Train ID","value":"123-11"},{"id":16,"name":"Locomotive ID","value":"4031"},{"id":130,"name":"Impact","value":""},{"id":150,"name":"Time of Event (Mountain Time)","value":"07:05:49"},{"id":151,"name":"Denver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"%USERPROFILE%\AppData\Local\Temp\OnboardLogs"\RTDC4031\*4031*201702111*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"%USERPROFILE%\AppData\Local\Temp\OnboardLogs"\RTDC4031\*4031*201702111* &gt;&gt; 2017-02-11-SliceDisagreementCheck.txt</v>
      </c>
      <c r="AE21" s="157" t="str">
        <f t="shared" si="9"/>
        <v>start /low /b %USERPROFILE%\Documents\GitHub\eaglep3\Utilities\DownloadLogsFromS3.py --loco 4031 --day 2017-02-11</v>
      </c>
      <c r="AF21" s="1"/>
    </row>
    <row r="22" spans="1:32" x14ac:dyDescent="0.25">
      <c r="A22" s="32">
        <v>42777.641886574071</v>
      </c>
      <c r="B22" s="30" t="s">
        <v>243</v>
      </c>
      <c r="C22" s="30" t="s">
        <v>521</v>
      </c>
      <c r="D22" s="30" t="s">
        <v>49</v>
      </c>
      <c r="E22" s="30" t="s">
        <v>188</v>
      </c>
      <c r="F22" s="43">
        <v>0</v>
      </c>
      <c r="G22" s="43">
        <v>69</v>
      </c>
      <c r="H22" s="43">
        <v>233240</v>
      </c>
      <c r="I22" s="43">
        <v>233289</v>
      </c>
      <c r="J22" s="30" t="s">
        <v>189</v>
      </c>
      <c r="K22" s="43">
        <v>233491</v>
      </c>
      <c r="L22" s="143" t="s">
        <v>50</v>
      </c>
      <c r="M22" s="144">
        <f t="shared" si="0"/>
        <v>106.65600000000001</v>
      </c>
      <c r="N22" s="145" t="str">
        <f>VLOOKUP(C22,'Trips&amp;Operators'!$C$1:$G$99999,5,FALSE)</f>
        <v>HOLCOMB KAMDEN</v>
      </c>
      <c r="O22" s="194" t="s">
        <v>185</v>
      </c>
      <c r="P22" s="146"/>
      <c r="Q22" s="30"/>
      <c r="R22" s="89" t="str">
        <f>VLOOKUP(C22,'Train Runs'!$A$13:$AE$9958,31,0)</f>
        <v>aws s3 cp s3://rtdc.mdm.uploadarchive.raw/RTDC4025/ "%USERPROFILE%\AppData\Local\Temp\OnboardLogs"\RTDC4025\2017-02-11 --exclude "*" --recursive --include "*20170211*" &amp; "%USERPROFILE%\Documents\GitHub\mrs-test-scripts\Headless Mode &amp; Sideloading\WalkAndUnGZ.bat" "%USERPROFILE%\AppData\Local\Temp\OnboardLogs"\RTDC4025\2017-02-11 &amp; aws s3 cp s3://rtdc.mdm.uploadarchive.raw/RTDC4025/ "%USERPROFILE%\AppData\Local\Temp\OnboardLogs"\RTDC4025\2017-02-12 --exclude "*" --recursive --include "*20170212*" &amp; "%USERPROFILE%\Documents\GitHub\mrs-test-scripts\Headless Mode &amp; Sideloading\WalkAndUnGZ.bat" "%USERPROFILE%\AppData\Local\Temp\OnboardLogs"\RTDC4025\2017-02-12</v>
      </c>
      <c r="S22" s="92" t="str">
        <f>VLOOKUP(C22,'Train Runs'!$A$13:$AE$9958,22,0)</f>
        <v>https://d0f6bd738d7f1b3e5a7ca70fe4ff75f0.us-east-1.aws.found.io/app/kibana#/discover/Steve-Slow-Train-Analysis-(2080s-and-2083s)?_g=(refreshInterval:(display:Off,pause:!f,section:0,value:0),time:(from:'2017-02-11T13:40:47-0700',mode:absolute,to:'2017-02-11T16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2" s="94" t="str">
        <f t="shared" si="1"/>
        <v>"C:\Program Files (x86)\AstroGrep\AstroGrep.exe" /spath="%USERPROFILE%\AppData\Local\Temp\OnboardLogs" /stypes="*4025*201702112*" /stext=" 22:.+((SYSTEM_STATE.+slice.+state.+changed )|(ment ac)|(multiple cpu faults)|(system.+state.+changed )|(\[timeout)|(PRM\|1\|D)|(kpr)|(kdp)|(\|lc)|(penalty))" /e /r /s</v>
      </c>
      <c r="U22" s="9" t="str">
        <f t="shared" si="2"/>
        <v>4025</v>
      </c>
      <c r="V22" s="32">
        <f t="shared" si="3"/>
        <v>42777.933553240735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{"issue":{"subject":"","project_id":79,"tracker_id":40,"status_id":1,"priority_id":2,"assigned_to_id":23,"start_date":"2017-02-11","description":"","custom_fields":[{"id":1,"name":"Subdivision","value":"EC"},{"id":4,"name":"Milepost","value":"23.3491"},{"id":17,"name":"Train ID","value":"189-11"},{"id":16,"name":"Locomotive ID","value":"4025"},{"id":130,"name":"Impact","value":""},{"id":150,"name":"Time of Event (Mountain Time)","value":"15:24:19"},{"id":151,"name":"Denver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"%USERPROFILE%\AppData\Local\Temp\OnboardLogs"\RTDC4025\*4025*201702112*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"%USERPROFILE%\AppData\Local\Temp\OnboardLogs"\RTDC4025\*4025*201702112* &gt;&gt; 2017-02-11-SliceDisagreementCheck.txt</v>
      </c>
      <c r="AE22" s="157" t="str">
        <f t="shared" si="9"/>
        <v>start /low /b %USERPROFILE%\Documents\GitHub\eaglep3\Utilities\DownloadLogsFromS3.py --loco 4025 --day 2017-02-11</v>
      </c>
      <c r="AF22" s="1"/>
    </row>
    <row r="23" spans="1:32" x14ac:dyDescent="0.25">
      <c r="A23" s="32">
        <v>42778.009155092594</v>
      </c>
      <c r="B23" s="30" t="s">
        <v>338</v>
      </c>
      <c r="C23" s="30" t="s">
        <v>531</v>
      </c>
      <c r="D23" s="30" t="s">
        <v>98</v>
      </c>
      <c r="E23" s="30" t="s">
        <v>188</v>
      </c>
      <c r="F23" s="43">
        <v>0</v>
      </c>
      <c r="G23" s="43">
        <v>1</v>
      </c>
      <c r="H23" s="43">
        <v>233491</v>
      </c>
      <c r="I23" s="43">
        <v>233491</v>
      </c>
      <c r="J23" s="30" t="s">
        <v>189</v>
      </c>
      <c r="K23" s="43">
        <v>233491</v>
      </c>
      <c r="L23" s="143" t="s">
        <v>50</v>
      </c>
      <c r="M23" s="144">
        <f t="shared" si="0"/>
        <v>0</v>
      </c>
      <c r="N23" s="145" t="str">
        <f>VLOOKUP(C23,'Trips&amp;Operators'!$C$1:$G$99999,5,FALSE)</f>
        <v>SMITH MICHAEL</v>
      </c>
      <c r="O23" s="194" t="s">
        <v>185</v>
      </c>
      <c r="P23" s="146"/>
      <c r="Q23" s="30"/>
      <c r="R23" s="89" t="str">
        <f>VLOOKUP(C23,'Train Runs'!$A$13:$AE$9958,31,0)</f>
        <v>aws s3 cp s3://rtdc.mdm.uploadarchive.raw/RTDC4044/ "%USERPROFILE%\AppData\Local\Temp\OnboardLogs"\RTDC4044\2017-02-11 --exclude "*" --recursive --include "*20170211*" &amp; "%USERPROFILE%\Documents\GitHub\mrs-test-scripts\Headless Mode &amp; Sideloading\WalkAndUnGZ.bat" "%USERPROFILE%\AppData\Local\Temp\OnboardLogs"\RTDC4044\2017-02-11 &amp; aws s3 cp s3://rtdc.mdm.uploadarchive.raw/RTDC4044/ "%USERPROFILE%\AppData\Local\Temp\OnboardLogs"\RTDC4044\2017-02-12 --exclude "*" --recursive --include "*20170212*" &amp; "%USERPROFILE%\Documents\GitHub\mrs-test-scripts\Headless Mode &amp; Sideloading\WalkAndUnGZ.bat" "%USERPROFILE%\AppData\Local\Temp\OnboardLogs"\RTDC4044\2017-02-12</v>
      </c>
      <c r="S23" s="92" t="str">
        <f>VLOOKUP(C23,'Train Runs'!$A$13:$AE$9958,22,0)</f>
        <v>https://d0f6bd738d7f1b3e5a7ca70fe4ff75f0.us-east-1.aws.found.io/app/kibana#/discover/Steve-Slow-Train-Analysis-(2080s-and-2083s)?_g=(refreshInterval:(display:Off,pause:!f,section:0,value:0),time:(from:'2017-02-11T22:10:19-0700',mode:absolute,to:'2017-02-12T01:10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3" s="94" t="str">
        <f t="shared" si="1"/>
        <v>"C:\Program Files (x86)\AstroGrep\AstroGrep.exe" /spath="%USERPROFILE%\AppData\Local\Temp\OnboardLogs" /stypes="*4044*201702120*" /stext=" 07:.+((SYSTEM_STATE.+slice.+state.+changed )|(ment ac)|(multiple cpu faults)|(system.+state.+changed )|(\[timeout)|(PRM\|1\|D)|(kpr)|(kdp)|(\|lc)|(penalty))" /e /r /s</v>
      </c>
      <c r="U23" s="9" t="str">
        <f t="shared" si="2"/>
        <v>4044</v>
      </c>
      <c r="V23" s="32">
        <f t="shared" si="3"/>
        <v>42778.300821759258</v>
      </c>
      <c r="W23" s="46" t="str">
        <f t="shared" si="4"/>
        <v>EC</v>
      </c>
      <c r="X23" s="46" t="str">
        <f t="shared" si="5"/>
        <v>OMIT</v>
      </c>
      <c r="Y23" s="108" t="str">
        <f t="shared" si="6"/>
        <v>echo {"issue":{"subject":"","project_id":79,"tracker_id":40,"status_id":1,"priority_id":2,"assigned_to_id":23,"start_date":"2017-02-12","description":"","custom_fields":[{"id":1,"name":"Subdivision","value":"EC"},{"id":4,"name":"Milepost","value":"23.3491"},{"id":17,"name":"Train ID","value":"239-11"},{"id":16,"name":"Locomotive ID","value":"4044"},{"id":130,"name":"Impact","value":""},{"id":150,"name":"Time of Event (Mountain Time)","value":"00:13:11"},{"id":151,"name":"Denver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"%USERPROFILE%\AppData\Local\Temp\OnboardLogs"\RTDC4044\*4044*201702120*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"%USERPROFILE%\AppData\Local\Temp\OnboardLogs"\RTDC4044\*4044*201702120* &gt;&gt; 2017-02-11-SliceDisagreementCheck.txt</v>
      </c>
      <c r="AE23" s="157" t="str">
        <f t="shared" si="9"/>
        <v>start /low /b %USERPROFILE%\Documents\GitHub\eaglep3\Utilities\DownloadLogsFromS3.py --loco 4044 --day 2017-02-12</v>
      </c>
      <c r="AF23" s="1"/>
    </row>
    <row r="24" spans="1:32" x14ac:dyDescent="0.25">
      <c r="A24" s="32">
        <v>42778.009212962963</v>
      </c>
      <c r="B24" s="30" t="s">
        <v>338</v>
      </c>
      <c r="C24" s="30" t="s">
        <v>531</v>
      </c>
      <c r="D24" s="30" t="s">
        <v>98</v>
      </c>
      <c r="E24" s="30" t="s">
        <v>188</v>
      </c>
      <c r="F24" s="43">
        <v>0</v>
      </c>
      <c r="G24" s="43">
        <v>5</v>
      </c>
      <c r="H24" s="43">
        <v>233492</v>
      </c>
      <c r="I24" s="43">
        <v>0</v>
      </c>
      <c r="J24" s="30" t="s">
        <v>189</v>
      </c>
      <c r="K24" s="43">
        <v>233491</v>
      </c>
      <c r="L24" s="143" t="s">
        <v>50</v>
      </c>
      <c r="M24" s="144">
        <f t="shared" si="0"/>
        <v>123283.24800000001</v>
      </c>
      <c r="N24" s="145" t="str">
        <f>VLOOKUP(C24,'Trips&amp;Operators'!$C$1:$G$99999,5,FALSE)</f>
        <v>SMITH MICHAEL</v>
      </c>
      <c r="O24" s="194" t="s">
        <v>185</v>
      </c>
      <c r="P24" s="146"/>
      <c r="Q24" s="30"/>
      <c r="R24" s="89" t="str">
        <f>VLOOKUP(C24,'Train Runs'!$A$13:$AE$9958,31,0)</f>
        <v>aws s3 cp s3://rtdc.mdm.uploadarchive.raw/RTDC4044/ "%USERPROFILE%\AppData\Local\Temp\OnboardLogs"\RTDC4044\2017-02-11 --exclude "*" --recursive --include "*20170211*" &amp; "%USERPROFILE%\Documents\GitHub\mrs-test-scripts\Headless Mode &amp; Sideloading\WalkAndUnGZ.bat" "%USERPROFILE%\AppData\Local\Temp\OnboardLogs"\RTDC4044\2017-02-11 &amp; aws s3 cp s3://rtdc.mdm.uploadarchive.raw/RTDC4044/ "%USERPROFILE%\AppData\Local\Temp\OnboardLogs"\RTDC4044\2017-02-12 --exclude "*" --recursive --include "*20170212*" &amp; "%USERPROFILE%\Documents\GitHub\mrs-test-scripts\Headless Mode &amp; Sideloading\WalkAndUnGZ.bat" "%USERPROFILE%\AppData\Local\Temp\OnboardLogs"\RTDC4044\2017-02-12</v>
      </c>
      <c r="S24" s="92" t="str">
        <f>VLOOKUP(C24,'Train Runs'!$A$13:$AE$9958,22,0)</f>
        <v>https://d0f6bd738d7f1b3e5a7ca70fe4ff75f0.us-east-1.aws.found.io/app/kibana#/discover/Steve-Slow-Train-Analysis-(2080s-and-2083s)?_g=(refreshInterval:(display:Off,pause:!f,section:0,value:0),time:(from:'2017-02-11T22:10:19-0700',mode:absolute,to:'2017-02-12T01:10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4" s="94" t="str">
        <f t="shared" si="1"/>
        <v>"C:\Program Files (x86)\AstroGrep\AstroGrep.exe" /spath="%USERPROFILE%\AppData\Local\Temp\OnboardLogs" /stypes="*4044*201702120*" /stext=" 07:.+((SYSTEM_STATE.+slice.+state.+changed )|(ment ac)|(multiple cpu faults)|(system.+state.+changed )|(\[timeout)|(PRM\|1\|D)|(kpr)|(kdp)|(\|lc)|(penalty))" /e /r /s</v>
      </c>
      <c r="U24" s="9" t="str">
        <f t="shared" si="2"/>
        <v>4044</v>
      </c>
      <c r="V24" s="32">
        <f t="shared" si="3"/>
        <v>42778.300879629627</v>
      </c>
      <c r="W24" s="46" t="str">
        <f t="shared" si="4"/>
        <v>EC</v>
      </c>
      <c r="X24" s="46" t="str">
        <f t="shared" si="5"/>
        <v>OMIT</v>
      </c>
      <c r="Y24" s="108" t="str">
        <f t="shared" si="6"/>
        <v>echo {"issue":{"subject":"","project_id":79,"tracker_id":40,"status_id":1,"priority_id":2,"assigned_to_id":23,"start_date":"2017-02-12","description":"","custom_fields":[{"id":1,"name":"Subdivision","value":"EC"},{"id":4,"name":"Milepost","value":"23.3491"},{"id":17,"name":"Train ID","value":"239-11"},{"id":16,"name":"Locomotive ID","value":"4044"},{"id":130,"name":"Impact","value":""},{"id":150,"name":"Time of Event (Mountain Time)","value":"00:13:16"},{"id":151,"name":"Denver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"%USERPROFILE%\AppData\Local\Temp\OnboardLogs"\RTDC4044\*4044*201702120*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"%USERPROFILE%\AppData\Local\Temp\OnboardLogs"\RTDC4044\*4044*201702120* &gt;&gt; 2017-02-11-SliceDisagreementCheck.txt</v>
      </c>
      <c r="AE24" s="157" t="str">
        <f t="shared" si="9"/>
        <v>start /low /b %USERPROFILE%\Documents\GitHub\eaglep3\Utilities\DownloadLogsFromS3.py --loco 4044 --day 2017-02-12</v>
      </c>
      <c r="AF24" s="1"/>
    </row>
    <row r="25" spans="1:32" x14ac:dyDescent="0.25">
      <c r="A25" s="32">
        <v>42777.849907407406</v>
      </c>
      <c r="B25" s="30" t="s">
        <v>302</v>
      </c>
      <c r="C25" s="30" t="s">
        <v>528</v>
      </c>
      <c r="D25" s="30" t="s">
        <v>49</v>
      </c>
      <c r="E25" s="30" t="s">
        <v>186</v>
      </c>
      <c r="F25" s="43">
        <v>0</v>
      </c>
      <c r="G25" s="43">
        <v>191</v>
      </c>
      <c r="H25" s="43">
        <v>6303</v>
      </c>
      <c r="I25" s="43">
        <v>6654</v>
      </c>
      <c r="J25" s="30" t="s">
        <v>187</v>
      </c>
      <c r="K25" s="43">
        <v>6798</v>
      </c>
      <c r="L25" s="143" t="s">
        <v>50</v>
      </c>
      <c r="M25" s="144">
        <f t="shared" si="0"/>
        <v>76.031999999999996</v>
      </c>
      <c r="N25" s="145" t="str">
        <f>VLOOKUP(C25,'Trips&amp;Operators'!$C$1:$G$99999,5,FALSE)</f>
        <v>HELVIE ADAM</v>
      </c>
      <c r="O25" s="194" t="s">
        <v>217</v>
      </c>
      <c r="P25" s="146" t="s">
        <v>444</v>
      </c>
      <c r="Q25" s="30"/>
      <c r="R25" s="89" t="str">
        <f>VLOOKUP(C25,'Train Runs'!$A$13:$AE$9958,31,0)</f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S25" s="92" t="str">
        <f>VLOOKUP(C25,'Train Runs'!$A$13:$AE$9958,22,0)</f>
        <v>https://d0f6bd738d7f1b3e5a7ca70fe4ff75f0.us-east-1.aws.found.io/app/kibana#/discover/Steve-Slow-Train-Analysis-(2080s-and-2083s)?_g=(refreshInterval:(display:Off,pause:!f,section:0,value:0),time:(from:'2017-02-11T19:17:48-0700',mode:absolute,to:'2017-02-11T21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5" s="94" t="str">
        <f t="shared" si="1"/>
        <v>"C:\Program Files (x86)\AstroGrep\AstroGrep.exe" /spath="%USERPROFILE%\AppData\Local\Temp\OnboardLogs" /stypes="*4009*201702120*" /stext=" 03:.+((SYSTEM_STATE.+slice.+state.+changed )|(ment ac)|(multiple cpu faults)|(system.+state.+changed )|(\[timeout)|(PRM\|1\|D)|(kpr)|(kdp)|(\|lc)|(penalty))" /e /r /s</v>
      </c>
      <c r="U25" s="9" t="str">
        <f t="shared" si="2"/>
        <v>4009</v>
      </c>
      <c r="V25" s="32">
        <f t="shared" si="3"/>
        <v>42778.14157407407</v>
      </c>
      <c r="W25" s="46" t="str">
        <f t="shared" si="4"/>
        <v>NW</v>
      </c>
      <c r="X25" s="46" t="str">
        <f t="shared" si="5"/>
        <v>KEEP</v>
      </c>
      <c r="Y25" s="108" t="str">
        <f t="shared" si="6"/>
        <v>echo {"issue":{"subject":"Wi-MAX data drop","project_id":79,"tracker_id":40,"status_id":1,"priority_id":2,"assigned_to_id":23,"start_date":"2017-02-11","description":"","custom_fields":[{"id":1,"name":"Subdivision","value":"NW"},{"id":4,"name":"Milepost","value":"0.6798"},{"id":17,"name":"Train ID","value":"1829-11"},{"id":16,"name":"Locomotive ID","value":"4009"},{"id":130,"name":"Impact","value":""},{"id":150,"name":"Time of Event (Mountain Time)","value":"20:23:52"},{"id":151,"name":"Denver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"%USERPROFILE%\AppData\Local\Temp\OnboardLogs"\RTDC4009\*4009*201702120*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"%USERPROFILE%\AppData\Local\Temp\OnboardLogs"\RTDC4009\*4009*201702120* &gt;&gt; 2017-02-11-SliceDisagreementCheck.txt</v>
      </c>
      <c r="AE25" s="157" t="str">
        <f t="shared" si="9"/>
        <v>start /low /b %USERPROFILE%\Documents\GitHub\eaglep3\Utilities\DownloadLogsFromS3.py --loco 4009 --day 2017-02-12</v>
      </c>
      <c r="AF25" s="1"/>
    </row>
    <row r="26" spans="1:32" x14ac:dyDescent="0.25">
      <c r="A26" s="32">
        <v>42777.601967592593</v>
      </c>
      <c r="B26" s="30" t="s">
        <v>302</v>
      </c>
      <c r="C26" s="30" t="s">
        <v>519</v>
      </c>
      <c r="D26" s="30" t="s">
        <v>49</v>
      </c>
      <c r="E26" s="30" t="s">
        <v>186</v>
      </c>
      <c r="F26" s="43">
        <v>0</v>
      </c>
      <c r="G26" s="43">
        <v>451</v>
      </c>
      <c r="H26" s="43">
        <v>25483</v>
      </c>
      <c r="I26" s="43">
        <v>26911</v>
      </c>
      <c r="J26" s="30" t="s">
        <v>187</v>
      </c>
      <c r="K26" s="43">
        <v>26941</v>
      </c>
      <c r="L26" s="143" t="s">
        <v>50</v>
      </c>
      <c r="M26" s="144">
        <f t="shared" si="0"/>
        <v>15.84</v>
      </c>
      <c r="N26" s="145" t="str">
        <f>VLOOKUP(C26,'Trips&amp;Operators'!$C$1:$G$99999,5,FALSE)</f>
        <v>DELGADO DIANAH</v>
      </c>
      <c r="O26" s="194" t="s">
        <v>217</v>
      </c>
      <c r="P26" s="146" t="s">
        <v>444</v>
      </c>
      <c r="Q26" s="30"/>
      <c r="R26" s="89" t="str">
        <f>VLOOKUP(C26,'Train Runs'!$A$13:$AE$9958,31,0)</f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S26" s="92" t="str">
        <f>VLOOKUP(C26,'Train Runs'!$A$13:$AE$9958,22,0)</f>
        <v>https://d0f6bd738d7f1b3e5a7ca70fe4ff75f0.us-east-1.aws.found.io/app/kibana#/discover/Steve-Slow-Train-Analysis-(2080s-and-2083s)?_g=(refreshInterval:(display:Off,pause:!f,section:0,value:0),time:(from:'2017-02-11T13:12:54-0700',mode:absolute,to:'2017-02-11T15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6" s="94" t="str">
        <f t="shared" si="1"/>
        <v>"C:\Program Files (x86)\AstroGrep\AstroGrep.exe" /spath="%USERPROFILE%\AppData\Local\Temp\OnboardLogs" /stypes="*4009*201702112*" /stext=" 21:.+((SYSTEM_STATE.+slice.+state.+changed )|(ment ac)|(multiple cpu faults)|(system.+state.+changed )|(\[timeout)|(PRM\|1\|D)|(kpr)|(kdp)|(\|lc)|(penalty))" /e /r /s</v>
      </c>
      <c r="U26" s="9" t="str">
        <f t="shared" si="2"/>
        <v>4009</v>
      </c>
      <c r="V26" s="32">
        <f t="shared" si="3"/>
        <v>42777.893634259257</v>
      </c>
      <c r="W26" s="46" t="str">
        <f t="shared" si="4"/>
        <v>NW</v>
      </c>
      <c r="X26" s="46" t="str">
        <f t="shared" si="5"/>
        <v>KEEP</v>
      </c>
      <c r="Y26" s="108" t="str">
        <f t="shared" si="6"/>
        <v>echo {"issue":{"subject":"Wi-MAX data drop","project_id":79,"tracker_id":40,"status_id":1,"priority_id":2,"assigned_to_id":23,"start_date":"2017-02-11","description":"","custom_fields":[{"id":1,"name":"Subdivision","value":"NW"},{"id":4,"name":"Milepost","value":"2.6941"},{"id":17,"name":"Train ID","value":"1817-11"},{"id":16,"name":"Locomotive ID","value":"4009"},{"id":130,"name":"Impact","value":""},{"id":150,"name":"Time of Event (Mountain Time)","value":"14:26:50"},{"id":151,"name":"Denver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"%USERPROFILE%\AppData\Local\Temp\OnboardLogs"\RTDC4009\*4009*201702112*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"%USERPROFILE%\AppData\Local\Temp\OnboardLogs"\RTDC4009\*4009*201702112* &gt;&gt; 2017-02-11-SliceDisagreementCheck.txt</v>
      </c>
      <c r="AE26" s="157" t="str">
        <f t="shared" si="9"/>
        <v>start /low /b %USERPROFILE%\Documents\GitHub\eaglep3\Utilities\DownloadLogsFromS3.py --loco 4009 --day 2017-02-11</v>
      </c>
      <c r="AF26" s="1"/>
    </row>
    <row r="27" spans="1:32" x14ac:dyDescent="0.25">
      <c r="A27" s="32">
        <v>42777.663148148145</v>
      </c>
      <c r="B27" s="30" t="s">
        <v>432</v>
      </c>
      <c r="C27" s="30" t="s">
        <v>522</v>
      </c>
      <c r="D27" s="30" t="s">
        <v>49</v>
      </c>
      <c r="E27" s="30" t="s">
        <v>188</v>
      </c>
      <c r="F27" s="43">
        <v>0</v>
      </c>
      <c r="G27" s="43">
        <v>51</v>
      </c>
      <c r="H27" s="43">
        <v>754</v>
      </c>
      <c r="I27" s="43">
        <v>715</v>
      </c>
      <c r="J27" s="30" t="s">
        <v>189</v>
      </c>
      <c r="K27" s="43">
        <v>575</v>
      </c>
      <c r="L27" s="143" t="s">
        <v>51</v>
      </c>
      <c r="M27" s="144">
        <f t="shared" si="0"/>
        <v>73.92</v>
      </c>
      <c r="N27" s="145" t="str">
        <f>VLOOKUP(C27,'Trips&amp;Operators'!$C$1:$G$99999,5,FALSE)</f>
        <v>HELVIE ADAM</v>
      </c>
      <c r="O27" s="194" t="s">
        <v>185</v>
      </c>
      <c r="P27" s="146"/>
      <c r="Q27" s="30"/>
      <c r="R27" s="89" t="str">
        <f>VLOOKUP(C27,'Train Runs'!$A$13:$AE$9958,31,0)</f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S27" s="92" t="str">
        <f>VLOOKUP(C27,'Train Runs'!$A$13:$AE$9958,22,0)</f>
        <v>https://d0f6bd738d7f1b3e5a7ca70fe4ff75f0.us-east-1.aws.found.io/app/kibana#/discover/Steve-Slow-Train-Analysis-(2080s-and-2083s)?_g=(refreshInterval:(display:Off,pause:!f,section:0,value:0),time:(from:'2017-02-11T14:38:10-0700',mode:absolute,to:'2017-02-11T16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7" s="94" t="str">
        <f t="shared" si="1"/>
        <v>"C:\Program Files (x86)\AstroGrep\AstroGrep.exe" /spath="%USERPROFILE%\AppData\Local\Temp\OnboardLogs" /stypes="*4010*201702112*" /stext=" 22:.+((SYSTEM_STATE.+slice.+state.+changed )|(ment ac)|(multiple cpu faults)|(system.+state.+changed )|(\[timeout)|(PRM\|1\|D)|(kpr)|(kdp)|(\|lc)|(penalty))" /e /r /s</v>
      </c>
      <c r="U27" s="9" t="str">
        <f t="shared" si="2"/>
        <v>4010</v>
      </c>
      <c r="V27" s="32">
        <f t="shared" si="3"/>
        <v>42777.95481481481</v>
      </c>
      <c r="W27" s="46" t="str">
        <f t="shared" si="4"/>
        <v>NW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{"issue":{"subject":"","project_id":79,"tracker_id":40,"status_id":1,"priority_id":2,"assigned_to_id":23,"start_date":"2017-02-11","description":"","custom_fields":[{"id":1,"name":"Subdivision","value":"NW"},{"id":4,"name":"Milepost","value":"0.0575"},{"id":17,"name":"Train ID","value":"1820-11"},{"id":16,"name":"Locomotive ID","value":"4010"},{"id":130,"name":"Impact","value":""},{"id":150,"name":"Time of Event (Mountain Time)","value":"15:54:56"},{"id":151,"name":"Denver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"%USERPROFILE%\AppData\Local\Temp\OnboardLogs"\RTDC4010\*4010*201702112*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"%USERPROFILE%\AppData\Local\Temp\OnboardLogs"\RTDC4010\*4010*201702112* &gt;&gt; 2017-02-11-SliceDisagreementCheck.txt</v>
      </c>
      <c r="AE27" s="157" t="str">
        <f t="shared" si="9"/>
        <v>start /low /b %USERPROFILE%\Documents\GitHub\eaglep3\Utilities\DownloadLogsFromS3.py --loco 4010 --day 2017-02-11</v>
      </c>
      <c r="AF27" s="1"/>
    </row>
    <row r="28" spans="1:32" x14ac:dyDescent="0.25">
      <c r="A28" s="32">
        <v>42777.123206018521</v>
      </c>
      <c r="B28" s="30" t="s">
        <v>210</v>
      </c>
      <c r="C28" s="30" t="s">
        <v>511</v>
      </c>
      <c r="D28" s="30" t="s">
        <v>49</v>
      </c>
      <c r="E28" s="30" t="s">
        <v>188</v>
      </c>
      <c r="F28" s="43">
        <v>0</v>
      </c>
      <c r="G28" s="43">
        <v>68</v>
      </c>
      <c r="H28" s="43">
        <v>273</v>
      </c>
      <c r="I28" s="43">
        <v>165</v>
      </c>
      <c r="J28" s="30" t="s">
        <v>189</v>
      </c>
      <c r="K28" s="43">
        <v>1</v>
      </c>
      <c r="L28" s="143" t="s">
        <v>51</v>
      </c>
      <c r="M28" s="144">
        <f t="shared" si="0"/>
        <v>86.592000000000013</v>
      </c>
      <c r="N28" s="145" t="str">
        <f>VLOOKUP(C28,'Trips&amp;Operators'!$C$1:$G$99999,5,FALSE)</f>
        <v>BADERTSCHER DIANE</v>
      </c>
      <c r="O28" s="194" t="s">
        <v>185</v>
      </c>
      <c r="P28" s="146"/>
      <c r="Q28" s="30"/>
      <c r="R28" s="89" t="str">
        <f>VLOOKUP(C28,'Train Runs'!$A$13:$AE$9958,31,0)</f>
        <v>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 &amp; 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</v>
      </c>
      <c r="S28" s="92" t="str">
        <f>VLOOKUP(C28,'Train Runs'!$A$13:$AE$9958,22,0)</f>
        <v>https://d0f6bd738d7f1b3e5a7ca70fe4ff75f0.us-east-1.aws.found.io/app/kibana#/discover/Steve-Slow-Train-Analysis-(2080s-and-2083s)?_g=(refreshInterval:(display:Off,pause:!f,section:0,value:0),time:(from:'2017-02-11T01:47:34-0700',mode:absolute,to:'2017-02-11T03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8" s="94" t="str">
        <f t="shared" si="1"/>
        <v>"C:\Program Files (x86)\AstroGrep\AstroGrep.exe" /spath="%USERPROFILE%\AppData\Local\Temp\OnboardLogs" /stypes="*4030*201702110*" /stext=" 09:.+((SYSTEM_STATE.+slice.+state.+changed )|(ment ac)|(multiple cpu faults)|(system.+state.+changed )|(\[timeout)|(PRM\|1\|D)|(kpr)|(kdp)|(\|lc)|(penalty))" /e /r /s</v>
      </c>
      <c r="U28" s="9" t="str">
        <f t="shared" si="2"/>
        <v>4030</v>
      </c>
      <c r="V28" s="32">
        <f t="shared" si="3"/>
        <v>42777.414872685185</v>
      </c>
      <c r="W28" s="46" t="str">
        <f t="shared" si="4"/>
        <v>Other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{"issue":{"subject":"","project_id":79,"tracker_id":40,"status_id":1,"priority_id":2,"assigned_to_id":23,"start_date":"2017-02-11","description":"","custom_fields":[{"id":1,"name":"Subdivision","value":"Other"},{"id":4,"name":"Milepost","value":"0.0001"},{"id":17,"name":"Train ID","value":"302-11"},{"id":16,"name":"Locomotive ID","value":"4030"},{"id":130,"name":"Impact","value":""},{"id":150,"name":"Time of Event (Mountain Time)","value":"02:57:25"},{"id":151,"name":"Denver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"%USERPROFILE%\AppData\Local\Temp\OnboardLogs"\RTDC4030\*4030*201702110*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"%USERPROFILE%\AppData\Local\Temp\OnboardLogs"\RTDC4030\*4030*201702110* &gt;&gt; 2017-02-11-SliceDisagreementCheck.txt</v>
      </c>
      <c r="AE28" s="157" t="str">
        <f t="shared" si="9"/>
        <v>start /low /b %USERPROFILE%\Documents\GitHub\eaglep3\Utilities\DownloadLogsFromS3.py --loco 4030 --day 2017-02-11</v>
      </c>
      <c r="AF28" s="1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</sheetData>
  <autoFilter ref="A6:AC49">
    <sortState ref="A7:AC51">
      <sortCondition ref="W7:W30"/>
      <sortCondition ref="E7:E30"/>
      <sortCondition ref="K7:K30"/>
      <sortCondition ref="F7:F30"/>
    </sortState>
  </autoFilter>
  <sortState ref="A7:AE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8:O1048576 O7:O2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8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8"/>
  <sheetViews>
    <sheetView workbookViewId="0">
      <selection activeCell="A3" sqref="A3:A8"/>
    </sheetView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6" t="str">
        <f>"Trips that did not appear in PTC Data "&amp;TEXT(Variables!$A$2,"YYYY-mm-dd")</f>
        <v>Trips that did not appear in PTC Data 2017-02-11</v>
      </c>
      <c r="C1" s="196"/>
      <c r="D1" s="196"/>
      <c r="E1" s="196"/>
      <c r="F1" s="196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6">
        <v>240</v>
      </c>
      <c r="B3" s="43" t="str">
        <f>A3&amp;"-"&amp;IF(DAY(Variables!$A$2)&lt;10,0,"")&amp;DAY(Variables!$A$2)</f>
        <v>240-11</v>
      </c>
      <c r="C3" s="147"/>
      <c r="D3" s="165"/>
      <c r="E3" s="30" t="s">
        <v>889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22240-11%22)),sort:!(Time.ISO8601,asc))</v>
      </c>
      <c r="J3" s="30" t="e">
        <f>VLOOKUP(B3,'Train Runs'!$A$13:$A$99955,1,FALSE)</f>
        <v>#N/A</v>
      </c>
    </row>
    <row r="4" spans="1:10" x14ac:dyDescent="0.25">
      <c r="A4" s="186">
        <v>242</v>
      </c>
      <c r="B4" s="43" t="str">
        <f>A4&amp;"-"&amp;IF(DAY(Variables!$A$2)&lt;10,0,"")&amp;DAY(Variables!$A$2)</f>
        <v>242-11</v>
      </c>
      <c r="C4" s="147"/>
      <c r="D4" s="165"/>
      <c r="E4" s="30" t="s">
        <v>889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22242-11%22)),sort:!(Time.ISO8601,asc))</v>
      </c>
      <c r="J4" s="30" t="e">
        <f>VLOOKUP(B4,'Train Runs'!$A$13:$A$99955,1,FALSE)</f>
        <v>#N/A</v>
      </c>
    </row>
    <row r="5" spans="1:10" s="20" customFormat="1" x14ac:dyDescent="0.25">
      <c r="A5" s="186">
        <v>243</v>
      </c>
      <c r="B5" s="43" t="str">
        <f>A5&amp;"-"&amp;IF(DAY(Variables!$A$2)&lt;10,0,"")&amp;DAY(Variables!$A$2)</f>
        <v>243-11</v>
      </c>
      <c r="C5" s="147"/>
      <c r="D5" s="165"/>
      <c r="E5" s="30" t="s">
        <v>889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22243-11%22)),sort:!(Time.ISO8601,asc))</v>
      </c>
      <c r="J5" s="30" t="e">
        <f>VLOOKUP(B5,'Train Runs'!$A$13:$A$99955,1,FALSE)</f>
        <v>#N/A</v>
      </c>
    </row>
    <row r="6" spans="1:10" x14ac:dyDescent="0.25">
      <c r="A6" s="186">
        <v>244</v>
      </c>
      <c r="B6" s="43" t="str">
        <f>A6&amp;"-"&amp;IF(DAY(Variables!$A$2)&lt;10,0,"")&amp;DAY(Variables!$A$2)</f>
        <v>244-11</v>
      </c>
      <c r="C6" s="147"/>
      <c r="D6" s="165"/>
      <c r="E6" s="30" t="s">
        <v>889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22244-11%22)),sort:!(Time.ISO8601,asc))</v>
      </c>
      <c r="J6" s="30" t="e">
        <f>VLOOKUP(B6,'Train Runs'!$A$13:$A$99955,1,FALSE)</f>
        <v>#N/A</v>
      </c>
    </row>
    <row r="7" spans="1:10" x14ac:dyDescent="0.25">
      <c r="A7" s="186">
        <v>245</v>
      </c>
      <c r="B7" s="43" t="str">
        <f>A7&amp;"-"&amp;IF(DAY(Variables!$A$2)&lt;10,0,"")&amp;DAY(Variables!$A$2)</f>
        <v>245-11</v>
      </c>
      <c r="C7" s="147"/>
      <c r="D7" s="165"/>
      <c r="E7" s="30" t="s">
        <v>889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22245-11%22)),sort:!(Time.ISO8601,asc))</v>
      </c>
      <c r="J7" s="30" t="e">
        <f>VLOOKUP(B7,'Train Runs'!$A$13:$A$99955,1,FALSE)</f>
        <v>#N/A</v>
      </c>
    </row>
    <row r="8" spans="1:10" x14ac:dyDescent="0.25">
      <c r="A8" s="186">
        <v>246</v>
      </c>
      <c r="B8" s="43" t="str">
        <f>A8&amp;"-"&amp;IF(DAY(Variables!$A$2)&lt;10,0,"")&amp;DAY(Variables!$A$2)</f>
        <v>246-11</v>
      </c>
      <c r="C8" s="147"/>
      <c r="D8" s="165"/>
      <c r="E8" s="30" t="s">
        <v>889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22246-11%22)),sort:!(Time.ISO8601,asc))</v>
      </c>
      <c r="J8" s="30" t="e">
        <f>VLOOKUP(B8,'Train Runs'!$A$13:$A$99955,1,FALSE)</f>
        <v>#N/A</v>
      </c>
    </row>
    <row r="9" spans="1:10" x14ac:dyDescent="0.25">
      <c r="A9" s="186"/>
      <c r="B9" s="43" t="str">
        <f>A9&amp;"-"&amp;IF(DAY(Variables!$A$2)&lt;10,0,"")&amp;DAY(Variables!$A$2)</f>
        <v>-11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" s="30" t="e">
        <f>VLOOKUP(B9,'Train Runs'!$A$13:$A$99955,1,FALSE)</f>
        <v>#N/A</v>
      </c>
    </row>
    <row r="10" spans="1:10" x14ac:dyDescent="0.25">
      <c r="A10" s="186"/>
      <c r="B10" s="43" t="str">
        <f>A10&amp;"-"&amp;IF(DAY(Variables!$A$2)&lt;10,0,"")&amp;DAY(Variables!$A$2)</f>
        <v>-11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" s="30" t="e">
        <f>VLOOKUP(B10,'Train Runs'!$A$13:$A$99955,1,FALSE)</f>
        <v>#N/A</v>
      </c>
    </row>
    <row r="11" spans="1:10" x14ac:dyDescent="0.25">
      <c r="A11" s="186"/>
      <c r="B11" s="43" t="str">
        <f>A11&amp;"-"&amp;IF(DAY(Variables!$A$2)&lt;10,0,"")&amp;DAY(Variables!$A$2)</f>
        <v>-11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" s="30" t="e">
        <f>VLOOKUP(B11,'Train Runs'!$A$13:$A$99955,1,FALSE)</f>
        <v>#N/A</v>
      </c>
    </row>
    <row r="12" spans="1:10" x14ac:dyDescent="0.25">
      <c r="A12" s="186"/>
      <c r="B12" s="43" t="str">
        <f>A12&amp;"-"&amp;IF(DAY(Variables!$A$2)&lt;10,0,"")&amp;DAY(Variables!$A$2)</f>
        <v>-11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2" s="30" t="e">
        <f>VLOOKUP(B12,'Train Runs'!$A$13:$A$99955,1,FALSE)</f>
        <v>#N/A</v>
      </c>
    </row>
    <row r="13" spans="1:10" x14ac:dyDescent="0.25">
      <c r="A13" s="186"/>
      <c r="B13" s="43" t="str">
        <f>A13&amp;"-"&amp;IF(DAY(Variables!$A$2)&lt;10,0,"")&amp;DAY(Variables!$A$2)</f>
        <v>-11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3" s="30" t="e">
        <f>VLOOKUP(B13,'Train Runs'!$A$13:$A$99955,1,FALSE)</f>
        <v>#N/A</v>
      </c>
    </row>
    <row r="14" spans="1:10" x14ac:dyDescent="0.25">
      <c r="A14" s="186"/>
      <c r="B14" s="43" t="str">
        <f>A14&amp;"-"&amp;IF(DAY(Variables!$A$2)&lt;10,0,"")&amp;DAY(Variables!$A$2)</f>
        <v>-11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4" s="30" t="e">
        <f>VLOOKUP(B14,'Train Runs'!$A$13:$A$99955,1,FALSE)</f>
        <v>#N/A</v>
      </c>
    </row>
    <row r="15" spans="1:10" x14ac:dyDescent="0.25">
      <c r="A15" s="186"/>
      <c r="B15" s="43" t="str">
        <f>A15&amp;"-"&amp;IF(DAY(Variables!$A$2)&lt;10,0,"")&amp;DAY(Variables!$A$2)</f>
        <v>-11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5" s="30" t="e">
        <f>VLOOKUP(B15,'Train Runs'!$A$13:$A$99955,1,FALSE)</f>
        <v>#N/A</v>
      </c>
    </row>
    <row r="16" spans="1:10" x14ac:dyDescent="0.25">
      <c r="A16" s="186"/>
      <c r="B16" s="43" t="str">
        <f>A16&amp;"-"&amp;IF(DAY(Variables!$A$2)&lt;10,0,"")&amp;DAY(Variables!$A$2)</f>
        <v>-11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6" s="30" t="e">
        <f>VLOOKUP(B16,'Train Runs'!$A$13:$A$99955,1,FALSE)</f>
        <v>#N/A</v>
      </c>
    </row>
    <row r="17" spans="1:10" x14ac:dyDescent="0.25">
      <c r="A17" s="186"/>
      <c r="B17" s="43" t="str">
        <f>A17&amp;"-"&amp;IF(DAY(Variables!$A$2)&lt;10,0,"")&amp;DAY(Variables!$A$2)</f>
        <v>-11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7" s="30" t="e">
        <f>VLOOKUP(B17,'Train Runs'!$A$13:$A$99955,1,FALSE)</f>
        <v>#N/A</v>
      </c>
    </row>
    <row r="18" spans="1:10" x14ac:dyDescent="0.25">
      <c r="A18" s="186"/>
      <c r="B18" s="43" t="str">
        <f>A18&amp;"-"&amp;IF(DAY(Variables!$A$2)&lt;10,0,"")&amp;DAY(Variables!$A$2)</f>
        <v>-11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8" s="30" t="e">
        <f>VLOOKUP(B18,'Train Runs'!$A$13:$A$99955,1,FALSE)</f>
        <v>#N/A</v>
      </c>
    </row>
    <row r="19" spans="1:10" x14ac:dyDescent="0.25">
      <c r="A19" s="186"/>
      <c r="B19" s="43" t="str">
        <f>A19&amp;"-"&amp;IF(DAY(Variables!$A$2)&lt;10,0,"")&amp;DAY(Variables!$A$2)</f>
        <v>-11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9" s="30" t="e">
        <f>VLOOKUP(B19,'Train Runs'!$A$13:$A$99955,1,FALSE)</f>
        <v>#N/A</v>
      </c>
    </row>
    <row r="20" spans="1:10" x14ac:dyDescent="0.25">
      <c r="A20" s="186"/>
      <c r="B20" s="43" t="str">
        <f>A20&amp;"-"&amp;IF(DAY(Variables!$A$2)&lt;10,0,"")&amp;DAY(Variables!$A$2)</f>
        <v>-11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0" s="30" t="e">
        <f>VLOOKUP(B20,'Train Runs'!$A$13:$A$99955,1,FALSE)</f>
        <v>#N/A</v>
      </c>
    </row>
    <row r="21" spans="1:10" x14ac:dyDescent="0.25">
      <c r="A21" s="186"/>
      <c r="B21" s="43" t="str">
        <f>A21&amp;"-"&amp;IF(DAY(Variables!$A$2)&lt;10,0,"")&amp;DAY(Variables!$A$2)</f>
        <v>-11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1" s="30" t="e">
        <f>VLOOKUP(B21,'Train Runs'!$A$13:$A$99955,1,FALSE)</f>
        <v>#N/A</v>
      </c>
    </row>
    <row r="22" spans="1:10" x14ac:dyDescent="0.25">
      <c r="A22" s="186"/>
      <c r="B22" s="43" t="str">
        <f>A22&amp;"-"&amp;IF(DAY(Variables!$A$2)&lt;10,0,"")&amp;DAY(Variables!$A$2)</f>
        <v>-11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2" s="30" t="e">
        <f>VLOOKUP(B22,'Train Runs'!$A$13:$A$99955,1,FALSE)</f>
        <v>#N/A</v>
      </c>
    </row>
    <row r="23" spans="1:10" x14ac:dyDescent="0.25">
      <c r="A23" s="186"/>
      <c r="B23" s="43" t="str">
        <f>A23&amp;"-"&amp;IF(DAY(Variables!$A$2)&lt;10,0,"")&amp;DAY(Variables!$A$2)</f>
        <v>-11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3" s="30" t="e">
        <f>VLOOKUP(B23,'Train Runs'!$A$13:$A$99955,1,FALSE)</f>
        <v>#N/A</v>
      </c>
    </row>
    <row r="24" spans="1:10" x14ac:dyDescent="0.25">
      <c r="A24" s="186"/>
      <c r="B24" s="43" t="str">
        <f>A24&amp;"-"&amp;IF(DAY(Variables!$A$2)&lt;10,0,"")&amp;DAY(Variables!$A$2)</f>
        <v>-11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4" s="30" t="e">
        <f>VLOOKUP(B24,'Train Runs'!$A$13:$A$99955,1,FALSE)</f>
        <v>#N/A</v>
      </c>
    </row>
    <row r="25" spans="1:10" x14ac:dyDescent="0.25">
      <c r="A25" s="186"/>
      <c r="B25" s="43" t="str">
        <f>A25&amp;"-"&amp;IF(DAY(Variables!$A$2)&lt;10,0,"")&amp;DAY(Variables!$A$2)</f>
        <v>-11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5" s="30" t="e">
        <f>VLOOKUP(B25,'Train Runs'!$A$13:$A$99955,1,FALSE)</f>
        <v>#N/A</v>
      </c>
    </row>
    <row r="26" spans="1:10" x14ac:dyDescent="0.25">
      <c r="A26" s="186"/>
      <c r="B26" s="43" t="str">
        <f>A26&amp;"-"&amp;IF(DAY(Variables!$A$2)&lt;10,0,"")&amp;DAY(Variables!$A$2)</f>
        <v>-11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6" s="30" t="e">
        <f>VLOOKUP(B26,'Train Runs'!$A$13:$A$99955,1,FALSE)</f>
        <v>#N/A</v>
      </c>
    </row>
    <row r="27" spans="1:10" x14ac:dyDescent="0.25">
      <c r="A27" s="186"/>
      <c r="B27" s="43" t="str">
        <f>A27&amp;"-"&amp;IF(DAY(Variables!$A$2)&lt;10,0,"")&amp;DAY(Variables!$A$2)</f>
        <v>-11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7" s="30" t="e">
        <f>VLOOKUP(B27,'Train Runs'!$A$13:$A$99955,1,FALSE)</f>
        <v>#N/A</v>
      </c>
    </row>
    <row r="28" spans="1:10" x14ac:dyDescent="0.25">
      <c r="A28" s="186"/>
      <c r="B28" s="43" t="str">
        <f>A28&amp;"-"&amp;IF(DAY(Variables!$A$2)&lt;10,0,"")&amp;DAY(Variables!$A$2)</f>
        <v>-11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8" s="30" t="e">
        <f>VLOOKUP(B28,'Train Runs'!$A$13:$A$99955,1,FALSE)</f>
        <v>#N/A</v>
      </c>
    </row>
    <row r="29" spans="1:10" x14ac:dyDescent="0.25">
      <c r="A29" s="186"/>
      <c r="B29" s="43" t="str">
        <f>A29&amp;"-"&amp;IF(DAY(Variables!$A$2)&lt;10,0,"")&amp;DAY(Variables!$A$2)</f>
        <v>-11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9" s="30" t="e">
        <f>VLOOKUP(B29,'Train Runs'!$A$13:$A$99955,1,FALSE)</f>
        <v>#N/A</v>
      </c>
    </row>
    <row r="30" spans="1:10" x14ac:dyDescent="0.25">
      <c r="A30" s="186"/>
      <c r="B30" s="43" t="str">
        <f>A30&amp;"-"&amp;IF(DAY(Variables!$A$2)&lt;10,0,"")&amp;DAY(Variables!$A$2)</f>
        <v>-11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0" s="30" t="e">
        <f>VLOOKUP(B30,'Train Runs'!$A$13:$A$99955,1,FALSE)</f>
        <v>#N/A</v>
      </c>
    </row>
    <row r="31" spans="1:10" x14ac:dyDescent="0.25">
      <c r="A31" s="186"/>
      <c r="B31" s="43" t="str">
        <f>A31&amp;"-"&amp;IF(DAY(Variables!$A$2)&lt;10,0,"")&amp;DAY(Variables!$A$2)</f>
        <v>-11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1" s="30" t="e">
        <f>VLOOKUP(B31,'Train Runs'!$A$13:$A$99955,1,FALSE)</f>
        <v>#N/A</v>
      </c>
    </row>
    <row r="32" spans="1:10" x14ac:dyDescent="0.25">
      <c r="A32" s="186"/>
      <c r="B32" s="43" t="str">
        <f>A32&amp;"-"&amp;IF(DAY(Variables!$A$2)&lt;10,0,"")&amp;DAY(Variables!$A$2)</f>
        <v>-11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2" s="30" t="e">
        <f>VLOOKUP(B32,'Train Runs'!$A$13:$A$99955,1,FALSE)</f>
        <v>#N/A</v>
      </c>
    </row>
    <row r="33" spans="1:10" x14ac:dyDescent="0.25">
      <c r="A33" s="186"/>
      <c r="B33" s="43" t="str">
        <f>A33&amp;"-"&amp;IF(DAY(Variables!$A$2)&lt;10,0,"")&amp;DAY(Variables!$A$2)</f>
        <v>-11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3" s="30" t="e">
        <f>VLOOKUP(B33,'Train Runs'!$A$13:$A$99955,1,FALSE)</f>
        <v>#N/A</v>
      </c>
    </row>
    <row r="34" spans="1:10" x14ac:dyDescent="0.25">
      <c r="A34" s="186"/>
      <c r="B34" s="43" t="str">
        <f>A34&amp;"-"&amp;IF(DAY(Variables!$A$2)&lt;10,0,"")&amp;DAY(Variables!$A$2)</f>
        <v>-11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4" s="30" t="e">
        <f>VLOOKUP(B34,'Train Runs'!$A$13:$A$99955,1,FALSE)</f>
        <v>#N/A</v>
      </c>
    </row>
    <row r="35" spans="1:10" x14ac:dyDescent="0.25">
      <c r="A35" s="186"/>
      <c r="B35" s="43" t="str">
        <f>A35&amp;"-"&amp;IF(DAY(Variables!$A$2)&lt;10,0,"")&amp;DAY(Variables!$A$2)</f>
        <v>-11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5" s="30" t="e">
        <f>VLOOKUP(B35,'Train Runs'!$A$13:$A$99955,1,FALSE)</f>
        <v>#N/A</v>
      </c>
    </row>
    <row r="36" spans="1:10" x14ac:dyDescent="0.25">
      <c r="A36" s="186"/>
      <c r="B36" s="43" t="str">
        <f>A36&amp;"-"&amp;IF(DAY(Variables!$A$2)&lt;10,0,"")&amp;DAY(Variables!$A$2)</f>
        <v>-11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6" s="30" t="e">
        <f>VLOOKUP(B36,'Train Runs'!$A$13:$A$99955,1,FALSE)</f>
        <v>#N/A</v>
      </c>
    </row>
    <row r="37" spans="1:10" x14ac:dyDescent="0.25">
      <c r="A37" s="186"/>
      <c r="B37" s="43" t="str">
        <f>A37&amp;"-"&amp;IF(DAY(Variables!$A$2)&lt;10,0,"")&amp;DAY(Variables!$A$2)</f>
        <v>-11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7" s="30" t="e">
        <f>VLOOKUP(B37,'Train Runs'!$A$13:$A$99955,1,FALSE)</f>
        <v>#N/A</v>
      </c>
    </row>
    <row r="38" spans="1:10" x14ac:dyDescent="0.25">
      <c r="A38" s="186"/>
      <c r="B38" s="43" t="str">
        <f>A38&amp;"-"&amp;IF(DAY(Variables!$A$2)&lt;10,0,"")&amp;DAY(Variables!$A$2)</f>
        <v>-11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8" s="30" t="e">
        <f>VLOOKUP(B38,'Train Runs'!$A$13:$A$99955,1,FALSE)</f>
        <v>#N/A</v>
      </c>
    </row>
    <row r="39" spans="1:10" x14ac:dyDescent="0.25">
      <c r="A39" s="186"/>
      <c r="B39" s="43" t="str">
        <f>A39&amp;"-"&amp;IF(DAY(Variables!$A$2)&lt;10,0,"")&amp;DAY(Variables!$A$2)</f>
        <v>-11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9" s="30" t="e">
        <f>VLOOKUP(B39,'Train Runs'!$A$13:$A$99955,1,FALSE)</f>
        <v>#N/A</v>
      </c>
    </row>
    <row r="40" spans="1:10" x14ac:dyDescent="0.25">
      <c r="A40" s="186"/>
      <c r="B40" s="43" t="str">
        <f>A40&amp;"-"&amp;IF(DAY(Variables!$A$2)&lt;10,0,"")&amp;DAY(Variables!$A$2)</f>
        <v>-11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0" s="30" t="e">
        <f>VLOOKUP(B40,'Train Runs'!$A$13:$A$99955,1,FALSE)</f>
        <v>#N/A</v>
      </c>
    </row>
    <row r="41" spans="1:10" x14ac:dyDescent="0.25">
      <c r="A41" s="186"/>
      <c r="B41" s="43" t="str">
        <f>A41&amp;"-"&amp;IF(DAY(Variables!$A$2)&lt;10,0,"")&amp;DAY(Variables!$A$2)</f>
        <v>-11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1" s="30" t="e">
        <f>VLOOKUP(B41,'Train Runs'!$A$13:$A$99955,1,FALSE)</f>
        <v>#N/A</v>
      </c>
    </row>
    <row r="42" spans="1:10" x14ac:dyDescent="0.25">
      <c r="A42" s="186"/>
      <c r="B42" s="43" t="str">
        <f>A42&amp;"-"&amp;IF(DAY(Variables!$A$2)&lt;10,0,"")&amp;DAY(Variables!$A$2)</f>
        <v>-11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2" s="30" t="e">
        <f>VLOOKUP(B42,'Train Runs'!$A$13:$A$99955,1,FALSE)</f>
        <v>#N/A</v>
      </c>
    </row>
    <row r="43" spans="1:10" x14ac:dyDescent="0.25">
      <c r="A43" s="186"/>
      <c r="B43" s="43" t="str">
        <f>A43&amp;"-"&amp;IF(DAY(Variables!$A$2)&lt;10,0,"")&amp;DAY(Variables!$A$2)</f>
        <v>-11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3" s="30" t="e">
        <f>VLOOKUP(B43,'Train Runs'!$A$13:$A$99955,1,FALSE)</f>
        <v>#N/A</v>
      </c>
    </row>
    <row r="44" spans="1:10" x14ac:dyDescent="0.25">
      <c r="A44" s="186"/>
      <c r="B44" s="43" t="str">
        <f>A44&amp;"-"&amp;IF(DAY(Variables!$A$2)&lt;10,0,"")&amp;DAY(Variables!$A$2)</f>
        <v>-11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4" s="30" t="e">
        <f>VLOOKUP(B44,'Train Runs'!$A$13:$A$99955,1,FALSE)</f>
        <v>#N/A</v>
      </c>
    </row>
    <row r="45" spans="1:10" x14ac:dyDescent="0.25">
      <c r="A45" s="186"/>
      <c r="B45" s="43" t="str">
        <f>A45&amp;"-"&amp;IF(DAY(Variables!$A$2)&lt;10,0,"")&amp;DAY(Variables!$A$2)</f>
        <v>-11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5" s="30" t="e">
        <f>VLOOKUP(B45,'Train Runs'!$A$13:$A$99955,1,FALSE)</f>
        <v>#N/A</v>
      </c>
    </row>
    <row r="46" spans="1:10" x14ac:dyDescent="0.25">
      <c r="A46" s="186"/>
      <c r="B46" s="43" t="str">
        <f>A46&amp;"-"&amp;IF(DAY(Variables!$A$2)&lt;10,0,"")&amp;DAY(Variables!$A$2)</f>
        <v>-11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6" s="30" t="e">
        <f>VLOOKUP(B46,'Train Runs'!$A$13:$A$99955,1,FALSE)</f>
        <v>#N/A</v>
      </c>
    </row>
    <row r="47" spans="1:10" x14ac:dyDescent="0.25">
      <c r="A47" s="186"/>
      <c r="B47" s="43" t="str">
        <f>A47&amp;"-"&amp;IF(DAY(Variables!$A$2)&lt;10,0,"")&amp;DAY(Variables!$A$2)</f>
        <v>-11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7" s="30" t="e">
        <f>VLOOKUP(B47,'Train Runs'!$A$13:$A$99955,1,FALSE)</f>
        <v>#N/A</v>
      </c>
    </row>
    <row r="48" spans="1:10" x14ac:dyDescent="0.25">
      <c r="A48" s="186"/>
      <c r="B48" s="43" t="str">
        <f>A48&amp;"-"&amp;IF(DAY(Variables!$A$2)&lt;10,0,"")&amp;DAY(Variables!$A$2)</f>
        <v>-11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ref="I48:I111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8" s="30" t="e">
        <f>VLOOKUP(B48,'Train Runs'!$A$13:$A$99955,1,FALSE)</f>
        <v>#N/A</v>
      </c>
    </row>
    <row r="49" spans="1:10" x14ac:dyDescent="0.25">
      <c r="A49" s="186"/>
      <c r="B49" s="43" t="str">
        <f>A49&amp;"-"&amp;IF(DAY(Variables!$A$2)&lt;10,0,"")&amp;DAY(Variables!$A$2)</f>
        <v>-11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9" s="30" t="e">
        <f>VLOOKUP(B49,'Train Runs'!$A$13:$A$99955,1,FALSE)</f>
        <v>#N/A</v>
      </c>
    </row>
    <row r="50" spans="1:10" x14ac:dyDescent="0.25">
      <c r="A50" s="186"/>
      <c r="B50" s="43" t="str">
        <f>A50&amp;"-"&amp;IF(DAY(Variables!$A$2)&lt;10,0,"")&amp;DAY(Variables!$A$2)</f>
        <v>-11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0" s="30" t="e">
        <f>VLOOKUP(B50,'Train Runs'!$A$13:$A$99955,1,FALSE)</f>
        <v>#N/A</v>
      </c>
    </row>
    <row r="51" spans="1:10" x14ac:dyDescent="0.25">
      <c r="A51" s="186"/>
      <c r="B51" s="43" t="str">
        <f>A51&amp;"-"&amp;IF(DAY(Variables!$A$2)&lt;10,0,"")&amp;DAY(Variables!$A$2)</f>
        <v>-11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1" s="30" t="e">
        <f>VLOOKUP(B51,'Train Runs'!$A$13:$A$99955,1,FALSE)</f>
        <v>#N/A</v>
      </c>
    </row>
    <row r="52" spans="1:10" x14ac:dyDescent="0.25">
      <c r="A52" s="186"/>
      <c r="B52" s="43" t="str">
        <f>A52&amp;"-"&amp;IF(DAY(Variables!$A$2)&lt;10,0,"")&amp;DAY(Variables!$A$2)</f>
        <v>-11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2" s="30" t="e">
        <f>VLOOKUP(B52,'Train Runs'!$A$13:$A$99955,1,FALSE)</f>
        <v>#N/A</v>
      </c>
    </row>
    <row r="53" spans="1:10" x14ac:dyDescent="0.25">
      <c r="A53" s="186"/>
      <c r="B53" s="43" t="str">
        <f>A53&amp;"-"&amp;IF(DAY(Variables!$A$2)&lt;10,0,"")&amp;DAY(Variables!$A$2)</f>
        <v>-11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3" s="30" t="e">
        <f>VLOOKUP(B53,'Train Runs'!$A$13:$A$99955,1,FALSE)</f>
        <v>#N/A</v>
      </c>
    </row>
    <row r="54" spans="1:10" x14ac:dyDescent="0.25">
      <c r="A54" s="186"/>
      <c r="B54" s="43" t="str">
        <f>A54&amp;"-"&amp;IF(DAY(Variables!$A$2)&lt;10,0,"")&amp;DAY(Variables!$A$2)</f>
        <v>-11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4" s="30" t="e">
        <f>VLOOKUP(B54,'Train Runs'!$A$13:$A$99955,1,FALSE)</f>
        <v>#N/A</v>
      </c>
    </row>
    <row r="55" spans="1:10" x14ac:dyDescent="0.25">
      <c r="A55" s="186"/>
      <c r="B55" s="43" t="str">
        <f>A55&amp;"-"&amp;IF(DAY(Variables!$A$2)&lt;10,0,"")&amp;DAY(Variables!$A$2)</f>
        <v>-11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5" s="30" t="e">
        <f>VLOOKUP(B55,'Train Runs'!$A$13:$A$99955,1,FALSE)</f>
        <v>#N/A</v>
      </c>
    </row>
    <row r="56" spans="1:10" x14ac:dyDescent="0.25">
      <c r="A56" s="186"/>
      <c r="B56" s="43" t="str">
        <f>A56&amp;"-"&amp;IF(DAY(Variables!$A$2)&lt;10,0,"")&amp;DAY(Variables!$A$2)</f>
        <v>-11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6" s="30" t="e">
        <f>VLOOKUP(B56,'Train Runs'!$A$13:$A$99955,1,FALSE)</f>
        <v>#N/A</v>
      </c>
    </row>
    <row r="57" spans="1:10" x14ac:dyDescent="0.25">
      <c r="A57" s="186"/>
      <c r="B57" s="43" t="str">
        <f>A57&amp;"-"&amp;IF(DAY(Variables!$A$2)&lt;10,0,"")&amp;DAY(Variables!$A$2)</f>
        <v>-11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7" s="30" t="e">
        <f>VLOOKUP(B57,'Train Runs'!$A$13:$A$99955,1,FALSE)</f>
        <v>#N/A</v>
      </c>
    </row>
    <row r="58" spans="1:10" x14ac:dyDescent="0.25">
      <c r="A58" s="186"/>
      <c r="B58" s="43" t="str">
        <f>A58&amp;"-"&amp;IF(DAY(Variables!$A$2)&lt;10,0,"")&amp;DAY(Variables!$A$2)</f>
        <v>-11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8" s="30" t="e">
        <f>VLOOKUP(B58,'Train Runs'!$A$13:$A$99955,1,FALSE)</f>
        <v>#N/A</v>
      </c>
    </row>
    <row r="59" spans="1:10" x14ac:dyDescent="0.25">
      <c r="A59" s="186"/>
      <c r="B59" s="43" t="str">
        <f>A59&amp;"-"&amp;IF(DAY(Variables!$A$2)&lt;10,0,"")&amp;DAY(Variables!$A$2)</f>
        <v>-11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9" s="30" t="e">
        <f>VLOOKUP(B59,'Train Runs'!$A$13:$A$99955,1,FALSE)</f>
        <v>#N/A</v>
      </c>
    </row>
    <row r="60" spans="1:10" x14ac:dyDescent="0.25">
      <c r="A60" s="186"/>
      <c r="B60" s="43" t="str">
        <f>A60&amp;"-"&amp;IF(DAY(Variables!$A$2)&lt;10,0,"")&amp;DAY(Variables!$A$2)</f>
        <v>-11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0" s="30" t="e">
        <f>VLOOKUP(B60,'Train Runs'!$A$13:$A$99955,1,FALSE)</f>
        <v>#N/A</v>
      </c>
    </row>
    <row r="61" spans="1:10" x14ac:dyDescent="0.25">
      <c r="A61" s="186"/>
      <c r="B61" s="43" t="str">
        <f>A61&amp;"-"&amp;IF(DAY(Variables!$A$2)&lt;10,0,"")&amp;DAY(Variables!$A$2)</f>
        <v>-11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1" s="30" t="e">
        <f>VLOOKUP(B61,'Train Runs'!$A$13:$A$99955,1,FALSE)</f>
        <v>#N/A</v>
      </c>
    </row>
    <row r="62" spans="1:10" x14ac:dyDescent="0.25">
      <c r="A62" s="186"/>
      <c r="B62" s="43" t="str">
        <f>A62&amp;"-"&amp;IF(DAY(Variables!$A$2)&lt;10,0,"")&amp;DAY(Variables!$A$2)</f>
        <v>-11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2" s="30" t="e">
        <f>VLOOKUP(B62,'Train Runs'!$A$13:$A$99955,1,FALSE)</f>
        <v>#N/A</v>
      </c>
    </row>
    <row r="63" spans="1:10" x14ac:dyDescent="0.25">
      <c r="A63" s="186"/>
      <c r="B63" s="43" t="str">
        <f>A63&amp;"-"&amp;IF(DAY(Variables!$A$2)&lt;10,0,"")&amp;DAY(Variables!$A$2)</f>
        <v>-11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3" s="30" t="e">
        <f>VLOOKUP(B63,'Train Runs'!$A$13:$A$99955,1,FALSE)</f>
        <v>#N/A</v>
      </c>
    </row>
    <row r="64" spans="1:10" x14ac:dyDescent="0.25">
      <c r="A64" s="186"/>
      <c r="B64" s="43" t="str">
        <f>A64&amp;"-"&amp;IF(DAY(Variables!$A$2)&lt;10,0,"")&amp;DAY(Variables!$A$2)</f>
        <v>-11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4" s="30" t="e">
        <f>VLOOKUP(B64,'Train Runs'!$A$13:$A$99955,1,FALSE)</f>
        <v>#N/A</v>
      </c>
    </row>
    <row r="65" spans="1:10" x14ac:dyDescent="0.25">
      <c r="A65" s="186"/>
      <c r="B65" s="43" t="str">
        <f>A65&amp;"-"&amp;IF(DAY(Variables!$A$2)&lt;10,0,"")&amp;DAY(Variables!$A$2)</f>
        <v>-11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5" s="30" t="e">
        <f>VLOOKUP(B65,'Train Runs'!$A$13:$A$99955,1,FALSE)</f>
        <v>#N/A</v>
      </c>
    </row>
    <row r="66" spans="1:10" x14ac:dyDescent="0.25">
      <c r="A66" s="186"/>
      <c r="B66" s="43" t="str">
        <f>A66&amp;"-"&amp;IF(DAY(Variables!$A$2)&lt;10,0,"")&amp;DAY(Variables!$A$2)</f>
        <v>-11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6" s="30" t="e">
        <f>VLOOKUP(B66,'Train Runs'!$A$13:$A$99955,1,FALSE)</f>
        <v>#N/A</v>
      </c>
    </row>
    <row r="67" spans="1:10" x14ac:dyDescent="0.25">
      <c r="A67" s="186"/>
      <c r="B67" s="43" t="str">
        <f>A67&amp;"-"&amp;IF(DAY(Variables!$A$2)&lt;10,0,"")&amp;DAY(Variables!$A$2)</f>
        <v>-11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7" s="30" t="e">
        <f>VLOOKUP(B67,'Train Runs'!$A$13:$A$99955,1,FALSE)</f>
        <v>#N/A</v>
      </c>
    </row>
    <row r="68" spans="1:10" x14ac:dyDescent="0.25">
      <c r="A68" s="186"/>
      <c r="B68" s="43" t="str">
        <f>A68&amp;"-"&amp;IF(DAY(Variables!$A$2)&lt;10,0,"")&amp;DAY(Variables!$A$2)</f>
        <v>-11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8" s="30" t="e">
        <f>VLOOKUP(B68,'Train Runs'!$A$13:$A$99955,1,FALSE)</f>
        <v>#N/A</v>
      </c>
    </row>
    <row r="69" spans="1:10" x14ac:dyDescent="0.25">
      <c r="A69" s="186"/>
      <c r="B69" s="43" t="str">
        <f>A69&amp;"-"&amp;IF(DAY(Variables!$A$2)&lt;10,0,"")&amp;DAY(Variables!$A$2)</f>
        <v>-11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9" s="30" t="e">
        <f>VLOOKUP(B69,'Train Runs'!$A$13:$A$99955,1,FALSE)</f>
        <v>#N/A</v>
      </c>
    </row>
    <row r="70" spans="1:10" x14ac:dyDescent="0.25">
      <c r="A70" s="186"/>
      <c r="B70" s="43" t="str">
        <f>A70&amp;"-"&amp;IF(DAY(Variables!$A$2)&lt;10,0,"")&amp;DAY(Variables!$A$2)</f>
        <v>-11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0" s="30" t="e">
        <f>VLOOKUP(B70,'Train Runs'!$A$13:$A$99955,1,FALSE)</f>
        <v>#N/A</v>
      </c>
    </row>
    <row r="71" spans="1:10" x14ac:dyDescent="0.25">
      <c r="A71" s="186"/>
      <c r="B71" s="43" t="str">
        <f>A71&amp;"-"&amp;IF(DAY(Variables!$A$2)&lt;10,0,"")&amp;DAY(Variables!$A$2)</f>
        <v>-11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1" s="30" t="e">
        <f>VLOOKUP(B71,'Train Runs'!$A$13:$A$99955,1,FALSE)</f>
        <v>#N/A</v>
      </c>
    </row>
    <row r="72" spans="1:10" x14ac:dyDescent="0.25">
      <c r="A72" s="186"/>
      <c r="B72" s="43" t="str">
        <f>A72&amp;"-"&amp;IF(DAY(Variables!$A$2)&lt;10,0,"")&amp;DAY(Variables!$A$2)</f>
        <v>-11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2" s="30" t="e">
        <f>VLOOKUP(B72,'Train Runs'!$A$13:$A$99955,1,FALSE)</f>
        <v>#N/A</v>
      </c>
    </row>
    <row r="73" spans="1:10" x14ac:dyDescent="0.25">
      <c r="A73" s="186"/>
      <c r="B73" s="43" t="str">
        <f>A73&amp;"-"&amp;IF(DAY(Variables!$A$2)&lt;10,0,"")&amp;DAY(Variables!$A$2)</f>
        <v>-11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3" s="30" t="e">
        <f>VLOOKUP(B73,'Train Runs'!$A$13:$A$99955,1,FALSE)</f>
        <v>#N/A</v>
      </c>
    </row>
    <row r="74" spans="1:10" x14ac:dyDescent="0.25">
      <c r="A74" s="186"/>
      <c r="B74" s="43" t="str">
        <f>A74&amp;"-"&amp;IF(DAY(Variables!$A$2)&lt;10,0,"")&amp;DAY(Variables!$A$2)</f>
        <v>-11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4" s="30" t="e">
        <f>VLOOKUP(B74,'Train Runs'!$A$13:$A$99955,1,FALSE)</f>
        <v>#N/A</v>
      </c>
    </row>
    <row r="75" spans="1:10" x14ac:dyDescent="0.25">
      <c r="A75" s="186"/>
      <c r="B75" s="43" t="str">
        <f>A75&amp;"-"&amp;IF(DAY(Variables!$A$2)&lt;10,0,"")&amp;DAY(Variables!$A$2)</f>
        <v>-11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5" s="30" t="e">
        <f>VLOOKUP(B75,'Train Runs'!$A$13:$A$99955,1,FALSE)</f>
        <v>#N/A</v>
      </c>
    </row>
    <row r="76" spans="1:10" x14ac:dyDescent="0.25">
      <c r="A76" s="186"/>
      <c r="B76" s="43" t="str">
        <f>A76&amp;"-"&amp;IF(DAY(Variables!$A$2)&lt;10,0,"")&amp;DAY(Variables!$A$2)</f>
        <v>-11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6" s="30" t="e">
        <f>VLOOKUP(B76,'Train Runs'!$A$13:$A$99955,1,FALSE)</f>
        <v>#N/A</v>
      </c>
    </row>
    <row r="77" spans="1:10" x14ac:dyDescent="0.25">
      <c r="A77" s="186"/>
      <c r="B77" s="43" t="str">
        <f>A77&amp;"-"&amp;IF(DAY(Variables!$A$2)&lt;10,0,"")&amp;DAY(Variables!$A$2)</f>
        <v>-11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7" s="30" t="e">
        <f>VLOOKUP(B77,'Train Runs'!$A$13:$A$99955,1,FALSE)</f>
        <v>#N/A</v>
      </c>
    </row>
    <row r="78" spans="1:10" x14ac:dyDescent="0.25">
      <c r="A78" s="186"/>
      <c r="B78" s="43" t="str">
        <f>A78&amp;"-"&amp;IF(DAY(Variables!$A$2)&lt;10,0,"")&amp;DAY(Variables!$A$2)</f>
        <v>-11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8" s="30" t="e">
        <f>VLOOKUP(B78,'Train Runs'!$A$13:$A$99955,1,FALSE)</f>
        <v>#N/A</v>
      </c>
    </row>
    <row r="79" spans="1:10" x14ac:dyDescent="0.25">
      <c r="A79" s="186"/>
      <c r="B79" s="43" t="str">
        <f>A79&amp;"-"&amp;IF(DAY(Variables!$A$2)&lt;10,0,"")&amp;DAY(Variables!$A$2)</f>
        <v>-11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9" s="30" t="e">
        <f>VLOOKUP(B79,'Train Runs'!$A$13:$A$99955,1,FALSE)</f>
        <v>#N/A</v>
      </c>
    </row>
    <row r="80" spans="1:10" x14ac:dyDescent="0.25">
      <c r="A80" s="186"/>
      <c r="B80" s="43" t="str">
        <f>A80&amp;"-"&amp;IF(DAY(Variables!$A$2)&lt;10,0,"")&amp;DAY(Variables!$A$2)</f>
        <v>-11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0" s="30" t="e">
        <f>VLOOKUP(B80,'Train Runs'!$A$13:$A$99955,1,FALSE)</f>
        <v>#N/A</v>
      </c>
    </row>
    <row r="81" spans="1:10" x14ac:dyDescent="0.25">
      <c r="A81" s="186"/>
      <c r="B81" s="43" t="str">
        <f>A81&amp;"-"&amp;IF(DAY(Variables!$A$2)&lt;10,0,"")&amp;DAY(Variables!$A$2)</f>
        <v>-11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1" s="30" t="e">
        <f>VLOOKUP(B81,'Train Runs'!$A$13:$A$99955,1,FALSE)</f>
        <v>#N/A</v>
      </c>
    </row>
    <row r="82" spans="1:10" x14ac:dyDescent="0.25">
      <c r="A82" s="186"/>
      <c r="B82" s="43" t="str">
        <f>A82&amp;"-"&amp;IF(DAY(Variables!$A$2)&lt;10,0,"")&amp;DAY(Variables!$A$2)</f>
        <v>-11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2" s="30" t="e">
        <f>VLOOKUP(B82,'Train Runs'!$A$13:$A$99955,1,FALSE)</f>
        <v>#N/A</v>
      </c>
    </row>
    <row r="83" spans="1:10" x14ac:dyDescent="0.25">
      <c r="A83" s="186"/>
      <c r="B83" s="43" t="str">
        <f>A83&amp;"-"&amp;IF(DAY(Variables!$A$2)&lt;10,0,"")&amp;DAY(Variables!$A$2)</f>
        <v>-11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3" s="30" t="e">
        <f>VLOOKUP(B83,'Train Runs'!$A$13:$A$99955,1,FALSE)</f>
        <v>#N/A</v>
      </c>
    </row>
    <row r="84" spans="1:10" x14ac:dyDescent="0.25">
      <c r="A84" s="186"/>
      <c r="B84" s="43" t="str">
        <f>A84&amp;"-"&amp;IF(DAY(Variables!$A$2)&lt;10,0,"")&amp;DAY(Variables!$A$2)</f>
        <v>-11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4" s="30" t="e">
        <f>VLOOKUP(B84,'Train Runs'!$A$13:$A$99955,1,FALSE)</f>
        <v>#N/A</v>
      </c>
    </row>
    <row r="85" spans="1:10" x14ac:dyDescent="0.25">
      <c r="A85" s="186"/>
      <c r="B85" s="43" t="str">
        <f>A85&amp;"-"&amp;IF(DAY(Variables!$A$2)&lt;10,0,"")&amp;DAY(Variables!$A$2)</f>
        <v>-11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5" s="30" t="e">
        <f>VLOOKUP(B85,'Train Runs'!$A$13:$A$99955,1,FALSE)</f>
        <v>#N/A</v>
      </c>
    </row>
    <row r="86" spans="1:10" x14ac:dyDescent="0.25">
      <c r="A86" s="186"/>
      <c r="B86" s="43" t="str">
        <f>A86&amp;"-"&amp;IF(DAY(Variables!$A$2)&lt;10,0,"")&amp;DAY(Variables!$A$2)</f>
        <v>-11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6" s="30" t="e">
        <f>VLOOKUP(B86,'Train Runs'!$A$13:$A$99955,1,FALSE)</f>
        <v>#N/A</v>
      </c>
    </row>
    <row r="87" spans="1:10" x14ac:dyDescent="0.25">
      <c r="A87" s="186"/>
      <c r="B87" s="43" t="str">
        <f>A87&amp;"-"&amp;IF(DAY(Variables!$A$2)&lt;10,0,"")&amp;DAY(Variables!$A$2)</f>
        <v>-11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7" s="30" t="e">
        <f>VLOOKUP(B87,'Train Runs'!$A$13:$A$99955,1,FALSE)</f>
        <v>#N/A</v>
      </c>
    </row>
    <row r="88" spans="1:10" x14ac:dyDescent="0.25">
      <c r="A88" s="186"/>
      <c r="B88" s="43" t="str">
        <f>A88&amp;"-"&amp;IF(DAY(Variables!$A$2)&lt;10,0,"")&amp;DAY(Variables!$A$2)</f>
        <v>-11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8" s="30" t="e">
        <f>VLOOKUP(B88,'Train Runs'!$A$13:$A$99955,1,FALSE)</f>
        <v>#N/A</v>
      </c>
    </row>
    <row r="89" spans="1:10" x14ac:dyDescent="0.25">
      <c r="A89" s="186"/>
      <c r="B89" s="43" t="str">
        <f>A89&amp;"-"&amp;IF(DAY(Variables!$A$2)&lt;10,0,"")&amp;DAY(Variables!$A$2)</f>
        <v>-11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9" s="30" t="e">
        <f>VLOOKUP(B89,'Train Runs'!$A$13:$A$99955,1,FALSE)</f>
        <v>#N/A</v>
      </c>
    </row>
    <row r="90" spans="1:10" x14ac:dyDescent="0.25">
      <c r="A90" s="186"/>
      <c r="B90" s="43" t="str">
        <f>A90&amp;"-"&amp;IF(DAY(Variables!$A$2)&lt;10,0,"")&amp;DAY(Variables!$A$2)</f>
        <v>-11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0" s="30" t="e">
        <f>VLOOKUP(B90,'Train Runs'!$A$13:$A$99955,1,FALSE)</f>
        <v>#N/A</v>
      </c>
    </row>
    <row r="91" spans="1:10" x14ac:dyDescent="0.25">
      <c r="A91" s="186"/>
      <c r="B91" s="43" t="str">
        <f>A91&amp;"-"&amp;IF(DAY(Variables!$A$2)&lt;10,0,"")&amp;DAY(Variables!$A$2)</f>
        <v>-11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1" s="30" t="e">
        <f>VLOOKUP(B91,'Train Runs'!$A$13:$A$99955,1,FALSE)</f>
        <v>#N/A</v>
      </c>
    </row>
    <row r="92" spans="1:10" x14ac:dyDescent="0.25">
      <c r="A92" s="186"/>
      <c r="B92" s="43" t="str">
        <f>A92&amp;"-"&amp;IF(DAY(Variables!$A$2)&lt;10,0,"")&amp;DAY(Variables!$A$2)</f>
        <v>-11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2" s="30" t="e">
        <f>VLOOKUP(B92,'Train Runs'!$A$13:$A$99955,1,FALSE)</f>
        <v>#N/A</v>
      </c>
    </row>
    <row r="93" spans="1:10" x14ac:dyDescent="0.25">
      <c r="A93" s="186"/>
      <c r="B93" s="43" t="str">
        <f>A93&amp;"-"&amp;IF(DAY(Variables!$A$2)&lt;10,0,"")&amp;DAY(Variables!$A$2)</f>
        <v>-11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3" s="30" t="e">
        <f>VLOOKUP(B93,'Train Runs'!$A$13:$A$99955,1,FALSE)</f>
        <v>#N/A</v>
      </c>
    </row>
    <row r="94" spans="1:10" x14ac:dyDescent="0.25">
      <c r="A94" s="186"/>
      <c r="B94" s="43" t="str">
        <f>A94&amp;"-"&amp;IF(DAY(Variables!$A$2)&lt;10,0,"")&amp;DAY(Variables!$A$2)</f>
        <v>-11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4" s="30" t="e">
        <f>VLOOKUP(B94,'Train Runs'!$A$13:$A$99955,1,FALSE)</f>
        <v>#N/A</v>
      </c>
    </row>
    <row r="95" spans="1:10" x14ac:dyDescent="0.25">
      <c r="A95" s="186"/>
      <c r="B95" s="43" t="str">
        <f>A95&amp;"-"&amp;IF(DAY(Variables!$A$2)&lt;10,0,"")&amp;DAY(Variables!$A$2)</f>
        <v>-11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5" s="30" t="e">
        <f>VLOOKUP(B95,'Train Runs'!$A$13:$A$99955,1,FALSE)</f>
        <v>#N/A</v>
      </c>
    </row>
    <row r="96" spans="1:10" x14ac:dyDescent="0.25">
      <c r="A96" s="186"/>
      <c r="B96" s="43" t="str">
        <f>A96&amp;"-"&amp;IF(DAY(Variables!$A$2)&lt;10,0,"")&amp;DAY(Variables!$A$2)</f>
        <v>-11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6" s="30" t="e">
        <f>VLOOKUP(B96,'Train Runs'!$A$13:$A$99955,1,FALSE)</f>
        <v>#N/A</v>
      </c>
    </row>
    <row r="97" spans="1:10" x14ac:dyDescent="0.25">
      <c r="A97" s="186"/>
      <c r="B97" s="43" t="str">
        <f>A97&amp;"-"&amp;IF(DAY(Variables!$A$2)&lt;10,0,"")&amp;DAY(Variables!$A$2)</f>
        <v>-11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7" s="30" t="e">
        <f>VLOOKUP(B97,'Train Runs'!$A$13:$A$99955,1,FALSE)</f>
        <v>#N/A</v>
      </c>
    </row>
    <row r="98" spans="1:10" x14ac:dyDescent="0.25">
      <c r="A98" s="186"/>
      <c r="B98" s="43" t="str">
        <f>A98&amp;"-"&amp;IF(DAY(Variables!$A$2)&lt;10,0,"")&amp;DAY(Variables!$A$2)</f>
        <v>-11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8" s="30" t="e">
        <f>VLOOKUP(B98,'Train Runs'!$A$13:$A$99955,1,FALSE)</f>
        <v>#N/A</v>
      </c>
    </row>
    <row r="99" spans="1:10" x14ac:dyDescent="0.25">
      <c r="A99" s="186"/>
      <c r="B99" s="43" t="str">
        <f>A99&amp;"-"&amp;IF(DAY(Variables!$A$2)&lt;10,0,"")&amp;DAY(Variables!$A$2)</f>
        <v>-11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9" s="30" t="e">
        <f>VLOOKUP(B99,'Train Runs'!$A$13:$A$99955,1,FALSE)</f>
        <v>#N/A</v>
      </c>
    </row>
    <row r="100" spans="1:10" x14ac:dyDescent="0.25">
      <c r="A100" s="186"/>
      <c r="B100" s="43" t="str">
        <f>A100&amp;"-"&amp;IF(DAY(Variables!$A$2)&lt;10,0,"")&amp;DAY(Variables!$A$2)</f>
        <v>-11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0" s="30" t="e">
        <f>VLOOKUP(B100,'Train Runs'!$A$13:$A$99955,1,FALSE)</f>
        <v>#N/A</v>
      </c>
    </row>
    <row r="101" spans="1:10" x14ac:dyDescent="0.25">
      <c r="A101" s="186"/>
      <c r="B101" s="43" t="str">
        <f>A101&amp;"-"&amp;IF(DAY(Variables!$A$2)&lt;10,0,"")&amp;DAY(Variables!$A$2)</f>
        <v>-11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1" s="30" t="e">
        <f>VLOOKUP(B101,'Train Runs'!$A$13:$A$99955,1,FALSE)</f>
        <v>#N/A</v>
      </c>
    </row>
    <row r="102" spans="1:10" x14ac:dyDescent="0.25">
      <c r="A102" s="186"/>
      <c r="B102" s="43" t="str">
        <f>A102&amp;"-"&amp;IF(DAY(Variables!$A$2)&lt;10,0,"")&amp;DAY(Variables!$A$2)</f>
        <v>-11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2" s="30" t="e">
        <f>VLOOKUP(B102,'Train Runs'!$A$13:$A$99955,1,FALSE)</f>
        <v>#N/A</v>
      </c>
    </row>
    <row r="103" spans="1:10" x14ac:dyDescent="0.25">
      <c r="A103" s="186"/>
      <c r="B103" s="43" t="str">
        <f>A103&amp;"-"&amp;IF(DAY(Variables!$A$2)&lt;10,0,"")&amp;DAY(Variables!$A$2)</f>
        <v>-11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3" s="30" t="e">
        <f>VLOOKUP(B103,'Train Runs'!$A$13:$A$99955,1,FALSE)</f>
        <v>#N/A</v>
      </c>
    </row>
    <row r="104" spans="1:10" x14ac:dyDescent="0.25">
      <c r="A104" s="186"/>
      <c r="B104" s="43" t="str">
        <f>A104&amp;"-"&amp;IF(DAY(Variables!$A$2)&lt;10,0,"")&amp;DAY(Variables!$A$2)</f>
        <v>-11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4" s="30" t="e">
        <f>VLOOKUP(B104,'Train Runs'!$A$13:$A$99955,1,FALSE)</f>
        <v>#N/A</v>
      </c>
    </row>
    <row r="105" spans="1:10" x14ac:dyDescent="0.25">
      <c r="A105" s="186"/>
      <c r="B105" s="43" t="str">
        <f>A105&amp;"-"&amp;IF(DAY(Variables!$A$2)&lt;10,0,"")&amp;DAY(Variables!$A$2)</f>
        <v>-11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5" s="30" t="e">
        <f>VLOOKUP(B105,'Train Runs'!$A$13:$A$99955,1,FALSE)</f>
        <v>#N/A</v>
      </c>
    </row>
    <row r="106" spans="1:10" x14ac:dyDescent="0.25">
      <c r="A106" s="186"/>
      <c r="B106" s="43" t="str">
        <f>A106&amp;"-"&amp;IF(DAY(Variables!$A$2)&lt;10,0,"")&amp;DAY(Variables!$A$2)</f>
        <v>-11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6" s="30" t="e">
        <f>VLOOKUP(B106,'Train Runs'!$A$13:$A$99955,1,FALSE)</f>
        <v>#N/A</v>
      </c>
    </row>
    <row r="107" spans="1:10" x14ac:dyDescent="0.25">
      <c r="A107" s="186"/>
      <c r="B107" s="43" t="str">
        <f>A107&amp;"-"&amp;IF(DAY(Variables!$A$2)&lt;10,0,"")&amp;DAY(Variables!$A$2)</f>
        <v>-11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7" s="30" t="e">
        <f>VLOOKUP(B107,'Train Runs'!$A$13:$A$99955,1,FALSE)</f>
        <v>#N/A</v>
      </c>
    </row>
    <row r="108" spans="1:10" x14ac:dyDescent="0.25">
      <c r="A108" s="186"/>
      <c r="B108" s="43" t="str">
        <f>A108&amp;"-"&amp;IF(DAY(Variables!$A$2)&lt;10,0,"")&amp;DAY(Variables!$A$2)</f>
        <v>-11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8" s="30" t="e">
        <f>VLOOKUP(B108,'Train Runs'!$A$13:$A$99955,1,FALSE)</f>
        <v>#N/A</v>
      </c>
    </row>
    <row r="109" spans="1:10" x14ac:dyDescent="0.25">
      <c r="A109" s="186"/>
      <c r="B109" s="43" t="str">
        <f>A109&amp;"-"&amp;IF(DAY(Variables!$A$2)&lt;10,0,"")&amp;DAY(Variables!$A$2)</f>
        <v>-11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9" s="30" t="e">
        <f>VLOOKUP(B109,'Train Runs'!$A$13:$A$99955,1,FALSE)</f>
        <v>#N/A</v>
      </c>
    </row>
    <row r="110" spans="1:10" x14ac:dyDescent="0.25">
      <c r="A110" s="186"/>
      <c r="B110" s="43" t="str">
        <f>A110&amp;"-"&amp;IF(DAY(Variables!$A$2)&lt;10,0,"")&amp;DAY(Variables!$A$2)</f>
        <v>-11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0" s="30" t="e">
        <f>VLOOKUP(B110,'Train Runs'!$A$13:$A$99955,1,FALSE)</f>
        <v>#N/A</v>
      </c>
    </row>
    <row r="111" spans="1:10" x14ac:dyDescent="0.25">
      <c r="A111" s="186"/>
      <c r="B111" s="43" t="str">
        <f>A111&amp;"-"&amp;IF(DAY(Variables!$A$2)&lt;10,0,"")&amp;DAY(Variables!$A$2)</f>
        <v>-11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1" s="30" t="e">
        <f>VLOOKUP(B111,'Train Runs'!$A$13:$A$99955,1,FALSE)</f>
        <v>#N/A</v>
      </c>
    </row>
    <row r="112" spans="1:10" x14ac:dyDescent="0.25">
      <c r="A112" s="186"/>
      <c r="B112" s="43" t="str">
        <f>A112&amp;"-"&amp;IF(DAY(Variables!$A$2)&lt;10,0,"")&amp;DAY(Variables!$A$2)</f>
        <v>-11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ref="I112:I11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2" s="30" t="e">
        <f>VLOOKUP(B112,'Train Runs'!$A$13:$A$99955,1,FALSE)</f>
        <v>#N/A</v>
      </c>
    </row>
    <row r="113" spans="1:10" x14ac:dyDescent="0.25">
      <c r="A113" s="186"/>
      <c r="B113" s="43" t="str">
        <f>A113&amp;"-"&amp;IF(DAY(Variables!$A$2)&lt;10,0,"")&amp;DAY(Variables!$A$2)</f>
        <v>-11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3" s="30" t="e">
        <f>VLOOKUP(B113,'Train Runs'!$A$13:$A$99955,1,FALSE)</f>
        <v>#N/A</v>
      </c>
    </row>
    <row r="114" spans="1:10" x14ac:dyDescent="0.25">
      <c r="A114" s="186"/>
      <c r="B114" s="43" t="str">
        <f>A114&amp;"-"&amp;IF(DAY(Variables!$A$2)&lt;10,0,"")&amp;DAY(Variables!$A$2)</f>
        <v>-11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4" s="30" t="e">
        <f>VLOOKUP(B114,'Train Runs'!$A$13:$A$99955,1,FALSE)</f>
        <v>#N/A</v>
      </c>
    </row>
    <row r="115" spans="1:10" x14ac:dyDescent="0.25">
      <c r="A115" s="186"/>
      <c r="B115" s="43" t="str">
        <f>A115&amp;"-"&amp;IF(DAY(Variables!$A$2)&lt;10,0,"")&amp;DAY(Variables!$A$2)</f>
        <v>-11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5" s="30" t="e">
        <f>VLOOKUP(B115,'Train Runs'!$A$13:$A$99955,1,FALSE)</f>
        <v>#N/A</v>
      </c>
    </row>
    <row r="116" spans="1:10" x14ac:dyDescent="0.25">
      <c r="A116" s="186"/>
      <c r="B116" s="43" t="str">
        <f>A116&amp;"-"&amp;IF(DAY(Variables!$A$2)&lt;10,0,"")&amp;DAY(Variables!$A$2)</f>
        <v>-11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6" s="30" t="e">
        <f>VLOOKUP(B116,'Train Runs'!$A$13:$A$99955,1,FALSE)</f>
        <v>#N/A</v>
      </c>
    </row>
    <row r="117" spans="1:10" x14ac:dyDescent="0.25">
      <c r="A117" s="186"/>
      <c r="B117" s="43" t="str">
        <f>A117&amp;"-"&amp;IF(DAY(Variables!$A$2)&lt;10,0,"")&amp;DAY(Variables!$A$2)</f>
        <v>-11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7" s="30" t="e">
        <f>VLOOKUP(B117,'Train Runs'!$A$13:$A$99955,1,FALSE)</f>
        <v>#N/A</v>
      </c>
    </row>
    <row r="118" spans="1:10" x14ac:dyDescent="0.25">
      <c r="A118" s="186"/>
      <c r="B118" s="43" t="str">
        <f>A118&amp;"-"&amp;IF(DAY(Variables!$A$2)&lt;10,0,"")&amp;DAY(Variables!$A$2)</f>
        <v>-11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8" s="30" t="e">
        <f>VLOOKUP(B118,'Train Runs'!$A$13:$A$99955,1,FALSE)</f>
        <v>#N/A</v>
      </c>
    </row>
  </sheetData>
  <autoFilter ref="A2:J118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0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203</v>
      </c>
      <c r="G1" s="8" t="s">
        <v>202</v>
      </c>
    </row>
    <row r="2" spans="1:7" x14ac:dyDescent="0.25">
      <c r="A2" s="8">
        <v>42777.031574074077</v>
      </c>
      <c r="B2" s="20" t="s">
        <v>427</v>
      </c>
      <c r="C2" s="20" t="s">
        <v>532</v>
      </c>
      <c r="D2" s="150">
        <v>2540000</v>
      </c>
      <c r="E2" s="20" t="s">
        <v>230</v>
      </c>
      <c r="F2" s="20" t="s">
        <v>231</v>
      </c>
      <c r="G2" s="8" t="str">
        <f>E2&amp;" "&amp;F2</f>
        <v>MCREYNOLDS KYLE</v>
      </c>
    </row>
    <row r="3" spans="1:7" x14ac:dyDescent="0.25">
      <c r="A3" s="8">
        <v>42777.035138888888</v>
      </c>
      <c r="B3" s="20" t="s">
        <v>196</v>
      </c>
      <c r="C3" s="20" t="s">
        <v>533</v>
      </c>
      <c r="D3" s="150">
        <v>2270000</v>
      </c>
      <c r="E3" s="20" t="s">
        <v>241</v>
      </c>
      <c r="F3" s="20" t="s">
        <v>242</v>
      </c>
      <c r="G3" s="8" t="str">
        <f t="shared" ref="G3:G66" si="0">E3&amp;" "&amp;F3</f>
        <v>BROWN JACOB</v>
      </c>
    </row>
    <row r="4" spans="1:7" x14ac:dyDescent="0.25">
      <c r="A4" s="8">
        <v>42777.043182870373</v>
      </c>
      <c r="B4" s="20" t="s">
        <v>255</v>
      </c>
      <c r="C4" s="20" t="s">
        <v>446</v>
      </c>
      <c r="D4" s="150">
        <v>0</v>
      </c>
      <c r="E4" s="20" t="s">
        <v>534</v>
      </c>
      <c r="F4" s="20" t="s">
        <v>535</v>
      </c>
      <c r="G4" s="8" t="str">
        <f t="shared" si="0"/>
        <v>Coats Theron</v>
      </c>
    </row>
    <row r="5" spans="1:7" x14ac:dyDescent="0.25">
      <c r="A5" s="8">
        <v>42777.044502314813</v>
      </c>
      <c r="B5" s="20" t="s">
        <v>255</v>
      </c>
      <c r="C5" s="20" t="s">
        <v>446</v>
      </c>
      <c r="D5" s="150">
        <v>0</v>
      </c>
      <c r="E5" s="20" t="s">
        <v>534</v>
      </c>
      <c r="F5" s="20" t="s">
        <v>535</v>
      </c>
      <c r="G5" s="8" t="str">
        <f t="shared" si="0"/>
        <v>Coats Theron</v>
      </c>
    </row>
    <row r="6" spans="1:7" x14ac:dyDescent="0.25">
      <c r="A6" s="8">
        <v>42777.047048611108</v>
      </c>
      <c r="B6" s="20" t="s">
        <v>302</v>
      </c>
      <c r="C6" s="20" t="s">
        <v>536</v>
      </c>
      <c r="D6" s="150">
        <v>1740000</v>
      </c>
      <c r="E6" s="20" t="s">
        <v>237</v>
      </c>
      <c r="F6" s="20" t="s">
        <v>238</v>
      </c>
      <c r="G6" s="8" t="str">
        <f t="shared" si="0"/>
        <v>STORY SAMANTHA</v>
      </c>
    </row>
    <row r="7" spans="1:7" x14ac:dyDescent="0.25">
      <c r="A7" s="8">
        <v>42777.068807870368</v>
      </c>
      <c r="B7" s="20" t="s">
        <v>426</v>
      </c>
      <c r="C7" s="20" t="s">
        <v>537</v>
      </c>
      <c r="D7" s="150">
        <v>2540000</v>
      </c>
      <c r="E7" s="20" t="s">
        <v>230</v>
      </c>
      <c r="F7" s="20" t="s">
        <v>231</v>
      </c>
      <c r="G7" s="8" t="str">
        <f t="shared" si="0"/>
        <v>MCREYNOLDS KYLE</v>
      </c>
    </row>
    <row r="8" spans="1:7" x14ac:dyDescent="0.25">
      <c r="A8" s="8">
        <v>42777.117025462961</v>
      </c>
      <c r="B8" s="20" t="s">
        <v>210</v>
      </c>
      <c r="C8" s="20" t="s">
        <v>511</v>
      </c>
      <c r="D8" s="150">
        <v>2550000</v>
      </c>
      <c r="E8" s="20" t="s">
        <v>428</v>
      </c>
      <c r="F8" s="20" t="s">
        <v>429</v>
      </c>
      <c r="G8" s="8" t="str">
        <f t="shared" si="0"/>
        <v>BADERTSCHER DIANE</v>
      </c>
    </row>
    <row r="9" spans="1:7" ht="15.75" thickBot="1" x14ac:dyDescent="0.3">
      <c r="A9" s="24">
        <v>42777.126168981478</v>
      </c>
      <c r="B9" s="20" t="s">
        <v>337</v>
      </c>
      <c r="C9" s="20" t="s">
        <v>512</v>
      </c>
      <c r="D9" s="150">
        <v>2550000</v>
      </c>
      <c r="E9" s="20" t="s">
        <v>428</v>
      </c>
      <c r="F9" s="20" t="s">
        <v>429</v>
      </c>
      <c r="G9" s="8" t="str">
        <f t="shared" si="0"/>
        <v>BADERTSCHER DIANE</v>
      </c>
    </row>
    <row r="10" spans="1:7" x14ac:dyDescent="0.25">
      <c r="A10" s="8">
        <v>42777.139652777776</v>
      </c>
      <c r="B10" s="20" t="s">
        <v>228</v>
      </c>
      <c r="C10" s="20" t="s">
        <v>538</v>
      </c>
      <c r="D10" s="150">
        <v>2140000</v>
      </c>
      <c r="E10" s="20" t="s">
        <v>450</v>
      </c>
      <c r="F10" s="20" t="s">
        <v>451</v>
      </c>
      <c r="G10" s="8" t="str">
        <f t="shared" si="0"/>
        <v>ROBINSON KADDIBA</v>
      </c>
    </row>
    <row r="11" spans="1:7" x14ac:dyDescent="0.25">
      <c r="A11" s="8">
        <v>42777.151435185187</v>
      </c>
      <c r="B11" s="20" t="s">
        <v>192</v>
      </c>
      <c r="C11" s="20" t="s">
        <v>539</v>
      </c>
      <c r="D11" s="150">
        <v>2140000</v>
      </c>
      <c r="E11" s="20" t="s">
        <v>450</v>
      </c>
      <c r="F11" s="20" t="s">
        <v>451</v>
      </c>
      <c r="G11" s="8" t="str">
        <f t="shared" si="0"/>
        <v>ROBINSON KADDIBA</v>
      </c>
    </row>
    <row r="12" spans="1:7" x14ac:dyDescent="0.25">
      <c r="A12" s="8">
        <v>42777.157650462963</v>
      </c>
      <c r="B12" s="20" t="s">
        <v>233</v>
      </c>
      <c r="C12" s="20" t="s">
        <v>540</v>
      </c>
      <c r="D12" s="150">
        <v>2010000</v>
      </c>
      <c r="E12" s="20" t="s">
        <v>541</v>
      </c>
      <c r="F12" s="20" t="s">
        <v>542</v>
      </c>
      <c r="G12" s="8" t="str">
        <f t="shared" si="0"/>
        <v>MAELZER KURT</v>
      </c>
    </row>
    <row r="13" spans="1:7" x14ac:dyDescent="0.25">
      <c r="A13" s="8">
        <v>42777.165486111109</v>
      </c>
      <c r="B13" s="20" t="s">
        <v>210</v>
      </c>
      <c r="C13" s="20" t="s">
        <v>543</v>
      </c>
      <c r="D13" s="150">
        <v>2550000</v>
      </c>
      <c r="E13" s="20" t="s">
        <v>428</v>
      </c>
      <c r="F13" s="20" t="s">
        <v>429</v>
      </c>
      <c r="G13" s="8" t="str">
        <f t="shared" si="0"/>
        <v>BADERTSCHER DIANE</v>
      </c>
    </row>
    <row r="14" spans="1:7" x14ac:dyDescent="0.25">
      <c r="A14" s="8">
        <v>42777.168379629627</v>
      </c>
      <c r="B14" s="20" t="s">
        <v>243</v>
      </c>
      <c r="C14" s="20" t="s">
        <v>544</v>
      </c>
      <c r="D14" s="150">
        <v>2010000</v>
      </c>
      <c r="E14" s="20" t="s">
        <v>541</v>
      </c>
      <c r="F14" s="20" t="s">
        <v>542</v>
      </c>
      <c r="G14" s="8" t="str">
        <f t="shared" si="0"/>
        <v>MAELZER KURT</v>
      </c>
    </row>
    <row r="15" spans="1:7" x14ac:dyDescent="0.25">
      <c r="A15" s="8">
        <v>42777.180138888885</v>
      </c>
      <c r="B15" s="20" t="s">
        <v>331</v>
      </c>
      <c r="C15" s="20" t="s">
        <v>545</v>
      </c>
      <c r="D15" s="150">
        <v>1990000</v>
      </c>
      <c r="E15" s="20" t="s">
        <v>546</v>
      </c>
      <c r="F15" s="20" t="s">
        <v>547</v>
      </c>
      <c r="G15" s="8" t="str">
        <f t="shared" si="0"/>
        <v>DAVIS WENDY</v>
      </c>
    </row>
    <row r="16" spans="1:7" x14ac:dyDescent="0.25">
      <c r="A16" s="8">
        <v>42777.184710648151</v>
      </c>
      <c r="B16" s="20" t="s">
        <v>330</v>
      </c>
      <c r="C16" s="20" t="s">
        <v>548</v>
      </c>
      <c r="D16" s="150">
        <v>2110000</v>
      </c>
      <c r="E16" s="20" t="s">
        <v>549</v>
      </c>
      <c r="F16" s="20" t="s">
        <v>550</v>
      </c>
      <c r="G16" s="8" t="str">
        <f t="shared" si="0"/>
        <v>OUN ZACK</v>
      </c>
    </row>
    <row r="17" spans="1:7" x14ac:dyDescent="0.25">
      <c r="A17" s="8">
        <v>42777.1878125</v>
      </c>
      <c r="B17" s="20" t="s">
        <v>551</v>
      </c>
      <c r="C17" s="20" t="s">
        <v>552</v>
      </c>
      <c r="D17" s="150">
        <v>1990000</v>
      </c>
      <c r="E17" s="20" t="s">
        <v>546</v>
      </c>
      <c r="F17" s="20" t="s">
        <v>547</v>
      </c>
      <c r="G17" s="8" t="str">
        <f t="shared" si="0"/>
        <v>DAVIS WENDY</v>
      </c>
    </row>
    <row r="18" spans="1:7" x14ac:dyDescent="0.25">
      <c r="A18" s="8">
        <v>42777.189143518517</v>
      </c>
      <c r="B18" s="20" t="s">
        <v>228</v>
      </c>
      <c r="C18" s="20" t="s">
        <v>553</v>
      </c>
      <c r="D18" s="150">
        <v>2140000</v>
      </c>
      <c r="E18" s="20" t="s">
        <v>450</v>
      </c>
      <c r="F18" s="20" t="s">
        <v>451</v>
      </c>
      <c r="G18" s="8" t="str">
        <f t="shared" si="0"/>
        <v>ROBINSON KADDIBA</v>
      </c>
    </row>
    <row r="19" spans="1:7" x14ac:dyDescent="0.25">
      <c r="A19" s="8">
        <v>42777.19736111111</v>
      </c>
      <c r="B19" s="20" t="s">
        <v>327</v>
      </c>
      <c r="C19" s="20" t="s">
        <v>554</v>
      </c>
      <c r="D19" s="150">
        <v>2110000</v>
      </c>
      <c r="E19" s="20" t="s">
        <v>549</v>
      </c>
      <c r="F19" s="20" t="s">
        <v>550</v>
      </c>
      <c r="G19" s="8" t="str">
        <f t="shared" si="0"/>
        <v>OUN ZACK</v>
      </c>
    </row>
    <row r="20" spans="1:7" x14ac:dyDescent="0.25">
      <c r="A20" s="8">
        <v>42777.209247685183</v>
      </c>
      <c r="B20" s="20" t="s">
        <v>337</v>
      </c>
      <c r="C20" s="20" t="s">
        <v>513</v>
      </c>
      <c r="D20" s="150">
        <v>890000</v>
      </c>
      <c r="E20" s="20" t="s">
        <v>344</v>
      </c>
      <c r="F20" s="20" t="s">
        <v>345</v>
      </c>
      <c r="G20" s="8" t="str">
        <f t="shared" si="0"/>
        <v>LOZA FIDEL</v>
      </c>
    </row>
    <row r="21" spans="1:7" x14ac:dyDescent="0.25">
      <c r="A21" s="8">
        <v>42777.214236111111</v>
      </c>
      <c r="B21" s="20" t="s">
        <v>234</v>
      </c>
      <c r="C21" s="20" t="s">
        <v>555</v>
      </c>
      <c r="D21" s="150">
        <v>2550000</v>
      </c>
      <c r="E21" s="20" t="s">
        <v>428</v>
      </c>
      <c r="F21" s="20" t="s">
        <v>429</v>
      </c>
      <c r="G21" s="8" t="str">
        <f t="shared" si="0"/>
        <v>BADERTSCHER DIANE</v>
      </c>
    </row>
    <row r="22" spans="1:7" x14ac:dyDescent="0.25">
      <c r="A22" s="26">
        <v>42777.215312499997</v>
      </c>
      <c r="B22" s="20" t="s">
        <v>233</v>
      </c>
      <c r="C22" s="20" t="s">
        <v>556</v>
      </c>
      <c r="D22" s="150">
        <v>2010000</v>
      </c>
      <c r="E22" s="20" t="s">
        <v>541</v>
      </c>
      <c r="F22" s="20" t="s">
        <v>542</v>
      </c>
      <c r="G22" s="8" t="str">
        <f t="shared" si="0"/>
        <v>MAELZER KURT</v>
      </c>
    </row>
    <row r="23" spans="1:7" x14ac:dyDescent="0.25">
      <c r="A23" s="8">
        <v>42777.224583333336</v>
      </c>
      <c r="B23" s="20" t="s">
        <v>302</v>
      </c>
      <c r="C23" s="20" t="s">
        <v>557</v>
      </c>
      <c r="D23" s="150">
        <v>2020000</v>
      </c>
      <c r="E23" s="20" t="s">
        <v>452</v>
      </c>
      <c r="F23" s="20" t="s">
        <v>453</v>
      </c>
      <c r="G23" s="8" t="str">
        <f t="shared" si="0"/>
        <v>SHOOK JOHN</v>
      </c>
    </row>
    <row r="24" spans="1:7" x14ac:dyDescent="0.25">
      <c r="A24" s="8">
        <v>42777.225636574076</v>
      </c>
      <c r="B24" s="20" t="s">
        <v>192</v>
      </c>
      <c r="C24" s="20" t="s">
        <v>558</v>
      </c>
      <c r="D24" s="150">
        <v>1100000</v>
      </c>
      <c r="E24" s="20" t="s">
        <v>430</v>
      </c>
      <c r="F24" s="20" t="s">
        <v>431</v>
      </c>
      <c r="G24" s="8" t="str">
        <f t="shared" si="0"/>
        <v>GEBRETEKLE DAGNEW</v>
      </c>
    </row>
    <row r="25" spans="1:7" x14ac:dyDescent="0.25">
      <c r="A25" s="8">
        <v>42777.225694444445</v>
      </c>
      <c r="B25" s="20" t="s">
        <v>331</v>
      </c>
      <c r="C25" s="20" t="s">
        <v>559</v>
      </c>
      <c r="D25" s="150">
        <v>1990000</v>
      </c>
      <c r="E25" s="20" t="s">
        <v>546</v>
      </c>
      <c r="F25" s="20" t="s">
        <v>547</v>
      </c>
      <c r="G25" s="8" t="str">
        <f t="shared" si="0"/>
        <v>DAVIS WENDY</v>
      </c>
    </row>
    <row r="26" spans="1:7" x14ac:dyDescent="0.25">
      <c r="A26" s="8">
        <v>42777.231458333335</v>
      </c>
      <c r="B26" s="20" t="s">
        <v>330</v>
      </c>
      <c r="C26" s="20" t="s">
        <v>560</v>
      </c>
      <c r="D26" s="150">
        <v>2110000</v>
      </c>
      <c r="E26" s="20" t="s">
        <v>549</v>
      </c>
      <c r="F26" s="20" t="s">
        <v>550</v>
      </c>
      <c r="G26" s="8" t="str">
        <f t="shared" si="0"/>
        <v>OUN ZACK</v>
      </c>
    </row>
    <row r="27" spans="1:7" x14ac:dyDescent="0.25">
      <c r="A27" s="8">
        <v>42777.233993055554</v>
      </c>
      <c r="B27" s="20" t="s">
        <v>432</v>
      </c>
      <c r="C27" s="20" t="s">
        <v>561</v>
      </c>
      <c r="D27" s="150">
        <v>2020000</v>
      </c>
      <c r="E27" s="20" t="s">
        <v>452</v>
      </c>
      <c r="F27" s="20" t="s">
        <v>453</v>
      </c>
      <c r="G27" s="8" t="str">
        <f t="shared" si="0"/>
        <v>SHOOK JOHN</v>
      </c>
    </row>
    <row r="28" spans="1:7" x14ac:dyDescent="0.25">
      <c r="A28" s="8">
        <v>42777.234398148146</v>
      </c>
      <c r="B28" s="20" t="s">
        <v>229</v>
      </c>
      <c r="C28" s="20" t="s">
        <v>562</v>
      </c>
      <c r="D28" s="150">
        <v>2140000</v>
      </c>
      <c r="E28" s="20" t="s">
        <v>450</v>
      </c>
      <c r="F28" s="20" t="s">
        <v>451</v>
      </c>
      <c r="G28" s="8" t="str">
        <f t="shared" si="0"/>
        <v>ROBINSON KADDIBA</v>
      </c>
    </row>
    <row r="29" spans="1:7" x14ac:dyDescent="0.25">
      <c r="A29" s="8">
        <v>42777.245613425926</v>
      </c>
      <c r="B29" s="20" t="s">
        <v>338</v>
      </c>
      <c r="C29" s="20" t="s">
        <v>562</v>
      </c>
      <c r="D29" s="150">
        <v>2140000</v>
      </c>
      <c r="E29" s="20" t="s">
        <v>450</v>
      </c>
      <c r="F29" s="20" t="s">
        <v>451</v>
      </c>
      <c r="G29" s="8" t="str">
        <f t="shared" si="0"/>
        <v>ROBINSON KADDIBA</v>
      </c>
    </row>
    <row r="30" spans="1:7" x14ac:dyDescent="0.25">
      <c r="A30" s="8">
        <v>42777.246018518519</v>
      </c>
      <c r="B30" s="20" t="s">
        <v>313</v>
      </c>
      <c r="C30" s="20" t="s">
        <v>563</v>
      </c>
      <c r="D30" s="150">
        <v>890000</v>
      </c>
      <c r="E30" s="20" t="s">
        <v>344</v>
      </c>
      <c r="F30" s="20" t="s">
        <v>345</v>
      </c>
      <c r="G30" s="8" t="str">
        <f t="shared" si="0"/>
        <v>LOZA FIDEL</v>
      </c>
    </row>
    <row r="31" spans="1:7" x14ac:dyDescent="0.25">
      <c r="A31" s="8">
        <v>42777.248449074075</v>
      </c>
      <c r="B31" s="20" t="s">
        <v>243</v>
      </c>
      <c r="C31" s="20" t="s">
        <v>564</v>
      </c>
      <c r="D31" s="150">
        <v>2010000</v>
      </c>
      <c r="E31" s="20" t="s">
        <v>541</v>
      </c>
      <c r="F31" s="20" t="s">
        <v>542</v>
      </c>
      <c r="G31" s="8" t="str">
        <f t="shared" si="0"/>
        <v>MAELZER KURT</v>
      </c>
    </row>
    <row r="32" spans="1:7" x14ac:dyDescent="0.25">
      <c r="A32" s="8">
        <v>42777.248668981483</v>
      </c>
      <c r="B32" s="20" t="s">
        <v>302</v>
      </c>
      <c r="C32" s="20" t="s">
        <v>565</v>
      </c>
      <c r="D32" s="150">
        <v>2020000</v>
      </c>
      <c r="E32" s="20" t="s">
        <v>452</v>
      </c>
      <c r="F32" s="20" t="s">
        <v>453</v>
      </c>
      <c r="G32" s="8" t="str">
        <f t="shared" si="0"/>
        <v>SHOOK JOHN</v>
      </c>
    </row>
    <row r="33" spans="1:7" x14ac:dyDescent="0.25">
      <c r="A33" s="8">
        <v>42777.253368055557</v>
      </c>
      <c r="B33" s="20" t="s">
        <v>210</v>
      </c>
      <c r="C33" s="20" t="s">
        <v>566</v>
      </c>
      <c r="D33" s="150">
        <v>2550000</v>
      </c>
      <c r="E33" s="20" t="s">
        <v>428</v>
      </c>
      <c r="F33" s="20" t="s">
        <v>429</v>
      </c>
      <c r="G33" s="8" t="str">
        <f t="shared" si="0"/>
        <v>BADERTSCHER DIANE</v>
      </c>
    </row>
    <row r="34" spans="1:7" x14ac:dyDescent="0.25">
      <c r="A34" s="8">
        <v>42777.260023148148</v>
      </c>
      <c r="B34" s="20" t="s">
        <v>551</v>
      </c>
      <c r="C34" s="20" t="s">
        <v>567</v>
      </c>
      <c r="D34" s="150">
        <v>1990000</v>
      </c>
      <c r="E34" s="20" t="s">
        <v>546</v>
      </c>
      <c r="F34" s="20" t="s">
        <v>547</v>
      </c>
      <c r="G34" s="8" t="str">
        <f t="shared" si="0"/>
        <v>DAVIS WENDY</v>
      </c>
    </row>
    <row r="35" spans="1:7" x14ac:dyDescent="0.25">
      <c r="A35" s="8">
        <v>42777.265532407408</v>
      </c>
      <c r="B35" s="20" t="s">
        <v>445</v>
      </c>
      <c r="C35" s="20" t="s">
        <v>568</v>
      </c>
      <c r="D35" s="150">
        <v>1100000</v>
      </c>
      <c r="E35" s="20" t="s">
        <v>430</v>
      </c>
      <c r="F35" s="20" t="s">
        <v>431</v>
      </c>
      <c r="G35" s="8" t="str">
        <f t="shared" si="0"/>
        <v>GEBRETEKLE DAGNEW</v>
      </c>
    </row>
    <row r="36" spans="1:7" x14ac:dyDescent="0.25">
      <c r="A36" s="8">
        <v>42777.268819444442</v>
      </c>
      <c r="B36" s="20" t="s">
        <v>327</v>
      </c>
      <c r="C36" s="20" t="s">
        <v>514</v>
      </c>
      <c r="D36" s="150">
        <v>2110000</v>
      </c>
      <c r="E36" s="20" t="s">
        <v>549</v>
      </c>
      <c r="F36" s="20" t="s">
        <v>550</v>
      </c>
      <c r="G36" s="8" t="str">
        <f t="shared" si="0"/>
        <v>OUN ZACK</v>
      </c>
    </row>
    <row r="37" spans="1:7" x14ac:dyDescent="0.25">
      <c r="A37" s="8">
        <v>42777.276666666665</v>
      </c>
      <c r="B37" s="20" t="s">
        <v>432</v>
      </c>
      <c r="C37" s="20" t="s">
        <v>569</v>
      </c>
      <c r="D37" s="150">
        <v>2020000</v>
      </c>
      <c r="E37" s="20" t="s">
        <v>452</v>
      </c>
      <c r="F37" s="20" t="s">
        <v>453</v>
      </c>
      <c r="G37" s="8" t="str">
        <f t="shared" si="0"/>
        <v>SHOOK JOHN</v>
      </c>
    </row>
    <row r="38" spans="1:7" x14ac:dyDescent="0.25">
      <c r="A38" s="8">
        <v>42777.276875000003</v>
      </c>
      <c r="B38" s="20" t="s">
        <v>259</v>
      </c>
      <c r="C38" s="20" t="s">
        <v>570</v>
      </c>
      <c r="D38" s="150">
        <v>2620000</v>
      </c>
      <c r="E38" s="20" t="s">
        <v>571</v>
      </c>
      <c r="F38" s="20" t="s">
        <v>572</v>
      </c>
      <c r="G38" s="8" t="str">
        <f t="shared" si="0"/>
        <v>PERKINS DARREN</v>
      </c>
    </row>
    <row r="39" spans="1:7" x14ac:dyDescent="0.25">
      <c r="A39" s="8">
        <v>42777.277743055558</v>
      </c>
      <c r="B39" s="20" t="s">
        <v>337</v>
      </c>
      <c r="C39" s="20" t="s">
        <v>573</v>
      </c>
      <c r="D39" s="150">
        <v>890000</v>
      </c>
      <c r="E39" s="20" t="s">
        <v>344</v>
      </c>
      <c r="F39" s="20" t="s">
        <v>345</v>
      </c>
      <c r="G39" s="8" t="str">
        <f t="shared" si="0"/>
        <v>LOZA FIDEL</v>
      </c>
    </row>
    <row r="40" spans="1:7" x14ac:dyDescent="0.25">
      <c r="A40" s="8">
        <v>42777.284444444442</v>
      </c>
      <c r="B40" s="25" t="s">
        <v>220</v>
      </c>
      <c r="C40" s="20" t="s">
        <v>574</v>
      </c>
      <c r="D40" s="150">
        <v>2010000</v>
      </c>
      <c r="E40" s="20" t="s">
        <v>541</v>
      </c>
      <c r="F40" s="20" t="s">
        <v>542</v>
      </c>
      <c r="G40" s="8" t="str">
        <f t="shared" si="0"/>
        <v>MAELZER KURT</v>
      </c>
    </row>
    <row r="41" spans="1:7" x14ac:dyDescent="0.25">
      <c r="A41" s="8">
        <v>42777.28869212963</v>
      </c>
      <c r="B41" s="20" t="s">
        <v>234</v>
      </c>
      <c r="C41" s="20" t="s">
        <v>575</v>
      </c>
      <c r="D41" s="150">
        <v>2550000</v>
      </c>
      <c r="E41" s="20" t="s">
        <v>428</v>
      </c>
      <c r="F41" s="20" t="s">
        <v>429</v>
      </c>
      <c r="G41" s="8" t="str">
        <f t="shared" si="0"/>
        <v>BADERTSCHER DIANE</v>
      </c>
    </row>
    <row r="42" spans="1:7" x14ac:dyDescent="0.25">
      <c r="A42" s="8">
        <v>42777.290717592594</v>
      </c>
      <c r="B42" s="20" t="s">
        <v>302</v>
      </c>
      <c r="C42" s="20" t="s">
        <v>576</v>
      </c>
      <c r="D42" s="150">
        <v>2020000</v>
      </c>
      <c r="E42" s="20" t="s">
        <v>452</v>
      </c>
      <c r="F42" s="20" t="s">
        <v>453</v>
      </c>
      <c r="G42" s="8" t="str">
        <f t="shared" si="0"/>
        <v>SHOOK JOHN</v>
      </c>
    </row>
    <row r="43" spans="1:7" x14ac:dyDescent="0.25">
      <c r="A43" s="8">
        <v>42777.297349537039</v>
      </c>
      <c r="B43" s="20" t="s">
        <v>331</v>
      </c>
      <c r="C43" s="20" t="s">
        <v>577</v>
      </c>
      <c r="D43" s="150">
        <v>1990000</v>
      </c>
      <c r="E43" s="20" t="s">
        <v>546</v>
      </c>
      <c r="F43" s="20" t="s">
        <v>547</v>
      </c>
      <c r="G43" s="8" t="str">
        <f t="shared" si="0"/>
        <v>DAVIS WENDY</v>
      </c>
    </row>
    <row r="44" spans="1:7" x14ac:dyDescent="0.25">
      <c r="A44" s="8">
        <v>42777.298298611109</v>
      </c>
      <c r="B44" s="20" t="s">
        <v>192</v>
      </c>
      <c r="C44" s="20" t="s">
        <v>578</v>
      </c>
      <c r="D44" s="150">
        <v>1100000</v>
      </c>
      <c r="E44" s="20" t="s">
        <v>430</v>
      </c>
      <c r="F44" s="20" t="s">
        <v>431</v>
      </c>
      <c r="G44" s="8" t="str">
        <f t="shared" si="0"/>
        <v>GEBRETEKLE DAGNEW</v>
      </c>
    </row>
    <row r="45" spans="1:7" x14ac:dyDescent="0.25">
      <c r="A45" s="8">
        <v>42777.305775462963</v>
      </c>
      <c r="B45" s="20" t="s">
        <v>330</v>
      </c>
      <c r="C45" s="20" t="s">
        <v>579</v>
      </c>
      <c r="D45" s="150">
        <v>2110000</v>
      </c>
      <c r="E45" s="20" t="s">
        <v>549</v>
      </c>
      <c r="F45" s="20" t="s">
        <v>550</v>
      </c>
      <c r="G45" s="8" t="str">
        <f t="shared" si="0"/>
        <v>OUN ZACK</v>
      </c>
    </row>
    <row r="46" spans="1:7" x14ac:dyDescent="0.25">
      <c r="A46" s="8">
        <v>42777.309374999997</v>
      </c>
      <c r="B46" s="20" t="s">
        <v>338</v>
      </c>
      <c r="C46" s="20" t="s">
        <v>580</v>
      </c>
      <c r="D46" s="150">
        <v>2140000</v>
      </c>
      <c r="E46" s="20" t="s">
        <v>450</v>
      </c>
      <c r="F46" s="20" t="s">
        <v>451</v>
      </c>
      <c r="G46" s="8" t="str">
        <f t="shared" si="0"/>
        <v>ROBINSON KADDIBA</v>
      </c>
    </row>
    <row r="47" spans="1:7" x14ac:dyDescent="0.25">
      <c r="A47" s="8">
        <v>42777.318067129629</v>
      </c>
      <c r="B47" s="20" t="s">
        <v>432</v>
      </c>
      <c r="C47" s="20" t="s">
        <v>581</v>
      </c>
      <c r="D47" s="150">
        <v>2020000</v>
      </c>
      <c r="E47" s="20" t="s">
        <v>452</v>
      </c>
      <c r="F47" s="20" t="s">
        <v>453</v>
      </c>
      <c r="G47" s="8" t="str">
        <f t="shared" si="0"/>
        <v>SHOOK JOHN</v>
      </c>
    </row>
    <row r="48" spans="1:7" x14ac:dyDescent="0.25">
      <c r="A48" s="8">
        <v>42777.318402777775</v>
      </c>
      <c r="B48" s="20" t="s">
        <v>313</v>
      </c>
      <c r="C48" s="20" t="s">
        <v>582</v>
      </c>
      <c r="D48" s="150">
        <v>890000</v>
      </c>
      <c r="E48" s="20" t="s">
        <v>344</v>
      </c>
      <c r="F48" s="20" t="s">
        <v>345</v>
      </c>
      <c r="G48" s="8" t="str">
        <f t="shared" si="0"/>
        <v>LOZA FIDEL</v>
      </c>
    </row>
    <row r="49" spans="1:7" x14ac:dyDescent="0.25">
      <c r="A49" s="8">
        <v>42777.320497685185</v>
      </c>
      <c r="B49" s="20" t="s">
        <v>243</v>
      </c>
      <c r="C49" s="20" t="s">
        <v>583</v>
      </c>
      <c r="D49" s="150">
        <v>2010000</v>
      </c>
      <c r="E49" s="20" t="s">
        <v>541</v>
      </c>
      <c r="F49" s="20" t="s">
        <v>542</v>
      </c>
      <c r="G49" s="8" t="str">
        <f t="shared" si="0"/>
        <v>MAELZER KURT</v>
      </c>
    </row>
    <row r="50" spans="1:7" x14ac:dyDescent="0.25">
      <c r="A50" s="8">
        <v>42777.321053240739</v>
      </c>
      <c r="B50" s="20" t="s">
        <v>210</v>
      </c>
      <c r="C50" s="20" t="s">
        <v>584</v>
      </c>
      <c r="D50" s="150">
        <v>2550000</v>
      </c>
      <c r="E50" s="20" t="s">
        <v>428</v>
      </c>
      <c r="F50" s="20" t="s">
        <v>429</v>
      </c>
      <c r="G50" s="8" t="str">
        <f t="shared" si="0"/>
        <v>BADERTSCHER DIANE</v>
      </c>
    </row>
    <row r="51" spans="1:7" x14ac:dyDescent="0.25">
      <c r="A51" s="8">
        <v>42777.329375000001</v>
      </c>
      <c r="B51" s="20" t="s">
        <v>551</v>
      </c>
      <c r="C51" s="20" t="s">
        <v>585</v>
      </c>
      <c r="D51" s="150">
        <v>1760000</v>
      </c>
      <c r="E51" s="20" t="s">
        <v>586</v>
      </c>
      <c r="F51" s="20" t="s">
        <v>587</v>
      </c>
      <c r="G51" s="8" t="str">
        <f t="shared" si="0"/>
        <v>STRICKLAND EVAN</v>
      </c>
    </row>
    <row r="52" spans="1:7" x14ac:dyDescent="0.25">
      <c r="A52" s="8">
        <v>42777.332071759258</v>
      </c>
      <c r="B52" s="20" t="s">
        <v>302</v>
      </c>
      <c r="C52" s="20" t="s">
        <v>588</v>
      </c>
      <c r="D52" s="150">
        <v>2020000</v>
      </c>
      <c r="E52" s="20" t="s">
        <v>452</v>
      </c>
      <c r="F52" s="20" t="s">
        <v>453</v>
      </c>
      <c r="G52" s="8" t="str">
        <f t="shared" si="0"/>
        <v>SHOOK JOHN</v>
      </c>
    </row>
    <row r="53" spans="1:7" x14ac:dyDescent="0.25">
      <c r="A53" s="8">
        <v>42777.338159722225</v>
      </c>
      <c r="B53" s="20" t="s">
        <v>445</v>
      </c>
      <c r="C53" s="20" t="s">
        <v>589</v>
      </c>
      <c r="D53" s="150">
        <v>1100000</v>
      </c>
      <c r="E53" s="20" t="s">
        <v>430</v>
      </c>
      <c r="F53" s="20" t="s">
        <v>431</v>
      </c>
      <c r="G53" s="8" t="str">
        <f t="shared" si="0"/>
        <v>GEBRETEKLE DAGNEW</v>
      </c>
    </row>
    <row r="54" spans="1:7" x14ac:dyDescent="0.25">
      <c r="A54" s="8">
        <v>42777.338773148149</v>
      </c>
      <c r="B54" s="20" t="s">
        <v>327</v>
      </c>
      <c r="C54" s="20" t="s">
        <v>590</v>
      </c>
      <c r="D54" s="150">
        <v>2110000</v>
      </c>
      <c r="E54" s="20" t="s">
        <v>549</v>
      </c>
      <c r="F54" s="20" t="s">
        <v>550</v>
      </c>
      <c r="G54" s="8" t="str">
        <f t="shared" si="0"/>
        <v>OUN ZACK</v>
      </c>
    </row>
    <row r="55" spans="1:7" x14ac:dyDescent="0.25">
      <c r="A55" s="8">
        <v>42777.348854166667</v>
      </c>
      <c r="B55" s="20" t="s">
        <v>259</v>
      </c>
      <c r="C55" s="20" t="s">
        <v>591</v>
      </c>
      <c r="D55" s="150">
        <v>2620000</v>
      </c>
      <c r="E55" s="20" t="s">
        <v>571</v>
      </c>
      <c r="F55" s="20" t="s">
        <v>572</v>
      </c>
      <c r="G55" s="8" t="str">
        <f t="shared" si="0"/>
        <v>PERKINS DARREN</v>
      </c>
    </row>
    <row r="56" spans="1:7" x14ac:dyDescent="0.25">
      <c r="A56" s="8">
        <v>42777.352303240739</v>
      </c>
      <c r="B56" s="20" t="s">
        <v>337</v>
      </c>
      <c r="C56" s="20" t="s">
        <v>592</v>
      </c>
      <c r="D56" s="150">
        <v>890000</v>
      </c>
      <c r="E56" s="20" t="s">
        <v>344</v>
      </c>
      <c r="F56" s="20" t="s">
        <v>345</v>
      </c>
      <c r="G56" s="8" t="str">
        <f t="shared" si="0"/>
        <v>LOZA FIDEL</v>
      </c>
    </row>
    <row r="57" spans="1:7" x14ac:dyDescent="0.25">
      <c r="A57" s="8">
        <v>42777.354432870372</v>
      </c>
      <c r="B57" s="20" t="s">
        <v>220</v>
      </c>
      <c r="C57" s="20" t="s">
        <v>593</v>
      </c>
      <c r="D57" s="150">
        <v>2010000</v>
      </c>
      <c r="E57" s="20" t="s">
        <v>541</v>
      </c>
      <c r="F57" s="20" t="s">
        <v>542</v>
      </c>
      <c r="G57" s="8" t="str">
        <f t="shared" si="0"/>
        <v>MAELZER KURT</v>
      </c>
    </row>
    <row r="58" spans="1:7" x14ac:dyDescent="0.25">
      <c r="A58" s="8">
        <v>42777.359618055554</v>
      </c>
      <c r="B58" s="20" t="s">
        <v>432</v>
      </c>
      <c r="C58" s="20" t="s">
        <v>594</v>
      </c>
      <c r="D58" s="150">
        <v>2020000</v>
      </c>
      <c r="E58" s="20" t="s">
        <v>452</v>
      </c>
      <c r="F58" s="20" t="s">
        <v>453</v>
      </c>
      <c r="G58" s="8" t="str">
        <f t="shared" si="0"/>
        <v>SHOOK JOHN</v>
      </c>
    </row>
    <row r="59" spans="1:7" x14ac:dyDescent="0.25">
      <c r="A59" s="8">
        <v>42777.360451388886</v>
      </c>
      <c r="B59" s="20" t="s">
        <v>234</v>
      </c>
      <c r="C59" s="20" t="s">
        <v>595</v>
      </c>
      <c r="D59" s="150">
        <v>2550000</v>
      </c>
      <c r="E59" s="20" t="s">
        <v>428</v>
      </c>
      <c r="F59" s="20" t="s">
        <v>429</v>
      </c>
      <c r="G59" s="8" t="str">
        <f t="shared" si="0"/>
        <v>BADERTSCHER DIANE</v>
      </c>
    </row>
    <row r="60" spans="1:7" x14ac:dyDescent="0.25">
      <c r="A60" s="8">
        <v>42777.361608796295</v>
      </c>
      <c r="B60" s="20" t="s">
        <v>331</v>
      </c>
      <c r="C60" s="20" t="s">
        <v>515</v>
      </c>
      <c r="D60" s="150">
        <v>1760000</v>
      </c>
      <c r="E60" s="20" t="s">
        <v>586</v>
      </c>
      <c r="F60" s="20" t="s">
        <v>587</v>
      </c>
      <c r="G60" s="8" t="str">
        <f t="shared" si="0"/>
        <v>STRICKLAND EVAN</v>
      </c>
    </row>
    <row r="61" spans="1:7" x14ac:dyDescent="0.25">
      <c r="A61" s="8">
        <v>42777.370115740741</v>
      </c>
      <c r="B61" s="20" t="s">
        <v>192</v>
      </c>
      <c r="C61" s="20" t="s">
        <v>596</v>
      </c>
      <c r="D61" s="150">
        <v>1100000</v>
      </c>
      <c r="E61" s="20" t="s">
        <v>430</v>
      </c>
      <c r="F61" s="20" t="s">
        <v>431</v>
      </c>
      <c r="G61" s="8" t="str">
        <f t="shared" si="0"/>
        <v>GEBRETEKLE DAGNEW</v>
      </c>
    </row>
    <row r="62" spans="1:7" x14ac:dyDescent="0.25">
      <c r="A62" s="8">
        <v>42777.374884259261</v>
      </c>
      <c r="B62" s="20" t="s">
        <v>302</v>
      </c>
      <c r="C62" s="20" t="s">
        <v>597</v>
      </c>
      <c r="D62" s="150">
        <v>2020000</v>
      </c>
      <c r="E62" s="20" t="s">
        <v>452</v>
      </c>
      <c r="F62" s="20" t="s">
        <v>453</v>
      </c>
      <c r="G62" s="8" t="str">
        <f t="shared" si="0"/>
        <v>SHOOK JOHN</v>
      </c>
    </row>
    <row r="63" spans="1:7" x14ac:dyDescent="0.25">
      <c r="A63" s="8">
        <v>42777.379745370374</v>
      </c>
      <c r="B63" s="20" t="s">
        <v>338</v>
      </c>
      <c r="C63" s="20" t="s">
        <v>598</v>
      </c>
      <c r="D63" s="150">
        <v>2140000</v>
      </c>
      <c r="E63" s="20" t="s">
        <v>450</v>
      </c>
      <c r="F63" s="20" t="s">
        <v>451</v>
      </c>
      <c r="G63" s="8" t="str">
        <f t="shared" si="0"/>
        <v>ROBINSON KADDIBA</v>
      </c>
    </row>
    <row r="64" spans="1:7" x14ac:dyDescent="0.25">
      <c r="A64" s="26">
        <v>42777.38009259259</v>
      </c>
      <c r="B64" s="20" t="s">
        <v>330</v>
      </c>
      <c r="C64" s="20" t="s">
        <v>599</v>
      </c>
      <c r="D64" s="150">
        <v>2110000</v>
      </c>
      <c r="E64" s="20" t="s">
        <v>549</v>
      </c>
      <c r="F64" s="20" t="s">
        <v>550</v>
      </c>
      <c r="G64" s="8" t="str">
        <f t="shared" si="0"/>
        <v>OUN ZACK</v>
      </c>
    </row>
    <row r="65" spans="1:7" x14ac:dyDescent="0.25">
      <c r="A65" s="8">
        <v>42777.390798611108</v>
      </c>
      <c r="B65" s="20" t="s">
        <v>243</v>
      </c>
      <c r="C65" s="20" t="s">
        <v>600</v>
      </c>
      <c r="D65" s="150">
        <v>2010000</v>
      </c>
      <c r="E65" s="20" t="s">
        <v>541</v>
      </c>
      <c r="F65" s="20" t="s">
        <v>542</v>
      </c>
      <c r="G65" s="8" t="str">
        <f t="shared" si="0"/>
        <v>MAELZER KURT</v>
      </c>
    </row>
    <row r="66" spans="1:7" x14ac:dyDescent="0.25">
      <c r="A66" s="8">
        <v>42777.391030092593</v>
      </c>
      <c r="B66" s="20" t="s">
        <v>313</v>
      </c>
      <c r="C66" s="20" t="s">
        <v>601</v>
      </c>
      <c r="D66" s="150">
        <v>890000</v>
      </c>
      <c r="E66" s="20" t="s">
        <v>344</v>
      </c>
      <c r="F66" s="20" t="s">
        <v>345</v>
      </c>
      <c r="G66" s="8" t="str">
        <f t="shared" si="0"/>
        <v>LOZA FIDEL</v>
      </c>
    </row>
    <row r="67" spans="1:7" x14ac:dyDescent="0.25">
      <c r="A67" s="8">
        <v>42777.399594907409</v>
      </c>
      <c r="B67" s="20" t="s">
        <v>210</v>
      </c>
      <c r="C67" s="20" t="s">
        <v>516</v>
      </c>
      <c r="D67" s="150">
        <v>2550000</v>
      </c>
      <c r="E67" s="20" t="s">
        <v>428</v>
      </c>
      <c r="F67" s="20" t="s">
        <v>429</v>
      </c>
      <c r="G67" s="8" t="str">
        <f t="shared" ref="G67:G130" si="1">E67&amp;" "&amp;F67</f>
        <v>BADERTSCHER DIANE</v>
      </c>
    </row>
    <row r="68" spans="1:7" x14ac:dyDescent="0.25">
      <c r="A68" s="8">
        <v>42777.402048611111</v>
      </c>
      <c r="B68" s="20" t="s">
        <v>432</v>
      </c>
      <c r="C68" s="20" t="s">
        <v>602</v>
      </c>
      <c r="D68" s="150">
        <v>2020000</v>
      </c>
      <c r="E68" s="20" t="s">
        <v>452</v>
      </c>
      <c r="F68" s="20" t="s">
        <v>453</v>
      </c>
      <c r="G68" s="8" t="str">
        <f t="shared" si="1"/>
        <v>SHOOK JOHN</v>
      </c>
    </row>
    <row r="69" spans="1:7" x14ac:dyDescent="0.25">
      <c r="A69" s="8">
        <v>42777.408750000002</v>
      </c>
      <c r="B69" s="20" t="s">
        <v>229</v>
      </c>
      <c r="C69" s="20" t="s">
        <v>603</v>
      </c>
      <c r="D69" s="150">
        <v>2110000</v>
      </c>
      <c r="E69" s="20" t="s">
        <v>549</v>
      </c>
      <c r="F69" s="20" t="s">
        <v>550</v>
      </c>
      <c r="G69" s="8" t="str">
        <f t="shared" si="1"/>
        <v>OUN ZACK</v>
      </c>
    </row>
    <row r="70" spans="1:7" x14ac:dyDescent="0.25">
      <c r="A70" s="8">
        <v>42777.408842592595</v>
      </c>
      <c r="B70" s="20" t="s">
        <v>445</v>
      </c>
      <c r="C70" s="20" t="s">
        <v>604</v>
      </c>
      <c r="D70" s="150">
        <v>1100000</v>
      </c>
      <c r="E70" s="20" t="s">
        <v>430</v>
      </c>
      <c r="F70" s="20" t="s">
        <v>431</v>
      </c>
      <c r="G70" s="8" t="str">
        <f t="shared" si="1"/>
        <v>GEBRETEKLE DAGNEW</v>
      </c>
    </row>
    <row r="71" spans="1:7" x14ac:dyDescent="0.25">
      <c r="A71" s="8">
        <v>42777.415613425925</v>
      </c>
      <c r="B71" s="20" t="s">
        <v>302</v>
      </c>
      <c r="C71" s="20" t="s">
        <v>605</v>
      </c>
      <c r="D71" s="150">
        <v>2020000</v>
      </c>
      <c r="E71" s="20" t="s">
        <v>452</v>
      </c>
      <c r="F71" s="20" t="s">
        <v>453</v>
      </c>
      <c r="G71" s="8" t="str">
        <f t="shared" si="1"/>
        <v>SHOOK JOHN</v>
      </c>
    </row>
    <row r="72" spans="1:7" x14ac:dyDescent="0.25">
      <c r="A72" s="8">
        <v>42777.418865740743</v>
      </c>
      <c r="B72" s="20" t="s">
        <v>259</v>
      </c>
      <c r="C72" s="20" t="s">
        <v>606</v>
      </c>
      <c r="D72" s="150">
        <v>2140000</v>
      </c>
      <c r="E72" s="20" t="s">
        <v>450</v>
      </c>
      <c r="F72" s="20" t="s">
        <v>451</v>
      </c>
      <c r="G72" s="8" t="str">
        <f t="shared" si="1"/>
        <v>ROBINSON KADDIBA</v>
      </c>
    </row>
    <row r="73" spans="1:7" x14ac:dyDescent="0.25">
      <c r="A73" s="8">
        <v>42777.423009259262</v>
      </c>
      <c r="B73" s="20" t="s">
        <v>337</v>
      </c>
      <c r="C73" s="20" t="s">
        <v>607</v>
      </c>
      <c r="D73" s="150">
        <v>890000</v>
      </c>
      <c r="E73" s="20" t="s">
        <v>344</v>
      </c>
      <c r="F73" s="20" t="s">
        <v>345</v>
      </c>
      <c r="G73" s="8" t="str">
        <f t="shared" si="1"/>
        <v>LOZA FIDEL</v>
      </c>
    </row>
    <row r="74" spans="1:7" x14ac:dyDescent="0.25">
      <c r="A74" s="8">
        <v>42777.425381944442</v>
      </c>
      <c r="B74" s="20" t="s">
        <v>220</v>
      </c>
      <c r="C74" s="20" t="s">
        <v>608</v>
      </c>
      <c r="D74" s="150">
        <v>2010000</v>
      </c>
      <c r="E74" s="20" t="s">
        <v>541</v>
      </c>
      <c r="F74" s="20" t="s">
        <v>542</v>
      </c>
      <c r="G74" s="8" t="str">
        <f t="shared" si="1"/>
        <v>MAELZER KURT</v>
      </c>
    </row>
    <row r="75" spans="1:7" x14ac:dyDescent="0.25">
      <c r="A75" s="8">
        <v>42777.427037037036</v>
      </c>
      <c r="B75" s="20" t="s">
        <v>327</v>
      </c>
      <c r="C75" s="20" t="s">
        <v>609</v>
      </c>
      <c r="D75" s="150">
        <v>2260000</v>
      </c>
      <c r="E75" s="20" t="s">
        <v>610</v>
      </c>
      <c r="F75" s="20" t="s">
        <v>611</v>
      </c>
      <c r="G75" s="8" t="str">
        <f t="shared" si="1"/>
        <v>ARVIDSON DANIEL</v>
      </c>
    </row>
    <row r="76" spans="1:7" x14ac:dyDescent="0.25">
      <c r="A76" s="8">
        <v>42777.433981481481</v>
      </c>
      <c r="B76" s="20" t="s">
        <v>234</v>
      </c>
      <c r="C76" s="20" t="s">
        <v>612</v>
      </c>
      <c r="D76" s="150">
        <v>2470000</v>
      </c>
      <c r="E76" s="20" t="s">
        <v>613</v>
      </c>
      <c r="F76" s="20" t="s">
        <v>614</v>
      </c>
      <c r="G76" s="8" t="str">
        <f t="shared" si="1"/>
        <v>ROMERO CHAD</v>
      </c>
    </row>
    <row r="77" spans="1:7" x14ac:dyDescent="0.25">
      <c r="A77" s="8">
        <v>42777.440127314818</v>
      </c>
      <c r="B77" s="20" t="s">
        <v>330</v>
      </c>
      <c r="C77" s="20" t="s">
        <v>609</v>
      </c>
      <c r="D77" s="150">
        <v>2260000</v>
      </c>
      <c r="E77" s="20" t="s">
        <v>610</v>
      </c>
      <c r="F77" s="20" t="s">
        <v>611</v>
      </c>
      <c r="G77" s="8" t="str">
        <f t="shared" si="1"/>
        <v>ARVIDSON DANIEL</v>
      </c>
    </row>
    <row r="78" spans="1:7" x14ac:dyDescent="0.25">
      <c r="A78" s="8">
        <v>42777.442094907405</v>
      </c>
      <c r="B78" s="20" t="s">
        <v>331</v>
      </c>
      <c r="C78" s="20" t="s">
        <v>615</v>
      </c>
      <c r="D78" s="150">
        <v>1990000</v>
      </c>
      <c r="E78" s="20" t="s">
        <v>546</v>
      </c>
      <c r="F78" s="20" t="s">
        <v>547</v>
      </c>
      <c r="G78" s="8" t="str">
        <f t="shared" si="1"/>
        <v>DAVIS WENDY</v>
      </c>
    </row>
    <row r="79" spans="1:7" x14ac:dyDescent="0.25">
      <c r="A79" s="8">
        <v>42777.443020833336</v>
      </c>
      <c r="B79" s="20" t="s">
        <v>192</v>
      </c>
      <c r="C79" s="20" t="s">
        <v>616</v>
      </c>
      <c r="D79" s="150">
        <v>1100000</v>
      </c>
      <c r="E79" s="20" t="s">
        <v>430</v>
      </c>
      <c r="F79" s="20" t="s">
        <v>431</v>
      </c>
      <c r="G79" s="8" t="str">
        <f t="shared" si="1"/>
        <v>GEBRETEKLE DAGNEW</v>
      </c>
    </row>
    <row r="80" spans="1:7" x14ac:dyDescent="0.25">
      <c r="A80" s="8">
        <v>42777.443298611113</v>
      </c>
      <c r="B80" s="20" t="s">
        <v>432</v>
      </c>
      <c r="C80" s="20" t="s">
        <v>617</v>
      </c>
      <c r="D80" s="150">
        <v>2020000</v>
      </c>
      <c r="E80" s="20" t="s">
        <v>452</v>
      </c>
      <c r="F80" s="20" t="s">
        <v>453</v>
      </c>
      <c r="G80" s="8" t="str">
        <f t="shared" si="1"/>
        <v>SHOOK JOHN</v>
      </c>
    </row>
    <row r="81" spans="1:7" x14ac:dyDescent="0.25">
      <c r="A81" s="8">
        <v>42777.454074074078</v>
      </c>
      <c r="B81" s="20" t="s">
        <v>228</v>
      </c>
      <c r="C81" s="20" t="s">
        <v>618</v>
      </c>
      <c r="D81" s="150">
        <v>2110000</v>
      </c>
      <c r="E81" s="20" t="s">
        <v>549</v>
      </c>
      <c r="F81" s="20" t="s">
        <v>550</v>
      </c>
      <c r="G81" s="8" t="str">
        <f t="shared" si="1"/>
        <v>OUN ZACK</v>
      </c>
    </row>
    <row r="82" spans="1:7" x14ac:dyDescent="0.25">
      <c r="A82" s="8">
        <v>42777.457025462965</v>
      </c>
      <c r="B82" s="20" t="s">
        <v>302</v>
      </c>
      <c r="C82" s="20" t="s">
        <v>619</v>
      </c>
      <c r="D82" s="150">
        <v>2020000</v>
      </c>
      <c r="E82" s="20" t="s">
        <v>452</v>
      </c>
      <c r="F82" s="20" t="s">
        <v>453</v>
      </c>
      <c r="G82" s="8" t="str">
        <f t="shared" si="1"/>
        <v>SHOOK JOHN</v>
      </c>
    </row>
    <row r="83" spans="1:7" x14ac:dyDescent="0.25">
      <c r="A83" s="8">
        <v>42777.458009259259</v>
      </c>
      <c r="B83" s="20" t="s">
        <v>313</v>
      </c>
      <c r="C83" s="20" t="s">
        <v>620</v>
      </c>
      <c r="D83" s="150">
        <v>890000</v>
      </c>
      <c r="E83" s="20" t="s">
        <v>344</v>
      </c>
      <c r="F83" s="20" t="s">
        <v>345</v>
      </c>
      <c r="G83" s="8" t="str">
        <f t="shared" si="1"/>
        <v>LOZA FIDEL</v>
      </c>
    </row>
    <row r="84" spans="1:7" x14ac:dyDescent="0.25">
      <c r="A84" s="8">
        <v>42777.461527777778</v>
      </c>
      <c r="B84" s="20" t="s">
        <v>327</v>
      </c>
      <c r="C84" s="20" t="s">
        <v>621</v>
      </c>
      <c r="D84" s="150">
        <v>880000</v>
      </c>
      <c r="E84" s="20" t="s">
        <v>622</v>
      </c>
      <c r="F84" s="20" t="s">
        <v>204</v>
      </c>
      <c r="G84" s="8" t="str">
        <f t="shared" si="1"/>
        <v>STEWART MICHAEL</v>
      </c>
    </row>
    <row r="85" spans="1:7" x14ac:dyDescent="0.25">
      <c r="A85" s="8">
        <v>42777.465821759259</v>
      </c>
      <c r="B85" s="20" t="s">
        <v>243</v>
      </c>
      <c r="C85" s="20" t="s">
        <v>623</v>
      </c>
      <c r="D85" s="150">
        <v>920000</v>
      </c>
      <c r="E85" s="20" t="s">
        <v>546</v>
      </c>
      <c r="F85" s="20" t="s">
        <v>204</v>
      </c>
      <c r="G85" s="8" t="str">
        <f t="shared" si="1"/>
        <v>DAVIS MICHAEL</v>
      </c>
    </row>
    <row r="86" spans="1:7" x14ac:dyDescent="0.25">
      <c r="A86" s="8">
        <v>42777.467905092592</v>
      </c>
      <c r="B86" s="20" t="s">
        <v>210</v>
      </c>
      <c r="C86" s="20" t="s">
        <v>624</v>
      </c>
      <c r="D86" s="150">
        <v>2470000</v>
      </c>
      <c r="E86" s="20" t="s">
        <v>613</v>
      </c>
      <c r="F86" s="20" t="s">
        <v>614</v>
      </c>
      <c r="G86" s="8" t="str">
        <f t="shared" si="1"/>
        <v>ROMERO CHAD</v>
      </c>
    </row>
    <row r="87" spans="1:7" x14ac:dyDescent="0.25">
      <c r="A87" s="8">
        <v>42777.478067129632</v>
      </c>
      <c r="B87" s="20" t="s">
        <v>551</v>
      </c>
      <c r="C87" s="20" t="s">
        <v>625</v>
      </c>
      <c r="D87" s="150">
        <v>1770000</v>
      </c>
      <c r="E87" s="20" t="s">
        <v>435</v>
      </c>
      <c r="F87" s="20" t="s">
        <v>436</v>
      </c>
      <c r="G87" s="8" t="str">
        <f t="shared" si="1"/>
        <v>BRUDER RICHARD</v>
      </c>
    </row>
    <row r="88" spans="1:7" x14ac:dyDescent="0.25">
      <c r="A88" s="8">
        <v>42777.482743055552</v>
      </c>
      <c r="B88" s="20" t="s">
        <v>445</v>
      </c>
      <c r="C88" s="20" t="s">
        <v>626</v>
      </c>
      <c r="D88" s="150">
        <v>1100000</v>
      </c>
      <c r="E88" s="20" t="s">
        <v>430</v>
      </c>
      <c r="F88" s="20" t="s">
        <v>431</v>
      </c>
      <c r="G88" s="8" t="str">
        <f t="shared" si="1"/>
        <v>GEBRETEKLE DAGNEW</v>
      </c>
    </row>
    <row r="89" spans="1:7" x14ac:dyDescent="0.25">
      <c r="A89" s="8">
        <v>42777.484560185185</v>
      </c>
      <c r="B89" s="20" t="s">
        <v>432</v>
      </c>
      <c r="C89" s="20" t="s">
        <v>627</v>
      </c>
      <c r="D89" s="150">
        <v>2020000</v>
      </c>
      <c r="E89" s="20" t="s">
        <v>452</v>
      </c>
      <c r="F89" s="20" t="s">
        <v>453</v>
      </c>
      <c r="G89" s="8" t="str">
        <f t="shared" si="1"/>
        <v>SHOOK JOHN</v>
      </c>
    </row>
    <row r="90" spans="1:7" x14ac:dyDescent="0.25">
      <c r="A90" s="8">
        <v>42777.485671296294</v>
      </c>
      <c r="B90" s="20" t="s">
        <v>229</v>
      </c>
      <c r="C90" s="20" t="s">
        <v>628</v>
      </c>
      <c r="D90" s="150">
        <v>2030000</v>
      </c>
      <c r="E90" s="20" t="s">
        <v>454</v>
      </c>
      <c r="F90" s="20" t="s">
        <v>455</v>
      </c>
      <c r="G90" s="8" t="str">
        <f t="shared" si="1"/>
        <v>KILLION DAVID</v>
      </c>
    </row>
    <row r="91" spans="1:7" x14ac:dyDescent="0.25">
      <c r="A91" s="8">
        <v>42777.493807870371</v>
      </c>
      <c r="B91" s="20" t="s">
        <v>330</v>
      </c>
      <c r="C91" s="20" t="s">
        <v>517</v>
      </c>
      <c r="D91" s="150">
        <v>880000</v>
      </c>
      <c r="E91" s="20" t="s">
        <v>622</v>
      </c>
      <c r="F91" s="20" t="s">
        <v>204</v>
      </c>
      <c r="G91" s="8" t="str">
        <f t="shared" si="1"/>
        <v>STEWART MICHAEL</v>
      </c>
    </row>
    <row r="92" spans="1:7" x14ac:dyDescent="0.25">
      <c r="A92" s="8">
        <v>42777.496157407404</v>
      </c>
      <c r="B92" s="20" t="s">
        <v>337</v>
      </c>
      <c r="C92" s="20" t="s">
        <v>629</v>
      </c>
      <c r="D92" s="150">
        <v>1300000</v>
      </c>
      <c r="E92" s="20" t="s">
        <v>630</v>
      </c>
      <c r="F92" s="20" t="s">
        <v>631</v>
      </c>
      <c r="G92" s="8" t="str">
        <f t="shared" si="1"/>
        <v>LEVIN SCOTT</v>
      </c>
    </row>
    <row r="93" spans="1:7" x14ac:dyDescent="0.25">
      <c r="A93" s="8">
        <v>42777.499189814815</v>
      </c>
      <c r="B93" s="20" t="s">
        <v>302</v>
      </c>
      <c r="C93" s="20" t="s">
        <v>632</v>
      </c>
      <c r="D93" s="150">
        <v>2020000</v>
      </c>
      <c r="E93" s="20" t="s">
        <v>452</v>
      </c>
      <c r="F93" s="20" t="s">
        <v>453</v>
      </c>
      <c r="G93" s="8" t="str">
        <f t="shared" si="1"/>
        <v>SHOOK JOHN</v>
      </c>
    </row>
    <row r="94" spans="1:7" x14ac:dyDescent="0.25">
      <c r="A94" s="8">
        <v>42777.505682870367</v>
      </c>
      <c r="B94" s="20" t="s">
        <v>234</v>
      </c>
      <c r="C94" s="20" t="s">
        <v>633</v>
      </c>
      <c r="D94" s="150">
        <v>2470000</v>
      </c>
      <c r="E94" s="20" t="s">
        <v>613</v>
      </c>
      <c r="F94" s="20" t="s">
        <v>614</v>
      </c>
      <c r="G94" s="8" t="str">
        <f t="shared" si="1"/>
        <v>ROMERO CHAD</v>
      </c>
    </row>
    <row r="95" spans="1:7" x14ac:dyDescent="0.25">
      <c r="A95" s="8">
        <v>42777.505972222221</v>
      </c>
      <c r="B95" s="20" t="s">
        <v>220</v>
      </c>
      <c r="C95" s="20" t="s">
        <v>518</v>
      </c>
      <c r="D95" s="150">
        <v>920000</v>
      </c>
      <c r="E95" s="20" t="s">
        <v>546</v>
      </c>
      <c r="F95" s="20" t="s">
        <v>204</v>
      </c>
      <c r="G95" s="8" t="str">
        <f t="shared" si="1"/>
        <v>DAVIS MICHAEL</v>
      </c>
    </row>
    <row r="96" spans="1:7" x14ac:dyDescent="0.25">
      <c r="A96" s="8">
        <v>42777.513958333337</v>
      </c>
      <c r="B96" s="20" t="s">
        <v>331</v>
      </c>
      <c r="C96" s="20" t="s">
        <v>634</v>
      </c>
      <c r="D96" s="150">
        <v>1770000</v>
      </c>
      <c r="E96" s="20" t="s">
        <v>435</v>
      </c>
      <c r="F96" s="20" t="s">
        <v>436</v>
      </c>
      <c r="G96" s="8" t="str">
        <f t="shared" si="1"/>
        <v>BRUDER RICHARD</v>
      </c>
    </row>
    <row r="97" spans="1:7" x14ac:dyDescent="0.25">
      <c r="A97" s="8">
        <v>42777.516701388886</v>
      </c>
      <c r="B97" s="20" t="s">
        <v>192</v>
      </c>
      <c r="C97" s="20" t="s">
        <v>635</v>
      </c>
      <c r="D97" s="150">
        <v>1190000</v>
      </c>
      <c r="E97" s="20" t="s">
        <v>347</v>
      </c>
      <c r="F97" s="20" t="s">
        <v>348</v>
      </c>
      <c r="G97" s="8" t="str">
        <f t="shared" si="1"/>
        <v>BRANNON JEFFREY</v>
      </c>
    </row>
    <row r="98" spans="1:7" x14ac:dyDescent="0.25">
      <c r="A98" s="8">
        <v>42777.524513888886</v>
      </c>
      <c r="B98" s="20" t="s">
        <v>228</v>
      </c>
      <c r="C98" s="20" t="s">
        <v>636</v>
      </c>
      <c r="D98" s="150">
        <v>2030000</v>
      </c>
      <c r="E98" s="20" t="s">
        <v>454</v>
      </c>
      <c r="F98" s="20" t="s">
        <v>455</v>
      </c>
      <c r="G98" s="8" t="str">
        <f t="shared" si="1"/>
        <v>KILLION DAVID</v>
      </c>
    </row>
    <row r="99" spans="1:7" x14ac:dyDescent="0.25">
      <c r="A99" s="8">
        <v>42777.52621527778</v>
      </c>
      <c r="B99" s="20" t="s">
        <v>432</v>
      </c>
      <c r="C99" s="20" t="s">
        <v>637</v>
      </c>
      <c r="D99" s="150">
        <v>2020000</v>
      </c>
      <c r="E99" s="20" t="s">
        <v>452</v>
      </c>
      <c r="F99" s="20" t="s">
        <v>453</v>
      </c>
      <c r="G99" s="8" t="str">
        <f t="shared" si="1"/>
        <v>SHOOK JOHN</v>
      </c>
    </row>
    <row r="100" spans="1:7" x14ac:dyDescent="0.25">
      <c r="A100" s="8">
        <v>42777.527407407404</v>
      </c>
      <c r="B100" s="20" t="s">
        <v>327</v>
      </c>
      <c r="C100" s="20" t="s">
        <v>638</v>
      </c>
      <c r="D100" s="150">
        <v>880000</v>
      </c>
      <c r="E100" s="20" t="s">
        <v>622</v>
      </c>
      <c r="F100" s="20" t="s">
        <v>204</v>
      </c>
      <c r="G100" s="8" t="str">
        <f t="shared" si="1"/>
        <v>STEWART MICHAEL</v>
      </c>
    </row>
    <row r="101" spans="1:7" x14ac:dyDescent="0.25">
      <c r="A101" s="8">
        <v>42777.532858796294</v>
      </c>
      <c r="B101" s="20" t="s">
        <v>313</v>
      </c>
      <c r="C101" s="20" t="s">
        <v>639</v>
      </c>
      <c r="D101" s="150">
        <v>1300000</v>
      </c>
      <c r="E101" s="20" t="s">
        <v>630</v>
      </c>
      <c r="F101" s="20" t="s">
        <v>631</v>
      </c>
      <c r="G101" s="8" t="str">
        <f t="shared" si="1"/>
        <v>LEVIN SCOTT</v>
      </c>
    </row>
    <row r="102" spans="1:7" x14ac:dyDescent="0.25">
      <c r="A102" s="8">
        <v>42777.538576388892</v>
      </c>
      <c r="B102" s="20" t="s">
        <v>243</v>
      </c>
      <c r="C102" s="20" t="s">
        <v>640</v>
      </c>
      <c r="D102" s="150">
        <v>920000</v>
      </c>
      <c r="E102" s="20" t="s">
        <v>546</v>
      </c>
      <c r="F102" s="20" t="s">
        <v>204</v>
      </c>
      <c r="G102" s="8" t="str">
        <f t="shared" si="1"/>
        <v>DAVIS MICHAEL</v>
      </c>
    </row>
    <row r="103" spans="1:7" x14ac:dyDescent="0.25">
      <c r="A103" s="8">
        <v>42777.540648148148</v>
      </c>
      <c r="B103" s="20" t="s">
        <v>302</v>
      </c>
      <c r="C103" s="20" t="s">
        <v>641</v>
      </c>
      <c r="D103" s="150">
        <v>2020000</v>
      </c>
      <c r="E103" s="20" t="s">
        <v>452</v>
      </c>
      <c r="F103" s="20" t="s">
        <v>453</v>
      </c>
      <c r="G103" s="8" t="str">
        <f t="shared" si="1"/>
        <v>SHOOK JOHN</v>
      </c>
    </row>
    <row r="104" spans="1:7" x14ac:dyDescent="0.25">
      <c r="A104" s="8">
        <v>42777.541805555556</v>
      </c>
      <c r="B104" s="20" t="s">
        <v>210</v>
      </c>
      <c r="C104" s="20" t="s">
        <v>642</v>
      </c>
      <c r="D104" s="150">
        <v>2470000</v>
      </c>
      <c r="E104" s="20" t="s">
        <v>613</v>
      </c>
      <c r="F104" s="20" t="s">
        <v>614</v>
      </c>
      <c r="G104" s="8" t="str">
        <f t="shared" si="1"/>
        <v>ROMERO CHAD</v>
      </c>
    </row>
    <row r="105" spans="1:7" x14ac:dyDescent="0.25">
      <c r="A105" s="8">
        <v>42777.547233796293</v>
      </c>
      <c r="B105" s="20" t="s">
        <v>551</v>
      </c>
      <c r="C105" s="20" t="s">
        <v>643</v>
      </c>
      <c r="D105" s="150">
        <v>1770000</v>
      </c>
      <c r="E105" s="20" t="s">
        <v>435</v>
      </c>
      <c r="F105" s="20" t="s">
        <v>436</v>
      </c>
      <c r="G105" s="8" t="str">
        <f t="shared" si="1"/>
        <v>BRUDER RICHARD</v>
      </c>
    </row>
    <row r="106" spans="1:7" x14ac:dyDescent="0.25">
      <c r="A106" s="8">
        <v>42777.547303240739</v>
      </c>
      <c r="B106" s="20" t="s">
        <v>445</v>
      </c>
      <c r="C106" s="20" t="s">
        <v>644</v>
      </c>
      <c r="D106" s="150">
        <v>1190000</v>
      </c>
      <c r="E106" s="20" t="s">
        <v>347</v>
      </c>
      <c r="F106" s="20" t="s">
        <v>348</v>
      </c>
      <c r="G106" s="8" t="str">
        <f t="shared" si="1"/>
        <v>BRANNON JEFFREY</v>
      </c>
    </row>
    <row r="107" spans="1:7" x14ac:dyDescent="0.25">
      <c r="A107" s="8">
        <v>42777.556979166664</v>
      </c>
      <c r="B107" s="20" t="s">
        <v>229</v>
      </c>
      <c r="C107" s="20" t="s">
        <v>645</v>
      </c>
      <c r="D107" s="150">
        <v>2030000</v>
      </c>
      <c r="E107" s="20" t="s">
        <v>454</v>
      </c>
      <c r="F107" s="20" t="s">
        <v>455</v>
      </c>
      <c r="G107" s="8" t="str">
        <f t="shared" si="1"/>
        <v>KILLION DAVID</v>
      </c>
    </row>
    <row r="108" spans="1:7" x14ac:dyDescent="0.25">
      <c r="A108" s="8">
        <v>42777.568252314813</v>
      </c>
      <c r="B108" s="20" t="s">
        <v>432</v>
      </c>
      <c r="C108" s="20" t="s">
        <v>646</v>
      </c>
      <c r="D108" s="150">
        <v>2020000</v>
      </c>
      <c r="E108" s="20" t="s">
        <v>452</v>
      </c>
      <c r="F108" s="20" t="s">
        <v>453</v>
      </c>
      <c r="G108" s="8" t="str">
        <f t="shared" si="1"/>
        <v>SHOOK JOHN</v>
      </c>
    </row>
    <row r="109" spans="1:7" x14ac:dyDescent="0.25">
      <c r="A109" s="8">
        <v>42777.568888888891</v>
      </c>
      <c r="B109" s="20" t="s">
        <v>330</v>
      </c>
      <c r="C109" s="20" t="s">
        <v>647</v>
      </c>
      <c r="D109" s="150">
        <v>880000</v>
      </c>
      <c r="E109" s="20" t="s">
        <v>622</v>
      </c>
      <c r="F109" s="20" t="s">
        <v>204</v>
      </c>
      <c r="G109" s="8" t="str">
        <f t="shared" si="1"/>
        <v>STEWART MICHAEL</v>
      </c>
    </row>
    <row r="110" spans="1:7" x14ac:dyDescent="0.25">
      <c r="A110" s="8">
        <v>42777.570231481484</v>
      </c>
      <c r="B110" s="20" t="s">
        <v>337</v>
      </c>
      <c r="C110" s="20" t="s">
        <v>648</v>
      </c>
      <c r="D110" s="150">
        <v>1300000</v>
      </c>
      <c r="E110" s="20" t="s">
        <v>630</v>
      </c>
      <c r="F110" s="20" t="s">
        <v>631</v>
      </c>
      <c r="G110" s="8" t="str">
        <f t="shared" si="1"/>
        <v>LEVIN SCOTT</v>
      </c>
    </row>
    <row r="111" spans="1:7" x14ac:dyDescent="0.25">
      <c r="A111" s="8">
        <v>42777.577905092592</v>
      </c>
      <c r="B111" s="20" t="s">
        <v>220</v>
      </c>
      <c r="C111" s="20" t="s">
        <v>649</v>
      </c>
      <c r="D111" s="150">
        <v>920000</v>
      </c>
      <c r="E111" s="20" t="s">
        <v>546</v>
      </c>
      <c r="F111" s="20" t="s">
        <v>204</v>
      </c>
      <c r="G111" s="8" t="str">
        <f t="shared" si="1"/>
        <v>DAVIS MICHAEL</v>
      </c>
    </row>
    <row r="112" spans="1:7" x14ac:dyDescent="0.25">
      <c r="A112" s="8">
        <v>42777.578194444446</v>
      </c>
      <c r="B112" s="20" t="s">
        <v>234</v>
      </c>
      <c r="C112" s="20" t="s">
        <v>650</v>
      </c>
      <c r="D112" s="150">
        <v>2470000</v>
      </c>
      <c r="E112" s="20" t="s">
        <v>613</v>
      </c>
      <c r="F112" s="20" t="s">
        <v>614</v>
      </c>
      <c r="G112" s="8" t="str">
        <f t="shared" si="1"/>
        <v>ROMERO CHAD</v>
      </c>
    </row>
    <row r="113" spans="1:7" x14ac:dyDescent="0.25">
      <c r="A113" s="8">
        <v>42777.58662037037</v>
      </c>
      <c r="B113" s="20" t="s">
        <v>331</v>
      </c>
      <c r="C113" s="20" t="s">
        <v>651</v>
      </c>
      <c r="D113" s="150">
        <v>1770000</v>
      </c>
      <c r="E113" s="20" t="s">
        <v>435</v>
      </c>
      <c r="F113" s="20" t="s">
        <v>436</v>
      </c>
      <c r="G113" s="8" t="str">
        <f t="shared" si="1"/>
        <v>BRUDER RICHARD</v>
      </c>
    </row>
    <row r="114" spans="1:7" x14ac:dyDescent="0.25">
      <c r="A114" s="8">
        <v>42777.588321759256</v>
      </c>
      <c r="B114" s="20" t="s">
        <v>192</v>
      </c>
      <c r="C114" s="20" t="s">
        <v>652</v>
      </c>
      <c r="D114" s="150">
        <v>1190000</v>
      </c>
      <c r="E114" s="20" t="s">
        <v>347</v>
      </c>
      <c r="F114" s="20" t="s">
        <v>348</v>
      </c>
      <c r="G114" s="8" t="str">
        <f t="shared" si="1"/>
        <v>BRANNON JEFFREY</v>
      </c>
    </row>
    <row r="115" spans="1:7" x14ac:dyDescent="0.25">
      <c r="A115" s="8">
        <v>42777.592916666668</v>
      </c>
      <c r="B115" s="20" t="s">
        <v>302</v>
      </c>
      <c r="C115" s="20" t="s">
        <v>519</v>
      </c>
      <c r="D115" s="150">
        <v>2370000</v>
      </c>
      <c r="E115" s="20" t="s">
        <v>437</v>
      </c>
      <c r="F115" s="20" t="s">
        <v>438</v>
      </c>
      <c r="G115" s="8" t="str">
        <f t="shared" si="1"/>
        <v>DELGADO DIANAH</v>
      </c>
    </row>
    <row r="116" spans="1:7" x14ac:dyDescent="0.25">
      <c r="A116" s="8">
        <v>42777.599016203705</v>
      </c>
      <c r="B116" s="20" t="s">
        <v>228</v>
      </c>
      <c r="C116" s="20" t="s">
        <v>653</v>
      </c>
      <c r="D116" s="150">
        <v>2030000</v>
      </c>
      <c r="E116" s="20" t="s">
        <v>454</v>
      </c>
      <c r="F116" s="20" t="s">
        <v>455</v>
      </c>
      <c r="G116" s="8" t="str">
        <f t="shared" si="1"/>
        <v>KILLION DAVID</v>
      </c>
    </row>
    <row r="117" spans="1:7" x14ac:dyDescent="0.25">
      <c r="A117" s="8">
        <v>42777.599502314813</v>
      </c>
      <c r="B117" s="20" t="s">
        <v>327</v>
      </c>
      <c r="C117" s="20" t="s">
        <v>654</v>
      </c>
      <c r="D117" s="150">
        <v>880000</v>
      </c>
      <c r="E117" s="20" t="s">
        <v>622</v>
      </c>
      <c r="F117" s="20" t="s">
        <v>204</v>
      </c>
      <c r="G117" s="8" t="str">
        <f t="shared" si="1"/>
        <v>STEWART MICHAEL</v>
      </c>
    </row>
    <row r="118" spans="1:7" x14ac:dyDescent="0.25">
      <c r="A118" s="8">
        <v>42777.60869212963</v>
      </c>
      <c r="B118" s="20" t="s">
        <v>313</v>
      </c>
      <c r="C118" s="20" t="s">
        <v>655</v>
      </c>
      <c r="D118" s="150">
        <v>1300000</v>
      </c>
      <c r="E118" s="20" t="s">
        <v>630</v>
      </c>
      <c r="F118" s="20" t="s">
        <v>631</v>
      </c>
      <c r="G118" s="8" t="str">
        <f t="shared" si="1"/>
        <v>LEVIN SCOTT</v>
      </c>
    </row>
    <row r="119" spans="1:7" x14ac:dyDescent="0.25">
      <c r="A119" s="8">
        <v>42777.610625000001</v>
      </c>
      <c r="B119" s="20" t="s">
        <v>432</v>
      </c>
      <c r="C119" s="20" t="s">
        <v>656</v>
      </c>
      <c r="D119" s="150">
        <v>2370000</v>
      </c>
      <c r="E119" s="20" t="s">
        <v>437</v>
      </c>
      <c r="F119" s="20" t="s">
        <v>438</v>
      </c>
      <c r="G119" s="8" t="str">
        <f t="shared" si="1"/>
        <v>DELGADO DIANAH</v>
      </c>
    </row>
    <row r="120" spans="1:7" x14ac:dyDescent="0.25">
      <c r="A120" s="8">
        <v>42777.611331018517</v>
      </c>
      <c r="B120" s="20" t="s">
        <v>210</v>
      </c>
      <c r="C120" s="20" t="s">
        <v>520</v>
      </c>
      <c r="D120" s="150">
        <v>2470000</v>
      </c>
      <c r="E120" s="20" t="s">
        <v>613</v>
      </c>
      <c r="F120" s="20" t="s">
        <v>614</v>
      </c>
      <c r="G120" s="8" t="str">
        <f t="shared" si="1"/>
        <v>ROMERO CHAD</v>
      </c>
    </row>
    <row r="121" spans="1:7" x14ac:dyDescent="0.25">
      <c r="A121" s="8">
        <v>42777.612141203703</v>
      </c>
      <c r="B121" s="20" t="s">
        <v>243</v>
      </c>
      <c r="C121" s="20" t="s">
        <v>521</v>
      </c>
      <c r="D121" s="150">
        <v>2420000</v>
      </c>
      <c r="E121" s="20" t="s">
        <v>657</v>
      </c>
      <c r="F121" s="20" t="s">
        <v>658</v>
      </c>
      <c r="G121" s="8" t="str">
        <f t="shared" si="1"/>
        <v>HOLCOMB KAMDEN</v>
      </c>
    </row>
    <row r="122" spans="1:7" x14ac:dyDescent="0.25">
      <c r="A122" s="8">
        <v>42777.620729166665</v>
      </c>
      <c r="B122" s="25" t="s">
        <v>551</v>
      </c>
      <c r="C122" s="20" t="s">
        <v>659</v>
      </c>
      <c r="D122" s="150">
        <v>1770000</v>
      </c>
      <c r="E122" s="20" t="s">
        <v>435</v>
      </c>
      <c r="F122" s="20" t="s">
        <v>436</v>
      </c>
      <c r="G122" s="8" t="str">
        <f t="shared" si="1"/>
        <v>BRUDER RICHARD</v>
      </c>
    </row>
    <row r="123" spans="1:7" x14ac:dyDescent="0.25">
      <c r="A123" s="8">
        <v>42777.624791666669</v>
      </c>
      <c r="B123" s="20" t="s">
        <v>445</v>
      </c>
      <c r="C123" s="20" t="s">
        <v>660</v>
      </c>
      <c r="D123" s="150">
        <v>2480000</v>
      </c>
      <c r="E123" s="20" t="s">
        <v>467</v>
      </c>
      <c r="F123" s="20" t="s">
        <v>224</v>
      </c>
      <c r="G123" s="8" t="str">
        <f t="shared" si="1"/>
        <v>WHITED DUSTIN</v>
      </c>
    </row>
    <row r="124" spans="1:7" x14ac:dyDescent="0.25">
      <c r="A124" s="8">
        <v>42777.631967592592</v>
      </c>
      <c r="B124" s="20" t="s">
        <v>229</v>
      </c>
      <c r="C124" s="20" t="s">
        <v>661</v>
      </c>
      <c r="D124" s="150">
        <v>2030000</v>
      </c>
      <c r="E124" s="20" t="s">
        <v>454</v>
      </c>
      <c r="F124" s="20" t="s">
        <v>455</v>
      </c>
      <c r="G124" s="8" t="str">
        <f t="shared" si="1"/>
        <v>KILLION DAVID</v>
      </c>
    </row>
    <row r="125" spans="1:7" x14ac:dyDescent="0.25">
      <c r="A125" s="8">
        <v>42777.634456018517</v>
      </c>
      <c r="B125" s="20" t="s">
        <v>302</v>
      </c>
      <c r="C125" s="20" t="s">
        <v>662</v>
      </c>
      <c r="D125" s="150">
        <v>1540000</v>
      </c>
      <c r="E125" s="20" t="s">
        <v>433</v>
      </c>
      <c r="F125" s="20" t="s">
        <v>434</v>
      </c>
      <c r="G125" s="8" t="str">
        <f t="shared" si="1"/>
        <v>HELVIE ADAM</v>
      </c>
    </row>
    <row r="126" spans="1:7" x14ac:dyDescent="0.25">
      <c r="A126" s="8">
        <v>42777.63989583333</v>
      </c>
      <c r="B126" s="20" t="s">
        <v>330</v>
      </c>
      <c r="C126" s="20" t="s">
        <v>663</v>
      </c>
      <c r="D126" s="150">
        <v>880000</v>
      </c>
      <c r="E126" s="20" t="s">
        <v>622</v>
      </c>
      <c r="F126" s="20" t="s">
        <v>204</v>
      </c>
      <c r="G126" s="8" t="str">
        <f t="shared" si="1"/>
        <v>STEWART MICHAEL</v>
      </c>
    </row>
    <row r="127" spans="1:7" x14ac:dyDescent="0.25">
      <c r="A127" s="8">
        <v>42777.643078703702</v>
      </c>
      <c r="B127" s="20" t="s">
        <v>337</v>
      </c>
      <c r="C127" s="20" t="s">
        <v>664</v>
      </c>
      <c r="D127" s="150">
        <v>1300000</v>
      </c>
      <c r="E127" s="20" t="s">
        <v>630</v>
      </c>
      <c r="F127" s="20" t="s">
        <v>631</v>
      </c>
      <c r="G127" s="8" t="str">
        <f t="shared" si="1"/>
        <v>LEVIN SCOTT</v>
      </c>
    </row>
    <row r="128" spans="1:7" x14ac:dyDescent="0.25">
      <c r="A128" s="8">
        <v>42777.644467592596</v>
      </c>
      <c r="B128" s="20" t="s">
        <v>220</v>
      </c>
      <c r="C128" s="20" t="s">
        <v>523</v>
      </c>
      <c r="D128" s="150">
        <v>2420000</v>
      </c>
      <c r="E128" s="20" t="s">
        <v>657</v>
      </c>
      <c r="F128" s="20" t="s">
        <v>658</v>
      </c>
      <c r="G128" s="8" t="str">
        <f t="shared" si="1"/>
        <v>HOLCOMB KAMDEN</v>
      </c>
    </row>
    <row r="129" spans="1:7" x14ac:dyDescent="0.25">
      <c r="A129" s="8">
        <v>42777.651331018518</v>
      </c>
      <c r="B129" s="20" t="s">
        <v>234</v>
      </c>
      <c r="C129" s="20" t="s">
        <v>665</v>
      </c>
      <c r="D129" s="150">
        <v>2470000</v>
      </c>
      <c r="E129" s="20" t="s">
        <v>613</v>
      </c>
      <c r="F129" s="20" t="s">
        <v>614</v>
      </c>
      <c r="G129" s="8" t="str">
        <f t="shared" si="1"/>
        <v>ROMERO CHAD</v>
      </c>
    </row>
    <row r="130" spans="1:7" x14ac:dyDescent="0.25">
      <c r="A130" s="8">
        <v>42777.65216435185</v>
      </c>
      <c r="B130" s="20" t="s">
        <v>432</v>
      </c>
      <c r="C130" s="20" t="s">
        <v>522</v>
      </c>
      <c r="D130" s="150">
        <v>1540000</v>
      </c>
      <c r="E130" s="20" t="s">
        <v>433</v>
      </c>
      <c r="F130" s="20" t="s">
        <v>434</v>
      </c>
      <c r="G130" s="8" t="str">
        <f t="shared" si="1"/>
        <v>HELVIE ADAM</v>
      </c>
    </row>
    <row r="131" spans="1:7" x14ac:dyDescent="0.25">
      <c r="A131" s="8">
        <v>42777.659537037034</v>
      </c>
      <c r="B131" s="20" t="s">
        <v>338</v>
      </c>
      <c r="C131" s="20" t="s">
        <v>666</v>
      </c>
      <c r="D131" s="150">
        <v>2450000</v>
      </c>
      <c r="E131" s="20" t="s">
        <v>245</v>
      </c>
      <c r="F131" s="20" t="s">
        <v>246</v>
      </c>
      <c r="G131" s="8" t="str">
        <f t="shared" ref="G131:G194" si="2">E131&amp;" "&amp;F131</f>
        <v>NELSON ARIANE</v>
      </c>
    </row>
    <row r="132" spans="1:7" x14ac:dyDescent="0.25">
      <c r="A132" s="8">
        <v>42777.660162037035</v>
      </c>
      <c r="B132" s="20" t="s">
        <v>331</v>
      </c>
      <c r="C132" s="20" t="s">
        <v>667</v>
      </c>
      <c r="D132" s="150">
        <v>1770000</v>
      </c>
      <c r="E132" s="20" t="s">
        <v>435</v>
      </c>
      <c r="F132" s="20" t="s">
        <v>436</v>
      </c>
      <c r="G132" s="8" t="str">
        <f t="shared" si="2"/>
        <v>BRUDER RICHARD</v>
      </c>
    </row>
    <row r="133" spans="1:7" x14ac:dyDescent="0.25">
      <c r="A133" s="8">
        <v>42777.663217592592</v>
      </c>
      <c r="B133" s="20" t="s">
        <v>338</v>
      </c>
      <c r="C133" s="20" t="s">
        <v>666</v>
      </c>
      <c r="D133" s="150">
        <v>2450000</v>
      </c>
      <c r="E133" s="20" t="s">
        <v>245</v>
      </c>
      <c r="F133" s="20" t="s">
        <v>246</v>
      </c>
      <c r="G133" s="8" t="str">
        <f t="shared" si="2"/>
        <v>NELSON ARIANE</v>
      </c>
    </row>
    <row r="134" spans="1:7" x14ac:dyDescent="0.25">
      <c r="A134" s="8">
        <v>42777.6641087963</v>
      </c>
      <c r="B134" s="20" t="s">
        <v>338</v>
      </c>
      <c r="C134" s="20" t="s">
        <v>666</v>
      </c>
      <c r="D134" s="150">
        <v>2450000</v>
      </c>
      <c r="E134" s="20" t="s">
        <v>245</v>
      </c>
      <c r="F134" s="20" t="s">
        <v>246</v>
      </c>
      <c r="G134" s="8" t="str">
        <f t="shared" si="2"/>
        <v>NELSON ARIANE</v>
      </c>
    </row>
    <row r="135" spans="1:7" x14ac:dyDescent="0.25">
      <c r="A135" s="8">
        <v>42777.665914351855</v>
      </c>
      <c r="B135" s="20" t="s">
        <v>338</v>
      </c>
      <c r="C135" s="20" t="s">
        <v>666</v>
      </c>
      <c r="D135" s="150">
        <v>2450000</v>
      </c>
      <c r="E135" s="20" t="s">
        <v>245</v>
      </c>
      <c r="F135" s="20" t="s">
        <v>246</v>
      </c>
      <c r="G135" s="8" t="str">
        <f t="shared" si="2"/>
        <v>NELSON ARIANE</v>
      </c>
    </row>
    <row r="136" spans="1:7" x14ac:dyDescent="0.25">
      <c r="A136" s="8">
        <v>42777.668726851851</v>
      </c>
      <c r="B136" s="20" t="s">
        <v>228</v>
      </c>
      <c r="C136" s="20" t="s">
        <v>668</v>
      </c>
      <c r="D136" s="150">
        <v>2030000</v>
      </c>
      <c r="E136" s="20" t="s">
        <v>454</v>
      </c>
      <c r="F136" s="20" t="s">
        <v>455</v>
      </c>
      <c r="G136" s="8" t="str">
        <f t="shared" si="2"/>
        <v>KILLION DAVID</v>
      </c>
    </row>
    <row r="137" spans="1:7" x14ac:dyDescent="0.25">
      <c r="A137" s="8">
        <v>42777.673842592594</v>
      </c>
      <c r="B137" s="20" t="s">
        <v>327</v>
      </c>
      <c r="C137" s="20" t="s">
        <v>669</v>
      </c>
      <c r="D137" s="150">
        <v>880000</v>
      </c>
      <c r="E137" s="20" t="s">
        <v>622</v>
      </c>
      <c r="F137" s="20" t="s">
        <v>204</v>
      </c>
      <c r="G137" s="8" t="str">
        <f t="shared" si="2"/>
        <v>STEWART MICHAEL</v>
      </c>
    </row>
    <row r="138" spans="1:7" x14ac:dyDescent="0.25">
      <c r="A138" s="8">
        <v>42777.678912037038</v>
      </c>
      <c r="B138" s="20" t="s">
        <v>302</v>
      </c>
      <c r="C138" s="20" t="s">
        <v>670</v>
      </c>
      <c r="D138" s="150">
        <v>1540000</v>
      </c>
      <c r="E138" s="20" t="s">
        <v>433</v>
      </c>
      <c r="F138" s="20" t="s">
        <v>434</v>
      </c>
      <c r="G138" s="8" t="str">
        <f t="shared" si="2"/>
        <v>HELVIE ADAM</v>
      </c>
    </row>
    <row r="139" spans="1:7" x14ac:dyDescent="0.25">
      <c r="A139" s="8">
        <v>42777.681516203702</v>
      </c>
      <c r="B139" s="20" t="s">
        <v>313</v>
      </c>
      <c r="C139" s="20" t="s">
        <v>671</v>
      </c>
      <c r="D139" s="150">
        <v>1300000</v>
      </c>
      <c r="E139" s="20" t="s">
        <v>630</v>
      </c>
      <c r="F139" s="20" t="s">
        <v>631</v>
      </c>
      <c r="G139" s="8" t="str">
        <f t="shared" si="2"/>
        <v>LEVIN SCOTT</v>
      </c>
    </row>
    <row r="140" spans="1:7" x14ac:dyDescent="0.25">
      <c r="A140" s="8">
        <v>42777.683298611111</v>
      </c>
      <c r="B140" s="20" t="s">
        <v>243</v>
      </c>
      <c r="C140" s="20" t="s">
        <v>672</v>
      </c>
      <c r="D140" s="150">
        <v>920000</v>
      </c>
      <c r="E140" s="20" t="s">
        <v>546</v>
      </c>
      <c r="F140" s="20" t="s">
        <v>204</v>
      </c>
      <c r="G140" s="8" t="str">
        <f t="shared" si="2"/>
        <v>DAVIS MICHAEL</v>
      </c>
    </row>
    <row r="141" spans="1:7" x14ac:dyDescent="0.25">
      <c r="A141" s="8">
        <v>42777.685578703706</v>
      </c>
      <c r="B141" s="20" t="s">
        <v>210</v>
      </c>
      <c r="C141" s="20" t="s">
        <v>673</v>
      </c>
      <c r="D141" s="150">
        <v>2470000</v>
      </c>
      <c r="E141" s="20" t="s">
        <v>613</v>
      </c>
      <c r="F141" s="20" t="s">
        <v>614</v>
      </c>
      <c r="G141" s="8" t="str">
        <f t="shared" si="2"/>
        <v>ROMERO CHAD</v>
      </c>
    </row>
    <row r="142" spans="1:7" x14ac:dyDescent="0.25">
      <c r="A142" s="8">
        <v>42777.692164351851</v>
      </c>
      <c r="B142" s="20" t="s">
        <v>432</v>
      </c>
      <c r="C142" s="20" t="s">
        <v>674</v>
      </c>
      <c r="D142" s="150">
        <v>1540000</v>
      </c>
      <c r="E142" s="20" t="s">
        <v>433</v>
      </c>
      <c r="F142" s="20" t="s">
        <v>434</v>
      </c>
      <c r="G142" s="8" t="str">
        <f t="shared" si="2"/>
        <v>HELVIE ADAM</v>
      </c>
    </row>
    <row r="143" spans="1:7" x14ac:dyDescent="0.25">
      <c r="A143" s="8">
        <v>42777.697256944448</v>
      </c>
      <c r="B143" s="20" t="s">
        <v>192</v>
      </c>
      <c r="C143" s="20" t="s">
        <v>524</v>
      </c>
      <c r="D143" s="150">
        <v>2420000</v>
      </c>
      <c r="E143" s="20" t="s">
        <v>657</v>
      </c>
      <c r="F143" s="20" t="s">
        <v>658</v>
      </c>
      <c r="G143" s="8" t="str">
        <f t="shared" si="2"/>
        <v>HOLCOMB KAMDEN</v>
      </c>
    </row>
    <row r="144" spans="1:7" x14ac:dyDescent="0.25">
      <c r="A144" s="8">
        <v>42777.704224537039</v>
      </c>
      <c r="B144" s="20" t="s">
        <v>259</v>
      </c>
      <c r="C144" s="20" t="s">
        <v>675</v>
      </c>
      <c r="D144" s="150">
        <v>2450000</v>
      </c>
      <c r="E144" s="20" t="s">
        <v>245</v>
      </c>
      <c r="F144" s="20" t="s">
        <v>246</v>
      </c>
      <c r="G144" s="8" t="str">
        <f t="shared" si="2"/>
        <v>NELSON ARIANE</v>
      </c>
    </row>
    <row r="145" spans="1:7" x14ac:dyDescent="0.25">
      <c r="A145" s="8">
        <v>42777.704548611109</v>
      </c>
      <c r="B145" s="20" t="s">
        <v>229</v>
      </c>
      <c r="C145" s="20" t="s">
        <v>676</v>
      </c>
      <c r="D145" s="150">
        <v>2030000</v>
      </c>
      <c r="E145" s="20" t="s">
        <v>454</v>
      </c>
      <c r="F145" s="20" t="s">
        <v>455</v>
      </c>
      <c r="G145" s="8" t="str">
        <f t="shared" si="2"/>
        <v>KILLION DAVID</v>
      </c>
    </row>
    <row r="146" spans="1:7" x14ac:dyDescent="0.25">
      <c r="A146" s="8">
        <v>42777.714189814818</v>
      </c>
      <c r="B146" s="20" t="s">
        <v>330</v>
      </c>
      <c r="C146" s="20" t="s">
        <v>677</v>
      </c>
      <c r="D146" s="150">
        <v>880000</v>
      </c>
      <c r="E146" s="20" t="s">
        <v>622</v>
      </c>
      <c r="F146" s="20" t="s">
        <v>204</v>
      </c>
      <c r="G146" s="8" t="str">
        <f t="shared" si="2"/>
        <v>STEWART MICHAEL</v>
      </c>
    </row>
    <row r="147" spans="1:7" x14ac:dyDescent="0.25">
      <c r="A147" s="8">
        <v>42777.714560185188</v>
      </c>
      <c r="B147" s="20" t="s">
        <v>337</v>
      </c>
      <c r="C147" s="20" t="s">
        <v>678</v>
      </c>
      <c r="D147" s="150">
        <v>1300000</v>
      </c>
      <c r="E147" s="20" t="s">
        <v>630</v>
      </c>
      <c r="F147" s="20" t="s">
        <v>631</v>
      </c>
      <c r="G147" s="8" t="str">
        <f t="shared" si="2"/>
        <v>LEVIN SCOTT</v>
      </c>
    </row>
    <row r="148" spans="1:7" x14ac:dyDescent="0.25">
      <c r="A148" s="8">
        <v>42777.721921296295</v>
      </c>
      <c r="B148" s="20" t="s">
        <v>302</v>
      </c>
      <c r="C148" s="20" t="s">
        <v>679</v>
      </c>
      <c r="D148" s="150">
        <v>1540000</v>
      </c>
      <c r="E148" s="20" t="s">
        <v>433</v>
      </c>
      <c r="F148" s="20" t="s">
        <v>434</v>
      </c>
      <c r="G148" s="8" t="str">
        <f t="shared" si="2"/>
        <v>HELVIE ADAM</v>
      </c>
    </row>
    <row r="149" spans="1:7" x14ac:dyDescent="0.25">
      <c r="A149" s="8">
        <v>42777.724560185183</v>
      </c>
      <c r="B149" s="20" t="s">
        <v>234</v>
      </c>
      <c r="C149" s="20" t="s">
        <v>680</v>
      </c>
      <c r="D149" s="150">
        <v>2470000</v>
      </c>
      <c r="E149" s="20" t="s">
        <v>613</v>
      </c>
      <c r="F149" s="20" t="s">
        <v>614</v>
      </c>
      <c r="G149" s="8" t="str">
        <f t="shared" si="2"/>
        <v>ROMERO CHAD</v>
      </c>
    </row>
    <row r="150" spans="1:7" x14ac:dyDescent="0.25">
      <c r="A150" s="8">
        <v>42777.725277777776</v>
      </c>
      <c r="B150" s="20" t="s">
        <v>220</v>
      </c>
      <c r="C150" s="20" t="s">
        <v>681</v>
      </c>
      <c r="D150" s="150">
        <v>920000</v>
      </c>
      <c r="E150" s="20" t="s">
        <v>546</v>
      </c>
      <c r="F150" s="20" t="s">
        <v>204</v>
      </c>
      <c r="G150" s="8" t="str">
        <f t="shared" si="2"/>
        <v>DAVIS MICHAEL</v>
      </c>
    </row>
    <row r="151" spans="1:7" x14ac:dyDescent="0.25">
      <c r="A151" s="8">
        <v>42777.73333333333</v>
      </c>
      <c r="B151" s="20" t="s">
        <v>445</v>
      </c>
      <c r="C151" s="20" t="s">
        <v>525</v>
      </c>
      <c r="D151" s="150">
        <v>2420000</v>
      </c>
      <c r="E151" s="20" t="s">
        <v>657</v>
      </c>
      <c r="F151" s="20" t="s">
        <v>658</v>
      </c>
      <c r="G151" s="8" t="str">
        <f t="shared" si="2"/>
        <v>HOLCOMB KAMDEN</v>
      </c>
    </row>
    <row r="152" spans="1:7" x14ac:dyDescent="0.25">
      <c r="A152" s="8">
        <v>42777.734675925924</v>
      </c>
      <c r="B152" s="20" t="s">
        <v>432</v>
      </c>
      <c r="C152" s="20" t="s">
        <v>682</v>
      </c>
      <c r="D152" s="150">
        <v>1540000</v>
      </c>
      <c r="E152" s="20" t="s">
        <v>433</v>
      </c>
      <c r="F152" s="20" t="s">
        <v>434</v>
      </c>
      <c r="G152" s="8" t="str">
        <f t="shared" si="2"/>
        <v>HELVIE ADAM</v>
      </c>
    </row>
    <row r="153" spans="1:7" x14ac:dyDescent="0.25">
      <c r="A153" s="8">
        <v>42777.738229166665</v>
      </c>
      <c r="B153" s="20" t="s">
        <v>551</v>
      </c>
      <c r="C153" s="20" t="s">
        <v>683</v>
      </c>
      <c r="D153" s="150">
        <v>2370000</v>
      </c>
      <c r="E153" s="20" t="s">
        <v>437</v>
      </c>
      <c r="F153" s="20" t="s">
        <v>438</v>
      </c>
      <c r="G153" s="8" t="str">
        <f t="shared" si="2"/>
        <v>DELGADO DIANAH</v>
      </c>
    </row>
    <row r="154" spans="1:7" x14ac:dyDescent="0.25">
      <c r="A154" s="8">
        <v>42777.73946759259</v>
      </c>
      <c r="B154" s="20" t="s">
        <v>338</v>
      </c>
      <c r="C154" s="20" t="s">
        <v>684</v>
      </c>
      <c r="D154" s="150">
        <v>2230000</v>
      </c>
      <c r="E154" s="20" t="s">
        <v>456</v>
      </c>
      <c r="F154" s="20" t="s">
        <v>204</v>
      </c>
      <c r="G154" s="8" t="str">
        <f t="shared" si="2"/>
        <v>SMITH MICHAEL</v>
      </c>
    </row>
    <row r="155" spans="1:7" x14ac:dyDescent="0.25">
      <c r="A155" s="8">
        <v>42777.744340277779</v>
      </c>
      <c r="B155" s="20" t="s">
        <v>228</v>
      </c>
      <c r="C155" s="20" t="s">
        <v>526</v>
      </c>
      <c r="D155" s="150">
        <v>2030000</v>
      </c>
      <c r="E155" s="20" t="s">
        <v>454</v>
      </c>
      <c r="F155" s="20" t="s">
        <v>455</v>
      </c>
      <c r="G155" s="8" t="str">
        <f t="shared" si="2"/>
        <v>KILLION DAVID</v>
      </c>
    </row>
    <row r="156" spans="1:7" x14ac:dyDescent="0.25">
      <c r="A156" s="8">
        <v>42777.747870370367</v>
      </c>
      <c r="B156" s="20" t="s">
        <v>327</v>
      </c>
      <c r="C156" s="20" t="s">
        <v>685</v>
      </c>
      <c r="D156" s="150">
        <v>1190000</v>
      </c>
      <c r="E156" s="20" t="s">
        <v>347</v>
      </c>
      <c r="F156" s="20" t="s">
        <v>348</v>
      </c>
      <c r="G156" s="8" t="str">
        <f t="shared" si="2"/>
        <v>BRANNON JEFFREY</v>
      </c>
    </row>
    <row r="157" spans="1:7" x14ac:dyDescent="0.25">
      <c r="A157" s="8">
        <v>42777.753645833334</v>
      </c>
      <c r="B157" s="20" t="s">
        <v>313</v>
      </c>
      <c r="C157" s="20" t="s">
        <v>686</v>
      </c>
      <c r="D157" s="150">
        <v>1300000</v>
      </c>
      <c r="E157" s="20" t="s">
        <v>630</v>
      </c>
      <c r="F157" s="20" t="s">
        <v>631</v>
      </c>
      <c r="G157" s="8" t="str">
        <f t="shared" si="2"/>
        <v>LEVIN SCOTT</v>
      </c>
    </row>
    <row r="158" spans="1:7" x14ac:dyDescent="0.25">
      <c r="A158" s="8">
        <v>42777.757395833331</v>
      </c>
      <c r="B158" s="20" t="s">
        <v>243</v>
      </c>
      <c r="C158" s="20" t="s">
        <v>527</v>
      </c>
      <c r="D158" s="150">
        <v>2000000</v>
      </c>
      <c r="E158" s="20" t="s">
        <v>260</v>
      </c>
      <c r="F158" s="20" t="s">
        <v>201</v>
      </c>
      <c r="G158" s="8" t="str">
        <f t="shared" si="2"/>
        <v>STAMBAUGH JAMES</v>
      </c>
    </row>
    <row r="159" spans="1:7" x14ac:dyDescent="0.25">
      <c r="A159" s="8">
        <v>42777.762037037035</v>
      </c>
      <c r="B159" s="20" t="s">
        <v>302</v>
      </c>
      <c r="C159" s="20" t="s">
        <v>687</v>
      </c>
      <c r="D159" s="150">
        <v>1540000</v>
      </c>
      <c r="E159" s="20" t="s">
        <v>433</v>
      </c>
      <c r="F159" s="20" t="s">
        <v>434</v>
      </c>
      <c r="G159" s="8" t="str">
        <f t="shared" si="2"/>
        <v>HELVIE ADAM</v>
      </c>
    </row>
    <row r="160" spans="1:7" x14ac:dyDescent="0.25">
      <c r="A160" s="8">
        <v>42777.764224537037</v>
      </c>
      <c r="B160" s="20" t="s">
        <v>210</v>
      </c>
      <c r="C160" s="20" t="s">
        <v>688</v>
      </c>
      <c r="D160" s="150">
        <v>2470000</v>
      </c>
      <c r="E160" s="20" t="s">
        <v>613</v>
      </c>
      <c r="F160" s="20" t="s">
        <v>614</v>
      </c>
      <c r="G160" s="8" t="str">
        <f t="shared" si="2"/>
        <v>ROMERO CHAD</v>
      </c>
    </row>
    <row r="161" spans="1:7" x14ac:dyDescent="0.25">
      <c r="A161" s="8">
        <v>42777.765949074077</v>
      </c>
      <c r="B161" s="20" t="s">
        <v>192</v>
      </c>
      <c r="C161" s="20" t="s">
        <v>689</v>
      </c>
      <c r="D161" s="150">
        <v>2620000</v>
      </c>
      <c r="E161" s="20" t="s">
        <v>571</v>
      </c>
      <c r="F161" s="20" t="s">
        <v>572</v>
      </c>
      <c r="G161" s="8" t="str">
        <f t="shared" si="2"/>
        <v>PERKINS DARREN</v>
      </c>
    </row>
    <row r="162" spans="1:7" x14ac:dyDescent="0.25">
      <c r="A162" s="8">
        <v>42777.769490740742</v>
      </c>
      <c r="B162" s="20" t="s">
        <v>259</v>
      </c>
      <c r="C162" s="20" t="s">
        <v>690</v>
      </c>
      <c r="D162" s="150">
        <v>2230000</v>
      </c>
      <c r="E162" s="20" t="s">
        <v>456</v>
      </c>
      <c r="F162" s="20" t="s">
        <v>204</v>
      </c>
      <c r="G162" s="8" t="str">
        <f t="shared" si="2"/>
        <v>SMITH MICHAEL</v>
      </c>
    </row>
    <row r="163" spans="1:7" x14ac:dyDescent="0.25">
      <c r="A163" s="8">
        <v>42777.776875000003</v>
      </c>
      <c r="B163" s="20" t="s">
        <v>432</v>
      </c>
      <c r="C163" s="20" t="s">
        <v>691</v>
      </c>
      <c r="D163" s="150">
        <v>1540000</v>
      </c>
      <c r="E163" s="20" t="s">
        <v>433</v>
      </c>
      <c r="F163" s="20" t="s">
        <v>434</v>
      </c>
      <c r="G163" s="8" t="str">
        <f t="shared" si="2"/>
        <v>HELVIE ADAM</v>
      </c>
    </row>
    <row r="164" spans="1:7" x14ac:dyDescent="0.25">
      <c r="A164" s="8">
        <v>42777.777106481481</v>
      </c>
      <c r="B164" s="20" t="s">
        <v>229</v>
      </c>
      <c r="C164" s="20" t="s">
        <v>692</v>
      </c>
      <c r="D164" s="150">
        <v>2030000</v>
      </c>
      <c r="E164" s="20" t="s">
        <v>454</v>
      </c>
      <c r="F164" s="20" t="s">
        <v>455</v>
      </c>
      <c r="G164" s="8" t="str">
        <f t="shared" si="2"/>
        <v>KILLION DAVID</v>
      </c>
    </row>
    <row r="165" spans="1:7" x14ac:dyDescent="0.25">
      <c r="A165" s="8">
        <v>42777.787303240744</v>
      </c>
      <c r="B165" s="20" t="s">
        <v>330</v>
      </c>
      <c r="C165" s="20" t="s">
        <v>693</v>
      </c>
      <c r="D165" s="150">
        <v>1190000</v>
      </c>
      <c r="E165" s="20" t="s">
        <v>347</v>
      </c>
      <c r="F165" s="20" t="s">
        <v>348</v>
      </c>
      <c r="G165" s="8" t="str">
        <f t="shared" si="2"/>
        <v>BRANNON JEFFREY</v>
      </c>
    </row>
    <row r="166" spans="1:7" x14ac:dyDescent="0.25">
      <c r="A166" s="8">
        <v>42777.790081018517</v>
      </c>
      <c r="B166" s="20" t="s">
        <v>337</v>
      </c>
      <c r="C166" s="20" t="s">
        <v>694</v>
      </c>
      <c r="D166" s="150">
        <v>2270000</v>
      </c>
      <c r="E166" s="20" t="s">
        <v>241</v>
      </c>
      <c r="F166" s="20" t="s">
        <v>242</v>
      </c>
      <c r="G166" s="8" t="str">
        <f t="shared" si="2"/>
        <v>BROWN JACOB</v>
      </c>
    </row>
    <row r="167" spans="1:7" x14ac:dyDescent="0.25">
      <c r="A167" s="8">
        <v>42777.79241898148</v>
      </c>
      <c r="B167" s="20" t="s">
        <v>220</v>
      </c>
      <c r="C167" s="20" t="s">
        <v>695</v>
      </c>
      <c r="D167" s="150">
        <v>2000000</v>
      </c>
      <c r="E167" s="20" t="s">
        <v>260</v>
      </c>
      <c r="F167" s="20" t="s">
        <v>201</v>
      </c>
      <c r="G167" s="8" t="str">
        <f t="shared" si="2"/>
        <v>STAMBAUGH JAMES</v>
      </c>
    </row>
    <row r="168" spans="1:7" x14ac:dyDescent="0.25">
      <c r="A168" s="8">
        <v>42777.795694444445</v>
      </c>
      <c r="B168" s="20" t="s">
        <v>234</v>
      </c>
      <c r="C168" s="20" t="s">
        <v>696</v>
      </c>
      <c r="D168" s="150">
        <v>2470000</v>
      </c>
      <c r="E168" s="20" t="s">
        <v>613</v>
      </c>
      <c r="F168" s="20" t="s">
        <v>614</v>
      </c>
      <c r="G168" s="8" t="str">
        <f t="shared" si="2"/>
        <v>ROMERO CHAD</v>
      </c>
    </row>
    <row r="169" spans="1:7" x14ac:dyDescent="0.25">
      <c r="A169" s="8">
        <v>42777.803865740738</v>
      </c>
      <c r="B169" s="20" t="s">
        <v>445</v>
      </c>
      <c r="C169" s="20" t="s">
        <v>697</v>
      </c>
      <c r="D169" s="150">
        <v>2620000</v>
      </c>
      <c r="E169" s="20" t="s">
        <v>571</v>
      </c>
      <c r="F169" s="20" t="s">
        <v>572</v>
      </c>
      <c r="G169" s="8" t="str">
        <f t="shared" si="2"/>
        <v>PERKINS DARREN</v>
      </c>
    </row>
    <row r="170" spans="1:7" x14ac:dyDescent="0.25">
      <c r="A170" s="8">
        <v>42777.804166666669</v>
      </c>
      <c r="B170" s="20" t="s">
        <v>302</v>
      </c>
      <c r="C170" s="20" t="s">
        <v>698</v>
      </c>
      <c r="D170" s="150">
        <v>1540000</v>
      </c>
      <c r="E170" s="20" t="s">
        <v>433</v>
      </c>
      <c r="F170" s="20" t="s">
        <v>434</v>
      </c>
      <c r="G170" s="8" t="str">
        <f t="shared" si="2"/>
        <v>HELVIE ADAM</v>
      </c>
    </row>
    <row r="171" spans="1:7" x14ac:dyDescent="0.25">
      <c r="A171" s="8">
        <v>42777.808356481481</v>
      </c>
      <c r="B171" s="20" t="s">
        <v>338</v>
      </c>
      <c r="C171" s="20" t="s">
        <v>699</v>
      </c>
      <c r="D171" s="150">
        <v>2230000</v>
      </c>
      <c r="E171" s="20" t="s">
        <v>456</v>
      </c>
      <c r="F171" s="20" t="s">
        <v>204</v>
      </c>
      <c r="G171" s="8" t="str">
        <f t="shared" si="2"/>
        <v>SMITH MICHAEL</v>
      </c>
    </row>
    <row r="172" spans="1:7" x14ac:dyDescent="0.25">
      <c r="A172" s="8">
        <v>42777.816527777781</v>
      </c>
      <c r="B172" s="20" t="s">
        <v>327</v>
      </c>
      <c r="C172" s="20" t="s">
        <v>700</v>
      </c>
      <c r="D172" s="150">
        <v>1190000</v>
      </c>
      <c r="E172" s="20" t="s">
        <v>347</v>
      </c>
      <c r="F172" s="20" t="s">
        <v>348</v>
      </c>
      <c r="G172" s="8" t="str">
        <f t="shared" si="2"/>
        <v>BRANNON JEFFREY</v>
      </c>
    </row>
    <row r="173" spans="1:7" x14ac:dyDescent="0.25">
      <c r="A173" s="8">
        <v>42777.818356481483</v>
      </c>
      <c r="B173" s="20" t="s">
        <v>432</v>
      </c>
      <c r="C173" s="20" t="s">
        <v>701</v>
      </c>
      <c r="D173" s="150">
        <v>1540000</v>
      </c>
      <c r="E173" s="20" t="s">
        <v>433</v>
      </c>
      <c r="F173" s="20" t="s">
        <v>434</v>
      </c>
      <c r="G173" s="8" t="str">
        <f t="shared" si="2"/>
        <v>HELVIE ADAM</v>
      </c>
    </row>
    <row r="174" spans="1:7" x14ac:dyDescent="0.25">
      <c r="A174" s="8">
        <v>42777.826956018522</v>
      </c>
      <c r="B174" s="20" t="s">
        <v>313</v>
      </c>
      <c r="C174" s="20" t="s">
        <v>529</v>
      </c>
      <c r="D174" s="150">
        <v>2270000</v>
      </c>
      <c r="E174" s="20" t="s">
        <v>241</v>
      </c>
      <c r="F174" s="20" t="s">
        <v>242</v>
      </c>
      <c r="G174" s="8" t="str">
        <f t="shared" si="2"/>
        <v>BROWN JACOB</v>
      </c>
    </row>
    <row r="175" spans="1:7" x14ac:dyDescent="0.25">
      <c r="A175" s="8">
        <v>42777.828252314815</v>
      </c>
      <c r="B175" s="20" t="s">
        <v>243</v>
      </c>
      <c r="C175" s="20" t="s">
        <v>702</v>
      </c>
      <c r="D175" s="150">
        <v>2000000</v>
      </c>
      <c r="E175" s="20" t="s">
        <v>260</v>
      </c>
      <c r="F175" s="20" t="s">
        <v>201</v>
      </c>
      <c r="G175" s="8" t="str">
        <f t="shared" si="2"/>
        <v>STAMBAUGH JAMES</v>
      </c>
    </row>
    <row r="176" spans="1:7" x14ac:dyDescent="0.25">
      <c r="A176" s="8">
        <v>42777.843680555554</v>
      </c>
      <c r="B176" s="20" t="s">
        <v>259</v>
      </c>
      <c r="C176" s="20" t="s">
        <v>703</v>
      </c>
      <c r="D176" s="150">
        <v>2230000</v>
      </c>
      <c r="E176" s="20" t="s">
        <v>456</v>
      </c>
      <c r="F176" s="20" t="s">
        <v>204</v>
      </c>
      <c r="G176" s="8" t="str">
        <f t="shared" si="2"/>
        <v>SMITH MICHAEL</v>
      </c>
    </row>
    <row r="177" spans="1:7" x14ac:dyDescent="0.25">
      <c r="A177" s="8">
        <v>42777.846018518518</v>
      </c>
      <c r="B177" s="20" t="s">
        <v>302</v>
      </c>
      <c r="C177" s="20" t="s">
        <v>528</v>
      </c>
      <c r="D177" s="150">
        <v>1540000</v>
      </c>
      <c r="E177" s="20" t="s">
        <v>433</v>
      </c>
      <c r="F177" s="20" t="s">
        <v>434</v>
      </c>
      <c r="G177" s="8" t="str">
        <f t="shared" si="2"/>
        <v>HELVIE ADAM</v>
      </c>
    </row>
    <row r="178" spans="1:7" x14ac:dyDescent="0.25">
      <c r="A178" s="8">
        <v>42777.846134259256</v>
      </c>
      <c r="B178" s="20" t="s">
        <v>192</v>
      </c>
      <c r="C178" s="20" t="s">
        <v>704</v>
      </c>
      <c r="D178" s="150">
        <v>2620000</v>
      </c>
      <c r="E178" s="20" t="s">
        <v>571</v>
      </c>
      <c r="F178" s="20" t="s">
        <v>572</v>
      </c>
      <c r="G178" s="8" t="str">
        <f t="shared" si="2"/>
        <v>PERKINS DARREN</v>
      </c>
    </row>
    <row r="179" spans="1:7" x14ac:dyDescent="0.25">
      <c r="A179" s="8">
        <v>42777.852824074071</v>
      </c>
      <c r="B179" s="20" t="s">
        <v>302</v>
      </c>
      <c r="C179" s="20" t="s">
        <v>528</v>
      </c>
      <c r="D179" s="150">
        <v>1540000</v>
      </c>
      <c r="E179" s="20" t="s">
        <v>433</v>
      </c>
      <c r="F179" s="20" t="s">
        <v>434</v>
      </c>
      <c r="G179" s="8" t="str">
        <f t="shared" si="2"/>
        <v>HELVIE ADAM</v>
      </c>
    </row>
    <row r="180" spans="1:7" x14ac:dyDescent="0.25">
      <c r="A180" s="8">
        <v>42777.861250000002</v>
      </c>
      <c r="B180" s="20" t="s">
        <v>432</v>
      </c>
      <c r="C180" s="20" t="s">
        <v>705</v>
      </c>
      <c r="D180" s="150">
        <v>1540000</v>
      </c>
      <c r="E180" s="20" t="s">
        <v>433</v>
      </c>
      <c r="F180" s="20" t="s">
        <v>434</v>
      </c>
      <c r="G180" s="8" t="str">
        <f t="shared" si="2"/>
        <v>HELVIE ADAM</v>
      </c>
    </row>
    <row r="181" spans="1:7" x14ac:dyDescent="0.25">
      <c r="A181" s="8">
        <v>42777.86891203704</v>
      </c>
      <c r="B181" s="20" t="s">
        <v>337</v>
      </c>
      <c r="C181" s="20" t="s">
        <v>706</v>
      </c>
      <c r="D181" s="150">
        <v>2270000</v>
      </c>
      <c r="E181" s="20" t="s">
        <v>241</v>
      </c>
      <c r="F181" s="20" t="s">
        <v>242</v>
      </c>
      <c r="G181" s="8" t="str">
        <f t="shared" si="2"/>
        <v>BROWN JACOB</v>
      </c>
    </row>
    <row r="182" spans="1:7" x14ac:dyDescent="0.25">
      <c r="A182" s="8">
        <v>42777.870694444442</v>
      </c>
      <c r="B182" s="20" t="s">
        <v>220</v>
      </c>
      <c r="C182" s="20" t="s">
        <v>707</v>
      </c>
      <c r="D182" s="150">
        <v>2000000</v>
      </c>
      <c r="E182" s="20" t="s">
        <v>260</v>
      </c>
      <c r="F182" s="20" t="s">
        <v>201</v>
      </c>
      <c r="G182" s="8" t="str">
        <f t="shared" si="2"/>
        <v>STAMBAUGH JAMES</v>
      </c>
    </row>
    <row r="183" spans="1:7" x14ac:dyDescent="0.25">
      <c r="A183" s="8">
        <v>42777.884502314817</v>
      </c>
      <c r="B183" s="20" t="s">
        <v>338</v>
      </c>
      <c r="C183" s="20" t="s">
        <v>708</v>
      </c>
      <c r="D183" s="150">
        <v>2230000</v>
      </c>
      <c r="E183" s="20" t="s">
        <v>456</v>
      </c>
      <c r="F183" s="20" t="s">
        <v>204</v>
      </c>
      <c r="G183" s="8" t="str">
        <f t="shared" si="2"/>
        <v>SMITH MICHAEL</v>
      </c>
    </row>
    <row r="184" spans="1:7" x14ac:dyDescent="0.25">
      <c r="A184" s="8">
        <v>42777.887141203704</v>
      </c>
      <c r="B184" s="20" t="s">
        <v>302</v>
      </c>
      <c r="C184" s="20" t="s">
        <v>709</v>
      </c>
      <c r="D184" s="150">
        <v>1540000</v>
      </c>
      <c r="E184" s="20" t="s">
        <v>433</v>
      </c>
      <c r="F184" s="20" t="s">
        <v>434</v>
      </c>
      <c r="G184" s="8" t="str">
        <f t="shared" si="2"/>
        <v>HELVIE ADAM</v>
      </c>
    </row>
    <row r="185" spans="1:7" x14ac:dyDescent="0.25">
      <c r="A185" s="8">
        <v>42777.887858796297</v>
      </c>
      <c r="B185" s="20" t="s">
        <v>445</v>
      </c>
      <c r="C185" s="20" t="s">
        <v>710</v>
      </c>
      <c r="D185" s="150">
        <v>2620000</v>
      </c>
      <c r="E185" s="20" t="s">
        <v>571</v>
      </c>
      <c r="F185" s="20" t="s">
        <v>572</v>
      </c>
      <c r="G185" s="8" t="str">
        <f t="shared" si="2"/>
        <v>PERKINS DARREN</v>
      </c>
    </row>
    <row r="186" spans="1:7" x14ac:dyDescent="0.25">
      <c r="A186" s="8">
        <v>42777.901238425926</v>
      </c>
      <c r="B186" s="20" t="s">
        <v>432</v>
      </c>
      <c r="C186" s="20" t="s">
        <v>711</v>
      </c>
      <c r="D186" s="150">
        <v>1540000</v>
      </c>
      <c r="E186" s="20" t="s">
        <v>433</v>
      </c>
      <c r="F186" s="20" t="s">
        <v>434</v>
      </c>
      <c r="G186" s="8" t="str">
        <f t="shared" si="2"/>
        <v>HELVIE ADAM</v>
      </c>
    </row>
    <row r="187" spans="1:7" x14ac:dyDescent="0.25">
      <c r="A187" s="8">
        <v>42777.901446759257</v>
      </c>
      <c r="B187" s="20" t="s">
        <v>243</v>
      </c>
      <c r="C187" s="20" t="s">
        <v>712</v>
      </c>
      <c r="D187" s="150">
        <v>2000000</v>
      </c>
      <c r="E187" s="20" t="s">
        <v>260</v>
      </c>
      <c r="F187" s="20" t="s">
        <v>201</v>
      </c>
      <c r="G187" s="8" t="str">
        <f t="shared" si="2"/>
        <v>STAMBAUGH JAMES</v>
      </c>
    </row>
    <row r="188" spans="1:7" x14ac:dyDescent="0.25">
      <c r="A188" s="8">
        <v>42777.905497685184</v>
      </c>
      <c r="B188" s="20" t="s">
        <v>313</v>
      </c>
      <c r="C188" s="20" t="s">
        <v>713</v>
      </c>
      <c r="D188" s="150">
        <v>2270000</v>
      </c>
      <c r="E188" s="20" t="s">
        <v>241</v>
      </c>
      <c r="F188" s="20" t="s">
        <v>242</v>
      </c>
      <c r="G188" s="8" t="str">
        <f t="shared" si="2"/>
        <v>BROWN JACOB</v>
      </c>
    </row>
    <row r="189" spans="1:7" x14ac:dyDescent="0.25">
      <c r="A189" s="8">
        <v>42777.923622685186</v>
      </c>
      <c r="B189" s="20" t="s">
        <v>192</v>
      </c>
      <c r="C189" s="20" t="s">
        <v>714</v>
      </c>
      <c r="D189" s="150">
        <v>2220000</v>
      </c>
      <c r="E189" s="20" t="s">
        <v>223</v>
      </c>
      <c r="F189" s="20" t="s">
        <v>224</v>
      </c>
      <c r="G189" s="8" t="str">
        <f t="shared" si="2"/>
        <v>HILLS DUSTIN</v>
      </c>
    </row>
    <row r="190" spans="1:7" x14ac:dyDescent="0.25">
      <c r="A190" s="8">
        <v>42777.926886574074</v>
      </c>
      <c r="B190" s="20" t="s">
        <v>302</v>
      </c>
      <c r="C190" s="20" t="s">
        <v>715</v>
      </c>
      <c r="D190" s="150">
        <v>1540000</v>
      </c>
      <c r="E190" s="20" t="s">
        <v>433</v>
      </c>
      <c r="F190" s="20" t="s">
        <v>434</v>
      </c>
      <c r="G190" s="8" t="str">
        <f t="shared" si="2"/>
        <v>HELVIE ADAM</v>
      </c>
    </row>
    <row r="191" spans="1:7" x14ac:dyDescent="0.25">
      <c r="A191" s="8">
        <v>42777.92690972222</v>
      </c>
      <c r="B191" s="20" t="s">
        <v>259</v>
      </c>
      <c r="C191" s="20" t="s">
        <v>716</v>
      </c>
      <c r="D191" s="150">
        <v>2230000</v>
      </c>
      <c r="E191" s="20" t="s">
        <v>456</v>
      </c>
      <c r="F191" s="20" t="s">
        <v>204</v>
      </c>
      <c r="G191" s="8" t="str">
        <f t="shared" si="2"/>
        <v>SMITH MICHAEL</v>
      </c>
    </row>
    <row r="192" spans="1:7" x14ac:dyDescent="0.25">
      <c r="A192" s="8">
        <v>42777.941620370373</v>
      </c>
      <c r="B192" s="20" t="s">
        <v>432</v>
      </c>
      <c r="C192" s="20" t="s">
        <v>717</v>
      </c>
      <c r="D192" s="150">
        <v>1540000</v>
      </c>
      <c r="E192" s="20" t="s">
        <v>433</v>
      </c>
      <c r="F192" s="20" t="s">
        <v>434</v>
      </c>
      <c r="G192" s="8" t="str">
        <f t="shared" si="2"/>
        <v>HELVIE ADAM</v>
      </c>
    </row>
    <row r="193" spans="1:7" x14ac:dyDescent="0.25">
      <c r="A193" s="8">
        <v>42777.951493055552</v>
      </c>
      <c r="B193" s="20" t="s">
        <v>337</v>
      </c>
      <c r="C193" s="20" t="s">
        <v>718</v>
      </c>
      <c r="D193" s="150">
        <v>2270000</v>
      </c>
      <c r="E193" s="20" t="s">
        <v>241</v>
      </c>
      <c r="F193" s="20" t="s">
        <v>242</v>
      </c>
      <c r="G193" s="8" t="str">
        <f t="shared" si="2"/>
        <v>BROWN JACOB</v>
      </c>
    </row>
    <row r="194" spans="1:7" x14ac:dyDescent="0.25">
      <c r="A194" s="8">
        <v>42777.954606481479</v>
      </c>
      <c r="B194" s="20" t="s">
        <v>220</v>
      </c>
      <c r="C194" s="20" t="s">
        <v>530</v>
      </c>
      <c r="D194" s="150">
        <v>2000000</v>
      </c>
      <c r="E194" s="20" t="s">
        <v>260</v>
      </c>
      <c r="F194" s="20" t="s">
        <v>201</v>
      </c>
      <c r="G194" s="8" t="str">
        <f t="shared" si="2"/>
        <v>STAMBAUGH JAMES</v>
      </c>
    </row>
    <row r="195" spans="1:7" x14ac:dyDescent="0.25">
      <c r="A195" s="8">
        <v>42777.965879629628</v>
      </c>
      <c r="B195" s="20" t="s">
        <v>338</v>
      </c>
      <c r="C195" s="20" t="s">
        <v>531</v>
      </c>
      <c r="D195" s="150">
        <v>2230000</v>
      </c>
      <c r="E195" s="20" t="s">
        <v>456</v>
      </c>
      <c r="F195" s="20" t="s">
        <v>204</v>
      </c>
      <c r="G195" s="8" t="str">
        <f t="shared" ref="G195:G258" si="3">E195&amp;" "&amp;F195</f>
        <v>SMITH MICHAEL</v>
      </c>
    </row>
    <row r="196" spans="1:7" x14ac:dyDescent="0.25">
      <c r="A196" s="8">
        <v>42777.967476851853</v>
      </c>
      <c r="B196" s="20" t="s">
        <v>445</v>
      </c>
      <c r="C196" s="20" t="s">
        <v>719</v>
      </c>
      <c r="D196" s="150">
        <v>2220000</v>
      </c>
      <c r="E196" s="20" t="s">
        <v>223</v>
      </c>
      <c r="F196" s="20" t="s">
        <v>224</v>
      </c>
      <c r="G196" s="8" t="str">
        <f t="shared" si="3"/>
        <v>HILLS DUSTIN</v>
      </c>
    </row>
    <row r="197" spans="1:7" x14ac:dyDescent="0.25">
      <c r="A197" s="8">
        <v>42777.968206018515</v>
      </c>
      <c r="B197" s="20" t="s">
        <v>445</v>
      </c>
      <c r="C197" s="20" t="s">
        <v>719</v>
      </c>
      <c r="D197" s="150">
        <v>2220000</v>
      </c>
      <c r="E197" s="20" t="s">
        <v>223</v>
      </c>
      <c r="F197" s="20" t="s">
        <v>224</v>
      </c>
      <c r="G197" s="8" t="str">
        <f t="shared" si="3"/>
        <v>HILLS DUSTIN</v>
      </c>
    </row>
    <row r="198" spans="1:7" x14ac:dyDescent="0.25">
      <c r="A198" s="8">
        <v>42777.973530092589</v>
      </c>
      <c r="B198" s="20" t="s">
        <v>445</v>
      </c>
      <c r="C198" s="20" t="s">
        <v>719</v>
      </c>
      <c r="D198" s="150">
        <v>2220000</v>
      </c>
      <c r="E198" s="20" t="s">
        <v>223</v>
      </c>
      <c r="F198" s="20" t="s">
        <v>224</v>
      </c>
      <c r="G198" s="8" t="str">
        <f t="shared" si="3"/>
        <v>HILLS DUSTIN</v>
      </c>
    </row>
    <row r="199" spans="1:7" x14ac:dyDescent="0.25">
      <c r="A199" s="8">
        <v>42777.986712962964</v>
      </c>
      <c r="B199" s="20" t="s">
        <v>243</v>
      </c>
      <c r="C199" s="20" t="s">
        <v>720</v>
      </c>
      <c r="D199" s="150">
        <v>2000000</v>
      </c>
      <c r="E199" s="20" t="s">
        <v>260</v>
      </c>
      <c r="F199" s="20" t="s">
        <v>201</v>
      </c>
      <c r="G199" s="8" t="str">
        <f t="shared" si="3"/>
        <v>STAMBAUGH JAMES</v>
      </c>
    </row>
    <row r="200" spans="1:7" x14ac:dyDescent="0.25">
      <c r="A200" s="8">
        <v>42777.99527777778</v>
      </c>
      <c r="B200" s="20" t="s">
        <v>313</v>
      </c>
      <c r="C200" s="20" t="s">
        <v>721</v>
      </c>
      <c r="D200" s="150">
        <v>2270000</v>
      </c>
      <c r="E200" s="20" t="s">
        <v>241</v>
      </c>
      <c r="F200" s="20" t="s">
        <v>242</v>
      </c>
      <c r="G200" s="8" t="str">
        <f t="shared" si="3"/>
        <v>BROWN JACOB</v>
      </c>
    </row>
    <row r="201" spans="1:7" x14ac:dyDescent="0.25">
      <c r="A201" s="8">
        <v>42778.006932870368</v>
      </c>
      <c r="B201" s="20" t="s">
        <v>192</v>
      </c>
      <c r="C201" s="20" t="s">
        <v>722</v>
      </c>
      <c r="D201" s="150">
        <v>2220000</v>
      </c>
      <c r="E201" s="20" t="s">
        <v>223</v>
      </c>
      <c r="F201" s="20" t="s">
        <v>224</v>
      </c>
      <c r="G201" s="8" t="str">
        <f t="shared" si="3"/>
        <v>HILLS DUSTIN</v>
      </c>
    </row>
    <row r="202" spans="1:7" x14ac:dyDescent="0.25">
      <c r="A202" s="26">
        <v>42778.026064814818</v>
      </c>
      <c r="B202" s="20" t="s">
        <v>337</v>
      </c>
      <c r="C202" s="20" t="s">
        <v>723</v>
      </c>
      <c r="D202" s="150">
        <v>2270000</v>
      </c>
      <c r="E202" s="20" t="s">
        <v>241</v>
      </c>
      <c r="F202" s="20" t="s">
        <v>242</v>
      </c>
      <c r="G202" s="8" t="str">
        <f t="shared" si="3"/>
        <v>BROWN JACOB</v>
      </c>
    </row>
    <row r="203" spans="1:7" x14ac:dyDescent="0.25">
      <c r="A203" s="8">
        <v>42775.871770833335</v>
      </c>
      <c r="B203" s="20" t="s">
        <v>337</v>
      </c>
      <c r="C203" s="20" t="s">
        <v>457</v>
      </c>
      <c r="D203" s="150">
        <v>1800000</v>
      </c>
      <c r="E203" s="20" t="s">
        <v>274</v>
      </c>
      <c r="F203" s="20" t="s">
        <v>275</v>
      </c>
      <c r="G203" s="8" t="str">
        <f t="shared" si="3"/>
        <v>CHANDLER KELVIN</v>
      </c>
    </row>
    <row r="204" spans="1:7" x14ac:dyDescent="0.25">
      <c r="A204" s="8">
        <v>42775.880937499998</v>
      </c>
      <c r="B204" s="20" t="s">
        <v>259</v>
      </c>
      <c r="C204" s="20" t="s">
        <v>458</v>
      </c>
      <c r="D204" s="150">
        <v>2220000</v>
      </c>
      <c r="E204" s="20" t="s">
        <v>223</v>
      </c>
      <c r="F204" s="20" t="s">
        <v>224</v>
      </c>
      <c r="G204" s="8" t="str">
        <f t="shared" si="3"/>
        <v>HILLS DUSTIN</v>
      </c>
    </row>
    <row r="205" spans="1:7" x14ac:dyDescent="0.25">
      <c r="A205" s="8">
        <v>42775.884340277778</v>
      </c>
      <c r="B205" s="20" t="s">
        <v>302</v>
      </c>
      <c r="C205" s="20" t="s">
        <v>459</v>
      </c>
      <c r="D205" s="150">
        <v>1740000</v>
      </c>
      <c r="E205" s="20" t="s">
        <v>237</v>
      </c>
      <c r="F205" s="20" t="s">
        <v>238</v>
      </c>
      <c r="G205" s="8" t="str">
        <f t="shared" si="3"/>
        <v>STORY SAMANTHA</v>
      </c>
    </row>
    <row r="206" spans="1:7" x14ac:dyDescent="0.25">
      <c r="A206" s="8">
        <v>42775.889803240738</v>
      </c>
      <c r="B206" s="20" t="s">
        <v>234</v>
      </c>
      <c r="C206" s="20" t="s">
        <v>460</v>
      </c>
      <c r="D206" s="150">
        <v>2370000</v>
      </c>
      <c r="E206" s="20" t="s">
        <v>437</v>
      </c>
      <c r="F206" s="20" t="s">
        <v>438</v>
      </c>
      <c r="G206" s="8" t="str">
        <f t="shared" si="3"/>
        <v>DELGADO DIANAH</v>
      </c>
    </row>
    <row r="207" spans="1:7" x14ac:dyDescent="0.25">
      <c r="A207" s="8">
        <v>42775.901250000003</v>
      </c>
      <c r="B207" s="20" t="s">
        <v>432</v>
      </c>
      <c r="C207" s="20" t="s">
        <v>447</v>
      </c>
      <c r="D207" s="150">
        <v>1740000</v>
      </c>
      <c r="E207" s="20" t="s">
        <v>237</v>
      </c>
      <c r="F207" s="20" t="s">
        <v>238</v>
      </c>
      <c r="G207" s="8" t="str">
        <f t="shared" si="3"/>
        <v>STORY SAMANTHA</v>
      </c>
    </row>
    <row r="208" spans="1:7" x14ac:dyDescent="0.25">
      <c r="A208" s="8">
        <v>42775.904849537037</v>
      </c>
      <c r="B208" s="20" t="s">
        <v>327</v>
      </c>
      <c r="C208" s="20" t="s">
        <v>461</v>
      </c>
      <c r="D208" s="150">
        <v>2360000</v>
      </c>
      <c r="E208" s="20" t="s">
        <v>462</v>
      </c>
      <c r="F208" s="20" t="s">
        <v>463</v>
      </c>
      <c r="G208" s="8" t="str">
        <f t="shared" si="3"/>
        <v>BRANDNER MELINDA</v>
      </c>
    </row>
    <row r="209" spans="1:7" x14ac:dyDescent="0.25">
      <c r="A209" s="8">
        <v>42775.910428240742</v>
      </c>
      <c r="B209" s="20" t="s">
        <v>313</v>
      </c>
      <c r="C209" s="20" t="s">
        <v>464</v>
      </c>
      <c r="D209" s="150">
        <v>1800000</v>
      </c>
      <c r="E209" s="20" t="s">
        <v>274</v>
      </c>
      <c r="F209" s="20" t="s">
        <v>275</v>
      </c>
      <c r="G209" s="8" t="str">
        <f t="shared" si="3"/>
        <v>CHANDLER KELVIN</v>
      </c>
    </row>
    <row r="210" spans="1:7" x14ac:dyDescent="0.25">
      <c r="A210" s="8">
        <v>42775.92082175926</v>
      </c>
      <c r="B210" s="20" t="s">
        <v>338</v>
      </c>
      <c r="C210" s="20" t="s">
        <v>465</v>
      </c>
      <c r="D210" s="150">
        <v>2220000</v>
      </c>
      <c r="E210" s="20" t="s">
        <v>223</v>
      </c>
      <c r="F210" s="20" t="s">
        <v>224</v>
      </c>
      <c r="G210" s="8" t="str">
        <f t="shared" si="3"/>
        <v>HILLS DUSTIN</v>
      </c>
    </row>
    <row r="211" spans="1:7" x14ac:dyDescent="0.25">
      <c r="A211" s="8">
        <v>42775.926493055558</v>
      </c>
      <c r="B211" s="20" t="s">
        <v>302</v>
      </c>
      <c r="C211" s="20" t="s">
        <v>466</v>
      </c>
      <c r="D211" s="150">
        <v>1740000</v>
      </c>
      <c r="E211" s="20" t="s">
        <v>237</v>
      </c>
      <c r="F211" s="20" t="s">
        <v>238</v>
      </c>
      <c r="G211" s="8" t="str">
        <f t="shared" si="3"/>
        <v>STORY SAMANTHA</v>
      </c>
    </row>
    <row r="212" spans="1:7" x14ac:dyDescent="0.25">
      <c r="A212" s="8">
        <v>42775.928217592591</v>
      </c>
      <c r="B212" s="20" t="s">
        <v>210</v>
      </c>
      <c r="C212" s="20" t="s">
        <v>448</v>
      </c>
      <c r="D212" s="150">
        <v>2480000</v>
      </c>
      <c r="E212" s="20" t="s">
        <v>467</v>
      </c>
      <c r="F212" s="20" t="s">
        <v>224</v>
      </c>
      <c r="G212" s="8" t="str">
        <f t="shared" si="3"/>
        <v>WHITED DUSTIN</v>
      </c>
    </row>
    <row r="213" spans="1:7" x14ac:dyDescent="0.25">
      <c r="A213" s="8">
        <v>42775.942928240744</v>
      </c>
      <c r="B213" s="20" t="s">
        <v>432</v>
      </c>
      <c r="C213" s="20" t="s">
        <v>468</v>
      </c>
      <c r="D213" s="150">
        <v>1740000</v>
      </c>
      <c r="E213" s="20" t="s">
        <v>237</v>
      </c>
      <c r="F213" s="20" t="s">
        <v>238</v>
      </c>
      <c r="G213" s="8" t="str">
        <f t="shared" si="3"/>
        <v>STORY SAMANTHA</v>
      </c>
    </row>
    <row r="214" spans="1:7" x14ac:dyDescent="0.25">
      <c r="A214" s="8">
        <v>42775.949166666665</v>
      </c>
      <c r="B214" s="20" t="s">
        <v>330</v>
      </c>
      <c r="C214" s="20" t="s">
        <v>469</v>
      </c>
      <c r="D214" s="150">
        <v>2360000</v>
      </c>
      <c r="E214" s="20" t="s">
        <v>462</v>
      </c>
      <c r="F214" s="20" t="s">
        <v>463</v>
      </c>
      <c r="G214" s="8" t="str">
        <f t="shared" si="3"/>
        <v>BRANDNER MELINDA</v>
      </c>
    </row>
    <row r="215" spans="1:7" x14ac:dyDescent="0.25">
      <c r="A215" s="8">
        <v>42775.956921296296</v>
      </c>
      <c r="B215" s="20" t="s">
        <v>337</v>
      </c>
      <c r="C215" s="20" t="s">
        <v>470</v>
      </c>
      <c r="D215" s="150">
        <v>1800000</v>
      </c>
      <c r="E215" s="20" t="s">
        <v>274</v>
      </c>
      <c r="F215" s="20" t="s">
        <v>275</v>
      </c>
      <c r="G215" s="8" t="str">
        <f t="shared" si="3"/>
        <v>CHANDLER KELVIN</v>
      </c>
    </row>
    <row r="216" spans="1:7" x14ac:dyDescent="0.25">
      <c r="A216" s="8">
        <v>42775.964097222219</v>
      </c>
      <c r="B216" s="20" t="s">
        <v>259</v>
      </c>
      <c r="C216" s="20" t="s">
        <v>471</v>
      </c>
      <c r="D216" s="150">
        <v>2220000</v>
      </c>
      <c r="E216" s="20" t="s">
        <v>223</v>
      </c>
      <c r="F216" s="20" t="s">
        <v>224</v>
      </c>
      <c r="G216" s="8" t="str">
        <f t="shared" si="3"/>
        <v>HILLS DUSTIN</v>
      </c>
    </row>
    <row r="217" spans="1:7" x14ac:dyDescent="0.25">
      <c r="A217" s="8">
        <v>42775.975462962961</v>
      </c>
      <c r="B217" s="20" t="s">
        <v>234</v>
      </c>
      <c r="C217" s="20" t="s">
        <v>472</v>
      </c>
      <c r="D217" s="150">
        <v>2370000</v>
      </c>
      <c r="E217" s="20" t="s">
        <v>437</v>
      </c>
      <c r="F217" s="20" t="s">
        <v>438</v>
      </c>
      <c r="G217" s="8" t="str">
        <f t="shared" si="3"/>
        <v>DELGADO DIANAH</v>
      </c>
    </row>
    <row r="218" spans="1:7" x14ac:dyDescent="0.25">
      <c r="A218" s="8">
        <v>42775.995509259257</v>
      </c>
      <c r="B218" s="20" t="s">
        <v>313</v>
      </c>
      <c r="C218" s="20" t="s">
        <v>473</v>
      </c>
      <c r="D218" s="150">
        <v>1800000</v>
      </c>
      <c r="E218" s="20" t="s">
        <v>274</v>
      </c>
      <c r="F218" s="20" t="s">
        <v>275</v>
      </c>
      <c r="G218" s="8" t="str">
        <f t="shared" si="3"/>
        <v>CHANDLER KELVIN</v>
      </c>
    </row>
    <row r="219" spans="1:7" x14ac:dyDescent="0.25">
      <c r="A219" s="8">
        <v>42775.996261574073</v>
      </c>
      <c r="B219" s="20" t="s">
        <v>327</v>
      </c>
      <c r="C219" s="20" t="s">
        <v>474</v>
      </c>
      <c r="D219" s="150">
        <v>2270000</v>
      </c>
      <c r="E219" s="20" t="s">
        <v>241</v>
      </c>
      <c r="F219" s="20" t="s">
        <v>242</v>
      </c>
      <c r="G219" s="8" t="str">
        <f t="shared" si="3"/>
        <v>BROWN JACOB</v>
      </c>
    </row>
    <row r="220" spans="1:7" x14ac:dyDescent="0.25">
      <c r="A220" s="8">
        <v>42776.006631944445</v>
      </c>
      <c r="B220" s="20" t="s">
        <v>338</v>
      </c>
      <c r="C220" s="20" t="s">
        <v>475</v>
      </c>
      <c r="D220" s="150">
        <v>2220000</v>
      </c>
      <c r="E220" s="20" t="s">
        <v>223</v>
      </c>
      <c r="F220" s="20" t="s">
        <v>224</v>
      </c>
      <c r="G220" s="8" t="str">
        <f t="shared" si="3"/>
        <v>HILLS DUSTIN</v>
      </c>
    </row>
    <row r="221" spans="1:7" x14ac:dyDescent="0.25">
      <c r="A221" s="8">
        <v>42776.01</v>
      </c>
      <c r="B221" s="20" t="s">
        <v>210</v>
      </c>
      <c r="C221" s="20" t="s">
        <v>476</v>
      </c>
      <c r="D221" s="150">
        <v>2370000</v>
      </c>
      <c r="E221" s="20" t="s">
        <v>437</v>
      </c>
      <c r="F221" s="20" t="s">
        <v>438</v>
      </c>
      <c r="G221" s="8" t="str">
        <f t="shared" si="3"/>
        <v>DELGADO DIANAH</v>
      </c>
    </row>
    <row r="222" spans="1:7" x14ac:dyDescent="0.25">
      <c r="A222" s="8">
        <v>42776.012083333335</v>
      </c>
      <c r="B222" s="20" t="s">
        <v>327</v>
      </c>
      <c r="C222" s="20" t="s">
        <v>474</v>
      </c>
      <c r="D222" s="150">
        <v>2270000</v>
      </c>
      <c r="E222" s="20" t="s">
        <v>241</v>
      </c>
      <c r="F222" s="20" t="s">
        <v>242</v>
      </c>
      <c r="G222" s="8" t="str">
        <f t="shared" si="3"/>
        <v>BROWN JACOB</v>
      </c>
    </row>
    <row r="223" spans="1:7" x14ac:dyDescent="0.25">
      <c r="A223" s="8">
        <v>42776.029780092591</v>
      </c>
      <c r="B223" s="20" t="s">
        <v>337</v>
      </c>
      <c r="C223" s="20" t="s">
        <v>477</v>
      </c>
      <c r="D223" s="150">
        <v>1800000</v>
      </c>
      <c r="E223" s="20" t="s">
        <v>274</v>
      </c>
      <c r="F223" s="20" t="s">
        <v>275</v>
      </c>
      <c r="G223" s="8" t="str">
        <f t="shared" si="3"/>
        <v>CHANDLER KELVIN</v>
      </c>
    </row>
    <row r="224" spans="1:7" x14ac:dyDescent="0.25">
      <c r="A224" s="8">
        <v>42776.033425925925</v>
      </c>
      <c r="B224" t="s">
        <v>330</v>
      </c>
      <c r="C224" t="s">
        <v>449</v>
      </c>
      <c r="D224" s="150">
        <v>2270000</v>
      </c>
      <c r="E224" t="s">
        <v>241</v>
      </c>
      <c r="F224" s="20" t="s">
        <v>242</v>
      </c>
      <c r="G224" s="8" t="str">
        <f t="shared" si="3"/>
        <v>BROWN JACOB</v>
      </c>
    </row>
    <row r="225" spans="1:7" x14ac:dyDescent="0.25">
      <c r="A225" s="8">
        <v>42776.040891203702</v>
      </c>
      <c r="B225" t="s">
        <v>337</v>
      </c>
      <c r="C225" t="s">
        <v>477</v>
      </c>
      <c r="D225" s="150">
        <v>1800000</v>
      </c>
      <c r="E225" t="s">
        <v>274</v>
      </c>
      <c r="F225" s="20" t="s">
        <v>275</v>
      </c>
      <c r="G225" s="8" t="str">
        <f t="shared" si="3"/>
        <v>CHANDLER KELVIN</v>
      </c>
    </row>
    <row r="226" spans="1:7" x14ac:dyDescent="0.25">
      <c r="A226" s="8">
        <v>42776.046770833331</v>
      </c>
      <c r="B226" t="s">
        <v>234</v>
      </c>
      <c r="C226" t="s">
        <v>478</v>
      </c>
      <c r="D226" s="150">
        <v>2370000</v>
      </c>
      <c r="E226" t="s">
        <v>437</v>
      </c>
      <c r="F226" s="20" t="s">
        <v>438</v>
      </c>
      <c r="G226" s="8" t="str">
        <f t="shared" si="3"/>
        <v>DELGADO DIANAH</v>
      </c>
    </row>
    <row r="227" spans="1:7" x14ac:dyDescent="0.25">
      <c r="A227" s="8">
        <v>42776.047465277778</v>
      </c>
      <c r="B227" t="s">
        <v>259</v>
      </c>
      <c r="C227" t="s">
        <v>479</v>
      </c>
      <c r="D227" s="150">
        <v>2220000</v>
      </c>
      <c r="E227" t="s">
        <v>223</v>
      </c>
      <c r="F227" s="20" t="s">
        <v>224</v>
      </c>
      <c r="G227" s="8" t="str">
        <f t="shared" si="3"/>
        <v>HILLS DUSTIN</v>
      </c>
    </row>
    <row r="228" spans="1:7" x14ac:dyDescent="0.25">
      <c r="A228" s="8">
        <v>42776.069826388892</v>
      </c>
      <c r="B228" t="s">
        <v>327</v>
      </c>
      <c r="C228" t="s">
        <v>480</v>
      </c>
      <c r="D228" s="150">
        <v>2270000</v>
      </c>
      <c r="E228" t="s">
        <v>241</v>
      </c>
      <c r="F228" s="20" t="s">
        <v>242</v>
      </c>
      <c r="G228" s="8" t="str">
        <f t="shared" si="3"/>
        <v>BROWN JACOB</v>
      </c>
    </row>
    <row r="229" spans="1:7" x14ac:dyDescent="0.25">
      <c r="A229" s="8">
        <v>42776.087337962963</v>
      </c>
      <c r="B229" t="s">
        <v>338</v>
      </c>
      <c r="C229" t="s">
        <v>481</v>
      </c>
      <c r="D229" s="150">
        <v>2220000</v>
      </c>
      <c r="E229" t="s">
        <v>223</v>
      </c>
      <c r="F229" s="20" t="s">
        <v>224</v>
      </c>
      <c r="G229" s="8" t="str">
        <f t="shared" si="3"/>
        <v>HILLS DUSTIN</v>
      </c>
    </row>
    <row r="230" spans="1:7" x14ac:dyDescent="0.25">
      <c r="A230" s="8">
        <v>42774.010520833333</v>
      </c>
      <c r="B230" t="s">
        <v>330</v>
      </c>
      <c r="C230" t="s">
        <v>349</v>
      </c>
      <c r="D230" s="150">
        <v>2630000</v>
      </c>
      <c r="E230" t="s">
        <v>328</v>
      </c>
      <c r="F230" s="20" t="s">
        <v>329</v>
      </c>
      <c r="G230" s="8" t="str">
        <f t="shared" si="3"/>
        <v>SAFIEF AEIMEN</v>
      </c>
    </row>
    <row r="231" spans="1:7" x14ac:dyDescent="0.25">
      <c r="A231" s="8">
        <v>42774.031064814815</v>
      </c>
      <c r="B231" t="s">
        <v>226</v>
      </c>
      <c r="C231" t="s">
        <v>350</v>
      </c>
      <c r="D231" s="150">
        <v>1740000</v>
      </c>
      <c r="E231" t="s">
        <v>237</v>
      </c>
      <c r="F231" s="20" t="s">
        <v>238</v>
      </c>
      <c r="G231" s="8" t="str">
        <f t="shared" si="3"/>
        <v>STORY SAMANTHA</v>
      </c>
    </row>
    <row r="232" spans="1:7" x14ac:dyDescent="0.25">
      <c r="A232" s="8">
        <v>42774.03429398148</v>
      </c>
      <c r="B232" t="s">
        <v>346</v>
      </c>
      <c r="C232" t="s">
        <v>351</v>
      </c>
      <c r="D232" s="150">
        <v>1800000</v>
      </c>
      <c r="E232" t="s">
        <v>274</v>
      </c>
      <c r="F232" s="20" t="s">
        <v>275</v>
      </c>
      <c r="G232" s="8" t="str">
        <f t="shared" si="3"/>
        <v>CHANDLER KELVIN</v>
      </c>
    </row>
    <row r="233" spans="1:7" x14ac:dyDescent="0.25">
      <c r="A233" s="8">
        <v>42774.047974537039</v>
      </c>
      <c r="B233" t="s">
        <v>327</v>
      </c>
      <c r="C233" t="s">
        <v>352</v>
      </c>
      <c r="D233" s="150">
        <v>2630000</v>
      </c>
      <c r="E233" t="s">
        <v>328</v>
      </c>
      <c r="F233" s="20" t="s">
        <v>329</v>
      </c>
      <c r="G233" s="8" t="str">
        <f t="shared" si="3"/>
        <v>SAFIEF AEIMEN</v>
      </c>
    </row>
    <row r="234" spans="1:7" x14ac:dyDescent="0.25">
      <c r="A234" s="8">
        <v>42774.059432870374</v>
      </c>
      <c r="B234" t="s">
        <v>331</v>
      </c>
      <c r="C234" t="s">
        <v>343</v>
      </c>
      <c r="D234" s="150">
        <v>2000000</v>
      </c>
      <c r="E234" t="s">
        <v>260</v>
      </c>
      <c r="F234" s="20" t="s">
        <v>201</v>
      </c>
      <c r="G234" s="8" t="str">
        <f t="shared" si="3"/>
        <v>STAMBAUGH JAMES</v>
      </c>
    </row>
    <row r="235" spans="1:7" x14ac:dyDescent="0.25">
      <c r="A235" s="8">
        <v>42769.048842592594</v>
      </c>
      <c r="B235" t="s">
        <v>300</v>
      </c>
      <c r="C235" t="s">
        <v>320</v>
      </c>
      <c r="D235" s="150">
        <v>1810000</v>
      </c>
      <c r="E235" t="s">
        <v>207</v>
      </c>
      <c r="F235" s="20" t="s">
        <v>201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283</v>
      </c>
      <c r="C236" t="s">
        <v>321</v>
      </c>
      <c r="D236" s="150">
        <v>2220000</v>
      </c>
      <c r="E236" t="s">
        <v>223</v>
      </c>
      <c r="F236" s="20" t="s">
        <v>224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306</v>
      </c>
      <c r="C237" t="s">
        <v>319</v>
      </c>
      <c r="D237" s="150">
        <v>2710000</v>
      </c>
      <c r="E237" t="s">
        <v>317</v>
      </c>
      <c r="F237" s="20" t="s">
        <v>318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192</v>
      </c>
      <c r="C238" t="s">
        <v>322</v>
      </c>
      <c r="D238" s="150">
        <v>2560000</v>
      </c>
      <c r="E238" t="s">
        <v>315</v>
      </c>
      <c r="F238" s="20" t="s">
        <v>316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282</v>
      </c>
      <c r="C239" t="s">
        <v>323</v>
      </c>
      <c r="D239" s="150">
        <v>2220000</v>
      </c>
      <c r="E239" t="s">
        <v>223</v>
      </c>
      <c r="F239" s="20" t="s">
        <v>224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307</v>
      </c>
      <c r="C240" t="s">
        <v>314</v>
      </c>
      <c r="D240" s="150">
        <v>2710000</v>
      </c>
      <c r="E240" t="s">
        <v>317</v>
      </c>
      <c r="F240" s="20" t="s">
        <v>318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196</v>
      </c>
      <c r="C241" t="s">
        <v>308</v>
      </c>
      <c r="D241" s="150">
        <v>1740000</v>
      </c>
      <c r="E241" t="s">
        <v>237</v>
      </c>
      <c r="F241" s="20" t="s">
        <v>238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277</v>
      </c>
      <c r="C242" t="s">
        <v>309</v>
      </c>
      <c r="D242" s="150">
        <v>2270000</v>
      </c>
      <c r="E242" t="s">
        <v>241</v>
      </c>
      <c r="F242" s="20" t="s">
        <v>242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225</v>
      </c>
      <c r="C243" t="s">
        <v>310</v>
      </c>
      <c r="D243" s="150">
        <v>2540000</v>
      </c>
      <c r="E243" t="s">
        <v>230</v>
      </c>
      <c r="F243" s="20" t="s">
        <v>231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282</v>
      </c>
      <c r="C244" t="s">
        <v>286</v>
      </c>
      <c r="D244" s="150">
        <v>1810000</v>
      </c>
      <c r="E244" t="s">
        <v>207</v>
      </c>
      <c r="F244" s="20" t="s">
        <v>201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272</v>
      </c>
      <c r="C245" t="s">
        <v>284</v>
      </c>
      <c r="D245" s="150">
        <v>2270000</v>
      </c>
      <c r="E245" t="s">
        <v>241</v>
      </c>
      <c r="F245" s="20" t="s">
        <v>242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226</v>
      </c>
      <c r="C246" t="s">
        <v>287</v>
      </c>
      <c r="D246" s="150">
        <v>1800000</v>
      </c>
      <c r="E246" t="s">
        <v>274</v>
      </c>
      <c r="F246" s="20" t="s">
        <v>275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277</v>
      </c>
      <c r="C247" t="s">
        <v>288</v>
      </c>
      <c r="D247" s="150">
        <v>2220000</v>
      </c>
      <c r="E247" t="s">
        <v>223</v>
      </c>
      <c r="F247" s="20" t="s">
        <v>224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283</v>
      </c>
      <c r="C248" t="s">
        <v>289</v>
      </c>
      <c r="D248" s="150">
        <v>1810000</v>
      </c>
      <c r="E248" t="s">
        <v>207</v>
      </c>
      <c r="F248" s="20" t="s">
        <v>201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225</v>
      </c>
      <c r="C249" t="s">
        <v>290</v>
      </c>
      <c r="D249" s="150">
        <v>1800000</v>
      </c>
      <c r="E249" t="s">
        <v>274</v>
      </c>
      <c r="F249" s="20" t="s">
        <v>275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273</v>
      </c>
      <c r="C250" t="s">
        <v>285</v>
      </c>
      <c r="D250" s="150">
        <v>2270000</v>
      </c>
      <c r="E250" t="s">
        <v>241</v>
      </c>
      <c r="F250" s="20" t="s">
        <v>242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282</v>
      </c>
      <c r="C251" t="s">
        <v>291</v>
      </c>
      <c r="D251" s="150">
        <v>1810000</v>
      </c>
      <c r="E251" t="s">
        <v>207</v>
      </c>
      <c r="F251" s="20" t="s">
        <v>201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276</v>
      </c>
      <c r="C252" t="s">
        <v>292</v>
      </c>
      <c r="D252" s="150">
        <v>2220000</v>
      </c>
      <c r="E252" t="s">
        <v>223</v>
      </c>
      <c r="F252" s="20" t="s">
        <v>224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276</v>
      </c>
      <c r="C253" t="s">
        <v>292</v>
      </c>
      <c r="D253" s="150">
        <v>2220000</v>
      </c>
      <c r="E253" t="s">
        <v>223</v>
      </c>
      <c r="F253" s="20" t="s">
        <v>224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272</v>
      </c>
      <c r="C254" t="s">
        <v>293</v>
      </c>
      <c r="D254" s="150">
        <v>2270000</v>
      </c>
      <c r="E254" t="s">
        <v>241</v>
      </c>
      <c r="F254" s="20" t="s">
        <v>242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277</v>
      </c>
      <c r="C255" t="s">
        <v>294</v>
      </c>
      <c r="D255" s="150">
        <v>2220000</v>
      </c>
      <c r="E255" t="s">
        <v>223</v>
      </c>
      <c r="F255" s="20" t="s">
        <v>224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210</v>
      </c>
      <c r="C256" t="s">
        <v>261</v>
      </c>
      <c r="D256" s="150">
        <v>2220000</v>
      </c>
      <c r="E256" t="s">
        <v>223</v>
      </c>
      <c r="F256" s="20" t="s">
        <v>224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196</v>
      </c>
      <c r="C257" t="s">
        <v>262</v>
      </c>
      <c r="D257" s="150">
        <v>2000000</v>
      </c>
      <c r="E257" t="s">
        <v>260</v>
      </c>
      <c r="F257" s="20" t="s">
        <v>201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234</v>
      </c>
      <c r="C258" t="s">
        <v>263</v>
      </c>
      <c r="D258" s="150">
        <v>2220000</v>
      </c>
      <c r="E258" t="s">
        <v>223</v>
      </c>
      <c r="F258" s="20" t="s">
        <v>224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259</v>
      </c>
      <c r="C259" t="s">
        <v>264</v>
      </c>
      <c r="D259" s="150">
        <v>1360000</v>
      </c>
      <c r="E259" t="s">
        <v>265</v>
      </c>
      <c r="F259" s="20" t="s">
        <v>266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243</v>
      </c>
      <c r="C260" t="s">
        <v>249</v>
      </c>
      <c r="D260" s="150">
        <v>2450000</v>
      </c>
      <c r="E260" t="s">
        <v>245</v>
      </c>
      <c r="F260" s="20" t="s">
        <v>246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228</v>
      </c>
      <c r="C261" t="s">
        <v>256</v>
      </c>
      <c r="D261" s="150">
        <v>1810000</v>
      </c>
      <c r="E261" t="s">
        <v>207</v>
      </c>
      <c r="F261" s="20" t="s">
        <v>201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250</v>
      </c>
      <c r="C262" t="s">
        <v>254</v>
      </c>
      <c r="D262" s="150">
        <v>2670000</v>
      </c>
      <c r="E262" t="s">
        <v>252</v>
      </c>
      <c r="F262" s="20" t="s">
        <v>253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225</v>
      </c>
      <c r="C263" t="s">
        <v>248</v>
      </c>
      <c r="D263" s="150">
        <v>2540000</v>
      </c>
      <c r="E263" t="s">
        <v>230</v>
      </c>
      <c r="F263" s="20" t="s">
        <v>231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220</v>
      </c>
      <c r="C264" t="s">
        <v>244</v>
      </c>
      <c r="D264" s="150">
        <v>2450000</v>
      </c>
      <c r="E264" t="s">
        <v>245</v>
      </c>
      <c r="F264" s="20" t="s">
        <v>246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240</v>
      </c>
      <c r="C265" t="s">
        <v>257</v>
      </c>
      <c r="D265" s="150">
        <v>2270000</v>
      </c>
      <c r="E265" t="s">
        <v>241</v>
      </c>
      <c r="F265" s="20" t="s">
        <v>242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226</v>
      </c>
      <c r="C266" t="s">
        <v>247</v>
      </c>
      <c r="D266" s="150">
        <v>2540000</v>
      </c>
      <c r="E266" t="s">
        <v>230</v>
      </c>
      <c r="F266" s="20" t="s">
        <v>231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243</v>
      </c>
      <c r="C267" t="s">
        <v>249</v>
      </c>
      <c r="D267" s="150">
        <v>2450000</v>
      </c>
      <c r="E267" t="s">
        <v>245</v>
      </c>
      <c r="F267" s="20" t="s">
        <v>246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240</v>
      </c>
      <c r="C268" t="s">
        <v>257</v>
      </c>
      <c r="D268" s="150">
        <v>2270000</v>
      </c>
      <c r="E268" t="s">
        <v>241</v>
      </c>
      <c r="F268" s="20" t="s">
        <v>242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225</v>
      </c>
      <c r="C269" t="s">
        <v>248</v>
      </c>
      <c r="D269" s="150">
        <v>2540000</v>
      </c>
      <c r="E269" t="s">
        <v>230</v>
      </c>
      <c r="F269" s="20" t="s">
        <v>231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229</v>
      </c>
      <c r="C270" t="s">
        <v>258</v>
      </c>
      <c r="D270" s="150">
        <v>1810000</v>
      </c>
      <c r="E270" t="s">
        <v>207</v>
      </c>
      <c r="F270" s="20" t="s">
        <v>201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255</v>
      </c>
      <c r="C271" t="s">
        <v>251</v>
      </c>
      <c r="D271" s="150">
        <v>2670000</v>
      </c>
      <c r="E271" t="s">
        <v>252</v>
      </c>
      <c r="F271" s="20" t="s">
        <v>253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220</v>
      </c>
      <c r="C272" t="s">
        <v>244</v>
      </c>
      <c r="D272" s="150">
        <v>2450000</v>
      </c>
      <c r="E272" t="s">
        <v>245</v>
      </c>
      <c r="F272" s="20" t="s">
        <v>246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226</v>
      </c>
      <c r="C273" t="s">
        <v>247</v>
      </c>
      <c r="D273" s="150">
        <v>2540000</v>
      </c>
      <c r="E273" t="s">
        <v>230</v>
      </c>
      <c r="F273" s="20" t="s">
        <v>231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724</v>
      </c>
      <c r="I1" s="166" t="s">
        <v>168</v>
      </c>
      <c r="J1" s="166" t="s">
        <v>169</v>
      </c>
      <c r="K1" s="166" t="s">
        <v>725</v>
      </c>
      <c r="L1" s="166" t="s">
        <v>163</v>
      </c>
      <c r="M1" s="166" t="s">
        <v>161</v>
      </c>
      <c r="N1" s="166" t="s">
        <v>156</v>
      </c>
      <c r="O1" s="166" t="s">
        <v>166</v>
      </c>
      <c r="P1" s="166" t="s">
        <v>160</v>
      </c>
      <c r="Q1" s="166" t="s">
        <v>167</v>
      </c>
      <c r="R1" s="166" t="s">
        <v>164</v>
      </c>
    </row>
    <row r="2" spans="1:18" x14ac:dyDescent="0.25">
      <c r="A2" s="167">
        <v>50.92</v>
      </c>
      <c r="B2" s="167">
        <v>0.74</v>
      </c>
      <c r="C2" s="167">
        <v>25.17</v>
      </c>
      <c r="D2" s="8">
        <v>42777</v>
      </c>
      <c r="E2" s="167">
        <v>0.36</v>
      </c>
      <c r="F2" s="167" t="s">
        <v>267</v>
      </c>
      <c r="G2" s="167">
        <v>268.04000000000002</v>
      </c>
      <c r="H2" s="167"/>
      <c r="I2" s="167">
        <v>0</v>
      </c>
      <c r="J2" s="167">
        <v>0</v>
      </c>
      <c r="K2" s="167"/>
      <c r="L2" s="167">
        <v>1009.13</v>
      </c>
      <c r="M2" s="167" t="s">
        <v>482</v>
      </c>
      <c r="N2" s="167">
        <v>50.92</v>
      </c>
      <c r="O2" s="167">
        <v>1486796400</v>
      </c>
      <c r="P2" s="167">
        <v>5.2</v>
      </c>
      <c r="Q2" s="167">
        <v>223</v>
      </c>
      <c r="R2" s="167">
        <v>2.31</v>
      </c>
    </row>
    <row r="3" spans="1:18" x14ac:dyDescent="0.25">
      <c r="A3" s="167">
        <v>49.91</v>
      </c>
      <c r="B3" s="167">
        <v>0.74</v>
      </c>
      <c r="C3" s="167">
        <v>25.69</v>
      </c>
      <c r="D3" s="8">
        <v>42777.041666666664</v>
      </c>
      <c r="E3" s="167">
        <v>0.39</v>
      </c>
      <c r="F3" s="167" t="s">
        <v>267</v>
      </c>
      <c r="G3" s="167">
        <v>268.70999999999998</v>
      </c>
      <c r="H3" s="167"/>
      <c r="I3" s="167">
        <v>0</v>
      </c>
      <c r="J3" s="167">
        <v>0</v>
      </c>
      <c r="K3" s="167"/>
      <c r="L3" s="167">
        <v>1009.29</v>
      </c>
      <c r="M3" s="167" t="s">
        <v>482</v>
      </c>
      <c r="N3" s="167">
        <v>49.91</v>
      </c>
      <c r="O3" s="167">
        <v>1486800000</v>
      </c>
      <c r="P3" s="167">
        <v>5.04</v>
      </c>
      <c r="Q3" s="167">
        <v>201</v>
      </c>
      <c r="R3" s="167">
        <v>1.85</v>
      </c>
    </row>
    <row r="4" spans="1:18" x14ac:dyDescent="0.25">
      <c r="A4" s="167">
        <v>46.9</v>
      </c>
      <c r="B4" s="167">
        <v>0.75</v>
      </c>
      <c r="C4" s="167">
        <v>26.29</v>
      </c>
      <c r="D4" s="8">
        <v>42777.083333333336</v>
      </c>
      <c r="E4" s="167">
        <v>0.44</v>
      </c>
      <c r="F4" s="167" t="s">
        <v>267</v>
      </c>
      <c r="G4" s="167">
        <v>269.38</v>
      </c>
      <c r="H4" s="167"/>
      <c r="I4" s="167">
        <v>0</v>
      </c>
      <c r="J4" s="167">
        <v>0</v>
      </c>
      <c r="K4" s="167"/>
      <c r="L4" s="167">
        <v>1009.48</v>
      </c>
      <c r="M4" s="167" t="s">
        <v>482</v>
      </c>
      <c r="N4" s="167">
        <v>46.9</v>
      </c>
      <c r="O4" s="167">
        <v>1486803600</v>
      </c>
      <c r="P4" s="167">
        <v>4.57</v>
      </c>
      <c r="Q4" s="167">
        <v>220</v>
      </c>
      <c r="R4" s="167">
        <v>2.1800000000000002</v>
      </c>
    </row>
    <row r="5" spans="1:18" x14ac:dyDescent="0.25">
      <c r="A5" s="167">
        <v>45.09</v>
      </c>
      <c r="B5" s="167">
        <v>0.75</v>
      </c>
      <c r="C5" s="167">
        <v>27.4</v>
      </c>
      <c r="D5" s="8">
        <v>42777.125</v>
      </c>
      <c r="E5" s="167">
        <v>0.5</v>
      </c>
      <c r="F5" s="167" t="s">
        <v>267</v>
      </c>
      <c r="G5" s="167">
        <v>268.89999999999998</v>
      </c>
      <c r="H5" s="167"/>
      <c r="I5" s="167">
        <v>0</v>
      </c>
      <c r="J5" s="167">
        <v>0</v>
      </c>
      <c r="K5" s="167"/>
      <c r="L5" s="167">
        <v>1009.24</v>
      </c>
      <c r="M5" s="167" t="s">
        <v>482</v>
      </c>
      <c r="N5" s="167">
        <v>45.09</v>
      </c>
      <c r="O5" s="167">
        <v>1486807200</v>
      </c>
      <c r="P5" s="167">
        <v>4.33</v>
      </c>
      <c r="Q5" s="167">
        <v>226</v>
      </c>
      <c r="R5" s="167">
        <v>1.55</v>
      </c>
    </row>
    <row r="6" spans="1:18" x14ac:dyDescent="0.25">
      <c r="A6" s="167">
        <v>44.62</v>
      </c>
      <c r="B6" s="167">
        <v>0.75</v>
      </c>
      <c r="C6" s="167">
        <v>26.97</v>
      </c>
      <c r="D6" s="8">
        <v>42777.166666666664</v>
      </c>
      <c r="E6" s="167">
        <v>0.5</v>
      </c>
      <c r="F6" s="167" t="s">
        <v>267</v>
      </c>
      <c r="G6" s="167">
        <v>267.98</v>
      </c>
      <c r="H6" s="167"/>
      <c r="I6" s="167">
        <v>0</v>
      </c>
      <c r="J6" s="167">
        <v>0</v>
      </c>
      <c r="K6" s="167"/>
      <c r="L6" s="167">
        <v>1008.87</v>
      </c>
      <c r="M6" s="167" t="s">
        <v>482</v>
      </c>
      <c r="N6" s="167">
        <v>44.62</v>
      </c>
      <c r="O6" s="167">
        <v>1486810800</v>
      </c>
      <c r="P6" s="167">
        <v>4.43</v>
      </c>
      <c r="Q6" s="167">
        <v>248</v>
      </c>
      <c r="R6" s="167">
        <v>1.63</v>
      </c>
    </row>
    <row r="7" spans="1:18" x14ac:dyDescent="0.25">
      <c r="A7" s="167">
        <v>43.63</v>
      </c>
      <c r="B7" s="167">
        <v>0.75</v>
      </c>
      <c r="C7" s="167">
        <v>29.26</v>
      </c>
      <c r="D7" s="8">
        <v>42777.208333333336</v>
      </c>
      <c r="E7" s="167">
        <v>0.56999999999999995</v>
      </c>
      <c r="F7" s="167" t="s">
        <v>267</v>
      </c>
      <c r="G7" s="167">
        <v>267.26</v>
      </c>
      <c r="H7" s="167"/>
      <c r="I7" s="167">
        <v>0</v>
      </c>
      <c r="J7" s="167">
        <v>0</v>
      </c>
      <c r="K7" s="167"/>
      <c r="L7" s="167">
        <v>1008.71</v>
      </c>
      <c r="M7" s="167" t="s">
        <v>482</v>
      </c>
      <c r="N7" s="167">
        <v>43.63</v>
      </c>
      <c r="O7" s="167">
        <v>1486814400</v>
      </c>
      <c r="P7" s="167">
        <v>5.55</v>
      </c>
      <c r="Q7" s="167">
        <v>257</v>
      </c>
      <c r="R7" s="167">
        <v>1.6</v>
      </c>
    </row>
    <row r="8" spans="1:18" x14ac:dyDescent="0.25">
      <c r="A8" s="167">
        <v>42.04</v>
      </c>
      <c r="B8" s="167">
        <v>0.74</v>
      </c>
      <c r="C8" s="167">
        <v>25.98</v>
      </c>
      <c r="D8" s="8">
        <v>42777.25</v>
      </c>
      <c r="E8" s="167">
        <v>0.53</v>
      </c>
      <c r="F8" s="167" t="s">
        <v>267</v>
      </c>
      <c r="G8" s="167">
        <v>266.87</v>
      </c>
      <c r="H8" s="167"/>
      <c r="I8" s="167">
        <v>0</v>
      </c>
      <c r="J8" s="167">
        <v>0</v>
      </c>
      <c r="K8" s="167"/>
      <c r="L8" s="167">
        <v>1008.93</v>
      </c>
      <c r="M8" s="167" t="s">
        <v>482</v>
      </c>
      <c r="N8" s="167">
        <v>42.04</v>
      </c>
      <c r="O8" s="167">
        <v>1486818000</v>
      </c>
      <c r="P8" s="167">
        <v>5.83</v>
      </c>
      <c r="Q8" s="167">
        <v>258</v>
      </c>
      <c r="R8" s="167">
        <v>1.42</v>
      </c>
    </row>
    <row r="9" spans="1:18" x14ac:dyDescent="0.25">
      <c r="A9" s="167">
        <v>41.56</v>
      </c>
      <c r="B9" s="167">
        <v>0.71</v>
      </c>
      <c r="C9" s="167">
        <v>27.21</v>
      </c>
      <c r="D9" s="8">
        <v>42777.291666666664</v>
      </c>
      <c r="E9" s="167">
        <v>0.56000000000000005</v>
      </c>
      <c r="F9" s="167" t="s">
        <v>267</v>
      </c>
      <c r="G9" s="167">
        <v>266.7</v>
      </c>
      <c r="H9" s="167"/>
      <c r="I9" s="167">
        <v>0</v>
      </c>
      <c r="J9" s="167">
        <v>0</v>
      </c>
      <c r="K9" s="167"/>
      <c r="L9" s="167">
        <v>1009.37</v>
      </c>
      <c r="M9" s="167" t="s">
        <v>482</v>
      </c>
      <c r="N9" s="167">
        <v>41.56</v>
      </c>
      <c r="O9" s="167">
        <v>1486821600</v>
      </c>
      <c r="P9" s="167">
        <v>4.7699999999999996</v>
      </c>
      <c r="Q9" s="167">
        <v>280</v>
      </c>
      <c r="R9" s="167">
        <v>1.61</v>
      </c>
    </row>
    <row r="10" spans="1:18" x14ac:dyDescent="0.25">
      <c r="A10" s="167">
        <v>41.11</v>
      </c>
      <c r="B10" s="167">
        <v>0.66</v>
      </c>
      <c r="C10" s="167">
        <v>27.37</v>
      </c>
      <c r="D10" s="8">
        <v>42777.333333333336</v>
      </c>
      <c r="E10" s="167">
        <v>0.57999999999999996</v>
      </c>
      <c r="F10" s="167" t="s">
        <v>268</v>
      </c>
      <c r="G10" s="167">
        <v>267.12</v>
      </c>
      <c r="H10" s="167"/>
      <c r="I10" s="167">
        <v>0</v>
      </c>
      <c r="J10" s="167">
        <v>0</v>
      </c>
      <c r="K10" s="167"/>
      <c r="L10" s="167">
        <v>1009.91</v>
      </c>
      <c r="M10" s="167" t="s">
        <v>482</v>
      </c>
      <c r="N10" s="167">
        <v>41.11</v>
      </c>
      <c r="O10" s="167">
        <v>1486825200</v>
      </c>
      <c r="P10" s="167">
        <v>4.41</v>
      </c>
      <c r="Q10" s="167">
        <v>289</v>
      </c>
      <c r="R10" s="167">
        <v>0.93</v>
      </c>
    </row>
    <row r="11" spans="1:18" x14ac:dyDescent="0.25">
      <c r="A11" s="167">
        <v>45.68</v>
      </c>
      <c r="B11" s="167">
        <v>0.67</v>
      </c>
      <c r="C11" s="167">
        <v>31.11</v>
      </c>
      <c r="D11" s="8">
        <v>42777.375</v>
      </c>
      <c r="E11" s="167">
        <v>0.56000000000000005</v>
      </c>
      <c r="F11" s="167" t="s">
        <v>268</v>
      </c>
      <c r="G11" s="167">
        <v>268.68</v>
      </c>
      <c r="H11" s="167"/>
      <c r="I11" s="167">
        <v>0</v>
      </c>
      <c r="J11" s="167">
        <v>0</v>
      </c>
      <c r="K11" s="167"/>
      <c r="L11" s="167">
        <v>1010.61</v>
      </c>
      <c r="M11" s="167" t="s">
        <v>482</v>
      </c>
      <c r="N11" s="167">
        <v>45.68</v>
      </c>
      <c r="O11" s="167">
        <v>1486828800</v>
      </c>
      <c r="P11" s="167">
        <v>4.0199999999999996</v>
      </c>
      <c r="Q11" s="167">
        <v>305</v>
      </c>
      <c r="R11" s="167">
        <v>0.89</v>
      </c>
    </row>
    <row r="12" spans="1:18" x14ac:dyDescent="0.25">
      <c r="A12" s="167">
        <v>52.18</v>
      </c>
      <c r="B12" s="167">
        <v>0.64</v>
      </c>
      <c r="C12" s="167">
        <v>31.47</v>
      </c>
      <c r="D12" s="8">
        <v>42777.416666666664</v>
      </c>
      <c r="E12" s="167">
        <v>0.45</v>
      </c>
      <c r="F12" s="167" t="s">
        <v>268</v>
      </c>
      <c r="G12" s="167">
        <v>270.83</v>
      </c>
      <c r="H12" s="167"/>
      <c r="I12" s="167">
        <v>0</v>
      </c>
      <c r="J12" s="167">
        <v>0</v>
      </c>
      <c r="K12" s="167"/>
      <c r="L12" s="167">
        <v>1011.2</v>
      </c>
      <c r="M12" s="167" t="s">
        <v>482</v>
      </c>
      <c r="N12" s="167">
        <v>52.18</v>
      </c>
      <c r="O12" s="167">
        <v>1486832400</v>
      </c>
      <c r="P12" s="167">
        <v>3.97</v>
      </c>
      <c r="Q12" s="167">
        <v>359</v>
      </c>
      <c r="R12" s="167">
        <v>4.72</v>
      </c>
    </row>
    <row r="13" spans="1:18" x14ac:dyDescent="0.25">
      <c r="A13" s="167">
        <v>52.41</v>
      </c>
      <c r="B13" s="167">
        <v>0.64</v>
      </c>
      <c r="C13" s="167">
        <v>33.700000000000003</v>
      </c>
      <c r="D13" s="8">
        <v>42777.458333333336</v>
      </c>
      <c r="E13" s="167">
        <v>0.49</v>
      </c>
      <c r="F13" s="167" t="s">
        <v>268</v>
      </c>
      <c r="G13" s="167">
        <v>272.27</v>
      </c>
      <c r="H13" s="167"/>
      <c r="I13" s="167">
        <v>0</v>
      </c>
      <c r="J13" s="167">
        <v>0</v>
      </c>
      <c r="K13" s="167"/>
      <c r="L13" s="167">
        <v>1011.53</v>
      </c>
      <c r="M13" s="167" t="s">
        <v>482</v>
      </c>
      <c r="N13" s="167">
        <v>52.41</v>
      </c>
      <c r="O13" s="167">
        <v>1486836000</v>
      </c>
      <c r="P13" s="167">
        <v>3.96</v>
      </c>
      <c r="Q13" s="167">
        <v>5</v>
      </c>
      <c r="R13" s="167">
        <v>5.89</v>
      </c>
    </row>
    <row r="14" spans="1:18" x14ac:dyDescent="0.25">
      <c r="A14" s="167">
        <v>52.22</v>
      </c>
      <c r="B14" s="167">
        <v>0.61</v>
      </c>
      <c r="C14" s="167">
        <v>35.9</v>
      </c>
      <c r="D14" s="8">
        <v>42777.5</v>
      </c>
      <c r="E14" s="167">
        <v>0.54</v>
      </c>
      <c r="F14" s="167" t="s">
        <v>268</v>
      </c>
      <c r="G14" s="167">
        <v>272.37</v>
      </c>
      <c r="H14" s="167"/>
      <c r="I14" s="167">
        <v>0</v>
      </c>
      <c r="J14" s="167">
        <v>0</v>
      </c>
      <c r="K14" s="167"/>
      <c r="L14" s="167">
        <v>1011.62</v>
      </c>
      <c r="M14" s="167" t="s">
        <v>482</v>
      </c>
      <c r="N14" s="167">
        <v>52.22</v>
      </c>
      <c r="O14" s="167">
        <v>1486839600</v>
      </c>
      <c r="P14" s="167">
        <v>3.96</v>
      </c>
      <c r="Q14" s="167">
        <v>12</v>
      </c>
      <c r="R14" s="167">
        <v>8.0500000000000007</v>
      </c>
    </row>
    <row r="15" spans="1:18" x14ac:dyDescent="0.25">
      <c r="A15" s="167">
        <v>52.86</v>
      </c>
      <c r="B15" s="167">
        <v>0.59</v>
      </c>
      <c r="C15" s="167">
        <v>35.869999999999997</v>
      </c>
      <c r="D15" s="8">
        <v>42777.541666666664</v>
      </c>
      <c r="E15" s="167">
        <v>0.52</v>
      </c>
      <c r="F15" s="167" t="s">
        <v>268</v>
      </c>
      <c r="G15" s="167">
        <v>271.77</v>
      </c>
      <c r="H15" s="167"/>
      <c r="I15" s="167">
        <v>0</v>
      </c>
      <c r="J15" s="167">
        <v>0</v>
      </c>
      <c r="K15" s="167"/>
      <c r="L15" s="167">
        <v>1011.63</v>
      </c>
      <c r="M15" s="167" t="s">
        <v>269</v>
      </c>
      <c r="N15" s="167">
        <v>52.86</v>
      </c>
      <c r="O15" s="167">
        <v>1486843200</v>
      </c>
      <c r="P15" s="167">
        <v>4.03</v>
      </c>
      <c r="Q15" s="167">
        <v>44</v>
      </c>
      <c r="R15" s="167">
        <v>6.11</v>
      </c>
    </row>
    <row r="16" spans="1:18" x14ac:dyDescent="0.25">
      <c r="A16" s="167">
        <v>54.21</v>
      </c>
      <c r="B16" s="167">
        <v>0.46</v>
      </c>
      <c r="C16" s="167">
        <v>35.36</v>
      </c>
      <c r="D16" s="8">
        <v>42777.583333333336</v>
      </c>
      <c r="E16" s="167">
        <v>0.49</v>
      </c>
      <c r="F16" s="167" t="s">
        <v>268</v>
      </c>
      <c r="G16" s="167">
        <v>271.08</v>
      </c>
      <c r="H16" s="167"/>
      <c r="I16" s="167">
        <v>0</v>
      </c>
      <c r="J16" s="167">
        <v>0</v>
      </c>
      <c r="K16" s="167"/>
      <c r="L16" s="167">
        <v>1011.94</v>
      </c>
      <c r="M16" s="167" t="s">
        <v>269</v>
      </c>
      <c r="N16" s="167">
        <v>54.21</v>
      </c>
      <c r="O16" s="167">
        <v>1486846800</v>
      </c>
      <c r="P16" s="167">
        <v>5.24</v>
      </c>
      <c r="Q16" s="167">
        <v>52</v>
      </c>
      <c r="R16" s="167">
        <v>5.43</v>
      </c>
    </row>
    <row r="17" spans="1:18" x14ac:dyDescent="0.25">
      <c r="A17" s="167">
        <v>53.73</v>
      </c>
      <c r="B17" s="167">
        <v>0.59</v>
      </c>
      <c r="C17" s="167">
        <v>34.17</v>
      </c>
      <c r="D17" s="8">
        <v>42777.625</v>
      </c>
      <c r="E17" s="167">
        <v>0.47</v>
      </c>
      <c r="F17" s="167" t="s">
        <v>268</v>
      </c>
      <c r="G17" s="167">
        <v>270.22000000000003</v>
      </c>
      <c r="H17" s="167"/>
      <c r="I17" s="167">
        <v>8.9999999999999998E-4</v>
      </c>
      <c r="J17" s="167">
        <v>0.01</v>
      </c>
      <c r="K17" s="167" t="s">
        <v>726</v>
      </c>
      <c r="L17" s="167">
        <v>1012.82</v>
      </c>
      <c r="M17" s="167" t="s">
        <v>269</v>
      </c>
      <c r="N17" s="167">
        <v>53.73</v>
      </c>
      <c r="O17" s="167">
        <v>1486850400</v>
      </c>
      <c r="P17" s="167">
        <v>10</v>
      </c>
      <c r="Q17" s="167">
        <v>52</v>
      </c>
      <c r="R17" s="167">
        <v>4.66</v>
      </c>
    </row>
    <row r="18" spans="1:18" x14ac:dyDescent="0.25">
      <c r="A18" s="167">
        <v>52.3</v>
      </c>
      <c r="B18" s="167">
        <v>0.73</v>
      </c>
      <c r="C18" s="167">
        <v>32.270000000000003</v>
      </c>
      <c r="D18" s="8">
        <v>42777.666666666664</v>
      </c>
      <c r="E18" s="167">
        <v>0.46</v>
      </c>
      <c r="F18" s="167" t="s">
        <v>268</v>
      </c>
      <c r="G18" s="167">
        <v>269.27999999999997</v>
      </c>
      <c r="H18" s="167"/>
      <c r="I18" s="167">
        <v>4.1999999999999997E-3</v>
      </c>
      <c r="J18" s="167">
        <v>0.17</v>
      </c>
      <c r="K18" s="167" t="s">
        <v>726</v>
      </c>
      <c r="L18" s="167">
        <v>1014.11</v>
      </c>
      <c r="M18" s="167" t="s">
        <v>482</v>
      </c>
      <c r="N18" s="167">
        <v>52.3</v>
      </c>
      <c r="O18" s="167">
        <v>1486854000</v>
      </c>
      <c r="P18" s="167">
        <v>5.62</v>
      </c>
      <c r="Q18" s="167">
        <v>73</v>
      </c>
      <c r="R18" s="167">
        <v>5.55</v>
      </c>
    </row>
    <row r="19" spans="1:18" x14ac:dyDescent="0.25">
      <c r="A19" s="167">
        <v>50.92</v>
      </c>
      <c r="B19" s="167">
        <v>0.92</v>
      </c>
      <c r="C19" s="167">
        <v>31.11</v>
      </c>
      <c r="D19" s="8">
        <v>42777.708333333336</v>
      </c>
      <c r="E19" s="167">
        <v>0.46</v>
      </c>
      <c r="F19" s="167" t="s">
        <v>726</v>
      </c>
      <c r="G19" s="167">
        <v>269.12</v>
      </c>
      <c r="H19" s="167"/>
      <c r="I19" s="167">
        <v>6.6E-3</v>
      </c>
      <c r="J19" s="167">
        <v>0.32</v>
      </c>
      <c r="K19" s="167" t="s">
        <v>726</v>
      </c>
      <c r="L19" s="167">
        <v>1015.58</v>
      </c>
      <c r="M19" s="167" t="s">
        <v>727</v>
      </c>
      <c r="N19" s="167">
        <v>50.92</v>
      </c>
      <c r="O19" s="167">
        <v>1486857600</v>
      </c>
      <c r="P19" s="167">
        <v>5.98</v>
      </c>
      <c r="Q19" s="167">
        <v>59</v>
      </c>
      <c r="R19" s="167">
        <v>3.68</v>
      </c>
    </row>
    <row r="20" spans="1:18" x14ac:dyDescent="0.25">
      <c r="A20" s="167">
        <v>49.22</v>
      </c>
      <c r="B20" s="167">
        <v>0.84</v>
      </c>
      <c r="C20" s="167">
        <v>29.57</v>
      </c>
      <c r="D20" s="8">
        <v>42777.75</v>
      </c>
      <c r="E20" s="167">
        <v>0.46</v>
      </c>
      <c r="F20" s="167" t="s">
        <v>726</v>
      </c>
      <c r="G20" s="167">
        <v>270.38</v>
      </c>
      <c r="H20" s="167"/>
      <c r="I20" s="167">
        <v>5.0000000000000001E-3</v>
      </c>
      <c r="J20" s="167">
        <v>0.21</v>
      </c>
      <c r="K20" s="167" t="s">
        <v>726</v>
      </c>
      <c r="L20" s="167">
        <v>1017.05</v>
      </c>
      <c r="M20" s="167" t="s">
        <v>727</v>
      </c>
      <c r="N20" s="167">
        <v>49.22</v>
      </c>
      <c r="O20" s="167">
        <v>1486861200</v>
      </c>
      <c r="P20" s="167">
        <v>6.79</v>
      </c>
      <c r="Q20" s="167">
        <v>23</v>
      </c>
      <c r="R20" s="167">
        <v>2.23</v>
      </c>
    </row>
    <row r="21" spans="1:18" x14ac:dyDescent="0.25">
      <c r="A21" s="167">
        <v>48.75</v>
      </c>
      <c r="B21" s="167">
        <v>0.74</v>
      </c>
      <c r="C21" s="167">
        <v>30.88</v>
      </c>
      <c r="D21" s="8">
        <v>42777.791666666664</v>
      </c>
      <c r="E21" s="167">
        <v>0.5</v>
      </c>
      <c r="F21" s="167" t="s">
        <v>267</v>
      </c>
      <c r="G21" s="167">
        <v>272.43</v>
      </c>
      <c r="H21" s="167"/>
      <c r="I21" s="167">
        <v>3.3E-3</v>
      </c>
      <c r="J21" s="167">
        <v>0.12</v>
      </c>
      <c r="K21" s="167" t="s">
        <v>726</v>
      </c>
      <c r="L21" s="167">
        <v>1018.63</v>
      </c>
      <c r="M21" s="167" t="s">
        <v>482</v>
      </c>
      <c r="N21" s="167">
        <v>48.75</v>
      </c>
      <c r="O21" s="167">
        <v>1486864800</v>
      </c>
      <c r="P21" s="167">
        <v>10</v>
      </c>
      <c r="Q21" s="167">
        <v>356</v>
      </c>
      <c r="R21" s="167">
        <v>0.89</v>
      </c>
    </row>
    <row r="22" spans="1:18" x14ac:dyDescent="0.25">
      <c r="A22" s="167">
        <v>47.25</v>
      </c>
      <c r="B22" s="167">
        <v>0.67</v>
      </c>
      <c r="C22" s="167">
        <v>32.81</v>
      </c>
      <c r="D22" s="8">
        <v>42777.833333333336</v>
      </c>
      <c r="E22" s="167">
        <v>0.56999999999999995</v>
      </c>
      <c r="F22" s="167" t="s">
        <v>267</v>
      </c>
      <c r="G22" s="167">
        <v>274.29000000000002</v>
      </c>
      <c r="H22" s="167"/>
      <c r="I22" s="167">
        <v>3.0999999999999999E-3</v>
      </c>
      <c r="J22" s="167">
        <v>0.11</v>
      </c>
      <c r="K22" s="167" t="s">
        <v>726</v>
      </c>
      <c r="L22" s="167">
        <v>1020.41</v>
      </c>
      <c r="M22" s="167" t="s">
        <v>482</v>
      </c>
      <c r="N22" s="167">
        <v>47.25</v>
      </c>
      <c r="O22" s="167">
        <v>1486868400</v>
      </c>
      <c r="P22" s="167">
        <v>6.21</v>
      </c>
      <c r="Q22" s="167">
        <v>99</v>
      </c>
      <c r="R22" s="167">
        <v>0.99</v>
      </c>
    </row>
    <row r="23" spans="1:18" x14ac:dyDescent="0.25">
      <c r="A23" s="167">
        <v>45.5</v>
      </c>
      <c r="B23" s="167">
        <v>0.84</v>
      </c>
      <c r="C23" s="167">
        <v>32.9</v>
      </c>
      <c r="D23" s="8">
        <v>42777.875</v>
      </c>
      <c r="E23" s="167">
        <v>0.61</v>
      </c>
      <c r="F23" s="167" t="s">
        <v>267</v>
      </c>
      <c r="G23" s="167">
        <v>275.55</v>
      </c>
      <c r="H23" s="167"/>
      <c r="I23" s="167">
        <v>2.8E-3</v>
      </c>
      <c r="J23" s="167">
        <v>0.09</v>
      </c>
      <c r="K23" s="167" t="s">
        <v>726</v>
      </c>
      <c r="L23" s="167">
        <v>1022.66</v>
      </c>
      <c r="M23" s="167" t="s">
        <v>482</v>
      </c>
      <c r="N23" s="167">
        <v>45.5</v>
      </c>
      <c r="O23" s="167">
        <v>1486872000</v>
      </c>
      <c r="P23" s="167">
        <v>5.38</v>
      </c>
      <c r="Q23" s="167">
        <v>150</v>
      </c>
      <c r="R23" s="167">
        <v>2.44</v>
      </c>
    </row>
    <row r="24" spans="1:18" x14ac:dyDescent="0.25">
      <c r="A24" s="167">
        <v>40.6</v>
      </c>
      <c r="B24" s="167">
        <v>0.89</v>
      </c>
      <c r="C24" s="167">
        <v>29.41</v>
      </c>
      <c r="D24" s="8">
        <v>42777.916666666664</v>
      </c>
      <c r="E24" s="167">
        <v>0.57999999999999996</v>
      </c>
      <c r="F24" s="167" t="s">
        <v>267</v>
      </c>
      <c r="G24" s="167">
        <v>276.62</v>
      </c>
      <c r="H24" s="167"/>
      <c r="I24" s="167">
        <v>4.3E-3</v>
      </c>
      <c r="J24" s="167">
        <v>0.17</v>
      </c>
      <c r="K24" s="167" t="s">
        <v>726</v>
      </c>
      <c r="L24" s="167">
        <v>1025.1500000000001</v>
      </c>
      <c r="M24" s="167" t="s">
        <v>482</v>
      </c>
      <c r="N24" s="167">
        <v>43.36</v>
      </c>
      <c r="O24" s="167">
        <v>1486875600</v>
      </c>
      <c r="P24" s="167">
        <v>5.33</v>
      </c>
      <c r="Q24" s="167">
        <v>72</v>
      </c>
      <c r="R24" s="167">
        <v>4.74</v>
      </c>
    </row>
    <row r="25" spans="1:18" x14ac:dyDescent="0.25">
      <c r="A25" s="167">
        <v>37.200000000000003</v>
      </c>
      <c r="B25" s="167">
        <v>0.91</v>
      </c>
      <c r="C25" s="167">
        <v>23.31</v>
      </c>
      <c r="D25" s="8">
        <v>42777.958333333336</v>
      </c>
      <c r="E25" s="167">
        <v>0.48</v>
      </c>
      <c r="F25" s="167" t="s">
        <v>267</v>
      </c>
      <c r="G25" s="167">
        <v>277.75</v>
      </c>
      <c r="H25" s="167"/>
      <c r="I25" s="167">
        <v>3.3999999999999998E-3</v>
      </c>
      <c r="J25" s="167">
        <v>0.12</v>
      </c>
      <c r="K25" s="167" t="s">
        <v>726</v>
      </c>
      <c r="L25" s="167">
        <v>1027.48</v>
      </c>
      <c r="M25" s="167" t="s">
        <v>482</v>
      </c>
      <c r="N25" s="167">
        <v>41.53</v>
      </c>
      <c r="O25" s="167">
        <v>1486879200</v>
      </c>
      <c r="P25" s="167">
        <v>5.6</v>
      </c>
      <c r="Q25" s="167">
        <v>65</v>
      </c>
      <c r="R25" s="167">
        <v>6.62</v>
      </c>
    </row>
    <row r="26" spans="1:18" x14ac:dyDescent="0.25">
      <c r="A26" s="167">
        <v>33.380000000000003</v>
      </c>
      <c r="B26" s="167">
        <v>0.99</v>
      </c>
      <c r="C26" s="167">
        <v>20.22</v>
      </c>
      <c r="D26" s="8">
        <v>42778</v>
      </c>
      <c r="E26" s="167">
        <v>0.48</v>
      </c>
      <c r="F26" s="167" t="s">
        <v>728</v>
      </c>
      <c r="G26" s="167">
        <v>279.07</v>
      </c>
      <c r="H26" s="167"/>
      <c r="I26" s="167">
        <v>1.6000000000000001E-3</v>
      </c>
      <c r="J26" s="167">
        <v>0.04</v>
      </c>
      <c r="K26" s="167" t="s">
        <v>726</v>
      </c>
      <c r="L26" s="167">
        <v>1029.3699999999999</v>
      </c>
      <c r="M26" s="167" t="s">
        <v>729</v>
      </c>
      <c r="N26" s="167">
        <v>38.33</v>
      </c>
      <c r="O26" s="167">
        <v>1486882800</v>
      </c>
      <c r="P26" s="167">
        <v>5.79</v>
      </c>
      <c r="Q26" s="167">
        <v>51</v>
      </c>
      <c r="R26" s="167">
        <v>6.59</v>
      </c>
    </row>
    <row r="27" spans="1:18" x14ac:dyDescent="0.25">
      <c r="A27" s="167">
        <v>31.43</v>
      </c>
      <c r="B27" s="167">
        <v>0.99</v>
      </c>
      <c r="C27" s="167">
        <v>21.93</v>
      </c>
      <c r="D27" s="8">
        <v>42778.041666666664</v>
      </c>
      <c r="E27" s="167">
        <v>0.56000000000000005</v>
      </c>
      <c r="F27" s="167" t="s">
        <v>728</v>
      </c>
      <c r="G27" s="167">
        <v>280.39</v>
      </c>
      <c r="H27" s="167"/>
      <c r="I27" s="167">
        <v>1.1000000000000001E-3</v>
      </c>
      <c r="J27" s="167">
        <v>0.02</v>
      </c>
      <c r="K27" s="167" t="s">
        <v>726</v>
      </c>
      <c r="L27" s="167">
        <v>1031.21</v>
      </c>
      <c r="M27" s="167" t="s">
        <v>729</v>
      </c>
      <c r="N27" s="167">
        <v>36.11</v>
      </c>
      <c r="O27" s="167">
        <v>1486886400</v>
      </c>
      <c r="P27" s="167">
        <v>5.63</v>
      </c>
      <c r="Q27" s="167">
        <v>61</v>
      </c>
      <c r="R27" s="167">
        <v>5.58</v>
      </c>
    </row>
    <row r="28" spans="1:18" x14ac:dyDescent="0.25">
      <c r="A28" s="167">
        <v>30.64</v>
      </c>
      <c r="B28" s="167">
        <v>1</v>
      </c>
      <c r="C28" s="167">
        <v>22.18</v>
      </c>
      <c r="D28" s="8">
        <v>42778.083333333336</v>
      </c>
      <c r="E28" s="167">
        <v>0.61</v>
      </c>
      <c r="F28" s="167" t="s">
        <v>728</v>
      </c>
      <c r="G28" s="167">
        <v>281.7</v>
      </c>
      <c r="H28" s="167"/>
      <c r="I28" s="167">
        <v>0</v>
      </c>
      <c r="J28" s="167">
        <v>0</v>
      </c>
      <c r="K28" s="167"/>
      <c r="L28" s="167">
        <v>1033.01</v>
      </c>
      <c r="M28" s="167" t="s">
        <v>729</v>
      </c>
      <c r="N28" s="167">
        <v>34.19</v>
      </c>
      <c r="O28" s="167">
        <v>1486890000</v>
      </c>
      <c r="P28" s="167">
        <v>5.33</v>
      </c>
      <c r="Q28" s="167">
        <v>82</v>
      </c>
      <c r="R28" s="167">
        <v>3.98</v>
      </c>
    </row>
    <row r="29" spans="1:18" x14ac:dyDescent="0.25">
      <c r="A29" s="167">
        <v>27.42</v>
      </c>
      <c r="B29" s="167">
        <v>1</v>
      </c>
      <c r="C29" s="167">
        <v>20.52</v>
      </c>
      <c r="D29" s="8">
        <v>42778.125</v>
      </c>
      <c r="E29" s="167">
        <v>0.64</v>
      </c>
      <c r="F29" s="167" t="s">
        <v>728</v>
      </c>
      <c r="G29" s="167">
        <v>282.64999999999998</v>
      </c>
      <c r="H29" s="167">
        <v>0.01</v>
      </c>
      <c r="I29" s="167">
        <v>1.1999999999999999E-3</v>
      </c>
      <c r="J29" s="167">
        <v>0.02</v>
      </c>
      <c r="K29" s="167" t="s">
        <v>730</v>
      </c>
      <c r="L29" s="167">
        <v>1033.94</v>
      </c>
      <c r="M29" s="167" t="s">
        <v>729</v>
      </c>
      <c r="N29" s="167">
        <v>31.29</v>
      </c>
      <c r="O29" s="167">
        <v>1486893600</v>
      </c>
      <c r="P29" s="167">
        <v>7.11</v>
      </c>
      <c r="Q29" s="167">
        <v>83</v>
      </c>
      <c r="R29" s="167">
        <v>3.86</v>
      </c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5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42777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871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872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873</v>
      </c>
      <c r="J20" s="152" t="s">
        <v>87</v>
      </c>
      <c r="M20" s="152" t="s">
        <v>214</v>
      </c>
    </row>
    <row r="21" spans="3:13" x14ac:dyDescent="0.25">
      <c r="C21" t="s">
        <v>874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875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876</v>
      </c>
      <c r="J23" s="162" t="s">
        <v>95</v>
      </c>
      <c r="M23" s="152" t="str">
        <f>"-07"</f>
        <v>-07</v>
      </c>
    </row>
    <row r="24" spans="3:13" x14ac:dyDescent="0.25">
      <c r="C24" t="s">
        <v>877</v>
      </c>
      <c r="J24" s="152" t="s">
        <v>108</v>
      </c>
      <c r="M24" s="152" t="s">
        <v>110</v>
      </c>
    </row>
    <row r="25" spans="3:13" x14ac:dyDescent="0.25">
      <c r="C25" t="s">
        <v>878</v>
      </c>
      <c r="J25" s="152" t="s">
        <v>150</v>
      </c>
      <c r="M25" s="152" t="b">
        <v>1</v>
      </c>
    </row>
    <row r="26" spans="3:13" x14ac:dyDescent="0.25">
      <c r="C26" t="s">
        <v>879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C:\Users\stu\Documents\GitHub\eaglep3-reporting\EC\2017-02-11-refined-times.txt</v>
      </c>
    </row>
    <row r="27" spans="3:13" x14ac:dyDescent="0.25">
      <c r="C27" t="s">
        <v>880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C:\Users\stu\Documents\GitHub\eaglep3-reporting\EC\2017-02-11-Enforcements.txt</v>
      </c>
    </row>
    <row r="28" spans="3:13" x14ac:dyDescent="0.25">
      <c r="C28" t="s">
        <v>881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C:\Users\stu\Documents\GitHub\eaglep3-reporting\EC\2017-02-11-Runs-refined.txt</v>
      </c>
    </row>
    <row r="29" spans="3:13" x14ac:dyDescent="0.25">
      <c r="C29" t="s">
        <v>882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C:\Users\stu\Documents\GitHub\eaglep3-reporting\EC\2017-02-11-Trips.txt</v>
      </c>
    </row>
    <row r="30" spans="3:13" x14ac:dyDescent="0.25">
      <c r="C30" t="s">
        <v>883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C:\Users\stu\Documents\GitHub\eaglep3-reporting\EC\2017-02-11-Weather.txt</v>
      </c>
    </row>
    <row r="31" spans="3:13" x14ac:dyDescent="0.25">
      <c r="C31" t="s">
        <v>884</v>
      </c>
      <c r="J31" s="152" t="s">
        <v>212</v>
      </c>
      <c r="M31" s="152" t="s">
        <v>213</v>
      </c>
    </row>
    <row r="32" spans="3:13" x14ac:dyDescent="0.25">
      <c r="C32" t="s">
        <v>885</v>
      </c>
    </row>
    <row r="33" spans="3:3" x14ac:dyDescent="0.25">
      <c r="C33" t="s">
        <v>886</v>
      </c>
    </row>
    <row r="34" spans="3:3" x14ac:dyDescent="0.25">
      <c r="C34" t="s">
        <v>887</v>
      </c>
    </row>
    <row r="35" spans="3:3" x14ac:dyDescent="0.25">
      <c r="C35" t="s">
        <v>888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O17" sqref="O1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364</v>
      </c>
      <c r="B1" t="str">
        <f t="shared" ref="B1:B30" si="0">MID(A1,6,23)</f>
        <v>2017/02/07 12:00:56.685</v>
      </c>
      <c r="C1" t="e">
        <f>ABS(B1-#REF!)</f>
        <v>#REF!</v>
      </c>
    </row>
    <row r="2" spans="1:3" x14ac:dyDescent="0.25">
      <c r="A2" t="s">
        <v>365</v>
      </c>
      <c r="B2" s="20" t="str">
        <f t="shared" si="0"/>
        <v>2017/02/07 13:55:01.354</v>
      </c>
      <c r="C2">
        <f>ABS(B2-B1)</f>
        <v>7.9220706022169907E-2</v>
      </c>
    </row>
    <row r="3" spans="1:3" x14ac:dyDescent="0.25">
      <c r="A3" t="s">
        <v>366</v>
      </c>
      <c r="B3" s="20" t="str">
        <f t="shared" si="0"/>
        <v>2017/02/07 13:55:01.553</v>
      </c>
      <c r="C3" s="20">
        <f t="shared" ref="C3:C30" si="1">ABS(B3-B2)</f>
        <v>2.3032407625578344E-6</v>
      </c>
    </row>
    <row r="4" spans="1:3" x14ac:dyDescent="0.25">
      <c r="A4" t="s">
        <v>367</v>
      </c>
      <c r="B4" s="20" t="str">
        <f t="shared" si="0"/>
        <v>2017/02/07 13:55:51.548</v>
      </c>
      <c r="C4" s="20">
        <f t="shared" si="1"/>
        <v>5.7864583504851907E-4</v>
      </c>
    </row>
    <row r="5" spans="1:3" x14ac:dyDescent="0.25">
      <c r="A5" t="s">
        <v>368</v>
      </c>
      <c r="B5" s="20" t="str">
        <f t="shared" si="0"/>
        <v>2017/02/07 13:55:55.355</v>
      </c>
      <c r="C5" s="20">
        <f t="shared" si="1"/>
        <v>4.4062493543606251E-5</v>
      </c>
    </row>
    <row r="6" spans="1:3" x14ac:dyDescent="0.25">
      <c r="A6" t="s">
        <v>369</v>
      </c>
      <c r="B6" s="20" t="str">
        <f t="shared" si="0"/>
        <v>2017/02/07 14:47:08.050</v>
      </c>
      <c r="C6" s="20">
        <f t="shared" si="1"/>
        <v>3.5563599543820601E-2</v>
      </c>
    </row>
    <row r="7" spans="1:3" x14ac:dyDescent="0.25">
      <c r="A7" t="s">
        <v>370</v>
      </c>
      <c r="B7" s="20" t="str">
        <f t="shared" si="0"/>
        <v>2017/02/07 14:47:11.537</v>
      </c>
      <c r="C7" s="20">
        <f t="shared" si="1"/>
        <v>4.035879101138562E-5</v>
      </c>
    </row>
    <row r="8" spans="1:3" x14ac:dyDescent="0.25">
      <c r="A8" t="s">
        <v>371</v>
      </c>
      <c r="B8" s="20" t="str">
        <f t="shared" si="0"/>
        <v>2017/02/07 15:36:46.745</v>
      </c>
      <c r="C8" s="20">
        <f t="shared" si="1"/>
        <v>3.443527778290445E-2</v>
      </c>
    </row>
    <row r="9" spans="1:3" x14ac:dyDescent="0.25">
      <c r="A9" t="s">
        <v>372</v>
      </c>
      <c r="B9" s="20" t="str">
        <f t="shared" si="0"/>
        <v>2017/02/07 15:36:46.852</v>
      </c>
      <c r="C9" s="20">
        <f t="shared" si="1"/>
        <v>1.2384189176373184E-6</v>
      </c>
    </row>
    <row r="10" spans="1:3" x14ac:dyDescent="0.25">
      <c r="A10" t="s">
        <v>373</v>
      </c>
      <c r="B10" s="20" t="str">
        <f t="shared" si="0"/>
        <v>2017/02/07 15:36:46.859</v>
      </c>
      <c r="C10" s="20">
        <f t="shared" si="1"/>
        <v>8.1025063991546631E-8</v>
      </c>
    </row>
    <row r="11" spans="1:3" x14ac:dyDescent="0.25">
      <c r="A11" t="s">
        <v>374</v>
      </c>
      <c r="B11" s="20" t="str">
        <f t="shared" si="0"/>
        <v>2017/02/07 16:06:13.604</v>
      </c>
      <c r="C11" s="20">
        <f t="shared" si="1"/>
        <v>2.0448437498998828E-2</v>
      </c>
    </row>
    <row r="12" spans="1:3" x14ac:dyDescent="0.25">
      <c r="A12" t="s">
        <v>375</v>
      </c>
      <c r="B12" s="20" t="str">
        <f t="shared" si="0"/>
        <v>2017/02/07 16:06:14.075</v>
      </c>
      <c r="C12" s="20">
        <f t="shared" si="1"/>
        <v>5.4513875511474907E-6</v>
      </c>
    </row>
    <row r="13" spans="1:3" x14ac:dyDescent="0.25">
      <c r="A13" t="s">
        <v>376</v>
      </c>
      <c r="B13" s="20" t="str">
        <f t="shared" si="0"/>
        <v>2017/02/07 16:06:15.192</v>
      </c>
      <c r="C13" s="20">
        <f t="shared" si="1"/>
        <v>1.2928241631016135E-5</v>
      </c>
    </row>
    <row r="14" spans="1:3" x14ac:dyDescent="0.25">
      <c r="A14" t="s">
        <v>377</v>
      </c>
      <c r="B14" s="20" t="str">
        <f t="shared" si="0"/>
        <v>2017/02/07 16:30:46.483</v>
      </c>
      <c r="C14" s="20">
        <f t="shared" si="1"/>
        <v>1.7028831018251367E-2</v>
      </c>
    </row>
    <row r="15" spans="1:3" x14ac:dyDescent="0.25">
      <c r="A15" t="s">
        <v>378</v>
      </c>
      <c r="B15" s="20" t="str">
        <f t="shared" si="0"/>
        <v>2017/02/07 17:34:23.659</v>
      </c>
      <c r="C15" s="20">
        <f t="shared" si="1"/>
        <v>4.4180277778650634E-2</v>
      </c>
    </row>
    <row r="16" spans="1:3" x14ac:dyDescent="0.25">
      <c r="A16" t="s">
        <v>379</v>
      </c>
      <c r="B16" s="20" t="str">
        <f t="shared" si="0"/>
        <v>2017/02/07 17:45:09.428</v>
      </c>
      <c r="C16" s="20">
        <f t="shared" si="1"/>
        <v>7.4741782373166643E-3</v>
      </c>
    </row>
    <row r="17" spans="1:3" x14ac:dyDescent="0.25">
      <c r="A17" t="s">
        <v>380</v>
      </c>
      <c r="B17" s="20" t="str">
        <f t="shared" si="0"/>
        <v>2017/02/07 17:45:10.066</v>
      </c>
      <c r="C17" s="20">
        <f t="shared" si="1"/>
        <v>7.3842602432705462E-6</v>
      </c>
    </row>
    <row r="18" spans="1:3" x14ac:dyDescent="0.25">
      <c r="A18" t="s">
        <v>381</v>
      </c>
      <c r="B18" s="20" t="str">
        <f t="shared" si="0"/>
        <v>2017/02/07 18:34:46.658</v>
      </c>
      <c r="C18" s="20">
        <f t="shared" si="1"/>
        <v>3.4451296298357192E-2</v>
      </c>
    </row>
    <row r="19" spans="1:3" x14ac:dyDescent="0.25">
      <c r="A19" t="s">
        <v>382</v>
      </c>
      <c r="B19" s="20" t="str">
        <f t="shared" si="0"/>
        <v>2017/02/07 18:34:47.434</v>
      </c>
      <c r="C19" s="20">
        <f t="shared" si="1"/>
        <v>8.9814784587360919E-6</v>
      </c>
    </row>
    <row r="20" spans="1:3" x14ac:dyDescent="0.25">
      <c r="A20" t="s">
        <v>383</v>
      </c>
      <c r="B20" s="20" t="str">
        <f t="shared" si="0"/>
        <v>2017/02/07 18:55:06.290</v>
      </c>
      <c r="C20" s="20">
        <f t="shared" si="1"/>
        <v>1.4107129631156567E-2</v>
      </c>
    </row>
    <row r="21" spans="1:3" x14ac:dyDescent="0.25">
      <c r="A21" t="s">
        <v>384</v>
      </c>
      <c r="B21" s="20" t="str">
        <f t="shared" si="0"/>
        <v>2017/02/07 18:55:06.899</v>
      </c>
      <c r="C21" s="20">
        <f t="shared" si="1"/>
        <v>7.0486130425706506E-6</v>
      </c>
    </row>
    <row r="22" spans="1:3" x14ac:dyDescent="0.25">
      <c r="A22" t="s">
        <v>385</v>
      </c>
      <c r="B22" s="20" t="str">
        <f t="shared" si="0"/>
        <v>2017/02/07 20:05:48.057</v>
      </c>
      <c r="C22" s="20">
        <f t="shared" si="1"/>
        <v>4.9087476851127576E-2</v>
      </c>
    </row>
    <row r="23" spans="1:3" x14ac:dyDescent="0.25">
      <c r="A23" t="s">
        <v>386</v>
      </c>
      <c r="B23" s="20" t="str">
        <f t="shared" si="0"/>
        <v>2017/02/07 20:05:48.181</v>
      </c>
      <c r="C23" s="20">
        <f t="shared" si="1"/>
        <v>1.4351826393976808E-6</v>
      </c>
    </row>
    <row r="24" spans="1:3" x14ac:dyDescent="0.25">
      <c r="A24" t="s">
        <v>387</v>
      </c>
      <c r="B24" s="20" t="str">
        <f t="shared" si="0"/>
        <v>2017/02/07 20:34:23.331</v>
      </c>
      <c r="C24" s="20">
        <f t="shared" si="1"/>
        <v>1.9851273151289206E-2</v>
      </c>
    </row>
    <row r="25" spans="1:3" x14ac:dyDescent="0.25">
      <c r="A25" t="s">
        <v>388</v>
      </c>
      <c r="B25" s="20" t="str">
        <f t="shared" si="0"/>
        <v>2017/02/07 20:36:24.264</v>
      </c>
      <c r="C25" s="20">
        <f t="shared" si="1"/>
        <v>1.3996874986332841E-3</v>
      </c>
    </row>
    <row r="26" spans="1:3" x14ac:dyDescent="0.25">
      <c r="A26" t="s">
        <v>389</v>
      </c>
      <c r="B26" s="20" t="str">
        <f t="shared" si="0"/>
        <v>2017/02/07 20:36:24.468</v>
      </c>
      <c r="C26" s="20">
        <f t="shared" si="1"/>
        <v>2.3611137294210494E-6</v>
      </c>
    </row>
    <row r="27" spans="1:3" x14ac:dyDescent="0.25">
      <c r="A27" t="s">
        <v>390</v>
      </c>
      <c r="B27" s="20" t="str">
        <f t="shared" si="0"/>
        <v>2017/02/07 20:36:24.508</v>
      </c>
      <c r="C27" s="20">
        <f t="shared" si="1"/>
        <v>4.6296190703287721E-7</v>
      </c>
    </row>
    <row r="28" spans="1:3" x14ac:dyDescent="0.25">
      <c r="A28" t="s">
        <v>391</v>
      </c>
      <c r="B28" s="20" t="str">
        <f t="shared" si="0"/>
        <v>2017/02/07 22:35:57.811</v>
      </c>
      <c r="C28" s="20">
        <f t="shared" si="1"/>
        <v>8.3024340274278075E-2</v>
      </c>
    </row>
    <row r="29" spans="1:3" x14ac:dyDescent="0.25">
      <c r="A29" t="s">
        <v>392</v>
      </c>
      <c r="B29" s="20" t="str">
        <f t="shared" si="0"/>
        <v>2017/02/07 22:35:57.849</v>
      </c>
      <c r="C29" s="20">
        <f t="shared" si="1"/>
        <v>4.3981708586215973E-7</v>
      </c>
    </row>
    <row r="30" spans="1:3" x14ac:dyDescent="0.25">
      <c r="A30" t="s">
        <v>393</v>
      </c>
      <c r="B30" s="20" t="str">
        <f t="shared" si="0"/>
        <v>2017/02/07 22:35:57.963</v>
      </c>
      <c r="C30" s="20">
        <f t="shared" si="1"/>
        <v>1.319443981628865E-6</v>
      </c>
    </row>
    <row r="31" spans="1:3" x14ac:dyDescent="0.25">
      <c r="A31" t="s">
        <v>394</v>
      </c>
      <c r="B31" s="20" t="str">
        <f t="shared" ref="B31:B32" si="2">MID(A31,6,23)</f>
        <v>2017/02/07 23:09:55.846</v>
      </c>
      <c r="C31" s="20">
        <f t="shared" ref="C31:C32" si="3">ABS(B31-B30)</f>
        <v>2.3586608796904329E-2</v>
      </c>
    </row>
    <row r="32" spans="1:3" x14ac:dyDescent="0.25">
      <c r="A32" t="s">
        <v>395</v>
      </c>
      <c r="B32" s="20" t="str">
        <f t="shared" si="2"/>
        <v>2017/02/07 23:09:57.307</v>
      </c>
      <c r="C32" s="20">
        <f t="shared" si="3"/>
        <v>1.6909718397073448E-5</v>
      </c>
    </row>
    <row r="33" spans="1:3" x14ac:dyDescent="0.25">
      <c r="A33" t="s">
        <v>396</v>
      </c>
      <c r="B33" s="20" t="str">
        <f t="shared" ref="B33:B49" si="4">MID(A33,6,23)</f>
        <v>2017/02/07 23:09:58.017</v>
      </c>
      <c r="C33" s="20">
        <f t="shared" ref="C33:C49" si="5">ABS(B33-B32)</f>
        <v>8.2175974966958165E-6</v>
      </c>
    </row>
    <row r="34" spans="1:3" x14ac:dyDescent="0.25">
      <c r="A34" t="s">
        <v>397</v>
      </c>
      <c r="B34" s="20" t="str">
        <f t="shared" si="4"/>
        <v>2017/02/07 23:26:24.807</v>
      </c>
      <c r="C34" s="20">
        <f t="shared" si="5"/>
        <v>1.1421180555771571E-2</v>
      </c>
    </row>
    <row r="35" spans="1:3" x14ac:dyDescent="0.25">
      <c r="A35" t="s">
        <v>398</v>
      </c>
      <c r="B35" s="20" t="str">
        <f t="shared" si="4"/>
        <v>2017/02/07 23:26:24.850</v>
      </c>
      <c r="C35" s="20">
        <f t="shared" si="5"/>
        <v>4.9768277676776052E-7</v>
      </c>
    </row>
    <row r="36" spans="1:3" x14ac:dyDescent="0.25">
      <c r="A36" t="s">
        <v>399</v>
      </c>
      <c r="B36" s="20" t="str">
        <f t="shared" si="4"/>
        <v>2017/02/07 23:26:24.964</v>
      </c>
      <c r="C36" s="20">
        <f t="shared" si="5"/>
        <v>1.319443981628865E-6</v>
      </c>
    </row>
    <row r="37" spans="1:3" x14ac:dyDescent="0.25">
      <c r="A37" t="s">
        <v>400</v>
      </c>
      <c r="B37" s="20" t="str">
        <f t="shared" si="4"/>
        <v>2017/02/08 00:04:18.849</v>
      </c>
      <c r="C37" s="20">
        <f t="shared" si="5"/>
        <v>2.6318113428715151E-2</v>
      </c>
    </row>
    <row r="38" spans="1:3" x14ac:dyDescent="0.25">
      <c r="A38" t="s">
        <v>401</v>
      </c>
      <c r="B38" s="20" t="str">
        <f t="shared" si="4"/>
        <v>2017/02/08 00:04:19.016</v>
      </c>
      <c r="C38" s="20">
        <f t="shared" si="5"/>
        <v>1.9328654161654413E-6</v>
      </c>
    </row>
    <row r="39" spans="1:3" x14ac:dyDescent="0.25">
      <c r="A39" t="s">
        <v>402</v>
      </c>
      <c r="B39" s="20" t="str">
        <f t="shared" si="4"/>
        <v>2017/02/08 00:04:19.306</v>
      </c>
      <c r="C39" s="20">
        <f t="shared" si="5"/>
        <v>3.3564865589141846E-6</v>
      </c>
    </row>
    <row r="40" spans="1:3" x14ac:dyDescent="0.25">
      <c r="A40" t="s">
        <v>403</v>
      </c>
      <c r="B40" s="20" t="str">
        <f t="shared" si="4"/>
        <v>2017/02/08 00:05:21.847</v>
      </c>
      <c r="C40" s="20">
        <f t="shared" si="5"/>
        <v>7.2385416569886729E-4</v>
      </c>
    </row>
    <row r="41" spans="1:3" x14ac:dyDescent="0.25">
      <c r="A41" t="s">
        <v>404</v>
      </c>
      <c r="B41" s="20" t="str">
        <f t="shared" si="4"/>
        <v>2017/02/08 00:05:22.014</v>
      </c>
      <c r="C41" s="20">
        <f t="shared" si="5"/>
        <v>1.9328654161654413E-6</v>
      </c>
    </row>
    <row r="42" spans="1:3" x14ac:dyDescent="0.25">
      <c r="A42" t="s">
        <v>405</v>
      </c>
      <c r="B42" s="20" t="str">
        <f t="shared" si="4"/>
        <v>2017/02/08 00:05:22.303</v>
      </c>
      <c r="C42" s="20">
        <f t="shared" si="5"/>
        <v>3.3449105103500187E-6</v>
      </c>
    </row>
    <row r="43" spans="1:3" x14ac:dyDescent="0.25">
      <c r="A43" t="s">
        <v>406</v>
      </c>
      <c r="B43" s="20" t="str">
        <f t="shared" si="4"/>
        <v>2017/02/08 00:23:05.855</v>
      </c>
      <c r="C43" s="20">
        <f t="shared" si="5"/>
        <v>1.2309629630181007E-2</v>
      </c>
    </row>
    <row r="44" spans="1:3" x14ac:dyDescent="0.25">
      <c r="A44" t="s">
        <v>407</v>
      </c>
      <c r="B44" s="20" t="str">
        <f t="shared" si="4"/>
        <v>2017/02/08 00:23:05.963</v>
      </c>
      <c r="C44" s="20">
        <f t="shared" si="5"/>
        <v>1.2500022421590984E-6</v>
      </c>
    </row>
    <row r="45" spans="1:3" x14ac:dyDescent="0.25">
      <c r="A45" t="s">
        <v>408</v>
      </c>
      <c r="B45" s="20" t="str">
        <f t="shared" si="4"/>
        <v>2017/02/08 00:23:06.816</v>
      </c>
      <c r="C45" s="20">
        <f t="shared" si="5"/>
        <v>9.872681403066963E-6</v>
      </c>
    </row>
    <row r="46" spans="1:3" x14ac:dyDescent="0.25">
      <c r="A46" t="s">
        <v>409</v>
      </c>
      <c r="B46" s="20" t="str">
        <f t="shared" si="4"/>
        <v>2017/02/08 00:25:34.816</v>
      </c>
      <c r="C46" s="20">
        <f t="shared" si="5"/>
        <v>1.7129629632108845E-3</v>
      </c>
    </row>
    <row r="47" spans="1:3" x14ac:dyDescent="0.25">
      <c r="A47" t="s">
        <v>410</v>
      </c>
      <c r="B47" s="20" t="str">
        <f t="shared" si="4"/>
        <v>2017/02/08 00:25:34.849</v>
      </c>
      <c r="C47" s="20">
        <f t="shared" si="5"/>
        <v>3.8194411899894476E-7</v>
      </c>
    </row>
    <row r="48" spans="1:3" x14ac:dyDescent="0.25">
      <c r="A48" t="s">
        <v>411</v>
      </c>
      <c r="B48" s="20" t="str">
        <f t="shared" si="4"/>
        <v>2017/02/08 00:25:34.957</v>
      </c>
      <c r="C48" s="20">
        <f t="shared" si="5"/>
        <v>1.2500022421590984E-6</v>
      </c>
    </row>
    <row r="49" spans="1:3" x14ac:dyDescent="0.25">
      <c r="A49" t="s">
        <v>412</v>
      </c>
      <c r="B49" s="20" t="str">
        <f t="shared" si="4"/>
        <v>2017/02/08 01:15:29.705</v>
      </c>
      <c r="C49" s="20">
        <f t="shared" si="5"/>
        <v>3.4661435187445022E-2</v>
      </c>
    </row>
    <row r="50" spans="1:3" x14ac:dyDescent="0.25">
      <c r="A50" t="s">
        <v>413</v>
      </c>
      <c r="B50" s="20" t="str">
        <f t="shared" ref="B50:B54" si="6">MID(A50,6,23)</f>
        <v>2017/02/08 01:37:02.029</v>
      </c>
      <c r="C50" s="20">
        <f t="shared" ref="C50:C54" si="7">ABS(B50-B49)</f>
        <v>1.4957453699025791E-2</v>
      </c>
    </row>
    <row r="51" spans="1:3" x14ac:dyDescent="0.25">
      <c r="A51" t="s">
        <v>414</v>
      </c>
      <c r="B51" s="20" t="str">
        <f t="shared" si="6"/>
        <v>2017/02/08 02:06:00.018</v>
      </c>
      <c r="C51" s="20">
        <f t="shared" si="7"/>
        <v>2.0115613428060897E-2</v>
      </c>
    </row>
    <row r="52" spans="1:3" x14ac:dyDescent="0.25">
      <c r="A52" t="s">
        <v>415</v>
      </c>
      <c r="B52" s="20" t="str">
        <f t="shared" si="6"/>
        <v>2017/02/08 02:06:01.465</v>
      </c>
      <c r="C52" s="20">
        <f t="shared" si="7"/>
        <v>1.6747682821005583E-5</v>
      </c>
    </row>
    <row r="53" spans="1:3" x14ac:dyDescent="0.25">
      <c r="A53" t="s">
        <v>416</v>
      </c>
      <c r="B53" s="20" t="str">
        <f t="shared" si="6"/>
        <v>2017/02/08 02:06:01.888</v>
      </c>
      <c r="C53" s="20">
        <f t="shared" si="7"/>
        <v>4.8958318075165153E-6</v>
      </c>
    </row>
    <row r="54" spans="1:3" x14ac:dyDescent="0.25">
      <c r="A54" t="s">
        <v>417</v>
      </c>
      <c r="B54" s="20" t="str">
        <f t="shared" si="6"/>
        <v>2017/02/08 02:06:02.284</v>
      </c>
      <c r="C54" s="20">
        <f t="shared" si="7"/>
        <v>4.5833367039449513E-6</v>
      </c>
    </row>
    <row r="55" spans="1:3" x14ac:dyDescent="0.25">
      <c r="A55" t="s">
        <v>418</v>
      </c>
      <c r="B55" s="20" t="str">
        <f t="shared" ref="B55:B62" si="8">MID(A55,6,23)</f>
        <v>2017/02/08 02:06:41.308</v>
      </c>
      <c r="C55" s="20">
        <f t="shared" ref="C55:C62" si="9">ABS(B55-B54)</f>
        <v>4.5166666677687317E-4</v>
      </c>
    </row>
    <row r="56" spans="1:3" x14ac:dyDescent="0.25">
      <c r="A56" t="s">
        <v>419</v>
      </c>
      <c r="B56" s="20" t="str">
        <f t="shared" si="8"/>
        <v>2017/02/08 02:06:41.848</v>
      </c>
      <c r="C56" s="20">
        <f t="shared" si="9"/>
        <v>6.2499966588802636E-6</v>
      </c>
    </row>
    <row r="57" spans="1:3" x14ac:dyDescent="0.25">
      <c r="A57" t="s">
        <v>420</v>
      </c>
      <c r="B57" s="20" t="str">
        <f t="shared" si="8"/>
        <v>2017/02/08 02:06:42.018</v>
      </c>
      <c r="C57" s="20">
        <f t="shared" si="9"/>
        <v>1.9675935618579388E-6</v>
      </c>
    </row>
    <row r="58" spans="1:3" x14ac:dyDescent="0.25">
      <c r="A58" t="s">
        <v>421</v>
      </c>
      <c r="B58" s="20" t="str">
        <f t="shared" si="8"/>
        <v>2017/02/08 02:41:52.549</v>
      </c>
      <c r="C58" s="20">
        <f t="shared" si="9"/>
        <v>2.4427442134765442E-2</v>
      </c>
    </row>
    <row r="59" spans="1:3" x14ac:dyDescent="0.25">
      <c r="A59" t="s">
        <v>422</v>
      </c>
      <c r="B59" s="20" t="str">
        <f t="shared" si="8"/>
        <v>2017/02/08 02:41:52.827</v>
      </c>
      <c r="C59" s="20">
        <f t="shared" si="9"/>
        <v>3.217588528059423E-6</v>
      </c>
    </row>
    <row r="60" spans="1:3" x14ac:dyDescent="0.25">
      <c r="A60" t="s">
        <v>423</v>
      </c>
      <c r="B60" s="20" t="str">
        <f t="shared" si="8"/>
        <v>2017/02/08 02:41:53.183</v>
      </c>
      <c r="C60" s="20">
        <f t="shared" si="9"/>
        <v>4.1203747969120741E-6</v>
      </c>
    </row>
    <row r="61" spans="1:3" x14ac:dyDescent="0.25">
      <c r="A61" t="s">
        <v>424</v>
      </c>
      <c r="B61" s="20" t="str">
        <f t="shared" si="8"/>
        <v>2017/02/08 08:41:20.651</v>
      </c>
      <c r="C61" s="20">
        <f t="shared" si="9"/>
        <v>0.24962347222026438</v>
      </c>
    </row>
    <row r="62" spans="1:3" x14ac:dyDescent="0.25">
      <c r="A62" t="s">
        <v>425</v>
      </c>
      <c r="B62" s="20" t="str">
        <f t="shared" si="8"/>
        <v>2017/02/08 08:41:20.659</v>
      </c>
      <c r="C62" s="20">
        <f t="shared" si="9"/>
        <v>9.2593836598098278E-8</v>
      </c>
    </row>
    <row r="63" spans="1:3" x14ac:dyDescent="0.25">
      <c r="B63" s="20"/>
      <c r="C63" s="20"/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2017-02-13T18:26:26Z</dcterms:modified>
</cp:coreProperties>
</file>