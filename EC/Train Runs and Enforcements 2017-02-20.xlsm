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Enforcements!$A$6:$AC$56</definedName>
    <definedName name="_xlnm._FilterDatabase" localSheetId="2" hidden="1">'Missing Trips'!$A$2:$J$118</definedName>
    <definedName name="_xlnm._FilterDatabase" localSheetId="0" hidden="1">'Train Runs'!$A$12:$AG$242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Runs'!$A$12:$J$52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3" i="9" l="1"/>
  <c r="B64" i="9"/>
  <c r="C64" i="9"/>
  <c r="B65" i="9"/>
  <c r="B66" i="9"/>
  <c r="C67" i="9" s="1"/>
  <c r="B67" i="9"/>
  <c r="B68" i="9"/>
  <c r="C69" i="9" s="1"/>
  <c r="C68" i="9"/>
  <c r="B69" i="9"/>
  <c r="B70" i="9"/>
  <c r="B71" i="9"/>
  <c r="C72" i="9" s="1"/>
  <c r="B72" i="9"/>
  <c r="B73" i="9"/>
  <c r="B74" i="9"/>
  <c r="C75" i="9" s="1"/>
  <c r="B75" i="9"/>
  <c r="B76" i="9"/>
  <c r="C77" i="9" s="1"/>
  <c r="C76" i="9"/>
  <c r="B77" i="9"/>
  <c r="B78" i="9"/>
  <c r="C78" i="9"/>
  <c r="B79" i="9"/>
  <c r="C80" i="9" s="1"/>
  <c r="B80" i="9"/>
  <c r="B81" i="9"/>
  <c r="B82" i="9"/>
  <c r="C83" i="9" s="1"/>
  <c r="B83" i="9"/>
  <c r="B84" i="9"/>
  <c r="C85" i="9" s="1"/>
  <c r="C84" i="9"/>
  <c r="B85" i="9"/>
  <c r="B86" i="9"/>
  <c r="C86" i="9"/>
  <c r="B87" i="9"/>
  <c r="C88" i="9" s="1"/>
  <c r="B88" i="9"/>
  <c r="B89" i="9"/>
  <c r="B90" i="9"/>
  <c r="C91" i="9" s="1"/>
  <c r="B91" i="9"/>
  <c r="B92" i="9"/>
  <c r="C93" i="9" s="1"/>
  <c r="C92" i="9"/>
  <c r="B93" i="9"/>
  <c r="B94" i="9"/>
  <c r="C94" i="9"/>
  <c r="B95" i="9"/>
  <c r="C96" i="9" s="1"/>
  <c r="B96" i="9"/>
  <c r="B97" i="9"/>
  <c r="B98" i="9"/>
  <c r="C99" i="9" s="1"/>
  <c r="B99" i="9"/>
  <c r="B100" i="9"/>
  <c r="C101" i="9" s="1"/>
  <c r="C100" i="9"/>
  <c r="B101" i="9"/>
  <c r="B102" i="9"/>
  <c r="C102" i="9"/>
  <c r="B103" i="9"/>
  <c r="C104" i="9" s="1"/>
  <c r="B104" i="9"/>
  <c r="B105" i="9"/>
  <c r="B106" i="9"/>
  <c r="C107" i="9" s="1"/>
  <c r="B107" i="9"/>
  <c r="B108" i="9"/>
  <c r="C109" i="9" s="1"/>
  <c r="C108" i="9"/>
  <c r="B109" i="9"/>
  <c r="B110" i="9"/>
  <c r="C110" i="9"/>
  <c r="B111" i="9"/>
  <c r="C112" i="9" s="1"/>
  <c r="B112" i="9"/>
  <c r="B113" i="9"/>
  <c r="B114" i="9"/>
  <c r="C115" i="9" s="1"/>
  <c r="B115" i="9"/>
  <c r="B116" i="9"/>
  <c r="C117" i="9" s="1"/>
  <c r="C116" i="9"/>
  <c r="B117" i="9"/>
  <c r="B118" i="9"/>
  <c r="C118" i="9"/>
  <c r="B119" i="9"/>
  <c r="C119" i="9" l="1"/>
  <c r="C111" i="9"/>
  <c r="C103" i="9"/>
  <c r="C95" i="9"/>
  <c r="C87" i="9"/>
  <c r="C79" i="9"/>
  <c r="C71" i="9"/>
  <c r="C114" i="9"/>
  <c r="C113" i="9"/>
  <c r="C106" i="9"/>
  <c r="C105" i="9"/>
  <c r="C98" i="9"/>
  <c r="C97" i="9"/>
  <c r="C90" i="9"/>
  <c r="C89" i="9"/>
  <c r="C82" i="9"/>
  <c r="C81" i="9"/>
  <c r="C74" i="9"/>
  <c r="C73" i="9"/>
  <c r="C66" i="9"/>
  <c r="C65" i="9"/>
  <c r="C70" i="9"/>
  <c r="X18" i="1"/>
  <c r="X19" i="1"/>
  <c r="X20" i="1"/>
  <c r="X21" i="1"/>
  <c r="X22" i="1"/>
  <c r="X35" i="1"/>
  <c r="K33" i="1"/>
  <c r="L33" i="1"/>
  <c r="M33" i="1"/>
  <c r="V33" i="1"/>
  <c r="X33" i="1"/>
  <c r="AA33" i="1"/>
  <c r="W33" i="1" s="1"/>
  <c r="AB33" i="1"/>
  <c r="AC33" i="1"/>
  <c r="AD33" i="1"/>
  <c r="AG33" i="1" s="1"/>
  <c r="AE33" i="1"/>
  <c r="AF33" i="1"/>
  <c r="AH33" i="1"/>
  <c r="AM33" i="1"/>
  <c r="AN33" i="1"/>
  <c r="K34" i="1"/>
  <c r="L34" i="1"/>
  <c r="M34" i="1"/>
  <c r="V34" i="1"/>
  <c r="AB34" i="1"/>
  <c r="AC34" i="1"/>
  <c r="AD34" i="1"/>
  <c r="T34" i="1" s="1"/>
  <c r="AE34" i="1"/>
  <c r="AF34" i="1"/>
  <c r="AH34" i="1"/>
  <c r="AM34" i="1"/>
  <c r="AN34" i="1"/>
  <c r="P17" i="1"/>
  <c r="K17" i="1"/>
  <c r="L17" i="1"/>
  <c r="M17" i="1"/>
  <c r="V17" i="1"/>
  <c r="Y17" i="1"/>
  <c r="Z17" i="1"/>
  <c r="AA17" i="1" s="1"/>
  <c r="AB17" i="1"/>
  <c r="AC17" i="1"/>
  <c r="AD17" i="1"/>
  <c r="T17" i="1" s="1"/>
  <c r="AE17" i="1"/>
  <c r="AF17" i="1"/>
  <c r="AH17" i="1"/>
  <c r="AM17" i="1"/>
  <c r="AN17" i="1"/>
  <c r="K14" i="1"/>
  <c r="L14" i="1"/>
  <c r="M14" i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G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K18" i="1"/>
  <c r="L18" i="1"/>
  <c r="M18" i="1"/>
  <c r="V18" i="1"/>
  <c r="S18" i="3" s="1"/>
  <c r="Y18" i="1"/>
  <c r="Z18" i="1"/>
  <c r="AB18" i="1"/>
  <c r="AC18" i="1"/>
  <c r="AD18" i="1"/>
  <c r="AG18" i="1" s="1"/>
  <c r="AE18" i="1"/>
  <c r="R19" i="3" s="1"/>
  <c r="AF18" i="1"/>
  <c r="AH18" i="1"/>
  <c r="AM18" i="1"/>
  <c r="AN18" i="1"/>
  <c r="K19" i="1"/>
  <c r="L19" i="1"/>
  <c r="M19" i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V20" i="1"/>
  <c r="Y20" i="1"/>
  <c r="Z20" i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P21" i="1" s="1"/>
  <c r="V21" i="1"/>
  <c r="S28" i="3" s="1"/>
  <c r="Y21" i="1"/>
  <c r="Z21" i="1"/>
  <c r="AB21" i="1"/>
  <c r="AC21" i="1"/>
  <c r="AD21" i="1"/>
  <c r="AE21" i="1"/>
  <c r="R20" i="3" s="1"/>
  <c r="AF21" i="1"/>
  <c r="AH21" i="1"/>
  <c r="AM21" i="1"/>
  <c r="AN21" i="1"/>
  <c r="K22" i="1"/>
  <c r="L22" i="1"/>
  <c r="M22" i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G30" i="1" s="1"/>
  <c r="AE30" i="1"/>
  <c r="R29" i="3" s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S17" i="3" s="1"/>
  <c r="Y32" i="1"/>
  <c r="Z32" i="1"/>
  <c r="AB32" i="1"/>
  <c r="AC32" i="1"/>
  <c r="AD32" i="1"/>
  <c r="T32" i="1" s="1"/>
  <c r="AE32" i="1"/>
  <c r="R17" i="3" s="1"/>
  <c r="AF32" i="1"/>
  <c r="AH32" i="1"/>
  <c r="AM32" i="1"/>
  <c r="AN32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S30" i="3" s="1"/>
  <c r="Y36" i="1"/>
  <c r="Z36" i="1"/>
  <c r="AB36" i="1"/>
  <c r="AC36" i="1"/>
  <c r="AD36" i="1"/>
  <c r="AG36" i="1" s="1"/>
  <c r="AE36" i="1"/>
  <c r="R30" i="3" s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S31" i="3" s="1"/>
  <c r="Y38" i="1"/>
  <c r="Z38" i="1"/>
  <c r="AB38" i="1"/>
  <c r="AC38" i="1"/>
  <c r="AD38" i="1"/>
  <c r="T38" i="1" s="1"/>
  <c r="AE38" i="1"/>
  <c r="R31" i="3" s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S10" i="3" s="1"/>
  <c r="Y42" i="1"/>
  <c r="Z42" i="1"/>
  <c r="AB42" i="1"/>
  <c r="AC42" i="1"/>
  <c r="AD42" i="1"/>
  <c r="T42" i="1" s="1"/>
  <c r="AE42" i="1"/>
  <c r="R10" i="3" s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S15" i="3" s="1"/>
  <c r="Y46" i="1"/>
  <c r="Z46" i="1"/>
  <c r="AB46" i="1"/>
  <c r="AC46" i="1"/>
  <c r="AD46" i="1"/>
  <c r="T46" i="1" s="1"/>
  <c r="AE46" i="1"/>
  <c r="R15" i="3" s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G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G54" i="1" s="1"/>
  <c r="AE54" i="1"/>
  <c r="AF54" i="1"/>
  <c r="AH54" i="1"/>
  <c r="AM54" i="1"/>
  <c r="AN54" i="1"/>
  <c r="K55" i="1"/>
  <c r="L55" i="1"/>
  <c r="M55" i="1"/>
  <c r="N55" i="1" s="1"/>
  <c r="V55" i="1"/>
  <c r="S7" i="3" s="1"/>
  <c r="Y55" i="1"/>
  <c r="Z55" i="1"/>
  <c r="AB55" i="1"/>
  <c r="AC55" i="1"/>
  <c r="AD55" i="1"/>
  <c r="AG55" i="1" s="1"/>
  <c r="AE55" i="1"/>
  <c r="R7" i="3" s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G61" i="1" s="1"/>
  <c r="AE61" i="1"/>
  <c r="AF61" i="1"/>
  <c r="AH61" i="1"/>
  <c r="AM61" i="1"/>
  <c r="AN61" i="1"/>
  <c r="K62" i="1"/>
  <c r="L62" i="1"/>
  <c r="M62" i="1"/>
  <c r="N62" i="1" s="1"/>
  <c r="V62" i="1"/>
  <c r="S32" i="3" s="1"/>
  <c r="Y62" i="1"/>
  <c r="Z62" i="1"/>
  <c r="AB62" i="1"/>
  <c r="AC62" i="1"/>
  <c r="AD62" i="1"/>
  <c r="T62" i="1" s="1"/>
  <c r="AE62" i="1"/>
  <c r="R16" i="3" s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AH64" i="1"/>
  <c r="AM64" i="1"/>
  <c r="AN64" i="1"/>
  <c r="K65" i="1"/>
  <c r="L65" i="1"/>
  <c r="M65" i="1"/>
  <c r="N65" i="1" s="1"/>
  <c r="V65" i="1"/>
  <c r="S35" i="3" s="1"/>
  <c r="Y65" i="1"/>
  <c r="Z65" i="1"/>
  <c r="AB65" i="1"/>
  <c r="AC65" i="1"/>
  <c r="AD65" i="1"/>
  <c r="AE65" i="1"/>
  <c r="R35" i="3" s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A68" i="1" s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P69" i="1" s="1"/>
  <c r="V69" i="1"/>
  <c r="S11" i="3" s="1"/>
  <c r="Y69" i="1"/>
  <c r="Z69" i="1"/>
  <c r="AB69" i="1"/>
  <c r="AC69" i="1"/>
  <c r="AD69" i="1"/>
  <c r="AE69" i="1"/>
  <c r="R22" i="3" s="1"/>
  <c r="AF69" i="1"/>
  <c r="AH69" i="1"/>
  <c r="AM69" i="1"/>
  <c r="AN69" i="1"/>
  <c r="K70" i="1"/>
  <c r="L70" i="1"/>
  <c r="M70" i="1"/>
  <c r="P70" i="1" s="1"/>
  <c r="V70" i="1"/>
  <c r="Y70" i="1"/>
  <c r="Z70" i="1"/>
  <c r="AA70" i="1" s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S14" i="3" s="1"/>
  <c r="Y74" i="1"/>
  <c r="Z74" i="1"/>
  <c r="AB74" i="1"/>
  <c r="AC74" i="1"/>
  <c r="AD74" i="1"/>
  <c r="T74" i="1" s="1"/>
  <c r="AE74" i="1"/>
  <c r="R25" i="3" s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S37" i="3" s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G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G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 s="1"/>
  <c r="V95" i="1"/>
  <c r="S38" i="3" s="1"/>
  <c r="Y95" i="1"/>
  <c r="Z95" i="1"/>
  <c r="AB95" i="1"/>
  <c r="AC95" i="1"/>
  <c r="AD95" i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AM99" i="1"/>
  <c r="AN99" i="1"/>
  <c r="K100" i="1"/>
  <c r="L100" i="1"/>
  <c r="M100" i="1"/>
  <c r="N100" i="1" s="1"/>
  <c r="V100" i="1"/>
  <c r="S33" i="3" s="1"/>
  <c r="Y100" i="1"/>
  <c r="Z100" i="1"/>
  <c r="AB100" i="1"/>
  <c r="AC100" i="1"/>
  <c r="AD100" i="1"/>
  <c r="AE100" i="1"/>
  <c r="R33" i="3" s="1"/>
  <c r="AF100" i="1"/>
  <c r="AH100" i="1"/>
  <c r="AM100" i="1"/>
  <c r="AN100" i="1"/>
  <c r="K101" i="1"/>
  <c r="L101" i="1"/>
  <c r="M101" i="1"/>
  <c r="N101" i="1" s="1"/>
  <c r="V101" i="1"/>
  <c r="S8" i="3" s="1"/>
  <c r="Y101" i="1"/>
  <c r="Z101" i="1"/>
  <c r="AB101" i="1"/>
  <c r="AC101" i="1"/>
  <c r="AD101" i="1"/>
  <c r="T101" i="1" s="1"/>
  <c r="AE101" i="1"/>
  <c r="R8" i="3" s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AG108" i="1" s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AG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AE116" i="1"/>
  <c r="R34" i="3" s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AG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AG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S9" i="3" s="1"/>
  <c r="Y135" i="1"/>
  <c r="Z135" i="1"/>
  <c r="AB135" i="1"/>
  <c r="AC135" i="1"/>
  <c r="AD135" i="1"/>
  <c r="AG135" i="1" s="1"/>
  <c r="AE135" i="1"/>
  <c r="R9" i="3" s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S12" i="3" s="1"/>
  <c r="Y149" i="1"/>
  <c r="Z149" i="1"/>
  <c r="AB149" i="1"/>
  <c r="AC149" i="1"/>
  <c r="AD149" i="1"/>
  <c r="T149" i="1" s="1"/>
  <c r="AE149" i="1"/>
  <c r="R12" i="3" s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AM150" i="1"/>
  <c r="AN150" i="1"/>
  <c r="K151" i="1"/>
  <c r="L151" i="1"/>
  <c r="M151" i="1"/>
  <c r="N151" i="1" s="1"/>
  <c r="V151" i="1"/>
  <c r="S13" i="3" s="1"/>
  <c r="Y151" i="1"/>
  <c r="Z151" i="1"/>
  <c r="AB151" i="1"/>
  <c r="AC151" i="1"/>
  <c r="AD151" i="1"/>
  <c r="T151" i="1" s="1"/>
  <c r="AE151" i="1"/>
  <c r="R13" i="3" s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57" i="1"/>
  <c r="AM157" i="1"/>
  <c r="AN157" i="1"/>
  <c r="K158" i="1"/>
  <c r="L158" i="1"/>
  <c r="M158" i="1"/>
  <c r="N158" i="1" s="1"/>
  <c r="V158" i="1"/>
  <c r="Y158" i="1"/>
  <c r="Z158" i="1"/>
  <c r="AB158" i="1"/>
  <c r="AC158" i="1"/>
  <c r="AD158" i="1"/>
  <c r="AG158" i="1" s="1"/>
  <c r="AE158" i="1"/>
  <c r="AF158" i="1"/>
  <c r="AH158" i="1"/>
  <c r="AM158" i="1"/>
  <c r="AN158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AH159" i="1"/>
  <c r="AM159" i="1"/>
  <c r="AN159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60" i="1"/>
  <c r="AM160" i="1"/>
  <c r="AN160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161" i="1"/>
  <c r="AM161" i="1"/>
  <c r="AN161" i="1"/>
  <c r="K210" i="1"/>
  <c r="L210" i="1"/>
  <c r="M210" i="1"/>
  <c r="N210" i="1" s="1"/>
  <c r="V210" i="1"/>
  <c r="Y210" i="1"/>
  <c r="Z210" i="1"/>
  <c r="AB210" i="1"/>
  <c r="AC210" i="1"/>
  <c r="AD210" i="1"/>
  <c r="AG210" i="1" s="1"/>
  <c r="AE210" i="1"/>
  <c r="AF210" i="1"/>
  <c r="AH162" i="1"/>
  <c r="AM162" i="1"/>
  <c r="AN162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3" i="1"/>
  <c r="AM163" i="1"/>
  <c r="AN163" i="1"/>
  <c r="K212" i="1"/>
  <c r="L212" i="1"/>
  <c r="M212" i="1"/>
  <c r="N212" i="1" s="1"/>
  <c r="V212" i="1"/>
  <c r="Y212" i="1"/>
  <c r="Z212" i="1"/>
  <c r="AB212" i="1"/>
  <c r="AC212" i="1"/>
  <c r="AD212" i="1"/>
  <c r="AG212" i="1" s="1"/>
  <c r="AE212" i="1"/>
  <c r="AF212" i="1"/>
  <c r="AH164" i="1"/>
  <c r="AM164" i="1"/>
  <c r="AN164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5" i="1"/>
  <c r="AM165" i="1"/>
  <c r="AN165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6" i="1"/>
  <c r="AM166" i="1"/>
  <c r="AN166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7" i="1"/>
  <c r="AM167" i="1"/>
  <c r="AN167" i="1"/>
  <c r="K216" i="1"/>
  <c r="L216" i="1"/>
  <c r="M216" i="1"/>
  <c r="N216" i="1" s="1"/>
  <c r="V216" i="1"/>
  <c r="Y216" i="1"/>
  <c r="Z216" i="1"/>
  <c r="AB216" i="1"/>
  <c r="AC216" i="1"/>
  <c r="AD216" i="1"/>
  <c r="AG216" i="1" s="1"/>
  <c r="AE216" i="1"/>
  <c r="AF216" i="1"/>
  <c r="AH168" i="1"/>
  <c r="AM168" i="1"/>
  <c r="AN168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69" i="1"/>
  <c r="AM169" i="1"/>
  <c r="AN169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170" i="1"/>
  <c r="AM170" i="1"/>
  <c r="AN170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171" i="1"/>
  <c r="AM171" i="1"/>
  <c r="AN171" i="1"/>
  <c r="K225" i="1"/>
  <c r="L225" i="1"/>
  <c r="M225" i="1"/>
  <c r="N225" i="1" s="1"/>
  <c r="V225" i="1"/>
  <c r="Y225" i="1"/>
  <c r="Z225" i="1"/>
  <c r="AB225" i="1"/>
  <c r="AC225" i="1"/>
  <c r="AD225" i="1"/>
  <c r="AG225" i="1" s="1"/>
  <c r="AE225" i="1"/>
  <c r="AF225" i="1"/>
  <c r="AH172" i="1"/>
  <c r="AM172" i="1"/>
  <c r="AN172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173" i="1"/>
  <c r="AM173" i="1"/>
  <c r="AN173" i="1"/>
  <c r="K227" i="1"/>
  <c r="L227" i="1"/>
  <c r="M227" i="1"/>
  <c r="N227" i="1" s="1"/>
  <c r="V227" i="1"/>
  <c r="Y227" i="1"/>
  <c r="Z227" i="1"/>
  <c r="AB227" i="1"/>
  <c r="AC227" i="1"/>
  <c r="AD227" i="1"/>
  <c r="AG227" i="1" s="1"/>
  <c r="AE227" i="1"/>
  <c r="AF227" i="1"/>
  <c r="AH174" i="1"/>
  <c r="AM174" i="1"/>
  <c r="AN174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175" i="1"/>
  <c r="AM175" i="1"/>
  <c r="AN175" i="1"/>
  <c r="K229" i="1"/>
  <c r="L229" i="1"/>
  <c r="M229" i="1"/>
  <c r="N229" i="1" s="1"/>
  <c r="V229" i="1"/>
  <c r="Y229" i="1"/>
  <c r="Z229" i="1"/>
  <c r="AB229" i="1"/>
  <c r="AC229" i="1"/>
  <c r="AD229" i="1"/>
  <c r="AG229" i="1" s="1"/>
  <c r="AE229" i="1"/>
  <c r="AF229" i="1"/>
  <c r="AH176" i="1"/>
  <c r="AM176" i="1"/>
  <c r="AN176" i="1"/>
  <c r="K230" i="1"/>
  <c r="L230" i="1"/>
  <c r="M230" i="1"/>
  <c r="N230" i="1" s="1"/>
  <c r="V230" i="1"/>
  <c r="S53" i="3" s="1"/>
  <c r="Y230" i="1"/>
  <c r="Z230" i="1"/>
  <c r="AB230" i="1"/>
  <c r="AC230" i="1"/>
  <c r="AD230" i="1"/>
  <c r="T230" i="1" s="1"/>
  <c r="AE230" i="1"/>
  <c r="R51" i="3" s="1"/>
  <c r="AF230" i="1"/>
  <c r="AH177" i="1"/>
  <c r="AM177" i="1"/>
  <c r="AN177" i="1"/>
  <c r="K231" i="1"/>
  <c r="L231" i="1"/>
  <c r="M231" i="1"/>
  <c r="N231" i="1" s="1"/>
  <c r="V231" i="1"/>
  <c r="S50" i="3" s="1"/>
  <c r="Y231" i="1"/>
  <c r="Z231" i="1"/>
  <c r="AB231" i="1"/>
  <c r="AC231" i="1"/>
  <c r="AD231" i="1"/>
  <c r="AG231" i="1" s="1"/>
  <c r="AE231" i="1"/>
  <c r="R50" i="3" s="1"/>
  <c r="AF231" i="1"/>
  <c r="AH178" i="1"/>
  <c r="AM178" i="1"/>
  <c r="AN178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K233" i="1"/>
  <c r="L233" i="1"/>
  <c r="M233" i="1"/>
  <c r="N233" i="1" s="1"/>
  <c r="V233" i="1"/>
  <c r="Y233" i="1"/>
  <c r="Z233" i="1"/>
  <c r="AB233" i="1"/>
  <c r="AC233" i="1"/>
  <c r="AD233" i="1"/>
  <c r="AG233" i="1" s="1"/>
  <c r="AE233" i="1"/>
  <c r="AF233" i="1"/>
  <c r="AH179" i="1"/>
  <c r="AM179" i="1"/>
  <c r="AN179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AH180" i="1"/>
  <c r="AM180" i="1"/>
  <c r="AN180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181" i="1"/>
  <c r="AM181" i="1"/>
  <c r="AN181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82" i="1"/>
  <c r="AM182" i="1"/>
  <c r="AN182" i="1"/>
  <c r="K237" i="1"/>
  <c r="L237" i="1"/>
  <c r="M237" i="1"/>
  <c r="N237" i="1" s="1"/>
  <c r="V237" i="1"/>
  <c r="Y237" i="1"/>
  <c r="Z237" i="1"/>
  <c r="AB237" i="1"/>
  <c r="AC237" i="1"/>
  <c r="AD237" i="1"/>
  <c r="AG237" i="1" s="1"/>
  <c r="AE237" i="1"/>
  <c r="AF237" i="1"/>
  <c r="AH183" i="1"/>
  <c r="AM183" i="1"/>
  <c r="AN183" i="1"/>
  <c r="K238" i="1"/>
  <c r="L238" i="1"/>
  <c r="M238" i="1"/>
  <c r="N238" i="1" s="1"/>
  <c r="V238" i="1"/>
  <c r="Y238" i="1"/>
  <c r="Z238" i="1"/>
  <c r="AB238" i="1"/>
  <c r="AC238" i="1"/>
  <c r="AD238" i="1"/>
  <c r="T238" i="1" s="1"/>
  <c r="AE238" i="1"/>
  <c r="AF238" i="1"/>
  <c r="AH184" i="1"/>
  <c r="AM184" i="1"/>
  <c r="AN184" i="1"/>
  <c r="K239" i="1"/>
  <c r="L239" i="1"/>
  <c r="M239" i="1"/>
  <c r="N239" i="1" s="1"/>
  <c r="V239" i="1"/>
  <c r="Y239" i="1"/>
  <c r="Z239" i="1"/>
  <c r="AB239" i="1"/>
  <c r="AC239" i="1"/>
  <c r="AD239" i="1"/>
  <c r="AE239" i="1"/>
  <c r="AF239" i="1"/>
  <c r="AH185" i="1"/>
  <c r="AM185" i="1"/>
  <c r="AN185" i="1"/>
  <c r="K240" i="1"/>
  <c r="L240" i="1"/>
  <c r="M240" i="1"/>
  <c r="N240" i="1" s="1"/>
  <c r="V240" i="1"/>
  <c r="Y240" i="1"/>
  <c r="Z240" i="1"/>
  <c r="AB240" i="1"/>
  <c r="AC240" i="1"/>
  <c r="AD240" i="1"/>
  <c r="AE240" i="1"/>
  <c r="AF240" i="1"/>
  <c r="AH186" i="1"/>
  <c r="AM186" i="1"/>
  <c r="AN186" i="1"/>
  <c r="K241" i="1"/>
  <c r="L241" i="1"/>
  <c r="M241" i="1"/>
  <c r="N241" i="1" s="1"/>
  <c r="V241" i="1"/>
  <c r="Y241" i="1"/>
  <c r="Z241" i="1"/>
  <c r="AB241" i="1"/>
  <c r="AC241" i="1"/>
  <c r="AD241" i="1"/>
  <c r="AG241" i="1" s="1"/>
  <c r="AE241" i="1"/>
  <c r="AF241" i="1"/>
  <c r="AH187" i="1"/>
  <c r="AM187" i="1"/>
  <c r="AN187" i="1"/>
  <c r="K242" i="1"/>
  <c r="L242" i="1"/>
  <c r="M242" i="1"/>
  <c r="N242" i="1" s="1"/>
  <c r="V242" i="1"/>
  <c r="Y242" i="1"/>
  <c r="Z242" i="1"/>
  <c r="AB242" i="1"/>
  <c r="AC242" i="1"/>
  <c r="AD242" i="1"/>
  <c r="T242" i="1" s="1"/>
  <c r="AE242" i="1"/>
  <c r="AF242" i="1"/>
  <c r="AH188" i="1"/>
  <c r="AM188" i="1"/>
  <c r="AN188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189" i="1"/>
  <c r="AM189" i="1"/>
  <c r="AN189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90" i="1"/>
  <c r="AM190" i="1"/>
  <c r="AN190" i="1"/>
  <c r="K163" i="1"/>
  <c r="L163" i="1"/>
  <c r="M163" i="1"/>
  <c r="N163" i="1" s="1"/>
  <c r="V163" i="1"/>
  <c r="Y163" i="1"/>
  <c r="Z163" i="1"/>
  <c r="AB163" i="1"/>
  <c r="AC163" i="1"/>
  <c r="AD163" i="1"/>
  <c r="AG163" i="1" s="1"/>
  <c r="AE163" i="1"/>
  <c r="AF163" i="1"/>
  <c r="AH191" i="1"/>
  <c r="AM191" i="1"/>
  <c r="AN191" i="1"/>
  <c r="K164" i="1"/>
  <c r="L164" i="1"/>
  <c r="M164" i="1"/>
  <c r="N164" i="1" s="1"/>
  <c r="V164" i="1"/>
  <c r="S40" i="3" s="1"/>
  <c r="Y164" i="1"/>
  <c r="Z164" i="1"/>
  <c r="AB164" i="1"/>
  <c r="AC164" i="1"/>
  <c r="AD164" i="1"/>
  <c r="T164" i="1" s="1"/>
  <c r="AE164" i="1"/>
  <c r="R40" i="3" s="1"/>
  <c r="AF164" i="1"/>
  <c r="AH192" i="1"/>
  <c r="AM192" i="1"/>
  <c r="AN192" i="1"/>
  <c r="K165" i="1"/>
  <c r="L165" i="1"/>
  <c r="M165" i="1"/>
  <c r="N165" i="1" s="1"/>
  <c r="V165" i="1"/>
  <c r="S43" i="3" s="1"/>
  <c r="Y165" i="1"/>
  <c r="Z165" i="1"/>
  <c r="AB165" i="1"/>
  <c r="AC165" i="1"/>
  <c r="AD165" i="1"/>
  <c r="AE165" i="1"/>
  <c r="R43" i="3" s="1"/>
  <c r="AF165" i="1"/>
  <c r="AH193" i="1"/>
  <c r="AM193" i="1"/>
  <c r="AN193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94" i="1"/>
  <c r="AM194" i="1"/>
  <c r="AN194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AF167" i="1"/>
  <c r="AH195" i="1"/>
  <c r="AM195" i="1"/>
  <c r="AN195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96" i="1"/>
  <c r="AM196" i="1"/>
  <c r="AN196" i="1"/>
  <c r="K169" i="1"/>
  <c r="L169" i="1"/>
  <c r="M169" i="1"/>
  <c r="N169" i="1" s="1"/>
  <c r="V169" i="1"/>
  <c r="S46" i="3" s="1"/>
  <c r="Y169" i="1"/>
  <c r="Z169" i="1"/>
  <c r="AB169" i="1"/>
  <c r="AC169" i="1"/>
  <c r="AD169" i="1"/>
  <c r="T169" i="1" s="1"/>
  <c r="AE169" i="1"/>
  <c r="R46" i="3" s="1"/>
  <c r="AF169" i="1"/>
  <c r="AH197" i="1"/>
  <c r="AM197" i="1"/>
  <c r="AN197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98" i="1"/>
  <c r="AM198" i="1"/>
  <c r="AN198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AH199" i="1"/>
  <c r="AM199" i="1"/>
  <c r="AN199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200" i="1"/>
  <c r="AM200" i="1"/>
  <c r="AN200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201" i="1"/>
  <c r="AM201" i="1"/>
  <c r="AN201" i="1"/>
  <c r="K174" i="1"/>
  <c r="L174" i="1"/>
  <c r="M174" i="1"/>
  <c r="N174" i="1" s="1"/>
  <c r="V174" i="1"/>
  <c r="S41" i="3" s="1"/>
  <c r="Y174" i="1"/>
  <c r="Z174" i="1"/>
  <c r="AB174" i="1"/>
  <c r="AC174" i="1"/>
  <c r="AD174" i="1"/>
  <c r="AE174" i="1"/>
  <c r="R41" i="3" s="1"/>
  <c r="AF174" i="1"/>
  <c r="AH202" i="1"/>
  <c r="AM202" i="1"/>
  <c r="AN202" i="1"/>
  <c r="K175" i="1"/>
  <c r="L175" i="1"/>
  <c r="M175" i="1"/>
  <c r="N175" i="1" s="1"/>
  <c r="V175" i="1"/>
  <c r="S47" i="3" s="1"/>
  <c r="Y175" i="1"/>
  <c r="Z175" i="1"/>
  <c r="AB175" i="1"/>
  <c r="AC175" i="1"/>
  <c r="AD175" i="1"/>
  <c r="AG175" i="1" s="1"/>
  <c r="AE175" i="1"/>
  <c r="R47" i="3" s="1"/>
  <c r="AF175" i="1"/>
  <c r="AH203" i="1"/>
  <c r="AM203" i="1"/>
  <c r="AN203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204" i="1"/>
  <c r="AM204" i="1"/>
  <c r="AN204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AH205" i="1"/>
  <c r="AM205" i="1"/>
  <c r="AN205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206" i="1"/>
  <c r="AM206" i="1"/>
  <c r="AN206" i="1"/>
  <c r="AH207" i="1"/>
  <c r="AM207" i="1"/>
  <c r="AN207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08" i="1"/>
  <c r="AM208" i="1"/>
  <c r="AN208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AH209" i="1"/>
  <c r="AM209" i="1"/>
  <c r="AN209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210" i="1"/>
  <c r="AM210" i="1"/>
  <c r="AN210" i="1"/>
  <c r="K182" i="1"/>
  <c r="L182" i="1"/>
  <c r="M182" i="1"/>
  <c r="N182" i="1" s="1"/>
  <c r="V182" i="1"/>
  <c r="S49" i="3" s="1"/>
  <c r="Y182" i="1"/>
  <c r="Z182" i="1"/>
  <c r="AB182" i="1"/>
  <c r="AC182" i="1"/>
  <c r="AD182" i="1"/>
  <c r="AG182" i="1" s="1"/>
  <c r="AE182" i="1"/>
  <c r="R49" i="3" s="1"/>
  <c r="AF182" i="1"/>
  <c r="AH211" i="1"/>
  <c r="AM211" i="1"/>
  <c r="AN211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12" i="1"/>
  <c r="AM212" i="1"/>
  <c r="AN212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13" i="1"/>
  <c r="AM213" i="1"/>
  <c r="AN213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14" i="1"/>
  <c r="AM214" i="1"/>
  <c r="AN214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215" i="1"/>
  <c r="AM215" i="1"/>
  <c r="AN215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16" i="1"/>
  <c r="AM216" i="1"/>
  <c r="AN216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17" i="1"/>
  <c r="AM217" i="1"/>
  <c r="AN217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18" i="1"/>
  <c r="AM218" i="1"/>
  <c r="AN218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AH219" i="1"/>
  <c r="AM219" i="1"/>
  <c r="AN219" i="1"/>
  <c r="K191" i="1"/>
  <c r="L191" i="1"/>
  <c r="M191" i="1"/>
  <c r="N191" i="1" s="1"/>
  <c r="V191" i="1"/>
  <c r="S48" i="3" s="1"/>
  <c r="Y191" i="1"/>
  <c r="Z191" i="1"/>
  <c r="AB191" i="1"/>
  <c r="AC191" i="1"/>
  <c r="AD191" i="1"/>
  <c r="AE191" i="1"/>
  <c r="R48" i="3" s="1"/>
  <c r="AF191" i="1"/>
  <c r="AH220" i="1"/>
  <c r="AM220" i="1"/>
  <c r="AN220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21" i="1"/>
  <c r="AM221" i="1"/>
  <c r="AN221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222" i="1"/>
  <c r="AM222" i="1"/>
  <c r="AN222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223" i="1"/>
  <c r="AM223" i="1"/>
  <c r="AN223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AH224" i="1"/>
  <c r="AM224" i="1"/>
  <c r="AN224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25" i="1"/>
  <c r="AM225" i="1"/>
  <c r="AN225" i="1"/>
  <c r="K197" i="1"/>
  <c r="L197" i="1"/>
  <c r="M197" i="1"/>
  <c r="N197" i="1" s="1"/>
  <c r="V197" i="1"/>
  <c r="S44" i="3" s="1"/>
  <c r="Y197" i="1"/>
  <c r="Z197" i="1"/>
  <c r="AB197" i="1"/>
  <c r="AC197" i="1"/>
  <c r="AD197" i="1"/>
  <c r="T197" i="1" s="1"/>
  <c r="AE197" i="1"/>
  <c r="R44" i="3" s="1"/>
  <c r="AF197" i="1"/>
  <c r="AH226" i="1"/>
  <c r="AM226" i="1"/>
  <c r="AN226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AH227" i="1"/>
  <c r="AM227" i="1"/>
  <c r="AN227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AH228" i="1"/>
  <c r="AM228" i="1"/>
  <c r="AN228" i="1"/>
  <c r="K200" i="1"/>
  <c r="L200" i="1"/>
  <c r="M200" i="1"/>
  <c r="N200" i="1" s="1"/>
  <c r="V200" i="1"/>
  <c r="S42" i="3" s="1"/>
  <c r="Y200" i="1"/>
  <c r="Z200" i="1"/>
  <c r="AB200" i="1"/>
  <c r="AC200" i="1"/>
  <c r="AD200" i="1"/>
  <c r="T200" i="1" s="1"/>
  <c r="AE200" i="1"/>
  <c r="R42" i="3" s="1"/>
  <c r="AF200" i="1"/>
  <c r="AH229" i="1"/>
  <c r="AM229" i="1"/>
  <c r="AN229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30" i="1"/>
  <c r="AM230" i="1"/>
  <c r="AN230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31" i="1"/>
  <c r="AM231" i="1"/>
  <c r="AN231" i="1"/>
  <c r="K203" i="1"/>
  <c r="L203" i="1"/>
  <c r="M203" i="1"/>
  <c r="N203" i="1" s="1"/>
  <c r="V203" i="1"/>
  <c r="S45" i="3" s="1"/>
  <c r="Y203" i="1"/>
  <c r="Z203" i="1"/>
  <c r="AB203" i="1"/>
  <c r="AC203" i="1"/>
  <c r="AD203" i="1"/>
  <c r="T203" i="1" s="1"/>
  <c r="AE203" i="1"/>
  <c r="R45" i="3" s="1"/>
  <c r="AF203" i="1"/>
  <c r="AH232" i="1"/>
  <c r="AM232" i="1"/>
  <c r="AN232" i="1"/>
  <c r="K204" i="1"/>
  <c r="L204" i="1"/>
  <c r="M204" i="1"/>
  <c r="V204" i="1"/>
  <c r="Y204" i="1"/>
  <c r="Z204" i="1"/>
  <c r="AB204" i="1"/>
  <c r="AC204" i="1"/>
  <c r="AD204" i="1"/>
  <c r="AG204" i="1" s="1"/>
  <c r="AE204" i="1"/>
  <c r="AF204" i="1"/>
  <c r="AH233" i="1"/>
  <c r="AM233" i="1"/>
  <c r="AN233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234" i="1"/>
  <c r="AM234" i="1"/>
  <c r="AN234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235" i="1"/>
  <c r="AM235" i="1"/>
  <c r="AN235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36" i="1"/>
  <c r="AM236" i="1"/>
  <c r="AN236" i="1"/>
  <c r="K208" i="1"/>
  <c r="L208" i="1"/>
  <c r="M208" i="1"/>
  <c r="N208" i="1" s="1"/>
  <c r="V208" i="1"/>
  <c r="Y208" i="1"/>
  <c r="Z208" i="1"/>
  <c r="AB208" i="1"/>
  <c r="AC208" i="1"/>
  <c r="AD208" i="1"/>
  <c r="AG208" i="1" s="1"/>
  <c r="AE208" i="1"/>
  <c r="AF208" i="1"/>
  <c r="AH237" i="1"/>
  <c r="AM237" i="1"/>
  <c r="AN237" i="1"/>
  <c r="K219" i="1"/>
  <c r="L219" i="1"/>
  <c r="M219" i="1"/>
  <c r="N219" i="1" s="1"/>
  <c r="V219" i="1"/>
  <c r="Y219" i="1"/>
  <c r="Z219" i="1"/>
  <c r="AB219" i="1"/>
  <c r="AC219" i="1"/>
  <c r="AD219" i="1"/>
  <c r="AG219" i="1" s="1"/>
  <c r="AE219" i="1"/>
  <c r="AF219" i="1"/>
  <c r="AH238" i="1"/>
  <c r="AM238" i="1"/>
  <c r="AN238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39" i="1"/>
  <c r="AM239" i="1"/>
  <c r="AN239" i="1"/>
  <c r="K221" i="1"/>
  <c r="L221" i="1"/>
  <c r="M221" i="1"/>
  <c r="N221" i="1" s="1"/>
  <c r="V221" i="1"/>
  <c r="S56" i="3" s="1"/>
  <c r="Y221" i="1"/>
  <c r="Z221" i="1"/>
  <c r="AB221" i="1"/>
  <c r="AC221" i="1"/>
  <c r="AD221" i="1"/>
  <c r="T221" i="1" s="1"/>
  <c r="AE221" i="1"/>
  <c r="R56" i="3" s="1"/>
  <c r="AF221" i="1"/>
  <c r="AH240" i="1"/>
  <c r="AM240" i="1"/>
  <c r="AN240" i="1"/>
  <c r="K222" i="1"/>
  <c r="L222" i="1"/>
  <c r="M222" i="1"/>
  <c r="N222" i="1" s="1"/>
  <c r="V222" i="1"/>
  <c r="Y222" i="1"/>
  <c r="Z222" i="1"/>
  <c r="AB222" i="1"/>
  <c r="AC222" i="1"/>
  <c r="AD222" i="1"/>
  <c r="AG222" i="1" s="1"/>
  <c r="AE222" i="1"/>
  <c r="AF222" i="1"/>
  <c r="AH241" i="1"/>
  <c r="AM241" i="1"/>
  <c r="AN241" i="1"/>
  <c r="K223" i="1"/>
  <c r="L223" i="1"/>
  <c r="M223" i="1"/>
  <c r="N223" i="1" s="1"/>
  <c r="V223" i="1"/>
  <c r="Y223" i="1"/>
  <c r="Z223" i="1"/>
  <c r="AB223" i="1"/>
  <c r="AC223" i="1"/>
  <c r="AD223" i="1"/>
  <c r="AG223" i="1" s="1"/>
  <c r="AE223" i="1"/>
  <c r="AF223" i="1"/>
  <c r="AH242" i="1"/>
  <c r="AM242" i="1"/>
  <c r="AN242" i="1"/>
  <c r="M23" i="3"/>
  <c r="U23" i="3"/>
  <c r="T23" i="3" s="1"/>
  <c r="V23" i="3"/>
  <c r="W23" i="3"/>
  <c r="X23" i="3"/>
  <c r="AC23" i="3"/>
  <c r="M24" i="3"/>
  <c r="U24" i="3"/>
  <c r="V24" i="3"/>
  <c r="W24" i="3"/>
  <c r="X24" i="3"/>
  <c r="M18" i="3"/>
  <c r="U18" i="3"/>
  <c r="AC18" i="3" s="1"/>
  <c r="V18" i="3"/>
  <c r="W18" i="3"/>
  <c r="X18" i="3"/>
  <c r="M19" i="3"/>
  <c r="U19" i="3"/>
  <c r="V19" i="3"/>
  <c r="W19" i="3"/>
  <c r="X19" i="3"/>
  <c r="M21" i="3"/>
  <c r="U21" i="3"/>
  <c r="T21" i="3" s="1"/>
  <c r="V21" i="3"/>
  <c r="W21" i="3"/>
  <c r="X21" i="3"/>
  <c r="AC21" i="3"/>
  <c r="M27" i="3"/>
  <c r="U27" i="3"/>
  <c r="V27" i="3"/>
  <c r="W27" i="3"/>
  <c r="X27" i="3"/>
  <c r="AC27" i="3"/>
  <c r="M28" i="3"/>
  <c r="U28" i="3"/>
  <c r="AC28" i="3" s="1"/>
  <c r="V28" i="3"/>
  <c r="W28" i="3"/>
  <c r="X28" i="3"/>
  <c r="M26" i="3"/>
  <c r="U26" i="3"/>
  <c r="AC26" i="3" s="1"/>
  <c r="V26" i="3"/>
  <c r="W26" i="3"/>
  <c r="X26" i="3"/>
  <c r="M20" i="3"/>
  <c r="U20" i="3"/>
  <c r="T20" i="3" s="1"/>
  <c r="V20" i="3"/>
  <c r="W20" i="3"/>
  <c r="X20" i="3"/>
  <c r="AC20" i="3"/>
  <c r="M40" i="3"/>
  <c r="U40" i="3"/>
  <c r="V40" i="3"/>
  <c r="W40" i="3"/>
  <c r="X40" i="3"/>
  <c r="M17" i="3"/>
  <c r="U17" i="3"/>
  <c r="AC17" i="3" s="1"/>
  <c r="V17" i="3"/>
  <c r="W17" i="3"/>
  <c r="X17" i="3"/>
  <c r="M43" i="3"/>
  <c r="U43" i="3"/>
  <c r="AC43" i="3" s="1"/>
  <c r="V43" i="3"/>
  <c r="W43" i="3"/>
  <c r="X43" i="3"/>
  <c r="M29" i="3"/>
  <c r="S29" i="3"/>
  <c r="U29" i="3"/>
  <c r="T29" i="3" s="1"/>
  <c r="V29" i="3"/>
  <c r="W29" i="3"/>
  <c r="X29" i="3"/>
  <c r="AC29" i="3"/>
  <c r="M30" i="3"/>
  <c r="U30" i="3"/>
  <c r="V30" i="3"/>
  <c r="W30" i="3"/>
  <c r="X30" i="3"/>
  <c r="M31" i="3"/>
  <c r="U31" i="3"/>
  <c r="V31" i="3"/>
  <c r="W31" i="3"/>
  <c r="X31" i="3"/>
  <c r="M46" i="3"/>
  <c r="U46" i="3"/>
  <c r="AC46" i="3" s="1"/>
  <c r="V46" i="3"/>
  <c r="W46" i="3"/>
  <c r="X46" i="3"/>
  <c r="M10" i="3"/>
  <c r="U10" i="3"/>
  <c r="V10" i="3"/>
  <c r="W10" i="3"/>
  <c r="X10" i="3"/>
  <c r="AC10" i="3"/>
  <c r="M15" i="3"/>
  <c r="U15" i="3"/>
  <c r="AD26" i="3" s="1"/>
  <c r="V15" i="3"/>
  <c r="W15" i="3"/>
  <c r="X15" i="3"/>
  <c r="M7" i="3"/>
  <c r="U7" i="3"/>
  <c r="AC7" i="3" s="1"/>
  <c r="V7" i="3"/>
  <c r="W7" i="3"/>
  <c r="X7" i="3"/>
  <c r="M41" i="3"/>
  <c r="U41" i="3"/>
  <c r="AC41" i="3" s="1"/>
  <c r="V41" i="3"/>
  <c r="W41" i="3"/>
  <c r="X41" i="3"/>
  <c r="M47" i="3"/>
  <c r="U47" i="3"/>
  <c r="V47" i="3"/>
  <c r="W47" i="3"/>
  <c r="X47" i="3"/>
  <c r="AC47" i="3"/>
  <c r="M35" i="3"/>
  <c r="U35" i="3"/>
  <c r="V35" i="3"/>
  <c r="W35" i="3"/>
  <c r="X35" i="3"/>
  <c r="AC35" i="3"/>
  <c r="M54" i="3"/>
  <c r="U54" i="3"/>
  <c r="AC54" i="3" s="1"/>
  <c r="V54" i="3"/>
  <c r="W54" i="3"/>
  <c r="X54" i="3"/>
  <c r="M51" i="3"/>
  <c r="U51" i="3"/>
  <c r="AC51" i="3" s="1"/>
  <c r="V51" i="3"/>
  <c r="W51" i="3"/>
  <c r="X51" i="3"/>
  <c r="M52" i="3"/>
  <c r="U52" i="3"/>
  <c r="T52" i="3" s="1"/>
  <c r="V52" i="3"/>
  <c r="W52" i="3"/>
  <c r="X52" i="3"/>
  <c r="AC52" i="3"/>
  <c r="M11" i="3"/>
  <c r="U11" i="3"/>
  <c r="V11" i="3"/>
  <c r="W11" i="3"/>
  <c r="X11" i="3"/>
  <c r="M16" i="3"/>
  <c r="U16" i="3"/>
  <c r="AC16" i="3" s="1"/>
  <c r="V16" i="3"/>
  <c r="W16" i="3"/>
  <c r="X16" i="3"/>
  <c r="M53" i="3"/>
  <c r="U53" i="3"/>
  <c r="AC53" i="3" s="1"/>
  <c r="V53" i="3"/>
  <c r="W53" i="3"/>
  <c r="X53" i="3"/>
  <c r="M22" i="3"/>
  <c r="U22" i="3"/>
  <c r="T22" i="3" s="1"/>
  <c r="V22" i="3"/>
  <c r="W22" i="3"/>
  <c r="X22" i="3"/>
  <c r="AC22" i="3"/>
  <c r="M32" i="3"/>
  <c r="U32" i="3"/>
  <c r="V32" i="3"/>
  <c r="W32" i="3"/>
  <c r="X32" i="3"/>
  <c r="AC32" i="3"/>
  <c r="M50" i="3"/>
  <c r="U50" i="3"/>
  <c r="AC50" i="3" s="1"/>
  <c r="V50" i="3"/>
  <c r="W50" i="3"/>
  <c r="X50" i="3"/>
  <c r="M36" i="3"/>
  <c r="R36" i="3"/>
  <c r="U36" i="3"/>
  <c r="V36" i="3"/>
  <c r="W36" i="3"/>
  <c r="X36" i="3"/>
  <c r="M37" i="3"/>
  <c r="R37" i="3"/>
  <c r="U37" i="3"/>
  <c r="V37" i="3"/>
  <c r="W37" i="3"/>
  <c r="X37" i="3"/>
  <c r="M14" i="3"/>
  <c r="R14" i="3"/>
  <c r="U14" i="3"/>
  <c r="V14" i="3"/>
  <c r="W14" i="3"/>
  <c r="X14" i="3"/>
  <c r="M25" i="3"/>
  <c r="S25" i="3"/>
  <c r="U25" i="3"/>
  <c r="AC25" i="3" s="1"/>
  <c r="V25" i="3"/>
  <c r="W25" i="3"/>
  <c r="X25" i="3"/>
  <c r="M49" i="3"/>
  <c r="U49" i="3"/>
  <c r="AC49" i="3" s="1"/>
  <c r="V49" i="3"/>
  <c r="W49" i="3"/>
  <c r="X49" i="3"/>
  <c r="M38" i="3"/>
  <c r="R38" i="3"/>
  <c r="U38" i="3"/>
  <c r="T38" i="3" s="1"/>
  <c r="V38" i="3"/>
  <c r="W38" i="3"/>
  <c r="X38" i="3"/>
  <c r="M39" i="3"/>
  <c r="R39" i="3"/>
  <c r="U39" i="3"/>
  <c r="V39" i="3"/>
  <c r="W39" i="3"/>
  <c r="X39" i="3"/>
  <c r="AC39" i="3"/>
  <c r="M8" i="3"/>
  <c r="U8" i="3"/>
  <c r="AC8" i="3" s="1"/>
  <c r="V8" i="3"/>
  <c r="W8" i="3"/>
  <c r="X8" i="3"/>
  <c r="M56" i="3"/>
  <c r="U56" i="3"/>
  <c r="AC56" i="3" s="1"/>
  <c r="V56" i="3"/>
  <c r="W56" i="3"/>
  <c r="X56" i="3"/>
  <c r="M33" i="3"/>
  <c r="U33" i="3"/>
  <c r="T33" i="3" s="1"/>
  <c r="V33" i="3"/>
  <c r="W33" i="3"/>
  <c r="X33" i="3"/>
  <c r="M48" i="3"/>
  <c r="U48" i="3"/>
  <c r="V48" i="3"/>
  <c r="W48" i="3"/>
  <c r="X48" i="3"/>
  <c r="M34" i="3"/>
  <c r="S34" i="3"/>
  <c r="U34" i="3"/>
  <c r="AC34" i="3" s="1"/>
  <c r="V34" i="3"/>
  <c r="W34" i="3"/>
  <c r="X34" i="3"/>
  <c r="M44" i="3"/>
  <c r="U44" i="3"/>
  <c r="AC44" i="3" s="1"/>
  <c r="V44" i="3"/>
  <c r="W44" i="3"/>
  <c r="X44" i="3"/>
  <c r="M9" i="3"/>
  <c r="U9" i="3"/>
  <c r="T9" i="3" s="1"/>
  <c r="V9" i="3"/>
  <c r="W9" i="3"/>
  <c r="X9" i="3"/>
  <c r="M42" i="3"/>
  <c r="U42" i="3"/>
  <c r="V42" i="3"/>
  <c r="W42" i="3"/>
  <c r="X42" i="3"/>
  <c r="M45" i="3"/>
  <c r="U45" i="3"/>
  <c r="AC45" i="3" s="1"/>
  <c r="V45" i="3"/>
  <c r="W45" i="3"/>
  <c r="X45" i="3"/>
  <c r="M12" i="3"/>
  <c r="U12" i="3"/>
  <c r="AC12" i="3" s="1"/>
  <c r="V12" i="3"/>
  <c r="W12" i="3"/>
  <c r="X12" i="3"/>
  <c r="M13" i="3"/>
  <c r="U13" i="3"/>
  <c r="AC13" i="3" s="1"/>
  <c r="V13" i="3"/>
  <c r="W13" i="3"/>
  <c r="X13" i="3"/>
  <c r="AD53" i="3" l="1"/>
  <c r="AD51" i="3"/>
  <c r="AC38" i="3"/>
  <c r="AD56" i="3"/>
  <c r="AD41" i="3"/>
  <c r="AC33" i="3"/>
  <c r="AA34" i="1"/>
  <c r="AG34" i="1"/>
  <c r="X34" i="1"/>
  <c r="T33" i="1"/>
  <c r="U33" i="1"/>
  <c r="S33" i="1" s="1"/>
  <c r="AI33" i="1"/>
  <c r="AI34" i="1"/>
  <c r="AG17" i="1"/>
  <c r="X17" i="1"/>
  <c r="AD47" i="3"/>
  <c r="Y28" i="3"/>
  <c r="Y25" i="3"/>
  <c r="S27" i="3"/>
  <c r="R23" i="3"/>
  <c r="R53" i="3"/>
  <c r="S26" i="3"/>
  <c r="R21" i="3"/>
  <c r="R24" i="3"/>
  <c r="AA177" i="1"/>
  <c r="AA173" i="1"/>
  <c r="AA161" i="1"/>
  <c r="R54" i="3"/>
  <c r="S22" i="3"/>
  <c r="S16" i="3"/>
  <c r="R52" i="3"/>
  <c r="S20" i="3"/>
  <c r="AA229" i="1"/>
  <c r="X181" i="1"/>
  <c r="X182" i="1"/>
  <c r="R18" i="3"/>
  <c r="AA185" i="1"/>
  <c r="AA107" i="1"/>
  <c r="AG104" i="1"/>
  <c r="AA95" i="1"/>
  <c r="X180" i="1"/>
  <c r="AA23" i="1"/>
  <c r="X179" i="1"/>
  <c r="X154" i="1"/>
  <c r="AC9" i="3"/>
  <c r="X153" i="1"/>
  <c r="Y14" i="3"/>
  <c r="X152" i="1"/>
  <c r="AA59" i="1"/>
  <c r="X24" i="1"/>
  <c r="S24" i="3"/>
  <c r="S23" i="3"/>
  <c r="Y30" i="3"/>
  <c r="Y17" i="3"/>
  <c r="R26" i="3"/>
  <c r="AA27" i="1"/>
  <c r="AA25" i="1"/>
  <c r="AA20" i="1"/>
  <c r="W20" i="1" s="1"/>
  <c r="X91" i="1"/>
  <c r="R28" i="3"/>
  <c r="R27" i="3"/>
  <c r="Y42" i="3"/>
  <c r="AD9" i="3"/>
  <c r="Y34" i="3"/>
  <c r="Y54" i="3"/>
  <c r="AD44" i="3"/>
  <c r="AA230" i="1"/>
  <c r="AA145" i="1"/>
  <c r="AA143" i="1"/>
  <c r="T131" i="1"/>
  <c r="U131" i="1" s="1"/>
  <c r="S131" i="1" s="1"/>
  <c r="AA130" i="1"/>
  <c r="AI126" i="1"/>
  <c r="AA124" i="1"/>
  <c r="X104" i="1"/>
  <c r="AI85" i="1"/>
  <c r="AA77" i="1"/>
  <c r="AA75" i="1"/>
  <c r="AA24" i="1"/>
  <c r="W24" i="1" s="1"/>
  <c r="X90" i="1"/>
  <c r="X161" i="1"/>
  <c r="T61" i="1"/>
  <c r="U61" i="1" s="1"/>
  <c r="S61" i="1" s="1"/>
  <c r="X57" i="1"/>
  <c r="X77" i="1"/>
  <c r="Y13" i="3"/>
  <c r="R32" i="3"/>
  <c r="AE47" i="3"/>
  <c r="T158" i="1"/>
  <c r="S52" i="3"/>
  <c r="AD30" i="3"/>
  <c r="Y18" i="3"/>
  <c r="AA242" i="1"/>
  <c r="X218" i="1"/>
  <c r="AA216" i="1"/>
  <c r="W216" i="1" s="1"/>
  <c r="AA158" i="1"/>
  <c r="W158" i="1" s="1"/>
  <c r="AA150" i="1"/>
  <c r="AA115" i="1"/>
  <c r="AA111" i="1"/>
  <c r="AA71" i="1"/>
  <c r="AA61" i="1"/>
  <c r="X61" i="1"/>
  <c r="AA58" i="1"/>
  <c r="T44" i="1"/>
  <c r="U44" i="1" s="1"/>
  <c r="S44" i="1" s="1"/>
  <c r="X76" i="1"/>
  <c r="AA203" i="1"/>
  <c r="AA195" i="1"/>
  <c r="W195" i="1" s="1"/>
  <c r="AA226" i="1"/>
  <c r="AA103" i="1"/>
  <c r="AA88" i="1"/>
  <c r="W88" i="1" s="1"/>
  <c r="AA82" i="1"/>
  <c r="AA76" i="1"/>
  <c r="X75" i="1"/>
  <c r="P18" i="1"/>
  <c r="X108" i="1"/>
  <c r="AG93" i="1"/>
  <c r="U93" i="1" s="1"/>
  <c r="S93" i="1" s="1"/>
  <c r="AA45" i="1"/>
  <c r="AI144" i="1"/>
  <c r="X139" i="1"/>
  <c r="Y8" i="3"/>
  <c r="Y11" i="3"/>
  <c r="AE46" i="3"/>
  <c r="AA179" i="1"/>
  <c r="AG123" i="1"/>
  <c r="AI123" i="1" s="1"/>
  <c r="AA121" i="1"/>
  <c r="AA90" i="1"/>
  <c r="AA37" i="1"/>
  <c r="AA235" i="1"/>
  <c r="X159" i="1"/>
  <c r="AG157" i="1"/>
  <c r="AI157" i="1" s="1"/>
  <c r="AA144" i="1"/>
  <c r="W144" i="1" s="1"/>
  <c r="AG134" i="1"/>
  <c r="AI134" i="1" s="1"/>
  <c r="AG125" i="1"/>
  <c r="AD42" i="3"/>
  <c r="AD10" i="3"/>
  <c r="AG162" i="1"/>
  <c r="AI162" i="1" s="1"/>
  <c r="X162" i="1"/>
  <c r="AG161" i="1"/>
  <c r="W161" i="1" s="1"/>
  <c r="AA217" i="1"/>
  <c r="S39" i="3"/>
  <c r="Y50" i="3"/>
  <c r="Y32" i="3"/>
  <c r="Y41" i="3"/>
  <c r="AD46" i="3"/>
  <c r="Y24" i="3"/>
  <c r="Y23" i="3"/>
  <c r="AA222" i="1"/>
  <c r="W222" i="1" s="1"/>
  <c r="AA204" i="1"/>
  <c r="W204" i="1" s="1"/>
  <c r="X202" i="1"/>
  <c r="AA184" i="1"/>
  <c r="AA172" i="1"/>
  <c r="AA168" i="1"/>
  <c r="AG214" i="1"/>
  <c r="AI127" i="1"/>
  <c r="AA108" i="1"/>
  <c r="W108" i="1" s="1"/>
  <c r="T108" i="1"/>
  <c r="U108" i="1" s="1"/>
  <c r="S108" i="1" s="1"/>
  <c r="AG99" i="1"/>
  <c r="U99" i="1" s="1"/>
  <c r="S99" i="1" s="1"/>
  <c r="X83" i="1"/>
  <c r="AA69" i="1"/>
  <c r="AA67" i="1"/>
  <c r="X64" i="1"/>
  <c r="AA62" i="1"/>
  <c r="AA55" i="1"/>
  <c r="W55" i="1" s="1"/>
  <c r="X74" i="1"/>
  <c r="T96" i="1"/>
  <c r="X96" i="1"/>
  <c r="AG96" i="1"/>
  <c r="AE36" i="3"/>
  <c r="AG169" i="1"/>
  <c r="AA231" i="1"/>
  <c r="AA228" i="1"/>
  <c r="AA227" i="1"/>
  <c r="W227" i="1" s="1"/>
  <c r="AA142" i="1"/>
  <c r="T80" i="1"/>
  <c r="AG80" i="1"/>
  <c r="AG78" i="1"/>
  <c r="AI78" i="1" s="1"/>
  <c r="X78" i="1"/>
  <c r="AC36" i="3"/>
  <c r="T36" i="3"/>
  <c r="X215" i="1"/>
  <c r="T215" i="1"/>
  <c r="S36" i="3"/>
  <c r="Y36" i="3"/>
  <c r="X185" i="1"/>
  <c r="AG185" i="1"/>
  <c r="W185" i="1" s="1"/>
  <c r="W177" i="1"/>
  <c r="T127" i="1"/>
  <c r="U127" i="1" s="1"/>
  <c r="S127" i="1" s="1"/>
  <c r="AG120" i="1"/>
  <c r="AI120" i="1" s="1"/>
  <c r="X120" i="1"/>
  <c r="T120" i="1"/>
  <c r="T65" i="1"/>
  <c r="X65" i="1"/>
  <c r="AG65" i="1"/>
  <c r="T56" i="3"/>
  <c r="AC19" i="3"/>
  <c r="AD43" i="3"/>
  <c r="AD37" i="3"/>
  <c r="T51" i="3"/>
  <c r="AD35" i="3"/>
  <c r="Y29" i="3"/>
  <c r="AG200" i="1"/>
  <c r="U200" i="1" s="1"/>
  <c r="S200" i="1" s="1"/>
  <c r="Y9" i="3"/>
  <c r="Y39" i="3"/>
  <c r="Y51" i="3"/>
  <c r="S51" i="3"/>
  <c r="S54" i="3"/>
  <c r="T47" i="3"/>
  <c r="AE56" i="3"/>
  <c r="Y7" i="3"/>
  <c r="Y46" i="3"/>
  <c r="AC31" i="3"/>
  <c r="AE51" i="3"/>
  <c r="AD29" i="3"/>
  <c r="AE29" i="3"/>
  <c r="AA221" i="1"/>
  <c r="AA219" i="1"/>
  <c r="W219" i="1" s="1"/>
  <c r="X204" i="1"/>
  <c r="X173" i="1"/>
  <c r="AA165" i="1"/>
  <c r="AG236" i="1"/>
  <c r="AI236" i="1" s="1"/>
  <c r="X236" i="1"/>
  <c r="X231" i="1"/>
  <c r="AA215" i="1"/>
  <c r="X147" i="1"/>
  <c r="T137" i="1"/>
  <c r="AA119" i="1"/>
  <c r="W119" i="1" s="1"/>
  <c r="AI119" i="1"/>
  <c r="X112" i="1"/>
  <c r="T107" i="1"/>
  <c r="AG107" i="1"/>
  <c r="AI107" i="1" s="1"/>
  <c r="T100" i="1"/>
  <c r="X100" i="1"/>
  <c r="AG100" i="1"/>
  <c r="T47" i="1"/>
  <c r="AG47" i="1"/>
  <c r="X132" i="1"/>
  <c r="AA122" i="1"/>
  <c r="AA120" i="1"/>
  <c r="AA99" i="1"/>
  <c r="AA89" i="1"/>
  <c r="AA87" i="1"/>
  <c r="AA44" i="1"/>
  <c r="W44" i="1" s="1"/>
  <c r="AA43" i="1"/>
  <c r="AA28" i="1"/>
  <c r="AI18" i="1"/>
  <c r="AA15" i="1"/>
  <c r="W15" i="1" s="1"/>
  <c r="AD13" i="3"/>
  <c r="Y45" i="3"/>
  <c r="AE9" i="3"/>
  <c r="AD48" i="3"/>
  <c r="Y49" i="3"/>
  <c r="AD25" i="3"/>
  <c r="Y16" i="3"/>
  <c r="Y35" i="3"/>
  <c r="Y15" i="3"/>
  <c r="Y31" i="3"/>
  <c r="Y40" i="3"/>
  <c r="AA223" i="1"/>
  <c r="W223" i="1" s="1"/>
  <c r="X205" i="1"/>
  <c r="AA183" i="1"/>
  <c r="AA171" i="1"/>
  <c r="W171" i="1" s="1"/>
  <c r="AA162" i="1"/>
  <c r="X240" i="1"/>
  <c r="AA236" i="1"/>
  <c r="AA159" i="1"/>
  <c r="W159" i="1" s="1"/>
  <c r="AA157" i="1"/>
  <c r="W157" i="1" s="1"/>
  <c r="AA152" i="1"/>
  <c r="AA151" i="1"/>
  <c r="AA137" i="1"/>
  <c r="W137" i="1" s="1"/>
  <c r="AA136" i="1"/>
  <c r="T132" i="1"/>
  <c r="AA131" i="1"/>
  <c r="W131" i="1" s="1"/>
  <c r="AA123" i="1"/>
  <c r="AA100" i="1"/>
  <c r="AA80" i="1"/>
  <c r="AA78" i="1"/>
  <c r="AA72" i="1"/>
  <c r="W72" i="1" s="1"/>
  <c r="X69" i="1"/>
  <c r="AA64" i="1"/>
  <c r="W64" i="1" s="1"/>
  <c r="T51" i="1"/>
  <c r="U51" i="1" s="1"/>
  <c r="S51" i="1" s="1"/>
  <c r="AA47" i="1"/>
  <c r="AA36" i="1"/>
  <c r="W36" i="1" s="1"/>
  <c r="AG25" i="1"/>
  <c r="U25" i="1" s="1"/>
  <c r="S25" i="1" s="1"/>
  <c r="X25" i="1"/>
  <c r="T18" i="1"/>
  <c r="AA16" i="1"/>
  <c r="R11" i="3"/>
  <c r="AA22" i="1"/>
  <c r="S21" i="3"/>
  <c r="S19" i="3"/>
  <c r="AA208" i="1"/>
  <c r="W208" i="1" s="1"/>
  <c r="AA207" i="1"/>
  <c r="AA205" i="1"/>
  <c r="AG202" i="1"/>
  <c r="U202" i="1" s="1"/>
  <c r="S202" i="1" s="1"/>
  <c r="AA201" i="1"/>
  <c r="AA196" i="1"/>
  <c r="AA192" i="1"/>
  <c r="AG189" i="1"/>
  <c r="U189" i="1" s="1"/>
  <c r="S189" i="1" s="1"/>
  <c r="X189" i="1"/>
  <c r="AA187" i="1"/>
  <c r="AG184" i="1"/>
  <c r="U184" i="1" s="1"/>
  <c r="S184" i="1" s="1"/>
  <c r="AA180" i="1"/>
  <c r="W180" i="1" s="1"/>
  <c r="T180" i="1"/>
  <c r="U180" i="1" s="1"/>
  <c r="S180" i="1" s="1"/>
  <c r="AG178" i="1"/>
  <c r="U178" i="1" s="1"/>
  <c r="S178" i="1" s="1"/>
  <c r="X178" i="1"/>
  <c r="X177" i="1"/>
  <c r="X174" i="1"/>
  <c r="AG170" i="1"/>
  <c r="U170" i="1" s="1"/>
  <c r="S170" i="1" s="1"/>
  <c r="X170" i="1"/>
  <c r="AA169" i="1"/>
  <c r="AG165" i="1"/>
  <c r="X165" i="1"/>
  <c r="X239" i="1"/>
  <c r="AA238" i="1"/>
  <c r="AG235" i="1"/>
  <c r="AA234" i="1"/>
  <c r="X228" i="1"/>
  <c r="AG228" i="1"/>
  <c r="AA218" i="1"/>
  <c r="AG207" i="1"/>
  <c r="U207" i="1" s="1"/>
  <c r="S207" i="1" s="1"/>
  <c r="AA198" i="1"/>
  <c r="W198" i="1" s="1"/>
  <c r="AG197" i="1"/>
  <c r="AI197" i="1" s="1"/>
  <c r="X197" i="1"/>
  <c r="X193" i="1"/>
  <c r="AG192" i="1"/>
  <c r="U192" i="1" s="1"/>
  <c r="S192" i="1" s="1"/>
  <c r="AA186" i="1"/>
  <c r="AA178" i="1"/>
  <c r="AA176" i="1"/>
  <c r="AA170" i="1"/>
  <c r="AA164" i="1"/>
  <c r="X206" i="1"/>
  <c r="AA239" i="1"/>
  <c r="X129" i="1"/>
  <c r="AA155" i="1"/>
  <c r="AA148" i="1"/>
  <c r="T144" i="1"/>
  <c r="U144" i="1" s="1"/>
  <c r="S144" i="1" s="1"/>
  <c r="AA140" i="1"/>
  <c r="AG109" i="1"/>
  <c r="AI109" i="1" s="1"/>
  <c r="X103" i="1"/>
  <c r="X95" i="1"/>
  <c r="X92" i="1"/>
  <c r="AA92" i="1"/>
  <c r="AG76" i="1"/>
  <c r="U76" i="1" s="1"/>
  <c r="S76" i="1" s="1"/>
  <c r="AG73" i="1"/>
  <c r="AI73" i="1" s="1"/>
  <c r="X73" i="1"/>
  <c r="X72" i="1"/>
  <c r="AG68" i="1"/>
  <c r="W68" i="1" s="1"/>
  <c r="AG56" i="1"/>
  <c r="U56" i="1" s="1"/>
  <c r="S56" i="1" s="1"/>
  <c r="AA51" i="1"/>
  <c r="W51" i="1" s="1"/>
  <c r="AG49" i="1"/>
  <c r="U49" i="1" s="1"/>
  <c r="S49" i="1" s="1"/>
  <c r="AG45" i="1"/>
  <c r="AA31" i="1"/>
  <c r="AG29" i="1"/>
  <c r="AI29" i="1" s="1"/>
  <c r="X29" i="1"/>
  <c r="AA19" i="1"/>
  <c r="AA18" i="1"/>
  <c r="W18" i="1" s="1"/>
  <c r="AA14" i="1"/>
  <c r="AA163" i="1"/>
  <c r="AA237" i="1"/>
  <c r="W237" i="1" s="1"/>
  <c r="X227" i="1"/>
  <c r="AG215" i="1"/>
  <c r="AA214" i="1"/>
  <c r="W214" i="1" s="1"/>
  <c r="AA210" i="1"/>
  <c r="W210" i="1" s="1"/>
  <c r="AA154" i="1"/>
  <c r="AA153" i="1"/>
  <c r="AA149" i="1"/>
  <c r="AA147" i="1"/>
  <c r="AA146" i="1"/>
  <c r="AA141" i="1"/>
  <c r="AA139" i="1"/>
  <c r="AA138" i="1"/>
  <c r="AA134" i="1"/>
  <c r="AG132" i="1"/>
  <c r="AI132" i="1" s="1"/>
  <c r="X131" i="1"/>
  <c r="AA129" i="1"/>
  <c r="W129" i="1" s="1"/>
  <c r="T129" i="1"/>
  <c r="U129" i="1" s="1"/>
  <c r="S129" i="1" s="1"/>
  <c r="AA128" i="1"/>
  <c r="AA127" i="1"/>
  <c r="W127" i="1" s="1"/>
  <c r="AA125" i="1"/>
  <c r="W125" i="1" s="1"/>
  <c r="T119" i="1"/>
  <c r="U119" i="1" s="1"/>
  <c r="S119" i="1" s="1"/>
  <c r="AA117" i="1"/>
  <c r="AG115" i="1"/>
  <c r="AG113" i="1"/>
  <c r="AI113" i="1" s="1"/>
  <c r="AA112" i="1"/>
  <c r="W112" i="1" s="1"/>
  <c r="T112" i="1"/>
  <c r="U112" i="1" s="1"/>
  <c r="S112" i="1" s="1"/>
  <c r="AG111" i="1"/>
  <c r="AA104" i="1"/>
  <c r="W104" i="1" s="1"/>
  <c r="AG103" i="1"/>
  <c r="AI103" i="1" s="1"/>
  <c r="AG95" i="1"/>
  <c r="AI95" i="1" s="1"/>
  <c r="AA93" i="1"/>
  <c r="AA91" i="1"/>
  <c r="X88" i="1"/>
  <c r="AA86" i="1"/>
  <c r="AA81" i="1"/>
  <c r="AA74" i="1"/>
  <c r="T69" i="1"/>
  <c r="AA63" i="1"/>
  <c r="T57" i="1"/>
  <c r="T54" i="1"/>
  <c r="U54" i="1" s="1"/>
  <c r="S54" i="1" s="1"/>
  <c r="X52" i="1"/>
  <c r="AA41" i="1"/>
  <c r="T40" i="1"/>
  <c r="AA39" i="1"/>
  <c r="T21" i="1"/>
  <c r="AA213" i="1"/>
  <c r="AA94" i="1"/>
  <c r="AA60" i="1"/>
  <c r="AA57" i="1"/>
  <c r="AA56" i="1"/>
  <c r="AA54" i="1"/>
  <c r="W54" i="1" s="1"/>
  <c r="AA50" i="1"/>
  <c r="AA40" i="1"/>
  <c r="W40" i="1" s="1"/>
  <c r="T36" i="1"/>
  <c r="U36" i="1" s="1"/>
  <c r="S36" i="1" s="1"/>
  <c r="AA35" i="1"/>
  <c r="X223" i="1"/>
  <c r="T201" i="1"/>
  <c r="T193" i="1"/>
  <c r="T183" i="1"/>
  <c r="X184" i="1"/>
  <c r="X219" i="1"/>
  <c r="T205" i="1"/>
  <c r="X222" i="1"/>
  <c r="AG220" i="1"/>
  <c r="U220" i="1" s="1"/>
  <c r="S220" i="1" s="1"/>
  <c r="X220" i="1"/>
  <c r="X208" i="1"/>
  <c r="AA206" i="1"/>
  <c r="T206" i="1"/>
  <c r="AG205" i="1"/>
  <c r="T204" i="1"/>
  <c r="AA202" i="1"/>
  <c r="AG201" i="1"/>
  <c r="AI201" i="1" s="1"/>
  <c r="AG196" i="1"/>
  <c r="U196" i="1" s="1"/>
  <c r="S196" i="1" s="1"/>
  <c r="X196" i="1"/>
  <c r="AG193" i="1"/>
  <c r="AG188" i="1"/>
  <c r="U188" i="1" s="1"/>
  <c r="S188" i="1" s="1"/>
  <c r="X188" i="1"/>
  <c r="T181" i="1"/>
  <c r="AG181" i="1"/>
  <c r="T219" i="1"/>
  <c r="U219" i="1" s="1"/>
  <c r="S219" i="1" s="1"/>
  <c r="X201" i="1"/>
  <c r="AA199" i="1"/>
  <c r="W199" i="1" s="1"/>
  <c r="AA197" i="1"/>
  <c r="AA191" i="1"/>
  <c r="AA190" i="1"/>
  <c r="W190" i="1" s="1"/>
  <c r="X224" i="1"/>
  <c r="AI159" i="1"/>
  <c r="T223" i="1"/>
  <c r="U223" i="1" s="1"/>
  <c r="S223" i="1" s="1"/>
  <c r="T222" i="1"/>
  <c r="U222" i="1" s="1"/>
  <c r="S222" i="1" s="1"/>
  <c r="AA220" i="1"/>
  <c r="T208" i="1"/>
  <c r="U208" i="1" s="1"/>
  <c r="S208" i="1" s="1"/>
  <c r="AG206" i="1"/>
  <c r="AI206" i="1" s="1"/>
  <c r="AA200" i="1"/>
  <c r="W200" i="1" s="1"/>
  <c r="AA194" i="1"/>
  <c r="AA193" i="1"/>
  <c r="W193" i="1" s="1"/>
  <c r="AA188" i="1"/>
  <c r="W231" i="1"/>
  <c r="T173" i="1"/>
  <c r="U169" i="1"/>
  <c r="S169" i="1" s="1"/>
  <c r="T239" i="1"/>
  <c r="T218" i="1"/>
  <c r="U214" i="1"/>
  <c r="S214" i="1" s="1"/>
  <c r="AG116" i="1"/>
  <c r="AI116" i="1" s="1"/>
  <c r="T116" i="1"/>
  <c r="X116" i="1"/>
  <c r="AG114" i="1"/>
  <c r="T114" i="1"/>
  <c r="X114" i="1"/>
  <c r="X115" i="1"/>
  <c r="AG110" i="1"/>
  <c r="T110" i="1"/>
  <c r="X110" i="1"/>
  <c r="X111" i="1"/>
  <c r="T177" i="1"/>
  <c r="U177" i="1" s="1"/>
  <c r="S177" i="1" s="1"/>
  <c r="AA175" i="1"/>
  <c r="W175" i="1" s="1"/>
  <c r="AA174" i="1"/>
  <c r="T174" i="1"/>
  <c r="AG173" i="1"/>
  <c r="X169" i="1"/>
  <c r="AG166" i="1"/>
  <c r="X166" i="1"/>
  <c r="T161" i="1"/>
  <c r="AA241" i="1"/>
  <c r="W241" i="1" s="1"/>
  <c r="AA240" i="1"/>
  <c r="T240" i="1"/>
  <c r="AG239" i="1"/>
  <c r="AI239" i="1" s="1"/>
  <c r="X235" i="1"/>
  <c r="AG232" i="1"/>
  <c r="U232" i="1" s="1"/>
  <c r="S232" i="1" s="1"/>
  <c r="X232" i="1"/>
  <c r="T227" i="1"/>
  <c r="U227" i="1" s="1"/>
  <c r="S227" i="1" s="1"/>
  <c r="AA225" i="1"/>
  <c r="W225" i="1" s="1"/>
  <c r="AA224" i="1"/>
  <c r="T224" i="1"/>
  <c r="AG218" i="1"/>
  <c r="X214" i="1"/>
  <c r="AG211" i="1"/>
  <c r="U211" i="1" s="1"/>
  <c r="X211" i="1"/>
  <c r="T210" i="1"/>
  <c r="U210" i="1" s="1"/>
  <c r="S210" i="1" s="1"/>
  <c r="AA209" i="1"/>
  <c r="AA160" i="1"/>
  <c r="AG155" i="1"/>
  <c r="U155" i="1" s="1"/>
  <c r="S155" i="1" s="1"/>
  <c r="AG150" i="1"/>
  <c r="AI150" i="1" s="1"/>
  <c r="AG148" i="1"/>
  <c r="AI148" i="1" s="1"/>
  <c r="X144" i="1"/>
  <c r="AG142" i="1"/>
  <c r="AI142" i="1" s="1"/>
  <c r="AG140" i="1"/>
  <c r="AI140" i="1" s="1"/>
  <c r="AG136" i="1"/>
  <c r="AI136" i="1" s="1"/>
  <c r="X136" i="1"/>
  <c r="X135" i="1"/>
  <c r="AA133" i="1"/>
  <c r="W133" i="1" s="1"/>
  <c r="T133" i="1"/>
  <c r="AA132" i="1"/>
  <c r="AG130" i="1"/>
  <c r="AI130" i="1" s="1"/>
  <c r="T128" i="1"/>
  <c r="X128" i="1"/>
  <c r="AG128" i="1"/>
  <c r="AI128" i="1" s="1"/>
  <c r="AG121" i="1"/>
  <c r="W121" i="1" s="1"/>
  <c r="AI88" i="1"/>
  <c r="W78" i="1"/>
  <c r="T165" i="1"/>
  <c r="T231" i="1"/>
  <c r="U231" i="1" s="1"/>
  <c r="S231" i="1" s="1"/>
  <c r="X210" i="1"/>
  <c r="T159" i="1"/>
  <c r="U159" i="1" s="1"/>
  <c r="S159" i="1" s="1"/>
  <c r="X151" i="1"/>
  <c r="X143" i="1"/>
  <c r="X137" i="1"/>
  <c r="U123" i="1"/>
  <c r="S123" i="1" s="1"/>
  <c r="T117" i="1"/>
  <c r="AG117" i="1"/>
  <c r="AI64" i="1"/>
  <c r="AA182" i="1"/>
  <c r="W182" i="1" s="1"/>
  <c r="AA181" i="1"/>
  <c r="AG174" i="1"/>
  <c r="AA167" i="1"/>
  <c r="W167" i="1" s="1"/>
  <c r="AA166" i="1"/>
  <c r="AG240" i="1"/>
  <c r="AA233" i="1"/>
  <c r="W233" i="1" s="1"/>
  <c r="AA232" i="1"/>
  <c r="AG224" i="1"/>
  <c r="AA212" i="1"/>
  <c r="W212" i="1" s="1"/>
  <c r="AA211" i="1"/>
  <c r="AG160" i="1"/>
  <c r="AI160" i="1" s="1"/>
  <c r="AA156" i="1"/>
  <c r="X155" i="1"/>
  <c r="AG153" i="1"/>
  <c r="AI153" i="1" s="1"/>
  <c r="X148" i="1"/>
  <c r="AG146" i="1"/>
  <c r="AI146" i="1" s="1"/>
  <c r="X140" i="1"/>
  <c r="AG138" i="1"/>
  <c r="AI138" i="1" s="1"/>
  <c r="AA135" i="1"/>
  <c r="W135" i="1" s="1"/>
  <c r="T135" i="1"/>
  <c r="U135" i="1" s="1"/>
  <c r="S135" i="1" s="1"/>
  <c r="X133" i="1"/>
  <c r="AG124" i="1"/>
  <c r="W124" i="1" s="1"/>
  <c r="X124" i="1"/>
  <c r="AI72" i="1"/>
  <c r="AA118" i="1"/>
  <c r="X107" i="1"/>
  <c r="AG105" i="1"/>
  <c r="AI105" i="1" s="1"/>
  <c r="T103" i="1"/>
  <c r="AA102" i="1"/>
  <c r="AA101" i="1"/>
  <c r="X99" i="1"/>
  <c r="AG97" i="1"/>
  <c r="AI97" i="1" s="1"/>
  <c r="T95" i="1"/>
  <c r="T92" i="1"/>
  <c r="AG91" i="1"/>
  <c r="AG89" i="1"/>
  <c r="AI89" i="1" s="1"/>
  <c r="X89" i="1"/>
  <c r="AA85" i="1"/>
  <c r="W85" i="1" s="1"/>
  <c r="AA83" i="1"/>
  <c r="T83" i="1"/>
  <c r="AG82" i="1"/>
  <c r="AG79" i="1"/>
  <c r="U79" i="1" s="1"/>
  <c r="S79" i="1" s="1"/>
  <c r="X79" i="1"/>
  <c r="AG75" i="1"/>
  <c r="T60" i="1"/>
  <c r="T55" i="1"/>
  <c r="U55" i="1" s="1"/>
  <c r="S55" i="1" s="1"/>
  <c r="T16" i="1"/>
  <c r="T88" i="1"/>
  <c r="U88" i="1" s="1"/>
  <c r="S88" i="1" s="1"/>
  <c r="X82" i="1"/>
  <c r="T78" i="1"/>
  <c r="T72" i="1"/>
  <c r="U72" i="1" s="1"/>
  <c r="S72" i="1" s="1"/>
  <c r="X68" i="1"/>
  <c r="T64" i="1"/>
  <c r="U64" i="1" s="1"/>
  <c r="S64" i="1" s="1"/>
  <c r="W61" i="1"/>
  <c r="AG60" i="1"/>
  <c r="X56" i="1"/>
  <c r="AA53" i="1"/>
  <c r="AI51" i="1"/>
  <c r="X48" i="1"/>
  <c r="AG43" i="1"/>
  <c r="AG41" i="1"/>
  <c r="U41" i="1" s="1"/>
  <c r="S41" i="1" s="1"/>
  <c r="AG39" i="1"/>
  <c r="AG37" i="1"/>
  <c r="W37" i="1" s="1"/>
  <c r="AG35" i="1"/>
  <c r="AG31" i="1"/>
  <c r="AI31" i="1" s="1"/>
  <c r="AA30" i="1"/>
  <c r="W30" i="1" s="1"/>
  <c r="T30" i="1"/>
  <c r="U30" i="1" s="1"/>
  <c r="S30" i="1" s="1"/>
  <c r="AA29" i="1"/>
  <c r="T28" i="1"/>
  <c r="U28" i="1" s="1"/>
  <c r="S28" i="1" s="1"/>
  <c r="AA21" i="1"/>
  <c r="T20" i="1"/>
  <c r="U20" i="1" s="1"/>
  <c r="AG16" i="1"/>
  <c r="T15" i="1"/>
  <c r="U15" i="1" s="1"/>
  <c r="S15" i="1" s="1"/>
  <c r="AA126" i="1"/>
  <c r="W126" i="1" s="1"/>
  <c r="AA116" i="1"/>
  <c r="AA114" i="1"/>
  <c r="W114" i="1" s="1"/>
  <c r="AA113" i="1"/>
  <c r="AA110" i="1"/>
  <c r="W110" i="1" s="1"/>
  <c r="AA109" i="1"/>
  <c r="AA106" i="1"/>
  <c r="AA105" i="1"/>
  <c r="AG101" i="1"/>
  <c r="U101" i="1" s="1"/>
  <c r="S101" i="1" s="1"/>
  <c r="AA98" i="1"/>
  <c r="AA97" i="1"/>
  <c r="AA96" i="1"/>
  <c r="AG92" i="1"/>
  <c r="X85" i="1"/>
  <c r="AG83" i="1"/>
  <c r="AI83" i="1" s="1"/>
  <c r="AA79" i="1"/>
  <c r="AA73" i="1"/>
  <c r="AG69" i="1"/>
  <c r="AA65" i="1"/>
  <c r="X60" i="1"/>
  <c r="AG57" i="1"/>
  <c r="AI57" i="1" s="1"/>
  <c r="X55" i="1"/>
  <c r="AI54" i="1"/>
  <c r="AG53" i="1"/>
  <c r="AI53" i="1" s="1"/>
  <c r="AA52" i="1"/>
  <c r="W52" i="1" s="1"/>
  <c r="T52" i="1"/>
  <c r="AA49" i="1"/>
  <c r="AA46" i="1"/>
  <c r="X44" i="1"/>
  <c r="AA26" i="1"/>
  <c r="AG21" i="1"/>
  <c r="AI21" i="1" s="1"/>
  <c r="X16" i="1"/>
  <c r="AA66" i="1"/>
  <c r="X54" i="1"/>
  <c r="AA48" i="1"/>
  <c r="T48" i="1"/>
  <c r="U48" i="1" s="1"/>
  <c r="S48" i="1" s="1"/>
  <c r="W45" i="1"/>
  <c r="AA42" i="1"/>
  <c r="X40" i="1"/>
  <c r="AA38" i="1"/>
  <c r="X36" i="1"/>
  <c r="AA32" i="1"/>
  <c r="X30" i="1"/>
  <c r="X28" i="1"/>
  <c r="T24" i="1"/>
  <c r="U24" i="1" s="1"/>
  <c r="S24" i="1" s="1"/>
  <c r="X15" i="1"/>
  <c r="AI241" i="1"/>
  <c r="AI237" i="1"/>
  <c r="U204" i="1"/>
  <c r="AI233" i="1"/>
  <c r="T190" i="1"/>
  <c r="U190" i="1" s="1"/>
  <c r="S190" i="1" s="1"/>
  <c r="X190" i="1"/>
  <c r="AA189" i="1"/>
  <c r="AG186" i="1"/>
  <c r="AI186" i="1" s="1"/>
  <c r="T186" i="1"/>
  <c r="X186" i="1"/>
  <c r="AI199" i="1"/>
  <c r="U206" i="1"/>
  <c r="S206" i="1" s="1"/>
  <c r="T195" i="1"/>
  <c r="U195" i="1" s="1"/>
  <c r="S195" i="1" s="1"/>
  <c r="T194" i="1"/>
  <c r="X194" i="1"/>
  <c r="T191" i="1"/>
  <c r="X191" i="1"/>
  <c r="AG191" i="1"/>
  <c r="AI191" i="1" s="1"/>
  <c r="AI219" i="1"/>
  <c r="W163" i="1"/>
  <c r="W229" i="1"/>
  <c r="AG221" i="1"/>
  <c r="AI221" i="1" s="1"/>
  <c r="AG203" i="1"/>
  <c r="AI203" i="1" s="1"/>
  <c r="X200" i="1"/>
  <c r="T199" i="1"/>
  <c r="U199" i="1" s="1"/>
  <c r="S199" i="1" s="1"/>
  <c r="AI227" i="1"/>
  <c r="AI225" i="1"/>
  <c r="X195" i="1"/>
  <c r="AG194" i="1"/>
  <c r="AI194" i="1" s="1"/>
  <c r="AI218" i="1"/>
  <c r="X221" i="1"/>
  <c r="X207" i="1"/>
  <c r="X203" i="1"/>
  <c r="AI231" i="1"/>
  <c r="AI229" i="1"/>
  <c r="X199" i="1"/>
  <c r="T198" i="1"/>
  <c r="U198" i="1" s="1"/>
  <c r="S198" i="1" s="1"/>
  <c r="X198" i="1"/>
  <c r="AI222" i="1"/>
  <c r="X192" i="1"/>
  <c r="AI195" i="1"/>
  <c r="AG187" i="1"/>
  <c r="AI187" i="1" s="1"/>
  <c r="AI214" i="1"/>
  <c r="AG183" i="1"/>
  <c r="AI183" i="1" s="1"/>
  <c r="T182" i="1"/>
  <c r="U182" i="1" s="1"/>
  <c r="S182" i="1" s="1"/>
  <c r="AI210" i="1"/>
  <c r="AG179" i="1"/>
  <c r="AI179" i="1" s="1"/>
  <c r="AG176" i="1"/>
  <c r="X175" i="1"/>
  <c r="T175" i="1"/>
  <c r="U175" i="1" s="1"/>
  <c r="S175" i="1" s="1"/>
  <c r="AI202" i="1"/>
  <c r="AG172" i="1"/>
  <c r="X171" i="1"/>
  <c r="T171" i="1"/>
  <c r="U171" i="1" s="1"/>
  <c r="S171" i="1" s="1"/>
  <c r="AI198" i="1"/>
  <c r="AG168" i="1"/>
  <c r="X167" i="1"/>
  <c r="T167" i="1"/>
  <c r="U167" i="1" s="1"/>
  <c r="S167" i="1" s="1"/>
  <c r="AG164" i="1"/>
  <c r="AI164" i="1" s="1"/>
  <c r="X163" i="1"/>
  <c r="T163" i="1"/>
  <c r="U163" i="1" s="1"/>
  <c r="S163" i="1" s="1"/>
  <c r="AI190" i="1"/>
  <c r="AG242" i="1"/>
  <c r="X241" i="1"/>
  <c r="T241" i="1"/>
  <c r="U241" i="1" s="1"/>
  <c r="S241" i="1" s="1"/>
  <c r="AG238" i="1"/>
  <c r="X237" i="1"/>
  <c r="T237" i="1"/>
  <c r="U237" i="1" s="1"/>
  <c r="S237" i="1" s="1"/>
  <c r="AI182" i="1"/>
  <c r="AG234" i="1"/>
  <c r="AI234" i="1" s="1"/>
  <c r="X233" i="1"/>
  <c r="T233" i="1"/>
  <c r="U233" i="1" s="1"/>
  <c r="S233" i="1" s="1"/>
  <c r="AG230" i="1"/>
  <c r="AI230" i="1" s="1"/>
  <c r="X229" i="1"/>
  <c r="T229" i="1"/>
  <c r="U229" i="1" s="1"/>
  <c r="S229" i="1" s="1"/>
  <c r="AI175" i="1"/>
  <c r="AG226" i="1"/>
  <c r="X225" i="1"/>
  <c r="T225" i="1"/>
  <c r="U225" i="1" s="1"/>
  <c r="S225" i="1" s="1"/>
  <c r="AI171" i="1"/>
  <c r="AG217" i="1"/>
  <c r="X216" i="1"/>
  <c r="T216" i="1"/>
  <c r="U216" i="1" s="1"/>
  <c r="S216" i="1" s="1"/>
  <c r="AI167" i="1"/>
  <c r="AG213" i="1"/>
  <c r="AI213" i="1" s="1"/>
  <c r="X212" i="1"/>
  <c r="T212" i="1"/>
  <c r="U212" i="1" s="1"/>
  <c r="S212" i="1" s="1"/>
  <c r="AI163" i="1"/>
  <c r="S211" i="1"/>
  <c r="AG209" i="1"/>
  <c r="AI209" i="1" s="1"/>
  <c r="X160" i="1"/>
  <c r="U137" i="1"/>
  <c r="S137" i="1" s="1"/>
  <c r="AI137" i="1"/>
  <c r="AI131" i="1"/>
  <c r="X187" i="1"/>
  <c r="X183" i="1"/>
  <c r="X176" i="1"/>
  <c r="X172" i="1"/>
  <c r="X168" i="1"/>
  <c r="X164" i="1"/>
  <c r="X242" i="1"/>
  <c r="X238" i="1"/>
  <c r="X234" i="1"/>
  <c r="X230" i="1"/>
  <c r="X226" i="1"/>
  <c r="X217" i="1"/>
  <c r="X213" i="1"/>
  <c r="X209" i="1"/>
  <c r="T209" i="1"/>
  <c r="AI158" i="1"/>
  <c r="U158" i="1"/>
  <c r="S158" i="1" s="1"/>
  <c r="U133" i="1"/>
  <c r="S133" i="1" s="1"/>
  <c r="AI133" i="1"/>
  <c r="X158" i="1"/>
  <c r="T156" i="1"/>
  <c r="X156" i="1"/>
  <c r="AG156" i="1"/>
  <c r="AI129" i="1"/>
  <c r="AI135" i="1"/>
  <c r="U134" i="1"/>
  <c r="S134" i="1" s="1"/>
  <c r="X157" i="1"/>
  <c r="AG154" i="1"/>
  <c r="AG151" i="1"/>
  <c r="X150" i="1"/>
  <c r="AG147" i="1"/>
  <c r="X146" i="1"/>
  <c r="AG143" i="1"/>
  <c r="X142" i="1"/>
  <c r="AG139" i="1"/>
  <c r="X138" i="1"/>
  <c r="X134" i="1"/>
  <c r="X130" i="1"/>
  <c r="T126" i="1"/>
  <c r="U126" i="1" s="1"/>
  <c r="S126" i="1" s="1"/>
  <c r="AI112" i="1"/>
  <c r="AI108" i="1"/>
  <c r="U140" i="1"/>
  <c r="S140" i="1" s="1"/>
  <c r="AG152" i="1"/>
  <c r="AG149" i="1"/>
  <c r="AG145" i="1"/>
  <c r="AG141" i="1"/>
  <c r="W141" i="1" s="1"/>
  <c r="X127" i="1"/>
  <c r="X126" i="1"/>
  <c r="U125" i="1"/>
  <c r="S125" i="1" s="1"/>
  <c r="X149" i="1"/>
  <c r="X145" i="1"/>
  <c r="X141" i="1"/>
  <c r="AI125" i="1"/>
  <c r="AI114" i="1"/>
  <c r="AI110" i="1"/>
  <c r="X123" i="1"/>
  <c r="X119" i="1"/>
  <c r="U104" i="1"/>
  <c r="S104" i="1" s="1"/>
  <c r="T84" i="1"/>
  <c r="U84" i="1" s="1"/>
  <c r="S84" i="1" s="1"/>
  <c r="X84" i="1"/>
  <c r="AI55" i="1"/>
  <c r="U105" i="1"/>
  <c r="S105" i="1" s="1"/>
  <c r="AG86" i="1"/>
  <c r="X125" i="1"/>
  <c r="AG122" i="1"/>
  <c r="X121" i="1"/>
  <c r="AG118" i="1"/>
  <c r="X117" i="1"/>
  <c r="X113" i="1"/>
  <c r="X109" i="1"/>
  <c r="AG106" i="1"/>
  <c r="X105" i="1"/>
  <c r="AI104" i="1"/>
  <c r="AG102" i="1"/>
  <c r="X101" i="1"/>
  <c r="AI100" i="1"/>
  <c r="AG98" i="1"/>
  <c r="X97" i="1"/>
  <c r="AI96" i="1"/>
  <c r="AG94" i="1"/>
  <c r="X93" i="1"/>
  <c r="AI92" i="1"/>
  <c r="AG90" i="1"/>
  <c r="AG87" i="1"/>
  <c r="X86" i="1"/>
  <c r="X122" i="1"/>
  <c r="X118" i="1"/>
  <c r="X106" i="1"/>
  <c r="X102" i="1"/>
  <c r="X98" i="1"/>
  <c r="X94" i="1"/>
  <c r="X87" i="1"/>
  <c r="T85" i="1"/>
  <c r="U85" i="1" s="1"/>
  <c r="S85" i="1" s="1"/>
  <c r="AI84" i="1"/>
  <c r="AA84" i="1"/>
  <c r="W84" i="1" s="1"/>
  <c r="AG70" i="1"/>
  <c r="AG66" i="1"/>
  <c r="AG62" i="1"/>
  <c r="AG58" i="1"/>
  <c r="W58" i="1" s="1"/>
  <c r="AI48" i="1"/>
  <c r="W28" i="1"/>
  <c r="AG81" i="1"/>
  <c r="W81" i="1" s="1"/>
  <c r="X80" i="1"/>
  <c r="AG77" i="1"/>
  <c r="AG74" i="1"/>
  <c r="AG71" i="1"/>
  <c r="X70" i="1"/>
  <c r="AG67" i="1"/>
  <c r="X66" i="1"/>
  <c r="AG63" i="1"/>
  <c r="X62" i="1"/>
  <c r="AI61" i="1"/>
  <c r="AG59" i="1"/>
  <c r="W59" i="1" s="1"/>
  <c r="X58" i="1"/>
  <c r="AI52" i="1"/>
  <c r="U52" i="1"/>
  <c r="S52" i="1" s="1"/>
  <c r="AI44" i="1"/>
  <c r="AI28" i="1"/>
  <c r="AI20" i="1"/>
  <c r="AI15" i="1"/>
  <c r="X81" i="1"/>
  <c r="AI80" i="1"/>
  <c r="X71" i="1"/>
  <c r="X67" i="1"/>
  <c r="X63" i="1"/>
  <c r="X59" i="1"/>
  <c r="T50" i="1"/>
  <c r="X50" i="1"/>
  <c r="AG50" i="1"/>
  <c r="X51" i="1"/>
  <c r="AI40" i="1"/>
  <c r="U40" i="1"/>
  <c r="S40" i="1" s="1"/>
  <c r="AI36" i="1"/>
  <c r="AI30" i="1"/>
  <c r="W48" i="1"/>
  <c r="AI24" i="1"/>
  <c r="X47" i="1"/>
  <c r="X43" i="1"/>
  <c r="X39" i="1"/>
  <c r="AG26" i="1"/>
  <c r="W26" i="1" s="1"/>
  <c r="AG22" i="1"/>
  <c r="U18" i="1"/>
  <c r="U45" i="1"/>
  <c r="S45" i="1" s="1"/>
  <c r="AG27" i="1"/>
  <c r="X26" i="1"/>
  <c r="AG23" i="1"/>
  <c r="AG19" i="1"/>
  <c r="AG14" i="1"/>
  <c r="X53" i="1"/>
  <c r="X49" i="1"/>
  <c r="AG46" i="1"/>
  <c r="X45" i="1"/>
  <c r="AG42" i="1"/>
  <c r="X41" i="1"/>
  <c r="AG38" i="1"/>
  <c r="X37" i="1"/>
  <c r="AG32" i="1"/>
  <c r="X31" i="1"/>
  <c r="X27" i="1"/>
  <c r="X23" i="1"/>
  <c r="X46" i="1"/>
  <c r="AI45" i="1"/>
  <c r="X42" i="1"/>
  <c r="X38" i="1"/>
  <c r="X32" i="1"/>
  <c r="AD21" i="3"/>
  <c r="AE21" i="3"/>
  <c r="T12" i="3"/>
  <c r="Y44" i="3"/>
  <c r="Y56" i="3"/>
  <c r="AD40" i="3"/>
  <c r="T26" i="3"/>
  <c r="Y27" i="3"/>
  <c r="Y19" i="3"/>
  <c r="AD24" i="3"/>
  <c r="AC42" i="3"/>
  <c r="Y48" i="3"/>
  <c r="AD39" i="3"/>
  <c r="AD49" i="3"/>
  <c r="AD36" i="3"/>
  <c r="AD32" i="3"/>
  <c r="Y52" i="3"/>
  <c r="AD15" i="3"/>
  <c r="T46" i="3"/>
  <c r="Y43" i="3"/>
  <c r="Y26" i="3"/>
  <c r="AD23" i="3"/>
  <c r="AC37" i="3"/>
  <c r="AD38" i="3"/>
  <c r="AE38" i="3"/>
  <c r="AD22" i="3"/>
  <c r="AE22" i="3"/>
  <c r="AD11" i="3"/>
  <c r="AC30" i="3"/>
  <c r="AE26" i="3"/>
  <c r="AD27" i="3"/>
  <c r="AD19" i="3"/>
  <c r="T13" i="3"/>
  <c r="Y12" i="3"/>
  <c r="T44" i="3"/>
  <c r="AD33" i="3"/>
  <c r="AE33" i="3"/>
  <c r="Y38" i="3"/>
  <c r="AE49" i="3"/>
  <c r="AC14" i="3"/>
  <c r="T37" i="3"/>
  <c r="T53" i="3"/>
  <c r="AD52" i="3"/>
  <c r="AE52" i="3"/>
  <c r="Y47" i="3"/>
  <c r="AE41" i="3"/>
  <c r="AC15" i="3"/>
  <c r="T10" i="3"/>
  <c r="T43" i="3"/>
  <c r="AD20" i="3"/>
  <c r="AE20" i="3"/>
  <c r="Y21" i="3"/>
  <c r="AE19" i="3"/>
  <c r="AC24" i="3"/>
  <c r="Y37" i="3"/>
  <c r="Y53" i="3"/>
  <c r="Y10" i="3"/>
  <c r="AE13" i="3"/>
  <c r="AE44" i="3"/>
  <c r="AC48" i="3"/>
  <c r="T49" i="3"/>
  <c r="AE25" i="3"/>
  <c r="Y22" i="3"/>
  <c r="AE53" i="3"/>
  <c r="AC11" i="3"/>
  <c r="T41" i="3"/>
  <c r="AE10" i="3"/>
  <c r="AE43" i="3"/>
  <c r="AC40" i="3"/>
  <c r="T19" i="3"/>
  <c r="Y33" i="3"/>
  <c r="Y20" i="3"/>
  <c r="AE34" i="3"/>
  <c r="T34" i="3"/>
  <c r="AE50" i="3"/>
  <c r="T50" i="3"/>
  <c r="AE54" i="3"/>
  <c r="T54" i="3"/>
  <c r="AE7" i="3"/>
  <c r="T7" i="3"/>
  <c r="AE31" i="3"/>
  <c r="T31" i="3"/>
  <c r="AE17" i="3"/>
  <c r="T17" i="3"/>
  <c r="AE28" i="3"/>
  <c r="T28" i="3"/>
  <c r="AE18" i="3"/>
  <c r="T18" i="3"/>
  <c r="AE45" i="3"/>
  <c r="T45" i="3"/>
  <c r="AE8" i="3"/>
  <c r="T8" i="3"/>
  <c r="AE14" i="3"/>
  <c r="T25" i="3"/>
  <c r="AE16" i="3"/>
  <c r="T16" i="3"/>
  <c r="AD45" i="3"/>
  <c r="AE42" i="3"/>
  <c r="T42" i="3"/>
  <c r="AD34" i="3"/>
  <c r="AE48" i="3"/>
  <c r="T48" i="3"/>
  <c r="AD8" i="3"/>
  <c r="AE39" i="3"/>
  <c r="T39" i="3"/>
  <c r="AD14" i="3"/>
  <c r="AE37" i="3"/>
  <c r="T14" i="3"/>
  <c r="AD50" i="3"/>
  <c r="AE32" i="3"/>
  <c r="T32" i="3"/>
  <c r="AD16" i="3"/>
  <c r="AE11" i="3"/>
  <c r="T11" i="3"/>
  <c r="AD54" i="3"/>
  <c r="AE35" i="3"/>
  <c r="T35" i="3"/>
  <c r="AD7" i="3"/>
  <c r="AE15" i="3"/>
  <c r="T15" i="3"/>
  <c r="AD31" i="3"/>
  <c r="AE30" i="3"/>
  <c r="T30" i="3"/>
  <c r="AD17" i="3"/>
  <c r="AE40" i="3"/>
  <c r="T40" i="3"/>
  <c r="AD28" i="3"/>
  <c r="AE27" i="3"/>
  <c r="T27" i="3"/>
  <c r="AD18" i="3"/>
  <c r="AE24" i="3"/>
  <c r="T24" i="3"/>
  <c r="AE23" i="3"/>
  <c r="W34" i="1" l="1"/>
  <c r="U34" i="1"/>
  <c r="S34" i="1" s="1"/>
  <c r="AI17" i="1"/>
  <c r="U17" i="1"/>
  <c r="S17" i="1" s="1"/>
  <c r="W17" i="1"/>
  <c r="AI76" i="1"/>
  <c r="U136" i="1"/>
  <c r="S136" i="1" s="1"/>
  <c r="W139" i="1"/>
  <c r="W226" i="1"/>
  <c r="W120" i="1"/>
  <c r="U97" i="1"/>
  <c r="S97" i="1" s="1"/>
  <c r="W151" i="1"/>
  <c r="AI68" i="1"/>
  <c r="U68" i="1"/>
  <c r="S68" i="1" s="1"/>
  <c r="U31" i="1"/>
  <c r="S31" i="1" s="1"/>
  <c r="AI41" i="1"/>
  <c r="U124" i="1"/>
  <c r="S124" i="1" s="1"/>
  <c r="U69" i="1"/>
  <c r="S69" i="1" s="1"/>
  <c r="W62" i="1"/>
  <c r="U92" i="1"/>
  <c r="S92" i="1" s="1"/>
  <c r="U100" i="1"/>
  <c r="S100" i="1" s="1"/>
  <c r="W189" i="1"/>
  <c r="W232" i="1"/>
  <c r="W76" i="1"/>
  <c r="U162" i="1"/>
  <c r="S162" i="1" s="1"/>
  <c r="W100" i="1"/>
  <c r="W162" i="1"/>
  <c r="U80" i="1"/>
  <c r="S80" i="1" s="1"/>
  <c r="U96" i="1"/>
  <c r="S96" i="1" s="1"/>
  <c r="W25" i="1"/>
  <c r="W23" i="1"/>
  <c r="AI56" i="1"/>
  <c r="W211" i="1"/>
  <c r="W235" i="1"/>
  <c r="W207" i="1"/>
  <c r="W47" i="1"/>
  <c r="W123" i="1"/>
  <c r="W71" i="1"/>
  <c r="AI25" i="1"/>
  <c r="U148" i="1"/>
  <c r="S148" i="1" s="1"/>
  <c r="W50" i="1"/>
  <c r="W67" i="1"/>
  <c r="W168" i="1"/>
  <c r="W60" i="1"/>
  <c r="W134" i="1"/>
  <c r="W170" i="1"/>
  <c r="W80" i="1"/>
  <c r="U29" i="1"/>
  <c r="S29" i="1" s="1"/>
  <c r="W96" i="1"/>
  <c r="W166" i="1"/>
  <c r="W111" i="1"/>
  <c r="U120" i="1"/>
  <c r="S120" i="1" s="1"/>
  <c r="U215" i="1"/>
  <c r="S215" i="1" s="1"/>
  <c r="U153" i="1"/>
  <c r="S153" i="1" s="1"/>
  <c r="W165" i="1"/>
  <c r="U150" i="1"/>
  <c r="S150" i="1" s="1"/>
  <c r="W75" i="1"/>
  <c r="W228" i="1"/>
  <c r="AI155" i="1"/>
  <c r="U130" i="1"/>
  <c r="S130" i="1" s="1"/>
  <c r="W116" i="1"/>
  <c r="U73" i="1"/>
  <c r="S73" i="1" s="1"/>
  <c r="U157" i="1"/>
  <c r="S157" i="1" s="1"/>
  <c r="U161" i="1"/>
  <c r="S161" i="1" s="1"/>
  <c r="AI185" i="1"/>
  <c r="W99" i="1"/>
  <c r="AI99" i="1"/>
  <c r="W94" i="1"/>
  <c r="U113" i="1"/>
  <c r="S113" i="1" s="1"/>
  <c r="W73" i="1"/>
  <c r="W197" i="1"/>
  <c r="U185" i="1"/>
  <c r="S185" i="1" s="1"/>
  <c r="W215" i="1"/>
  <c r="W169" i="1"/>
  <c r="W42" i="1"/>
  <c r="W74" i="1"/>
  <c r="AI121" i="1"/>
  <c r="U121" i="1"/>
  <c r="S121" i="1" s="1"/>
  <c r="U116" i="1"/>
  <c r="S116" i="1" s="1"/>
  <c r="U142" i="1"/>
  <c r="S142" i="1" s="1"/>
  <c r="AI207" i="1"/>
  <c r="W113" i="1"/>
  <c r="W31" i="1"/>
  <c r="W91" i="1"/>
  <c r="AI170" i="1"/>
  <c r="AI189" i="1"/>
  <c r="W184" i="1"/>
  <c r="U65" i="1"/>
  <c r="S65" i="1" s="1"/>
  <c r="W106" i="1"/>
  <c r="W186" i="1"/>
  <c r="W69" i="1"/>
  <c r="W89" i="1"/>
  <c r="U89" i="1"/>
  <c r="S89" i="1" s="1"/>
  <c r="AI49" i="1"/>
  <c r="AI93" i="1"/>
  <c r="U107" i="1"/>
  <c r="S107" i="1" s="1"/>
  <c r="W65" i="1"/>
  <c r="W79" i="1"/>
  <c r="W41" i="1"/>
  <c r="W53" i="1"/>
  <c r="U236" i="1"/>
  <c r="S236" i="1" s="1"/>
  <c r="W107" i="1"/>
  <c r="W93" i="1"/>
  <c r="W63" i="1"/>
  <c r="W87" i="1"/>
  <c r="U109" i="1"/>
  <c r="S109" i="1" s="1"/>
  <c r="W109" i="1"/>
  <c r="U95" i="1"/>
  <c r="S95" i="1" s="1"/>
  <c r="U165" i="1"/>
  <c r="S165" i="1" s="1"/>
  <c r="W178" i="1"/>
  <c r="W236" i="1"/>
  <c r="W38" i="1"/>
  <c r="W46" i="1"/>
  <c r="AI65" i="1"/>
  <c r="AI69" i="1"/>
  <c r="AI79" i="1"/>
  <c r="W122" i="1"/>
  <c r="U132" i="1"/>
  <c r="S132" i="1" s="1"/>
  <c r="U160" i="1"/>
  <c r="S160" i="1" s="1"/>
  <c r="U138" i="1"/>
  <c r="S138" i="1" s="1"/>
  <c r="W172" i="1"/>
  <c r="W176" i="1"/>
  <c r="AI211" i="1"/>
  <c r="W49" i="1"/>
  <c r="W117" i="1"/>
  <c r="W132" i="1"/>
  <c r="U110" i="1"/>
  <c r="S110" i="1" s="1"/>
  <c r="U114" i="1"/>
  <c r="S114" i="1" s="1"/>
  <c r="U47" i="1"/>
  <c r="S47" i="1" s="1"/>
  <c r="U37" i="1"/>
  <c r="S37" i="1" s="1"/>
  <c r="W98" i="1"/>
  <c r="W156" i="1"/>
  <c r="W92" i="1"/>
  <c r="U239" i="1"/>
  <c r="S239" i="1" s="1"/>
  <c r="AI178" i="1"/>
  <c r="W196" i="1"/>
  <c r="AI235" i="1"/>
  <c r="U197" i="1"/>
  <c r="S197" i="1" s="1"/>
  <c r="W105" i="1"/>
  <c r="U128" i="1"/>
  <c r="S128" i="1" s="1"/>
  <c r="AI37" i="1"/>
  <c r="W22" i="1"/>
  <c r="AI101" i="1"/>
  <c r="AI117" i="1"/>
  <c r="U117" i="1"/>
  <c r="S117" i="1" s="1"/>
  <c r="AI124" i="1"/>
  <c r="W154" i="1"/>
  <c r="U146" i="1"/>
  <c r="S146" i="1" s="1"/>
  <c r="AI47" i="1"/>
  <c r="U57" i="1"/>
  <c r="S57" i="1" s="1"/>
  <c r="W29" i="1"/>
  <c r="U78" i="1"/>
  <c r="S78" i="1" s="1"/>
  <c r="U103" i="1"/>
  <c r="S103" i="1" s="1"/>
  <c r="U235" i="1"/>
  <c r="S235" i="1" s="1"/>
  <c r="W202" i="1"/>
  <c r="W56" i="1"/>
  <c r="U21" i="1"/>
  <c r="S21" i="1" s="1"/>
  <c r="U218" i="1"/>
  <c r="S218" i="1" s="1"/>
  <c r="U228" i="1"/>
  <c r="S228" i="1" s="1"/>
  <c r="AI228" i="1"/>
  <c r="W192" i="1"/>
  <c r="U111" i="1"/>
  <c r="S111" i="1" s="1"/>
  <c r="AI111" i="1"/>
  <c r="U115" i="1"/>
  <c r="S115" i="1" s="1"/>
  <c r="AI115" i="1"/>
  <c r="W115" i="1"/>
  <c r="W194" i="1"/>
  <c r="U83" i="1"/>
  <c r="S83" i="1" s="1"/>
  <c r="W97" i="1"/>
  <c r="W83" i="1"/>
  <c r="U240" i="1"/>
  <c r="S240" i="1" s="1"/>
  <c r="W181" i="1"/>
  <c r="W220" i="1"/>
  <c r="W95" i="1"/>
  <c r="U201" i="1"/>
  <c r="S201" i="1" s="1"/>
  <c r="W57" i="1"/>
  <c r="W188" i="1"/>
  <c r="W103" i="1"/>
  <c r="W217" i="1"/>
  <c r="AI217" i="1"/>
  <c r="W238" i="1"/>
  <c r="AI238" i="1"/>
  <c r="AI176" i="1"/>
  <c r="AI172" i="1"/>
  <c r="U16" i="1"/>
  <c r="S16" i="1" s="1"/>
  <c r="AI16" i="1"/>
  <c r="U35" i="1"/>
  <c r="S35" i="1" s="1"/>
  <c r="AI35" i="1"/>
  <c r="U43" i="1"/>
  <c r="S43" i="1" s="1"/>
  <c r="AI43" i="1"/>
  <c r="U53" i="1"/>
  <c r="S53" i="1" s="1"/>
  <c r="W35" i="1"/>
  <c r="U174" i="1"/>
  <c r="S174" i="1" s="1"/>
  <c r="AI174" i="1"/>
  <c r="W128" i="1"/>
  <c r="W155" i="1"/>
  <c r="W138" i="1"/>
  <c r="W150" i="1"/>
  <c r="W242" i="1"/>
  <c r="AI242" i="1"/>
  <c r="AI168" i="1"/>
  <c r="U91" i="1"/>
  <c r="S91" i="1" s="1"/>
  <c r="AI91" i="1"/>
  <c r="U173" i="1"/>
  <c r="S173" i="1" s="1"/>
  <c r="W136" i="1"/>
  <c r="W218" i="1"/>
  <c r="W146" i="1"/>
  <c r="W173" i="1"/>
  <c r="U205" i="1"/>
  <c r="S205" i="1" s="1"/>
  <c r="AI205" i="1"/>
  <c r="W201" i="1"/>
  <c r="W21" i="1"/>
  <c r="U39" i="1"/>
  <c r="S39" i="1" s="1"/>
  <c r="AI39" i="1"/>
  <c r="U60" i="1"/>
  <c r="S60" i="1" s="1"/>
  <c r="AI60" i="1"/>
  <c r="U75" i="1"/>
  <c r="S75" i="1" s="1"/>
  <c r="AI75" i="1"/>
  <c r="W101" i="1"/>
  <c r="U224" i="1"/>
  <c r="S224" i="1" s="1"/>
  <c r="AI224" i="1"/>
  <c r="W43" i="1"/>
  <c r="W160" i="1"/>
  <c r="W16" i="1"/>
  <c r="W140" i="1"/>
  <c r="W153" i="1"/>
  <c r="U181" i="1"/>
  <c r="S181" i="1" s="1"/>
  <c r="AI181" i="1"/>
  <c r="W130" i="1"/>
  <c r="W239" i="1"/>
  <c r="W205" i="1"/>
  <c r="AI226" i="1"/>
  <c r="U82" i="1"/>
  <c r="S82" i="1" s="1"/>
  <c r="AI82" i="1"/>
  <c r="W39" i="1"/>
  <c r="W224" i="1"/>
  <c r="W240" i="1"/>
  <c r="U166" i="1"/>
  <c r="S166" i="1" s="1"/>
  <c r="AI166" i="1"/>
  <c r="W174" i="1"/>
  <c r="W82" i="1"/>
  <c r="W148" i="1"/>
  <c r="AI193" i="1"/>
  <c r="U193" i="1"/>
  <c r="S193" i="1" s="1"/>
  <c r="W206" i="1"/>
  <c r="W142" i="1"/>
  <c r="AI14" i="1"/>
  <c r="U14" i="1"/>
  <c r="AI26" i="1"/>
  <c r="U26" i="1"/>
  <c r="S26" i="1" s="1"/>
  <c r="U32" i="1"/>
  <c r="S32" i="1" s="1"/>
  <c r="AI32" i="1"/>
  <c r="U42" i="1"/>
  <c r="S42" i="1" s="1"/>
  <c r="AI42" i="1"/>
  <c r="W32" i="1"/>
  <c r="AI59" i="1"/>
  <c r="U59" i="1"/>
  <c r="S59" i="1" s="1"/>
  <c r="AI63" i="1"/>
  <c r="U63" i="1"/>
  <c r="S63" i="1" s="1"/>
  <c r="AI67" i="1"/>
  <c r="U67" i="1"/>
  <c r="S67" i="1" s="1"/>
  <c r="AI71" i="1"/>
  <c r="U71" i="1"/>
  <c r="S71" i="1" s="1"/>
  <c r="AI74" i="1"/>
  <c r="U74" i="1"/>
  <c r="S74" i="1" s="1"/>
  <c r="AI77" i="1"/>
  <c r="U77" i="1"/>
  <c r="S77" i="1" s="1"/>
  <c r="AI81" i="1"/>
  <c r="U81" i="1"/>
  <c r="S81" i="1" s="1"/>
  <c r="AI66" i="1"/>
  <c r="U66" i="1"/>
  <c r="S66" i="1" s="1"/>
  <c r="U90" i="1"/>
  <c r="S90" i="1" s="1"/>
  <c r="AI90" i="1"/>
  <c r="U106" i="1"/>
  <c r="S106" i="1" s="1"/>
  <c r="AI106" i="1"/>
  <c r="U118" i="1"/>
  <c r="S118" i="1" s="1"/>
  <c r="AI118" i="1"/>
  <c r="W77" i="1"/>
  <c r="W90" i="1"/>
  <c r="U145" i="1"/>
  <c r="S145" i="1" s="1"/>
  <c r="AI145" i="1"/>
  <c r="W145" i="1"/>
  <c r="U156" i="1"/>
  <c r="S156" i="1" s="1"/>
  <c r="AI156" i="1"/>
  <c r="AI161" i="1"/>
  <c r="U209" i="1"/>
  <c r="S209" i="1" s="1"/>
  <c r="AI177" i="1"/>
  <c r="U230" i="1"/>
  <c r="S230" i="1" s="1"/>
  <c r="AI192" i="1"/>
  <c r="U164" i="1"/>
  <c r="S164" i="1" s="1"/>
  <c r="AI208" i="1"/>
  <c r="U179" i="1"/>
  <c r="S179" i="1" s="1"/>
  <c r="U187" i="1"/>
  <c r="S187" i="1" s="1"/>
  <c r="AI216" i="1"/>
  <c r="U186" i="1"/>
  <c r="S186" i="1" s="1"/>
  <c r="AI215" i="1"/>
  <c r="W187" i="1"/>
  <c r="AI70" i="1"/>
  <c r="U70" i="1"/>
  <c r="S70" i="1" s="1"/>
  <c r="U87" i="1"/>
  <c r="S87" i="1" s="1"/>
  <c r="AI87" i="1"/>
  <c r="U102" i="1"/>
  <c r="S102" i="1" s="1"/>
  <c r="AI102" i="1"/>
  <c r="U149" i="1"/>
  <c r="S149" i="1" s="1"/>
  <c r="AI149" i="1"/>
  <c r="AI139" i="1"/>
  <c r="U139" i="1"/>
  <c r="S139" i="1" s="1"/>
  <c r="AI147" i="1"/>
  <c r="U147" i="1"/>
  <c r="S147" i="1" s="1"/>
  <c r="AI154" i="1"/>
  <c r="U154" i="1"/>
  <c r="S154" i="1" s="1"/>
  <c r="AI165" i="1"/>
  <c r="U213" i="1"/>
  <c r="S213" i="1" s="1"/>
  <c r="AI180" i="1"/>
  <c r="U234" i="1"/>
  <c r="S234" i="1" s="1"/>
  <c r="AI196" i="1"/>
  <c r="U168" i="1"/>
  <c r="S168" i="1" s="1"/>
  <c r="AI212" i="1"/>
  <c r="U183" i="1"/>
  <c r="S183" i="1" s="1"/>
  <c r="W183" i="1"/>
  <c r="AI223" i="1"/>
  <c r="U194" i="1"/>
  <c r="S194" i="1" s="1"/>
  <c r="W230" i="1"/>
  <c r="W209" i="1"/>
  <c r="U46" i="1"/>
  <c r="S46" i="1" s="1"/>
  <c r="AI46" i="1"/>
  <c r="AI19" i="1"/>
  <c r="U19" i="1"/>
  <c r="S18" i="1" s="1"/>
  <c r="AI27" i="1"/>
  <c r="U27" i="1"/>
  <c r="S27" i="1" s="1"/>
  <c r="AI22" i="1"/>
  <c r="U22" i="1"/>
  <c r="AI58" i="1"/>
  <c r="U58" i="1"/>
  <c r="S58" i="1" s="1"/>
  <c r="W66" i="1"/>
  <c r="U98" i="1"/>
  <c r="S98" i="1" s="1"/>
  <c r="AI98" i="1"/>
  <c r="U122" i="1"/>
  <c r="S122" i="1" s="1"/>
  <c r="AI122" i="1"/>
  <c r="W70" i="1"/>
  <c r="U152" i="1"/>
  <c r="S152" i="1" s="1"/>
  <c r="AI152" i="1"/>
  <c r="W102" i="1"/>
  <c r="W118" i="1"/>
  <c r="W152" i="1"/>
  <c r="W147" i="1"/>
  <c r="AI169" i="1"/>
  <c r="U217" i="1"/>
  <c r="S217" i="1" s="1"/>
  <c r="AI184" i="1"/>
  <c r="U238" i="1"/>
  <c r="S238" i="1" s="1"/>
  <c r="AI200" i="1"/>
  <c r="U172" i="1"/>
  <c r="S172" i="1" s="1"/>
  <c r="W213" i="1"/>
  <c r="U203" i="1"/>
  <c r="S203" i="1" s="1"/>
  <c r="AI232" i="1"/>
  <c r="W164" i="1"/>
  <c r="U191" i="1"/>
  <c r="S191" i="1" s="1"/>
  <c r="AI220" i="1"/>
  <c r="W191" i="1"/>
  <c r="U38" i="1"/>
  <c r="S38" i="1" s="1"/>
  <c r="AI38" i="1"/>
  <c r="AI23" i="1"/>
  <c r="U23" i="1"/>
  <c r="S23" i="1" s="1"/>
  <c r="W27" i="1"/>
  <c r="U50" i="1"/>
  <c r="S50" i="1" s="1"/>
  <c r="AI50" i="1"/>
  <c r="W14" i="1"/>
  <c r="W19" i="1"/>
  <c r="AI62" i="1"/>
  <c r="U62" i="1"/>
  <c r="S62" i="1" s="1"/>
  <c r="U94" i="1"/>
  <c r="S94" i="1" s="1"/>
  <c r="AI94" i="1"/>
  <c r="AI86" i="1"/>
  <c r="U86" i="1"/>
  <c r="S86" i="1" s="1"/>
  <c r="U141" i="1"/>
  <c r="S141" i="1" s="1"/>
  <c r="AI141" i="1"/>
  <c r="W86" i="1"/>
  <c r="AI143" i="1"/>
  <c r="U143" i="1"/>
  <c r="S143" i="1" s="1"/>
  <c r="AI151" i="1"/>
  <c r="U151" i="1"/>
  <c r="S151" i="1" s="1"/>
  <c r="W143" i="1"/>
  <c r="W149" i="1"/>
  <c r="AI173" i="1"/>
  <c r="U226" i="1"/>
  <c r="S226" i="1" s="1"/>
  <c r="AI188" i="1"/>
  <c r="U242" i="1"/>
  <c r="S242" i="1" s="1"/>
  <c r="AI204" i="1"/>
  <c r="U176" i="1"/>
  <c r="S176" i="1" s="1"/>
  <c r="W234" i="1"/>
  <c r="U221" i="1"/>
  <c r="S221" i="1" s="1"/>
  <c r="AI240" i="1"/>
  <c r="W179" i="1"/>
  <c r="W221" i="1"/>
  <c r="W203" i="1"/>
  <c r="K13" i="1"/>
  <c r="L13" i="1"/>
  <c r="M13" i="1"/>
  <c r="P13" i="1" s="1"/>
  <c r="V13" i="1"/>
  <c r="Y13" i="1"/>
  <c r="Z13" i="1"/>
  <c r="AB13" i="1"/>
  <c r="AC13" i="1"/>
  <c r="AD13" i="1"/>
  <c r="X14" i="1" s="1"/>
  <c r="AE13" i="1"/>
  <c r="AF13" i="1"/>
  <c r="AM13" i="1"/>
  <c r="AN13" i="1"/>
  <c r="S55" i="3"/>
  <c r="R55" i="3"/>
  <c r="M55" i="3"/>
  <c r="U55" i="3"/>
  <c r="V55" i="3"/>
  <c r="W55" i="3"/>
  <c r="X55" i="3"/>
  <c r="T13" i="1" l="1"/>
  <c r="X13" i="1"/>
  <c r="T55" i="3"/>
  <c r="AE12" i="3"/>
  <c r="AD12" i="3"/>
  <c r="AC55" i="3"/>
  <c r="AG13" i="1"/>
  <c r="AI13" i="1" s="1"/>
  <c r="AA13" i="1"/>
  <c r="Y55" i="3"/>
  <c r="U13" i="1" l="1"/>
  <c r="S13" i="1" s="1"/>
  <c r="W13" i="1"/>
  <c r="B9" i="6" l="1"/>
  <c r="G9" i="6" s="1"/>
  <c r="F9" i="6" l="1"/>
  <c r="J9" i="6"/>
  <c r="I9" i="6"/>
  <c r="AE55" i="3" l="1"/>
  <c r="AD55" i="3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M28" i="5" l="1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M23" i="5" l="1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N29" i="3" s="1"/>
  <c r="G36" i="4"/>
  <c r="G37" i="4"/>
  <c r="N40" i="3" s="1"/>
  <c r="G38" i="4"/>
  <c r="G39" i="4"/>
  <c r="N17" i="3" s="1"/>
  <c r="G40" i="4"/>
  <c r="G41" i="4"/>
  <c r="G42" i="4"/>
  <c r="N43" i="3" s="1"/>
  <c r="G43" i="4"/>
  <c r="G44" i="4"/>
  <c r="N30" i="3" s="1"/>
  <c r="G45" i="4"/>
  <c r="G46" i="4"/>
  <c r="G47" i="4"/>
  <c r="N31" i="3" s="1"/>
  <c r="G48" i="4"/>
  <c r="G49" i="4"/>
  <c r="G50" i="4"/>
  <c r="G51" i="4"/>
  <c r="G52" i="4"/>
  <c r="N10" i="3" s="1"/>
  <c r="G53" i="4"/>
  <c r="G54" i="4"/>
  <c r="N46" i="3" s="1"/>
  <c r="G55" i="4"/>
  <c r="G56" i="4"/>
  <c r="G57" i="4"/>
  <c r="G58" i="4"/>
  <c r="N15" i="3" s="1"/>
  <c r="G59" i="4"/>
  <c r="G60" i="4"/>
  <c r="G61" i="4"/>
  <c r="G62" i="4"/>
  <c r="G63" i="4"/>
  <c r="G64" i="4"/>
  <c r="G65" i="4"/>
  <c r="N7" i="3" s="1"/>
  <c r="G66" i="4"/>
  <c r="G67" i="4"/>
  <c r="G68" i="4"/>
  <c r="G69" i="4"/>
  <c r="G70" i="4"/>
  <c r="G71" i="4"/>
  <c r="G72" i="4"/>
  <c r="G73" i="4"/>
  <c r="N41" i="3" s="1"/>
  <c r="G74" i="4"/>
  <c r="G75" i="4"/>
  <c r="G76" i="4"/>
  <c r="G77" i="4"/>
  <c r="G78" i="4"/>
  <c r="N35" i="3" s="1"/>
  <c r="G79" i="4"/>
  <c r="N47" i="3" s="1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N50" i="3" s="1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N49" i="3" s="1"/>
  <c r="G120" i="4"/>
  <c r="G121" i="4"/>
  <c r="G122" i="4"/>
  <c r="G123" i="4"/>
  <c r="G124" i="4"/>
  <c r="G125" i="4"/>
  <c r="G126" i="4"/>
  <c r="G127" i="4"/>
  <c r="N8" i="3" s="1"/>
  <c r="G128" i="4"/>
  <c r="G129" i="4"/>
  <c r="G130" i="4"/>
  <c r="G131" i="4"/>
  <c r="G132" i="4"/>
  <c r="G133" i="4"/>
  <c r="G134" i="4"/>
  <c r="N33" i="3" s="1"/>
  <c r="G135" i="4"/>
  <c r="G136" i="4"/>
  <c r="G137" i="4"/>
  <c r="G138" i="4"/>
  <c r="G139" i="4"/>
  <c r="N56" i="3" s="1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N48" i="3" s="1"/>
  <c r="G157" i="4"/>
  <c r="G158" i="4"/>
  <c r="N34" i="3" s="1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N44" i="3" s="1"/>
  <c r="G176" i="4"/>
  <c r="G177" i="4"/>
  <c r="G178" i="4"/>
  <c r="G179" i="4"/>
  <c r="G180" i="4"/>
  <c r="G181" i="4"/>
  <c r="G182" i="4"/>
  <c r="N9" i="3" s="1"/>
  <c r="G183" i="4"/>
  <c r="N42" i="3" s="1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N45" i="3" s="1"/>
  <c r="G204" i="4"/>
  <c r="G205" i="4"/>
  <c r="G206" i="4"/>
  <c r="G207" i="4"/>
  <c r="G208" i="4"/>
  <c r="G209" i="4"/>
  <c r="G210" i="4"/>
  <c r="G211" i="4"/>
  <c r="G212" i="4"/>
  <c r="N12" i="3" s="1"/>
  <c r="G213" i="4"/>
  <c r="N55" i="3" s="1"/>
  <c r="G214" i="4"/>
  <c r="G215" i="4"/>
  <c r="G216" i="4"/>
  <c r="G217" i="4"/>
  <c r="N13" i="3" s="1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14" i="3" l="1"/>
  <c r="N25" i="3"/>
  <c r="N11" i="3"/>
  <c r="N22" i="3"/>
  <c r="N27" i="3"/>
  <c r="N28" i="3"/>
  <c r="N26" i="3"/>
  <c r="N20" i="3"/>
  <c r="N36" i="3"/>
  <c r="N37" i="3"/>
  <c r="N54" i="3"/>
  <c r="N52" i="3"/>
  <c r="N51" i="3"/>
  <c r="N53" i="3"/>
  <c r="N39" i="3"/>
  <c r="N38" i="3"/>
  <c r="N16" i="3"/>
  <c r="N32" i="3"/>
  <c r="N24" i="3"/>
  <c r="N18" i="3"/>
  <c r="N23" i="3"/>
  <c r="N19" i="3"/>
  <c r="N21" i="3"/>
  <c r="H9" i="6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B8" i="6" l="1"/>
  <c r="I8" i="6" s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8" i="6" l="1"/>
  <c r="F8" i="6"/>
  <c r="J8" i="6"/>
  <c r="H8" i="6"/>
  <c r="V5" i="1"/>
  <c r="V8" i="1" s="1"/>
  <c r="G266" i="4"/>
  <c r="G267" i="4"/>
  <c r="G268" i="4"/>
  <c r="G269" i="4"/>
  <c r="G270" i="4"/>
  <c r="G271" i="4"/>
  <c r="G272" i="4"/>
  <c r="G273" i="4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G259" i="4" l="1"/>
  <c r="G260" i="4"/>
  <c r="G261" i="4"/>
  <c r="G262" i="4"/>
  <c r="G263" i="4"/>
  <c r="G264" i="4"/>
  <c r="G265" i="4"/>
  <c r="B3" i="6" l="1"/>
  <c r="I3" i="6" s="1"/>
  <c r="M14" i="5"/>
  <c r="M13" i="5"/>
  <c r="M12" i="5"/>
  <c r="M11" i="5"/>
  <c r="M10" i="5"/>
  <c r="M9" i="5"/>
  <c r="M8" i="5"/>
  <c r="M7" i="5"/>
  <c r="M6" i="5"/>
  <c r="M5" i="5"/>
  <c r="M4" i="5"/>
  <c r="M3" i="5"/>
  <c r="F3" i="6" l="1"/>
  <c r="H3" i="6"/>
  <c r="J3" i="6"/>
  <c r="G3" i="6"/>
  <c r="B4" i="6"/>
  <c r="I4" i="6" s="1"/>
  <c r="O2" i="3"/>
  <c r="O3" i="3" s="1"/>
  <c r="F4" i="6" l="1"/>
  <c r="J4" i="6"/>
  <c r="G4" i="6"/>
  <c r="H4" i="6"/>
  <c r="B5" i="6"/>
  <c r="I5" i="6" s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5" i="6" l="1"/>
  <c r="F5" i="6"/>
  <c r="G5" i="6"/>
  <c r="H5" i="6"/>
  <c r="B6" i="6"/>
  <c r="I6" i="6" s="1"/>
  <c r="J8" i="1"/>
  <c r="J4" i="1"/>
  <c r="S8" i="1"/>
  <c r="S4" i="1"/>
  <c r="F6" i="6" l="1"/>
  <c r="J6" i="6"/>
  <c r="H6" i="6"/>
  <c r="G6" i="6"/>
  <c r="B7" i="6"/>
  <c r="I7" i="6" s="1"/>
  <c r="S9" i="1"/>
  <c r="J9" i="1"/>
  <c r="B10" i="6" l="1"/>
  <c r="I10" i="6" s="1"/>
  <c r="F7" i="6"/>
  <c r="G7" i="6"/>
  <c r="J7" i="6"/>
  <c r="H7" i="6"/>
  <c r="S11" i="1"/>
  <c r="A11" i="1"/>
  <c r="B11" i="6" l="1"/>
  <c r="I11" i="6" s="1"/>
  <c r="G10" i="6"/>
  <c r="H10" i="6"/>
  <c r="J10" i="6"/>
  <c r="F10" i="6"/>
  <c r="B1" i="6"/>
  <c r="A5" i="3"/>
  <c r="G11" i="6" l="1"/>
  <c r="F11" i="6"/>
  <c r="J11" i="6"/>
  <c r="H11" i="6"/>
  <c r="B12" i="6"/>
  <c r="I12" i="6" s="1"/>
  <c r="F12" i="6" l="1"/>
  <c r="J12" i="6"/>
  <c r="G12" i="6"/>
  <c r="H12" i="6"/>
  <c r="B13" i="6"/>
  <c r="I13" i="6" s="1"/>
  <c r="B14" i="6" l="1"/>
  <c r="I14" i="6" s="1"/>
  <c r="J13" i="6"/>
  <c r="G13" i="6"/>
  <c r="F13" i="6"/>
  <c r="H13" i="6"/>
  <c r="F14" i="6" l="1"/>
  <c r="G14" i="6"/>
  <c r="H14" i="6"/>
  <c r="J14" i="6"/>
  <c r="B15" i="6"/>
  <c r="I15" i="6" s="1"/>
  <c r="J15" i="6" l="1"/>
  <c r="H15" i="6"/>
  <c r="F15" i="6"/>
  <c r="G15" i="6"/>
  <c r="B16" i="6"/>
  <c r="I16" i="6" s="1"/>
  <c r="B17" i="6" l="1"/>
  <c r="I17" i="6" s="1"/>
  <c r="J16" i="6"/>
  <c r="F16" i="6"/>
  <c r="H16" i="6"/>
  <c r="G16" i="6"/>
  <c r="F17" i="6" l="1"/>
  <c r="G17" i="6"/>
  <c r="H17" i="6"/>
  <c r="J17" i="6"/>
  <c r="B18" i="6"/>
  <c r="I18" i="6" s="1"/>
  <c r="G18" i="6" l="1"/>
  <c r="H18" i="6"/>
  <c r="J18" i="6"/>
  <c r="F18" i="6"/>
  <c r="B19" i="6"/>
  <c r="I19" i="6" s="1"/>
  <c r="F19" i="6" l="1"/>
  <c r="H19" i="6"/>
  <c r="J19" i="6"/>
  <c r="G19" i="6"/>
  <c r="B20" i="6"/>
  <c r="I20" i="6" s="1"/>
  <c r="F20" i="6" l="1"/>
  <c r="J20" i="6"/>
  <c r="G20" i="6"/>
  <c r="H20" i="6"/>
  <c r="B21" i="6"/>
  <c r="I21" i="6" s="1"/>
  <c r="B22" i="6" l="1"/>
  <c r="I22" i="6" s="1"/>
  <c r="F21" i="6"/>
  <c r="H21" i="6"/>
  <c r="J21" i="6"/>
  <c r="G21" i="6"/>
  <c r="F22" i="6" l="1"/>
  <c r="H22" i="6"/>
  <c r="J22" i="6"/>
  <c r="G22" i="6"/>
  <c r="B23" i="6"/>
  <c r="I23" i="6" s="1"/>
  <c r="J23" i="6" l="1"/>
  <c r="H23" i="6"/>
  <c r="F23" i="6"/>
  <c r="G23" i="6"/>
  <c r="B24" i="6"/>
  <c r="I24" i="6" s="1"/>
  <c r="B25" i="6" l="1"/>
  <c r="I25" i="6" s="1"/>
  <c r="F24" i="6"/>
  <c r="G24" i="6"/>
  <c r="H24" i="6"/>
  <c r="J24" i="6"/>
  <c r="B26" i="6" l="1"/>
  <c r="I26" i="6" s="1"/>
  <c r="H25" i="6"/>
  <c r="F25" i="6"/>
  <c r="J25" i="6"/>
  <c r="G25" i="6"/>
  <c r="B27" i="6" l="1"/>
  <c r="I27" i="6" s="1"/>
  <c r="F26" i="6"/>
  <c r="H26" i="6"/>
  <c r="J26" i="6"/>
  <c r="G26" i="6"/>
  <c r="F27" i="6" l="1"/>
  <c r="G27" i="6"/>
  <c r="J27" i="6"/>
  <c r="H27" i="6"/>
  <c r="B28" i="6"/>
  <c r="I28" i="6" s="1"/>
  <c r="F28" i="6" l="1"/>
  <c r="J28" i="6"/>
  <c r="H28" i="6"/>
  <c r="G28" i="6"/>
  <c r="B29" i="6"/>
  <c r="I29" i="6" s="1"/>
  <c r="F29" i="6" l="1"/>
  <c r="H29" i="6"/>
  <c r="G29" i="6"/>
  <c r="J29" i="6"/>
  <c r="B30" i="6"/>
  <c r="I30" i="6" s="1"/>
  <c r="B31" i="6" l="1"/>
  <c r="I31" i="6" s="1"/>
  <c r="G30" i="6"/>
  <c r="F30" i="6"/>
  <c r="H30" i="6"/>
  <c r="J30" i="6"/>
  <c r="J31" i="6" l="1"/>
  <c r="H31" i="6"/>
  <c r="F31" i="6"/>
  <c r="G31" i="6"/>
  <c r="B32" i="6"/>
  <c r="I32" i="6" s="1"/>
  <c r="H32" i="6" l="1"/>
  <c r="J32" i="6"/>
  <c r="F32" i="6"/>
  <c r="G32" i="6"/>
  <c r="B33" i="6"/>
  <c r="I33" i="6" s="1"/>
  <c r="H33" i="6" l="1"/>
  <c r="J33" i="6"/>
  <c r="F33" i="6"/>
  <c r="G33" i="6"/>
  <c r="B34" i="6"/>
  <c r="I34" i="6" s="1"/>
  <c r="H34" i="6" l="1"/>
  <c r="J34" i="6"/>
  <c r="F34" i="6"/>
  <c r="G34" i="6"/>
  <c r="B35" i="6"/>
  <c r="I35" i="6" s="1"/>
  <c r="G35" i="6" l="1"/>
  <c r="F35" i="6"/>
  <c r="H35" i="6"/>
  <c r="J35" i="6"/>
  <c r="B36" i="6"/>
  <c r="I36" i="6" s="1"/>
  <c r="B37" i="6" l="1"/>
  <c r="I37" i="6" s="1"/>
  <c r="J36" i="6"/>
  <c r="G36" i="6"/>
  <c r="F36" i="6"/>
  <c r="H36" i="6"/>
  <c r="B38" i="6" l="1"/>
  <c r="I38" i="6" s="1"/>
  <c r="J37" i="6"/>
  <c r="G37" i="6"/>
  <c r="F37" i="6"/>
  <c r="H37" i="6"/>
  <c r="F38" i="6" l="1"/>
  <c r="H38" i="6"/>
  <c r="J38" i="6"/>
  <c r="G38" i="6"/>
  <c r="B39" i="6"/>
  <c r="I39" i="6" s="1"/>
  <c r="B40" i="6" l="1"/>
  <c r="I40" i="6" s="1"/>
  <c r="F39" i="6"/>
  <c r="G39" i="6"/>
  <c r="J39" i="6"/>
  <c r="H39" i="6"/>
  <c r="G40" i="6" l="1"/>
  <c r="F40" i="6"/>
  <c r="H40" i="6"/>
  <c r="J40" i="6"/>
  <c r="B41" i="6"/>
  <c r="I41" i="6" s="1"/>
  <c r="F41" i="6" l="1"/>
  <c r="J41" i="6"/>
  <c r="G41" i="6"/>
  <c r="H41" i="6"/>
  <c r="B42" i="6"/>
  <c r="I42" i="6" s="1"/>
  <c r="G42" i="6" l="1"/>
  <c r="H42" i="6"/>
  <c r="J42" i="6"/>
  <c r="F42" i="6"/>
  <c r="B43" i="6"/>
  <c r="I43" i="6" s="1"/>
  <c r="B44" i="6" l="1"/>
  <c r="I44" i="6" s="1"/>
  <c r="J43" i="6"/>
  <c r="H43" i="6"/>
  <c r="F43" i="6"/>
  <c r="G43" i="6"/>
  <c r="J44" i="6" l="1"/>
  <c r="G44" i="6"/>
  <c r="F44" i="6"/>
  <c r="H44" i="6"/>
  <c r="B45" i="6"/>
  <c r="I45" i="6" s="1"/>
  <c r="B46" i="6" l="1"/>
  <c r="I46" i="6" s="1"/>
  <c r="G45" i="6"/>
  <c r="J45" i="6"/>
  <c r="F45" i="6"/>
  <c r="H45" i="6"/>
  <c r="F46" i="6" l="1"/>
  <c r="G46" i="6"/>
  <c r="J46" i="6"/>
  <c r="H46" i="6"/>
  <c r="B47" i="6"/>
  <c r="I47" i="6" s="1"/>
  <c r="B48" i="6" l="1"/>
  <c r="I48" i="6" s="1"/>
  <c r="F47" i="6"/>
  <c r="G47" i="6"/>
  <c r="J47" i="6"/>
  <c r="H47" i="6"/>
  <c r="G48" i="6" l="1"/>
  <c r="H48" i="6"/>
  <c r="J48" i="6"/>
  <c r="F48" i="6"/>
  <c r="B49" i="6"/>
  <c r="I49" i="6" s="1"/>
  <c r="B50" i="6" l="1"/>
  <c r="I50" i="6" s="1"/>
  <c r="G49" i="6"/>
  <c r="H49" i="6"/>
  <c r="J49" i="6"/>
  <c r="F49" i="6"/>
  <c r="F50" i="6" l="1"/>
  <c r="G50" i="6"/>
  <c r="H50" i="6"/>
  <c r="J50" i="6"/>
  <c r="B51" i="6"/>
  <c r="I51" i="6" s="1"/>
  <c r="G51" i="6" l="1"/>
  <c r="F51" i="6"/>
  <c r="H51" i="6"/>
  <c r="J51" i="6"/>
  <c r="B52" i="6"/>
  <c r="I52" i="6" s="1"/>
  <c r="B53" i="6" l="1"/>
  <c r="I53" i="6" s="1"/>
  <c r="J52" i="6"/>
  <c r="G52" i="6"/>
  <c r="F52" i="6"/>
  <c r="H52" i="6"/>
  <c r="B54" i="6" l="1"/>
  <c r="I54" i="6" s="1"/>
  <c r="J53" i="6"/>
  <c r="G53" i="6"/>
  <c r="F53" i="6"/>
  <c r="H53" i="6"/>
  <c r="H54" i="6" l="1"/>
  <c r="F54" i="6"/>
  <c r="G54" i="6"/>
  <c r="J54" i="6"/>
  <c r="B55" i="6"/>
  <c r="I55" i="6" s="1"/>
  <c r="B56" i="6" l="1"/>
  <c r="I56" i="6" s="1"/>
  <c r="F55" i="6"/>
  <c r="G55" i="6"/>
  <c r="J55" i="6"/>
  <c r="H55" i="6"/>
  <c r="B57" i="6" l="1"/>
  <c r="I57" i="6" s="1"/>
  <c r="J56" i="6"/>
  <c r="F56" i="6"/>
  <c r="G56" i="6"/>
  <c r="H56" i="6"/>
  <c r="F57" i="6" l="1"/>
  <c r="J57" i="6"/>
  <c r="G57" i="6"/>
  <c r="H57" i="6"/>
  <c r="B58" i="6"/>
  <c r="I58" i="6" s="1"/>
  <c r="H58" i="6" l="1"/>
  <c r="J58" i="6"/>
  <c r="G58" i="6"/>
  <c r="F58" i="6"/>
  <c r="B59" i="6"/>
  <c r="I59" i="6" s="1"/>
  <c r="B60" i="6" l="1"/>
  <c r="I60" i="6" s="1"/>
  <c r="J59" i="6"/>
  <c r="H59" i="6"/>
  <c r="F59" i="6"/>
  <c r="G59" i="6"/>
  <c r="J60" i="6" l="1"/>
  <c r="G60" i="6"/>
  <c r="F60" i="6"/>
  <c r="H60" i="6"/>
  <c r="B61" i="6"/>
  <c r="I61" i="6" s="1"/>
  <c r="G61" i="6" l="1"/>
  <c r="H61" i="6"/>
  <c r="J61" i="6"/>
  <c r="F61" i="6"/>
  <c r="B62" i="6"/>
  <c r="I62" i="6" s="1"/>
  <c r="G62" i="6" l="1"/>
  <c r="F62" i="6"/>
  <c r="H62" i="6"/>
  <c r="J62" i="6"/>
  <c r="B63" i="6"/>
  <c r="I63" i="6" s="1"/>
  <c r="B64" i="6" l="1"/>
  <c r="I64" i="6" s="1"/>
  <c r="J63" i="6"/>
  <c r="F63" i="6"/>
  <c r="H63" i="6"/>
  <c r="G63" i="6"/>
  <c r="B65" i="6" l="1"/>
  <c r="I65" i="6" s="1"/>
  <c r="J64" i="6"/>
  <c r="F64" i="6"/>
  <c r="G64" i="6"/>
  <c r="H64" i="6"/>
  <c r="H65" i="6" l="1"/>
  <c r="G65" i="6"/>
  <c r="F65" i="6"/>
  <c r="J65" i="6"/>
  <c r="B66" i="6"/>
  <c r="I66" i="6" s="1"/>
  <c r="G66" i="6" l="1"/>
  <c r="H66" i="6"/>
  <c r="J66" i="6"/>
  <c r="F66" i="6"/>
  <c r="B67" i="6"/>
  <c r="I67" i="6" s="1"/>
  <c r="B68" i="6" l="1"/>
  <c r="I68" i="6" s="1"/>
  <c r="J67" i="6"/>
  <c r="F67" i="6"/>
  <c r="H67" i="6"/>
  <c r="G67" i="6"/>
  <c r="B69" i="6" l="1"/>
  <c r="I69" i="6" s="1"/>
  <c r="J68" i="6"/>
  <c r="F68" i="6"/>
  <c r="G68" i="6"/>
  <c r="H68" i="6"/>
  <c r="B70" i="6" l="1"/>
  <c r="I70" i="6" s="1"/>
  <c r="J69" i="6"/>
  <c r="F69" i="6"/>
  <c r="G69" i="6"/>
  <c r="H69" i="6"/>
  <c r="J70" i="6" l="1"/>
  <c r="F70" i="6"/>
  <c r="H70" i="6"/>
  <c r="G70" i="6"/>
  <c r="B71" i="6"/>
  <c r="I71" i="6" s="1"/>
  <c r="F71" i="6" l="1"/>
  <c r="J71" i="6"/>
  <c r="H71" i="6"/>
  <c r="G71" i="6"/>
  <c r="B72" i="6"/>
  <c r="I72" i="6" s="1"/>
  <c r="J72" i="6" l="1"/>
  <c r="G72" i="6"/>
  <c r="F72" i="6"/>
  <c r="H72" i="6"/>
  <c r="B73" i="6"/>
  <c r="I73" i="6" s="1"/>
  <c r="B74" i="6" l="1"/>
  <c r="I74" i="6" s="1"/>
  <c r="F73" i="6"/>
  <c r="G73" i="6"/>
  <c r="H73" i="6"/>
  <c r="J73" i="6"/>
  <c r="F74" i="6" l="1"/>
  <c r="G74" i="6"/>
  <c r="H74" i="6"/>
  <c r="J74" i="6"/>
  <c r="B75" i="6"/>
  <c r="I75" i="6" s="1"/>
  <c r="B76" i="6" l="1"/>
  <c r="I76" i="6" s="1"/>
  <c r="J75" i="6"/>
  <c r="F75" i="6"/>
  <c r="G75" i="6"/>
  <c r="H75" i="6"/>
  <c r="F76" i="6" l="1"/>
  <c r="H76" i="6"/>
  <c r="G76" i="6"/>
  <c r="J76" i="6"/>
  <c r="B77" i="6"/>
  <c r="I77" i="6" s="1"/>
  <c r="B78" i="6" l="1"/>
  <c r="I78" i="6" s="1"/>
  <c r="H77" i="6"/>
  <c r="G77" i="6"/>
  <c r="F77" i="6"/>
  <c r="J77" i="6"/>
  <c r="B79" i="6" l="1"/>
  <c r="I79" i="6" s="1"/>
  <c r="J78" i="6"/>
  <c r="H78" i="6"/>
  <c r="F78" i="6"/>
  <c r="G78" i="6"/>
  <c r="J79" i="6" l="1"/>
  <c r="H79" i="6"/>
  <c r="F79" i="6"/>
  <c r="G79" i="6"/>
  <c r="B80" i="6"/>
  <c r="I80" i="6" s="1"/>
  <c r="J80" i="6" l="1"/>
  <c r="F80" i="6"/>
  <c r="H80" i="6"/>
  <c r="G80" i="6"/>
  <c r="B81" i="6"/>
  <c r="I81" i="6" s="1"/>
  <c r="B82" i="6" l="1"/>
  <c r="I82" i="6" s="1"/>
  <c r="F81" i="6"/>
  <c r="J81" i="6"/>
  <c r="G81" i="6"/>
  <c r="H81" i="6"/>
  <c r="B83" i="6" l="1"/>
  <c r="I83" i="6" s="1"/>
  <c r="F82" i="6"/>
  <c r="G82" i="6"/>
  <c r="H82" i="6"/>
  <c r="J82" i="6"/>
  <c r="B84" i="6" l="1"/>
  <c r="I84" i="6" s="1"/>
  <c r="J83" i="6"/>
  <c r="H83" i="6"/>
  <c r="G83" i="6"/>
  <c r="F83" i="6"/>
  <c r="B85" i="6" l="1"/>
  <c r="I85" i="6" s="1"/>
  <c r="H84" i="6"/>
  <c r="J84" i="6"/>
  <c r="F84" i="6"/>
  <c r="G84" i="6"/>
  <c r="G85" i="6" l="1"/>
  <c r="H85" i="6"/>
  <c r="J85" i="6"/>
  <c r="F85" i="6"/>
  <c r="B86" i="6"/>
  <c r="I86" i="6" s="1"/>
  <c r="B87" i="6" l="1"/>
  <c r="I87" i="6" s="1"/>
  <c r="G86" i="6"/>
  <c r="J86" i="6"/>
  <c r="H86" i="6"/>
  <c r="F86" i="6"/>
  <c r="F87" i="6" l="1"/>
  <c r="H87" i="6"/>
  <c r="J87" i="6"/>
  <c r="G87" i="6"/>
  <c r="B88" i="6"/>
  <c r="I88" i="6" s="1"/>
  <c r="H88" i="6" l="1"/>
  <c r="F88" i="6"/>
  <c r="G88" i="6"/>
  <c r="J88" i="6"/>
  <c r="B89" i="6"/>
  <c r="I89" i="6" s="1"/>
  <c r="H89" i="6" l="1"/>
  <c r="G89" i="6"/>
  <c r="F89" i="6"/>
  <c r="J89" i="6"/>
  <c r="B90" i="6"/>
  <c r="I90" i="6" s="1"/>
  <c r="H90" i="6" l="1"/>
  <c r="J90" i="6"/>
  <c r="G90" i="6"/>
  <c r="F90" i="6"/>
  <c r="B91" i="6"/>
  <c r="I91" i="6" s="1"/>
  <c r="J91" i="6" l="1"/>
  <c r="G91" i="6"/>
  <c r="F91" i="6"/>
  <c r="H91" i="6"/>
  <c r="B92" i="6"/>
  <c r="I92" i="6" s="1"/>
  <c r="J92" i="6" l="1"/>
  <c r="F92" i="6"/>
  <c r="H92" i="6"/>
  <c r="G92" i="6"/>
  <c r="B93" i="6"/>
  <c r="I93" i="6" s="1"/>
  <c r="G93" i="6" l="1"/>
  <c r="H93" i="6"/>
  <c r="F93" i="6"/>
  <c r="J93" i="6"/>
  <c r="B94" i="6"/>
  <c r="I94" i="6" s="1"/>
  <c r="B95" i="6" l="1"/>
  <c r="I95" i="6" s="1"/>
  <c r="J94" i="6"/>
  <c r="G94" i="6"/>
  <c r="H94" i="6"/>
  <c r="F94" i="6"/>
  <c r="J95" i="6" l="1"/>
  <c r="F95" i="6"/>
  <c r="H95" i="6"/>
  <c r="G95" i="6"/>
  <c r="B96" i="6"/>
  <c r="I96" i="6" s="1"/>
  <c r="B97" i="6" l="1"/>
  <c r="I97" i="6" s="1"/>
  <c r="J96" i="6"/>
  <c r="G96" i="6"/>
  <c r="H96" i="6"/>
  <c r="F96" i="6"/>
  <c r="B98" i="6" l="1"/>
  <c r="I98" i="6" s="1"/>
  <c r="F97" i="6"/>
  <c r="H97" i="6"/>
  <c r="G97" i="6"/>
  <c r="J97" i="6"/>
  <c r="B99" i="6" l="1"/>
  <c r="I99" i="6" s="1"/>
  <c r="J98" i="6"/>
  <c r="F98" i="6"/>
  <c r="G98" i="6"/>
  <c r="H98" i="6"/>
  <c r="B100" i="6" l="1"/>
  <c r="I100" i="6" s="1"/>
  <c r="J99" i="6"/>
  <c r="H99" i="6"/>
  <c r="G99" i="6"/>
  <c r="F99" i="6"/>
  <c r="G100" i="6" l="1"/>
  <c r="H100" i="6"/>
  <c r="J100" i="6"/>
  <c r="F100" i="6"/>
  <c r="B101" i="6"/>
  <c r="I101" i="6" s="1"/>
  <c r="B102" i="6" l="1"/>
  <c r="I102" i="6" s="1"/>
  <c r="J101" i="6"/>
  <c r="F101" i="6"/>
  <c r="G101" i="6"/>
  <c r="H101" i="6"/>
  <c r="F102" i="6" l="1"/>
  <c r="G102" i="6"/>
  <c r="H102" i="6"/>
  <c r="J102" i="6"/>
  <c r="B103" i="6"/>
  <c r="I103" i="6" s="1"/>
  <c r="F103" i="6" l="1"/>
  <c r="H103" i="6"/>
  <c r="G103" i="6"/>
  <c r="J103" i="6"/>
  <c r="B104" i="6"/>
  <c r="I104" i="6" s="1"/>
  <c r="J104" i="6" l="1"/>
  <c r="H104" i="6"/>
  <c r="F104" i="6"/>
  <c r="G104" i="6"/>
  <c r="B105" i="6"/>
  <c r="I105" i="6" s="1"/>
  <c r="F105" i="6" l="1"/>
  <c r="H105" i="6"/>
  <c r="G105" i="6"/>
  <c r="J105" i="6"/>
  <c r="B106" i="6"/>
  <c r="I106" i="6" s="1"/>
  <c r="F106" i="6" l="1"/>
  <c r="H106" i="6"/>
  <c r="G106" i="6"/>
  <c r="J106" i="6"/>
  <c r="B107" i="6"/>
  <c r="I107" i="6" s="1"/>
  <c r="J107" i="6" l="1"/>
  <c r="F107" i="6"/>
  <c r="G107" i="6"/>
  <c r="H107" i="6"/>
  <c r="B108" i="6"/>
  <c r="I108" i="6" s="1"/>
  <c r="G108" i="6" l="1"/>
  <c r="H108" i="6"/>
  <c r="J108" i="6"/>
  <c r="F108" i="6"/>
  <c r="B109" i="6"/>
  <c r="I109" i="6" s="1"/>
  <c r="B110" i="6" l="1"/>
  <c r="I110" i="6" s="1"/>
  <c r="H109" i="6"/>
  <c r="G109" i="6"/>
  <c r="J109" i="6"/>
  <c r="F109" i="6"/>
  <c r="B111" i="6" l="1"/>
  <c r="I111" i="6" s="1"/>
  <c r="J110" i="6"/>
  <c r="G110" i="6"/>
  <c r="H110" i="6"/>
  <c r="F110" i="6"/>
  <c r="H111" i="6" l="1"/>
  <c r="F111" i="6"/>
  <c r="G111" i="6"/>
  <c r="J111" i="6"/>
  <c r="B112" i="6"/>
  <c r="I112" i="6" s="1"/>
  <c r="F112" i="6" l="1"/>
  <c r="H112" i="6"/>
  <c r="J112" i="6"/>
  <c r="G112" i="6"/>
  <c r="B113" i="6"/>
  <c r="I113" i="6" s="1"/>
  <c r="F113" i="6" l="1"/>
  <c r="G113" i="6"/>
  <c r="J113" i="6"/>
  <c r="H113" i="6"/>
  <c r="B114" i="6"/>
  <c r="I114" i="6" s="1"/>
  <c r="B115" i="6" l="1"/>
  <c r="I115" i="6" s="1"/>
  <c r="H114" i="6"/>
  <c r="J114" i="6"/>
  <c r="F114" i="6"/>
  <c r="G114" i="6"/>
  <c r="B116" i="6" l="1"/>
  <c r="I116" i="6" s="1"/>
  <c r="J115" i="6"/>
  <c r="H115" i="6"/>
  <c r="G115" i="6"/>
  <c r="F115" i="6"/>
  <c r="B118" i="6" l="1"/>
  <c r="I118" i="6" s="1"/>
  <c r="B117" i="6"/>
  <c r="I117" i="6" s="1"/>
  <c r="F116" i="6"/>
  <c r="G116" i="6"/>
  <c r="H116" i="6"/>
  <c r="J116" i="6"/>
  <c r="G117" i="6" l="1"/>
  <c r="H117" i="6"/>
  <c r="J117" i="6"/>
  <c r="F117" i="6"/>
  <c r="J118" i="6"/>
  <c r="F118" i="6"/>
  <c r="G118" i="6"/>
  <c r="H1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<sst xmlns="http://schemas.openxmlformats.org/spreadsheetml/2006/main" count="2841" uniqueCount="1019">
  <si>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</si>
  <si>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</si>
  <si>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</si>
  <si>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</si>
  <si>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</si>
  <si>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</si>
  <si>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</si>
  <si>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</si>
  <si>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</si>
  <si>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</si>
  <si>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</si>
  <si>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</si>
  <si>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</si>
  <si>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</si>
  <si>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</si>
  <si>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</si>
  <si>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</si>
  <si>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</si>
  <si>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</si>
  <si>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</si>
  <si>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</si>
  <si>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</si>
  <si>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</si>
  <si>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</si>
  <si>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</si>
  <si>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</si>
  <si>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</si>
  <si>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</si>
  <si>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</si>
  <si>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</si>
  <si>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</si>
  <si>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</si>
  <si>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</si>
  <si>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</si>
  <si>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</si>
  <si>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</si>
  <si>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</si>
  <si>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</si>
  <si>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</si>
  <si>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</si>
  <si>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</si>
  <si>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</si>
  <si>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</si>
  <si>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</si>
  <si>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</si>
  <si>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</si>
  <si>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</si>
  <si>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</si>
  <si>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</si>
  <si>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</si>
  <si>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</si>
  <si>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</si>
  <si>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</si>
  <si>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</si>
  <si>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</si>
  <si>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</si>
  <si>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</si>
  <si>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</si>
  <si>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</si>
  <si>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</si>
  <si>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</si>
  <si>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</si>
  <si>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</si>
  <si>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</si>
  <si>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</si>
  <si>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</si>
  <si>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</si>
  <si>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</si>
  <si>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</si>
  <si>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</si>
  <si>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</si>
  <si>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</si>
  <si>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</si>
  <si>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</si>
  <si>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</si>
  <si>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</si>
  <si>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</si>
  <si>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</si>
  <si>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</si>
  <si>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</si>
  <si>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</si>
  <si>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</si>
  <si>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</si>
  <si>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</si>
  <si>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</si>
  <si>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</si>
  <si>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</si>
  <si>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</si>
  <si>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</si>
  <si>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</si>
  <si>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</si>
  <si>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</si>
  <si>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</si>
  <si>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</si>
  <si>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</si>
  <si>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</si>
  <si>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</si>
  <si>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</si>
  <si>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</si>
  <si>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</si>
  <si>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</si>
  <si>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</si>
  <si>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</si>
  <si>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</si>
  <si>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</si>
  <si>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</si>
  <si>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</si>
  <si>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</si>
  <si>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</si>
  <si>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</si>
  <si>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</si>
  <si>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</si>
  <si>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</si>
  <si>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</si>
  <si>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</si>
  <si>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</si>
  <si>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</si>
  <si>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</si>
  <si>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</si>
  <si>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</si>
  <si>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</si>
  <si>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</si>
  <si>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</si>
  <si>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</si>
  <si>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</si>
  <si>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</si>
  <si>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</si>
  <si>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</si>
  <si>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</si>
  <si>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</si>
  <si>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</si>
  <si>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</si>
  <si>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</si>
  <si>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</si>
  <si>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</si>
  <si>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</si>
  <si>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</si>
  <si>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</si>
  <si>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</si>
  <si>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</si>
  <si>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</si>
  <si>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</si>
  <si>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</si>
  <si>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</si>
  <si>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</si>
  <si>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</si>
  <si>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</si>
  <si>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</si>
  <si>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</si>
  <si>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</si>
  <si>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</si>
  <si>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</si>
  <si>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</si>
  <si>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</si>
  <si>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</si>
  <si>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</si>
  <si>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</si>
  <si>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</si>
  <si>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</si>
  <si>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</si>
  <si>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</si>
  <si>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</si>
  <si>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</si>
  <si>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</si>
  <si>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</si>
  <si>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</si>
  <si>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</si>
  <si>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</si>
  <si>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</si>
  <si>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</si>
  <si>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</si>
  <si>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</si>
  <si>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</si>
  <si>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</si>
  <si>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</si>
  <si>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</si>
  <si>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</si>
  <si>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</si>
  <si>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</si>
  <si>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</si>
  <si>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</si>
  <si>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</si>
  <si>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</si>
  <si>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</si>
  <si>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</si>
  <si>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</si>
  <si>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</si>
  <si>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</si>
  <si>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</si>
  <si>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</si>
  <si>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</si>
  <si>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</si>
  <si>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</si>
  <si>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Human Factors</t>
  </si>
  <si>
    <t>204:150</t>
  </si>
  <si>
    <t>CLI Grep2 (for slice disagreement)</t>
  </si>
  <si>
    <t>204:145</t>
  </si>
  <si>
    <t>GRADE CROSSING</t>
  </si>
  <si>
    <t>Bulletin (2)</t>
  </si>
  <si>
    <t>JAMES</t>
  </si>
  <si>
    <t>Last + First</t>
  </si>
  <si>
    <t>Employee First Name</t>
  </si>
  <si>
    <t>MICHAEL</t>
  </si>
  <si>
    <t>204:160</t>
  </si>
  <si>
    <t>204:462</t>
  </si>
  <si>
    <t>NEWELL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</si>
  <si>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</si>
  <si>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</si>
  <si>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</si>
  <si>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</si>
  <si>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</si>
  <si>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</si>
  <si>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rtdc.l.rtdc.4026:itc</t>
  </si>
  <si>
    <t>204:154</t>
  </si>
  <si>
    <t>HILLS</t>
  </si>
  <si>
    <t>DUSTIN</t>
  </si>
  <si>
    <t>rtdc.l.rtdc.4046:itc</t>
  </si>
  <si>
    <t>rtdc.l.rtdc.4045:itc</t>
  </si>
  <si>
    <t>Uncaught Wi-MAX GREP</t>
  </si>
  <si>
    <t>rtdc.l.rtdc.4028:itc</t>
  </si>
  <si>
    <t>rtdc.l.rtdc.4027:itc</t>
  </si>
  <si>
    <t>MCREYNOLDS</t>
  </si>
  <si>
    <t>KYLE</t>
  </si>
  <si>
    <t>204:143</t>
  </si>
  <si>
    <t>rtdc.l.rtdc.4015:itc</t>
  </si>
  <si>
    <t>rtdc.l.rtdc.4029:itc</t>
  </si>
  <si>
    <t>204:451</t>
  </si>
  <si>
    <t>204:457</t>
  </si>
  <si>
    <t>STORY</t>
  </si>
  <si>
    <t>SAMANTHA</t>
  </si>
  <si>
    <t>204:460</t>
  </si>
  <si>
    <t>rtdc.l.rtdc.4007:itc</t>
  </si>
  <si>
    <t>BROWN</t>
  </si>
  <si>
    <t>JACOB</t>
  </si>
  <si>
    <t>rtdc.l.rtdc.4025:itc</t>
  </si>
  <si>
    <t>78-18</t>
  </si>
  <si>
    <t>NELSON</t>
  </si>
  <si>
    <t>ARIANE</t>
  </si>
  <si>
    <t>80-18</t>
  </si>
  <si>
    <t>81-18</t>
  </si>
  <si>
    <t>77-18</t>
  </si>
  <si>
    <t>rtdc.l.rtdc.4054:itc</t>
  </si>
  <si>
    <t>85-18</t>
  </si>
  <si>
    <t>COMELLA</t>
  </si>
  <si>
    <t>JUSTIN</t>
  </si>
  <si>
    <t>rtdc.l.rtdc.4053:itc</t>
  </si>
  <si>
    <t>313-18</t>
  </si>
  <si>
    <t>315-18</t>
  </si>
  <si>
    <t>rtdc.l.rtdc.4043:itc</t>
  </si>
  <si>
    <t>partly-cloudy-night</t>
  </si>
  <si>
    <t>Partly Cloudy</t>
  </si>
  <si>
    <t>204:453</t>
  </si>
  <si>
    <t>rtdc.l.rtdc.4003:itc</t>
  </si>
  <si>
    <t>rtdc.l.rtdc.4004:itc</t>
  </si>
  <si>
    <t>CHANDLER</t>
  </si>
  <si>
    <t>KELVIN</t>
  </si>
  <si>
    <t>204:467</t>
  </si>
  <si>
    <t>204:446</t>
  </si>
  <si>
    <t>204:455</t>
  </si>
  <si>
    <t>204:233308</t>
  </si>
  <si>
    <t>204:139</t>
  </si>
  <si>
    <t>rtdc.l.rtdc.4016:itc</t>
  </si>
  <si>
    <t>204:232993</t>
  </si>
  <si>
    <t>204:232977</t>
  </si>
  <si>
    <t>204:232978</t>
  </si>
  <si>
    <t>204:232991</t>
  </si>
  <si>
    <t>204:233293</t>
  </si>
  <si>
    <t>rtdc.l.rtdc.4019:itc</t>
  </si>
  <si>
    <t>204:464</t>
  </si>
  <si>
    <t>204:161</t>
  </si>
  <si>
    <t>rtdc.l.rtdc.4020:itc</t>
  </si>
  <si>
    <t>MOSES</t>
  </si>
  <si>
    <t>BRADLEY</t>
  </si>
  <si>
    <t>rtdc.l.rtdc.4044:itc</t>
  </si>
  <si>
    <t>204:141</t>
  </si>
  <si>
    <t>204:232996</t>
  </si>
  <si>
    <t>204:233312</t>
  </si>
  <si>
    <t>204:232980</t>
  </si>
  <si>
    <t>204:440</t>
  </si>
  <si>
    <t>rtdc.l.rtdc.4008:itc</t>
  </si>
  <si>
    <t>rtdc.l.rtdc.4018:itc</t>
  </si>
  <si>
    <t>rtdc.l.rtdc.4017:itc</t>
  </si>
  <si>
    <t>rtdc.l.rtdc.4012:itc</t>
  </si>
  <si>
    <t>JOHN</t>
  </si>
  <si>
    <t>YORK</t>
  </si>
  <si>
    <t>EDGAR</t>
  </si>
  <si>
    <t>DAVID</t>
  </si>
  <si>
    <t>204:136</t>
  </si>
  <si>
    <t>204:156</t>
  </si>
  <si>
    <t>204:233310</t>
  </si>
  <si>
    <t>204:444</t>
  </si>
  <si>
    <t>204:147</t>
  </si>
  <si>
    <t>300:23346</t>
  </si>
  <si>
    <t>204:477</t>
  </si>
  <si>
    <t>204:232998</t>
  </si>
  <si>
    <t>204:138</t>
  </si>
  <si>
    <t>300:58623</t>
  </si>
  <si>
    <t>300:58937</t>
  </si>
  <si>
    <t>204:438</t>
  </si>
  <si>
    <t>204:431</t>
  </si>
  <si>
    <t>204:442</t>
  </si>
  <si>
    <t>204:232985</t>
  </si>
  <si>
    <t>204:233327</t>
  </si>
  <si>
    <t>204:233278</t>
  </si>
  <si>
    <t>204:473</t>
  </si>
  <si>
    <t>204:471</t>
  </si>
  <si>
    <t>204:233306</t>
  </si>
  <si>
    <t>204:678</t>
  </si>
  <si>
    <t>236-15</t>
  </si>
  <si>
    <t>240-15</t>
  </si>
  <si>
    <t>230-15</t>
  </si>
  <si>
    <t>844-15</t>
  </si>
  <si>
    <t>233-15</t>
  </si>
  <si>
    <t>235-15</t>
  </si>
  <si>
    <t>847-15</t>
  </si>
  <si>
    <t>232-15</t>
  </si>
  <si>
    <t>908-15</t>
  </si>
  <si>
    <t>234-15</t>
  </si>
  <si>
    <t>237-15</t>
  </si>
  <si>
    <t>JACKSON</t>
  </si>
  <si>
    <t>WILLIAM</t>
  </si>
  <si>
    <t>239-15</t>
  </si>
  <si>
    <t>241-15</t>
  </si>
  <si>
    <t>238-15</t>
  </si>
  <si>
    <t>243-15</t>
  </si>
  <si>
    <t>242-15</t>
  </si>
  <si>
    <t>315-15</t>
  </si>
  <si>
    <t>309-15</t>
  </si>
  <si>
    <t>244-15</t>
  </si>
  <si>
    <t>311-15</t>
  </si>
  <si>
    <t>Clear</t>
  </si>
  <si>
    <t>clear-day</t>
  </si>
  <si>
    <t>204:754</t>
  </si>
  <si>
    <t>204:232975</t>
  </si>
  <si>
    <t>204:232989</t>
  </si>
  <si>
    <t>204:233317</t>
  </si>
  <si>
    <t>204:232967</t>
  </si>
  <si>
    <t>204:233307</t>
  </si>
  <si>
    <t>204:233003</t>
  </si>
  <si>
    <t>204:232973</t>
  </si>
  <si>
    <t>204:233015</t>
  </si>
  <si>
    <t>204:233272</t>
  </si>
  <si>
    <t>300:58967</t>
  </si>
  <si>
    <t>rtdc.l.rtdc.4052:itc</t>
  </si>
  <si>
    <t>rtdc.l.rtdc.4014:itc</t>
  </si>
  <si>
    <t>ROBINSON</t>
  </si>
  <si>
    <t>KADDIBA</t>
  </si>
  <si>
    <t>SHOOK</t>
  </si>
  <si>
    <t>rtdc.l.rtdc.4013:itc</t>
  </si>
  <si>
    <t>KILLION</t>
  </si>
  <si>
    <t>SMITH</t>
  </si>
  <si>
    <t>rtdc.l.rtdc.4006:itc</t>
  </si>
  <si>
    <t>240-16</t>
  </si>
  <si>
    <t>315-16</t>
  </si>
  <si>
    <t>242-16</t>
  </si>
  <si>
    <t>244-16</t>
  </si>
  <si>
    <t>309-16</t>
  </si>
  <si>
    <t>311-16</t>
  </si>
  <si>
    <t>4019-17</t>
  </si>
  <si>
    <t>313-16</t>
  </si>
  <si>
    <t>204:232982</t>
  </si>
  <si>
    <t>204:163</t>
  </si>
  <si>
    <t>204:233004</t>
  </si>
  <si>
    <t>204:475</t>
  </si>
  <si>
    <t>204:447</t>
  </si>
  <si>
    <t>204:466</t>
  </si>
  <si>
    <t>204:233011</t>
  </si>
  <si>
    <t>204:233304</t>
  </si>
  <si>
    <t>204:233321</t>
  </si>
  <si>
    <t>204:233303</t>
  </si>
  <si>
    <t>204:233301</t>
  </si>
  <si>
    <t>204:233285</t>
  </si>
  <si>
    <t>300:23306</t>
  </si>
  <si>
    <t>300:23156</t>
  </si>
  <si>
    <t>300:58647</t>
  </si>
  <si>
    <t>300:58619</t>
  </si>
  <si>
    <t>PERMANENT SPEED RESTRICTION</t>
  </si>
  <si>
    <t>Speed (6)</t>
  </si>
  <si>
    <t>244-19</t>
  </si>
  <si>
    <t>Y</t>
  </si>
  <si>
    <t>DUNCAN</t>
  </si>
  <si>
    <t>SHEILA</t>
  </si>
  <si>
    <t>rtdc.l.rtdc.4022:itc</t>
  </si>
  <si>
    <t>STAMBAUGH</t>
  </si>
  <si>
    <t>SWANSON</t>
  </si>
  <si>
    <t>BRYCE</t>
  </si>
  <si>
    <t>ROMERO</t>
  </si>
  <si>
    <t>CHAD</t>
  </si>
  <si>
    <t>STEWART</t>
  </si>
  <si>
    <t>CRAYTON</t>
  </si>
  <si>
    <t>QUNTRELL</t>
  </si>
  <si>
    <t>LEVIN</t>
  </si>
  <si>
    <t>SCOTT</t>
  </si>
  <si>
    <t>DAVIS</t>
  </si>
  <si>
    <t>LALONDE</t>
  </si>
  <si>
    <t>GREGORY</t>
  </si>
  <si>
    <t>DAVIDSON</t>
  </si>
  <si>
    <t>SAFIEF</t>
  </si>
  <si>
    <t>AEIMEN</t>
  </si>
  <si>
    <t>YANG</t>
  </si>
  <si>
    <t>JAN</t>
  </si>
  <si>
    <t>242-19</t>
  </si>
  <si>
    <t>309-19</t>
  </si>
  <si>
    <t>311-19</t>
  </si>
  <si>
    <t>313-19</t>
  </si>
  <si>
    <t>precipType</t>
  </si>
  <si>
    <t>rain</t>
  </si>
  <si>
    <t>Drizzle</t>
  </si>
  <si>
    <t>DE.1.0.9.0</t>
  </si>
  <si>
    <t>204:232990</t>
  </si>
  <si>
    <t>204:458</t>
  </si>
  <si>
    <t>204:233325</t>
  </si>
  <si>
    <t>204:233326</t>
  </si>
  <si>
    <t>204:233332</t>
  </si>
  <si>
    <t>204:435</t>
  </si>
  <si>
    <t>204:233030</t>
  </si>
  <si>
    <t>204:233017</t>
  </si>
  <si>
    <t>204:233291</t>
  </si>
  <si>
    <t>204:233270</t>
  </si>
  <si>
    <t>204:232964</t>
  </si>
  <si>
    <t>204:233309</t>
  </si>
  <si>
    <t>204:192</t>
  </si>
  <si>
    <t>300:58630</t>
  </si>
  <si>
    <t>300:58939</t>
  </si>
  <si>
    <t>300:58933</t>
  </si>
  <si>
    <t>300:58615</t>
  </si>
  <si>
    <t>300:58617</t>
  </si>
  <si>
    <t>300:58956</t>
  </si>
  <si>
    <t>300:58946</t>
  </si>
  <si>
    <t>204:685</t>
  </si>
  <si>
    <t>204:682</t>
  </si>
  <si>
    <t>204:692</t>
  </si>
  <si>
    <t>300:58941</t>
  </si>
  <si>
    <t>300:58621</t>
  </si>
  <si>
    <t>300:58935</t>
  </si>
  <si>
    <t>204:508</t>
  </si>
  <si>
    <t>204:233319</t>
  </si>
  <si>
    <t>204:233320</t>
  </si>
  <si>
    <t>204:233298</t>
  </si>
  <si>
    <t>204:232994</t>
  </si>
  <si>
    <t>204:233323</t>
  </si>
  <si>
    <t>204:232984</t>
  </si>
  <si>
    <t>204:233005</t>
  </si>
  <si>
    <t>204:232974</t>
  </si>
  <si>
    <t>300:23175</t>
  </si>
  <si>
    <t>start /low /b %USERPROFILE%\Documents\GitHub\eaglep3\Utilities\DownloadLogsFromS3.py --loco 4007 --day 2017-02-20</t>
  </si>
  <si>
    <t>Onboard in-route failure</t>
  </si>
  <si>
    <t>CCROC/crew/equipment mismatch</t>
  </si>
  <si>
    <t>Early arrival</t>
  </si>
  <si>
    <t>Wi-MAX data drop</t>
  </si>
  <si>
    <t>302-20</t>
  </si>
  <si>
    <t>105-20</t>
  </si>
  <si>
    <t>SWITCH UNKNOWN</t>
  </si>
  <si>
    <t>Track device (7)</t>
  </si>
  <si>
    <t>106-20</t>
  </si>
  <si>
    <t>803-20</t>
  </si>
  <si>
    <t>116-20</t>
  </si>
  <si>
    <t>804-20</t>
  </si>
  <si>
    <t>114-20</t>
  </si>
  <si>
    <t>120-20</t>
  </si>
  <si>
    <t>122-20</t>
  </si>
  <si>
    <t>808-20</t>
  </si>
  <si>
    <t>126-20</t>
  </si>
  <si>
    <t>130-20</t>
  </si>
  <si>
    <t>139-20</t>
  </si>
  <si>
    <t>813-20</t>
  </si>
  <si>
    <t>814-20</t>
  </si>
  <si>
    <t>149-20</t>
  </si>
  <si>
    <t>54-20</t>
  </si>
  <si>
    <t>SWITCH ALIGNMENT</t>
  </si>
  <si>
    <t>153-20</t>
  </si>
  <si>
    <t>146-20</t>
  </si>
  <si>
    <t>55-20</t>
  </si>
  <si>
    <t>161-20</t>
  </si>
  <si>
    <t>158-20</t>
  </si>
  <si>
    <t>821-20</t>
  </si>
  <si>
    <t>179-20</t>
  </si>
  <si>
    <t>185-20</t>
  </si>
  <si>
    <t>rtdc.l.rtdc.4021:itc</t>
  </si>
  <si>
    <t>904-20</t>
  </si>
  <si>
    <t>184-20</t>
  </si>
  <si>
    <t>830-20</t>
  </si>
  <si>
    <t>200-20</t>
  </si>
  <si>
    <t>836-20</t>
  </si>
  <si>
    <t>219-20</t>
  </si>
  <si>
    <t>839-20</t>
  </si>
  <si>
    <t>842-20</t>
  </si>
  <si>
    <t>233-20</t>
  </si>
  <si>
    <t>235-20</t>
  </si>
  <si>
    <t>SANTIZO</t>
  </si>
  <si>
    <t>D. EDY</t>
  </si>
  <si>
    <t>101-20</t>
  </si>
  <si>
    <t>304-20</t>
  </si>
  <si>
    <t>CUSHING</t>
  </si>
  <si>
    <t>HARRY</t>
  </si>
  <si>
    <t>103-20</t>
  </si>
  <si>
    <t>51-20</t>
  </si>
  <si>
    <t>SPECTOR</t>
  </si>
  <si>
    <t>102-20</t>
  </si>
  <si>
    <t>308-20</t>
  </si>
  <si>
    <t>BONDS</t>
  </si>
  <si>
    <t>REYNALDO</t>
  </si>
  <si>
    <t>STARKS</t>
  </si>
  <si>
    <t>ANGELINA</t>
  </si>
  <si>
    <t>107-20</t>
  </si>
  <si>
    <t>310-20</t>
  </si>
  <si>
    <t>109-20</t>
  </si>
  <si>
    <t>901-20</t>
  </si>
  <si>
    <t>111-20</t>
  </si>
  <si>
    <t>800-20</t>
  </si>
  <si>
    <t>113-20</t>
  </si>
  <si>
    <t>115-20</t>
  </si>
  <si>
    <t>108-20</t>
  </si>
  <si>
    <t>801-20</t>
  </si>
  <si>
    <t>110-20</t>
  </si>
  <si>
    <t>112-20</t>
  </si>
  <si>
    <t>119-20</t>
  </si>
  <si>
    <t>YOUNG</t>
  </si>
  <si>
    <t>ELIZABETH</t>
  </si>
  <si>
    <t>802-20</t>
  </si>
  <si>
    <t>ROCHA</t>
  </si>
  <si>
    <t>YAOTL</t>
  </si>
  <si>
    <t>121-20</t>
  </si>
  <si>
    <t>123-20</t>
  </si>
  <si>
    <t>805-20</t>
  </si>
  <si>
    <t>125-20</t>
  </si>
  <si>
    <t>127-20</t>
  </si>
  <si>
    <t>807-20</t>
  </si>
  <si>
    <t>806-20</t>
  </si>
  <si>
    <t>129-20</t>
  </si>
  <si>
    <t>124-20</t>
  </si>
  <si>
    <t>131-20</t>
  </si>
  <si>
    <t>YANAI</t>
  </si>
  <si>
    <t>IAN</t>
  </si>
  <si>
    <t>809-20</t>
  </si>
  <si>
    <t>133-20</t>
  </si>
  <si>
    <t>128-20</t>
  </si>
  <si>
    <t>135-20</t>
  </si>
  <si>
    <t>810-20</t>
  </si>
  <si>
    <t>137-20</t>
  </si>
  <si>
    <t>132-20</t>
  </si>
  <si>
    <t>811-20</t>
  </si>
  <si>
    <t>53-20</t>
  </si>
  <si>
    <t>903-20</t>
  </si>
  <si>
    <t>141-20</t>
  </si>
  <si>
    <t>812-20</t>
  </si>
  <si>
    <t>134-20</t>
  </si>
  <si>
    <t>136-20</t>
  </si>
  <si>
    <t>143-20</t>
  </si>
  <si>
    <t>138-20</t>
  </si>
  <si>
    <t>145-20</t>
  </si>
  <si>
    <t>147-20</t>
  </si>
  <si>
    <t>140-20</t>
  </si>
  <si>
    <t>142-20</t>
  </si>
  <si>
    <t>144-20</t>
  </si>
  <si>
    <t>151-20</t>
  </si>
  <si>
    <t>148-20</t>
  </si>
  <si>
    <t>BERLING</t>
  </si>
  <si>
    <t>GARY</t>
  </si>
  <si>
    <t>815-20</t>
  </si>
  <si>
    <t>155-20</t>
  </si>
  <si>
    <t>150-20</t>
  </si>
  <si>
    <t>816-20</t>
  </si>
  <si>
    <t>157-20</t>
  </si>
  <si>
    <t>152-20</t>
  </si>
  <si>
    <t>56-20</t>
  </si>
  <si>
    <t>154-20</t>
  </si>
  <si>
    <t>159-20</t>
  </si>
  <si>
    <t>ACKERMAN</t>
  </si>
  <si>
    <t>JARED</t>
  </si>
  <si>
    <t>156-20</t>
  </si>
  <si>
    <t>817-20</t>
  </si>
  <si>
    <t>163-20</t>
  </si>
  <si>
    <t>CLARK</t>
  </si>
  <si>
    <t>KATHLEEN</t>
  </si>
  <si>
    <t>818-20</t>
  </si>
  <si>
    <t>57-20</t>
  </si>
  <si>
    <t>165-20</t>
  </si>
  <si>
    <t>167-20</t>
  </si>
  <si>
    <t>160-20</t>
  </si>
  <si>
    <t>162-20</t>
  </si>
  <si>
    <t>169-20</t>
  </si>
  <si>
    <t>LEVERE</t>
  </si>
  <si>
    <t>CRAIG</t>
  </si>
  <si>
    <t>819-20</t>
  </si>
  <si>
    <t>164-20</t>
  </si>
  <si>
    <t>171-20</t>
  </si>
  <si>
    <t>166-20</t>
  </si>
  <si>
    <t>820-20</t>
  </si>
  <si>
    <t>173-20</t>
  </si>
  <si>
    <t>168-20</t>
  </si>
  <si>
    <t>175-20</t>
  </si>
  <si>
    <t>170-20</t>
  </si>
  <si>
    <t>177-20</t>
  </si>
  <si>
    <t>172-20</t>
  </si>
  <si>
    <t>822-20</t>
  </si>
  <si>
    <t>181-20</t>
  </si>
  <si>
    <t>174-20</t>
  </si>
  <si>
    <t>183-20</t>
  </si>
  <si>
    <t>176-20</t>
  </si>
  <si>
    <t>178-20</t>
  </si>
  <si>
    <t>180-20</t>
  </si>
  <si>
    <t>823-20</t>
  </si>
  <si>
    <t>187-20</t>
  </si>
  <si>
    <t>182-20</t>
  </si>
  <si>
    <t>824-20</t>
  </si>
  <si>
    <t>189-20</t>
  </si>
  <si>
    <t>191-20</t>
  </si>
  <si>
    <t>186-20</t>
  </si>
  <si>
    <t>193-20</t>
  </si>
  <si>
    <t>825-20</t>
  </si>
  <si>
    <t>MACDONALD</t>
  </si>
  <si>
    <t>THOMAS</t>
  </si>
  <si>
    <t>188-20</t>
  </si>
  <si>
    <t>195-20</t>
  </si>
  <si>
    <t>826-20</t>
  </si>
  <si>
    <t>190-20</t>
  </si>
  <si>
    <t>197-20</t>
  </si>
  <si>
    <t>827-20</t>
  </si>
  <si>
    <t>192-20</t>
  </si>
  <si>
    <t>194-20</t>
  </si>
  <si>
    <t>199-20</t>
  </si>
  <si>
    <t>828-20</t>
  </si>
  <si>
    <t>201-20</t>
  </si>
  <si>
    <t>196-20</t>
  </si>
  <si>
    <t>829-20</t>
  </si>
  <si>
    <t>BRANDNER</t>
  </si>
  <si>
    <t>MELINDA</t>
  </si>
  <si>
    <t>203-20</t>
  </si>
  <si>
    <t>831-20</t>
  </si>
  <si>
    <t>198-20</t>
  </si>
  <si>
    <t>205-20</t>
  </si>
  <si>
    <t>207-20</t>
  </si>
  <si>
    <t>202-20</t>
  </si>
  <si>
    <t>832-20</t>
  </si>
  <si>
    <t>65-20</t>
  </si>
  <si>
    <t>209-20</t>
  </si>
  <si>
    <t>833-20</t>
  </si>
  <si>
    <t>211-20</t>
  </si>
  <si>
    <t>204-20</t>
  </si>
  <si>
    <t>206-20</t>
  </si>
  <si>
    <t>835-20</t>
  </si>
  <si>
    <t>52-20</t>
  </si>
  <si>
    <t>834-20</t>
  </si>
  <si>
    <t>208-20</t>
  </si>
  <si>
    <t>213-20</t>
  </si>
  <si>
    <t>215-20</t>
  </si>
  <si>
    <t>50-20</t>
  </si>
  <si>
    <t>210-20</t>
  </si>
  <si>
    <t>217-20</t>
  </si>
  <si>
    <t>212-20</t>
  </si>
  <si>
    <t>837-20</t>
  </si>
  <si>
    <t>214-20</t>
  </si>
  <si>
    <t>303-20</t>
  </si>
  <si>
    <t>838-20</t>
  </si>
  <si>
    <t>216-20</t>
  </si>
  <si>
    <t>218-20</t>
  </si>
  <si>
    <t>221-20</t>
  </si>
  <si>
    <t>305-20</t>
  </si>
  <si>
    <t>906-20</t>
  </si>
  <si>
    <t>841-20</t>
  </si>
  <si>
    <t>220-20</t>
  </si>
  <si>
    <t>223-20</t>
  </si>
  <si>
    <t>307-20</t>
  </si>
  <si>
    <t>840-20</t>
  </si>
  <si>
    <t>225-20</t>
  </si>
  <si>
    <t>222-20</t>
  </si>
  <si>
    <t>rtdc.l.rtdc.4050:itc</t>
  </si>
  <si>
    <t>62-20</t>
  </si>
  <si>
    <t>843-20</t>
  </si>
  <si>
    <t>224-20</t>
  </si>
  <si>
    <t>227-20</t>
  </si>
  <si>
    <t>rtdc.l.rtdc.4049:itc</t>
  </si>
  <si>
    <t>63-20</t>
  </si>
  <si>
    <t>226-20</t>
  </si>
  <si>
    <t>229-20</t>
  </si>
  <si>
    <t>845-20</t>
  </si>
  <si>
    <t>228-20</t>
  </si>
  <si>
    <t>231-20</t>
  </si>
  <si>
    <t>844-20</t>
  </si>
  <si>
    <t>230-20</t>
  </si>
  <si>
    <t>232-20</t>
  </si>
  <si>
    <t>847-20</t>
  </si>
  <si>
    <t>908-20</t>
  </si>
  <si>
    <t>234-20</t>
  </si>
  <si>
    <t>237-20</t>
  </si>
  <si>
    <t>239-20</t>
  </si>
  <si>
    <t>236-20</t>
  </si>
  <si>
    <t>241-20</t>
  </si>
  <si>
    <t>238-20</t>
  </si>
  <si>
    <t>240-20</t>
  </si>
  <si>
    <t>243-20</t>
  </si>
  <si>
    <t>315-20</t>
  </si>
  <si>
    <t>242-20</t>
  </si>
  <si>
    <t>309-20</t>
  </si>
  <si>
    <t>244-20</t>
  </si>
  <si>
    <t>311-20</t>
  </si>
  <si>
    <t>313-20</t>
  </si>
  <si>
    <t>clear-night</t>
  </si>
  <si>
    <t>204:37260</t>
  </si>
  <si>
    <t>204:233351</t>
  </si>
  <si>
    <t>204:1448</t>
  </si>
  <si>
    <t>204:232694</t>
  </si>
  <si>
    <t>204:746</t>
  </si>
  <si>
    <t>204:154508</t>
  </si>
  <si>
    <t>204:160084</t>
  </si>
  <si>
    <t>204:64791</t>
  </si>
  <si>
    <t>204:124569</t>
  </si>
  <si>
    <t>204:783</t>
  </si>
  <si>
    <t>204:39197</t>
  </si>
  <si>
    <t>204:127787</t>
  </si>
  <si>
    <t>204:91178</t>
  </si>
  <si>
    <t>204:232656</t>
  </si>
  <si>
    <t>204:220014</t>
  </si>
  <si>
    <t>204:233284</t>
  </si>
  <si>
    <t>204:232963</t>
  </si>
  <si>
    <t>204:180</t>
  </si>
  <si>
    <t>204:233286</t>
  </si>
  <si>
    <t>204:232971</t>
  </si>
  <si>
    <t>204:232987</t>
  </si>
  <si>
    <t>204:233299</t>
  </si>
  <si>
    <t>204:233314</t>
  </si>
  <si>
    <t>204:232981</t>
  </si>
  <si>
    <t>204:232969</t>
  </si>
  <si>
    <t>204:233297</t>
  </si>
  <si>
    <t>204:488</t>
  </si>
  <si>
    <t>204:169</t>
  </si>
  <si>
    <t>204:437</t>
  </si>
  <si>
    <t>204:193784</t>
  </si>
  <si>
    <t>204:228198</t>
  </si>
  <si>
    <t>204:233240</t>
  </si>
  <si>
    <t>204:232932</t>
  </si>
  <si>
    <t>204:1513</t>
  </si>
  <si>
    <t>204:1408</t>
  </si>
  <si>
    <t>204:232947</t>
  </si>
  <si>
    <t>204:233282</t>
  </si>
  <si>
    <t>204:232946</t>
  </si>
  <si>
    <t>204:233331</t>
  </si>
  <si>
    <t>204:233289</t>
  </si>
  <si>
    <t>204:185</t>
  </si>
  <si>
    <t>204:233274</t>
  </si>
  <si>
    <t>204:232953</t>
  </si>
  <si>
    <t>204:172</t>
  </si>
  <si>
    <t>204:469</t>
  </si>
  <si>
    <t>204:232979</t>
  </si>
  <si>
    <t>204:183</t>
  </si>
  <si>
    <t>204:233000</t>
  </si>
  <si>
    <t>204:493</t>
  </si>
  <si>
    <t>204:429</t>
  </si>
  <si>
    <t>204:233397</t>
  </si>
  <si>
    <t>204:233086</t>
  </si>
  <si>
    <t>204:233385</t>
  </si>
  <si>
    <t>204:233091</t>
  </si>
  <si>
    <t>204:484</t>
  </si>
  <si>
    <t>204:233300</t>
  </si>
  <si>
    <t>204:232957</t>
  </si>
  <si>
    <t>204:233374</t>
  </si>
  <si>
    <t>204:233062</t>
  </si>
  <si>
    <t>204:480</t>
  </si>
  <si>
    <t>204:232976</t>
  </si>
  <si>
    <t>204:181</t>
  </si>
  <si>
    <t>204:233355</t>
  </si>
  <si>
    <t>204:233057</t>
  </si>
  <si>
    <t>204:233344</t>
  </si>
  <si>
    <t>204:233027</t>
  </si>
  <si>
    <t>204:232965</t>
  </si>
  <si>
    <t>204:387</t>
  </si>
  <si>
    <t>204:233242</t>
  </si>
  <si>
    <t>204:232913</t>
  </si>
  <si>
    <t>300:19752</t>
  </si>
  <si>
    <t>300:21967</t>
  </si>
  <si>
    <t>300:23299</t>
  </si>
  <si>
    <t>300:22176</t>
  </si>
  <si>
    <t>300:22788</t>
  </si>
  <si>
    <t>204:706</t>
  </si>
  <si>
    <t>300:23312</t>
  </si>
  <si>
    <t>300:21765</t>
  </si>
  <si>
    <t>204:1584</t>
  </si>
  <si>
    <t>204:1152</t>
  </si>
  <si>
    <t>204:128244</t>
  </si>
  <si>
    <t>204:1488</t>
  </si>
  <si>
    <t>204:1492</t>
  </si>
  <si>
    <t>204:413</t>
  </si>
  <si>
    <t>204:1175</t>
  </si>
  <si>
    <t>204:1181</t>
  </si>
  <si>
    <t>300:22859</t>
  </si>
  <si>
    <t>300:19192</t>
  </si>
  <si>
    <t>204:319</t>
  </si>
  <si>
    <t>300:24207</t>
  </si>
  <si>
    <t>300:21969</t>
  </si>
  <si>
    <t>204:859</t>
  </si>
  <si>
    <t>300:24239</t>
  </si>
  <si>
    <t>204:941</t>
  </si>
  <si>
    <t>204:1257</t>
  </si>
  <si>
    <t>204:128281</t>
  </si>
  <si>
    <t>204:233315</t>
  </si>
  <si>
    <t>204:1473</t>
  </si>
  <si>
    <t>204:668</t>
  </si>
  <si>
    <t>204:957</t>
  </si>
  <si>
    <t>300:58931</t>
  </si>
  <si>
    <t>204:670</t>
  </si>
  <si>
    <t>204:904</t>
  </si>
  <si>
    <t>300:58643</t>
  </si>
  <si>
    <t>204:671</t>
  </si>
  <si>
    <t>204:965</t>
  </si>
  <si>
    <t>204:958</t>
  </si>
  <si>
    <t>300:58969</t>
  </si>
  <si>
    <t>300:58651</t>
  </si>
  <si>
    <t>300:58929</t>
  </si>
  <si>
    <t>300:58613</t>
  </si>
  <si>
    <t>204:960</t>
  </si>
  <si>
    <t>300:58958</t>
  </si>
  <si>
    <t>300:58645</t>
  </si>
  <si>
    <t>204:951</t>
  </si>
  <si>
    <t>300:58653</t>
  </si>
  <si>
    <t>204:752</t>
  </si>
  <si>
    <t>204:1042</t>
  </si>
  <si>
    <t>204:675</t>
  </si>
  <si>
    <t>204:2196</t>
  </si>
  <si>
    <t>204:974</t>
  </si>
  <si>
    <t>204:969</t>
  </si>
  <si>
    <t>300:58664</t>
  </si>
  <si>
    <t>204:696</t>
  </si>
  <si>
    <t>204:986</t>
  </si>
  <si>
    <t>300:58628</t>
  </si>
  <si>
    <t>204:643</t>
  </si>
  <si>
    <t>204:930</t>
  </si>
  <si>
    <t>300:57314</t>
  </si>
  <si>
    <t>204:1030</t>
  </si>
  <si>
    <t>204:689</t>
  </si>
  <si>
    <t>204:778</t>
  </si>
  <si>
    <t>204:976</t>
  </si>
  <si>
    <t>300:58975</t>
  </si>
  <si>
    <t>300:58656</t>
  </si>
  <si>
    <t>204:684</t>
  </si>
  <si>
    <t>204:1083</t>
  </si>
  <si>
    <t>300:58611</t>
  </si>
  <si>
    <t>204:967</t>
  </si>
  <si>
    <t>300:58920</t>
  </si>
  <si>
    <t>300:58604</t>
  </si>
  <si>
    <t>204:710</t>
  </si>
  <si>
    <t>300:58926</t>
  </si>
  <si>
    <t>300:58608</t>
  </si>
  <si>
    <t>204:978</t>
  </si>
  <si>
    <t>204:666</t>
  </si>
  <si>
    <t>300:57346</t>
  </si>
  <si>
    <t>300:58609</t>
  </si>
  <si>
    <t>300:58236</t>
  </si>
  <si>
    <t>204:939</t>
  </si>
  <si>
    <t>300:58928</t>
  </si>
  <si>
    <t>204:687</t>
  </si>
  <si>
    <t>204:934</t>
  </si>
  <si>
    <t>300:58963</t>
  </si>
  <si>
    <t>204:972</t>
  </si>
  <si>
    <t>300:30445</t>
  </si>
  <si>
    <t>300:24235</t>
  </si>
  <si>
    <t>204:743</t>
  </si>
  <si>
    <t>300:28761</t>
  </si>
  <si>
    <t>300:21625</t>
  </si>
  <si>
    <t>start /low /b %USERPROFILE%\Documents\GitHub\eaglep3\Utilities\DownloadLogsFromS3.py --loco 4003 --day 2017-02-20</t>
  </si>
  <si>
    <t>start /low /b %USERPROFILE%\Documents\GitHub\eaglep3\Utilities\DownloadLogsFromS3.py --loco 4027 --day 2017-02-20</t>
  </si>
  <si>
    <t>start /low /b %USERPROFILE%\Documents\GitHub\eaglep3\Utilities\DownloadLogsFromS3.py --loco 4052 --day 2017-02-20</t>
  </si>
  <si>
    <t>start /low /b %USERPROFILE%\Documents\GitHub\eaglep3\Utilities\DownloadLogsFromS3.py --loco 4029 --day 2017-02-20</t>
  </si>
  <si>
    <t>start /low /b %USERPROFILE%\Documents\GitHub\eaglep3\Utilities\DownloadLogsFromS3.py --loco 4030 --day 1969-12-31</t>
  </si>
  <si>
    <t>start /low /b %USERPROFILE%\Documents\GitHub\eaglep3\Utilities\DownloadLogsFromS3.py --loco 4012 --day 2017-02-20</t>
  </si>
  <si>
    <t>start /low /b %USERPROFILE%\Documents\GitHub\eaglep3\Utilities\DownloadLogsFromS3.py --loco 4016 --day 2017-02-20</t>
  </si>
  <si>
    <t>start /low /b %USERPROFILE%\Documents\GitHub\eaglep3\Utilities\DownloadLogsFromS3.py --loco 4046 --day 2017-02-21</t>
  </si>
  <si>
    <t>start /low /b %USERPROFILE%\Documents\GitHub\eaglep3\Utilities\DownloadLogsFromS3.py --loco 4030 --day 2017-02-20</t>
  </si>
  <si>
    <t>start /low /b %USERPROFILE%\Documents\GitHub\eaglep3\Utilities\DownloadLogsFromS3.py --loco 4020 --day 2017-02-21</t>
  </si>
  <si>
    <t>start /low /b %USERPROFILE%\Documents\GitHub\eaglep3\Utilities\DownloadLogsFromS3.py --loco 4015 --day 2017-02-20</t>
  </si>
  <si>
    <t>start /low /b %USERPROFILE%\Documents\GitHub\eaglep3\Utilities\DownloadLogsFromS3.py --loco 4028 --day 2017-02-20</t>
  </si>
  <si>
    <t>start /low /b %USERPROFILE%\Documents\GitHub\eaglep3\Utilities\DownloadLogsFromS3.py --loco 4004 --day 2017-02-20</t>
  </si>
  <si>
    <t>start /low /b %USERPROFILE%\Documents\GitHub\eaglep3\Utilities\DownloadLogsFromS3.py --loco 4019 --day 2017-02-20</t>
  </si>
  <si>
    <t>start /low /b %USERPROFILE%\Documents\GitHub\eaglep3\Utilities\DownloadLogsFromS3.py --loco 4045 --day 2017-02-20</t>
  </si>
  <si>
    <t>start /low /b %USERPROFILE%\Documents\GitHub\eaglep3\Utilities\DownloadLogsFromS3.py --loco 4015 --day 2017-02-21</t>
  </si>
  <si>
    <t>start /low /b %USERPROFILE%\Documents\GitHub\eaglep3\Utilities\DownloadLogsFromS3.py --loco 4046 --day 2017-02-20</t>
  </si>
  <si>
    <t>start /low /b %USERPROFILE%\Documents\GitHub\eaglep3\Utilities\DownloadLogsFromS3.py --loco 4020 --day 2017-02-20</t>
  </si>
  <si>
    <t>start /low /b %USERPROFILE%\Documents\GitHub\eaglep3\Utilities\DownloadLogsFromS3.py --loco 4022 --day 2017-02-21</t>
  </si>
  <si>
    <t>start /low /b %USERPROFILE%\Documents\GitHub\eaglep3\Utilities\DownloadLogsFromS3.py --loco 4011 --day 2017-02-20</t>
  </si>
  <si>
    <t>start /low /b %USERPROFILE%\Documents\GitHub\eaglep3\Utilities\DownloadLogsFromS3.py --loco 4021 --day 2017-02-21</t>
  </si>
  <si>
    <t>start /low /b %USERPROFILE%\Documents\GitHub\eaglep3\Utilities\DownloadLogsFromS3.py --loco 4012 --day 2017-02-21</t>
  </si>
  <si>
    <t>DUS SW 9 reversed, train on Main 1</t>
  </si>
  <si>
    <t>:.+((SYSTEM_STATE.+slice.+state.+changed )|(ment ac)|(multiple cpu faults)|(system.+state.+changed )|(\[timeout)|(PRM\|1\|D)|(kpr)|(kdp)|(\|lc)|(penalty))</t>
  </si>
  <si>
    <t>Many Wi-MAX data drops - 4 car consist-related?</t>
  </si>
  <si>
    <t>Premature downgrade at Pena 2N</t>
  </si>
  <si>
    <t>At 10:44:38, Pena 2N dropped from PROCEED CAB to STOP while the train was still approaching it. Do logs indicate anything unusual at the time?</t>
  </si>
  <si>
    <t>Departure delayed by Onboard in-route failure</t>
  </si>
  <si>
    <t>Overspeed</t>
  </si>
  <si>
    <t>Wi-MAX data drop (4027/4028/4051/4052 4-car consist)</t>
  </si>
  <si>
    <t>http://stevetu21.github.io/eaglep3/load_kml.html?kml=http://rtdc.gmaps-snips.s3.amazonaws.com/6554320e-eba3-4646-a5ec-a46782c7a1ed.kml</t>
  </si>
  <si>
    <t>104-20</t>
  </si>
  <si>
    <t>117-20</t>
  </si>
  <si>
    <t>118-20</t>
  </si>
  <si>
    <t>Unhealthy at Chambers due to train stop</t>
  </si>
  <si>
    <t>Brief red fence reported (signal system changing aspects as designed)</t>
  </si>
  <si>
    <t>SYS :2017/02/20 09:58:10.740:ENFORCEMENT:Predictive Enforcement Action:  Target Number: 00001002  Target Speed:   0.0  Current Speed:   5.1</t>
  </si>
  <si>
    <t>SYS :2017/02/20 09:58:11.305:ENFORCEMENT:Predictive Enforcement Action:  Target Number: 00001002  Target Speed:   0.0  Current Speed:   5.0</t>
  </si>
  <si>
    <t>SYS :2017/02/20 11:15:50.710:ENFORCEMENT:Reactive Enforcement Action:  Target Number: 00004011  Target Speed:   0.0  Current Speed:  12.4</t>
  </si>
  <si>
    <t>SYS :2017/02/20 11:15:51.330:ENFORCEMENT:Reactive Enforcement Action:  Target Number: 00004013  Target Speed:   0.0  Current Speed:  12.4</t>
  </si>
  <si>
    <t>SYS :2017/02/20 11:15:51.725:ENFORCEMENT:Reactive Enforcement Action:  Target Number: 00004011  Target Speed:   0.0  Current Speed:  12.4</t>
  </si>
  <si>
    <t>SYS :2017/02/20 11:16:59.291:ENFORCEMENT:Reactive Enforcement Action:  Target Number: 00004018  Target Speed:   0.0  Current Speed:   4.8</t>
  </si>
  <si>
    <t>SYS :2017/02/20 11:16:59.692:ENFORCEMENT:Reactive Enforcement Action:  Target Number: 00004016  Target Speed:   0.0  Current Speed:   4.8</t>
  </si>
  <si>
    <t>SYS :2017/02/20 11:28:00.468:ENFORCEMENT:Predictive Enforcement Action:  Target Number: 0000605E  Target Speed:   0.0  Current Speed:  30.5</t>
  </si>
  <si>
    <t>SYS :2017/02/20 11:28:00.755:ENFORCEMENT:Predictive Enforcement Action:  Target Number: 00006062  Target Speed:   0.0  Current Speed:  30.5</t>
  </si>
  <si>
    <t>SYS :2017/02/20 11:28:01.363:ENFORCEMENT:Predictive Enforcement Action:  Target Number: 00006072  Target Speed:   0.0  Current Speed:  32.0</t>
  </si>
  <si>
    <t>SYS :2017/02/20 11:40:11.669:ENFORCEMENT:Reactive Enforcement Action:  Target Number: 00006081  Target Speed:  20.0  Current Speed:  25.0</t>
  </si>
  <si>
    <t>SYS :2017/02/20 11:40:12.281:ENFORCEMENT:Reactive Enforcement Action:  Target Number: 0000607F  Target Speed:  20.0  Current Speed:  25.0</t>
  </si>
  <si>
    <t>SYS :2017/02/20 11:40:12.658:ENFORCEMENT:Reactive Enforcement Action:  Target Number: 0000607A  Target Speed:  20.0  Current Speed:  25.0</t>
  </si>
  <si>
    <t>SYS :2017/02/20 11:58:14.331:ENFORCEMENT:Predictive Enforcement Action:  Target Number: 000060F3  Target Speed:   0.0  Current Speed:  50.6</t>
  </si>
  <si>
    <t>SYS :2017/02/20 11:58:14.687:ENFORCEMENT:Predictive Enforcement Action:  Target Number: 000060D7  Target Speed:   0.0  Current Speed:  50.6</t>
  </si>
  <si>
    <t>SYS :2017/02/20 11:58:14.800:ENFORCEMENT:Predictive Enforcement Action:  Target Number: 000060E9  Target Speed:   0.0  Current Speed:  51.6</t>
  </si>
  <si>
    <t>SYS :2017/02/20 12:19:43.857:ENFORCEMENT:Predictive Enforcement Action:  Target Number: 00004052  Target Speed:   0.0  Current Speed:  15.3</t>
  </si>
  <si>
    <t>SYS :2017/02/20 12:19:44.052:ENFORCEMENT:Predictive Enforcement Action:  Target Number: 000040F7  Target Speed:   0.0  Current Speed:  15.1</t>
  </si>
  <si>
    <t>SYS :2017/02/20 12:19:44.247:ENFORCEMENT:Predictive Enforcement Action:  Target Number: 000040F7  Target Speed:   0.0  Current Speed:  15.1</t>
  </si>
  <si>
    <t>SYS :2017/02/20 12:20:36.271:ENFORCEMENT:Predictive Enforcement Action:  Target Number: 000040FB  Target Speed:   0.0  Current Speed:  15.6</t>
  </si>
  <si>
    <t>SYS :2017/02/20 12:20:36.898:ENFORCEMENT:Predictive Enforcement Action:  Target Number: 00004054  Target Speed:   0.0  Current Speed:  15.8</t>
  </si>
  <si>
    <t>SYS :2017/02/20 12:20:37.085:ENFORCEMENT:Predictive Enforcement Action:  Target Number: 000040FB  Target Speed:   0.0  Current Speed:  15.8</t>
  </si>
  <si>
    <t>SYS :2017/02/20 12:24:15.930:ENFORCEMENT:Predictive Enforcement Action:  Target Number: 0000405C  Target Speed:   0.0  Current Speed:  42.3</t>
  </si>
  <si>
    <t>SYS :2017/02/20 12:24:16.099:ENFORCEMENT:Predictive Enforcement Action:  Target Number: 00004101  Target Speed:   0.0  Current Speed:  42.3</t>
  </si>
  <si>
    <t>SYS :2017/02/20 12:24:16.289:ENFORCEMENT:Predictive Enforcement Action:  Target Number: 00004101  Target Speed:   0.0  Current Speed:  42.3</t>
  </si>
  <si>
    <t>SYS :2017/02/20 12:46:05.097:ENFORCEMENT:Predictive Enforcement Action:  Target Number: 00006315  Target Speed:   0.0  Current Speed:  77.0</t>
  </si>
  <si>
    <t>SYS :2017/02/20 12:46:05.314:ENFORCEMENT:Predictive Enforcement Action:  Target Number: 000062DE  Target Speed:   0.0  Current Speed:  77.0</t>
  </si>
  <si>
    <t>SYS :2017/02/20 13:24:04.309:ENFORCEMENT:Predictive Enforcement Action:  Target Number: 00017001  Target Speed:  34.0  Current Speed:  43.6</t>
  </si>
  <si>
    <t>SYS :2017/02/20 13:24:04.383:ENFORCEMENT:Predictive Enforcement Action:  Target Number: 00017001  Target Speed:  34.0  Current Speed:  43.6</t>
  </si>
  <si>
    <t>SYS :2017/02/20 13:24:04.641:ENFORCEMENT:Predictive Enforcement Action:  Target Number: 00017001  Target Speed:  34.0  Current Speed:  43.0</t>
  </si>
  <si>
    <t>SYS :2017/02/20 13:26:24.326:ENFORCEMENT:Reactive Enforcement Action:  Target Number: 00010047  Target Speed:  15.0  Current Speed:  20.4</t>
  </si>
  <si>
    <t>SYS :2017/02/20 13:26:24.329:ENFORCEMENT:Reactive Enforcement Action:  Target Number: 00010047  Target Speed:  15.0  Current Speed:  20.4</t>
  </si>
  <si>
    <t>SYS :2017/02/20 13:26:25.742:ENFORCEMENT:Reactive Enforcement Action:  Target Number: 00010047  Target Speed:  15.0  Current Speed:  20.4</t>
  </si>
  <si>
    <t>SYS :2017/02/20 13:41:15.103:ENFORCEMENT:Predictive Enforcement Action:  Target Number: 00001003  Target Speed:   0.0  Current Speed:   4.9</t>
  </si>
  <si>
    <t>SYS :2017/02/20 13:46:30.445:ENFORCEMENT:Reactive Enforcement Action:  Target Number: 00010005  Target Speed:  40.0  Current Speed:  45.3</t>
  </si>
  <si>
    <t>SYS :2017/02/20 13:46:30.889:ENFORCEMENT:Reactive Enforcement Action:  Target Number: 00010005  Target Speed:  40.0  Current Speed:  45.3</t>
  </si>
  <si>
    <t>SYS :2017/02/20 13:46:30.932:ENFORCEMENT:Reactive Enforcement Action:  Target Number: 00010005  Target Speed:  40.0  Current Speed:  45.3</t>
  </si>
  <si>
    <t>SYS :2017/02/20 13:48:59.332:ENFORCEMENT:Predictive Enforcement Action:  Target Number: 00001015  Target Speed:   0.0  Current Speed:   4.7</t>
  </si>
  <si>
    <t>SYS :2017/02/20 13:48:59.598:ENFORCEMENT:Predictive Enforcement Action:  Target Number: 00001015  Target Speed:   0.0  Current Speed:   4.7</t>
  </si>
  <si>
    <t>SYS :2017/02/20 14:37:40.731:ENFORCEMENT:Predictive Enforcement Action:  Target Number: 00001006  Target Speed:   0.0  Current Speed:   5.5</t>
  </si>
  <si>
    <t>SYS :2017/02/20 14:37:40.769:ENFORCEMENT:Predictive Enforcement Action:  Target Number: 00001006  Target Speed:   0.0  Current Speed:   5.5</t>
  </si>
  <si>
    <t>SYS :2017/02/20 14:50:00.898:ENFORCEMENT:Predictive Enforcement Action:  Target Number: 0000100D  Target Speed:   0.0  Current Speed:   5.4</t>
  </si>
  <si>
    <t>SYS :2017/02/20 14:54:48.875:ENFORCEMENT:Predictive Enforcement Action:  Target Number: 00001006  Target Speed:   0.0  Current Speed:   3.5</t>
  </si>
  <si>
    <t>SYS :2017/02/20 14:54:48.918:ENFORCEMENT:Predictive Enforcement Action:  Target Number: 00001006  Target Speed:   0.0  Current Speed:   3.5</t>
  </si>
  <si>
    <t>SYS :2017/02/20 14:54:49.428:ENFORCEMENT:Predictive Enforcement Action:  Target Number: 00001006  Target Speed:   0.0  Current Speed:   3.4</t>
  </si>
  <si>
    <t>SYS :2017/02/20 15:09:15.061:ENFORCEMENT:Predictive Enforcement Action:  Target Number: 0001702C  Target Speed:  25.0  Current Speed:  34.2</t>
  </si>
  <si>
    <t>SYS :2017/02/20 15:09:15.144:ENFORCEMENT:Predictive Enforcement Action:  Target Number: 0001702C  Target Speed:  25.0  Current Speed:  34.2</t>
  </si>
  <si>
    <t>SYS :2017/02/20 15:28:25.275:ENFORCEMENT:Predictive Enforcement Action:  Target Number: 00017009  Target Speed:  40.0  Current Speed:  45.0</t>
  </si>
  <si>
    <t>SYS :2017/02/20 15:28:25.321:ENFORCEMENT:Predictive Enforcement Action:  Target Number: 00017038  Target Speed:  40.0  Current Speed:  45.0</t>
  </si>
  <si>
    <t>SYS :2017/02/20 15:28:25.323:ENFORCEMENT:Predictive Enforcement Action:  Target Number: 00017038  Target Speed:  40.0  Current Speed:  45.0</t>
  </si>
  <si>
    <t>SYS :2017/02/20 15:36:48.021:ENFORCEMENT:Predictive Enforcement Action:  Target Number: 00017044  Target Speed:   0.0  Current Speed:  19.5</t>
  </si>
  <si>
    <t>SYS :2017/02/20 15:36:49.123:ENFORCEMENT:Reactive Enforcement Action:  Target Number: 00017044  Target Speed:   0.0  Current Speed:  19.3</t>
  </si>
  <si>
    <t>SYS :2017/02/20 15:36:49.285:ENFORCEMENT:Reactive Enforcement Action:  Target Number: 00017044  Target Speed:   0.0  Current Speed:  19.3</t>
  </si>
  <si>
    <t>SYS :2017/02/20 16:24:15.305:ENFORCEMENT:Predictive Enforcement Action:  Target Number: 00017004  Target Speed:  35.0  Current Speed:  40.6</t>
  </si>
  <si>
    <t>SYS :2017/02/20 16:24:15.378:ENFORCEMENT:Predictive Enforcement Action:  Target Number: 00017004  Target Speed:  35.0  Current Speed:  40.6</t>
  </si>
  <si>
    <t>SYS :2017/02/20 16:24:16.627:ENFORCEMENT:Predictive Enforcement Action:  Target Number: 00017004  Target Speed:  35.0  Current Speed:  40.6</t>
  </si>
  <si>
    <t>SYS :2017/02/20 16:56:33.431:ENFORCEMENT:Predictive Enforcement Action:  Target Number: 0000100C  Target Speed:   0.0  Current Speed:   5.0</t>
  </si>
  <si>
    <t>SYS :2017/02/20 17:22:18.352:ENFORCEMENT:Predictive Enforcement Action:  Target Number: 0000100E  Target Speed:   0.0  Current Speed:   5.7</t>
  </si>
  <si>
    <t>SYS :2017/02/20 17:22:18.634:ENFORCEMENT:Predictive Enforcement Action:  Target Number: 0000100E  Target Speed:   0.0  Current Speed:   5.7</t>
  </si>
  <si>
    <t>SYS :2017/02/20 17:22:19.067:ENFORCEMENT:Predictive Enforcement Action:  Target Number: 0000100E  Target Speed:   0.0  Current Speed:   5.7</t>
  </si>
  <si>
    <t>SYS :2017/02/20 17:26:45.839:ENFORCEMENT:Predictive Enforcement Action:  Target Number: 0001003D  Target Speed:  40.0  Current Speed:  49.0</t>
  </si>
  <si>
    <t>SYS :2017/02/20 17:26:45.995:ENFORCEMENT:Predictive Enforcement Action:  Target Number: 0001003D  Target Speed:  40.0  Current Speed:  49.0</t>
  </si>
  <si>
    <t>SYS :2017/02/20 17:26:46.653:ENFORCEMENT:Predictive Enforcement Action:  Target Number: 0001003D  Target Speed:  40.0  Current Speed:  48.8</t>
  </si>
  <si>
    <t>SYS :2017/02/20 17:26:49.109:ENFORCEMENT:Predictive Enforcement Action:  Target Number: 0001705C  Target Speed:   0.0  Current Speed:  33.2</t>
  </si>
  <si>
    <t>SYS :2017/02/20 17:26:50.004:ENFORCEMENT:Predictive Enforcement Action:  Target Number: 0001705C  Target Speed:   0.0  Current Speed:  30.4</t>
  </si>
  <si>
    <t>SYS :2017/02/20 17:26:50.262:ENFORCEMENT:Predictive Enforcement Action:  Target Number: 0001705C  Target Speed:   0.0  Current Speed:  30.4</t>
  </si>
  <si>
    <t>SYS :2017/02/20 17:44:40.130:ENFORCEMENT:Predictive Enforcement Action:  Target Number: 0000614D  Target Speed:   0.0  Current Speed:  60.6</t>
  </si>
  <si>
    <t>SYS :2017/02/20 17:44:41.014:ENFORCEMENT:Reactive Enforcement Action:  Target Number: 0000614E  Target Speed:   0.0  Current Speed:  60.8</t>
  </si>
  <si>
    <t>SYS :2017/02/20 17:44:41.268:ENFORCEMENT:Reactive Enforcement Action:  Target Number: 0000614D  Target Speed:   0.0  Current Speed:  60.8</t>
  </si>
  <si>
    <t>SYS :2017/02/20 17:53:27.635:ENFORCEMENT:Predictive Enforcement Action:  Target Number: 00001004  Target Speed:   0.0  Current Speed:   5.1</t>
  </si>
  <si>
    <t>SYS :2017/02/20 17:53:27.826:ENFORCEMENT:Predictive Enforcement Action:  Target Number: 00001004  Target Speed:   0.0  Current Speed:   5.1</t>
  </si>
  <si>
    <t>SYS :2017/02/20 17:53:27.976:ENFORCEMENT:Predictive Enforcement Action:  Target Number: 00001004  Target Speed:   0.0  Current Speed:   5.1</t>
  </si>
  <si>
    <t>SYS :2017/02/20 18:54:33.108:ENFORCEMENT:Predictive Enforcement Action:  Target Number: 0000100A  Target Speed:   0.0  Current Speed:   9.6</t>
  </si>
  <si>
    <t>SYS :2017/02/20 18:54:33.687:ENFORCEMENT:Predictive Enforcement Action:  Target Number: 00001007  Target Speed:   0.0  Current Speed:   9.6</t>
  </si>
  <si>
    <t>SYS :2017/02/20 18:54:33.776:ENFORCEMENT:Predictive Enforcement Action:  Target Number: 0000100A  Target Speed:   0.0  Current Speed:   9.6</t>
  </si>
  <si>
    <t>SYS :2017/02/20 18:55:12.106:ENFORCEMENT:Predictive Enforcement Action:  Target Number: 0000100A  Target Speed:   0.0  Current Speed:   5.1</t>
  </si>
  <si>
    <t>SYS :2017/02/20 18:55:12.681:ENFORCEMENT:Predictive Enforcement Action:  Target Number: 00001007  Target Speed:   0.0  Current Speed:   5.1</t>
  </si>
  <si>
    <t>SYS :2017/02/20 18:55:12.773:ENFORCEMENT:Predictive Enforcement Action:  Target Number: 0000100A  Target Speed:   0.0  Current Speed:   5.1</t>
  </si>
  <si>
    <t>SYS :2017/02/20 19:04:29.326:ENFORCEMENT:Predictive Enforcement Action:  Target Number: 0001706A  Target Speed:  19.0  Current Speed:  76.9</t>
  </si>
  <si>
    <t>SYS :2017/02/20 19:04:29.327:ENFORCEMENT:Predictive Enforcement Action:  Target Number: 0001706A  Target Speed:  19.0  Current Speed:  76.9</t>
  </si>
  <si>
    <t>SYS :2017/02/20 19:15:36.311:ENFORCEMENT:Predictive Enforcement Action:  Target Number: 00004099  Target Speed:   0.0  Current Speed:  25.1</t>
  </si>
  <si>
    <t>SYS :2017/02/20 19:15:37.488:ENFORCEMENT:Predictive Enforcement Action:  Target Number: 00004098  Target Speed:   0.0  Current Speed:  26.9</t>
  </si>
  <si>
    <t>SYS :2017/02/20 19:15:38.263:ENFORCEMENT:Predictive Enforcement Action:  Target Number: 00004054  Target Speed:   0.0  Current Speed:  26.9</t>
  </si>
  <si>
    <t>SYS :2017/02/20 20:34:11.279:ENFORCEMENT:Predictive Enforcement Action:  Target Number: 0000100D  Target Speed:   0.0  Current Speed:   4.9</t>
  </si>
  <si>
    <t>SYS :2017/02/20 20:34:11.365:ENFORCEMENT:Predictive Enforcement Action:  Target Number: 00001017  Target Speed:   0.0  Current Speed:   4.9</t>
  </si>
  <si>
    <t>SYS :2017/02/20 20:34:11.983:ENFORCEMENT:Predictive Enforcement Action:  Target Number: 00001008  Target Speed:   0.0  Current Speed:   4.6</t>
  </si>
  <si>
    <t>SYS :2017/02/20 21:04:29.003:ENFORCEMENT:Predictive Enforcement Action:  Target Number: 00001088  Target Speed:   0.0  Current Speed:  14.0</t>
  </si>
  <si>
    <t>SYS :2017/02/20 21:04:29.065:ENFORCEMENT:Predictive Enforcement Action:  Target Number: 00001088  Target Speed:   0.0  Current Speed:  14.0</t>
  </si>
  <si>
    <t>SYS :2017/02/20 21:04:29.086:ENFORCEMENT:Predictive Enforcement Action:  Target Number: 00001086  Target Speed:   0.0  Current Speed:  14.0</t>
  </si>
  <si>
    <t>SYS :2017/02/20 21:05:20.001:ENFORCEMENT:Predictive Enforcement Action:  Target Number: 00001088  Target Speed:   0.0  Current Speed:   5.0</t>
  </si>
  <si>
    <t>SYS :2017/02/20 21:05:20.058:ENFORCEMENT:Predictive Enforcement Action:  Target Number: 00001088  Target Speed:   0.0  Current Speed:   5.0</t>
  </si>
  <si>
    <t>SYS :2017/02/20 21:05:20.084:ENFORCEMENT:Predictive Enforcement Action:  Target Number: 00001086  Target Speed:   0.0  Current Speed:   5.0</t>
  </si>
  <si>
    <t>SYS :2017/02/20 21:21:33.937:ENFORCEMENT:Predictive Enforcement Action:  Target Number: 00017078  Target Speed:   0.0  Current Speed:  22.9</t>
  </si>
  <si>
    <t>SYS :2017/02/20 21:21:34.148:ENFORCEMENT:Predictive Enforcement Action:  Target Number: 00017078  Target Speed:   0.0  Current Speed:  21.2</t>
  </si>
  <si>
    <t>SYS :2017/02/20 21:21:34.306:ENFORCEMENT:Predictive Enforcement Action:  Target Number: 00017078  Target Speed:   0.0  Current Speed:  21.2</t>
  </si>
  <si>
    <t>SYS :2017/02/20 22:35:22.318:ENFORCEMENT:Predictive Enforcement Action:  Target Number: 00001021  Target Speed:   0.0  Current Speed:   3.9</t>
  </si>
  <si>
    <t>SYS :2017/02/20 22:35:22.599:ENFORCEMENT:Predictive Enforcement Action:  Target Number: 00001021  Target Speed:   0.0  Current Speed:   3.9</t>
  </si>
  <si>
    <t>SYS :2017/02/20 22:35:22.962:ENFORCEMENT:Predictive Enforcement Action:  Target Number: 00001021  Target Speed:   0.0  Current Speed:   3.9</t>
  </si>
  <si>
    <t>SYS :2017/02/20 23:55:44.432:ENFORCEMENT:Predictive Enforcement Action:  Target Number: 00001029  Target Speed:   0.0  Current Speed:   6.2</t>
  </si>
  <si>
    <t>SYS :2017/02/21 00:36:36.296:ENFORCEMENT:Predictive Enforcement Action:  Target Number: 0000101A  Target Speed:   0.0  Current Speed:   3.9</t>
  </si>
  <si>
    <t>SYS :2017/02/21 00:36:36.305:ENFORCEMENT:Predictive Enforcement Action:  Target Number: 0000101A  Target Speed:   0.0  Current Speed:   3.9</t>
  </si>
  <si>
    <t>SYS :2017/02/21 01:13:38.261:ENFORCEMENT:Reactive Enforcement Action:  Target Number: 000101AE  Target Speed:  15.0  Current Speed:  21.4</t>
  </si>
  <si>
    <t>SYS :2017/02/21 01:13:38.952:ENFORCEMENT:Reactive Enforcement Action:  Target Number: 000101AE  Target Speed:  15.0  Current Speed:  21.4</t>
  </si>
  <si>
    <t>SYS :2017/02/21 01:13:39.068:ENFORCEMENT:Reactive Enforcement Action:  Target Number: 000101AE  Target Speed:  15.0  Current Speed:  21.4</t>
  </si>
  <si>
    <t>SYS :2017/02/21 01:38:10.376:ENFORCEMENT:Predictive Enforcement Action:  Target Number: 000170CA  Target Speed:  33.0  Current Speed:  38.2</t>
  </si>
  <si>
    <t>SYS :2017/02/21 01:38:10.656:ENFORCEMENT:Predictive Enforcement Action:  Target Number: 000170CF  Target Speed:  33.0  Current Speed:  38.2</t>
  </si>
  <si>
    <t>SYS :2017/02/21 01:38:11.133:ENFORCEMENT:Predictive Enforcement Action:  Target Number: 000170B2  Target Speed:  33.0  Current Speed:  38.2</t>
  </si>
  <si>
    <t>SYS :2017/02/21 01:54:20.222:ENFORCEMENT:Predictive Enforcement Action:  Target Number: 000170E9  Target Speed:   0.0  Current Speed:  43.4</t>
  </si>
  <si>
    <t>SYS :2017/02/21 01:54:21.610:ENFORCEMENT:Predictive Enforcement Action:  Target Number: 000170EE  Target Speed:   0.0  Current Speed:  43.5</t>
  </si>
  <si>
    <t>SYS :2017/02/21 01:54:21.641:ENFORCEMENT:Predictive Enforcement Action:  Target Number: 00017001  Target Speed:   0.0  Current Speed:  43.5</t>
  </si>
  <si>
    <t>SYS :2017/02/21 03:39:03.419:ENFORCEMENT:Reactive Enforcement Action:  Target Number: 000061D3  Target Speed:   0.0  Current Speed:   3.1</t>
  </si>
  <si>
    <t>SYS :2017/02/21 03:39:03.444:ENFORCEMENT:Reactive Enforcement Action:  Target Number: 00004122  Target Speed:   0.0  Current Speed:   3.1</t>
  </si>
  <si>
    <t>SYS :2017/02/21 03:39:03.915:ENFORCEMENT:Reactive Enforcement Action:  Target Number: 00006263  Target Speed:   0.0  Current Speed:   3.1</t>
  </si>
  <si>
    <t>SYS :2017/02/21 05:11:22.492:ENFORCEMENT:Predictive Enforcement Action:  Target Number: 0001704A  Target Speed:   0.0  Current Speed:  44.2</t>
  </si>
  <si>
    <t>SYS :2017/02/21 05:11:22.711:ENFORCEMENT:Predictive Enforcement Action:  Target Number: 000170C0  Target Speed:   0.0  Current Speed:  44.2</t>
  </si>
  <si>
    <t>SYS :2017/02/21 05:11:23.788:ENFORCEMENT:Predictive Enforcement Action:  Target Number: 000170D2  Target Speed:   0.0  Current Speed:  41.3</t>
  </si>
  <si>
    <t>SYS :2017/02/21 05:43:00.135:ENFORCEMENT:Predictive Enforcement Action:  Target Number: 00017014  Target Speed:   0.0  Current Speed:  41.9</t>
  </si>
  <si>
    <t>SYS :2017/02/21 05:43:00.398:ENFORCEMENT:Predictive Enforcement Action:  Target Number: 0001710A  Target Speed:   0.0  Current Speed:  40.6</t>
  </si>
  <si>
    <t>SYS :2017/02/21 05:43:01.068:ENFORCEMENT:Predictive Enforcement Action:  Target Number: 000170F2  Target Speed:   0.0  Current Speed:  40.6</t>
  </si>
  <si>
    <t>Banner w/o braking</t>
  </si>
  <si>
    <t>RTDC4045\2017-02-20\CPU-2\disk\var\log\app.RTDC.4045.20170220151328.log contains a predictive enforcement for TRACK WARRANT AUTHORITY while the other 2 slices do not</t>
  </si>
  <si>
    <t>RTDC4012\2017-02-20\CPU-3\disk\var\log\app.RTDC.4012.20170220173710.log contains a predictive enforcement for TRACK WARRANT AUTHORITY while the other 2 slices do not</t>
  </si>
  <si>
    <t>RTDC4012\2017-02-21\CPU-3\disk\var\log\app.RTDC.4012.20170221002250.log contains a predictive enforcement for TRACK WARRANT AUTHORITY while the other 2 slices do not</t>
  </si>
  <si>
    <t>Unable to init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</si>
</sst>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9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9" fillId="0" borderId="0" xfId="0" applyFont="1" applyFill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42"/>
  <sheetViews>
    <sheetView tabSelected="1" topLeftCell="A16" zoomScaleNormal="100" workbookViewId="0">
      <selection activeCell="R34" sqref="R34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2" style="27" customWidth="1"/>
    <col min="13" max="13" width="7.42578125" style="36" customWidth="1"/>
    <col min="14" max="14" width="3.85546875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6.140625" customWidth="1"/>
    <col min="19" max="19" width="6" style="20" customWidth="1"/>
    <col min="20" max="20" width="3.85546875" customWidth="1"/>
    <col min="21" max="21" width="5" style="167" customWidth="1"/>
    <col min="22" max="22" width="5.7109375" style="189" customWidth="1"/>
    <col min="23" max="23" width="3.85546875" style="182" customWidth="1"/>
    <col min="24" max="24" width="6.5703125" style="182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100" customWidth="1"/>
    <col min="36" max="36" width="9.85546875" customWidth="1"/>
    <col min="37" max="37" width="7.7109375" customWidth="1"/>
    <col min="38" max="38" width="7.85546875" customWidth="1"/>
    <col min="39" max="39" width="9.140625" style="154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8"/>
      <c r="V1" s="169"/>
      <c r="W1" s="168"/>
      <c r="X1" s="167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4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42786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42786</v>
      </c>
      <c r="S2" s="66"/>
      <c r="T2" s="67"/>
      <c r="U2" s="170"/>
      <c r="V2" s="171" t="s">
        <v>8</v>
      </c>
      <c r="W2" s="172"/>
      <c r="X2" s="173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4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74"/>
      <c r="V3" s="175" t="s">
        <v>11</v>
      </c>
      <c r="W3" s="176" t="s">
        <v>12</v>
      </c>
      <c r="X3" s="177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4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144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47</v>
      </c>
      <c r="T4" s="40"/>
      <c r="U4" s="178"/>
      <c r="V4" s="175" t="s">
        <v>15</v>
      </c>
      <c r="W4" s="176" t="s">
        <v>15</v>
      </c>
      <c r="X4" s="177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4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COUNTIFS($N$13:$N$9332,"&gt;0",$AG$13:$AG$9332,I1)</f>
        <v>136</v>
      </c>
      <c r="K5" s="40"/>
      <c r="L5" s="40"/>
      <c r="M5" s="41">
        <f>AVERAGEIFS($N$13:$N$9332,$AG$13:$AG$9332,I1)</f>
        <v>38.180147059088888</v>
      </c>
      <c r="N5" s="39">
        <f t="array" ref="N5">MIN(IF($AG$13:$AG$9332=I1,IF(ISNUMBER($N$13:$N$9332),IF($N$13:$N$9332&gt;0,$N$13:$N$9332))))</f>
        <v>34.416666665347293</v>
      </c>
      <c r="O5" s="3">
        <f t="array" ref="O5">MAX(IF($AG$13:$AG$9332=I1,IF(ISNUMBER($N$13:$N$9332),IF($N$13:$N$9332&gt;0,$N$13:$N$9332))))</f>
        <v>49.283333339262754</v>
      </c>
      <c r="P5" s="2"/>
      <c r="R5" s="74" t="s">
        <v>17</v>
      </c>
      <c r="S5" s="50">
        <f>COUNTIFS($N$13:$N$9332,"&gt;0",$AG$13:$AG$9332,R1)</f>
        <v>47</v>
      </c>
      <c r="T5" s="40"/>
      <c r="U5" s="178"/>
      <c r="V5" s="175">
        <f>AVERAGEIFS($N$13:$N$9332,$AG$13:$AG$9332,R1)</f>
        <v>15.120567375610761</v>
      </c>
      <c r="W5" s="176">
        <f t="array" ref="W5">MIN(IF($AG$13:$AG$9332=R1,IF(ISNUMBER($N$13:$N$9332),IF($N$13:$N$9332&gt;0,$N$13:$N$9332))))</f>
        <v>12.799999995622784</v>
      </c>
      <c r="X5" s="177">
        <f t="array" ref="X5">MAX(IF($AG$13:$AG$9332=R1,IF(ISNUMBER($N$13:$N$9332),IF($N$13:$N$9332&gt;0,$N$13:$N$9332))))</f>
        <v>19.366666667629033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4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COUNT($O$13:$O$103)</f>
        <v>0</v>
      </c>
      <c r="K6" s="40"/>
      <c r="L6" s="40"/>
      <c r="M6" s="41">
        <f>IFERROR(AVERAGE($O$13:$O$103),0)</f>
        <v>0</v>
      </c>
      <c r="N6" s="39">
        <f>MIN($O$13:$O$103)</f>
        <v>0</v>
      </c>
      <c r="O6" s="3">
        <f>MAX($O$13:$O$103)</f>
        <v>0</v>
      </c>
      <c r="P6" s="2"/>
      <c r="R6" s="75" t="s">
        <v>43</v>
      </c>
      <c r="S6" s="50">
        <f>COUNT($O$13:$O$103)</f>
        <v>0</v>
      </c>
      <c r="T6" s="40"/>
      <c r="U6" s="178"/>
      <c r="V6" s="175">
        <f>IFERROR(AVERAGE($O$13:$O$103),0)</f>
        <v>0</v>
      </c>
      <c r="W6" s="176">
        <f>MIN($O$13:$O$103)</f>
        <v>0</v>
      </c>
      <c r="X6" s="177">
        <f>MAX($O$13:$O$103)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4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COUNTIFS($P$13:$P$9332,"&gt;0",$AG$13:$AG$9332,I1)</f>
        <v>8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COUNTIFS($P$13:$P$9332,"&gt;0",$AG$13:$AG$9332,R1)</f>
        <v>0</v>
      </c>
      <c r="T7" s="40"/>
      <c r="U7" s="178"/>
      <c r="V7" s="175" t="s">
        <v>15</v>
      </c>
      <c r="W7" s="176" t="s">
        <v>15</v>
      </c>
      <c r="X7" s="177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4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136</v>
      </c>
      <c r="K8" s="40"/>
      <c r="L8" s="40"/>
      <c r="M8" s="41">
        <f>M5</f>
        <v>38.180147059088888</v>
      </c>
      <c r="N8" s="39">
        <f>N5</f>
        <v>34.416666665347293</v>
      </c>
      <c r="O8" s="3">
        <f>O5</f>
        <v>49.283333339262754</v>
      </c>
      <c r="P8" s="2"/>
      <c r="R8" s="74" t="s">
        <v>16</v>
      </c>
      <c r="S8" s="50">
        <f>S5</f>
        <v>47</v>
      </c>
      <c r="T8" s="40"/>
      <c r="U8" s="178"/>
      <c r="V8" s="175">
        <f>V5</f>
        <v>15.120567375610761</v>
      </c>
      <c r="W8" s="176">
        <f>W5</f>
        <v>12.799999995622784</v>
      </c>
      <c r="X8" s="177">
        <f>X5</f>
        <v>19.366666667629033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4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5">
        <f>J8/J4</f>
        <v>0.94444444444444442</v>
      </c>
      <c r="K9" s="42"/>
      <c r="L9" s="42"/>
      <c r="M9" s="77"/>
      <c r="N9" s="37"/>
      <c r="O9" s="78"/>
      <c r="P9" s="2"/>
      <c r="R9" s="74" t="s">
        <v>19</v>
      </c>
      <c r="S9" s="135">
        <f>S8/S4</f>
        <v>1</v>
      </c>
      <c r="T9" s="42"/>
      <c r="U9" s="168"/>
      <c r="V9" s="179"/>
      <c r="W9" s="168"/>
      <c r="X9" s="180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4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7"/>
      <c r="V10" s="181"/>
      <c r="W10" s="182"/>
      <c r="X10" s="182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4"/>
    </row>
    <row r="11" spans="1:91" ht="16.5" thickBot="1" x14ac:dyDescent="0.3">
      <c r="A11" s="196" t="str">
        <f>"Eagle P3 System Performance - "&amp;TEXT(Variables!A2,"yyyy-mm-dd")</f>
        <v>Eagle P3 System Performance - 2017-02-20</v>
      </c>
      <c r="B11" s="196"/>
      <c r="C11" s="196"/>
      <c r="D11" s="196"/>
      <c r="E11" s="196"/>
      <c r="F11" s="196"/>
      <c r="G11" s="196"/>
      <c r="H11" s="196"/>
      <c r="I11" s="196"/>
      <c r="J11" s="196"/>
      <c r="K11" s="196"/>
      <c r="L11" s="196"/>
      <c r="M11" s="196"/>
      <c r="N11" s="196"/>
      <c r="O11" s="196"/>
      <c r="P11" s="196"/>
      <c r="S11" s="64">
        <f>AVERAGE(S13:S75)</f>
        <v>0.90536723163841804</v>
      </c>
      <c r="V11" s="181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83" t="s">
        <v>65</v>
      </c>
      <c r="V12" s="184" t="s">
        <v>45</v>
      </c>
      <c r="W12" s="185" t="s">
        <v>23</v>
      </c>
      <c r="X12" s="185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7" t="s">
        <v>147</v>
      </c>
      <c r="AJ12" s="47" t="s">
        <v>148</v>
      </c>
      <c r="AK12" s="47" t="s">
        <v>121</v>
      </c>
      <c r="AL12" s="47" t="s">
        <v>149</v>
      </c>
      <c r="AM12" s="155" t="s">
        <v>209</v>
      </c>
      <c r="AN12" s="47" t="s">
        <v>218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491</v>
      </c>
      <c r="B13" s="7">
        <v>4003</v>
      </c>
      <c r="C13" s="21" t="s">
        <v>408</v>
      </c>
      <c r="D13" s="21" t="s">
        <v>699</v>
      </c>
      <c r="E13" s="13">
        <v>42786.139236111114</v>
      </c>
      <c r="F13" s="13">
        <v>42786.143831018519</v>
      </c>
      <c r="G13" s="7">
        <v>5</v>
      </c>
      <c r="H13" s="21" t="s">
        <v>700</v>
      </c>
      <c r="I13" s="13">
        <v>42786.167916666665</v>
      </c>
      <c r="J13" s="7">
        <v>0</v>
      </c>
      <c r="K13" s="98" t="str">
        <f t="shared" ref="K13:K32" si="0">IF(ISEVEN(B13),(B13-1)&amp;"/"&amp;B13,B13&amp;"/"&amp;(B13+1))</f>
        <v>4003/4004</v>
      </c>
      <c r="L13" s="21" t="str">
        <f>VLOOKUP(A13,'Trips&amp;Operators'!$C$1:$G$99999,5,FALSE)</f>
        <v>SANTIZO D. EDY</v>
      </c>
      <c r="M13" s="6">
        <f t="shared" ref="M13:M32" si="1">I13-F13</f>
        <v>2.4085648146865424E-2</v>
      </c>
      <c r="N13" s="7"/>
      <c r="O13" s="7"/>
      <c r="P13" s="7">
        <f>24*60*SUM($M13:$M13)</f>
        <v>34.68333333148621</v>
      </c>
      <c r="Q13" s="22"/>
      <c r="R13" s="22" t="s">
        <v>881</v>
      </c>
      <c r="S13" s="31">
        <f>SUM(U13:U13)/IF(AG13="EC",12,1)</f>
        <v>0.75</v>
      </c>
      <c r="T13" s="46" t="str">
        <f t="shared" ref="T13:T32" si="2">IF(ISEVEN(LEFT(AD13,4)),"Southbound","NorthBound")</f>
        <v>NorthBound</v>
      </c>
      <c r="U13" s="186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9</v>
      </c>
      <c r="V13" s="187" t="str">
        <f t="shared" ref="V13:V76" si="3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-02-20T02:20:30-0700',mode:absolute,to:'2017-02-20T05:01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" s="188" t="str">
        <f t="shared" ref="W13:W32" si="4">IF(AA13&lt;IF(AG13="EC",23,5.65),"Y","N")</f>
        <v>Y</v>
      </c>
      <c r="X13" s="188" t="e">
        <f>VALUE(LEFT(AD13,4))-VALUE(LEFT(AD12,4))</f>
        <v>#VALUE!</v>
      </c>
      <c r="Y13" s="62">
        <f t="shared" ref="Y13:Y32" si="5">RIGHT(D13,LEN(D13)-4)/10000</f>
        <v>3.726</v>
      </c>
      <c r="Z13" s="62">
        <f t="shared" ref="Z13:Z32" si="6">RIGHT(H13,LEN(H13)-4)/10000</f>
        <v>23.335100000000001</v>
      </c>
      <c r="AA13" s="62">
        <f t="shared" ref="AA13:AA32" si="7">ABS(Z13-Y13)</f>
        <v>19.609100000000002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 t="shared" ref="AD13:AD32" si="8">IF(LEN(A13)=6,"0"&amp;A13,A13)</f>
        <v>0101-20</v>
      </c>
      <c r="AE13" s="85" t="str">
        <f t="shared" ref="AE13:AE76" si="9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s3://rtdc.mdm.uploadarchive.raw/RTDC4003/ "%USERPROFILE%\AppData\Local\Temp\OnboardLogs"\RTDC4003\2017-02-20 --exclude "*" --recursive --include "*20170220*" &amp; "%USERPROFILE%\Documents\GitHub\mrs-test-scripts\Headless Mode &amp; Sideloading\WalkAndUnGZ.bat" "%USERPROFILE%\AppData\Local\Temp\OnboardLogs"\RTDC4003\2017-02-20 &amp; aws s3 cp s3://rtdc.mdm.uploadarchive.raw/RTDC4003/ "%USERPROFILE%\AppData\Local\Temp\OnboardLogs"\RTDC4003\2017-02-21 --exclude "*" --recursive --include "*20170221*" &amp; "%USERPROFILE%\Documents\GitHub\mrs-test-scripts\Headless Mode &amp; Sideloading\WalkAndUnGZ.bat" "%USERPROFILE%\AppData\Local\Temp\OnboardLogs"\RTDC4003\2017-02-21</v>
      </c>
      <c r="AF13" s="82" t="str">
        <f t="shared" ref="AF13:AF76" si="10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/stypes="app*4003*20170220*" /stext=" 11:.+((SYSTEM_STATE.+slice.+state.+changed )|(ment ac)|(multiple cpu faults)|(system.+state.+changed )|(\[timeout)|(PRM\|1\|D)|(kpr)|(kdp)|(\|lc)|(penalty))" /e /r /s</v>
      </c>
      <c r="AG13" s="1" t="str">
        <f t="shared" ref="AG13:AG32" si="11">IFERROR(IF(VALUE(LEFT(AD13,2))&lt;=2,"EC",IF(OR(VALUE(LEFT(AD13,2))=8,VALUE(LEFT(AD13,2))=18),"NW","Other")),"Other")</f>
        <v>EC</v>
      </c>
      <c r="AH13" s="86" t="str">
        <f t="shared" ref="AH13" si="12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101-20 --locoid 4003 --swversion DE.1.0.9.0 --startMP 204:37260 --initTime 2017-02-20T03:20:30 --startdatetime 2017-02-20T03:27:07 --delay 5 --endMP 204:233351 --enddatetime 2017-02-20T04:01:48 --enforcementcount 0 &gt;&gt;C:\Users\stu\Documents\GitHub\eaglep3-reporting\EC\2017-02-20-refined-times.txt</v>
      </c>
      <c r="AI13" s="108" t="str">
        <f t="shared" ref="AI13" si="13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{"issue":{"subject":"DUS SW 9 reversed, train on Main 1","project_id":79,"tracker_id":40,"status_id":1,"priority_id":2,"assigned_to_id":23,"start_date":"2017-02-20","description":"","custom_fields":[{"id":1,"name":"Subdivision","value":"EC"},{"id":4,"name":"Milepost","value":"23.3351"},{"id":17,"name":"Train ID","value":"101-20"},{"id":16,"name":"Locomotive ID","value":"4003"},{"id":130,"name":"Impact","value":""},{"id":150,"name":"Time of Event (Mountain Time)","value":"04:01:48"},{"id":151,"name":"Denver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48"/>
      <c r="AK13" s="48"/>
      <c r="AL13" s="48"/>
      <c r="AM13" s="154" t="str">
        <f t="shared" ref="AM13" si="14">"start /low /b "&amp;dls3logs&amp;" --loco "&amp;B13&amp;" --day "&amp;TEXT(F13,"YYYY-MM-DD")</f>
        <v>start /low /b %USERPROFILE%\Documents\GitHub\eaglep3\Utilities\DownloadLogsFromS3.py --loco 4003 --day 2017-02-20</v>
      </c>
      <c r="AN13" s="163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"%USERPROFILE%\AppData\Local\Temp\OnboardLogs"\RTDC4003\*4003*20170220* | grep -SE "(Enforcement Action)|(\[TIMEOUT)|(CHR.+\|PRM\|1\|D.+(SWITCH|SIGNAL).+UNKNOWN)" - &gt;&gt; 2017-02-20-UncaughtWiMAX.txt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491</v>
      </c>
      <c r="B14" s="7">
        <v>4003</v>
      </c>
      <c r="C14" s="21" t="s">
        <v>408</v>
      </c>
      <c r="D14" s="21" t="s">
        <v>431</v>
      </c>
      <c r="E14" s="13">
        <v>42786.126134259262</v>
      </c>
      <c r="F14" s="13">
        <v>42786.143831018519</v>
      </c>
      <c r="G14" s="7">
        <v>1</v>
      </c>
      <c r="H14" s="21" t="s">
        <v>701</v>
      </c>
      <c r="I14" s="13">
        <v>42786.167916666665</v>
      </c>
      <c r="J14" s="7">
        <v>0</v>
      </c>
      <c r="K14" s="98" t="str">
        <f t="shared" si="0"/>
        <v>4003/4004</v>
      </c>
      <c r="L14" s="21" t="str">
        <f>VLOOKUP(A14,'Trips&amp;Operators'!$C$1:$G$99999,5,FALSE)</f>
        <v>SANTIZO D. EDY</v>
      </c>
      <c r="M14" s="6">
        <f t="shared" si="1"/>
        <v>2.4085648146865424E-2</v>
      </c>
      <c r="N14" s="7"/>
      <c r="O14" s="7"/>
      <c r="P14" s="7"/>
      <c r="Q14" s="22"/>
      <c r="R14" s="22"/>
      <c r="S14" s="31"/>
      <c r="T14" s="46" t="str">
        <f t="shared" si="2"/>
        <v>NorthBound</v>
      </c>
      <c r="U14" s="186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0</v>
      </c>
      <c r="V14" s="187" t="str">
        <f t="shared" si="3"/>
        <v>https://d0f6bd738d7f1b3e5a7ca70fe4ff75f0.us-east-1.aws.found.io/app/kibana#/discover/Steve-Slow-Train-Analysis-(2080s-and-2083s)?_g=(refreshInterval:(display:Off,pause:!f,section:0,value:0),time:(from:'2017-02-20T02:01:38-0700',mode:absolute,to:'2017-02-20T05:01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" s="188" t="str">
        <f t="shared" si="4"/>
        <v>Y</v>
      </c>
      <c r="X14" s="188">
        <f>VALUE(LEFT(AD14,4))-VALUE(LEFT(AD13,4))</f>
        <v>0</v>
      </c>
      <c r="Y14" s="62">
        <f t="shared" si="5"/>
        <v>6.9199999999999998E-2</v>
      </c>
      <c r="Z14" s="62">
        <f t="shared" si="6"/>
        <v>0.14480000000000001</v>
      </c>
      <c r="AA14" s="62">
        <f t="shared" si="7"/>
        <v>7.5600000000000014E-2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 t="shared" si="8"/>
        <v>0101-20</v>
      </c>
      <c r="AE14" s="85" t="str">
        <f t="shared" si="9"/>
        <v>aws s3 cp s3://rtdc.mdm.uploadarchive.raw/RTDC4003/ "%USERPROFILE%\AppData\Local\Temp\OnboardLogs"\RTDC4003\2017-02-20 --exclude "*" --recursive --include "*20170220*" &amp; "%USERPROFILE%\Documents\GitHub\mrs-test-scripts\Headless Mode &amp; Sideloading\WalkAndUnGZ.bat" "%USERPROFILE%\AppData\Local\Temp\OnboardLogs"\RTDC4003\2017-02-20 &amp; aws s3 cp s3://rtdc.mdm.uploadarchive.raw/RTDC4003/ "%USERPROFILE%\AppData\Local\Temp\OnboardLogs"\RTDC4003\2017-02-21 --exclude "*" --recursive --include "*20170221*" &amp; "%USERPROFILE%\Documents\GitHub\mrs-test-scripts\Headless Mode &amp; Sideloading\WalkAndUnGZ.bat" "%USERPROFILE%\AppData\Local\Temp\OnboardLogs"\RTDC4003\2017-02-21</v>
      </c>
      <c r="AF14" s="82" t="str">
        <f t="shared" si="10"/>
        <v>"C:\Program Files (x86)\AstroGrep\AstroGrep.exe" /spath="%USERPROFILE%\AppData\Local\Temp\OnboardLogs" /stypes="app*4003*20170220*" /stext=" 11:.+((SYSTEM_STATE.+slice.+state.+changed )|(ment ac)|(multiple cpu faults)|(system.+state.+changed )|(\[timeout)|(PRM\|1\|D)|(kpr)|(kdp)|(\|lc)|(penalty))" /e /r /s</v>
      </c>
      <c r="AG14" s="1" t="str">
        <f t="shared" si="11"/>
        <v>EC</v>
      </c>
      <c r="AH14" s="86" t="str">
        <f t="shared" ref="AH14:AH78" si="15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101-20 --locoid 4003 --swversion DE.1.0.9.0 --startMP 204:692 --initTime 2017-02-20T03:01:38 --startdatetime 2017-02-20T03:27:07 --delay 1 --endMP 204:1448 --enddatetime 2017-02-20T04:01:48 --enforcementcount 0 &gt;&gt;C:\Users\stu\Documents\GitHub\eaglep3-reporting\EC\2017-02-20-refined-times.txt</v>
      </c>
      <c r="AI14" s="108" t="str">
        <f t="shared" ref="AI14:AI78" si="16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{"issue":{"subject":"","project_id":79,"tracker_id":40,"status_id":1,"priority_id":2,"assigned_to_id":23,"start_date":"2017-02-20","description":"","custom_fields":[{"id":1,"name":"Subdivision","value":"EC"},{"id":4,"name":"Milepost","value":"0.1448"},{"id":17,"name":"Train ID","value":"101-20"},{"id":16,"name":"Locomotive ID","value":"4003"},{"id":130,"name":"Impact","value":""},{"id":150,"name":"Time of Event (Mountain Time)","value":"04:01:48"},{"id":151,"name":"Denver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48"/>
      <c r="AK14" s="48"/>
      <c r="AL14" s="48"/>
      <c r="AM14" s="154" t="str">
        <f t="shared" ref="AM14:AM78" si="17">"start /low /b "&amp;dls3logs&amp;" --loco "&amp;B14&amp;" --day "&amp;TEXT(F14,"YYYY-MM-DD")</f>
        <v>start /low /b %USERPROFILE%\Documents\GitHub\eaglep3\Utilities\DownloadLogsFromS3.py --loco 4003 --day 2017-02-20</v>
      </c>
      <c r="AN14" s="163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"%USERPROFILE%\AppData\Local\Temp\OnboardLogs"\RTDC4003\*4003*20170220* | grep -SE "(Enforcement Action)|(\[TIMEOUT)|(CHR.+\|PRM\|1\|D.+(SWITCH|SIGNAL).+UNKNOWN)" - &gt;&gt; 2017-02-20-UncaughtWiMAX.txt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498</v>
      </c>
      <c r="B15" s="7">
        <v>4015</v>
      </c>
      <c r="C15" s="21" t="s">
        <v>408</v>
      </c>
      <c r="D15" s="21" t="s">
        <v>702</v>
      </c>
      <c r="E15" s="13">
        <v>42786.172361111108</v>
      </c>
      <c r="F15" s="13">
        <v>42786.174583333333</v>
      </c>
      <c r="G15" s="7">
        <v>1</v>
      </c>
      <c r="H15" s="21" t="s">
        <v>196</v>
      </c>
      <c r="I15" s="13">
        <v>42786.208784722221</v>
      </c>
      <c r="J15" s="7">
        <v>0</v>
      </c>
      <c r="K15" s="98" t="str">
        <f t="shared" si="0"/>
        <v>4015/4016</v>
      </c>
      <c r="L15" s="21" t="str">
        <f>VLOOKUP(A15,'Trips&amp;Operators'!$C$1:$G$99999,5,FALSE)</f>
        <v>SANTIZO D. EDY</v>
      </c>
      <c r="M15" s="6">
        <f t="shared" si="1"/>
        <v>3.4201388887595385E-2</v>
      </c>
      <c r="N15" s="7">
        <f>24*60*SUM($M15:$M15)</f>
        <v>49.249999998137355</v>
      </c>
      <c r="O15" s="7"/>
      <c r="P15" s="7"/>
      <c r="Q15" s="22"/>
      <c r="R15" s="22"/>
      <c r="S15" s="31">
        <f>SUM(U15:U15)/IF(AG15="EC",12,1)</f>
        <v>1</v>
      </c>
      <c r="T15" s="46" t="str">
        <f t="shared" si="2"/>
        <v>Southbound</v>
      </c>
      <c r="U15" s="186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7" t="str">
        <f t="shared" si="3"/>
        <v>https://d0f6bd738d7f1b3e5a7ca70fe4ff75f0.us-east-1.aws.found.io/app/kibana#/discover/Steve-Slow-Train-Analysis-(2080s-and-2083s)?_g=(refreshInterval:(display:Off,pause:!f,section:0,value:0),time:(from:'2017-02-20T03:08:12-0700',mode:absolute,to:'2017-02-20T06:00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" s="188" t="str">
        <f t="shared" si="4"/>
        <v>N</v>
      </c>
      <c r="X15" s="188">
        <f>VALUE(LEFT(AD15,4))-VALUE(LEFT(AD14,4))</f>
        <v>1</v>
      </c>
      <c r="Y15" s="62">
        <f t="shared" si="5"/>
        <v>23.269400000000001</v>
      </c>
      <c r="Z15" s="62">
        <f t="shared" si="6"/>
        <v>1.4500000000000001E-2</v>
      </c>
      <c r="AA15" s="62">
        <f t="shared" si="7"/>
        <v>23.254899999999999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 t="shared" si="8"/>
        <v>0102-20</v>
      </c>
      <c r="AE15" s="85" t="str">
        <f t="shared" si="9"/>
        <v>aws s3 cp s3://rtdc.mdm.uploadarchive.raw/RTDC4015/ "%USERPROFILE%\AppData\Local\Temp\OnboardLogs"\RTDC4015\2017-02-20 --exclude "*" --recursive --include "*20170220*" &amp; "%USERPROFILE%\Documents\GitHub\mrs-test-scripts\Headless Mode &amp; Sideloading\WalkAndUnGZ.bat" "%USERPROFILE%\AppData\Local\Temp\OnboardLogs"\RTDC4015\2017-02-20 &amp; aws s3 cp s3://rtdc.mdm.uploadarchive.raw/RTDC4015/ "%USERPROFILE%\AppData\Local\Temp\OnboardLogs"\RTDC4015\2017-02-21 --exclude "*" --recursive --include "*20170221*" &amp; "%USERPROFILE%\Documents\GitHub\mrs-test-scripts\Headless Mode &amp; Sideloading\WalkAndUnGZ.bat" "%USERPROFILE%\AppData\Local\Temp\OnboardLogs"\RTDC4015\2017-02-21</v>
      </c>
      <c r="AF15" s="82" t="str">
        <f t="shared" si="10"/>
        <v>"C:\Program Files (x86)\AstroGrep\AstroGrep.exe" /spath="%USERPROFILE%\AppData\Local\Temp\OnboardLogs" /stypes="app*4015*20170220*" /stext=" 12:.+((SYSTEM_STATE.+slice.+state.+changed )|(ment ac)|(multiple cpu faults)|(system.+state.+changed )|(\[timeout)|(PRM\|1\|D)|(kpr)|(kdp)|(\|lc)|(penalty))" /e /r /s</v>
      </c>
      <c r="AG15" s="1" t="str">
        <f t="shared" si="11"/>
        <v>EC</v>
      </c>
      <c r="AH15" s="86" t="str">
        <f t="shared" si="15"/>
        <v>"%USERPROFILE%\Documents\GitHub\eaglep3\Utilities\RefineRTDCRunTimes.py" --tripid 102-20 --locoid 4015 --swversion DE.1.0.9.0 --startMP 204:232694 --initTime 2017-02-20T04:08:12 --startdatetime 2017-02-20T04:11:24 --delay 1 --endMP 204:145 --enddatetime 2017-02-20T05:00:39 --enforcementcount 0 &gt;&gt;C:\Users\stu\Documents\GitHub\eaglep3-reporting\EC\2017-02-20-refined-times.txt</v>
      </c>
      <c r="AI15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{"issue":{"subject":"","project_id":79,"tracker_id":40,"status_id":1,"priority_id":2,"assigned_to_id":23,"start_date":"2017-02-20","description":"","custom_fields":[{"id":1,"name":"Subdivision","value":"EC"},{"id":4,"name":"Milepost","value":"0.0145"},{"id":17,"name":"Train ID","value":"102-20"},{"id":16,"name":"Locomotive ID","value":"4015"},{"id":130,"name":"Impact","value":""},{"id":150,"name":"Time of Event (Mountain Time)","value":"05:00:39"},{"id":151,"name":"Denver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48"/>
      <c r="AK15" s="48"/>
      <c r="AL15" s="48"/>
      <c r="AM15" s="154" t="str">
        <f t="shared" si="17"/>
        <v>start /low /b %USERPROFILE%\Documents\GitHub\eaglep3\Utilities\DownloadLogsFromS3.py --loco 4015 --day 2017-02-20</v>
      </c>
      <c r="AN15" s="163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"%USERPROFILE%\AppData\Local\Temp\OnboardLogs"\RTDC4015\*4015*20170220* | grep -SE "(Enforcement Action)|(\[TIMEOUT)|(CHR.+\|PRM\|1\|D.+(SWITCH|SIGNAL).+UNKNOWN)" - &gt;&gt; 2017-02-20-UncaughtWiMAX.txt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495</v>
      </c>
      <c r="B16" s="7">
        <v>4044</v>
      </c>
      <c r="C16" s="21" t="s">
        <v>408</v>
      </c>
      <c r="D16" s="21" t="s">
        <v>703</v>
      </c>
      <c r="E16" s="13">
        <v>42786.152268518519</v>
      </c>
      <c r="F16" s="13">
        <v>42786.157349537039</v>
      </c>
      <c r="G16" s="7">
        <v>2</v>
      </c>
      <c r="H16" s="21" t="s">
        <v>438</v>
      </c>
      <c r="I16" s="13">
        <v>42786.18582175926</v>
      </c>
      <c r="J16" s="7">
        <v>0</v>
      </c>
      <c r="K16" s="98" t="str">
        <f t="shared" si="0"/>
        <v>4043/4044</v>
      </c>
      <c r="L16" s="21" t="str">
        <f>VLOOKUP(A16,'Trips&amp;Operators'!$C$1:$G$99999,5,FALSE)</f>
        <v>CUSHING HARRY</v>
      </c>
      <c r="M16" s="6">
        <f t="shared" si="1"/>
        <v>2.8472222220443655E-2</v>
      </c>
      <c r="N16" s="7">
        <f>24*60*SUM($M16:$M16)</f>
        <v>40.999999997438863</v>
      </c>
      <c r="O16" s="7"/>
      <c r="P16" s="7"/>
      <c r="Q16" s="22"/>
      <c r="R16" s="22"/>
      <c r="S16" s="31">
        <f>SUM(U16:U16)/IF(AG16="EC",12,1)</f>
        <v>1</v>
      </c>
      <c r="T16" s="46" t="str">
        <f t="shared" si="2"/>
        <v>NorthBound</v>
      </c>
      <c r="U16" s="186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7" t="str">
        <f t="shared" si="3"/>
        <v>https://d0f6bd738d7f1b3e5a7ca70fe4ff75f0.us-east-1.aws.found.io/app/kibana#/discover/Steve-Slow-Train-Analysis-(2080s-and-2083s)?_g=(refreshInterval:(display:Off,pause:!f,section:0,value:0),time:(from:'2017-02-20T02:39:16-0700',mode:absolute,to:'2017-02-20T05:27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" s="188" t="str">
        <f t="shared" si="4"/>
        <v>N</v>
      </c>
      <c r="X16" s="188">
        <f>VALUE(LEFT(AD16,4))-VALUE(LEFT(AD15,4))</f>
        <v>1</v>
      </c>
      <c r="Y16" s="62">
        <f t="shared" si="5"/>
        <v>7.46E-2</v>
      </c>
      <c r="Z16" s="62">
        <f t="shared" si="6"/>
        <v>23.329799999999999</v>
      </c>
      <c r="AA16" s="62">
        <f t="shared" si="7"/>
        <v>23.255199999999999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 t="shared" si="8"/>
        <v>0103-20</v>
      </c>
      <c r="AE16" s="85" t="str">
        <f t="shared" si="9"/>
        <v>aws s3 cp s3://rtdc.mdm.uploadarchive.raw/RTDC4044/ "%USERPROFILE%\AppData\Local\Temp\OnboardLogs"\RTDC4044\2017-02-20 --exclude "*" --recursive --include "*20170220*" &amp; "%USERPROFILE%\Documents\GitHub\mrs-test-scripts\Headless Mode &amp; Sideloading\WalkAndUnGZ.bat" "%USERPROFILE%\AppData\Local\Temp\OnboardLogs"\RTDC4044\2017-02-20 &amp; aws s3 cp s3://rtdc.mdm.uploadarchive.raw/RTDC4044/ "%USERPROFILE%\AppData\Local\Temp\OnboardLogs"\RTDC4044\2017-02-21 --exclude "*" --recursive --include "*20170221*" &amp; "%USERPROFILE%\Documents\GitHub\mrs-test-scripts\Headless Mode &amp; Sideloading\WalkAndUnGZ.bat" "%USERPROFILE%\AppData\Local\Temp\OnboardLogs"\RTDC4044\2017-02-21</v>
      </c>
      <c r="AF16" s="82" t="str">
        <f t="shared" si="10"/>
        <v>"C:\Program Files (x86)\AstroGrep\AstroGrep.exe" /spath="%USERPROFILE%\AppData\Local\Temp\OnboardLogs" /stypes="app*4044*20170220*" /stext=" 11:.+((SYSTEM_STATE.+slice.+state.+changed )|(ment ac)|(multiple cpu faults)|(system.+state.+changed )|(\[timeout)|(PRM\|1\|D)|(kpr)|(kdp)|(\|lc)|(penalty))" /e /r /s</v>
      </c>
      <c r="AG16" s="1" t="str">
        <f t="shared" si="11"/>
        <v>EC</v>
      </c>
      <c r="AH16" s="86" t="str">
        <f t="shared" si="15"/>
        <v>"%USERPROFILE%\Documents\GitHub\eaglep3\Utilities\RefineRTDCRunTimes.py" --tripid 103-20 --locoid 4044 --swversion DE.1.0.9.0 --startMP 204:746 --initTime 2017-02-20T03:39:16 --startdatetime 2017-02-20T03:46:35 --delay 2 --endMP 204:233298 --enddatetime 2017-02-20T04:27:35 --enforcementcount 0 &gt;&gt;C:\Users\stu\Documents\GitHub\eaglep3-reporting\EC\2017-02-20-refined-times.txt</v>
      </c>
      <c r="AI16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{"issue":{"subject":"","project_id":79,"tracker_id":40,"status_id":1,"priority_id":2,"assigned_to_id":23,"start_date":"2017-02-20","description":"","custom_fields":[{"id":1,"name":"Subdivision","value":"EC"},{"id":4,"name":"Milepost","value":"23.3298"},{"id":17,"name":"Train ID","value":"103-20"},{"id":16,"name":"Locomotive ID","value":"4044"},{"id":130,"name":"Impact","value":""},{"id":150,"name":"Time of Event (Mountain Time)","value":"04:27:35"},{"id":151,"name":"Denver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48"/>
      <c r="AK16" s="48"/>
      <c r="AL16" s="48"/>
      <c r="AM16" s="154" t="str">
        <f t="shared" si="17"/>
        <v>start /low /b %USERPROFILE%\Documents\GitHub\eaglep3\Utilities\DownloadLogsFromS3.py --loco 4044 --day 2017-02-20</v>
      </c>
      <c r="AN16" s="163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"%USERPROFILE%\AppData\Local\Temp\OnboardLogs"\RTDC4044\*4044*20170220* | grep -SE "(Enforcement Action)|(\[TIMEOUT)|(CHR.+\|PRM\|1\|D.+(SWITCH|SIGNAL).+UNKNOWN)" - &gt;&gt; 2017-02-20-UncaughtWiMAX.txt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890</v>
      </c>
      <c r="B17" s="7">
        <v>4019</v>
      </c>
      <c r="C17" s="21" t="s">
        <v>408</v>
      </c>
      <c r="D17" s="21" t="s">
        <v>703</v>
      </c>
      <c r="E17" s="13">
        <v>42786.152268518519</v>
      </c>
      <c r="F17" s="13">
        <v>42786.204861111109</v>
      </c>
      <c r="G17" s="7">
        <v>2</v>
      </c>
      <c r="H17" s="21" t="s">
        <v>438</v>
      </c>
      <c r="I17" s="13">
        <v>42786.205555555556</v>
      </c>
      <c r="J17" s="7">
        <v>0</v>
      </c>
      <c r="K17" s="98" t="str">
        <f t="shared" si="0"/>
        <v>4019/4020</v>
      </c>
      <c r="L17" s="21" t="e">
        <f>VLOOKUP(A17,'Trips&amp;Operators'!$C$1:$G$99999,5,FALSE)</f>
        <v>#N/A</v>
      </c>
      <c r="M17" s="6">
        <f t="shared" si="1"/>
        <v>6.944444467080757E-4</v>
      </c>
      <c r="N17" s="7"/>
      <c r="O17" s="7"/>
      <c r="P17" s="7">
        <f>24*60*SUM($M17:$M17)</f>
        <v>1.000000003259629</v>
      </c>
      <c r="Q17" s="22"/>
      <c r="R17" s="22" t="s">
        <v>447</v>
      </c>
      <c r="S17" s="31">
        <f>SUM(U17:U17)/IF(AG17="EC",12,1)</f>
        <v>0</v>
      </c>
      <c r="T17" s="46" t="str">
        <f t="shared" si="2"/>
        <v>Southbound</v>
      </c>
      <c r="U17" s="186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0</v>
      </c>
      <c r="V17" s="187" t="str">
        <f t="shared" si="3"/>
        <v>https://d0f6bd738d7f1b3e5a7ca70fe4ff75f0.us-east-1.aws.found.io/app/kibana#/discover/Steve-Slow-Train-Analysis-(2080s-and-2083s)?_g=(refreshInterval:(display:Off,pause:!f,section:0,value:0),time:(from:'2017-02-20T02:39:16-0700',mode:absolute,to:'2017-02-20T05:56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" s="188" t="str">
        <f t="shared" si="4"/>
        <v>N</v>
      </c>
      <c r="X17" s="188">
        <f>VALUE(LEFT(AD17,4))-VALUE(LEFT(AD16,4))</f>
        <v>1</v>
      </c>
      <c r="Y17" s="62">
        <f t="shared" si="5"/>
        <v>7.46E-2</v>
      </c>
      <c r="Z17" s="62">
        <f t="shared" si="6"/>
        <v>23.329799999999999</v>
      </c>
      <c r="AA17" s="62">
        <f t="shared" si="7"/>
        <v>23.255199999999999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 t="shared" si="8"/>
        <v>0104-20</v>
      </c>
      <c r="AE17" s="85" t="str">
        <f t="shared" si="9"/>
        <v>aws s3 cp s3://rtdc.mdm.uploadarchive.raw/RTDC4019/ "%USERPROFILE%\AppData\Local\Temp\OnboardLogs"\RTDC4019\2017-02-20 --exclude "*" --recursive --include "*20170220*" &amp; "%USERPROFILE%\Documents\GitHub\mrs-test-scripts\Headless Mode &amp; Sideloading\WalkAndUnGZ.bat" "%USERPROFILE%\AppData\Local\Temp\OnboardLogs"\RTDC4019\2017-02-20 &amp; aws s3 cp s3://rtdc.mdm.uploadarchive.raw/RTDC4019/ "%USERPROFILE%\AppData\Local\Temp\OnboardLogs"\RTDC4019\2017-02-21 --exclude "*" --recursive --include "*20170221*" &amp; "%USERPROFILE%\Documents\GitHub\mrs-test-scripts\Headless Mode &amp; Sideloading\WalkAndUnGZ.bat" "%USERPROFILE%\AppData\Local\Temp\OnboardLogs"\RTDC4019\2017-02-21</v>
      </c>
      <c r="AF17" s="82" t="str">
        <f t="shared" si="10"/>
        <v>"C:\Program Files (x86)\AstroGrep\AstroGrep.exe" /spath="%USERPROFILE%\AppData\Local\Temp\OnboardLogs" /stypes="app*4019*20170220*" /stext=" 11:.+((SYSTEM_STATE.+slice.+state.+changed )|(ment ac)|(multiple cpu faults)|(system.+state.+changed )|(\[timeout)|(PRM\|1\|D)|(kpr)|(kdp)|(\|lc)|(penalty))" /e /r /s</v>
      </c>
      <c r="AG17" s="1" t="str">
        <f t="shared" si="11"/>
        <v>EC</v>
      </c>
      <c r="AH17" s="86" t="str">
        <f t="shared" ref="AH17" si="18">refinertdcruntimes&amp;" --tripid "&amp;A17&amp;" --locoid "&amp;B17&amp;" --swversion "&amp;C17&amp;" --startMP "&amp;D17&amp;" --initTime "&amp;TEXT(E17,"yyyy-mm-ddTHH:MM:SS")&amp;" --startdatetime "&amp;TEXT(F17,"yyyy-mm-ddTHH:MM:SS")&amp;" --delay "&amp;G17&amp;" --endMP "&amp;H17&amp;" --enddatetime "&amp;TEXT(I17,"yyyy-mm-ddTHH:MM:SS")&amp;" --enforcementcount "&amp;J17&amp;IF(outputrefinedruntimes," &gt;&gt;"&amp;RefinedRTDCRunTimesOutputFile,"")</f>
        <v>"%USERPROFILE%\Documents\GitHub\eaglep3\Utilities\RefineRTDCRunTimes.py" --tripid 104-20 --locoid 4019 --swversion DE.1.0.9.0 --startMP 204:746 --initTime 2017-02-20T03:39:16 --startdatetime 2017-02-20T04:55:00 --delay 2 --endMP 204:233298 --enddatetime 2017-02-20T04:56:00 --enforcementcount 0 &gt;&gt;C:\Users\stu\Documents\GitHub\eaglep3-reporting\EC\2017-02-20-refined-times.txt</v>
      </c>
      <c r="AI17" s="108" t="str">
        <f t="shared" ref="AI17" si="19">"echo {""issue"":{""subject"":"""&amp;R17&amp;""",""project_id"":79,""tracker_id"":40,""status_id"":"&amp;redmine_status&amp;",""priority_id"":"&amp;redmine_priority&amp;",""assigned_to_id"":"&amp;redmine_assignee&amp;",""start_date"":"""&amp;TEXT(I17,"YYYY-mm-dd")&amp;""",""description"":"""&amp;AJ17&amp;""",""custom_fields"":[{""id"":1,""name"":""Subdivision"",""value"":"""&amp;AG17&amp;"""},{""id"":4,""name"":""Milepost"",""value"":"""&amp;Z17&amp;"""},{""id"":17,""name"":""Train ID"",""value"":"""&amp;A17&amp;"""},{""id"":16,""name"":""Locomotive ID"",""value"":"""&amp;B17&amp;"""},{""id"":130,""name"":""Impact"",""value"":"""&amp;AK17&amp;"""},{""id"":150,""name"":""Time of Event (Mountain Time)"",""value"":"""&amp;TEXT(I17,"hh:mm:ss")&amp;"""},{""id"":151,""name"":""Denver Issue ID"",""value"":"""&amp;"""},{""id"":178,""name"":""Operational Impact"",""value"":"""&amp;redmine_op_impact&amp;"""},{""id"":179,""name"":""Denver Segment Assigned"",""value"":"""&amp;AL17&amp;"""}]}}"&amp;" | curl -X POST -H ""Content-Type: application/json"" -H ""X-Redmine-API-Key: "&amp;redm_api_key&amp;""" "&amp;redm_url&amp;" --data @-"</f>
        <v>echo {"issue":{"subject":"CCROC/crew/equipment mismatch","project_id":79,"tracker_id":40,"status_id":1,"priority_id":2,"assigned_to_id":23,"start_date":"2017-02-20","description":"","custom_fields":[{"id":1,"name":"Subdivision","value":"EC"},{"id":4,"name":"Milepost","value":"23.3298"},{"id":17,"name":"Train ID","value":"104-20"},{"id":16,"name":"Locomotive ID","value":"4019"},{"id":130,"name":"Impact","value":""},{"id":150,"name":"Time of Event (Mountain Time)","value":"04:56:00"},{"id":151,"name":"Denver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48"/>
      <c r="AK17" s="48"/>
      <c r="AL17" s="48"/>
      <c r="AM17" s="154" t="str">
        <f t="shared" ref="AM17" si="20">"start /low /b "&amp;dls3logs&amp;" --loco "&amp;B17&amp;" --day "&amp;TEXT(F17,"YYYY-MM-DD")</f>
        <v>start /low /b %USERPROFILE%\Documents\GitHub\eaglep3\Utilities\DownloadLogsFromS3.py --loco 4019 --day 2017-02-20</v>
      </c>
      <c r="AN17" s="163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"%USERPROFILE%\AppData\Local\Temp\OnboardLogs"\RTDC4019\*4019*20170220* | grep -SE "(Enforcement Action)|(\[TIMEOUT)|(CHR.+\|PRM\|1\|D.+(SWITCH|SIGNAL).+UNKNOWN)" - &gt;&gt; 2017-02-20-UncaughtWiMAX.txt</v>
      </c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0"/>
      <c r="BM17" s="20"/>
      <c r="BN17" s="20"/>
      <c r="BO17" s="20"/>
      <c r="BP17" s="20"/>
      <c r="BQ17" s="20"/>
      <c r="BR17" s="20"/>
      <c r="BS17" s="20"/>
      <c r="BT17" s="20"/>
      <c r="BU17" s="20"/>
      <c r="BV17" s="20"/>
      <c r="BW17" s="20"/>
      <c r="BX17" s="20"/>
      <c r="BY17" s="20"/>
      <c r="BZ17" s="20"/>
      <c r="CA17" s="20"/>
      <c r="CB17" s="20"/>
      <c r="CC17" s="20"/>
      <c r="CD17" s="20"/>
      <c r="CE17" s="20"/>
      <c r="CF17" s="20"/>
      <c r="CG17" s="20"/>
      <c r="CH17" s="20"/>
      <c r="CI17" s="20"/>
      <c r="CJ17" s="20"/>
      <c r="CK17" s="20"/>
      <c r="CL17" s="20"/>
      <c r="CM17" s="20"/>
    </row>
    <row r="18" spans="1:91" s="1" customFormat="1" x14ac:dyDescent="0.25">
      <c r="A18" s="33" t="s">
        <v>451</v>
      </c>
      <c r="B18" s="7">
        <v>4027</v>
      </c>
      <c r="C18" s="21" t="s">
        <v>408</v>
      </c>
      <c r="D18" s="21" t="s">
        <v>704</v>
      </c>
      <c r="E18" s="13">
        <v>42786.205659722225</v>
      </c>
      <c r="F18" s="13">
        <v>42786.206423611111</v>
      </c>
      <c r="G18" s="7">
        <v>1</v>
      </c>
      <c r="H18" s="21" t="s">
        <v>705</v>
      </c>
      <c r="I18" s="13">
        <v>42786.207673611112</v>
      </c>
      <c r="J18" s="7">
        <v>1</v>
      </c>
      <c r="K18" s="98" t="str">
        <f t="shared" si="0"/>
        <v>4027/4028</v>
      </c>
      <c r="L18" s="21" t="str">
        <f>VLOOKUP(A18,'Trips&amp;Operators'!$C$1:$G$99999,5,FALSE)</f>
        <v>STARKS ANGELINA</v>
      </c>
      <c r="M18" s="6">
        <f t="shared" si="1"/>
        <v>1.2500000011641532E-3</v>
      </c>
      <c r="N18" s="7"/>
      <c r="O18" s="7"/>
      <c r="P18" s="7">
        <f>24*60*SUM($M18:$M20)</f>
        <v>31.650000001536682</v>
      </c>
      <c r="Q18" s="22"/>
      <c r="R18" s="22" t="s">
        <v>883</v>
      </c>
      <c r="S18" s="31">
        <f>SUM(U18:U20)/IF(AG18="EC",12,1)</f>
        <v>0.5</v>
      </c>
      <c r="T18" s="46" t="str">
        <f t="shared" si="2"/>
        <v>NorthBound</v>
      </c>
      <c r="U18" s="186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0</v>
      </c>
      <c r="V18" s="187" t="str">
        <f t="shared" si="3"/>
        <v>https://d0f6bd738d7f1b3e5a7ca70fe4ff75f0.us-east-1.aws.found.io/app/kibana#/discover/Steve-Slow-Train-Analysis-(2080s-and-2083s)?_g=(refreshInterval:(display:Off,pause:!f,section:0,value:0),time:(from:'2017-02-20T03:56:09-0700',mode:absolute,to:'2017-02-20T05:59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" s="188" t="str">
        <f t="shared" si="4"/>
        <v>Y</v>
      </c>
      <c r="X18" s="188">
        <f t="shared" ref="X18:X22" si="21">VALUE(LEFT(AD18,4))-VALUE(LEFT(AD17,4))</f>
        <v>1</v>
      </c>
      <c r="Y18" s="62">
        <f t="shared" si="5"/>
        <v>15.450799999999999</v>
      </c>
      <c r="Z18" s="62">
        <f t="shared" si="6"/>
        <v>16.008400000000002</v>
      </c>
      <c r="AA18" s="62">
        <f t="shared" si="7"/>
        <v>0.55760000000000254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 t="shared" si="8"/>
        <v>0105-20</v>
      </c>
      <c r="AE18" s="85" t="str">
        <f t="shared" si="9"/>
        <v>aws s3 cp s3://rtdc.mdm.uploadarchive.raw/RTDC4027/ "%USERPROFILE%\AppData\Local\Temp\OnboardLogs"\RTDC4027\2017-02-20 --exclude "*" --recursive --include "*20170220*" &amp; "%USERPROFILE%\Documents\GitHub\mrs-test-scripts\Headless Mode &amp; Sideloading\WalkAndUnGZ.bat" "%USERPROFILE%\AppData\Local\Temp\OnboardLogs"\RTDC4027\2017-02-20 &amp; aws s3 cp s3://rtdc.mdm.uploadarchive.raw/RTDC4027/ "%USERPROFILE%\AppData\Local\Temp\OnboardLogs"\RTDC4027\2017-02-21 --exclude "*" --recursive --include "*20170221*" &amp; "%USERPROFILE%\Documents\GitHub\mrs-test-scripts\Headless Mode &amp; Sideloading\WalkAndUnGZ.bat" "%USERPROFILE%\AppData\Local\Temp\OnboardLogs"\RTDC4027\2017-02-21</v>
      </c>
      <c r="AF18" s="82" t="str">
        <f t="shared" si="10"/>
        <v>"C:\Program Files (x86)\AstroGrep\AstroGrep.exe" /spath="%USERPROFILE%\AppData\Local\Temp\OnboardLogs" /stypes="app*4027*20170220*" /stext=" 11:.+((SYSTEM_STATE.+slice.+state.+changed )|(ment ac)|(multiple cpu faults)|(system.+state.+changed )|(\[timeout)|(PRM\|1\|D)|(kpr)|(kdp)|(\|lc)|(penalty))" /e /r /s</v>
      </c>
      <c r="AG18" s="1" t="str">
        <f t="shared" si="11"/>
        <v>EC</v>
      </c>
      <c r="AH18" s="86" t="str">
        <f t="shared" si="15"/>
        <v>"%USERPROFILE%\Documents\GitHub\eaglep3\Utilities\RefineRTDCRunTimes.py" --tripid 105-20 --locoid 4027 --swversion DE.1.0.9.0 --startMP 204:154508 --initTime 2017-02-20T04:56:09 --startdatetime 2017-02-20T04:57:15 --delay 1 --endMP 204:160084 --enddatetime 2017-02-20T04:59:03 --enforcementcount 1 &gt;&gt;C:\Users\stu\Documents\GitHub\eaglep3-reporting\EC\2017-02-20-refined-times.txt</v>
      </c>
      <c r="AI18" s="108" t="str">
        <f t="shared" si="16"/>
        <v>echo {"issue":{"subject":"Many Wi-MAX data drops - 4 car consist-related?","project_id":79,"tracker_id":40,"status_id":1,"priority_id":2,"assigned_to_id":23,"start_date":"2017-02-20","description":"","custom_fields":[{"id":1,"name":"Subdivision","value":"EC"},{"id":4,"name":"Milepost","value":"16.0084"},{"id":17,"name":"Train ID","value":"105-20"},{"id":16,"name":"Locomotive ID","value":"4027"},{"id":130,"name":"Impact","value":""},{"id":150,"name":"Time of Event (Mountain Time)","value":"04:59:03"},{"id":151,"name":"Denver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48"/>
      <c r="AK18" s="48"/>
      <c r="AL18" s="48"/>
      <c r="AM18" s="154" t="str">
        <f t="shared" si="17"/>
        <v>start /low /b %USERPROFILE%\Documents\GitHub\eaglep3\Utilities\DownloadLogsFromS3.py --loco 4027 --day 2017-02-20</v>
      </c>
      <c r="AN18" s="163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"%USERPROFILE%\AppData\Local\Temp\OnboardLogs"\RTDC4027\*4027*20170220* | grep -SE "(Enforcement Action)|(\[TIMEOUT)|(CHR.+\|PRM\|1\|D.+(SWITCH|SIGNAL).+UNKNOWN)" - &gt;&gt; 2017-02-20-UncaughtWiMAX.txt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451</v>
      </c>
      <c r="B19" s="7">
        <v>4027</v>
      </c>
      <c r="C19" s="21" t="s">
        <v>408</v>
      </c>
      <c r="D19" s="21" t="s">
        <v>706</v>
      </c>
      <c r="E19" s="13">
        <v>42786.192407407405</v>
      </c>
      <c r="F19" s="13">
        <v>42786.193842592591</v>
      </c>
      <c r="G19" s="7">
        <v>2</v>
      </c>
      <c r="H19" s="21" t="s">
        <v>707</v>
      </c>
      <c r="I19" s="13">
        <v>42786.201840277776</v>
      </c>
      <c r="J19" s="7">
        <v>1</v>
      </c>
      <c r="K19" s="98" t="str">
        <f t="shared" si="0"/>
        <v>4027/4028</v>
      </c>
      <c r="L19" s="21" t="str">
        <f>VLOOKUP(A19,'Trips&amp;Operators'!$C$1:$G$99999,5,FALSE)</f>
        <v>STARKS ANGELINA</v>
      </c>
      <c r="M19" s="6">
        <f t="shared" si="1"/>
        <v>7.9976851848186925E-3</v>
      </c>
      <c r="N19" s="7"/>
      <c r="O19" s="7"/>
      <c r="P19" s="7"/>
      <c r="Q19" s="22"/>
      <c r="R19" s="22"/>
      <c r="S19" s="31"/>
      <c r="T19" s="46" t="str">
        <f t="shared" si="2"/>
        <v>NorthBound</v>
      </c>
      <c r="U19" s="186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3</v>
      </c>
      <c r="V19" s="187" t="str">
        <f t="shared" si="3"/>
        <v>https://d0f6bd738d7f1b3e5a7ca70fe4ff75f0.us-east-1.aws.found.io/app/kibana#/discover/Steve-Slow-Train-Analysis-(2080s-and-2083s)?_g=(refreshInterval:(display:Off,pause:!f,section:0,value:0),time:(from:'2017-02-20T03:37:04-0700',mode:absolute,to:'2017-02-20T05:50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9" s="188" t="str">
        <f t="shared" si="4"/>
        <v>Y</v>
      </c>
      <c r="X19" s="188">
        <f t="shared" si="21"/>
        <v>0</v>
      </c>
      <c r="Y19" s="62">
        <f t="shared" si="5"/>
        <v>6.4790999999999999</v>
      </c>
      <c r="Z19" s="62">
        <f t="shared" si="6"/>
        <v>12.456899999999999</v>
      </c>
      <c r="AA19" s="62">
        <f t="shared" si="7"/>
        <v>5.9777999999999993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 t="shared" si="8"/>
        <v>0105-20</v>
      </c>
      <c r="AE19" s="85" t="str">
        <f t="shared" si="9"/>
        <v>aws s3 cp s3://rtdc.mdm.uploadarchive.raw/RTDC4027/ "%USERPROFILE%\AppData\Local\Temp\OnboardLogs"\RTDC4027\2017-02-20 --exclude "*" --recursive --include "*20170220*" &amp; "%USERPROFILE%\Documents\GitHub\mrs-test-scripts\Headless Mode &amp; Sideloading\WalkAndUnGZ.bat" "%USERPROFILE%\AppData\Local\Temp\OnboardLogs"\RTDC4027\2017-02-20 &amp; aws s3 cp s3://rtdc.mdm.uploadarchive.raw/RTDC4027/ "%USERPROFILE%\AppData\Local\Temp\OnboardLogs"\RTDC4027\2017-02-21 --exclude "*" --recursive --include "*20170221*" &amp; "%USERPROFILE%\Documents\GitHub\mrs-test-scripts\Headless Mode &amp; Sideloading\WalkAndUnGZ.bat" "%USERPROFILE%\AppData\Local\Temp\OnboardLogs"\RTDC4027\2017-02-21</v>
      </c>
      <c r="AF19" s="82" t="str">
        <f t="shared" si="10"/>
        <v>"C:\Program Files (x86)\AstroGrep\AstroGrep.exe" /spath="%USERPROFILE%\AppData\Local\Temp\OnboardLogs" /stypes="app*4027*20170220*" /stext=" 11:.+((SYSTEM_STATE.+slice.+state.+changed )|(ment ac)|(multiple cpu faults)|(system.+state.+changed )|(\[timeout)|(PRM\|1\|D)|(kpr)|(kdp)|(\|lc)|(penalty))" /e /r /s</v>
      </c>
      <c r="AG19" s="1" t="str">
        <f t="shared" si="11"/>
        <v>EC</v>
      </c>
      <c r="AH19" s="86" t="str">
        <f t="shared" si="15"/>
        <v>"%USERPROFILE%\Documents\GitHub\eaglep3\Utilities\RefineRTDCRunTimes.py" --tripid 105-20 --locoid 4027 --swversion DE.1.0.9.0 --startMP 204:64791 --initTime 2017-02-20T04:37:04 --startdatetime 2017-02-20T04:39:08 --delay 2 --endMP 204:124569 --enddatetime 2017-02-20T04:50:39 --enforcementcount 1 &gt;&gt;C:\Users\stu\Documents\GitHub\eaglep3-reporting\EC\2017-02-20-refined-times.txt</v>
      </c>
      <c r="AI19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{"issue":{"subject":"","project_id":79,"tracker_id":40,"status_id":1,"priority_id":2,"assigned_to_id":23,"start_date":"2017-02-20","description":"","custom_fields":[{"id":1,"name":"Subdivision","value":"EC"},{"id":4,"name":"Milepost","value":"12.4569"},{"id":17,"name":"Train ID","value":"105-20"},{"id":16,"name":"Locomotive ID","value":"4027"},{"id":130,"name":"Impact","value":""},{"id":150,"name":"Time of Event (Mountain Time)","value":"04:50:39"},{"id":151,"name":"Denver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48"/>
      <c r="AK19" s="48"/>
      <c r="AL19" s="48"/>
      <c r="AM19" s="154" t="str">
        <f t="shared" si="17"/>
        <v>start /low /b %USERPROFILE%\Documents\GitHub\eaglep3\Utilities\DownloadLogsFromS3.py --loco 4027 --day 2017-02-20</v>
      </c>
      <c r="AN19" s="163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"%USERPROFILE%\AppData\Local\Temp\OnboardLogs"\RTDC4027\*4027*20170220* | grep -SE "(Enforcement Action)|(\[TIMEOUT)|(CHR.+\|PRM\|1\|D.+(SWITCH|SIGNAL).+UNKNOWN)" - &gt;&gt; 2017-02-20-UncaughtWiMAX.txt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451</v>
      </c>
      <c r="B20" s="7">
        <v>4027</v>
      </c>
      <c r="C20" s="21" t="s">
        <v>408</v>
      </c>
      <c r="D20" s="21" t="s">
        <v>708</v>
      </c>
      <c r="E20" s="13">
        <v>42786.173634259256</v>
      </c>
      <c r="F20" s="13">
        <v>42786.175266203703</v>
      </c>
      <c r="G20" s="7">
        <v>2</v>
      </c>
      <c r="H20" s="21" t="s">
        <v>709</v>
      </c>
      <c r="I20" s="13">
        <v>42786.187997685185</v>
      </c>
      <c r="J20" s="7">
        <v>3</v>
      </c>
      <c r="K20" s="98" t="str">
        <f t="shared" si="0"/>
        <v>4027/4028</v>
      </c>
      <c r="L20" s="21" t="str">
        <f>VLOOKUP(A20,'Trips&amp;Operators'!$C$1:$G$99999,5,FALSE)</f>
        <v>STARKS ANGELINA</v>
      </c>
      <c r="M20" s="6">
        <f t="shared" si="1"/>
        <v>1.2731481481750961E-2</v>
      </c>
      <c r="N20" s="7"/>
      <c r="O20" s="7"/>
      <c r="P20" s="7"/>
      <c r="Q20" s="22"/>
      <c r="R20" s="22"/>
      <c r="S20" s="31"/>
      <c r="T20" s="46" t="str">
        <f t="shared" si="2"/>
        <v>NorthBound</v>
      </c>
      <c r="U20" s="186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3</v>
      </c>
      <c r="V20" s="187" t="str">
        <f t="shared" si="3"/>
        <v>https://d0f6bd738d7f1b3e5a7ca70fe4ff75f0.us-east-1.aws.found.io/app/kibana#/discover/Steve-Slow-Train-Analysis-(2080s-and-2083s)?_g=(refreshInterval:(display:Off,pause:!f,section:0,value:0),time:(from:'2017-02-20T03:10:02-0700',mode:absolute,to:'2017-02-20T05:30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0" s="188" t="str">
        <f t="shared" si="4"/>
        <v>Y</v>
      </c>
      <c r="X20" s="188">
        <f t="shared" si="21"/>
        <v>0</v>
      </c>
      <c r="Y20" s="62">
        <f t="shared" si="5"/>
        <v>7.8299999999999995E-2</v>
      </c>
      <c r="Z20" s="62">
        <f t="shared" si="6"/>
        <v>3.9197000000000002</v>
      </c>
      <c r="AA20" s="62">
        <f t="shared" si="7"/>
        <v>3.8414000000000001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 t="shared" si="8"/>
        <v>0105-20</v>
      </c>
      <c r="AE20" s="85" t="str">
        <f t="shared" si="9"/>
        <v>aws s3 cp s3://rtdc.mdm.uploadarchive.raw/RTDC4027/ "%USERPROFILE%\AppData\Local\Temp\OnboardLogs"\RTDC4027\2017-02-20 --exclude "*" --recursive --include "*20170220*" &amp; "%USERPROFILE%\Documents\GitHub\mrs-test-scripts\Headless Mode &amp; Sideloading\WalkAndUnGZ.bat" "%USERPROFILE%\AppData\Local\Temp\OnboardLogs"\RTDC4027\2017-02-20 &amp; aws s3 cp s3://rtdc.mdm.uploadarchive.raw/RTDC4027/ "%USERPROFILE%\AppData\Local\Temp\OnboardLogs"\RTDC4027\2017-02-21 --exclude "*" --recursive --include "*20170221*" &amp; "%USERPROFILE%\Documents\GitHub\mrs-test-scripts\Headless Mode &amp; Sideloading\WalkAndUnGZ.bat" "%USERPROFILE%\AppData\Local\Temp\OnboardLogs"\RTDC4027\2017-02-21</v>
      </c>
      <c r="AF20" s="82" t="str">
        <f t="shared" si="10"/>
        <v>"C:\Program Files (x86)\AstroGrep\AstroGrep.exe" /spath="%USERPROFILE%\AppData\Local\Temp\OnboardLogs" /stypes="app*4027*20170220*" /stext=" 11:.+((SYSTEM_STATE.+slice.+state.+changed )|(ment ac)|(multiple cpu faults)|(system.+state.+changed )|(\[timeout)|(PRM\|1\|D)|(kpr)|(kdp)|(\|lc)|(penalty))" /e /r /s</v>
      </c>
      <c r="AG20" s="1" t="str">
        <f t="shared" si="11"/>
        <v>EC</v>
      </c>
      <c r="AH20" s="86" t="str">
        <f t="shared" si="15"/>
        <v>"%USERPROFILE%\Documents\GitHub\eaglep3\Utilities\RefineRTDCRunTimes.py" --tripid 105-20 --locoid 4027 --swversion DE.1.0.9.0 --startMP 204:783 --initTime 2017-02-20T04:10:02 --startdatetime 2017-02-20T04:12:23 --delay 2 --endMP 204:39197 --enddatetime 2017-02-20T04:30:43 --enforcementcount 3 &gt;&gt;C:\Users\stu\Documents\GitHub\eaglep3-reporting\EC\2017-02-20-refined-times.txt</v>
      </c>
      <c r="AI20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{"issue":{"subject":"","project_id":79,"tracker_id":40,"status_id":1,"priority_id":2,"assigned_to_id":23,"start_date":"2017-02-20","description":"","custom_fields":[{"id":1,"name":"Subdivision","value":"EC"},{"id":4,"name":"Milepost","value":"3.9197"},{"id":17,"name":"Train ID","value":"105-20"},{"id":16,"name":"Locomotive ID","value":"4027"},{"id":130,"name":"Impact","value":""},{"id":150,"name":"Time of Event (Mountain Time)","value":"04:30:43"},{"id":151,"name":"Denver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48"/>
      <c r="AK20" s="48"/>
      <c r="AL20" s="48"/>
      <c r="AM20" s="154" t="str">
        <f t="shared" si="17"/>
        <v>start /low /b %USERPROFILE%\Documents\GitHub\eaglep3\Utilities\DownloadLogsFromS3.py --loco 4027 --day 2017-02-20</v>
      </c>
      <c r="AN20" s="163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"%USERPROFILE%\AppData\Local\Temp\OnboardLogs"\RTDC4027\*4027*20170220* | grep -SE "(Enforcement Action)|(\[TIMEOUT)|(CHR.+\|PRM\|1\|D.+(SWITCH|SIGNAL).+UNKNOWN)" - &gt;&gt; 2017-02-20-UncaughtWiMAX.txt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454</v>
      </c>
      <c r="B21" s="7">
        <v>4052</v>
      </c>
      <c r="C21" s="21" t="s">
        <v>408</v>
      </c>
      <c r="D21" s="21" t="s">
        <v>710</v>
      </c>
      <c r="E21" s="13">
        <v>42786.23605324074</v>
      </c>
      <c r="F21" s="13">
        <v>42786.236747685187</v>
      </c>
      <c r="G21" s="7">
        <v>0</v>
      </c>
      <c r="H21" s="21" t="s">
        <v>711</v>
      </c>
      <c r="I21" s="13">
        <v>42786.241157407407</v>
      </c>
      <c r="J21" s="7">
        <v>1</v>
      </c>
      <c r="K21" s="98" t="str">
        <f t="shared" si="0"/>
        <v>4051/4052</v>
      </c>
      <c r="L21" s="21" t="str">
        <f>VLOOKUP(A21,'Trips&amp;Operators'!$C$1:$G$99999,5,FALSE)</f>
        <v>STARKS ANGELINA</v>
      </c>
      <c r="M21" s="6">
        <f t="shared" si="1"/>
        <v>4.4097222198615782E-3</v>
      </c>
      <c r="N21" s="7"/>
      <c r="O21" s="7"/>
      <c r="P21" s="7">
        <f>24*60*SUM($M21:$M21)</f>
        <v>6.3499999966006726</v>
      </c>
      <c r="Q21" s="22"/>
      <c r="R21" s="22" t="s">
        <v>883</v>
      </c>
      <c r="S21" s="31">
        <f>SUM(U21:U21)/IF(AG21="EC",12,1)</f>
        <v>0.16666666666666666</v>
      </c>
      <c r="T21" s="46" t="str">
        <f t="shared" si="2"/>
        <v>Southbound</v>
      </c>
      <c r="U21" s="186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2</v>
      </c>
      <c r="V21" s="187" t="str">
        <f t="shared" si="3"/>
        <v>https://d0f6bd738d7f1b3e5a7ca70fe4ff75f0.us-east-1.aws.found.io/app/kibana#/discover/Steve-Slow-Train-Analysis-(2080s-and-2083s)?_g=(refreshInterval:(display:Off,pause:!f,section:0,value:0),time:(from:'2017-02-20T04:39:55-0700',mode:absolute,to:'2017-02-20T06:47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1" s="188" t="str">
        <f t="shared" si="4"/>
        <v>Y</v>
      </c>
      <c r="X21" s="188">
        <f t="shared" si="21"/>
        <v>1</v>
      </c>
      <c r="Y21" s="62">
        <f t="shared" si="5"/>
        <v>12.778700000000001</v>
      </c>
      <c r="Z21" s="62">
        <f t="shared" si="6"/>
        <v>9.1178000000000008</v>
      </c>
      <c r="AA21" s="62">
        <f t="shared" si="7"/>
        <v>3.6608999999999998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 t="shared" si="8"/>
        <v>0106-20</v>
      </c>
      <c r="AE21" s="85" t="str">
        <f t="shared" si="9"/>
        <v>aws s3 cp s3://rtdc.mdm.uploadarchive.raw/RTDC4052/ "%USERPROFILE%\AppData\Local\Temp\OnboardLogs"\RTDC4052\2017-02-20 --exclude "*" --recursive --include "*20170220*" &amp; "%USERPROFILE%\Documents\GitHub\mrs-test-scripts\Headless Mode &amp; Sideloading\WalkAndUnGZ.bat" "%USERPROFILE%\AppData\Local\Temp\OnboardLogs"\RTDC4052\2017-02-20 &amp; aws s3 cp s3://rtdc.mdm.uploadarchive.raw/RTDC4052/ "%USERPROFILE%\AppData\Local\Temp\OnboardLogs"\RTDC4052\2017-02-21 --exclude "*" --recursive --include "*20170221*" &amp; "%USERPROFILE%\Documents\GitHub\mrs-test-scripts\Headless Mode &amp; Sideloading\WalkAndUnGZ.bat" "%USERPROFILE%\AppData\Local\Temp\OnboardLogs"\RTDC4052\2017-02-21</v>
      </c>
      <c r="AF21" s="82" t="str">
        <f t="shared" si="10"/>
        <v>"C:\Program Files (x86)\AstroGrep\AstroGrep.exe" /spath="%USERPROFILE%\AppData\Local\Temp\OnboardLogs" /stypes="app*4052*20170220*" /stext=" 12:.+((SYSTEM_STATE.+slice.+state.+changed )|(ment ac)|(multiple cpu faults)|(system.+state.+changed )|(\[timeout)|(PRM\|1\|D)|(kpr)|(kdp)|(\|lc)|(penalty))" /e /r /s</v>
      </c>
      <c r="AG21" s="1" t="str">
        <f t="shared" si="11"/>
        <v>EC</v>
      </c>
      <c r="AH21" s="86" t="str">
        <f t="shared" si="15"/>
        <v>"%USERPROFILE%\Documents\GitHub\eaglep3\Utilities\RefineRTDCRunTimes.py" --tripid 106-20 --locoid 4052 --swversion DE.1.0.9.0 --startMP 204:127787 --initTime 2017-02-20T05:39:55 --startdatetime 2017-02-20T05:40:55 --delay 0 --endMP 204:91178 --enddatetime 2017-02-20T05:47:16 --enforcementcount 1 &gt;&gt;C:\Users\stu\Documents\GitHub\eaglep3-reporting\EC\2017-02-20-refined-times.txt</v>
      </c>
      <c r="AI21" s="108" t="str">
        <f t="shared" si="16"/>
        <v>echo {"issue":{"subject":"Many Wi-MAX data drops - 4 car consist-related?","project_id":79,"tracker_id":40,"status_id":1,"priority_id":2,"assigned_to_id":23,"start_date":"2017-02-20","description":"","custom_fields":[{"id":1,"name":"Subdivision","value":"EC"},{"id":4,"name":"Milepost","value":"9.1178"},{"id":17,"name":"Train ID","value":"106-20"},{"id":16,"name":"Locomotive ID","value":"4052"},{"id":130,"name":"Impact","value":""},{"id":150,"name":"Time of Event (Mountain Time)","value":"05:47:16"},{"id":151,"name":"Denver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48"/>
      <c r="AK21" s="48"/>
      <c r="AL21" s="48"/>
      <c r="AM21" s="154" t="str">
        <f t="shared" si="17"/>
        <v>start /low /b %USERPROFILE%\Documents\GitHub\eaglep3\Utilities\DownloadLogsFromS3.py --loco 4052 --day 2017-02-20</v>
      </c>
      <c r="AN21" s="163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"%USERPROFILE%\AppData\Local\Temp\OnboardLogs"\RTDC4052\*4052*20170220* | grep -SE "(Enforcement Action)|(\[TIMEOUT)|(CHR.+\|PRM\|1\|D.+(SWITCH|SIGNAL).+UNKNOWN)" - &gt;&gt; 2017-02-20-UncaughtWiMAX.txt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454</v>
      </c>
      <c r="B22" s="7">
        <v>4052</v>
      </c>
      <c r="C22" s="21" t="s">
        <v>408</v>
      </c>
      <c r="D22" s="21" t="s">
        <v>712</v>
      </c>
      <c r="E22" s="13">
        <v>42786.217534722222</v>
      </c>
      <c r="F22" s="13">
        <v>42786.219907407409</v>
      </c>
      <c r="G22" s="7">
        <v>3</v>
      </c>
      <c r="H22" s="21" t="s">
        <v>713</v>
      </c>
      <c r="I22" s="13">
        <v>42786.225937499999</v>
      </c>
      <c r="J22" s="7">
        <v>3</v>
      </c>
      <c r="K22" s="98" t="str">
        <f t="shared" si="0"/>
        <v>4051/4052</v>
      </c>
      <c r="L22" s="21" t="str">
        <f>VLOOKUP(A22,'Trips&amp;Operators'!$C$1:$G$99999,5,FALSE)</f>
        <v>STARKS ANGELINA</v>
      </c>
      <c r="M22" s="6">
        <f t="shared" si="1"/>
        <v>6.0300925906631164E-3</v>
      </c>
      <c r="N22" s="7"/>
      <c r="O22" s="7"/>
      <c r="P22" s="7"/>
      <c r="Q22" s="22"/>
      <c r="R22" s="22"/>
      <c r="S22" s="31"/>
      <c r="T22" s="46" t="str">
        <f t="shared" si="2"/>
        <v>Southbound</v>
      </c>
      <c r="U22" s="186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0</v>
      </c>
      <c r="V22" s="187" t="str">
        <f t="shared" si="3"/>
        <v>https://d0f6bd738d7f1b3e5a7ca70fe4ff75f0.us-east-1.aws.found.io/app/kibana#/discover/Steve-Slow-Train-Analysis-(2080s-and-2083s)?_g=(refreshInterval:(display:Off,pause:!f,section:0,value:0),time:(from:'2017-02-20T04:13:15-0700',mode:absolute,to:'2017-02-20T06:25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2" s="188" t="str">
        <f t="shared" si="4"/>
        <v>Y</v>
      </c>
      <c r="X22" s="188">
        <f t="shared" si="21"/>
        <v>0</v>
      </c>
      <c r="Y22" s="62">
        <f t="shared" si="5"/>
        <v>23.265599999999999</v>
      </c>
      <c r="Z22" s="62">
        <f t="shared" si="6"/>
        <v>22.0014</v>
      </c>
      <c r="AA22" s="62">
        <f t="shared" si="7"/>
        <v>1.2641999999999989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 t="shared" si="8"/>
        <v>0106-20</v>
      </c>
      <c r="AE22" s="85" t="str">
        <f t="shared" si="9"/>
        <v>aws s3 cp s3://rtdc.mdm.uploadarchive.raw/RTDC4052/ "%USERPROFILE%\AppData\Local\Temp\OnboardLogs"\RTDC4052\2017-02-20 --exclude "*" --recursive --include "*20170220*" &amp; "%USERPROFILE%\Documents\GitHub\mrs-test-scripts\Headless Mode &amp; Sideloading\WalkAndUnGZ.bat" "%USERPROFILE%\AppData\Local\Temp\OnboardLogs"\RTDC4052\2017-02-20 &amp; aws s3 cp s3://rtdc.mdm.uploadarchive.raw/RTDC4052/ "%USERPROFILE%\AppData\Local\Temp\OnboardLogs"\RTDC4052\2017-02-21 --exclude "*" --recursive --include "*20170221*" &amp; "%USERPROFILE%\Documents\GitHub\mrs-test-scripts\Headless Mode &amp; Sideloading\WalkAndUnGZ.bat" "%USERPROFILE%\AppData\Local\Temp\OnboardLogs"\RTDC4052\2017-02-21</v>
      </c>
      <c r="AF22" s="82" t="str">
        <f t="shared" si="10"/>
        <v>"C:\Program Files (x86)\AstroGrep\AstroGrep.exe" /spath="%USERPROFILE%\AppData\Local\Temp\OnboardLogs" /stypes="app*4052*20170220*" /stext=" 12:.+((SYSTEM_STATE.+slice.+state.+changed )|(ment ac)|(multiple cpu faults)|(system.+state.+changed )|(\[timeout)|(PRM\|1\|D)|(kpr)|(kdp)|(\|lc)|(penalty))" /e /r /s</v>
      </c>
      <c r="AG22" s="1" t="str">
        <f t="shared" si="11"/>
        <v>EC</v>
      </c>
      <c r="AH22" s="86" t="str">
        <f t="shared" si="15"/>
        <v>"%USERPROFILE%\Documents\GitHub\eaglep3\Utilities\RefineRTDCRunTimes.py" --tripid 106-20 --locoid 4052 --swversion DE.1.0.9.0 --startMP 204:232656 --initTime 2017-02-20T05:13:15 --startdatetime 2017-02-20T05:16:40 --delay 3 --endMP 204:220014 --enddatetime 2017-02-20T05:25:21 --enforcementcount 3 &gt;&gt;C:\Users\stu\Documents\GitHub\eaglep3-reporting\EC\2017-02-20-refined-times.txt</v>
      </c>
      <c r="AI22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{"issue":{"subject":"","project_id":79,"tracker_id":40,"status_id":1,"priority_id":2,"assigned_to_id":23,"start_date":"2017-02-20","description":"","custom_fields":[{"id":1,"name":"Subdivision","value":"EC"},{"id":4,"name":"Milepost","value":"22.0014"},{"id":17,"name":"Train ID","value":"106-20"},{"id":16,"name":"Locomotive ID","value":"4052"},{"id":130,"name":"Impact","value":""},{"id":150,"name":"Time of Event (Mountain Time)","value":"05:25:21"},{"id":151,"name":"Denver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48"/>
      <c r="AK22" s="48"/>
      <c r="AL22" s="48"/>
      <c r="AM22" s="154" t="str">
        <f t="shared" si="17"/>
        <v>start /low /b %USERPROFILE%\Documents\GitHub\eaglep3\Utilities\DownloadLogsFromS3.py --loco 4052 --day 2017-02-20</v>
      </c>
      <c r="AN22" s="163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"%USERPROFILE%\AppData\Local\Temp\OnboardLogs"\RTDC4052\*4052*20170220* | grep -SE "(Enforcement Action)|(\[TIMEOUT)|(CHR.+\|PRM\|1\|D.+(SWITCH|SIGNAL).+UNKNOWN)" - &gt;&gt; 2017-02-20-UncaughtWiMAX.txt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504</v>
      </c>
      <c r="B23" s="7">
        <v>4046</v>
      </c>
      <c r="C23" s="21" t="s">
        <v>408</v>
      </c>
      <c r="D23" s="21" t="s">
        <v>268</v>
      </c>
      <c r="E23" s="13">
        <v>42786.182291666664</v>
      </c>
      <c r="F23" s="13">
        <v>42786.187673611108</v>
      </c>
      <c r="G23" s="7">
        <v>1</v>
      </c>
      <c r="H23" s="21" t="s">
        <v>714</v>
      </c>
      <c r="I23" s="13">
        <v>42786.217997685184</v>
      </c>
      <c r="J23" s="7">
        <v>0</v>
      </c>
      <c r="K23" s="98" t="str">
        <f t="shared" si="0"/>
        <v>4045/4046</v>
      </c>
      <c r="L23" s="21" t="str">
        <f>VLOOKUP(A23,'Trips&amp;Operators'!$C$1:$G$99999,5,FALSE)</f>
        <v>BONDS REYNALDO</v>
      </c>
      <c r="M23" s="6">
        <f t="shared" si="1"/>
        <v>3.0324074075906537E-2</v>
      </c>
      <c r="N23" s="7">
        <f t="shared" ref="N23:N32" si="22">24*60*SUM($M23:$M23)</f>
        <v>43.666666669305414</v>
      </c>
      <c r="O23" s="7"/>
      <c r="P23" s="7"/>
      <c r="Q23" s="22"/>
      <c r="R23" s="22"/>
      <c r="S23" s="31">
        <f t="shared" ref="S23:S32" si="23">SUM(U23:U23)/IF(AG23="EC",12,1)</f>
        <v>1</v>
      </c>
      <c r="T23" s="46" t="str">
        <f t="shared" si="2"/>
        <v>NorthBound</v>
      </c>
      <c r="U23" s="186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7" t="str">
        <f t="shared" si="3"/>
        <v>https://d0f6bd738d7f1b3e5a7ca70fe4ff75f0.us-east-1.aws.found.io/app/kibana#/discover/Steve-Slow-Train-Analysis-(2080s-and-2083s)?_g=(refreshInterval:(display:Off,pause:!f,section:0,value:0),time:(from:'2017-02-20T03:22:30-0700',mode:absolute,to:'2017-02-20T06:13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3" s="188" t="str">
        <f t="shared" si="4"/>
        <v>N</v>
      </c>
      <c r="X23" s="188">
        <f t="shared" ref="X23:X32" si="24">VALUE(LEFT(AD23,4))-VALUE(LEFT(AD22,4))</f>
        <v>1</v>
      </c>
      <c r="Y23" s="62">
        <f t="shared" si="5"/>
        <v>4.6399999999999997E-2</v>
      </c>
      <c r="Z23" s="62">
        <f t="shared" si="6"/>
        <v>23.328399999999998</v>
      </c>
      <c r="AA23" s="62">
        <f t="shared" si="7"/>
        <v>23.282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 t="shared" si="8"/>
        <v>0107-20</v>
      </c>
      <c r="AE23" s="85" t="str">
        <f t="shared" si="9"/>
        <v>aws s3 cp s3://rtdc.mdm.uploadarchive.raw/RTDC4046/ "%USERPROFILE%\AppData\Local\Temp\OnboardLogs"\RTDC4046\2017-02-20 --exclude "*" --recursive --include "*20170220*" &amp; "%USERPROFILE%\Documents\GitHub\mrs-test-scripts\Headless Mode &amp; Sideloading\WalkAndUnGZ.bat" "%USERPROFILE%\AppData\Local\Temp\OnboardLogs"\RTDC4046\2017-02-20 &amp; aws s3 cp s3://rtdc.mdm.uploadarchive.raw/RTDC4046/ "%USERPROFILE%\AppData\Local\Temp\OnboardLogs"\RTDC4046\2017-02-21 --exclude "*" --recursive --include "*20170221*" &amp; "%USERPROFILE%\Documents\GitHub\mrs-test-scripts\Headless Mode &amp; Sideloading\WalkAndUnGZ.bat" "%USERPROFILE%\AppData\Local\Temp\OnboardLogs"\RTDC4046\2017-02-21</v>
      </c>
      <c r="AF23" s="82" t="str">
        <f t="shared" si="10"/>
        <v>"C:\Program Files (x86)\AstroGrep\AstroGrep.exe" /spath="%USERPROFILE%\AppData\Local\Temp\OnboardLogs" /stypes="app*4046*20170220*" /stext=" 12:.+((SYSTEM_STATE.+slice.+state.+changed )|(ment ac)|(multiple cpu faults)|(system.+state.+changed )|(\[timeout)|(PRM\|1\|D)|(kpr)|(kdp)|(\|lc)|(penalty))" /e /r /s</v>
      </c>
      <c r="AG23" s="1" t="str">
        <f t="shared" si="11"/>
        <v>EC</v>
      </c>
      <c r="AH23" s="86" t="str">
        <f t="shared" si="15"/>
        <v>"%USERPROFILE%\Documents\GitHub\eaglep3\Utilities\RefineRTDCRunTimes.py" --tripid 107-20 --locoid 4046 --swversion DE.1.0.9.0 --startMP 204:464 --initTime 2017-02-20T04:22:30 --startdatetime 2017-02-20T04:30:15 --delay 1 --endMP 204:233284 --enddatetime 2017-02-20T05:13:55 --enforcementcount 0 &gt;&gt;C:\Users\stu\Documents\GitHub\eaglep3-reporting\EC\2017-02-20-refined-times.txt</v>
      </c>
      <c r="AI23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{"issue":{"subject":"","project_id":79,"tracker_id":40,"status_id":1,"priority_id":2,"assigned_to_id":23,"start_date":"2017-02-20","description":"","custom_fields":[{"id":1,"name":"Subdivision","value":"EC"},{"id":4,"name":"Milepost","value":"23.3284"},{"id":17,"name":"Train ID","value":"107-20"},{"id":16,"name":"Locomotive ID","value":"4046"},{"id":130,"name":"Impact","value":""},{"id":150,"name":"Time of Event (Mountain Time)","value":"05:13:55"},{"id":151,"name":"Denver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48"/>
      <c r="AK23" s="48"/>
      <c r="AL23" s="48"/>
      <c r="AM23" s="154" t="str">
        <f t="shared" si="17"/>
        <v>start /low /b %USERPROFILE%\Documents\GitHub\eaglep3\Utilities\DownloadLogsFromS3.py --loco 4046 --day 2017-02-20</v>
      </c>
      <c r="AN23" s="163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"%USERPROFILE%\AppData\Local\Temp\OnboardLogs"\RTDC4046\*4046*20170220* | grep -SE "(Enforcement Action)|(\[TIMEOUT)|(CHR.+\|PRM\|1\|D.+(SWITCH|SIGNAL).+UNKNOWN)" - &gt;&gt; 2017-02-20-UncaughtWiMAX.txt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512</v>
      </c>
      <c r="B24" s="7">
        <v>4045</v>
      </c>
      <c r="C24" s="21" t="s">
        <v>408</v>
      </c>
      <c r="D24" s="21" t="s">
        <v>336</v>
      </c>
      <c r="E24" s="13">
        <v>42786.223124999997</v>
      </c>
      <c r="F24" s="13">
        <v>42786.227326388886</v>
      </c>
      <c r="G24" s="7">
        <v>1</v>
      </c>
      <c r="H24" s="21" t="s">
        <v>196</v>
      </c>
      <c r="I24" s="13">
        <v>42786.261550925927</v>
      </c>
      <c r="J24" s="7">
        <v>0</v>
      </c>
      <c r="K24" s="98" t="str">
        <f t="shared" si="0"/>
        <v>4045/4046</v>
      </c>
      <c r="L24" s="21" t="str">
        <f>VLOOKUP(A24,'Trips&amp;Operators'!$C$1:$G$99999,5,FALSE)</f>
        <v>BONDS REYNALDO</v>
      </c>
      <c r="M24" s="6">
        <f t="shared" si="1"/>
        <v>3.422453704115469E-2</v>
      </c>
      <c r="N24" s="7">
        <f t="shared" si="22"/>
        <v>49.283333339262754</v>
      </c>
      <c r="O24" s="7"/>
      <c r="P24" s="7"/>
      <c r="Q24" s="22"/>
      <c r="R24" s="22"/>
      <c r="S24" s="31">
        <f t="shared" si="23"/>
        <v>1</v>
      </c>
      <c r="T24" s="46" t="str">
        <f t="shared" si="2"/>
        <v>Southbound</v>
      </c>
      <c r="U24" s="186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7" t="str">
        <f t="shared" si="3"/>
        <v>https://d0f6bd738d7f1b3e5a7ca70fe4ff75f0.us-east-1.aws.found.io/app/kibana#/discover/Steve-Slow-Train-Analysis-(2080s-and-2083s)?_g=(refreshInterval:(display:Off,pause:!f,section:0,value:0),time:(from:'2017-02-20T04:21:18-0700',mode:absolute,to:'2017-02-20T07:16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4" s="188" t="str">
        <f t="shared" si="4"/>
        <v>N</v>
      </c>
      <c r="X24" s="188">
        <f t="shared" si="24"/>
        <v>1</v>
      </c>
      <c r="Y24" s="62">
        <f t="shared" si="5"/>
        <v>23.296700000000001</v>
      </c>
      <c r="Z24" s="62">
        <f t="shared" si="6"/>
        <v>1.4500000000000001E-2</v>
      </c>
      <c r="AA24" s="62">
        <f t="shared" si="7"/>
        <v>23.2822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 t="shared" si="8"/>
        <v>0108-20</v>
      </c>
      <c r="AE24" s="85" t="str">
        <f t="shared" si="9"/>
        <v>aws s3 cp s3://rtdc.mdm.uploadarchive.raw/RTDC4045/ "%USERPROFILE%\AppData\Local\Temp\OnboardLogs"\RTDC4045\2017-02-20 --exclude "*" --recursive --include "*20170220*" &amp; "%USERPROFILE%\Documents\GitHub\mrs-test-scripts\Headless Mode &amp; Sideloading\WalkAndUnGZ.bat" "%USERPROFILE%\AppData\Local\Temp\OnboardLogs"\RTDC4045\2017-02-20 &amp; aws s3 cp s3://rtdc.mdm.uploadarchive.raw/RTDC4045/ "%USERPROFILE%\AppData\Local\Temp\OnboardLogs"\RTDC4045\2017-02-21 --exclude "*" --recursive --include "*20170221*" &amp; "%USERPROFILE%\Documents\GitHub\mrs-test-scripts\Headless Mode &amp; Sideloading\WalkAndUnGZ.bat" "%USERPROFILE%\AppData\Local\Temp\OnboardLogs"\RTDC4045\2017-02-21</v>
      </c>
      <c r="AF24" s="82" t="str">
        <f t="shared" si="10"/>
        <v>"C:\Program Files (x86)\AstroGrep\AstroGrep.exe" /spath="%USERPROFILE%\AppData\Local\Temp\OnboardLogs" /stypes="app*4045*20170220*" /stext=" 13:.+((SYSTEM_STATE.+slice.+state.+changed )|(ment ac)|(multiple cpu faults)|(system.+state.+changed )|(\[timeout)|(PRM\|1\|D)|(kpr)|(kdp)|(\|lc)|(penalty))" /e /r /s</v>
      </c>
      <c r="AG24" s="1" t="str">
        <f t="shared" si="11"/>
        <v>EC</v>
      </c>
      <c r="AH24" s="86" t="str">
        <f t="shared" si="15"/>
        <v>"%USERPROFILE%\Documents\GitHub\eaglep3\Utilities\RefineRTDCRunTimes.py" --tripid 108-20 --locoid 4045 --swversion DE.1.0.9.0 --startMP 204:232967 --initTime 2017-02-20T05:21:18 --startdatetime 2017-02-20T05:27:21 --delay 1 --endMP 204:145 --enddatetime 2017-02-20T06:16:38 --enforcementcount 0 &gt;&gt;C:\Users\stu\Documents\GitHub\eaglep3-reporting\EC\2017-02-20-refined-times.txt</v>
      </c>
      <c r="AI24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{"issue":{"subject":"","project_id":79,"tracker_id":40,"status_id":1,"priority_id":2,"assigned_to_id":23,"start_date":"2017-02-20","description":"","custom_fields":[{"id":1,"name":"Subdivision","value":"EC"},{"id":4,"name":"Milepost","value":"0.0145"},{"id":17,"name":"Train ID","value":"108-20"},{"id":16,"name":"Locomotive ID","value":"4045"},{"id":130,"name":"Impact","value":""},{"id":150,"name":"Time of Event (Mountain Time)","value":"06:16:38"},{"id":151,"name":"Denver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48"/>
      <c r="AK24" s="48"/>
      <c r="AL24" s="48"/>
      <c r="AM24" s="154" t="str">
        <f t="shared" si="17"/>
        <v>start /low /b %USERPROFILE%\Documents\GitHub\eaglep3\Utilities\DownloadLogsFromS3.py --loco 4045 --day 2017-02-20</v>
      </c>
      <c r="AN24" s="163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"%USERPROFILE%\AppData\Local\Temp\OnboardLogs"\RTDC4045\*4045*20170220* | grep -SE "(Enforcement Action)|(\[TIMEOUT)|(CHR.+\|PRM\|1\|D.+(SWITCH|SIGNAL).+UNKNOWN)" - &gt;&gt; 2017-02-20-UncaughtWiMAX.txt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506</v>
      </c>
      <c r="B25" s="7">
        <v>4007</v>
      </c>
      <c r="C25" s="21" t="s">
        <v>408</v>
      </c>
      <c r="D25" s="21" t="s">
        <v>410</v>
      </c>
      <c r="E25" s="13">
        <v>42786.196296296293</v>
      </c>
      <c r="F25" s="13">
        <v>42786.198831018519</v>
      </c>
      <c r="G25" s="7">
        <v>2</v>
      </c>
      <c r="H25" s="21" t="s">
        <v>417</v>
      </c>
      <c r="I25" s="13">
        <v>42786.227141203701</v>
      </c>
      <c r="J25" s="7">
        <v>0</v>
      </c>
      <c r="K25" s="98" t="str">
        <f t="shared" si="0"/>
        <v>4007/4008</v>
      </c>
      <c r="L25" s="21" t="str">
        <f>VLOOKUP(A25,'Trips&amp;Operators'!$C$1:$G$99999,5,FALSE)</f>
        <v>SHOOK JOHN</v>
      </c>
      <c r="M25" s="6">
        <f t="shared" si="1"/>
        <v>2.8310185181908309E-2</v>
      </c>
      <c r="N25" s="7">
        <f t="shared" si="22"/>
        <v>40.766666661947966</v>
      </c>
      <c r="O25" s="7"/>
      <c r="P25" s="7"/>
      <c r="Q25" s="22"/>
      <c r="R25" s="22"/>
      <c r="S25" s="31">
        <f t="shared" si="23"/>
        <v>1</v>
      </c>
      <c r="T25" s="46" t="str">
        <f t="shared" si="2"/>
        <v>NorthBound</v>
      </c>
      <c r="U25" s="186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7" t="str">
        <f t="shared" si="3"/>
        <v>https://d0f6bd738d7f1b3e5a7ca70fe4ff75f0.us-east-1.aws.found.io/app/kibana#/discover/Steve-Slow-Train-Analysis-(2080s-and-2083s)?_g=(refreshInterval:(display:Off,pause:!f,section:0,value:0),time:(from:'2017-02-20T03:42:40-0700',mode:absolute,to:'2017-02-20T06:27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5" s="188" t="str">
        <f t="shared" si="4"/>
        <v>N</v>
      </c>
      <c r="X25" s="188">
        <f t="shared" si="24"/>
        <v>1</v>
      </c>
      <c r="Y25" s="62">
        <f t="shared" si="5"/>
        <v>4.58E-2</v>
      </c>
      <c r="Z25" s="62">
        <f t="shared" si="6"/>
        <v>23.3291</v>
      </c>
      <c r="AA25" s="62">
        <f t="shared" si="7"/>
        <v>23.283300000000001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 t="shared" si="8"/>
        <v>0109-20</v>
      </c>
      <c r="AE25" s="85" t="str">
        <f t="shared" si="9"/>
        <v>aws s3 cp s3://rtdc.mdm.uploadarchive.raw/RTDC4007/ "%USERPROFILE%\AppData\Local\Temp\OnboardLogs"\RTDC4007\2017-02-20 --exclude "*" --recursive --include "*20170220*" &amp; "%USERPROFILE%\Documents\GitHub\mrs-test-scripts\Headless Mode &amp; Sideloading\WalkAndUnGZ.bat" "%USERPROFILE%\AppData\Local\Temp\OnboardLogs"\RTDC4007\2017-02-20 &amp; aws s3 cp s3://rtdc.mdm.uploadarchive.raw/RTDC4007/ "%USERPROFILE%\AppData\Local\Temp\OnboardLogs"\RTDC4007\2017-02-21 --exclude "*" --recursive --include "*20170221*" &amp; "%USERPROFILE%\Documents\GitHub\mrs-test-scripts\Headless Mode &amp; Sideloading\WalkAndUnGZ.bat" "%USERPROFILE%\AppData\Local\Temp\OnboardLogs"\RTDC4007\2017-02-21</v>
      </c>
      <c r="AF25" s="82" t="str">
        <f t="shared" si="10"/>
        <v>"C:\Program Files (x86)\AstroGrep\AstroGrep.exe" /spath="%USERPROFILE%\AppData\Local\Temp\OnboardLogs" /stypes="app*4007*20170220*" /stext=" 12:.+((SYSTEM_STATE.+slice.+state.+changed )|(ment ac)|(multiple cpu faults)|(system.+state.+changed )|(\[timeout)|(PRM\|1\|D)|(kpr)|(kdp)|(\|lc)|(penalty))" /e /r /s</v>
      </c>
      <c r="AG25" s="1" t="str">
        <f t="shared" si="11"/>
        <v>EC</v>
      </c>
      <c r="AH25" s="86" t="str">
        <f t="shared" si="15"/>
        <v>"%USERPROFILE%\Documents\GitHub\eaglep3\Utilities\RefineRTDCRunTimes.py" --tripid 109-20 --locoid 4007 --swversion DE.1.0.9.0 --startMP 204:458 --initTime 2017-02-20T04:42:40 --startdatetime 2017-02-20T04:46:19 --delay 2 --endMP 204:233291 --enddatetime 2017-02-20T05:27:05 --enforcementcount 0 &gt;&gt;C:\Users\stu\Documents\GitHub\eaglep3-reporting\EC\2017-02-20-refined-times.txt</v>
      </c>
      <c r="AI25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{"issue":{"subject":"","project_id":79,"tracker_id":40,"status_id":1,"priority_id":2,"assigned_to_id":23,"start_date":"2017-02-20","description":"","custom_fields":[{"id":1,"name":"Subdivision","value":"EC"},{"id":4,"name":"Milepost","value":"23.3291"},{"id":17,"name":"Train ID","value":"109-20"},{"id":16,"name":"Locomotive ID","value":"4007"},{"id":130,"name":"Impact","value":""},{"id":150,"name":"Time of Event (Mountain Time)","value":"05:27:05"},{"id":151,"name":"Denver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48"/>
      <c r="AK25" s="48"/>
      <c r="AL25" s="48"/>
      <c r="AM25" s="154" t="str">
        <f t="shared" si="17"/>
        <v>start /low /b %USERPROFILE%\Documents\GitHub\eaglep3\Utilities\DownloadLogsFromS3.py --loco 4007 --day 2017-02-20</v>
      </c>
      <c r="AN25" s="163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"%USERPROFILE%\AppData\Local\Temp\OnboardLogs"\RTDC4007\*4007*20170220* | grep -SE "(Enforcement Action)|(\[TIMEOUT)|(CHR.+\|PRM\|1\|D.+(SWITCH|SIGNAL).+UNKNOWN)" - &gt;&gt; 2017-02-20-UncaughtWiMAX.txt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514</v>
      </c>
      <c r="B26" s="7">
        <v>4008</v>
      </c>
      <c r="C26" s="21" t="s">
        <v>408</v>
      </c>
      <c r="D26" s="21" t="s">
        <v>301</v>
      </c>
      <c r="E26" s="13">
        <v>42786.233796296299</v>
      </c>
      <c r="F26" s="13">
        <v>42786.237013888887</v>
      </c>
      <c r="G26" s="7">
        <v>1</v>
      </c>
      <c r="H26" s="21" t="s">
        <v>223</v>
      </c>
      <c r="I26" s="13">
        <v>42786.265925925924</v>
      </c>
      <c r="J26" s="7">
        <v>0</v>
      </c>
      <c r="K26" s="98" t="str">
        <f t="shared" si="0"/>
        <v>4007/4008</v>
      </c>
      <c r="L26" s="21" t="str">
        <f>VLOOKUP(A26,'Trips&amp;Operators'!$C$1:$G$99999,5,FALSE)</f>
        <v>SHOOK JOHN</v>
      </c>
      <c r="M26" s="6">
        <f t="shared" si="1"/>
        <v>2.8912037036207039E-2</v>
      </c>
      <c r="N26" s="7">
        <f t="shared" si="22"/>
        <v>41.633333332138136</v>
      </c>
      <c r="O26" s="7"/>
      <c r="P26" s="7"/>
      <c r="Q26" s="22"/>
      <c r="R26" s="22"/>
      <c r="S26" s="31">
        <f t="shared" si="23"/>
        <v>1</v>
      </c>
      <c r="T26" s="46" t="str">
        <f t="shared" si="2"/>
        <v>Southbound</v>
      </c>
      <c r="U26" s="186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7" t="str">
        <f t="shared" si="3"/>
        <v>https://d0f6bd738d7f1b3e5a7ca70fe4ff75f0.us-east-1.aws.found.io/app/kibana#/discover/Steve-Slow-Train-Analysis-(2080s-and-2083s)?_g=(refreshInterval:(display:Off,pause:!f,section:0,value:0),time:(from:'2017-02-20T04:36:40-0700',mode:absolute,to:'2017-02-20T07:22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6" s="188" t="str">
        <f t="shared" si="4"/>
        <v>N</v>
      </c>
      <c r="X26" s="188">
        <f t="shared" si="24"/>
        <v>1</v>
      </c>
      <c r="Y26" s="62">
        <f t="shared" si="5"/>
        <v>23.298500000000001</v>
      </c>
      <c r="Z26" s="62">
        <f t="shared" si="6"/>
        <v>1.43E-2</v>
      </c>
      <c r="AA26" s="62">
        <f t="shared" si="7"/>
        <v>23.284200000000002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 t="shared" si="8"/>
        <v>0110-20</v>
      </c>
      <c r="AE26" s="85" t="str">
        <f t="shared" si="9"/>
        <v>aws s3 cp s3://rtdc.mdm.uploadarchive.raw/RTDC4008/ "%USERPROFILE%\AppData\Local\Temp\OnboardLogs"\RTDC4008\2017-02-20 --exclude "*" --recursive --include "*20170220*" &amp; "%USERPROFILE%\Documents\GitHub\mrs-test-scripts\Headless Mode &amp; Sideloading\WalkAndUnGZ.bat" "%USERPROFILE%\AppData\Local\Temp\OnboardLogs"\RTDC4008\2017-02-20 &amp; aws s3 cp s3://rtdc.mdm.uploadarchive.raw/RTDC4008/ "%USERPROFILE%\AppData\Local\Temp\OnboardLogs"\RTDC4008\2017-02-21 --exclude "*" --recursive --include "*20170221*" &amp; "%USERPROFILE%\Documents\GitHub\mrs-test-scripts\Headless Mode &amp; Sideloading\WalkAndUnGZ.bat" "%USERPROFILE%\AppData\Local\Temp\OnboardLogs"\RTDC4008\2017-02-21</v>
      </c>
      <c r="AF26" s="82" t="str">
        <f t="shared" si="10"/>
        <v>"C:\Program Files (x86)\AstroGrep\AstroGrep.exe" /spath="%USERPROFILE%\AppData\Local\Temp\OnboardLogs" /stypes="app*4008*20170220*" /stext=" 13:.+((SYSTEM_STATE.+slice.+state.+changed )|(ment ac)|(multiple cpu faults)|(system.+state.+changed )|(\[timeout)|(PRM\|1\|D)|(kpr)|(kdp)|(\|lc)|(penalty))" /e /r /s</v>
      </c>
      <c r="AG26" s="1" t="str">
        <f t="shared" si="11"/>
        <v>EC</v>
      </c>
      <c r="AH26" s="86" t="str">
        <f t="shared" si="15"/>
        <v>"%USERPROFILE%\Documents\GitHub\eaglep3\Utilities\RefineRTDCRunTimes.py" --tripid 110-20 --locoid 4008 --swversion DE.1.0.9.0 --startMP 204:232985 --initTime 2017-02-20T05:36:40 --startdatetime 2017-02-20T05:41:18 --delay 1 --endMP 204:143 --enddatetime 2017-02-20T06:22:56 --enforcementcount 0 &gt;&gt;C:\Users\stu\Documents\GitHub\eaglep3-reporting\EC\2017-02-20-refined-times.txt</v>
      </c>
      <c r="AI26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{"issue":{"subject":"","project_id":79,"tracker_id":40,"status_id":1,"priority_id":2,"assigned_to_id":23,"start_date":"2017-02-20","description":"","custom_fields":[{"id":1,"name":"Subdivision","value":"EC"},{"id":4,"name":"Milepost","value":"0.0143"},{"id":17,"name":"Train ID","value":"110-20"},{"id":16,"name":"Locomotive ID","value":"4008"},{"id":130,"name":"Impact","value":""},{"id":150,"name":"Time of Event (Mountain Time)","value":"06:22:56"},{"id":151,"name":"Denver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48"/>
      <c r="AK26" s="48"/>
      <c r="AL26" s="48"/>
      <c r="AM26" s="154" t="str">
        <f t="shared" si="17"/>
        <v>start /low /b %USERPROFILE%\Documents\GitHub\eaglep3\Utilities\DownloadLogsFromS3.py --loco 4008 --day 2017-02-20</v>
      </c>
      <c r="AN26" s="163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"%USERPROFILE%\AppData\Local\Temp\OnboardLogs"\RTDC4008\*4008*20170220* | grep -SE "(Enforcement Action)|(\[TIMEOUT)|(CHR.+\|PRM\|1\|D.+(SWITCH|SIGNAL).+UNKNOWN)" - &gt;&gt; 2017-02-20-UncaughtWiMAX.txt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508</v>
      </c>
      <c r="B27" s="7">
        <v>4029</v>
      </c>
      <c r="C27" s="21" t="s">
        <v>408</v>
      </c>
      <c r="D27" s="21" t="s">
        <v>227</v>
      </c>
      <c r="E27" s="13">
        <v>42786.205625000002</v>
      </c>
      <c r="F27" s="13">
        <v>42786.208680555559</v>
      </c>
      <c r="G27" s="7">
        <v>1</v>
      </c>
      <c r="H27" s="21" t="s">
        <v>303</v>
      </c>
      <c r="I27" s="13">
        <v>42786.234293981484</v>
      </c>
      <c r="J27" s="7">
        <v>0</v>
      </c>
      <c r="K27" s="98" t="str">
        <f t="shared" si="0"/>
        <v>4029/4030</v>
      </c>
      <c r="L27" s="21" t="str">
        <f>VLOOKUP(A27,'Trips&amp;Operators'!$C$1:$G$99999,5,FALSE)</f>
        <v>YORK EDGAR</v>
      </c>
      <c r="M27" s="6">
        <f t="shared" si="1"/>
        <v>2.5613425925257616E-2</v>
      </c>
      <c r="N27" s="7">
        <f t="shared" si="22"/>
        <v>36.883333332370967</v>
      </c>
      <c r="O27" s="7"/>
      <c r="P27" s="7"/>
      <c r="Q27" s="22"/>
      <c r="R27" s="22"/>
      <c r="S27" s="31">
        <f t="shared" si="23"/>
        <v>1</v>
      </c>
      <c r="T27" s="46" t="str">
        <f t="shared" si="2"/>
        <v>NorthBound</v>
      </c>
      <c r="U27" s="186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7" t="str">
        <f t="shared" si="3"/>
        <v>https://d0f6bd738d7f1b3e5a7ca70fe4ff75f0.us-east-1.aws.found.io/app/kibana#/discover/Steve-Slow-Train-Analysis-(2080s-and-2083s)?_g=(refreshInterval:(display:Off,pause:!f,section:0,value:0),time:(from:'2017-02-20T03:56:06-0700',mode:absolute,to:'2017-02-20T06:37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7" s="188" t="str">
        <f t="shared" si="4"/>
        <v>N</v>
      </c>
      <c r="X27" s="188">
        <f t="shared" si="24"/>
        <v>1</v>
      </c>
      <c r="Y27" s="62">
        <f t="shared" si="5"/>
        <v>4.5699999999999998E-2</v>
      </c>
      <c r="Z27" s="62">
        <f t="shared" si="6"/>
        <v>23.3278</v>
      </c>
      <c r="AA27" s="62">
        <f t="shared" si="7"/>
        <v>23.2821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 t="shared" si="8"/>
        <v>0111-20</v>
      </c>
      <c r="AE27" s="85" t="str">
        <f t="shared" si="9"/>
        <v>aws s3 cp s3://rtdc.mdm.uploadarchive.raw/RTDC4029/ "%USERPROFILE%\AppData\Local\Temp\OnboardLogs"\RTDC4029\2017-02-20 --exclude "*" --recursive --include "*20170220*" &amp; "%USERPROFILE%\Documents\GitHub\mrs-test-scripts\Headless Mode &amp; Sideloading\WalkAndUnGZ.bat" "%USERPROFILE%\AppData\Local\Temp\OnboardLogs"\RTDC4029\2017-02-20 &amp; aws s3 cp s3://rtdc.mdm.uploadarchive.raw/RTDC4029/ "%USERPROFILE%\AppData\Local\Temp\OnboardLogs"\RTDC4029\2017-02-21 --exclude "*" --recursive --include "*20170221*" &amp; "%USERPROFILE%\Documents\GitHub\mrs-test-scripts\Headless Mode &amp; Sideloading\WalkAndUnGZ.bat" "%USERPROFILE%\AppData\Local\Temp\OnboardLogs"\RTDC4029\2017-02-21</v>
      </c>
      <c r="AF27" s="82" t="str">
        <f t="shared" si="10"/>
        <v>"C:\Program Files (x86)\AstroGrep\AstroGrep.exe" /spath="%USERPROFILE%\AppData\Local\Temp\OnboardLogs" /stypes="app*4029*20170220*" /stext=" 12:.+((SYSTEM_STATE.+slice.+state.+changed )|(ment ac)|(multiple cpu faults)|(system.+state.+changed )|(\[timeout)|(PRM\|1\|D)|(kpr)|(kdp)|(\|lc)|(penalty))" /e /r /s</v>
      </c>
      <c r="AG27" s="1" t="str">
        <f t="shared" si="11"/>
        <v>EC</v>
      </c>
      <c r="AH27" s="86" t="str">
        <f t="shared" si="15"/>
        <v>"%USERPROFILE%\Documents\GitHub\eaglep3\Utilities\RefineRTDCRunTimes.py" --tripid 111-20 --locoid 4029 --swversion DE.1.0.9.0 --startMP 204:457 --initTime 2017-02-20T04:56:06 --startdatetime 2017-02-20T05:00:30 --delay 1 --endMP 204:233278 --enddatetime 2017-02-20T05:37:23 --enforcementcount 0 &gt;&gt;C:\Users\stu\Documents\GitHub\eaglep3-reporting\EC\2017-02-20-refined-times.txt</v>
      </c>
      <c r="AI27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{"issue":{"subject":"","project_id":79,"tracker_id":40,"status_id":1,"priority_id":2,"assigned_to_id":23,"start_date":"2017-02-20","description":"","custom_fields":[{"id":1,"name":"Subdivision","value":"EC"},{"id":4,"name":"Milepost","value":"23.3278"},{"id":17,"name":"Train ID","value":"111-20"},{"id":16,"name":"Locomotive ID","value":"4029"},{"id":130,"name":"Impact","value":""},{"id":150,"name":"Time of Event (Mountain Time)","value":"05:37:23"},{"id":151,"name":"Denver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48"/>
      <c r="AK27" s="48"/>
      <c r="AL27" s="48"/>
      <c r="AM27" s="154" t="str">
        <f t="shared" si="17"/>
        <v>start /low /b %USERPROFILE%\Documents\GitHub\eaglep3\Utilities\DownloadLogsFromS3.py --loco 4029 --day 2017-02-20</v>
      </c>
      <c r="AN27" s="163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"%USERPROFILE%\AppData\Local\Temp\OnboardLogs"\RTDC4029\*4029*20170220* | grep -SE "(Enforcement Action)|(\[TIMEOUT)|(CHR.+\|PRM\|1\|D.+(SWITCH|SIGNAL).+UNKNOWN)" - &gt;&gt; 2017-02-20-UncaughtWiMAX.txt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515</v>
      </c>
      <c r="B28" s="7">
        <v>4030</v>
      </c>
      <c r="C28" s="21" t="s">
        <v>408</v>
      </c>
      <c r="D28" s="21" t="s">
        <v>715</v>
      </c>
      <c r="E28" s="13">
        <v>42786.237523148149</v>
      </c>
      <c r="F28" s="13">
        <v>42786.247615740744</v>
      </c>
      <c r="G28" s="7">
        <v>1</v>
      </c>
      <c r="H28" s="21" t="s">
        <v>716</v>
      </c>
      <c r="I28" s="13">
        <v>42786.274236111109</v>
      </c>
      <c r="J28" s="7">
        <v>0</v>
      </c>
      <c r="K28" s="98" t="str">
        <f t="shared" si="0"/>
        <v>4029/4030</v>
      </c>
      <c r="L28" s="21" t="str">
        <f>VLOOKUP(A28,'Trips&amp;Operators'!$C$1:$G$99999,5,FALSE)</f>
        <v>YORK EDGAR</v>
      </c>
      <c r="M28" s="6">
        <f t="shared" si="1"/>
        <v>2.6620370364980772E-2</v>
      </c>
      <c r="N28" s="7">
        <f t="shared" si="22"/>
        <v>38.333333325572312</v>
      </c>
      <c r="O28" s="7"/>
      <c r="P28" s="7"/>
      <c r="Q28" s="22"/>
      <c r="R28" s="22"/>
      <c r="S28" s="31">
        <f t="shared" si="23"/>
        <v>1</v>
      </c>
      <c r="T28" s="46" t="str">
        <f t="shared" si="2"/>
        <v>Southbound</v>
      </c>
      <c r="U28" s="186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7" t="str">
        <f t="shared" si="3"/>
        <v>https://d0f6bd738d7f1b3e5a7ca70fe4ff75f0.us-east-1.aws.found.io/app/kibana#/discover/Steve-Slow-Train-Analysis-(2080s-and-2083s)?_g=(refreshInterval:(display:Off,pause:!f,section:0,value:0),time:(from:'2017-02-20T04:42:02-0700',mode:absolute,to:'2017-02-20T07:34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8" s="188" t="str">
        <f t="shared" si="4"/>
        <v>N</v>
      </c>
      <c r="X28" s="188">
        <f t="shared" si="24"/>
        <v>1</v>
      </c>
      <c r="Y28" s="62">
        <f t="shared" si="5"/>
        <v>23.296299999999999</v>
      </c>
      <c r="Z28" s="62">
        <f t="shared" si="6"/>
        <v>1.7999999999999999E-2</v>
      </c>
      <c r="AA28" s="62">
        <f t="shared" si="7"/>
        <v>23.278299999999998</v>
      </c>
      <c r="AB28" s="59" t="e">
        <f>VLOOKUP(A28,Enforcements!$C$7:$K$13,8,0)</f>
        <v>#N/A</v>
      </c>
      <c r="AC28" s="55" t="e">
        <f>VLOOKUP(A28,Enforcements!$C$7:$E$13,3,0)</f>
        <v>#N/A</v>
      </c>
      <c r="AD28" s="56" t="str">
        <f t="shared" si="8"/>
        <v>0112-20</v>
      </c>
      <c r="AE28" s="85" t="str">
        <f t="shared" si="9"/>
        <v>aws s3 cp s3://rtdc.mdm.uploadarchive.raw/RTDC4030/ "%USERPROFILE%\AppData\Local\Temp\OnboardLogs"\RTDC4030\2017-02-20 --exclude "*" --recursive --include "*20170220*" &amp; "%USERPROFILE%\Documents\GitHub\mrs-test-scripts\Headless Mode &amp; Sideloading\WalkAndUnGZ.bat" "%USERPROFILE%\AppData\Local\Temp\OnboardLogs"\RTDC4030\2017-02-20 &amp; aws s3 cp s3://rtdc.mdm.uploadarchive.raw/RTDC4030/ "%USERPROFILE%\AppData\Local\Temp\OnboardLogs"\RTDC4030\2017-02-21 --exclude "*" --recursive --include "*20170221*" &amp; "%USERPROFILE%\Documents\GitHub\mrs-test-scripts\Headless Mode &amp; Sideloading\WalkAndUnGZ.bat" "%USERPROFILE%\AppData\Local\Temp\OnboardLogs"\RTDC4030\2017-02-21</v>
      </c>
      <c r="AF28" s="82" t="str">
        <f t="shared" si="10"/>
        <v>"C:\Program Files (x86)\AstroGrep\AstroGrep.exe" /spath="%USERPROFILE%\AppData\Local\Temp\OnboardLogs" /stypes="app*4030*20170220*" /stext=" 13:.+((SYSTEM_STATE.+slice.+state.+changed )|(ment ac)|(multiple cpu faults)|(system.+state.+changed )|(\[timeout)|(PRM\|1\|D)|(kpr)|(kdp)|(\|lc)|(penalty))" /e /r /s</v>
      </c>
      <c r="AG28" s="1" t="str">
        <f t="shared" si="11"/>
        <v>EC</v>
      </c>
      <c r="AH28" s="86" t="str">
        <f t="shared" si="15"/>
        <v>"%USERPROFILE%\Documents\GitHub\eaglep3\Utilities\RefineRTDCRunTimes.py" --tripid 112-20 --locoid 4030 --swversion DE.1.0.9.0 --startMP 204:232963 --initTime 2017-02-20T05:42:02 --startdatetime 2017-02-20T05:56:34 --delay 1 --endMP 204:180 --enddatetime 2017-02-20T06:34:54 --enforcementcount 0 &gt;&gt;C:\Users\stu\Documents\GitHub\eaglep3-reporting\EC\2017-02-20-refined-times.txt</v>
      </c>
      <c r="AI28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{"issue":{"subject":"","project_id":79,"tracker_id":40,"status_id":1,"priority_id":2,"assigned_to_id":23,"start_date":"2017-02-20","description":"","custom_fields":[{"id":1,"name":"Subdivision","value":"EC"},{"id":4,"name":"Milepost","value":"0.018"},{"id":17,"name":"Train ID","value":"112-20"},{"id":16,"name":"Locomotive ID","value":"4030"},{"id":130,"name":"Impact","value":""},{"id":150,"name":"Time of Event (Mountain Time)","value":"06:34:54"},{"id":151,"name":"Denver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48"/>
      <c r="AK28" s="48"/>
      <c r="AL28" s="48"/>
      <c r="AM28" s="154" t="str">
        <f t="shared" si="17"/>
        <v>start /low /b %USERPROFILE%\Documents\GitHub\eaglep3\Utilities\DownloadLogsFromS3.py --loco 4030 --day 2017-02-20</v>
      </c>
      <c r="AN28" s="163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"%USERPROFILE%\AppData\Local\Temp\OnboardLogs"\RTDC4030\*4030*20170220* | grep -SE "(Enforcement Action)|(\[TIMEOUT)|(CHR.+\|PRM\|1\|D.+(SWITCH|SIGNAL).+UNKNOWN)" - &gt;&gt; 2017-02-20-UncaughtWiMAX.txt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510</v>
      </c>
      <c r="B29" s="7">
        <v>4003</v>
      </c>
      <c r="C29" s="21" t="s">
        <v>408</v>
      </c>
      <c r="D29" s="21" t="s">
        <v>332</v>
      </c>
      <c r="E29" s="13">
        <v>42786.212719907409</v>
      </c>
      <c r="F29" s="13">
        <v>42786.218946759262</v>
      </c>
      <c r="G29" s="7">
        <v>1</v>
      </c>
      <c r="H29" s="21" t="s">
        <v>440</v>
      </c>
      <c r="I29" s="13">
        <v>42786.244525462964</v>
      </c>
      <c r="J29" s="7">
        <v>0</v>
      </c>
      <c r="K29" s="98" t="str">
        <f t="shared" si="0"/>
        <v>4003/4004</v>
      </c>
      <c r="L29" s="21" t="str">
        <f>VLOOKUP(A29,'Trips&amp;Operators'!$C$1:$G$99999,5,FALSE)</f>
        <v>SANTIZO D. EDY</v>
      </c>
      <c r="M29" s="6">
        <f t="shared" si="1"/>
        <v>2.5578703702194616E-2</v>
      </c>
      <c r="N29" s="7">
        <f t="shared" si="22"/>
        <v>36.833333331160247</v>
      </c>
      <c r="O29" s="7"/>
      <c r="P29" s="7"/>
      <c r="Q29" s="22"/>
      <c r="R29" s="22"/>
      <c r="S29" s="31">
        <f t="shared" si="23"/>
        <v>1</v>
      </c>
      <c r="T29" s="46" t="str">
        <f t="shared" si="2"/>
        <v>NorthBound</v>
      </c>
      <c r="U29" s="186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7" t="str">
        <f t="shared" si="3"/>
        <v>https://d0f6bd738d7f1b3e5a7ca70fe4ff75f0.us-east-1.aws.found.io/app/kibana#/discover/Steve-Slow-Train-Analysis-(2080s-and-2083s)?_g=(refreshInterval:(display:Off,pause:!f,section:0,value:0),time:(from:'2017-02-20T04:06:19-0700',mode:absolute,to:'2017-02-20T06:52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9" s="188" t="str">
        <f t="shared" si="4"/>
        <v>N</v>
      </c>
      <c r="X29" s="188">
        <f t="shared" si="24"/>
        <v>1</v>
      </c>
      <c r="Y29" s="62">
        <f t="shared" si="5"/>
        <v>7.5399999999999995E-2</v>
      </c>
      <c r="Z29" s="62">
        <f t="shared" si="6"/>
        <v>23.3323</v>
      </c>
      <c r="AA29" s="62">
        <f t="shared" si="7"/>
        <v>23.256900000000002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 t="shared" si="8"/>
        <v>0113-20</v>
      </c>
      <c r="AE29" s="85" t="str">
        <f t="shared" si="9"/>
        <v>aws s3 cp s3://rtdc.mdm.uploadarchive.raw/RTDC4003/ "%USERPROFILE%\AppData\Local\Temp\OnboardLogs"\RTDC4003\2017-02-20 --exclude "*" --recursive --include "*20170220*" &amp; "%USERPROFILE%\Documents\GitHub\mrs-test-scripts\Headless Mode &amp; Sideloading\WalkAndUnGZ.bat" "%USERPROFILE%\AppData\Local\Temp\OnboardLogs"\RTDC4003\2017-02-20 &amp; aws s3 cp s3://rtdc.mdm.uploadarchive.raw/RTDC4003/ "%USERPROFILE%\AppData\Local\Temp\OnboardLogs"\RTDC4003\2017-02-21 --exclude "*" --recursive --include "*20170221*" &amp; "%USERPROFILE%\Documents\GitHub\mrs-test-scripts\Headless Mode &amp; Sideloading\WalkAndUnGZ.bat" "%USERPROFILE%\AppData\Local\Temp\OnboardLogs"\RTDC4003\2017-02-21</v>
      </c>
      <c r="AF29" s="82" t="str">
        <f t="shared" si="10"/>
        <v>"C:\Program Files (x86)\AstroGrep\AstroGrep.exe" /spath="%USERPROFILE%\AppData\Local\Temp\OnboardLogs" /stypes="app*4003*20170220*" /stext=" 12:.+((SYSTEM_STATE.+slice.+state.+changed )|(ment ac)|(multiple cpu faults)|(system.+state.+changed )|(\[timeout)|(PRM\|1\|D)|(kpr)|(kdp)|(\|lc)|(penalty))" /e /r /s</v>
      </c>
      <c r="AG29" s="1" t="str">
        <f t="shared" si="11"/>
        <v>EC</v>
      </c>
      <c r="AH29" s="86" t="str">
        <f t="shared" si="15"/>
        <v>"%USERPROFILE%\Documents\GitHub\eaglep3\Utilities\RefineRTDCRunTimes.py" --tripid 113-20 --locoid 4003 --swversion DE.1.0.9.0 --startMP 204:754 --initTime 2017-02-20T05:06:19 --startdatetime 2017-02-20T05:15:17 --delay 1 --endMP 204:233323 --enddatetime 2017-02-20T05:52:07 --enforcementcount 0 &gt;&gt;C:\Users\stu\Documents\GitHub\eaglep3-reporting\EC\2017-02-20-refined-times.txt</v>
      </c>
      <c r="AI29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{"issue":{"subject":"","project_id":79,"tracker_id":40,"status_id":1,"priority_id":2,"assigned_to_id":23,"start_date":"2017-02-20","description":"","custom_fields":[{"id":1,"name":"Subdivision","value":"EC"},{"id":4,"name":"Milepost","value":"23.3323"},{"id":17,"name":"Train ID","value":"113-20"},{"id":16,"name":"Locomotive ID","value":"4003"},{"id":130,"name":"Impact","value":""},{"id":150,"name":"Time of Event (Mountain Time)","value":"05:52:07"},{"id":151,"name":"Denver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48"/>
      <c r="AK29" s="48"/>
      <c r="AL29" s="48"/>
      <c r="AM29" s="154" t="str">
        <f t="shared" si="17"/>
        <v>start /low /b %USERPROFILE%\Documents\GitHub\eaglep3\Utilities\DownloadLogsFromS3.py --loco 4003 --day 2017-02-20</v>
      </c>
      <c r="AN29" s="163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"%USERPROFILE%\AppData\Local\Temp\OnboardLogs"\RTDC4003\*4003*20170220* | grep -SE "(Enforcement Action)|(\[TIMEOUT)|(CHR.+\|PRM\|1\|D.+(SWITCH|SIGNAL).+UNKNOWN)" - &gt;&gt; 2017-02-20-UncaughtWiMAX.txt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458</v>
      </c>
      <c r="B30" s="7">
        <v>4004</v>
      </c>
      <c r="C30" s="21" t="s">
        <v>408</v>
      </c>
      <c r="D30" s="21" t="s">
        <v>275</v>
      </c>
      <c r="E30" s="13">
        <v>42786.246296296296</v>
      </c>
      <c r="F30" s="13">
        <v>42786.2578587963</v>
      </c>
      <c r="G30" s="7">
        <v>1</v>
      </c>
      <c r="H30" s="21" t="s">
        <v>207</v>
      </c>
      <c r="I30" s="13">
        <v>42786.284085648149</v>
      </c>
      <c r="J30" s="7">
        <v>0</v>
      </c>
      <c r="K30" s="98" t="str">
        <f t="shared" si="0"/>
        <v>4003/4004</v>
      </c>
      <c r="L30" s="21" t="str">
        <f>VLOOKUP(A30,'Trips&amp;Operators'!$C$1:$G$99999,5,FALSE)</f>
        <v>SANTIZO D. EDY</v>
      </c>
      <c r="M30" s="6">
        <f t="shared" si="1"/>
        <v>2.622685184906004E-2</v>
      </c>
      <c r="N30" s="7">
        <f t="shared" si="22"/>
        <v>37.766666662646458</v>
      </c>
      <c r="O30" s="7"/>
      <c r="P30" s="7"/>
      <c r="Q30" s="22"/>
      <c r="R30" s="22"/>
      <c r="S30" s="31">
        <f t="shared" si="23"/>
        <v>1</v>
      </c>
      <c r="T30" s="46" t="str">
        <f t="shared" si="2"/>
        <v>Southbound</v>
      </c>
      <c r="U30" s="186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7" t="str">
        <f t="shared" si="3"/>
        <v>https://d0f6bd738d7f1b3e5a7ca70fe4ff75f0.us-east-1.aws.found.io/app/kibana#/discover/Steve-Slow-Train-Analysis-(2080s-and-2083s)?_g=(refreshInterval:(display:Off,pause:!f,section:0,value:0),time:(from:'2017-02-20T04:54:40-0700',mode:absolute,to:'2017-02-20T07:49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0" s="188" t="str">
        <f t="shared" si="4"/>
        <v>N</v>
      </c>
      <c r="X30" s="188">
        <f t="shared" si="24"/>
        <v>1</v>
      </c>
      <c r="Y30" s="62">
        <f t="shared" si="5"/>
        <v>23.299600000000002</v>
      </c>
      <c r="Z30" s="62">
        <f t="shared" si="6"/>
        <v>1.5800000000000002E-2</v>
      </c>
      <c r="AA30" s="62">
        <f t="shared" si="7"/>
        <v>23.283800000000003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 t="shared" si="8"/>
        <v>0114-20</v>
      </c>
      <c r="AE30" s="85" t="str">
        <f t="shared" si="9"/>
        <v>aws s3 cp s3://rtdc.mdm.uploadarchive.raw/RTDC4004/ "%USERPROFILE%\AppData\Local\Temp\OnboardLogs"\RTDC4004\2017-02-20 --exclude "*" --recursive --include "*20170220*" &amp; "%USERPROFILE%\Documents\GitHub\mrs-test-scripts\Headless Mode &amp; Sideloading\WalkAndUnGZ.bat" "%USERPROFILE%\AppData\Local\Temp\OnboardLogs"\RTDC4004\2017-02-20 &amp; aws s3 cp s3://rtdc.mdm.uploadarchive.raw/RTDC4004/ "%USERPROFILE%\AppData\Local\Temp\OnboardLogs"\RTDC4004\2017-02-21 --exclude "*" --recursive --include "*20170221*" &amp; "%USERPROFILE%\Documents\GitHub\mrs-test-scripts\Headless Mode &amp; Sideloading\WalkAndUnGZ.bat" "%USERPROFILE%\AppData\Local\Temp\OnboardLogs"\RTDC4004\2017-02-21</v>
      </c>
      <c r="AF30" s="82" t="str">
        <f t="shared" si="10"/>
        <v>"C:\Program Files (x86)\AstroGrep\AstroGrep.exe" /spath="%USERPROFILE%\AppData\Local\Temp\OnboardLogs" /stypes="app*4004*20170220*" /stext=" 13:.+((SYSTEM_STATE.+slice.+state.+changed )|(ment ac)|(multiple cpu faults)|(system.+state.+changed )|(\[timeout)|(PRM\|1\|D)|(kpr)|(kdp)|(\|lc)|(penalty))" /e /r /s</v>
      </c>
      <c r="AG30" s="1" t="str">
        <f t="shared" si="11"/>
        <v>EC</v>
      </c>
      <c r="AH30" s="86" t="str">
        <f t="shared" si="15"/>
        <v>"%USERPROFILE%\Documents\GitHub\eaglep3\Utilities\RefineRTDCRunTimes.py" --tripid 114-20 --locoid 4004 --swversion DE.1.0.9.0 --startMP 204:232996 --initTime 2017-02-20T05:54:40 --startdatetime 2017-02-20T06:11:19 --delay 1 --endMP 204:158 --enddatetime 2017-02-20T06:49:05 --enforcementcount 0 &gt;&gt;C:\Users\stu\Documents\GitHub\eaglep3-reporting\EC\2017-02-20-refined-times.txt</v>
      </c>
      <c r="AI30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{"issue":{"subject":"","project_id":79,"tracker_id":40,"status_id":1,"priority_id":2,"assigned_to_id":23,"start_date":"2017-02-20","description":"","custom_fields":[{"id":1,"name":"Subdivision","value":"EC"},{"id":4,"name":"Milepost","value":"0.0158"},{"id":17,"name":"Train ID","value":"114-20"},{"id":16,"name":"Locomotive ID","value":"4004"},{"id":130,"name":"Impact","value":""},{"id":150,"name":"Time of Event (Mountain Time)","value":"06:49:05"},{"id":151,"name":"Denver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48"/>
      <c r="AK30" s="48"/>
      <c r="AL30" s="48"/>
      <c r="AM30" s="154" t="str">
        <f t="shared" si="17"/>
        <v>start /low /b %USERPROFILE%\Documents\GitHub\eaglep3\Utilities\DownloadLogsFromS3.py --loco 4004 --day 2017-02-20</v>
      </c>
      <c r="AN30" s="163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"%USERPROFILE%\AppData\Local\Temp\OnboardLogs"\RTDC4004\*4004*20170220* | grep -SE "(Enforcement Action)|(\[TIMEOUT)|(CHR.+\|PRM\|1\|D.+(SWITCH|SIGNAL).+UNKNOWN)" - &gt;&gt; 2017-02-20-UncaughtWiMAX.txt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511</v>
      </c>
      <c r="B31" s="7">
        <v>4016</v>
      </c>
      <c r="C31" s="21" t="s">
        <v>408</v>
      </c>
      <c r="D31" s="21" t="s">
        <v>256</v>
      </c>
      <c r="E31" s="13">
        <v>42786.220567129632</v>
      </c>
      <c r="F31" s="13">
        <v>42786.229363425926</v>
      </c>
      <c r="G31" s="7">
        <v>1</v>
      </c>
      <c r="H31" s="21" t="s">
        <v>717</v>
      </c>
      <c r="I31" s="13">
        <v>42786.255046296297</v>
      </c>
      <c r="J31" s="7">
        <v>0</v>
      </c>
      <c r="K31" s="98" t="str">
        <f t="shared" si="0"/>
        <v>4015/4016</v>
      </c>
      <c r="L31" s="21" t="str">
        <f>VLOOKUP(A31,'Trips&amp;Operators'!$C$1:$G$99999,5,FALSE)</f>
        <v>ROBINSON KADDIBA</v>
      </c>
      <c r="M31" s="6">
        <f t="shared" si="1"/>
        <v>2.5682870371383615E-2</v>
      </c>
      <c r="N31" s="7">
        <f t="shared" si="22"/>
        <v>36.983333334792405</v>
      </c>
      <c r="O31" s="7"/>
      <c r="P31" s="7"/>
      <c r="Q31" s="22"/>
      <c r="R31" s="22"/>
      <c r="S31" s="31">
        <f t="shared" si="23"/>
        <v>1</v>
      </c>
      <c r="T31" s="46" t="str">
        <f t="shared" si="2"/>
        <v>NorthBound</v>
      </c>
      <c r="U31" s="186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7" t="str">
        <f t="shared" si="3"/>
        <v>https://d0f6bd738d7f1b3e5a7ca70fe4ff75f0.us-east-1.aws.found.io/app/kibana#/discover/Steve-Slow-Train-Analysis-(2080s-and-2083s)?_g=(refreshInterval:(display:Off,pause:!f,section:0,value:0),time:(from:'2017-02-20T04:17:37-0700',mode:absolute,to:'2017-02-20T07:07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1" s="188" t="str">
        <f t="shared" si="4"/>
        <v>N</v>
      </c>
      <c r="X31" s="188">
        <f t="shared" si="24"/>
        <v>1</v>
      </c>
      <c r="Y31" s="62">
        <f t="shared" si="5"/>
        <v>4.6699999999999998E-2</v>
      </c>
      <c r="Z31" s="62">
        <f t="shared" si="6"/>
        <v>23.328600000000002</v>
      </c>
      <c r="AA31" s="62">
        <f t="shared" si="7"/>
        <v>23.2819</v>
      </c>
      <c r="AB31" s="59" t="e">
        <f>VLOOKUP(A31,Enforcements!$C$7:$K$13,8,0)</f>
        <v>#N/A</v>
      </c>
      <c r="AC31" s="55" t="e">
        <f>VLOOKUP(A31,Enforcements!$C$7:$E$13,3,0)</f>
        <v>#N/A</v>
      </c>
      <c r="AD31" s="56" t="str">
        <f t="shared" si="8"/>
        <v>0115-20</v>
      </c>
      <c r="AE31" s="85" t="str">
        <f t="shared" si="9"/>
        <v>aws s3 cp s3://rtdc.mdm.uploadarchive.raw/RTDC4016/ "%USERPROFILE%\AppData\Local\Temp\OnboardLogs"\RTDC4016\2017-02-20 --exclude "*" --recursive --include "*20170220*" &amp; "%USERPROFILE%\Documents\GitHub\mrs-test-scripts\Headless Mode &amp; Sideloading\WalkAndUnGZ.bat" "%USERPROFILE%\AppData\Local\Temp\OnboardLogs"\RTDC4016\2017-02-20 &amp; aws s3 cp s3://rtdc.mdm.uploadarchive.raw/RTDC4016/ "%USERPROFILE%\AppData\Local\Temp\OnboardLogs"\RTDC4016\2017-02-21 --exclude "*" --recursive --include "*20170221*" &amp; "%USERPROFILE%\Documents\GitHub\mrs-test-scripts\Headless Mode &amp; Sideloading\WalkAndUnGZ.bat" "%USERPROFILE%\AppData\Local\Temp\OnboardLogs"\RTDC4016\2017-02-21</v>
      </c>
      <c r="AF31" s="82" t="str">
        <f t="shared" si="10"/>
        <v>"C:\Program Files (x86)\AstroGrep\AstroGrep.exe" /spath="%USERPROFILE%\AppData\Local\Temp\OnboardLogs" /stypes="app*4016*20170220*" /stext=" 13:.+((SYSTEM_STATE.+slice.+state.+changed )|(ment ac)|(multiple cpu faults)|(system.+state.+changed )|(\[timeout)|(PRM\|1\|D)|(kpr)|(kdp)|(\|lc)|(penalty))" /e /r /s</v>
      </c>
      <c r="AG31" s="1" t="str">
        <f t="shared" si="11"/>
        <v>EC</v>
      </c>
      <c r="AH31" s="86" t="str">
        <f t="shared" si="15"/>
        <v>"%USERPROFILE%\Documents\GitHub\eaglep3\Utilities\RefineRTDCRunTimes.py" --tripid 115-20 --locoid 4016 --swversion DE.1.0.9.0 --startMP 204:467 --initTime 2017-02-20T05:17:37 --startdatetime 2017-02-20T05:30:17 --delay 1 --endMP 204:233286 --enddatetime 2017-02-20T06:07:16 --enforcementcount 0 &gt;&gt;C:\Users\stu\Documents\GitHub\eaglep3-reporting\EC\2017-02-20-refined-times.txt</v>
      </c>
      <c r="AI31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{"issue":{"subject":"","project_id":79,"tracker_id":40,"status_id":1,"priority_id":2,"assigned_to_id":23,"start_date":"2017-02-20","description":"","custom_fields":[{"id":1,"name":"Subdivision","value":"EC"},{"id":4,"name":"Milepost","value":"23.3286"},{"id":17,"name":"Train ID","value":"115-20"},{"id":16,"name":"Locomotive ID","value":"4016"},{"id":130,"name":"Impact","value":""},{"id":150,"name":"Time of Event (Mountain Time)","value":"06:07:16"},{"id":151,"name":"Denver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48"/>
      <c r="AK31" s="48"/>
      <c r="AL31" s="48"/>
      <c r="AM31" s="154" t="str">
        <f t="shared" si="17"/>
        <v>start /low /b %USERPROFILE%\Documents\GitHub\eaglep3\Utilities\DownloadLogsFromS3.py --loco 4016 --day 2017-02-20</v>
      </c>
      <c r="AN31" s="163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"%USERPROFILE%\AppData\Local\Temp\OnboardLogs"\RTDC4016\*4016*20170220* | grep -SE "(Enforcement Action)|(\[TIMEOUT)|(CHR.+\|PRM\|1\|D.+(SWITCH|SIGNAL).+UNKNOWN)" - &gt;&gt; 2017-02-20-UncaughtWiMAX.txt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456</v>
      </c>
      <c r="B32" s="7">
        <v>4015</v>
      </c>
      <c r="C32" s="21" t="s">
        <v>408</v>
      </c>
      <c r="D32" s="21" t="s">
        <v>718</v>
      </c>
      <c r="E32" s="13">
        <v>42786.263993055552</v>
      </c>
      <c r="F32" s="13">
        <v>42786.268217592595</v>
      </c>
      <c r="G32" s="7">
        <v>1</v>
      </c>
      <c r="H32" s="21" t="s">
        <v>288</v>
      </c>
      <c r="I32" s="13">
        <v>42786.296932870369</v>
      </c>
      <c r="J32" s="7">
        <v>0</v>
      </c>
      <c r="K32" s="98" t="str">
        <f t="shared" si="0"/>
        <v>4015/4016</v>
      </c>
      <c r="L32" s="21" t="str">
        <f>VLOOKUP(A32,'Trips&amp;Operators'!$C$1:$G$99999,5,FALSE)</f>
        <v>SANTIZO D. EDY</v>
      </c>
      <c r="M32" s="6">
        <f t="shared" si="1"/>
        <v>2.8715277774608694E-2</v>
      </c>
      <c r="N32" s="7">
        <f t="shared" si="22"/>
        <v>41.349999995436519</v>
      </c>
      <c r="O32" s="7"/>
      <c r="P32" s="7"/>
      <c r="Q32" s="22"/>
      <c r="R32" s="22"/>
      <c r="S32" s="31">
        <f t="shared" si="23"/>
        <v>1</v>
      </c>
      <c r="T32" s="46" t="str">
        <f t="shared" si="2"/>
        <v>Southbound</v>
      </c>
      <c r="U32" s="186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7" t="str">
        <f t="shared" si="3"/>
        <v>https://d0f6bd738d7f1b3e5a7ca70fe4ff75f0.us-east-1.aws.found.io/app/kibana#/discover/Steve-Slow-Train-Analysis-(2080s-and-2083s)?_g=(refreshInterval:(display:Off,pause:!f,section:0,value:0),time:(from:'2017-02-20T05:20:09-0700',mode:absolute,to:'2017-02-20T08:07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2" s="188" t="str">
        <f t="shared" si="4"/>
        <v>N</v>
      </c>
      <c r="X32" s="188">
        <f t="shared" si="24"/>
        <v>1</v>
      </c>
      <c r="Y32" s="62">
        <f t="shared" si="5"/>
        <v>23.2971</v>
      </c>
      <c r="Z32" s="62">
        <f t="shared" si="6"/>
        <v>1.5599999999999999E-2</v>
      </c>
      <c r="AA32" s="62">
        <f t="shared" si="7"/>
        <v>23.281500000000001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 t="shared" si="8"/>
        <v>0116-20</v>
      </c>
      <c r="AE32" s="85" t="str">
        <f t="shared" si="9"/>
        <v>aws s3 cp s3://rtdc.mdm.uploadarchive.raw/RTDC4015/ "%USERPROFILE%\AppData\Local\Temp\OnboardLogs"\RTDC4015\2017-02-20 --exclude "*" --recursive --include "*20170220*" &amp; "%USERPROFILE%\Documents\GitHub\mrs-test-scripts\Headless Mode &amp; Sideloading\WalkAndUnGZ.bat" "%USERPROFILE%\AppData\Local\Temp\OnboardLogs"\RTDC4015\2017-02-20 &amp; aws s3 cp s3://rtdc.mdm.uploadarchive.raw/RTDC4015/ "%USERPROFILE%\AppData\Local\Temp\OnboardLogs"\RTDC4015\2017-02-21 --exclude "*" --recursive --include "*20170221*" &amp; "%USERPROFILE%\Documents\GitHub\mrs-test-scripts\Headless Mode &amp; Sideloading\WalkAndUnGZ.bat" "%USERPROFILE%\AppData\Local\Temp\OnboardLogs"\RTDC4015\2017-02-21</v>
      </c>
      <c r="AF32" s="82" t="str">
        <f t="shared" si="10"/>
        <v>"C:\Program Files (x86)\AstroGrep\AstroGrep.exe" /spath="%USERPROFILE%\AppData\Local\Temp\OnboardLogs" /stypes="app*4015*20170220*" /stext=" 14:.+((SYSTEM_STATE.+slice.+state.+changed )|(ment ac)|(multiple cpu faults)|(system.+state.+changed )|(\[timeout)|(PRM\|1\|D)|(kpr)|(kdp)|(\|lc)|(penalty))" /e /r /s</v>
      </c>
      <c r="AG32" s="1" t="str">
        <f t="shared" si="11"/>
        <v>EC</v>
      </c>
      <c r="AH32" s="86" t="str">
        <f t="shared" si="15"/>
        <v>"%USERPROFILE%\Documents\GitHub\eaglep3\Utilities\RefineRTDCRunTimes.py" --tripid 116-20 --locoid 4015 --swversion DE.1.0.9.0 --startMP 204:232971 --initTime 2017-02-20T06:20:09 --startdatetime 2017-02-20T06:26:14 --delay 1 --endMP 204:156 --enddatetime 2017-02-20T07:07:35 --enforcementcount 0 &gt;&gt;C:\Users\stu\Documents\GitHub\eaglep3-reporting\EC\2017-02-20-refined-times.txt</v>
      </c>
      <c r="AI32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{"issue":{"subject":"","project_id":79,"tracker_id":40,"status_id":1,"priority_id":2,"assigned_to_id":23,"start_date":"2017-02-20","description":"","custom_fields":[{"id":1,"name":"Subdivision","value":"EC"},{"id":4,"name":"Milepost","value":"0.0156"},{"id":17,"name":"Train ID","value":"116-20"},{"id":16,"name":"Locomotive ID","value":"4015"},{"id":130,"name":"Impact","value":""},{"id":150,"name":"Time of Event (Mountain Time)","value":"07:07:35"},{"id":151,"name":"Denver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48"/>
      <c r="AK32" s="48"/>
      <c r="AL32" s="48"/>
      <c r="AM32" s="154" t="str">
        <f t="shared" si="17"/>
        <v>start /low /b %USERPROFILE%\Documents\GitHub\eaglep3\Utilities\DownloadLogsFromS3.py --loco 4015 --day 2017-02-20</v>
      </c>
      <c r="AN32" s="163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"%USERPROFILE%\AppData\Local\Temp\OnboardLogs"\RTDC4015\*4015*20170220* | grep -SE "(Enforcement Action)|(\[TIMEOUT)|(CHR.+\|PRM\|1\|D.+(SWITCH|SIGNAL).+UNKNOWN)" - &gt;&gt; 2017-02-20-UncaughtWiMAX.txt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891</v>
      </c>
      <c r="B33" s="7"/>
      <c r="C33" s="21" t="s">
        <v>408</v>
      </c>
      <c r="D33" s="21" t="s">
        <v>718</v>
      </c>
      <c r="E33" s="13">
        <v>42786.263993055552</v>
      </c>
      <c r="F33" s="13"/>
      <c r="G33" s="7"/>
      <c r="H33" s="21"/>
      <c r="I33" s="13"/>
      <c r="J33" s="7">
        <v>0</v>
      </c>
      <c r="K33" s="98" t="str">
        <f t="shared" ref="K33:K34" si="25">IF(ISEVEN(B33),(B33-1)&amp;"/"&amp;B33,B33&amp;"/"&amp;(B33+1))</f>
        <v>-1/</v>
      </c>
      <c r="L33" s="21" t="e">
        <f>VLOOKUP(A33,'Trips&amp;Operators'!$C$1:$G$99999,5,FALSE)</f>
        <v>#N/A</v>
      </c>
      <c r="M33" s="6">
        <f t="shared" ref="M33:M34" si="26">I33-F33</f>
        <v>0</v>
      </c>
      <c r="N33" s="7"/>
      <c r="O33" s="7"/>
      <c r="P33" s="7">
        <v>1</v>
      </c>
      <c r="Q33" s="22"/>
      <c r="R33" s="22" t="s">
        <v>447</v>
      </c>
      <c r="S33" s="31">
        <f t="shared" ref="S33:S34" si="27">SUM(U33:U33)/IF(AG33="EC",12,1)</f>
        <v>0</v>
      </c>
      <c r="T33" s="46" t="str">
        <f t="shared" ref="T33:T34" si="28">IF(ISEVEN(LEFT(AD33,4)),"Southbound","NorthBound")</f>
        <v>NorthBound</v>
      </c>
      <c r="U33" s="186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0</v>
      </c>
      <c r="V33" s="187" t="str">
        <f t="shared" si="3"/>
        <v>https://d0f6bd738d7f1b3e5a7ca70fe4ff75f0.us-east-1.aws.found.io/app/kibana#/discover/Steve-Slow-Train-Analysis-(2080s-and-2083s)?_g=(refreshInterval:(display:Off,pause:!f,section:0,value:0),time:(from:'2017-02-20T05:20:09-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33" s="188" t="str">
        <f t="shared" ref="W33:W34" si="29">IF(AA33&lt;IF(AG33="EC",23,5.65),"Y","N")</f>
        <v>Y</v>
      </c>
      <c r="X33" s="188">
        <f t="shared" ref="X33:X35" si="30">VALUE(LEFT(AD33,4))-VALUE(LEFT(AD32,4))</f>
        <v>1</v>
      </c>
      <c r="Y33" s="62">
        <v>0</v>
      </c>
      <c r="Z33" s="62">
        <v>0</v>
      </c>
      <c r="AA33" s="62">
        <f t="shared" ref="AA33:AA34" si="31">ABS(Z33-Y33)</f>
        <v>0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 t="shared" ref="AD33:AD34" si="32">IF(LEN(A33)=6,"0"&amp;A33,A33)</f>
        <v>0117-20</v>
      </c>
      <c r="AE33" s="85" t="str">
        <f t="shared" si="9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33" s="82" t="str">
        <f t="shared" si="10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33" s="1" t="str">
        <f t="shared" ref="AG33:AG34" si="33">IFERROR(IF(VALUE(LEFT(AD33,2))&lt;=2,"EC",IF(OR(VALUE(LEFT(AD33,2))=8,VALUE(LEFT(AD33,2))=18),"NW","Other")),"Other")</f>
        <v>EC</v>
      </c>
      <c r="AH33" s="86" t="str">
        <f t="shared" ref="AH33:AH34" si="34">refinertdcruntimes&amp;" --tripid "&amp;A33&amp;" --locoid "&amp;B33&amp;" --swversion "&amp;C33&amp;" --startMP "&amp;D33&amp;" --initTime "&amp;TEXT(E33,"yyyy-mm-ddTHH:MM:SS")&amp;" --startdatetime "&amp;TEXT(F33,"yyyy-mm-ddTHH:MM:SS")&amp;" --delay "&amp;G33&amp;" --endMP "&amp;H33&amp;" --enddatetime "&amp;TEXT(I33,"yyyy-mm-ddTHH:MM:SS")&amp;" --enforcementcount "&amp;J33&amp;IF(outputrefinedruntimes," &gt;&gt;"&amp;RefinedRTDCRunTimesOutputFile,"")</f>
        <v>"%USERPROFILE%\Documents\GitHub\eaglep3\Utilities\RefineRTDCRunTimes.py" --tripid 117-20 --locoid  --swversion DE.1.0.9.0 --startMP 204:232971 --initTime 2017-02-20T06:20:09 --startdatetime 1900-01-00T00:00:00 --delay  --endMP  --enddatetime 1900-01-00T00:00:00 --enforcementcount 0 &gt;&gt;C:\Users\stu\Documents\GitHub\eaglep3-reporting\EC\2017-02-20-refined-times.txt</v>
      </c>
      <c r="AI33" s="108" t="str">
        <f t="shared" ref="AI33:AI34" si="35">"echo {""issue"":{""subject"":"""&amp;R33&amp;""",""project_id"":79,""tracker_id"":40,""status_id"":"&amp;redmine_status&amp;",""priority_id"":"&amp;redmine_priority&amp;",""assigned_to_id"":"&amp;redmine_assignee&amp;",""start_date"":"""&amp;TEXT(I33,"YYYY-mm-dd")&amp;""",""description"":"""&amp;AJ33&amp;""",""custom_fields"":[{""id"":1,""name"":""Subdivision"",""value"":"""&amp;AG33&amp;"""},{""id"":4,""name"":""Milepost"",""value"":"""&amp;Z33&amp;"""},{""id"":17,""name"":""Train ID"",""value"":"""&amp;A33&amp;"""},{""id"":16,""name"":""Locomotive ID"",""value"":"""&amp;B33&amp;"""},{""id"":130,""name"":""Impact"",""value"":"""&amp;AK33&amp;"""},{""id"":150,""name"":""Time of Event (Mountain Time)"",""value"":"""&amp;TEXT(I33,"hh:mm:ss")&amp;"""},{""id"":151,""name"":""Denver Issue ID"",""value"":"""&amp;"""},{""id"":178,""name"":""Operational Impact"",""value"":"""&amp;redmine_op_impact&amp;"""},{""id"":179,""name"":""Denver Segment Assigned"",""value"":"""&amp;AL33&amp;"""}]}}"&amp;" | curl -X POST -H ""Content-Type: application/json"" -H ""X-Redmine-API-Key: "&amp;redm_api_key&amp;""" "&amp;redm_url&amp;" --data @-"</f>
        <v>echo {"issue":{"subject":"CCROC/crew/equipment mismatch","project_id":79,"tracker_id":40,"status_id":1,"priority_id":2,"assigned_to_id":23,"start_date":"1900-01-00","description":"","custom_fields":[{"id":1,"name":"Subdivision","value":"EC"},{"id":4,"name":"Milepost","value":"0"},{"id":17,"name":"Train ID","value":"117-20"},{"id":16,"name":"Locomotive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48"/>
      <c r="AK33" s="48"/>
      <c r="AL33" s="48"/>
      <c r="AM33" s="154" t="str">
        <f t="shared" ref="AM33:AM34" si="36">"start /low /b "&amp;dls3logs&amp;" --loco "&amp;B33&amp;" --day "&amp;TEXT(F33,"YYYY-MM-DD")</f>
        <v>start /low /b %USERPROFILE%\Documents\GitHub\eaglep3\Utilities\DownloadLogsFromS3.py --loco  --day 1900-01-00</v>
      </c>
      <c r="AN33" s="163" t="e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#DIV/0!</v>
      </c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20"/>
      <c r="BI33" s="20"/>
      <c r="BJ33" s="20"/>
      <c r="BK33" s="20"/>
      <c r="BL33" s="20"/>
      <c r="BM33" s="20"/>
      <c r="BN33" s="20"/>
      <c r="BO33" s="20"/>
      <c r="BP33" s="20"/>
      <c r="BQ33" s="20"/>
      <c r="BR33" s="20"/>
      <c r="BS33" s="20"/>
      <c r="BT33" s="20"/>
      <c r="BU33" s="20"/>
      <c r="BV33" s="20"/>
      <c r="BW33" s="20"/>
      <c r="BX33" s="20"/>
      <c r="BY33" s="20"/>
      <c r="BZ33" s="20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</row>
    <row r="34" spans="1:91" s="1" customFormat="1" x14ac:dyDescent="0.25">
      <c r="A34" s="33" t="s">
        <v>892</v>
      </c>
      <c r="B34" s="7"/>
      <c r="C34" s="21" t="s">
        <v>408</v>
      </c>
      <c r="D34" s="21" t="s">
        <v>718</v>
      </c>
      <c r="E34" s="13">
        <v>42786.263993055552</v>
      </c>
      <c r="F34" s="13"/>
      <c r="G34" s="7"/>
      <c r="H34" s="21"/>
      <c r="I34" s="13"/>
      <c r="J34" s="7">
        <v>0</v>
      </c>
      <c r="K34" s="98" t="str">
        <f t="shared" si="25"/>
        <v>-1/</v>
      </c>
      <c r="L34" s="21" t="e">
        <f>VLOOKUP(A34,'Trips&amp;Operators'!$C$1:$G$99999,5,FALSE)</f>
        <v>#N/A</v>
      </c>
      <c r="M34" s="6">
        <f t="shared" si="26"/>
        <v>0</v>
      </c>
      <c r="N34" s="7"/>
      <c r="O34" s="7"/>
      <c r="P34" s="7">
        <v>1</v>
      </c>
      <c r="Q34" s="22"/>
      <c r="R34" s="22" t="s">
        <v>1018</v>
      </c>
      <c r="S34" s="31">
        <f t="shared" si="27"/>
        <v>0</v>
      </c>
      <c r="T34" s="46" t="str">
        <f t="shared" si="28"/>
        <v>Southbound</v>
      </c>
      <c r="U34" s="186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0</v>
      </c>
      <c r="V34" s="187" t="str">
        <f t="shared" si="3"/>
        <v>https://d0f6bd738d7f1b3e5a7ca70fe4ff75f0.us-east-1.aws.found.io/app/kibana#/discover/Steve-Slow-Train-Analysis-(2080s-and-2083s)?_g=(refreshInterval:(display:Off,pause:!f,section:0,value:0),time:(from:'2017-02-20T05:20:09-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34" s="188" t="str">
        <f t="shared" si="29"/>
        <v>Y</v>
      </c>
      <c r="X34" s="188">
        <f t="shared" si="30"/>
        <v>1</v>
      </c>
      <c r="Y34" s="62">
        <v>0</v>
      </c>
      <c r="Z34" s="62">
        <v>0</v>
      </c>
      <c r="AA34" s="62">
        <f t="shared" si="31"/>
        <v>0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 t="shared" si="32"/>
        <v>0118-20</v>
      </c>
      <c r="AE34" s="85" t="str">
        <f t="shared" si="9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34" s="82" t="str">
        <f t="shared" si="10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34" s="1" t="str">
        <f t="shared" si="33"/>
        <v>EC</v>
      </c>
      <c r="AH34" s="86" t="str">
        <f t="shared" si="34"/>
        <v>"%USERPROFILE%\Documents\GitHub\eaglep3\Utilities\RefineRTDCRunTimes.py" --tripid 118-20 --locoid  --swversion DE.1.0.9.0 --startMP 204:232971 --initTime 2017-02-20T06:20:09 --startdatetime 1900-01-00T00:00:00 --delay  --endMP  --enddatetime 1900-01-00T00:00:00 --enforcementcount 0 &gt;&gt;C:\Users\stu\Documents\GitHub\eaglep3-reporting\EC\2017-02-20-refined-times.txt</v>
      </c>
      <c r="AI34" s="108" t="str">
        <f t="shared" si="35"/>
        <v>echo {"issue":{"subject":"Unable to init","project_id":79,"tracker_id":40,"status_id":1,"priority_id":2,"assigned_to_id":23,"start_date":"1900-01-00","description":"","custom_fields":[{"id":1,"name":"Subdivision","value":"EC"},{"id":4,"name":"Milepost","value":"0"},{"id":17,"name":"Train ID","value":"118-20"},{"id":16,"name":"Locomotive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48"/>
      <c r="AK34" s="48"/>
      <c r="AL34" s="48"/>
      <c r="AM34" s="154" t="str">
        <f t="shared" si="36"/>
        <v>start /low /b %USERPROFILE%\Documents\GitHub\eaglep3\Utilities\DownloadLogsFromS3.py --loco  --day 1900-01-00</v>
      </c>
      <c r="AN34" s="163" t="e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#DIV/0!</v>
      </c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  <c r="BI34" s="20"/>
      <c r="BJ34" s="20"/>
      <c r="BK34" s="20"/>
      <c r="BL34" s="20"/>
      <c r="BM34" s="20"/>
      <c r="BN34" s="20"/>
      <c r="BO34" s="20"/>
      <c r="BP34" s="20"/>
      <c r="BQ34" s="20"/>
      <c r="BR34" s="20"/>
      <c r="BS34" s="20"/>
      <c r="BT34" s="20"/>
      <c r="BU34" s="20"/>
      <c r="BV34" s="20"/>
      <c r="BW34" s="20"/>
      <c r="BX34" s="20"/>
      <c r="BY34" s="20"/>
      <c r="BZ34" s="20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</row>
    <row r="35" spans="1:91" s="1" customFormat="1" x14ac:dyDescent="0.25">
      <c r="A35" s="33" t="s">
        <v>516</v>
      </c>
      <c r="B35" s="7">
        <v>4020</v>
      </c>
      <c r="C35" s="21" t="s">
        <v>408</v>
      </c>
      <c r="D35" s="21" t="s">
        <v>278</v>
      </c>
      <c r="E35" s="13">
        <v>42786.24423611111</v>
      </c>
      <c r="F35" s="13">
        <v>42786.250185185185</v>
      </c>
      <c r="G35" s="7">
        <v>1</v>
      </c>
      <c r="H35" s="21" t="s">
        <v>420</v>
      </c>
      <c r="I35" s="13">
        <v>42786.278715277775</v>
      </c>
      <c r="J35" s="7">
        <v>0</v>
      </c>
      <c r="K35" s="98" t="str">
        <f t="shared" ref="K35:K98" si="37">IF(ISEVEN(B35),(B35-1)&amp;"/"&amp;B35,B35&amp;"/"&amp;(B35+1))</f>
        <v>4019/4020</v>
      </c>
      <c r="L35" s="21" t="str">
        <f>VLOOKUP(A35,'Trips&amp;Operators'!$C$1:$G$99999,5,FALSE)</f>
        <v>YOUNG ELIZABETH</v>
      </c>
      <c r="M35" s="6">
        <f t="shared" ref="M35:M98" si="38">I35-F35</f>
        <v>2.8530092589790002E-2</v>
      </c>
      <c r="N35" s="7">
        <f t="shared" ref="N35:N68" si="39">24*60*SUM($M35:$M35)</f>
        <v>41.083333329297602</v>
      </c>
      <c r="O35" s="7"/>
      <c r="P35" s="7"/>
      <c r="Q35" s="22"/>
      <c r="R35" s="22"/>
      <c r="S35" s="31">
        <f t="shared" ref="S35:S66" si="40">SUM(U35:U35)/IF(AG35="EC",12,1)</f>
        <v>1</v>
      </c>
      <c r="T35" s="46" t="str">
        <f t="shared" ref="T35:T98" si="41">IF(ISEVEN(LEFT(AD35,4)),"Southbound","NorthBound")</f>
        <v>NorthBound</v>
      </c>
      <c r="U35" s="186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7" t="str">
        <f t="shared" si="3"/>
        <v>https://d0f6bd738d7f1b3e5a7ca70fe4ff75f0.us-east-1.aws.found.io/app/kibana#/discover/Steve-Slow-Train-Analysis-(2080s-and-2083s)?_g=(refreshInterval:(display:Off,pause:!f,section:0,value:0),time:(from:'2017-02-20T04:51:42-0700',mode:absolute,to:'2017-02-20T07:41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5" s="188" t="str">
        <f t="shared" ref="W35:W98" si="42">IF(AA35&lt;IF(AG35="EC",23,5.65),"Y","N")</f>
        <v>N</v>
      </c>
      <c r="X35" s="188">
        <f t="shared" si="30"/>
        <v>1</v>
      </c>
      <c r="Y35" s="62">
        <f t="shared" ref="Y35:Y98" si="43">RIGHT(D35,LEN(D35)-4)/10000</f>
        <v>4.3999999999999997E-2</v>
      </c>
      <c r="Z35" s="62">
        <f t="shared" ref="Z35:Z98" si="44">RIGHT(H35,LEN(H35)-4)/10000</f>
        <v>23.3309</v>
      </c>
      <c r="AA35" s="62">
        <f t="shared" ref="AA35:AA98" si="45">ABS(Z35-Y35)</f>
        <v>23.286899999999999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 t="shared" ref="AD35:AD98" si="46">IF(LEN(A35)=6,"0"&amp;A35,A35)</f>
        <v>0119-20</v>
      </c>
      <c r="AE35" s="85" t="str">
        <f t="shared" si="9"/>
        <v>aws s3 cp s3://rtdc.mdm.uploadarchive.raw/RTDC4020/ "%USERPROFILE%\AppData\Local\Temp\OnboardLogs"\RTDC4020\2017-02-20 --exclude "*" --recursive --include "*20170220*" &amp; "%USERPROFILE%\Documents\GitHub\mrs-test-scripts\Headless Mode &amp; Sideloading\WalkAndUnGZ.bat" "%USERPROFILE%\AppData\Local\Temp\OnboardLogs"\RTDC4020\2017-02-20 &amp; aws s3 cp s3://rtdc.mdm.uploadarchive.raw/RTDC4020/ "%USERPROFILE%\AppData\Local\Temp\OnboardLogs"\RTDC4020\2017-02-21 --exclude "*" --recursive --include "*20170221*" &amp; "%USERPROFILE%\Documents\GitHub\mrs-test-scripts\Headless Mode &amp; Sideloading\WalkAndUnGZ.bat" "%USERPROFILE%\AppData\Local\Temp\OnboardLogs"\RTDC4020\2017-02-21</v>
      </c>
      <c r="AF35" s="82" t="str">
        <f t="shared" si="10"/>
        <v>"C:\Program Files (x86)\AstroGrep\AstroGrep.exe" /spath="%USERPROFILE%\AppData\Local\Temp\OnboardLogs" /stypes="app*4020*20170220*" /stext=" 13:.+((SYSTEM_STATE.+slice.+state.+changed )|(ment ac)|(multiple cpu faults)|(system.+state.+changed )|(\[timeout)|(PRM\|1\|D)|(kpr)|(kdp)|(\|lc)|(penalty))" /e /r /s</v>
      </c>
      <c r="AG35" s="1" t="str">
        <f t="shared" ref="AG35:AG98" si="47">IFERROR(IF(VALUE(LEFT(AD35,2))&lt;=2,"EC",IF(OR(VALUE(LEFT(AD35,2))=8,VALUE(LEFT(AD35,2))=18),"NW","Other")),"Other")</f>
        <v>EC</v>
      </c>
      <c r="AH35" s="86" t="str">
        <f t="shared" si="15"/>
        <v>"%USERPROFILE%\Documents\GitHub\eaglep3\Utilities\RefineRTDCRunTimes.py" --tripid 119-20 --locoid 4020 --swversion DE.1.0.9.0 --startMP 204:440 --initTime 2017-02-20T05:51:42 --startdatetime 2017-02-20T06:00:16 --delay 1 --endMP 204:233309 --enddatetime 2017-02-20T06:41:21 --enforcementcount 0 &gt;&gt;C:\Users\stu\Documents\GitHub\eaglep3-reporting\EC\2017-02-20-refined-times.txt</v>
      </c>
      <c r="AI35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{"issue":{"subject":"","project_id":79,"tracker_id":40,"status_id":1,"priority_id":2,"assigned_to_id":23,"start_date":"2017-02-20","description":"","custom_fields":[{"id":1,"name":"Subdivision","value":"EC"},{"id":4,"name":"Milepost","value":"23.3309"},{"id":17,"name":"Train ID","value":"119-20"},{"id":16,"name":"Locomotive ID","value":"4020"},{"id":130,"name":"Impact","value":""},{"id":150,"name":"Time of Event (Mountain Time)","value":"06:41:21"},{"id":151,"name":"Denver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48"/>
      <c r="AK35" s="48"/>
      <c r="AL35" s="48"/>
      <c r="AM35" s="154" t="str">
        <f t="shared" si="17"/>
        <v>start /low /b %USERPROFILE%\Documents\GitHub\eaglep3\Utilities\DownloadLogsFromS3.py --loco 4020 --day 2017-02-20</v>
      </c>
      <c r="AN35" s="163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"%USERPROFILE%\AppData\Local\Temp\OnboardLogs"\RTDC4020\*4020*20170220* | grep -SE "(Enforcement Action)|(\[TIMEOUT)|(CHR.+\|PRM\|1\|D.+(SWITCH|SIGNAL).+UNKNOWN)" - &gt;&gt; 2017-02-20-UncaughtWiMAX.txt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459</v>
      </c>
      <c r="B36" s="7">
        <v>4019</v>
      </c>
      <c r="C36" s="21" t="s">
        <v>408</v>
      </c>
      <c r="D36" s="21" t="s">
        <v>409</v>
      </c>
      <c r="E36" s="13">
        <v>42786.280185185184</v>
      </c>
      <c r="F36" s="13">
        <v>42786.289317129631</v>
      </c>
      <c r="G36" s="7">
        <v>1</v>
      </c>
      <c r="H36" s="21" t="s">
        <v>288</v>
      </c>
      <c r="I36" s="13">
        <v>42786.317893518521</v>
      </c>
      <c r="J36" s="7">
        <v>0</v>
      </c>
      <c r="K36" s="98" t="str">
        <f t="shared" si="37"/>
        <v>4019/4020</v>
      </c>
      <c r="L36" s="21" t="str">
        <f>VLOOKUP(A36,'Trips&amp;Operators'!$C$1:$G$99999,5,FALSE)</f>
        <v>YOUNG ELIZABETH</v>
      </c>
      <c r="M36" s="6">
        <f t="shared" si="38"/>
        <v>2.8576388889632653E-2</v>
      </c>
      <c r="N36" s="7">
        <f t="shared" si="39"/>
        <v>41.150000001071021</v>
      </c>
      <c r="O36" s="7"/>
      <c r="P36" s="7"/>
      <c r="Q36" s="22"/>
      <c r="R36" s="22" t="s">
        <v>893</v>
      </c>
      <c r="S36" s="31">
        <f t="shared" si="40"/>
        <v>1</v>
      </c>
      <c r="T36" s="46" t="str">
        <f t="shared" si="41"/>
        <v>Southbound</v>
      </c>
      <c r="U36" s="186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7" t="str">
        <f t="shared" si="3"/>
        <v>https://d0f6bd738d7f1b3e5a7ca70fe4ff75f0.us-east-1.aws.found.io/app/kibana#/discover/Steve-Slow-Train-Analysis-(2080s-and-2083s)?_g=(refreshInterval:(display:Off,pause:!f,section:0,value:0),time:(from:'2017-02-20T05:43:28-0700',mode:absolute,to:'2017-02-20T08:37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6" s="188" t="str">
        <f t="shared" si="42"/>
        <v>N</v>
      </c>
      <c r="X36" s="188">
        <f t="shared" ref="X36:X73" si="48">VALUE(LEFT(AD36,4))-VALUE(LEFT(AD35,4))</f>
        <v>1</v>
      </c>
      <c r="Y36" s="62">
        <f t="shared" si="43"/>
        <v>23.298999999999999</v>
      </c>
      <c r="Z36" s="62">
        <f t="shared" si="44"/>
        <v>1.5599999999999999E-2</v>
      </c>
      <c r="AA36" s="62">
        <f t="shared" si="45"/>
        <v>23.2834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 t="shared" si="46"/>
        <v>0120-20</v>
      </c>
      <c r="AE36" s="85" t="str">
        <f t="shared" si="9"/>
        <v>aws s3 cp s3://rtdc.mdm.uploadarchive.raw/RTDC4019/ "%USERPROFILE%\AppData\Local\Temp\OnboardLogs"\RTDC4019\2017-02-20 --exclude "*" --recursive --include "*20170220*" &amp; "%USERPROFILE%\Documents\GitHub\mrs-test-scripts\Headless Mode &amp; Sideloading\WalkAndUnGZ.bat" "%USERPROFILE%\AppData\Local\Temp\OnboardLogs"\RTDC4019\2017-02-20 &amp; aws s3 cp s3://rtdc.mdm.uploadarchive.raw/RTDC4019/ "%USERPROFILE%\AppData\Local\Temp\OnboardLogs"\RTDC4019\2017-02-21 --exclude "*" --recursive --include "*20170221*" &amp; "%USERPROFILE%\Documents\GitHub\mrs-test-scripts\Headless Mode &amp; Sideloading\WalkAndUnGZ.bat" "%USERPROFILE%\AppData\Local\Temp\OnboardLogs"\RTDC4019\2017-02-21</v>
      </c>
      <c r="AF36" s="82" t="str">
        <f t="shared" si="10"/>
        <v>"C:\Program Files (x86)\AstroGrep\AstroGrep.exe" /spath="%USERPROFILE%\AppData\Local\Temp\OnboardLogs" /stypes="app*4019*20170220*" /stext=" 14:.+((SYSTEM_STATE.+slice.+state.+changed )|(ment ac)|(multiple cpu faults)|(system.+state.+changed )|(\[timeout)|(PRM\|1\|D)|(kpr)|(kdp)|(\|lc)|(penalty))" /e /r /s</v>
      </c>
      <c r="AG36" s="1" t="str">
        <f t="shared" si="47"/>
        <v>EC</v>
      </c>
      <c r="AH36" s="86" t="str">
        <f t="shared" si="15"/>
        <v>"%USERPROFILE%\Documents\GitHub\eaglep3\Utilities\RefineRTDCRunTimes.py" --tripid 120-20 --locoid 4019 --swversion DE.1.0.9.0 --startMP 204:232990 --initTime 2017-02-20T06:43:28 --startdatetime 2017-02-20T06:56:37 --delay 1 --endMP 204:156 --enddatetime 2017-02-20T07:37:46 --enforcementcount 0 &gt;&gt;C:\Users\stu\Documents\GitHub\eaglep3-reporting\EC\2017-02-20-refined-times.txt</v>
      </c>
      <c r="AI36" s="108" t="str">
        <f t="shared" si="16"/>
        <v>echo {"issue":{"subject":"Unhealthy at Chambers due to train stop","project_id":79,"tracker_id":40,"status_id":1,"priority_id":2,"assigned_to_id":23,"start_date":"2017-02-20","description":"","custom_fields":[{"id":1,"name":"Subdivision","value":"EC"},{"id":4,"name":"Milepost","value":"0.0156"},{"id":17,"name":"Train ID","value":"120-20"},{"id":16,"name":"Locomotive ID","value":"4019"},{"id":130,"name":"Impact","value":""},{"id":150,"name":"Time of Event (Mountain Time)","value":"07:37:46"},{"id":151,"name":"Denver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48"/>
      <c r="AK36" s="48"/>
      <c r="AL36" s="48"/>
      <c r="AM36" s="154" t="str">
        <f t="shared" si="17"/>
        <v>start /low /b %USERPROFILE%\Documents\GitHub\eaglep3\Utilities\DownloadLogsFromS3.py --loco 4019 --day 2017-02-20</v>
      </c>
      <c r="AN36" s="163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"%USERPROFILE%\AppData\Local\Temp\OnboardLogs"\RTDC4019\*4019*20170220* | grep -SE "(Enforcement Action)|(\[TIMEOUT)|(CHR.+\|PRM\|1\|D.+(SWITCH|SIGNAL).+UNKNOWN)" - &gt;&gt; 2017-02-20-UncaughtWiMAX.txt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522</v>
      </c>
      <c r="B37" s="7">
        <v>4046</v>
      </c>
      <c r="C37" s="21" t="s">
        <v>408</v>
      </c>
      <c r="D37" s="21" t="s">
        <v>410</v>
      </c>
      <c r="E37" s="13">
        <v>42786.261828703704</v>
      </c>
      <c r="F37" s="13">
        <v>42786.263206018521</v>
      </c>
      <c r="G37" s="7">
        <v>1</v>
      </c>
      <c r="H37" s="21" t="s">
        <v>276</v>
      </c>
      <c r="I37" s="13">
        <v>42786.288622685184</v>
      </c>
      <c r="J37" s="7">
        <v>0</v>
      </c>
      <c r="K37" s="98" t="str">
        <f t="shared" si="37"/>
        <v>4045/4046</v>
      </c>
      <c r="L37" s="21" t="str">
        <f>VLOOKUP(A37,'Trips&amp;Operators'!$C$1:$G$99999,5,FALSE)</f>
        <v>BONDS REYNALDO</v>
      </c>
      <c r="M37" s="6">
        <f t="shared" si="38"/>
        <v>2.5416666663659271E-2</v>
      </c>
      <c r="N37" s="7">
        <f t="shared" si="39"/>
        <v>36.59999999566935</v>
      </c>
      <c r="O37" s="7"/>
      <c r="P37" s="7"/>
      <c r="Q37" s="22"/>
      <c r="R37" s="22"/>
      <c r="S37" s="31">
        <f t="shared" si="40"/>
        <v>1</v>
      </c>
      <c r="T37" s="46" t="str">
        <f t="shared" si="41"/>
        <v>NorthBound</v>
      </c>
      <c r="U37" s="186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7" t="str">
        <f t="shared" si="3"/>
        <v>https://d0f6bd738d7f1b3e5a7ca70fe4ff75f0.us-east-1.aws.found.io/app/kibana#/discover/Steve-Slow-Train-Analysis-(2080s-and-2083s)?_g=(refreshInterval:(display:Off,pause:!f,section:0,value:0),time:(from:'2017-02-20T05:17:02-0700',mode:absolute,to:'2017-02-20T07:55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37" s="188" t="str">
        <f t="shared" si="42"/>
        <v>N</v>
      </c>
      <c r="X37" s="188">
        <f t="shared" si="48"/>
        <v>1</v>
      </c>
      <c r="Y37" s="62">
        <f t="shared" si="43"/>
        <v>4.58E-2</v>
      </c>
      <c r="Z37" s="62">
        <f t="shared" si="44"/>
        <v>23.331199999999999</v>
      </c>
      <c r="AA37" s="62">
        <f t="shared" si="45"/>
        <v>23.285399999999999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 t="shared" si="46"/>
        <v>0121-20</v>
      </c>
      <c r="AE37" s="85" t="str">
        <f t="shared" si="9"/>
        <v>aws s3 cp s3://rtdc.mdm.uploadarchive.raw/RTDC4046/ "%USERPROFILE%\AppData\Local\Temp\OnboardLogs"\RTDC4046\2017-02-20 --exclude "*" --recursive --include "*20170220*" &amp; "%USERPROFILE%\Documents\GitHub\mrs-test-scripts\Headless Mode &amp; Sideloading\WalkAndUnGZ.bat" "%USERPROFILE%\AppData\Local\Temp\OnboardLogs"\RTDC4046\2017-02-20 &amp; aws s3 cp s3://rtdc.mdm.uploadarchive.raw/RTDC4046/ "%USERPROFILE%\AppData\Local\Temp\OnboardLogs"\RTDC4046\2017-02-21 --exclude "*" --recursive --include "*20170221*" &amp; "%USERPROFILE%\Documents\GitHub\mrs-test-scripts\Headless Mode &amp; Sideloading\WalkAndUnGZ.bat" "%USERPROFILE%\AppData\Local\Temp\OnboardLogs"\RTDC4046\2017-02-21</v>
      </c>
      <c r="AF37" s="82" t="str">
        <f t="shared" si="10"/>
        <v>"C:\Program Files (x86)\AstroGrep\AstroGrep.exe" /spath="%USERPROFILE%\AppData\Local\Temp\OnboardLogs" /stypes="app*4046*20170220*" /stext=" 13:.+((SYSTEM_STATE.+slice.+state.+changed )|(ment ac)|(multiple cpu faults)|(system.+state.+changed )|(\[timeout)|(PRM\|1\|D)|(kpr)|(kdp)|(\|lc)|(penalty))" /e /r /s</v>
      </c>
      <c r="AG37" s="1" t="str">
        <f t="shared" si="47"/>
        <v>EC</v>
      </c>
      <c r="AH37" s="86" t="str">
        <f t="shared" si="15"/>
        <v>"%USERPROFILE%\Documents\GitHub\eaglep3\Utilities\RefineRTDCRunTimes.py" --tripid 121-20 --locoid 4046 --swversion DE.1.0.9.0 --startMP 204:458 --initTime 2017-02-20T06:17:02 --startdatetime 2017-02-20T06:19:01 --delay 1 --endMP 204:233312 --enddatetime 2017-02-20T06:55:37 --enforcementcount 0 &gt;&gt;C:\Users\stu\Documents\GitHub\eaglep3-reporting\EC\2017-02-20-refined-times.txt</v>
      </c>
      <c r="AI37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{"issue":{"subject":"","project_id":79,"tracker_id":40,"status_id":1,"priority_id":2,"assigned_to_id":23,"start_date":"2017-02-20","description":"","custom_fields":[{"id":1,"name":"Subdivision","value":"EC"},{"id":4,"name":"Milepost","value":"23.3312"},{"id":17,"name":"Train ID","value":"121-20"},{"id":16,"name":"Locomotive ID","value":"4046"},{"id":130,"name":"Impact","value":""},{"id":150,"name":"Time of Event (Mountain Time)","value":"06:55:37"},{"id":151,"name":"Denver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48"/>
      <c r="AK37" s="48"/>
      <c r="AL37" s="48"/>
      <c r="AM37" s="154" t="str">
        <f t="shared" si="17"/>
        <v>start /low /b %USERPROFILE%\Documents\GitHub\eaglep3\Utilities\DownloadLogsFromS3.py --loco 4046 --day 2017-02-20</v>
      </c>
      <c r="AN37" s="163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"%USERPROFILE%\AppData\Local\Temp\OnboardLogs"\RTDC4046\*4046*20170220* | grep -SE "(Enforcement Action)|(\[TIMEOUT)|(CHR.+\|PRM\|1\|D.+(SWITCH|SIGNAL).+UNKNOWN)" - &gt;&gt; 2017-02-20-UncaughtWiMAX.txt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460</v>
      </c>
      <c r="B38" s="7">
        <v>4045</v>
      </c>
      <c r="C38" s="21" t="s">
        <v>408</v>
      </c>
      <c r="D38" s="21" t="s">
        <v>719</v>
      </c>
      <c r="E38" s="13">
        <v>42786.296064814815</v>
      </c>
      <c r="F38" s="13">
        <v>42786.299490740741</v>
      </c>
      <c r="G38" s="7">
        <v>1</v>
      </c>
      <c r="H38" s="21" t="s">
        <v>260</v>
      </c>
      <c r="I38" s="13">
        <v>42786.326481481483</v>
      </c>
      <c r="J38" s="7">
        <v>0</v>
      </c>
      <c r="K38" s="98" t="str">
        <f t="shared" si="37"/>
        <v>4045/4046</v>
      </c>
      <c r="L38" s="21" t="str">
        <f>VLOOKUP(A38,'Trips&amp;Operators'!$C$1:$G$99999,5,FALSE)</f>
        <v>BONDS REYNALDO</v>
      </c>
      <c r="M38" s="6">
        <f t="shared" si="38"/>
        <v>2.6990740741894115E-2</v>
      </c>
      <c r="N38" s="7">
        <f t="shared" si="39"/>
        <v>38.866666668327525</v>
      </c>
      <c r="O38" s="7"/>
      <c r="P38" s="7"/>
      <c r="Q38" s="22"/>
      <c r="R38" s="22"/>
      <c r="S38" s="31">
        <f t="shared" si="40"/>
        <v>1</v>
      </c>
      <c r="T38" s="46" t="str">
        <f t="shared" si="41"/>
        <v>Southbound</v>
      </c>
      <c r="U38" s="186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7" t="str">
        <f t="shared" si="3"/>
        <v>https://d0f6bd738d7f1b3e5a7ca70fe4ff75f0.us-east-1.aws.found.io/app/kibana#/discover/Steve-Slow-Train-Analysis-(2080s-and-2083s)?_g=(refreshInterval:(display:Off,pause:!f,section:0,value:0),time:(from:'2017-02-20T06:06:20-0700',mode:absolute,to:'2017-02-20T08:50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38" s="188" t="str">
        <f t="shared" si="42"/>
        <v>N</v>
      </c>
      <c r="X38" s="188">
        <f t="shared" si="48"/>
        <v>1</v>
      </c>
      <c r="Y38" s="62">
        <f t="shared" si="43"/>
        <v>23.2987</v>
      </c>
      <c r="Z38" s="62">
        <f t="shared" si="44"/>
        <v>1.3899999999999999E-2</v>
      </c>
      <c r="AA38" s="62">
        <f t="shared" si="45"/>
        <v>23.284800000000001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 t="shared" si="46"/>
        <v>0122-20</v>
      </c>
      <c r="AE38" s="85" t="str">
        <f t="shared" si="9"/>
        <v>aws s3 cp s3://rtdc.mdm.uploadarchive.raw/RTDC4045/ "%USERPROFILE%\AppData\Local\Temp\OnboardLogs"\RTDC4045\2017-02-20 --exclude "*" --recursive --include "*20170220*" &amp; "%USERPROFILE%\Documents\GitHub\mrs-test-scripts\Headless Mode &amp; Sideloading\WalkAndUnGZ.bat" "%USERPROFILE%\AppData\Local\Temp\OnboardLogs"\RTDC4045\2017-02-20 &amp; aws s3 cp s3://rtdc.mdm.uploadarchive.raw/RTDC4045/ "%USERPROFILE%\AppData\Local\Temp\OnboardLogs"\RTDC4045\2017-02-21 --exclude "*" --recursive --include "*20170221*" &amp; "%USERPROFILE%\Documents\GitHub\mrs-test-scripts\Headless Mode &amp; Sideloading\WalkAndUnGZ.bat" "%USERPROFILE%\AppData\Local\Temp\OnboardLogs"\RTDC4045\2017-02-21</v>
      </c>
      <c r="AF38" s="82" t="str">
        <f t="shared" si="10"/>
        <v>"C:\Program Files (x86)\AstroGrep\AstroGrep.exe" /spath="%USERPROFILE%\AppData\Local\Temp\OnboardLogs" /stypes="app*4045*20170220*" /stext=" 14:.+((SYSTEM_STATE.+slice.+state.+changed )|(ment ac)|(multiple cpu faults)|(system.+state.+changed )|(\[timeout)|(PRM\|1\|D)|(kpr)|(kdp)|(\|lc)|(penalty))" /e /r /s</v>
      </c>
      <c r="AG38" s="1" t="str">
        <f t="shared" si="47"/>
        <v>EC</v>
      </c>
      <c r="AH38" s="86" t="str">
        <f t="shared" si="15"/>
        <v>"%USERPROFILE%\Documents\GitHub\eaglep3\Utilities\RefineRTDCRunTimes.py" --tripid 122-20 --locoid 4045 --swversion DE.1.0.9.0 --startMP 204:232987 --initTime 2017-02-20T07:06:20 --startdatetime 2017-02-20T07:11:16 --delay 1 --endMP 204:139 --enddatetime 2017-02-20T07:50:08 --enforcementcount 0 &gt;&gt;C:\Users\stu\Documents\GitHub\eaglep3-reporting\EC\2017-02-20-refined-times.txt</v>
      </c>
      <c r="AI38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{"issue":{"subject":"","project_id":79,"tracker_id":40,"status_id":1,"priority_id":2,"assigned_to_id":23,"start_date":"2017-02-20","description":"","custom_fields":[{"id":1,"name":"Subdivision","value":"EC"},{"id":4,"name":"Milepost","value":"0.0139"},{"id":17,"name":"Train ID","value":"122-20"},{"id":16,"name":"Locomotive ID","value":"4045"},{"id":130,"name":"Impact","value":""},{"id":150,"name":"Time of Event (Mountain Time)","value":"07:50:08"},{"id":151,"name":"Denver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48"/>
      <c r="AK38" s="48"/>
      <c r="AL38" s="48"/>
      <c r="AM38" s="154" t="str">
        <f t="shared" si="17"/>
        <v>start /low /b %USERPROFILE%\Documents\GitHub\eaglep3\Utilities\DownloadLogsFromS3.py --loco 4045 --day 2017-02-20</v>
      </c>
      <c r="AN38" s="163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"%USERPROFILE%\AppData\Local\Temp\OnboardLogs"\RTDC4045\*4045*20170220* | grep -SE "(Enforcement Action)|(\[TIMEOUT)|(CHR.+\|PRM\|1\|D.+(SWITCH|SIGNAL).+UNKNOWN)" - &gt;&gt; 2017-02-20-UncaughtWiMAX.txt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523</v>
      </c>
      <c r="B39" s="7">
        <v>4007</v>
      </c>
      <c r="C39" s="21" t="s">
        <v>408</v>
      </c>
      <c r="D39" s="21" t="s">
        <v>227</v>
      </c>
      <c r="E39" s="13">
        <v>42786.267546296294</v>
      </c>
      <c r="F39" s="13">
        <v>42786.270995370367</v>
      </c>
      <c r="G39" s="7">
        <v>1</v>
      </c>
      <c r="H39" s="21" t="s">
        <v>337</v>
      </c>
      <c r="I39" s="13">
        <v>42786.296979166669</v>
      </c>
      <c r="J39" s="7">
        <v>0</v>
      </c>
      <c r="K39" s="98" t="str">
        <f t="shared" si="37"/>
        <v>4007/4008</v>
      </c>
      <c r="L39" s="21" t="str">
        <f>VLOOKUP(A39,'Trips&amp;Operators'!$C$1:$G$99999,5,FALSE)</f>
        <v>SHOOK JOHN</v>
      </c>
      <c r="M39" s="6">
        <f t="shared" si="38"/>
        <v>2.5983796302170958E-2</v>
      </c>
      <c r="N39" s="7">
        <f t="shared" si="39"/>
        <v>37.41666667512618</v>
      </c>
      <c r="O39" s="7"/>
      <c r="P39" s="7"/>
      <c r="Q39" s="22"/>
      <c r="R39" s="22"/>
      <c r="S39" s="31">
        <f t="shared" si="40"/>
        <v>1</v>
      </c>
      <c r="T39" s="46" t="str">
        <f t="shared" si="41"/>
        <v>NorthBound</v>
      </c>
      <c r="U39" s="186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7" t="str">
        <f t="shared" si="3"/>
        <v>https://d0f6bd738d7f1b3e5a7ca70fe4ff75f0.us-east-1.aws.found.io/app/kibana#/discover/Steve-Slow-Train-Analysis-(2080s-and-2083s)?_g=(refreshInterval:(display:Off,pause:!f,section:0,value:0),time:(from:'2017-02-20T05:25:16-0700',mode:absolute,to:'2017-02-20T08:07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9" s="188" t="str">
        <f t="shared" si="42"/>
        <v>N</v>
      </c>
      <c r="X39" s="188">
        <f t="shared" si="48"/>
        <v>1</v>
      </c>
      <c r="Y39" s="62">
        <f t="shared" si="43"/>
        <v>4.5699999999999998E-2</v>
      </c>
      <c r="Z39" s="62">
        <f t="shared" si="44"/>
        <v>23.3307</v>
      </c>
      <c r="AA39" s="62">
        <f t="shared" si="45"/>
        <v>23.285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 t="shared" si="46"/>
        <v>0123-20</v>
      </c>
      <c r="AE39" s="85" t="str">
        <f t="shared" si="9"/>
        <v>aws s3 cp s3://rtdc.mdm.uploadarchive.raw/RTDC4007/ "%USERPROFILE%\AppData\Local\Temp\OnboardLogs"\RTDC4007\2017-02-20 --exclude "*" --recursive --include "*20170220*" &amp; "%USERPROFILE%\Documents\GitHub\mrs-test-scripts\Headless Mode &amp; Sideloading\WalkAndUnGZ.bat" "%USERPROFILE%\AppData\Local\Temp\OnboardLogs"\RTDC4007\2017-02-20 &amp; aws s3 cp s3://rtdc.mdm.uploadarchive.raw/RTDC4007/ "%USERPROFILE%\AppData\Local\Temp\OnboardLogs"\RTDC4007\2017-02-21 --exclude "*" --recursive --include "*20170221*" &amp; "%USERPROFILE%\Documents\GitHub\mrs-test-scripts\Headless Mode &amp; Sideloading\WalkAndUnGZ.bat" "%USERPROFILE%\AppData\Local\Temp\OnboardLogs"\RTDC4007\2017-02-21</v>
      </c>
      <c r="AF39" s="82" t="str">
        <f t="shared" si="10"/>
        <v>"C:\Program Files (x86)\AstroGrep\AstroGrep.exe" /spath="%USERPROFILE%\AppData\Local\Temp\OnboardLogs" /stypes="app*4007*20170220*" /stext=" 14:.+((SYSTEM_STATE.+slice.+state.+changed )|(ment ac)|(multiple cpu faults)|(system.+state.+changed )|(\[timeout)|(PRM\|1\|D)|(kpr)|(kdp)|(\|lc)|(penalty))" /e /r /s</v>
      </c>
      <c r="AG39" s="1" t="str">
        <f t="shared" si="47"/>
        <v>EC</v>
      </c>
      <c r="AH39" s="86" t="str">
        <f t="shared" si="15"/>
        <v>"%USERPROFILE%\Documents\GitHub\eaglep3\Utilities\RefineRTDCRunTimes.py" --tripid 123-20 --locoid 4007 --swversion DE.1.0.9.0 --startMP 204:457 --initTime 2017-02-20T06:25:16 --startdatetime 2017-02-20T06:30:14 --delay 1 --endMP 204:233307 --enddatetime 2017-02-20T07:07:39 --enforcementcount 0 &gt;&gt;C:\Users\stu\Documents\GitHub\eaglep3-reporting\EC\2017-02-20-refined-times.txt</v>
      </c>
      <c r="AI39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{"issue":{"subject":"","project_id":79,"tracker_id":40,"status_id":1,"priority_id":2,"assigned_to_id":23,"start_date":"2017-02-20","description":"","custom_fields":[{"id":1,"name":"Subdivision","value":"EC"},{"id":4,"name":"Milepost","value":"23.3307"},{"id":17,"name":"Train ID","value":"123-20"},{"id":16,"name":"Locomotive ID","value":"4007"},{"id":130,"name":"Impact","value":""},{"id":150,"name":"Time of Event (Mountain Time)","value":"07:07:39"},{"id":151,"name":"Denver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48"/>
      <c r="AK39" s="48"/>
      <c r="AL39" s="48"/>
      <c r="AM39" s="154" t="str">
        <f t="shared" si="17"/>
        <v>start /low /b %USERPROFILE%\Documents\GitHub\eaglep3\Utilities\DownloadLogsFromS3.py --loco 4007 --day 2017-02-20</v>
      </c>
      <c r="AN39" s="163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"%USERPROFILE%\AppData\Local\Temp\OnboardLogs"\RTDC4007\*4007*20170220* | grep -SE "(Enforcement Action)|(\[TIMEOUT)|(CHR.+\|PRM\|1\|D.+(SWITCH|SIGNAL).+UNKNOWN)" - &gt;&gt; 2017-02-20-UncaughtWiMAX.txt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530</v>
      </c>
      <c r="B40" s="7">
        <v>4008</v>
      </c>
      <c r="C40" s="21" t="s">
        <v>408</v>
      </c>
      <c r="D40" s="21" t="s">
        <v>338</v>
      </c>
      <c r="E40" s="13">
        <v>42786.299016203702</v>
      </c>
      <c r="F40" s="13">
        <v>42786.309918981482</v>
      </c>
      <c r="G40" s="7">
        <v>1</v>
      </c>
      <c r="H40" s="21" t="s">
        <v>291</v>
      </c>
      <c r="I40" s="13">
        <v>42786.337141203701</v>
      </c>
      <c r="J40" s="7">
        <v>0</v>
      </c>
      <c r="K40" s="98" t="str">
        <f t="shared" si="37"/>
        <v>4007/4008</v>
      </c>
      <c r="L40" s="21" t="str">
        <f>VLOOKUP(A40,'Trips&amp;Operators'!$C$1:$G$99999,5,FALSE)</f>
        <v>SHOOK JOHN</v>
      </c>
      <c r="M40" s="6">
        <f t="shared" si="38"/>
        <v>2.7222222219279502E-2</v>
      </c>
      <c r="N40" s="7">
        <f t="shared" si="39"/>
        <v>39.199999995762482</v>
      </c>
      <c r="O40" s="7"/>
      <c r="P40" s="7"/>
      <c r="Q40" s="22"/>
      <c r="R40" s="22"/>
      <c r="S40" s="31">
        <f t="shared" si="40"/>
        <v>1</v>
      </c>
      <c r="T40" s="46" t="str">
        <f t="shared" si="41"/>
        <v>Southbound</v>
      </c>
      <c r="U40" s="186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7" t="str">
        <f t="shared" si="3"/>
        <v>https://d0f6bd738d7f1b3e5a7ca70fe4ff75f0.us-east-1.aws.found.io/app/kibana#/discover/Steve-Slow-Train-Analysis-(2080s-and-2083s)?_g=(refreshInterval:(display:Off,pause:!f,section:0,value:0),time:(from:'2017-02-20T06:10:35-0700',mode:absolute,to:'2017-02-20T09:05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0" s="188" t="str">
        <f t="shared" si="42"/>
        <v>N</v>
      </c>
      <c r="X40" s="188">
        <f t="shared" si="48"/>
        <v>1</v>
      </c>
      <c r="Y40" s="62">
        <f t="shared" si="43"/>
        <v>23.3003</v>
      </c>
      <c r="Z40" s="62">
        <f t="shared" si="44"/>
        <v>1.47E-2</v>
      </c>
      <c r="AA40" s="62">
        <f t="shared" si="45"/>
        <v>23.285599999999999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 t="shared" si="46"/>
        <v>0124-20</v>
      </c>
      <c r="AE40" s="85" t="str">
        <f t="shared" si="9"/>
        <v>aws s3 cp s3://rtdc.mdm.uploadarchive.raw/RTDC4008/ "%USERPROFILE%\AppData\Local\Temp\OnboardLogs"\RTDC4008\2017-02-20 --exclude "*" --recursive --include "*20170220*" &amp; "%USERPROFILE%\Documents\GitHub\mrs-test-scripts\Headless Mode &amp; Sideloading\WalkAndUnGZ.bat" "%USERPROFILE%\AppData\Local\Temp\OnboardLogs"\RTDC4008\2017-02-20 &amp; aws s3 cp s3://rtdc.mdm.uploadarchive.raw/RTDC4008/ "%USERPROFILE%\AppData\Local\Temp\OnboardLogs"\RTDC4008\2017-02-21 --exclude "*" --recursive --include "*20170221*" &amp; "%USERPROFILE%\Documents\GitHub\mrs-test-scripts\Headless Mode &amp; Sideloading\WalkAndUnGZ.bat" "%USERPROFILE%\AppData\Local\Temp\OnboardLogs"\RTDC4008\2017-02-21</v>
      </c>
      <c r="AF40" s="82" t="str">
        <f t="shared" si="10"/>
        <v>"C:\Program Files (x86)\AstroGrep\AstroGrep.exe" /spath="%USERPROFILE%\AppData\Local\Temp\OnboardLogs" /stypes="app*4008*20170220*" /stext=" 15:.+((SYSTEM_STATE.+slice.+state.+changed )|(ment ac)|(multiple cpu faults)|(system.+state.+changed )|(\[timeout)|(PRM\|1\|D)|(kpr)|(kdp)|(\|lc)|(penalty))" /e /r /s</v>
      </c>
      <c r="AG40" s="1" t="str">
        <f t="shared" si="47"/>
        <v>EC</v>
      </c>
      <c r="AH40" s="86" t="str">
        <f t="shared" si="15"/>
        <v>"%USERPROFILE%\Documents\GitHub\eaglep3\Utilities\RefineRTDCRunTimes.py" --tripid 124-20 --locoid 4008 --swversion DE.1.0.9.0 --startMP 204:233003 --initTime 2017-02-20T07:10:35 --startdatetime 2017-02-20T07:26:17 --delay 1 --endMP 204:147 --enddatetime 2017-02-20T08:05:29 --enforcementcount 0 &gt;&gt;C:\Users\stu\Documents\GitHub\eaglep3-reporting\EC\2017-02-20-refined-times.txt</v>
      </c>
      <c r="AI40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{"issue":{"subject":"","project_id":79,"tracker_id":40,"status_id":1,"priority_id":2,"assigned_to_id":23,"start_date":"2017-02-20","description":"","custom_fields":[{"id":1,"name":"Subdivision","value":"EC"},{"id":4,"name":"Milepost","value":"0.0147"},{"id":17,"name":"Train ID","value":"124-20"},{"id":16,"name":"Locomotive ID","value":"4008"},{"id":130,"name":"Impact","value":""},{"id":150,"name":"Time of Event (Mountain Time)","value":"08:05:29"},{"id":151,"name":"Denver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48"/>
      <c r="AK40" s="48"/>
      <c r="AL40" s="48"/>
      <c r="AM40" s="154" t="str">
        <f t="shared" si="17"/>
        <v>start /low /b %USERPROFILE%\Documents\GitHub\eaglep3\Utilities\DownloadLogsFromS3.py --loco 4008 --day 2017-02-20</v>
      </c>
      <c r="AN40" s="163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"%USERPROFILE%\AppData\Local\Temp\OnboardLogs"\RTDC4008\*4008*20170220* | grep -SE "(Enforcement Action)|(\[TIMEOUT)|(CHR.+\|PRM\|1\|D.+(SWITCH|SIGNAL).+UNKNOWN)" - &gt;&gt; 2017-02-20-UncaughtWiMAX.txt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525</v>
      </c>
      <c r="B41" s="7">
        <v>4029</v>
      </c>
      <c r="C41" s="21" t="s">
        <v>408</v>
      </c>
      <c r="D41" s="21" t="s">
        <v>204</v>
      </c>
      <c r="E41" s="13">
        <v>42786.276377314818</v>
      </c>
      <c r="F41" s="13">
        <v>42786.281689814816</v>
      </c>
      <c r="G41" s="7">
        <v>1</v>
      </c>
      <c r="H41" s="21" t="s">
        <v>367</v>
      </c>
      <c r="I41" s="13">
        <v>42786.306087962963</v>
      </c>
      <c r="J41" s="7">
        <v>0</v>
      </c>
      <c r="K41" s="98" t="str">
        <f t="shared" si="37"/>
        <v>4029/4030</v>
      </c>
      <c r="L41" s="21" t="str">
        <f>VLOOKUP(A41,'Trips&amp;Operators'!$C$1:$G$99999,5,FALSE)</f>
        <v>YORK EDGAR</v>
      </c>
      <c r="M41" s="6">
        <f t="shared" si="38"/>
        <v>2.4398148147156462E-2</v>
      </c>
      <c r="N41" s="7">
        <f t="shared" si="39"/>
        <v>35.133333331905305</v>
      </c>
      <c r="O41" s="7"/>
      <c r="P41" s="7"/>
      <c r="Q41" s="22"/>
      <c r="R41" s="22"/>
      <c r="S41" s="31">
        <f t="shared" si="40"/>
        <v>1</v>
      </c>
      <c r="T41" s="46" t="str">
        <f t="shared" si="41"/>
        <v>NorthBound</v>
      </c>
      <c r="U41" s="186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7" t="str">
        <f t="shared" si="3"/>
        <v>https://d0f6bd738d7f1b3e5a7ca70fe4ff75f0.us-east-1.aws.found.io/app/kibana#/discover/Steve-Slow-Train-Analysis-(2080s-and-2083s)?_g=(refreshInterval:(display:Off,pause:!f,section:0,value:0),time:(from:'2017-02-20T05:37:59-0700',mode:absolute,to:'2017-02-20T08:20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1" s="188" t="str">
        <f t="shared" si="42"/>
        <v>N</v>
      </c>
      <c r="X41" s="188">
        <f t="shared" si="48"/>
        <v>1</v>
      </c>
      <c r="Y41" s="62">
        <f t="shared" si="43"/>
        <v>4.6199999999999998E-2</v>
      </c>
      <c r="Z41" s="62">
        <f t="shared" si="44"/>
        <v>23.330400000000001</v>
      </c>
      <c r="AA41" s="62">
        <f t="shared" si="45"/>
        <v>23.284200000000002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 t="shared" si="46"/>
        <v>0125-20</v>
      </c>
      <c r="AE41" s="85" t="str">
        <f t="shared" si="9"/>
        <v>aws s3 cp s3://rtdc.mdm.uploadarchive.raw/RTDC4029/ "%USERPROFILE%\AppData\Local\Temp\OnboardLogs"\RTDC4029\2017-02-20 --exclude "*" --recursive --include "*20170220*" &amp; "%USERPROFILE%\Documents\GitHub\mrs-test-scripts\Headless Mode &amp; Sideloading\WalkAndUnGZ.bat" "%USERPROFILE%\AppData\Local\Temp\OnboardLogs"\RTDC4029\2017-02-20 &amp; aws s3 cp s3://rtdc.mdm.uploadarchive.raw/RTDC4029/ "%USERPROFILE%\AppData\Local\Temp\OnboardLogs"\RTDC4029\2017-02-21 --exclude "*" --recursive --include "*20170221*" &amp; "%USERPROFILE%\Documents\GitHub\mrs-test-scripts\Headless Mode &amp; Sideloading\WalkAndUnGZ.bat" "%USERPROFILE%\AppData\Local\Temp\OnboardLogs"\RTDC4029\2017-02-21</v>
      </c>
      <c r="AF41" s="82" t="str">
        <f t="shared" si="10"/>
        <v>"C:\Program Files (x86)\AstroGrep\AstroGrep.exe" /spath="%USERPROFILE%\AppData\Local\Temp\OnboardLogs" /stypes="app*4029*20170220*" /stext=" 14:.+((SYSTEM_STATE.+slice.+state.+changed )|(ment ac)|(multiple cpu faults)|(system.+state.+changed )|(\[timeout)|(PRM\|1\|D)|(kpr)|(kdp)|(\|lc)|(penalty))" /e /r /s</v>
      </c>
      <c r="AG41" s="1" t="str">
        <f t="shared" si="47"/>
        <v>EC</v>
      </c>
      <c r="AH41" s="86" t="str">
        <f t="shared" si="15"/>
        <v>"%USERPROFILE%\Documents\GitHub\eaglep3\Utilities\RefineRTDCRunTimes.py" --tripid 125-20 --locoid 4029 --swversion DE.1.0.9.0 --startMP 204:462 --initTime 2017-02-20T06:37:59 --startdatetime 2017-02-20T06:45:38 --delay 1 --endMP 204:233304 --enddatetime 2017-02-20T07:20:46 --enforcementcount 0 &gt;&gt;C:\Users\stu\Documents\GitHub\eaglep3-reporting\EC\2017-02-20-refined-times.txt</v>
      </c>
      <c r="AI41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{"issue":{"subject":"","project_id":79,"tracker_id":40,"status_id":1,"priority_id":2,"assigned_to_id":23,"start_date":"2017-02-20","description":"","custom_fields":[{"id":1,"name":"Subdivision","value":"EC"},{"id":4,"name":"Milepost","value":"23.3304"},{"id":17,"name":"Train ID","value":"125-20"},{"id":16,"name":"Locomotive ID","value":"4029"},{"id":130,"name":"Impact","value":""},{"id":150,"name":"Time of Event (Mountain Time)","value":"07:20:46"},{"id":151,"name":"Denver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48"/>
      <c r="AK41" s="48"/>
      <c r="AL41" s="48"/>
      <c r="AM41" s="154" t="str">
        <f t="shared" si="17"/>
        <v>start /low /b %USERPROFILE%\Documents\GitHub\eaglep3\Utilities\DownloadLogsFromS3.py --loco 4029 --day 2017-02-20</v>
      </c>
      <c r="AN41" s="163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"%USERPROFILE%\AppData\Local\Temp\OnboardLogs"\RTDC4029\*4029*20170220* | grep -SE "(Enforcement Action)|(\[TIMEOUT)|(CHR.+\|PRM\|1\|D.+(SWITCH|SIGNAL).+UNKNOWN)" - &gt;&gt; 2017-02-20-UncaughtWiMAX.txt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462</v>
      </c>
      <c r="B42" s="7">
        <v>4030</v>
      </c>
      <c r="C42" s="21" t="s">
        <v>408</v>
      </c>
      <c r="D42" s="21" t="s">
        <v>719</v>
      </c>
      <c r="E42" s="13">
        <v>42786.307106481479</v>
      </c>
      <c r="F42" s="13">
        <v>42786.320833333331</v>
      </c>
      <c r="G42" s="7">
        <v>0</v>
      </c>
      <c r="H42" s="21" t="s">
        <v>213</v>
      </c>
      <c r="I42" s="13">
        <v>42786.346689814818</v>
      </c>
      <c r="J42" s="7">
        <v>0</v>
      </c>
      <c r="K42" s="98" t="str">
        <f t="shared" si="37"/>
        <v>4029/4030</v>
      </c>
      <c r="L42" s="21" t="str">
        <f>VLOOKUP(A42,'Trips&amp;Operators'!$C$1:$G$99999,5,FALSE)</f>
        <v>YORK EDGAR</v>
      </c>
      <c r="M42" s="6">
        <f t="shared" si="38"/>
        <v>2.5856481486698613E-2</v>
      </c>
      <c r="N42" s="7">
        <f t="shared" si="39"/>
        <v>37.233333340846002</v>
      </c>
      <c r="O42" s="7"/>
      <c r="P42" s="7"/>
      <c r="Q42" s="22"/>
      <c r="R42" s="22"/>
      <c r="S42" s="31">
        <f t="shared" si="40"/>
        <v>1</v>
      </c>
      <c r="T42" s="46" t="str">
        <f t="shared" si="41"/>
        <v>Southbound</v>
      </c>
      <c r="U42" s="186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7" t="str">
        <f t="shared" si="3"/>
        <v>https://d0f6bd738d7f1b3e5a7ca70fe4ff75f0.us-east-1.aws.found.io/app/kibana#/discover/Steve-Slow-Train-Analysis-(2080s-and-2083s)?_g=(refreshInterval:(display:Off,pause:!f,section:0,value:0),time:(from:'2017-02-20T06:22:14-0700',mode:absolute,to:'2017-02-20T09:19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2" s="188" t="str">
        <f t="shared" si="42"/>
        <v>N</v>
      </c>
      <c r="X42" s="188">
        <f t="shared" si="48"/>
        <v>1</v>
      </c>
      <c r="Y42" s="62">
        <f t="shared" si="43"/>
        <v>23.2987</v>
      </c>
      <c r="Z42" s="62">
        <f t="shared" si="44"/>
        <v>1.54E-2</v>
      </c>
      <c r="AA42" s="62">
        <f t="shared" si="45"/>
        <v>23.283300000000001</v>
      </c>
      <c r="AB42" s="59" t="str">
        <f>VLOOKUP(A42,Enforcements!$C$7:$K$13,8,0)</f>
        <v>Bulletin (2)</v>
      </c>
      <c r="AC42" s="55" t="str">
        <f>VLOOKUP(A42,Enforcements!$C$7:$E$13,3,0)</f>
        <v>GRADE CROSSING</v>
      </c>
      <c r="AD42" s="56" t="str">
        <f t="shared" si="46"/>
        <v>0126-20</v>
      </c>
      <c r="AE42" s="85" t="str">
        <f t="shared" si="9"/>
        <v>aws s3 cp s3://rtdc.mdm.uploadarchive.raw/RTDC4030/ "%USERPROFILE%\AppData\Local\Temp\OnboardLogs"\RTDC4030\2017-02-20 --exclude "*" --recursive --include "*20170220*" &amp; "%USERPROFILE%\Documents\GitHub\mrs-test-scripts\Headless Mode &amp; Sideloading\WalkAndUnGZ.bat" "%USERPROFILE%\AppData\Local\Temp\OnboardLogs"\RTDC4030\2017-02-20 &amp; aws s3 cp s3://rtdc.mdm.uploadarchive.raw/RTDC4030/ "%USERPROFILE%\AppData\Local\Temp\OnboardLogs"\RTDC4030\2017-02-21 --exclude "*" --recursive --include "*20170221*" &amp; "%USERPROFILE%\Documents\GitHub\mrs-test-scripts\Headless Mode &amp; Sideloading\WalkAndUnGZ.bat" "%USERPROFILE%\AppData\Local\Temp\OnboardLogs"\RTDC4030\2017-02-21</v>
      </c>
      <c r="AF42" s="82" t="str">
        <f t="shared" si="10"/>
        <v>"C:\Program Files (x86)\AstroGrep\AstroGrep.exe" /spath="%USERPROFILE%\AppData\Local\Temp\OnboardLogs" /stypes="app*4030*20170220*" /stext=" 15:.+((SYSTEM_STATE.+slice.+state.+changed )|(ment ac)|(multiple cpu faults)|(system.+state.+changed )|(\[timeout)|(PRM\|1\|D)|(kpr)|(kdp)|(\|lc)|(penalty))" /e /r /s</v>
      </c>
      <c r="AG42" s="1" t="str">
        <f t="shared" si="47"/>
        <v>EC</v>
      </c>
      <c r="AH42" s="86" t="str">
        <f t="shared" si="15"/>
        <v>"%USERPROFILE%\Documents\GitHub\eaglep3\Utilities\RefineRTDCRunTimes.py" --tripid 126-20 --locoid 4030 --swversion DE.1.0.9.0 --startMP 204:232987 --initTime 2017-02-20T07:22:14 --startdatetime 2017-02-20T07:42:00 --delay 0 --endMP 204:154 --enddatetime 2017-02-20T08:19:14 --enforcementcount 0 &gt;&gt;C:\Users\stu\Documents\GitHub\eaglep3-reporting\EC\2017-02-20-refined-times.txt</v>
      </c>
      <c r="AI42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{"issue":{"subject":"","project_id":79,"tracker_id":40,"status_id":1,"priority_id":2,"assigned_to_id":23,"start_date":"2017-02-20","description":"","custom_fields":[{"id":1,"name":"Subdivision","value":"EC"},{"id":4,"name":"Milepost","value":"0.0154"},{"id":17,"name":"Train ID","value":"126-20"},{"id":16,"name":"Locomotive ID","value":"4030"},{"id":130,"name":"Impact","value":""},{"id":150,"name":"Time of Event (Mountain Time)","value":"08:19:14"},{"id":151,"name":"Denver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48"/>
      <c r="AK42" s="48"/>
      <c r="AL42" s="48"/>
      <c r="AM42" s="154" t="str">
        <f t="shared" si="17"/>
        <v>start /low /b %USERPROFILE%\Documents\GitHub\eaglep3\Utilities\DownloadLogsFromS3.py --loco 4030 --day 2017-02-20</v>
      </c>
      <c r="AN42" s="163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"%USERPROFILE%\AppData\Local\Temp\OnboardLogs"\RTDC4030\*4030*20170220* | grep -SE "(Enforcement Action)|(\[TIMEOUT)|(CHR.+\|PRM\|1\|D.+(SWITCH|SIGNAL).+UNKNOWN)" - &gt;&gt; 2017-02-20-UncaughtWiMAX.txt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526</v>
      </c>
      <c r="B43" s="7">
        <v>4003</v>
      </c>
      <c r="C43" s="21" t="s">
        <v>408</v>
      </c>
      <c r="D43" s="21" t="s">
        <v>364</v>
      </c>
      <c r="E43" s="13">
        <v>42786.284826388888</v>
      </c>
      <c r="F43" s="13">
        <v>42786.291828703703</v>
      </c>
      <c r="G43" s="7">
        <v>0</v>
      </c>
      <c r="H43" s="21" t="s">
        <v>720</v>
      </c>
      <c r="I43" s="13">
        <v>42786.316342592596</v>
      </c>
      <c r="J43" s="7">
        <v>0</v>
      </c>
      <c r="K43" s="98" t="str">
        <f t="shared" si="37"/>
        <v>4003/4004</v>
      </c>
      <c r="L43" s="21" t="str">
        <f>VLOOKUP(A43,'Trips&amp;Operators'!$C$1:$G$99999,5,FALSE)</f>
        <v>SANTIZO D. EDY</v>
      </c>
      <c r="M43" s="6">
        <f t="shared" si="38"/>
        <v>2.4513888893125113E-2</v>
      </c>
      <c r="N43" s="7">
        <f t="shared" si="39"/>
        <v>35.300000006100163</v>
      </c>
      <c r="O43" s="7"/>
      <c r="P43" s="7"/>
      <c r="Q43" s="22"/>
      <c r="R43" s="22"/>
      <c r="S43" s="31">
        <f t="shared" si="40"/>
        <v>1</v>
      </c>
      <c r="T43" s="46" t="str">
        <f t="shared" si="41"/>
        <v>NorthBound</v>
      </c>
      <c r="U43" s="186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7" t="str">
        <f t="shared" si="3"/>
        <v>https://d0f6bd738d7f1b3e5a7ca70fe4ff75f0.us-east-1.aws.found.io/app/kibana#/discover/Steve-Slow-Train-Analysis-(2080s-and-2083s)?_g=(refreshInterval:(display:Off,pause:!f,section:0,value:0),time:(from:'2017-02-20T05:50:09-0700',mode:absolute,to:'2017-02-20T08:35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43" s="188" t="str">
        <f t="shared" si="42"/>
        <v>N</v>
      </c>
      <c r="X43" s="188">
        <f t="shared" si="48"/>
        <v>1</v>
      </c>
      <c r="Y43" s="62">
        <f t="shared" si="43"/>
        <v>4.4699999999999997E-2</v>
      </c>
      <c r="Z43" s="62">
        <f t="shared" si="44"/>
        <v>23.329899999999999</v>
      </c>
      <c r="AA43" s="62">
        <f t="shared" si="45"/>
        <v>23.2852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 t="shared" si="46"/>
        <v>0127-20</v>
      </c>
      <c r="AE43" s="85" t="str">
        <f t="shared" si="9"/>
        <v>aws s3 cp s3://rtdc.mdm.uploadarchive.raw/RTDC4003/ "%USERPROFILE%\AppData\Local\Temp\OnboardLogs"\RTDC4003\2017-02-20 --exclude "*" --recursive --include "*20170220*" &amp; "%USERPROFILE%\Documents\GitHub\mrs-test-scripts\Headless Mode &amp; Sideloading\WalkAndUnGZ.bat" "%USERPROFILE%\AppData\Local\Temp\OnboardLogs"\RTDC4003\2017-02-20 &amp; aws s3 cp s3://rtdc.mdm.uploadarchive.raw/RTDC4003/ "%USERPROFILE%\AppData\Local\Temp\OnboardLogs"\RTDC4003\2017-02-21 --exclude "*" --recursive --include "*20170221*" &amp; "%USERPROFILE%\Documents\GitHub\mrs-test-scripts\Headless Mode &amp; Sideloading\WalkAndUnGZ.bat" "%USERPROFILE%\AppData\Local\Temp\OnboardLogs"\RTDC4003\2017-02-21</v>
      </c>
      <c r="AF43" s="82" t="str">
        <f t="shared" si="10"/>
        <v>"C:\Program Files (x86)\AstroGrep\AstroGrep.exe" /spath="%USERPROFILE%\AppData\Local\Temp\OnboardLogs" /stypes="app*4003*20170220*" /stext=" 14:.+((SYSTEM_STATE.+slice.+state.+changed )|(ment ac)|(multiple cpu faults)|(system.+state.+changed )|(\[timeout)|(PRM\|1\|D)|(kpr)|(kdp)|(\|lc)|(penalty))" /e /r /s</v>
      </c>
      <c r="AG43" s="1" t="str">
        <f t="shared" si="47"/>
        <v>EC</v>
      </c>
      <c r="AH43" s="86" t="str">
        <f t="shared" si="15"/>
        <v>"%USERPROFILE%\Documents\GitHub\eaglep3\Utilities\RefineRTDCRunTimes.py" --tripid 127-20 --locoid 4003 --swversion DE.1.0.9.0 --startMP 204:447 --initTime 2017-02-20T06:50:09 --startdatetime 2017-02-20T07:00:14 --delay 0 --endMP 204:233299 --enddatetime 2017-02-20T07:35:32 --enforcementcount 0 &gt;&gt;C:\Users\stu\Documents\GitHub\eaglep3-reporting\EC\2017-02-20-refined-times.txt</v>
      </c>
      <c r="AI43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{"issue":{"subject":"","project_id":79,"tracker_id":40,"status_id":1,"priority_id":2,"assigned_to_id":23,"start_date":"2017-02-20","description":"","custom_fields":[{"id":1,"name":"Subdivision","value":"EC"},{"id":4,"name":"Milepost","value":"23.3299"},{"id":17,"name":"Train ID","value":"127-20"},{"id":16,"name":"Locomotive ID","value":"4003"},{"id":130,"name":"Impact","value":""},{"id":150,"name":"Time of Event (Mountain Time)","value":"07:35:32"},{"id":151,"name":"Denver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48"/>
      <c r="AK43" s="48"/>
      <c r="AL43" s="48"/>
      <c r="AM43" s="154" t="str">
        <f t="shared" si="17"/>
        <v>start /low /b %USERPROFILE%\Documents\GitHub\eaglep3\Utilities\DownloadLogsFromS3.py --loco 4003 --day 2017-02-20</v>
      </c>
      <c r="AN43" s="163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"%USERPROFILE%\AppData\Local\Temp\OnboardLogs"\RTDC4003\*4003*20170220* | grep -SE "(Enforcement Action)|(\[TIMEOUT)|(CHR.+\|PRM\|1\|D.+(SWITCH|SIGNAL).+UNKNOWN)" - &gt;&gt; 2017-02-20-UncaughtWiMAX.txt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536</v>
      </c>
      <c r="B44" s="7">
        <v>4004</v>
      </c>
      <c r="C44" s="21" t="s">
        <v>408</v>
      </c>
      <c r="D44" s="21" t="s">
        <v>360</v>
      </c>
      <c r="E44" s="13">
        <v>42786.325844907406</v>
      </c>
      <c r="F44" s="13">
        <v>42786.330717592595</v>
      </c>
      <c r="G44" s="7">
        <v>1</v>
      </c>
      <c r="H44" s="21" t="s">
        <v>274</v>
      </c>
      <c r="I44" s="13">
        <v>42786.356724537036</v>
      </c>
      <c r="J44" s="7">
        <v>0</v>
      </c>
      <c r="K44" s="98" t="str">
        <f t="shared" si="37"/>
        <v>4003/4004</v>
      </c>
      <c r="L44" s="21" t="str">
        <f>VLOOKUP(A44,'Trips&amp;Operators'!$C$1:$G$99999,5,FALSE)</f>
        <v>SANTIZO D. EDY</v>
      </c>
      <c r="M44" s="6">
        <f t="shared" si="38"/>
        <v>2.6006944441178348E-2</v>
      </c>
      <c r="N44" s="7">
        <f t="shared" si="39"/>
        <v>37.449999995296821</v>
      </c>
      <c r="O44" s="7"/>
      <c r="P44" s="7"/>
      <c r="Q44" s="22"/>
      <c r="R44" s="22"/>
      <c r="S44" s="31">
        <f t="shared" si="40"/>
        <v>1</v>
      </c>
      <c r="T44" s="46" t="str">
        <f t="shared" si="41"/>
        <v>Southbound</v>
      </c>
      <c r="U44" s="186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7" t="str">
        <f t="shared" si="3"/>
        <v>https://d0f6bd738d7f1b3e5a7ca70fe4ff75f0.us-east-1.aws.found.io/app/kibana#/discover/Steve-Slow-Train-Analysis-(2080s-and-2083s)?_g=(refreshInterval:(display:Off,pause:!f,section:0,value:0),time:(from:'2017-02-20T06:49:13-0700',mode:absolute,to:'2017-02-20T09:33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44" s="188" t="str">
        <f t="shared" si="42"/>
        <v>N</v>
      </c>
      <c r="X44" s="188">
        <f t="shared" si="48"/>
        <v>1</v>
      </c>
      <c r="Y44" s="62">
        <f t="shared" si="43"/>
        <v>23.298200000000001</v>
      </c>
      <c r="Z44" s="62">
        <f t="shared" si="44"/>
        <v>1.41E-2</v>
      </c>
      <c r="AA44" s="62">
        <f t="shared" si="45"/>
        <v>23.284100000000002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 t="shared" si="46"/>
        <v>0128-20</v>
      </c>
      <c r="AE44" s="85" t="str">
        <f t="shared" si="9"/>
        <v>aws s3 cp s3://rtdc.mdm.uploadarchive.raw/RTDC4004/ "%USERPROFILE%\AppData\Local\Temp\OnboardLogs"\RTDC4004\2017-02-20 --exclude "*" --recursive --include "*20170220*" &amp; "%USERPROFILE%\Documents\GitHub\mrs-test-scripts\Headless Mode &amp; Sideloading\WalkAndUnGZ.bat" "%USERPROFILE%\AppData\Local\Temp\OnboardLogs"\RTDC4004\2017-02-20 &amp; aws s3 cp s3://rtdc.mdm.uploadarchive.raw/RTDC4004/ "%USERPROFILE%\AppData\Local\Temp\OnboardLogs"\RTDC4004\2017-02-21 --exclude "*" --recursive --include "*20170221*" &amp; "%USERPROFILE%\Documents\GitHub\mrs-test-scripts\Headless Mode &amp; Sideloading\WalkAndUnGZ.bat" "%USERPROFILE%\AppData\Local\Temp\OnboardLogs"\RTDC4004\2017-02-21</v>
      </c>
      <c r="AF44" s="82" t="str">
        <f t="shared" si="10"/>
        <v>"C:\Program Files (x86)\AstroGrep\AstroGrep.exe" /spath="%USERPROFILE%\AppData\Local\Temp\OnboardLogs" /stypes="app*4004*20170220*" /stext=" 15:.+((SYSTEM_STATE.+slice.+state.+changed )|(ment ac)|(multiple cpu faults)|(system.+state.+changed )|(\[timeout)|(PRM\|1\|D)|(kpr)|(kdp)|(\|lc)|(penalty))" /e /r /s</v>
      </c>
      <c r="AG44" s="1" t="str">
        <f t="shared" si="47"/>
        <v>EC</v>
      </c>
      <c r="AH44" s="86" t="str">
        <f t="shared" si="15"/>
        <v>"%USERPROFILE%\Documents\GitHub\eaglep3\Utilities\RefineRTDCRunTimes.py" --tripid 128-20 --locoid 4004 --swversion DE.1.0.9.0 --startMP 204:232982 --initTime 2017-02-20T07:49:13 --startdatetime 2017-02-20T07:56:14 --delay 1 --endMP 204:141 --enddatetime 2017-02-20T08:33:41 --enforcementcount 0 &gt;&gt;C:\Users\stu\Documents\GitHub\eaglep3-reporting\EC\2017-02-20-refined-times.txt</v>
      </c>
      <c r="AI44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{"issue":{"subject":"","project_id":79,"tracker_id":40,"status_id":1,"priority_id":2,"assigned_to_id":23,"start_date":"2017-02-20","description":"","custom_fields":[{"id":1,"name":"Subdivision","value":"EC"},{"id":4,"name":"Milepost","value":"0.0141"},{"id":17,"name":"Train ID","value":"128-20"},{"id":16,"name":"Locomotive ID","value":"4004"},{"id":130,"name":"Impact","value":""},{"id":150,"name":"Time of Event (Mountain Time)","value":"08:33:41"},{"id":151,"name":"Denver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48"/>
      <c r="AK44" s="48"/>
      <c r="AL44" s="48"/>
      <c r="AM44" s="154" t="str">
        <f t="shared" si="17"/>
        <v>start /low /b %USERPROFILE%\Documents\GitHub\eaglep3\Utilities\DownloadLogsFromS3.py --loco 4004 --day 2017-02-20</v>
      </c>
      <c r="AN44" s="163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"%USERPROFILE%\AppData\Local\Temp\OnboardLogs"\RTDC4004\*4004*20170220* | grep -SE "(Enforcement Action)|(\[TIMEOUT)|(CHR.+\|PRM\|1\|D.+(SWITCH|SIGNAL).+UNKNOWN)" - &gt;&gt; 2017-02-20-UncaughtWiMAX.txt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529</v>
      </c>
      <c r="B45" s="7">
        <v>4016</v>
      </c>
      <c r="C45" s="21" t="s">
        <v>408</v>
      </c>
      <c r="D45" s="21" t="s">
        <v>204</v>
      </c>
      <c r="E45" s="13">
        <v>42786.298321759263</v>
      </c>
      <c r="F45" s="13">
        <v>42786.302256944444</v>
      </c>
      <c r="G45" s="7">
        <v>1</v>
      </c>
      <c r="H45" s="21" t="s">
        <v>259</v>
      </c>
      <c r="I45" s="13">
        <v>42786.327222222222</v>
      </c>
      <c r="J45" s="7">
        <v>0</v>
      </c>
      <c r="K45" s="98" t="str">
        <f t="shared" si="37"/>
        <v>4015/4016</v>
      </c>
      <c r="L45" s="21" t="str">
        <f>VLOOKUP(A45,'Trips&amp;Operators'!$C$1:$G$99999,5,FALSE)</f>
        <v>ROBINSON KADDIBA</v>
      </c>
      <c r="M45" s="6">
        <f t="shared" si="38"/>
        <v>2.4965277778392192E-2</v>
      </c>
      <c r="N45" s="7">
        <f t="shared" si="39"/>
        <v>35.950000000884756</v>
      </c>
      <c r="O45" s="7"/>
      <c r="P45" s="7"/>
      <c r="Q45" s="22"/>
      <c r="R45" s="22"/>
      <c r="S45" s="31">
        <f t="shared" si="40"/>
        <v>1</v>
      </c>
      <c r="T45" s="46" t="str">
        <f t="shared" si="41"/>
        <v>NorthBound</v>
      </c>
      <c r="U45" s="186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7" t="str">
        <f t="shared" si="3"/>
        <v>https://d0f6bd738d7f1b3e5a7ca70fe4ff75f0.us-east-1.aws.found.io/app/kibana#/discover/Steve-Slow-Train-Analysis-(2080s-and-2083s)?_g=(refreshInterval:(display:Off,pause:!f,section:0,value:0),time:(from:'2017-02-20T06:09:35-0700',mode:absolute,to:'2017-02-20T08:51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5" s="188" t="str">
        <f t="shared" si="42"/>
        <v>N</v>
      </c>
      <c r="X45" s="188">
        <f t="shared" si="48"/>
        <v>1</v>
      </c>
      <c r="Y45" s="62">
        <f t="shared" si="43"/>
        <v>4.6199999999999998E-2</v>
      </c>
      <c r="Z45" s="62">
        <f t="shared" si="44"/>
        <v>23.3308</v>
      </c>
      <c r="AA45" s="62">
        <f t="shared" si="45"/>
        <v>23.284600000000001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 t="shared" si="46"/>
        <v>0129-20</v>
      </c>
      <c r="AE45" s="85" t="str">
        <f t="shared" si="9"/>
        <v>aws s3 cp s3://rtdc.mdm.uploadarchive.raw/RTDC4016/ "%USERPROFILE%\AppData\Local\Temp\OnboardLogs"\RTDC4016\2017-02-20 --exclude "*" --recursive --include "*20170220*" &amp; "%USERPROFILE%\Documents\GitHub\mrs-test-scripts\Headless Mode &amp; Sideloading\WalkAndUnGZ.bat" "%USERPROFILE%\AppData\Local\Temp\OnboardLogs"\RTDC4016\2017-02-20 &amp; aws s3 cp s3://rtdc.mdm.uploadarchive.raw/RTDC4016/ "%USERPROFILE%\AppData\Local\Temp\OnboardLogs"\RTDC4016\2017-02-21 --exclude "*" --recursive --include "*20170221*" &amp; "%USERPROFILE%\Documents\GitHub\mrs-test-scripts\Headless Mode &amp; Sideloading\WalkAndUnGZ.bat" "%USERPROFILE%\AppData\Local\Temp\OnboardLogs"\RTDC4016\2017-02-21</v>
      </c>
      <c r="AF45" s="82" t="str">
        <f t="shared" si="10"/>
        <v>"C:\Program Files (x86)\AstroGrep\AstroGrep.exe" /spath="%USERPROFILE%\AppData\Local\Temp\OnboardLogs" /stypes="app*4016*20170220*" /stext=" 14:.+((SYSTEM_STATE.+slice.+state.+changed )|(ment ac)|(multiple cpu faults)|(system.+state.+changed )|(\[timeout)|(PRM\|1\|D)|(kpr)|(kdp)|(\|lc)|(penalty))" /e /r /s</v>
      </c>
      <c r="AG45" s="1" t="str">
        <f t="shared" si="47"/>
        <v>EC</v>
      </c>
      <c r="AH45" s="86" t="str">
        <f t="shared" si="15"/>
        <v>"%USERPROFILE%\Documents\GitHub\eaglep3\Utilities\RefineRTDCRunTimes.py" --tripid 129-20 --locoid 4016 --swversion DE.1.0.9.0 --startMP 204:462 --initTime 2017-02-20T07:09:35 --startdatetime 2017-02-20T07:15:15 --delay 1 --endMP 204:233308 --enddatetime 2017-02-20T07:51:12 --enforcementcount 0 &gt;&gt;C:\Users\stu\Documents\GitHub\eaglep3-reporting\EC\2017-02-20-refined-times.txt</v>
      </c>
      <c r="AI45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{"issue":{"subject":"","project_id":79,"tracker_id":40,"status_id":1,"priority_id":2,"assigned_to_id":23,"start_date":"2017-02-20","description":"","custom_fields":[{"id":1,"name":"Subdivision","value":"EC"},{"id":4,"name":"Milepost","value":"23.3308"},{"id":17,"name":"Train ID","value":"129-20"},{"id":16,"name":"Locomotive ID","value":"4016"},{"id":130,"name":"Impact","value":""},{"id":150,"name":"Time of Event (Mountain Time)","value":"07:51:12"},{"id":151,"name":"Denver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48"/>
      <c r="AK45" s="48"/>
      <c r="AL45" s="48"/>
      <c r="AM45" s="154" t="str">
        <f t="shared" si="17"/>
        <v>start /low /b %USERPROFILE%\Documents\GitHub\eaglep3\Utilities\DownloadLogsFromS3.py --loco 4016 --day 2017-02-20</v>
      </c>
      <c r="AN45" s="163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"%USERPROFILE%\AppData\Local\Temp\OnboardLogs"\RTDC4016\*4016*20170220* | grep -SE "(Enforcement Action)|(\[TIMEOUT)|(CHR.+\|PRM\|1\|D.+(SWITCH|SIGNAL).+UNKNOWN)" - &gt;&gt; 2017-02-20-UncaughtWiMAX.txt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463</v>
      </c>
      <c r="B46" s="7">
        <v>4015</v>
      </c>
      <c r="C46" s="21" t="s">
        <v>408</v>
      </c>
      <c r="D46" s="21" t="s">
        <v>439</v>
      </c>
      <c r="E46" s="13">
        <v>42786.335833333331</v>
      </c>
      <c r="F46" s="13">
        <v>42786.341122685182</v>
      </c>
      <c r="G46" s="7">
        <v>1</v>
      </c>
      <c r="H46" s="21" t="s">
        <v>213</v>
      </c>
      <c r="I46" s="13">
        <v>42786.368368055555</v>
      </c>
      <c r="J46" s="7">
        <v>0</v>
      </c>
      <c r="K46" s="98" t="str">
        <f t="shared" si="37"/>
        <v>4015/4016</v>
      </c>
      <c r="L46" s="21" t="str">
        <f>VLOOKUP(A46,'Trips&amp;Operators'!$C$1:$G$99999,5,FALSE)</f>
        <v>ROBINSON KADDIBA</v>
      </c>
      <c r="M46" s="6">
        <f t="shared" si="38"/>
        <v>2.7245370372838806E-2</v>
      </c>
      <c r="N46" s="7">
        <f t="shared" si="39"/>
        <v>39.233333336887881</v>
      </c>
      <c r="O46" s="7"/>
      <c r="P46" s="7"/>
      <c r="Q46" s="22"/>
      <c r="R46" s="22"/>
      <c r="S46" s="31">
        <f t="shared" si="40"/>
        <v>1</v>
      </c>
      <c r="T46" s="46" t="str">
        <f t="shared" si="41"/>
        <v>Southbound</v>
      </c>
      <c r="U46" s="186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7" t="str">
        <f t="shared" si="3"/>
        <v>https://d0f6bd738d7f1b3e5a7ca70fe4ff75f0.us-east-1.aws.found.io/app/kibana#/discover/Steve-Slow-Train-Analysis-(2080s-and-2083s)?_g=(refreshInterval:(display:Off,pause:!f,section:0,value:0),time:(from:'2017-02-20T07:03:36-0700',mode:absolute,to:'2017-02-20T09:50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6" s="188" t="str">
        <f t="shared" si="42"/>
        <v>N</v>
      </c>
      <c r="X46" s="188">
        <f t="shared" si="48"/>
        <v>1</v>
      </c>
      <c r="Y46" s="62">
        <f t="shared" si="43"/>
        <v>23.299399999999999</v>
      </c>
      <c r="Z46" s="62">
        <f t="shared" si="44"/>
        <v>1.54E-2</v>
      </c>
      <c r="AA46" s="62">
        <f t="shared" si="45"/>
        <v>23.283999999999999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 t="shared" si="46"/>
        <v>0130-20</v>
      </c>
      <c r="AE46" s="85" t="str">
        <f t="shared" si="9"/>
        <v>aws s3 cp s3://rtdc.mdm.uploadarchive.raw/RTDC4015/ "%USERPROFILE%\AppData\Local\Temp\OnboardLogs"\RTDC4015\2017-02-20 --exclude "*" --recursive --include "*20170220*" &amp; "%USERPROFILE%\Documents\GitHub\mrs-test-scripts\Headless Mode &amp; Sideloading\WalkAndUnGZ.bat" "%USERPROFILE%\AppData\Local\Temp\OnboardLogs"\RTDC4015\2017-02-20 &amp; aws s3 cp s3://rtdc.mdm.uploadarchive.raw/RTDC4015/ "%USERPROFILE%\AppData\Local\Temp\OnboardLogs"\RTDC4015\2017-02-21 --exclude "*" --recursive --include "*20170221*" &amp; "%USERPROFILE%\Documents\GitHub\mrs-test-scripts\Headless Mode &amp; Sideloading\WalkAndUnGZ.bat" "%USERPROFILE%\AppData\Local\Temp\OnboardLogs"\RTDC4015\2017-02-21</v>
      </c>
      <c r="AF46" s="82" t="str">
        <f t="shared" si="10"/>
        <v>"C:\Program Files (x86)\AstroGrep\AstroGrep.exe" /spath="%USERPROFILE%\AppData\Local\Temp\OnboardLogs" /stypes="app*4015*20170220*" /stext=" 15:.+((SYSTEM_STATE.+slice.+state.+changed )|(ment ac)|(multiple cpu faults)|(system.+state.+changed )|(\[timeout)|(PRM\|1\|D)|(kpr)|(kdp)|(\|lc)|(penalty))" /e /r /s</v>
      </c>
      <c r="AG46" s="1" t="str">
        <f t="shared" si="47"/>
        <v>EC</v>
      </c>
      <c r="AH46" s="86" t="str">
        <f t="shared" si="15"/>
        <v>"%USERPROFILE%\Documents\GitHub\eaglep3\Utilities\RefineRTDCRunTimes.py" --tripid 130-20 --locoid 4015 --swversion DE.1.0.9.0 --startMP 204:232994 --initTime 2017-02-20T08:03:36 --startdatetime 2017-02-20T08:11:13 --delay 1 --endMP 204:154 --enddatetime 2017-02-20T08:50:27 --enforcementcount 0 &gt;&gt;C:\Users\stu\Documents\GitHub\eaglep3-reporting\EC\2017-02-20-refined-times.txt</v>
      </c>
      <c r="AI46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{"issue":{"subject":"","project_id":79,"tracker_id":40,"status_id":1,"priority_id":2,"assigned_to_id":23,"start_date":"2017-02-20","description":"","custom_fields":[{"id":1,"name":"Subdivision","value":"EC"},{"id":4,"name":"Milepost","value":"0.0154"},{"id":17,"name":"Train ID","value":"130-20"},{"id":16,"name":"Locomotive ID","value":"4015"},{"id":130,"name":"Impact","value":""},{"id":150,"name":"Time of Event (Mountain Time)","value":"08:50:27"},{"id":151,"name":"Denver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48"/>
      <c r="AK46" s="48"/>
      <c r="AL46" s="48"/>
      <c r="AM46" s="154" t="str">
        <f t="shared" si="17"/>
        <v>start /low /b %USERPROFILE%\Documents\GitHub\eaglep3\Utilities\DownloadLogsFromS3.py --loco 4015 --day 2017-02-20</v>
      </c>
      <c r="AN46" s="163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"%USERPROFILE%\AppData\Local\Temp\OnboardLogs"\RTDC4015\*4015*20170220* | grep -SE "(Enforcement Action)|(\[TIMEOUT)|(CHR.+\|PRM\|1\|D.+(SWITCH|SIGNAL).+UNKNOWN)" - &gt;&gt; 2017-02-20-UncaughtWiMAX.txt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531</v>
      </c>
      <c r="B47" s="7">
        <v>4027</v>
      </c>
      <c r="C47" s="21" t="s">
        <v>408</v>
      </c>
      <c r="D47" s="21" t="s">
        <v>204</v>
      </c>
      <c r="E47" s="13">
        <v>42786.305752314816</v>
      </c>
      <c r="F47" s="13">
        <v>42786.312662037039</v>
      </c>
      <c r="G47" s="7">
        <v>1</v>
      </c>
      <c r="H47" s="21" t="s">
        <v>721</v>
      </c>
      <c r="I47" s="13">
        <v>42786.337164351855</v>
      </c>
      <c r="J47" s="7">
        <v>0</v>
      </c>
      <c r="K47" s="98" t="str">
        <f t="shared" si="37"/>
        <v>4027/4028</v>
      </c>
      <c r="L47" s="21" t="str">
        <f>VLOOKUP(A47,'Trips&amp;Operators'!$C$1:$G$99999,5,FALSE)</f>
        <v>YANAI IAN</v>
      </c>
      <c r="M47" s="6">
        <f t="shared" si="38"/>
        <v>2.4502314816345461E-2</v>
      </c>
      <c r="N47" s="7">
        <f t="shared" si="39"/>
        <v>35.283333335537463</v>
      </c>
      <c r="O47" s="7"/>
      <c r="P47" s="7"/>
      <c r="Q47" s="22"/>
      <c r="R47" s="22"/>
      <c r="S47" s="31">
        <f t="shared" si="40"/>
        <v>1</v>
      </c>
      <c r="T47" s="46" t="str">
        <f t="shared" si="41"/>
        <v>NorthBound</v>
      </c>
      <c r="U47" s="186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7" t="str">
        <f t="shared" si="3"/>
        <v>https://d0f6bd738d7f1b3e5a7ca70fe4ff75f0.us-east-1.aws.found.io/app/kibana#/discover/Steve-Slow-Train-Analysis-(2080s-and-2083s)?_g=(refreshInterval:(display:Off,pause:!f,section:0,value:0),time:(from:'2017-02-20T06:20:17-0700',mode:absolute,to:'2017-02-20T09:05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7" s="188" t="str">
        <f t="shared" si="42"/>
        <v>N</v>
      </c>
      <c r="X47" s="188">
        <f t="shared" si="48"/>
        <v>1</v>
      </c>
      <c r="Y47" s="62">
        <f t="shared" si="43"/>
        <v>4.6199999999999998E-2</v>
      </c>
      <c r="Z47" s="62">
        <f t="shared" si="44"/>
        <v>23.331399999999999</v>
      </c>
      <c r="AA47" s="62">
        <f t="shared" si="45"/>
        <v>23.2852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 t="shared" si="46"/>
        <v>0131-20</v>
      </c>
      <c r="AE47" s="85" t="str">
        <f t="shared" si="9"/>
        <v>aws s3 cp s3://rtdc.mdm.uploadarchive.raw/RTDC4027/ "%USERPROFILE%\AppData\Local\Temp\OnboardLogs"\RTDC4027\2017-02-20 --exclude "*" --recursive --include "*20170220*" &amp; "%USERPROFILE%\Documents\GitHub\mrs-test-scripts\Headless Mode &amp; Sideloading\WalkAndUnGZ.bat" "%USERPROFILE%\AppData\Local\Temp\OnboardLogs"\RTDC4027\2017-02-20 &amp; aws s3 cp s3://rtdc.mdm.uploadarchive.raw/RTDC4027/ "%USERPROFILE%\AppData\Local\Temp\OnboardLogs"\RTDC4027\2017-02-21 --exclude "*" --recursive --include "*20170221*" &amp; "%USERPROFILE%\Documents\GitHub\mrs-test-scripts\Headless Mode &amp; Sideloading\WalkAndUnGZ.bat" "%USERPROFILE%\AppData\Local\Temp\OnboardLogs"\RTDC4027\2017-02-21</v>
      </c>
      <c r="AF47" s="82" t="str">
        <f t="shared" si="10"/>
        <v>"C:\Program Files (x86)\AstroGrep\AstroGrep.exe" /spath="%USERPROFILE%\AppData\Local\Temp\OnboardLogs" /stypes="app*4027*20170220*" /stext=" 15:.+((SYSTEM_STATE.+slice.+state.+changed )|(ment ac)|(multiple cpu faults)|(system.+state.+changed )|(\[timeout)|(PRM\|1\|D)|(kpr)|(kdp)|(\|lc)|(penalty))" /e /r /s</v>
      </c>
      <c r="AG47" s="1" t="str">
        <f t="shared" si="47"/>
        <v>EC</v>
      </c>
      <c r="AH47" s="86" t="str">
        <f t="shared" si="15"/>
        <v>"%USERPROFILE%\Documents\GitHub\eaglep3\Utilities\RefineRTDCRunTimes.py" --tripid 131-20 --locoid 4027 --swversion DE.1.0.9.0 --startMP 204:462 --initTime 2017-02-20T07:20:17 --startdatetime 2017-02-20T07:30:14 --delay 1 --endMP 204:233314 --enddatetime 2017-02-20T08:05:31 --enforcementcount 0 &gt;&gt;C:\Users\stu\Documents\GitHub\eaglep3-reporting\EC\2017-02-20-refined-times.txt</v>
      </c>
      <c r="AI47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{"issue":{"subject":"","project_id":79,"tracker_id":40,"status_id":1,"priority_id":2,"assigned_to_id":23,"start_date":"2017-02-20","description":"","custom_fields":[{"id":1,"name":"Subdivision","value":"EC"},{"id":4,"name":"Milepost","value":"23.3314"},{"id":17,"name":"Train ID","value":"131-20"},{"id":16,"name":"Locomotive ID","value":"4027"},{"id":130,"name":"Impact","value":""},{"id":150,"name":"Time of Event (Mountain Time)","value":"08:05:31"},{"id":151,"name":"Denver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48"/>
      <c r="AK47" s="48"/>
      <c r="AL47" s="48"/>
      <c r="AM47" s="154" t="str">
        <f t="shared" si="17"/>
        <v>start /low /b %USERPROFILE%\Documents\GitHub\eaglep3\Utilities\DownloadLogsFromS3.py --loco 4027 --day 2017-02-20</v>
      </c>
      <c r="AN47" s="163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"%USERPROFILE%\AppData\Local\Temp\OnboardLogs"\RTDC4027\*4027*20170220* | grep -SE "(Enforcement Action)|(\[TIMEOUT)|(CHR.+\|PRM\|1\|D.+(SWITCH|SIGNAL).+UNKNOWN)" - &gt;&gt; 2017-02-20-UncaughtWiMAX.txt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540</v>
      </c>
      <c r="B48" s="7">
        <v>4028</v>
      </c>
      <c r="C48" s="21" t="s">
        <v>408</v>
      </c>
      <c r="D48" s="21" t="s">
        <v>441</v>
      </c>
      <c r="E48" s="13">
        <v>42786.339699074073</v>
      </c>
      <c r="F48" s="13">
        <v>42786.351574074077</v>
      </c>
      <c r="G48" s="7">
        <v>1</v>
      </c>
      <c r="H48" s="21" t="s">
        <v>206</v>
      </c>
      <c r="I48" s="13">
        <v>42786.377453703702</v>
      </c>
      <c r="J48" s="7">
        <v>0</v>
      </c>
      <c r="K48" s="98" t="str">
        <f t="shared" si="37"/>
        <v>4027/4028</v>
      </c>
      <c r="L48" s="21" t="str">
        <f>VLOOKUP(A48,'Trips&amp;Operators'!$C$1:$G$99999,5,FALSE)</f>
        <v>YANAI IAN</v>
      </c>
      <c r="M48" s="6">
        <f t="shared" si="38"/>
        <v>2.5879629625706002E-2</v>
      </c>
      <c r="N48" s="7">
        <f t="shared" si="39"/>
        <v>37.266666661016643</v>
      </c>
      <c r="O48" s="7"/>
      <c r="P48" s="7"/>
      <c r="Q48" s="22"/>
      <c r="R48" s="22"/>
      <c r="S48" s="31">
        <f t="shared" si="40"/>
        <v>1</v>
      </c>
      <c r="T48" s="46" t="str">
        <f t="shared" si="41"/>
        <v>Southbound</v>
      </c>
      <c r="U48" s="186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7" t="str">
        <f t="shared" si="3"/>
        <v>https://d0f6bd738d7f1b3e5a7ca70fe4ff75f0.us-east-1.aws.found.io/app/kibana#/discover/Steve-Slow-Train-Analysis-(2080s-and-2083s)?_g=(refreshInterval:(display:Off,pause:!f,section:0,value:0),time:(from:'2017-02-20T07:09:10-0700',mode:absolute,to:'2017-02-20T10:03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8" s="188" t="str">
        <f t="shared" si="42"/>
        <v>N</v>
      </c>
      <c r="X48" s="188">
        <f t="shared" si="48"/>
        <v>1</v>
      </c>
      <c r="Y48" s="62">
        <f t="shared" si="43"/>
        <v>23.298400000000001</v>
      </c>
      <c r="Z48" s="62">
        <f t="shared" si="44"/>
        <v>1.52E-2</v>
      </c>
      <c r="AA48" s="62">
        <f t="shared" si="45"/>
        <v>23.283200000000001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 t="shared" si="46"/>
        <v>0132-20</v>
      </c>
      <c r="AE48" s="85" t="str">
        <f t="shared" si="9"/>
        <v>aws s3 cp s3://rtdc.mdm.uploadarchive.raw/RTDC4028/ "%USERPROFILE%\AppData\Local\Temp\OnboardLogs"\RTDC4028\2017-02-20 --exclude "*" --recursive --include "*20170220*" &amp; "%USERPROFILE%\Documents\GitHub\mrs-test-scripts\Headless Mode &amp; Sideloading\WalkAndUnGZ.bat" "%USERPROFILE%\AppData\Local\Temp\OnboardLogs"\RTDC4028\2017-02-20 &amp; aws s3 cp s3://rtdc.mdm.uploadarchive.raw/RTDC4028/ "%USERPROFILE%\AppData\Local\Temp\OnboardLogs"\RTDC4028\2017-02-21 --exclude "*" --recursive --include "*20170221*" &amp; "%USERPROFILE%\Documents\GitHub\mrs-test-scripts\Headless Mode &amp; Sideloading\WalkAndUnGZ.bat" "%USERPROFILE%\AppData\Local\Temp\OnboardLogs"\RTDC4028\2017-02-21</v>
      </c>
      <c r="AF48" s="82" t="str">
        <f t="shared" si="10"/>
        <v>"C:\Program Files (x86)\AstroGrep\AstroGrep.exe" /spath="%USERPROFILE%\AppData\Local\Temp\OnboardLogs" /stypes="app*4028*20170220*" /stext=" 16:.+((SYSTEM_STATE.+slice.+state.+changed )|(ment ac)|(multiple cpu faults)|(system.+state.+changed )|(\[timeout)|(PRM\|1\|D)|(kpr)|(kdp)|(\|lc)|(penalty))" /e /r /s</v>
      </c>
      <c r="AG48" s="1" t="str">
        <f t="shared" si="47"/>
        <v>EC</v>
      </c>
      <c r="AH48" s="86" t="str">
        <f t="shared" si="15"/>
        <v>"%USERPROFILE%\Documents\GitHub\eaglep3\Utilities\RefineRTDCRunTimes.py" --tripid 132-20 --locoid 4028 --swversion DE.1.0.9.0 --startMP 204:232984 --initTime 2017-02-20T08:09:10 --startdatetime 2017-02-20T08:26:16 --delay 1 --endMP 204:152 --enddatetime 2017-02-20T09:03:32 --enforcementcount 0 &gt;&gt;C:\Users\stu\Documents\GitHub\eaglep3-reporting\EC\2017-02-20-refined-times.txt</v>
      </c>
      <c r="AI48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{"issue":{"subject":"","project_id":79,"tracker_id":40,"status_id":1,"priority_id":2,"assigned_to_id":23,"start_date":"2017-02-20","description":"","custom_fields":[{"id":1,"name":"Subdivision","value":"EC"},{"id":4,"name":"Milepost","value":"0.0152"},{"id":17,"name":"Train ID","value":"132-20"},{"id":16,"name":"Locomotive ID","value":"4028"},{"id":130,"name":"Impact","value":""},{"id":150,"name":"Time of Event (Mountain Time)","value":"09:03:32"},{"id":151,"name":"Denver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48"/>
      <c r="AK48" s="48"/>
      <c r="AL48" s="48"/>
      <c r="AM48" s="154" t="str">
        <f t="shared" si="17"/>
        <v>start /low /b %USERPROFILE%\Documents\GitHub\eaglep3\Utilities\DownloadLogsFromS3.py --loco 4028 --day 2017-02-20</v>
      </c>
      <c r="AN48" s="163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"%USERPROFILE%\AppData\Local\Temp\OnboardLogs"\RTDC4028\*4028*20170220* | grep -SE "(Enforcement Action)|(\[TIMEOUT)|(CHR.+\|PRM\|1\|D.+(SWITCH|SIGNAL).+UNKNOWN)" - &gt;&gt; 2017-02-20-UncaughtWiMAX.txt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535</v>
      </c>
      <c r="B49" s="7">
        <v>4020</v>
      </c>
      <c r="C49" s="21" t="s">
        <v>408</v>
      </c>
      <c r="D49" s="21" t="s">
        <v>256</v>
      </c>
      <c r="E49" s="13">
        <v>42786.318784722222</v>
      </c>
      <c r="F49" s="13">
        <v>42786.323113425926</v>
      </c>
      <c r="G49" s="7">
        <v>3</v>
      </c>
      <c r="H49" s="21" t="s">
        <v>306</v>
      </c>
      <c r="I49" s="13">
        <v>42786.348287037035</v>
      </c>
      <c r="J49" s="7">
        <v>0</v>
      </c>
      <c r="K49" s="98" t="str">
        <f t="shared" si="37"/>
        <v>4019/4020</v>
      </c>
      <c r="L49" s="21" t="str">
        <f>VLOOKUP(A49,'Trips&amp;Operators'!$C$1:$G$99999,5,FALSE)</f>
        <v>STARKS ANGELINA</v>
      </c>
      <c r="M49" s="6">
        <f t="shared" si="38"/>
        <v>2.5173611109494232E-2</v>
      </c>
      <c r="N49" s="7">
        <f t="shared" si="39"/>
        <v>36.249999997671694</v>
      </c>
      <c r="O49" s="7"/>
      <c r="P49" s="7"/>
      <c r="Q49" s="22"/>
      <c r="R49" s="22"/>
      <c r="S49" s="31">
        <f t="shared" si="40"/>
        <v>1</v>
      </c>
      <c r="T49" s="46" t="str">
        <f t="shared" si="41"/>
        <v>NorthBound</v>
      </c>
      <c r="U49" s="186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7" t="str">
        <f t="shared" si="3"/>
        <v>https://d0f6bd738d7f1b3e5a7ca70fe4ff75f0.us-east-1.aws.found.io/app/kibana#/discover/Steve-Slow-Train-Analysis-(2080s-and-2083s)?_g=(refreshInterval:(display:Off,pause:!f,section:0,value:0),time:(from:'2017-02-20T06:39:03-0700',mode:absolute,to:'2017-02-20T09:21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9" s="188" t="str">
        <f t="shared" si="42"/>
        <v>N</v>
      </c>
      <c r="X49" s="188">
        <f t="shared" si="48"/>
        <v>1</v>
      </c>
      <c r="Y49" s="62">
        <f t="shared" si="43"/>
        <v>4.6699999999999998E-2</v>
      </c>
      <c r="Z49" s="62">
        <f t="shared" si="44"/>
        <v>23.3306</v>
      </c>
      <c r="AA49" s="62">
        <f t="shared" si="45"/>
        <v>23.283899999999999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 t="shared" si="46"/>
        <v>0133-20</v>
      </c>
      <c r="AE49" s="85" t="str">
        <f t="shared" si="9"/>
        <v>aws s3 cp s3://rtdc.mdm.uploadarchive.raw/RTDC4020/ "%USERPROFILE%\AppData\Local\Temp\OnboardLogs"\RTDC4020\2017-02-20 --exclude "*" --recursive --include "*20170220*" &amp; "%USERPROFILE%\Documents\GitHub\mrs-test-scripts\Headless Mode &amp; Sideloading\WalkAndUnGZ.bat" "%USERPROFILE%\AppData\Local\Temp\OnboardLogs"\RTDC4020\2017-02-20 &amp; aws s3 cp s3://rtdc.mdm.uploadarchive.raw/RTDC4020/ "%USERPROFILE%\AppData\Local\Temp\OnboardLogs"\RTDC4020\2017-02-21 --exclude "*" --recursive --include "*20170221*" &amp; "%USERPROFILE%\Documents\GitHub\mrs-test-scripts\Headless Mode &amp; Sideloading\WalkAndUnGZ.bat" "%USERPROFILE%\AppData\Local\Temp\OnboardLogs"\RTDC4020\2017-02-21</v>
      </c>
      <c r="AF49" s="82" t="str">
        <f t="shared" si="10"/>
        <v>"C:\Program Files (x86)\AstroGrep\AstroGrep.exe" /spath="%USERPROFILE%\AppData\Local\Temp\OnboardLogs" /stypes="app*4020*20170220*" /stext=" 15:.+((SYSTEM_STATE.+slice.+state.+changed )|(ment ac)|(multiple cpu faults)|(system.+state.+changed )|(\[timeout)|(PRM\|1\|D)|(kpr)|(kdp)|(\|lc)|(penalty))" /e /r /s</v>
      </c>
      <c r="AG49" s="1" t="str">
        <f t="shared" si="47"/>
        <v>EC</v>
      </c>
      <c r="AH49" s="86" t="str">
        <f t="shared" si="15"/>
        <v>"%USERPROFILE%\Documents\GitHub\eaglep3\Utilities\RefineRTDCRunTimes.py" --tripid 133-20 --locoid 4020 --swversion DE.1.0.9.0 --startMP 204:467 --initTime 2017-02-20T07:39:03 --startdatetime 2017-02-20T07:45:17 --delay 3 --endMP 204:233306 --enddatetime 2017-02-20T08:21:32 --enforcementcount 0 &gt;&gt;C:\Users\stu\Documents\GitHub\eaglep3-reporting\EC\2017-02-20-refined-times.txt</v>
      </c>
      <c r="AI49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{"issue":{"subject":"","project_id":79,"tracker_id":40,"status_id":1,"priority_id":2,"assigned_to_id":23,"start_date":"2017-02-20","description":"","custom_fields":[{"id":1,"name":"Subdivision","value":"EC"},{"id":4,"name":"Milepost","value":"23.3306"},{"id":17,"name":"Train ID","value":"133-20"},{"id":16,"name":"Locomotive ID","value":"4020"},{"id":130,"name":"Impact","value":""},{"id":150,"name":"Time of Event (Mountain Time)","value":"08:21:32"},{"id":151,"name":"Denver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48"/>
      <c r="AK49" s="48"/>
      <c r="AL49" s="48"/>
      <c r="AM49" s="154" t="str">
        <f t="shared" si="17"/>
        <v>start /low /b %USERPROFILE%\Documents\GitHub\eaglep3\Utilities\DownloadLogsFromS3.py --loco 4020 --day 2017-02-20</v>
      </c>
      <c r="AN49" s="163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"%USERPROFILE%\AppData\Local\Temp\OnboardLogs"\RTDC4020\*4020*20170220* | grep -SE "(Enforcement Action)|(\[TIMEOUT)|(CHR.+\|PRM\|1\|D.+(SWITCH|SIGNAL).+UNKNOWN)" - &gt;&gt; 2017-02-20-UncaughtWiMAX.txt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546</v>
      </c>
      <c r="B50" s="7">
        <v>4019</v>
      </c>
      <c r="C50" s="21" t="s">
        <v>408</v>
      </c>
      <c r="D50" s="21" t="s">
        <v>722</v>
      </c>
      <c r="E50" s="13">
        <v>42786.360011574077</v>
      </c>
      <c r="F50" s="13">
        <v>42786.361979166664</v>
      </c>
      <c r="G50" s="7">
        <v>1</v>
      </c>
      <c r="H50" s="21" t="s">
        <v>269</v>
      </c>
      <c r="I50" s="13">
        <v>42786.388506944444</v>
      </c>
      <c r="J50" s="7">
        <v>0</v>
      </c>
      <c r="K50" s="98" t="str">
        <f t="shared" si="37"/>
        <v>4019/4020</v>
      </c>
      <c r="L50" s="21" t="str">
        <f>VLOOKUP(A50,'Trips&amp;Operators'!$C$1:$G$99999,5,FALSE)</f>
        <v>STARKS ANGELINA</v>
      </c>
      <c r="M50" s="6">
        <f t="shared" si="38"/>
        <v>2.6527777779847383E-2</v>
      </c>
      <c r="N50" s="7">
        <f t="shared" si="39"/>
        <v>38.200000002980232</v>
      </c>
      <c r="O50" s="7"/>
      <c r="P50" s="7"/>
      <c r="Q50" s="22"/>
      <c r="R50" s="22"/>
      <c r="S50" s="31">
        <f t="shared" si="40"/>
        <v>1</v>
      </c>
      <c r="T50" s="46" t="str">
        <f t="shared" si="41"/>
        <v>Southbound</v>
      </c>
      <c r="U50" s="186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7" t="str">
        <f t="shared" si="3"/>
        <v>https://d0f6bd738d7f1b3e5a7ca70fe4ff75f0.us-east-1.aws.found.io/app/kibana#/discover/Steve-Slow-Train-Analysis-(2080s-and-2083s)?_g=(refreshInterval:(display:Off,pause:!f,section:0,value:0),time:(from:'2017-02-20T07:38:25-0700',mode:absolute,to:'2017-02-20T10:19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0" s="188" t="str">
        <f t="shared" si="42"/>
        <v>N</v>
      </c>
      <c r="X50" s="188">
        <f t="shared" si="48"/>
        <v>1</v>
      </c>
      <c r="Y50" s="62">
        <f t="shared" si="43"/>
        <v>23.298100000000002</v>
      </c>
      <c r="Z50" s="62">
        <f t="shared" si="44"/>
        <v>1.61E-2</v>
      </c>
      <c r="AA50" s="62">
        <f t="shared" si="45"/>
        <v>23.282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 t="shared" si="46"/>
        <v>0134-20</v>
      </c>
      <c r="AE50" s="85" t="str">
        <f t="shared" si="9"/>
        <v>aws s3 cp s3://rtdc.mdm.uploadarchive.raw/RTDC4019/ "%USERPROFILE%\AppData\Local\Temp\OnboardLogs"\RTDC4019\2017-02-20 --exclude "*" --recursive --include "*20170220*" &amp; "%USERPROFILE%\Documents\GitHub\mrs-test-scripts\Headless Mode &amp; Sideloading\WalkAndUnGZ.bat" "%USERPROFILE%\AppData\Local\Temp\OnboardLogs"\RTDC4019\2017-02-20 &amp; aws s3 cp s3://rtdc.mdm.uploadarchive.raw/RTDC4019/ "%USERPROFILE%\AppData\Local\Temp\OnboardLogs"\RTDC4019\2017-02-21 --exclude "*" --recursive --include "*20170221*" &amp; "%USERPROFILE%\Documents\GitHub\mrs-test-scripts\Headless Mode &amp; Sideloading\WalkAndUnGZ.bat" "%USERPROFILE%\AppData\Local\Temp\OnboardLogs"\RTDC4019\2017-02-21</v>
      </c>
      <c r="AF50" s="82" t="str">
        <f t="shared" si="10"/>
        <v>"C:\Program Files (x86)\AstroGrep\AstroGrep.exe" /spath="%USERPROFILE%\AppData\Local\Temp\OnboardLogs" /stypes="app*4019*20170220*" /stext=" 16:.+((SYSTEM_STATE.+slice.+state.+changed )|(ment ac)|(multiple cpu faults)|(system.+state.+changed )|(\[timeout)|(PRM\|1\|D)|(kpr)|(kdp)|(\|lc)|(penalty))" /e /r /s</v>
      </c>
      <c r="AG50" s="1" t="str">
        <f t="shared" si="47"/>
        <v>EC</v>
      </c>
      <c r="AH50" s="86" t="str">
        <f t="shared" si="15"/>
        <v>"%USERPROFILE%\Documents\GitHub\eaglep3\Utilities\RefineRTDCRunTimes.py" --tripid 134-20 --locoid 4019 --swversion DE.1.0.9.0 --startMP 204:232981 --initTime 2017-02-20T08:38:25 --startdatetime 2017-02-20T08:41:15 --delay 1 --endMP 204:161 --enddatetime 2017-02-20T09:19:27 --enforcementcount 0 &gt;&gt;C:\Users\stu\Documents\GitHub\eaglep3-reporting\EC\2017-02-20-refined-times.txt</v>
      </c>
      <c r="AI50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{"issue":{"subject":"","project_id":79,"tracker_id":40,"status_id":1,"priority_id":2,"assigned_to_id":23,"start_date":"2017-02-20","description":"","custom_fields":[{"id":1,"name":"Subdivision","value":"EC"},{"id":4,"name":"Milepost","value":"0.0161"},{"id":17,"name":"Train ID","value":"134-20"},{"id":16,"name":"Locomotive ID","value":"4019"},{"id":130,"name":"Impact","value":""},{"id":150,"name":"Time of Event (Mountain Time)","value":"09:19:27"},{"id":151,"name":"Denver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48"/>
      <c r="AK50" s="48"/>
      <c r="AL50" s="48"/>
      <c r="AM50" s="154" t="str">
        <f t="shared" si="17"/>
        <v>start /low /b %USERPROFILE%\Documents\GitHub\eaglep3\Utilities\DownloadLogsFromS3.py --loco 4019 --day 2017-02-20</v>
      </c>
      <c r="AN50" s="163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"%USERPROFILE%\AppData\Local\Temp\OnboardLogs"\RTDC4019\*4019*20170220* | grep -SE "(Enforcement Action)|(\[TIMEOUT)|(CHR.+\|PRM\|1\|D.+(SWITCH|SIGNAL).+UNKNOWN)" - &gt;&gt; 2017-02-20-UncaughtWiMAX.txt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537</v>
      </c>
      <c r="B51" s="7">
        <v>4046</v>
      </c>
      <c r="C51" s="21" t="s">
        <v>408</v>
      </c>
      <c r="D51" s="21" t="s">
        <v>290</v>
      </c>
      <c r="E51" s="13">
        <v>42786.3280787037</v>
      </c>
      <c r="F51" s="13">
        <v>42786.333668981482</v>
      </c>
      <c r="G51" s="7">
        <v>1</v>
      </c>
      <c r="H51" s="21" t="s">
        <v>717</v>
      </c>
      <c r="I51" s="13">
        <v>42786.359016203707</v>
      </c>
      <c r="J51" s="7">
        <v>0</v>
      </c>
      <c r="K51" s="98" t="str">
        <f t="shared" si="37"/>
        <v>4045/4046</v>
      </c>
      <c r="L51" s="21" t="str">
        <f>VLOOKUP(A51,'Trips&amp;Operators'!$C$1:$G$99999,5,FALSE)</f>
        <v>BONDS REYNALDO</v>
      </c>
      <c r="M51" s="6">
        <f t="shared" si="38"/>
        <v>2.5347222224809229E-2</v>
      </c>
      <c r="N51" s="7">
        <f t="shared" si="39"/>
        <v>36.50000000372529</v>
      </c>
      <c r="O51" s="7"/>
      <c r="P51" s="7"/>
      <c r="Q51" s="22"/>
      <c r="R51" s="22"/>
      <c r="S51" s="31">
        <f t="shared" si="40"/>
        <v>1</v>
      </c>
      <c r="T51" s="46" t="str">
        <f t="shared" si="41"/>
        <v>NorthBound</v>
      </c>
      <c r="U51" s="186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7" t="str">
        <f t="shared" si="3"/>
        <v>https://d0f6bd738d7f1b3e5a7ca70fe4ff75f0.us-east-1.aws.found.io/app/kibana#/discover/Steve-Slow-Train-Analysis-(2080s-and-2083s)?_g=(refreshInterval:(display:Off,pause:!f,section:0,value:0),time:(from:'2017-02-20T06:52:26-0700',mode:absolute,to:'2017-02-20T09:36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51" s="188" t="str">
        <f t="shared" si="42"/>
        <v>N</v>
      </c>
      <c r="X51" s="188">
        <f t="shared" si="48"/>
        <v>1</v>
      </c>
      <c r="Y51" s="62">
        <f t="shared" si="43"/>
        <v>4.4400000000000002E-2</v>
      </c>
      <c r="Z51" s="62">
        <f t="shared" si="44"/>
        <v>23.328600000000002</v>
      </c>
      <c r="AA51" s="62">
        <f t="shared" si="45"/>
        <v>23.284200000000002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 t="shared" si="46"/>
        <v>0135-20</v>
      </c>
      <c r="AE51" s="85" t="str">
        <f t="shared" si="9"/>
        <v>aws s3 cp s3://rtdc.mdm.uploadarchive.raw/RTDC4046/ "%USERPROFILE%\AppData\Local\Temp\OnboardLogs"\RTDC4046\2017-02-20 --exclude "*" --recursive --include "*20170220*" &amp; "%USERPROFILE%\Documents\GitHub\mrs-test-scripts\Headless Mode &amp; Sideloading\WalkAndUnGZ.bat" "%USERPROFILE%\AppData\Local\Temp\OnboardLogs"\RTDC4046\2017-02-20 &amp; aws s3 cp s3://rtdc.mdm.uploadarchive.raw/RTDC4046/ "%USERPROFILE%\AppData\Local\Temp\OnboardLogs"\RTDC4046\2017-02-21 --exclude "*" --recursive --include "*20170221*" &amp; "%USERPROFILE%\Documents\GitHub\mrs-test-scripts\Headless Mode &amp; Sideloading\WalkAndUnGZ.bat" "%USERPROFILE%\AppData\Local\Temp\OnboardLogs"\RTDC4046\2017-02-21</v>
      </c>
      <c r="AF51" s="82" t="str">
        <f t="shared" si="10"/>
        <v>"C:\Program Files (x86)\AstroGrep\AstroGrep.exe" /spath="%USERPROFILE%\AppData\Local\Temp\OnboardLogs" /stypes="app*4046*20170220*" /stext=" 15:.+((SYSTEM_STATE.+slice.+state.+changed )|(ment ac)|(multiple cpu faults)|(system.+state.+changed )|(\[timeout)|(PRM\|1\|D)|(kpr)|(kdp)|(\|lc)|(penalty))" /e /r /s</v>
      </c>
      <c r="AG51" s="1" t="str">
        <f t="shared" si="47"/>
        <v>EC</v>
      </c>
      <c r="AH51" s="86" t="str">
        <f t="shared" si="15"/>
        <v>"%USERPROFILE%\Documents\GitHub\eaglep3\Utilities\RefineRTDCRunTimes.py" --tripid 135-20 --locoid 4046 --swversion DE.1.0.9.0 --startMP 204:444 --initTime 2017-02-20T07:52:26 --startdatetime 2017-02-20T08:00:29 --delay 1 --endMP 204:233286 --enddatetime 2017-02-20T08:36:59 --enforcementcount 0 &gt;&gt;C:\Users\stu\Documents\GitHub\eaglep3-reporting\EC\2017-02-20-refined-times.txt</v>
      </c>
      <c r="AI51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{"issue":{"subject":"","project_id":79,"tracker_id":40,"status_id":1,"priority_id":2,"assigned_to_id":23,"start_date":"2017-02-20","description":"","custom_fields":[{"id":1,"name":"Subdivision","value":"EC"},{"id":4,"name":"Milepost","value":"23.3286"},{"id":17,"name":"Train ID","value":"135-20"},{"id":16,"name":"Locomotive ID","value":"4046"},{"id":130,"name":"Impact","value":""},{"id":150,"name":"Time of Event (Mountain Time)","value":"08:36:59"},{"id":151,"name":"Denver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48"/>
      <c r="AK51" s="48"/>
      <c r="AL51" s="48"/>
      <c r="AM51" s="154" t="str">
        <f t="shared" si="17"/>
        <v>start /low /b %USERPROFILE%\Documents\GitHub\eaglep3\Utilities\DownloadLogsFromS3.py --loco 4046 --day 2017-02-20</v>
      </c>
      <c r="AN51" s="163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"%USERPROFILE%\AppData\Local\Temp\OnboardLogs"\RTDC4046\*4046*20170220* | grep -SE "(Enforcement Action)|(\[TIMEOUT)|(CHR.+\|PRM\|1\|D.+(SWITCH|SIGNAL).+UNKNOWN)" - &gt;&gt; 2017-02-20-UncaughtWiMAX.txt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547</v>
      </c>
      <c r="B52" s="7">
        <v>4045</v>
      </c>
      <c r="C52" s="21" t="s">
        <v>408</v>
      </c>
      <c r="D52" s="21" t="s">
        <v>264</v>
      </c>
      <c r="E52" s="13">
        <v>42786.365474537037</v>
      </c>
      <c r="F52" s="13">
        <v>42786.372476851851</v>
      </c>
      <c r="G52" s="7">
        <v>0</v>
      </c>
      <c r="H52" s="21" t="s">
        <v>291</v>
      </c>
      <c r="I52" s="13">
        <v>42786.399895833332</v>
      </c>
      <c r="J52" s="7">
        <v>0</v>
      </c>
      <c r="K52" s="98" t="str">
        <f t="shared" si="37"/>
        <v>4045/4046</v>
      </c>
      <c r="L52" s="21" t="str">
        <f>VLOOKUP(A52,'Trips&amp;Operators'!$C$1:$G$99999,5,FALSE)</f>
        <v>BONDS REYNALDO</v>
      </c>
      <c r="M52" s="6">
        <f t="shared" si="38"/>
        <v>2.7418981480877846E-2</v>
      </c>
      <c r="N52" s="7">
        <f t="shared" si="39"/>
        <v>39.483333332464099</v>
      </c>
      <c r="O52" s="7"/>
      <c r="P52" s="7"/>
      <c r="Q52" s="22"/>
      <c r="R52" s="22"/>
      <c r="S52" s="31">
        <f t="shared" si="40"/>
        <v>1</v>
      </c>
      <c r="T52" s="46" t="str">
        <f t="shared" si="41"/>
        <v>Southbound</v>
      </c>
      <c r="U52" s="186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7" t="str">
        <f t="shared" si="3"/>
        <v>https://d0f6bd738d7f1b3e5a7ca70fe4ff75f0.us-east-1.aws.found.io/app/kibana#/discover/Steve-Slow-Train-Analysis-(2080s-and-2083s)?_g=(refreshInterval:(display:Off,pause:!f,section:0,value:0),time:(from:'2017-02-20T07:46:17-0700',mode:absolute,to:'2017-02-20T10:35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52" s="188" t="str">
        <f t="shared" si="42"/>
        <v>N</v>
      </c>
      <c r="X52" s="188">
        <f t="shared" si="48"/>
        <v>1</v>
      </c>
      <c r="Y52" s="62">
        <f t="shared" si="43"/>
        <v>23.297799999999999</v>
      </c>
      <c r="Z52" s="62">
        <f t="shared" si="44"/>
        <v>1.47E-2</v>
      </c>
      <c r="AA52" s="62">
        <f t="shared" si="45"/>
        <v>23.283099999999997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 t="shared" si="46"/>
        <v>0136-20</v>
      </c>
      <c r="AE52" s="85" t="str">
        <f t="shared" si="9"/>
        <v>aws s3 cp s3://rtdc.mdm.uploadarchive.raw/RTDC4045/ "%USERPROFILE%\AppData\Local\Temp\OnboardLogs"\RTDC4045\2017-02-20 --exclude "*" --recursive --include "*20170220*" &amp; "%USERPROFILE%\Documents\GitHub\mrs-test-scripts\Headless Mode &amp; Sideloading\WalkAndUnGZ.bat" "%USERPROFILE%\AppData\Local\Temp\OnboardLogs"\RTDC4045\2017-02-20 &amp; aws s3 cp s3://rtdc.mdm.uploadarchive.raw/RTDC4045/ "%USERPROFILE%\AppData\Local\Temp\OnboardLogs"\RTDC4045\2017-02-21 --exclude "*" --recursive --include "*20170221*" &amp; "%USERPROFILE%\Documents\GitHub\mrs-test-scripts\Headless Mode &amp; Sideloading\WalkAndUnGZ.bat" "%USERPROFILE%\AppData\Local\Temp\OnboardLogs"\RTDC4045\2017-02-21</v>
      </c>
      <c r="AF52" s="82" t="str">
        <f t="shared" si="10"/>
        <v>"C:\Program Files (x86)\AstroGrep\AstroGrep.exe" /spath="%USERPROFILE%\AppData\Local\Temp\OnboardLogs" /stypes="app*4045*20170220*" /stext=" 16:.+((SYSTEM_STATE.+slice.+state.+changed )|(ment ac)|(multiple cpu faults)|(system.+state.+changed )|(\[timeout)|(PRM\|1\|D)|(kpr)|(kdp)|(\|lc)|(penalty))" /e /r /s</v>
      </c>
      <c r="AG52" s="1" t="str">
        <f t="shared" si="47"/>
        <v>EC</v>
      </c>
      <c r="AH52" s="86" t="str">
        <f t="shared" si="15"/>
        <v>"%USERPROFILE%\Documents\GitHub\eaglep3\Utilities\RefineRTDCRunTimes.py" --tripid 136-20 --locoid 4045 --swversion DE.1.0.9.0 --startMP 204:232978 --initTime 2017-02-20T08:46:17 --startdatetime 2017-02-20T08:56:22 --delay 0 --endMP 204:147 --enddatetime 2017-02-20T09:35:51 --enforcementcount 0 &gt;&gt;C:\Users\stu\Documents\GitHub\eaglep3-reporting\EC\2017-02-20-refined-times.txt</v>
      </c>
      <c r="AI52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{"issue":{"subject":"","project_id":79,"tracker_id":40,"status_id":1,"priority_id":2,"assigned_to_id":23,"start_date":"2017-02-20","description":"","custom_fields":[{"id":1,"name":"Subdivision","value":"EC"},{"id":4,"name":"Milepost","value":"0.0147"},{"id":17,"name":"Train ID","value":"136-20"},{"id":16,"name":"Locomotive ID","value":"4045"},{"id":130,"name":"Impact","value":""},{"id":150,"name":"Time of Event (Mountain Time)","value":"09:35:51"},{"id":151,"name":"Denver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48"/>
      <c r="AK52" s="48"/>
      <c r="AL52" s="48"/>
      <c r="AM52" s="154" t="str">
        <f t="shared" si="17"/>
        <v>start /low /b %USERPROFILE%\Documents\GitHub\eaglep3\Utilities\DownloadLogsFromS3.py --loco 4045 --day 2017-02-20</v>
      </c>
      <c r="AN52" s="163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"%USERPROFILE%\AppData\Local\Temp\OnboardLogs"\RTDC4045\*4045*20170220* | grep -SE "(Enforcement Action)|(\[TIMEOUT)|(CHR.+\|PRM\|1\|D.+(SWITCH|SIGNAL).+UNKNOWN)" - &gt;&gt; 2017-02-20-UncaughtWiMAX.txt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539</v>
      </c>
      <c r="B53" s="7">
        <v>4007</v>
      </c>
      <c r="C53" s="21" t="s">
        <v>408</v>
      </c>
      <c r="D53" s="21" t="s">
        <v>364</v>
      </c>
      <c r="E53" s="13">
        <v>42786.338935185187</v>
      </c>
      <c r="F53" s="13">
        <v>42786.343935185185</v>
      </c>
      <c r="G53" s="7">
        <v>0</v>
      </c>
      <c r="H53" s="21" t="s">
        <v>721</v>
      </c>
      <c r="I53" s="13">
        <v>42786.369814814818</v>
      </c>
      <c r="J53" s="7">
        <v>0</v>
      </c>
      <c r="K53" s="98" t="str">
        <f t="shared" si="37"/>
        <v>4007/4008</v>
      </c>
      <c r="L53" s="21" t="str">
        <f>VLOOKUP(A53,'Trips&amp;Operators'!$C$1:$G$99999,5,FALSE)</f>
        <v>SHOOK JOHN</v>
      </c>
      <c r="M53" s="6">
        <f t="shared" si="38"/>
        <v>2.587962963298196E-2</v>
      </c>
      <c r="N53" s="7">
        <f t="shared" si="39"/>
        <v>37.266666671494022</v>
      </c>
      <c r="O53" s="7"/>
      <c r="P53" s="7"/>
      <c r="Q53" s="22"/>
      <c r="R53" s="22"/>
      <c r="S53" s="31">
        <f t="shared" si="40"/>
        <v>1</v>
      </c>
      <c r="T53" s="46" t="str">
        <f t="shared" si="41"/>
        <v>NorthBound</v>
      </c>
      <c r="U53" s="186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7" t="str">
        <f t="shared" si="3"/>
        <v>https://d0f6bd738d7f1b3e5a7ca70fe4ff75f0.us-east-1.aws.found.io/app/kibana#/discover/Steve-Slow-Train-Analysis-(2080s-and-2083s)?_g=(refreshInterval:(display:Off,pause:!f,section:0,value:0),time:(from:'2017-02-20T07:08:04-0700',mode:absolute,to:'2017-02-20T09:52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3" s="188" t="str">
        <f t="shared" si="42"/>
        <v>N</v>
      </c>
      <c r="X53" s="188">
        <f t="shared" si="48"/>
        <v>1</v>
      </c>
      <c r="Y53" s="62">
        <f t="shared" si="43"/>
        <v>4.4699999999999997E-2</v>
      </c>
      <c r="Z53" s="62">
        <f t="shared" si="44"/>
        <v>23.331399999999999</v>
      </c>
      <c r="AA53" s="62">
        <f t="shared" si="45"/>
        <v>23.2867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 t="shared" si="46"/>
        <v>0137-20</v>
      </c>
      <c r="AE53" s="85" t="str">
        <f t="shared" si="9"/>
        <v>aws s3 cp s3://rtdc.mdm.uploadarchive.raw/RTDC4007/ "%USERPROFILE%\AppData\Local\Temp\OnboardLogs"\RTDC4007\2017-02-20 --exclude "*" --recursive --include "*20170220*" &amp; "%USERPROFILE%\Documents\GitHub\mrs-test-scripts\Headless Mode &amp; Sideloading\WalkAndUnGZ.bat" "%USERPROFILE%\AppData\Local\Temp\OnboardLogs"\RTDC4007\2017-02-20 &amp; aws s3 cp s3://rtdc.mdm.uploadarchive.raw/RTDC4007/ "%USERPROFILE%\AppData\Local\Temp\OnboardLogs"\RTDC4007\2017-02-21 --exclude "*" --recursive --include "*20170221*" &amp; "%USERPROFILE%\Documents\GitHub\mrs-test-scripts\Headless Mode &amp; Sideloading\WalkAndUnGZ.bat" "%USERPROFILE%\AppData\Local\Temp\OnboardLogs"\RTDC4007\2017-02-21</v>
      </c>
      <c r="AF53" s="82" t="str">
        <f t="shared" si="10"/>
        <v>"C:\Program Files (x86)\AstroGrep\AstroGrep.exe" /spath="%USERPROFILE%\AppData\Local\Temp\OnboardLogs" /stypes="app*4007*20170220*" /stext=" 15:.+((SYSTEM_STATE.+slice.+state.+changed )|(ment ac)|(multiple cpu faults)|(system.+state.+changed )|(\[timeout)|(PRM\|1\|D)|(kpr)|(kdp)|(\|lc)|(penalty))" /e /r /s</v>
      </c>
      <c r="AG53" s="1" t="str">
        <f t="shared" si="47"/>
        <v>EC</v>
      </c>
      <c r="AH53" s="86" t="str">
        <f t="shared" si="15"/>
        <v>"%USERPROFILE%\Documents\GitHub\eaglep3\Utilities\RefineRTDCRunTimes.py" --tripid 137-20 --locoid 4007 --swversion DE.1.0.9.0 --startMP 204:447 --initTime 2017-02-20T08:08:04 --startdatetime 2017-02-20T08:15:16 --delay 0 --endMP 204:233314 --enddatetime 2017-02-20T08:52:32 --enforcementcount 0 &gt;&gt;C:\Users\stu\Documents\GitHub\eaglep3-reporting\EC\2017-02-20-refined-times.txt</v>
      </c>
      <c r="AI53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{"issue":{"subject":"","project_id":79,"tracker_id":40,"status_id":1,"priority_id":2,"assigned_to_id":23,"start_date":"2017-02-20","description":"","custom_fields":[{"id":1,"name":"Subdivision","value":"EC"},{"id":4,"name":"Milepost","value":"23.3314"},{"id":17,"name":"Train ID","value":"137-20"},{"id":16,"name":"Locomotive ID","value":"4007"},{"id":130,"name":"Impact","value":""},{"id":150,"name":"Time of Event (Mountain Time)","value":"08:52:32"},{"id":151,"name":"Denver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48"/>
      <c r="AK53" s="48"/>
      <c r="AL53" s="48"/>
      <c r="AM53" s="154" t="str">
        <f t="shared" si="17"/>
        <v>start /low /b %USERPROFILE%\Documents\GitHub\eaglep3\Utilities\DownloadLogsFromS3.py --loco 4007 --day 2017-02-20</v>
      </c>
      <c r="AN53" s="163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"%USERPROFILE%\AppData\Local\Temp\OnboardLogs"\RTDC4007\*4007*20170220* | grep -SE "(Enforcement Action)|(\[TIMEOUT)|(CHR.+\|PRM\|1\|D.+(SWITCH|SIGNAL).+UNKNOWN)" - &gt;&gt; 2017-02-20-UncaughtWiMAX.txt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549</v>
      </c>
      <c r="B54" s="7">
        <v>4008</v>
      </c>
      <c r="C54" s="21" t="s">
        <v>408</v>
      </c>
      <c r="D54" s="21" t="s">
        <v>366</v>
      </c>
      <c r="E54" s="13">
        <v>42786.378206018519</v>
      </c>
      <c r="F54" s="13">
        <v>42786.382835648146</v>
      </c>
      <c r="G54" s="7">
        <v>2</v>
      </c>
      <c r="H54" s="21" t="s">
        <v>213</v>
      </c>
      <c r="I54" s="13">
        <v>42786.410115740742</v>
      </c>
      <c r="J54" s="7">
        <v>0</v>
      </c>
      <c r="K54" s="98" t="str">
        <f t="shared" si="37"/>
        <v>4007/4008</v>
      </c>
      <c r="L54" s="21" t="str">
        <f>VLOOKUP(A54,'Trips&amp;Operators'!$C$1:$G$99999,5,FALSE)</f>
        <v>SHOOK JOHN</v>
      </c>
      <c r="M54" s="6">
        <f t="shared" si="38"/>
        <v>2.7280092595901806E-2</v>
      </c>
      <c r="N54" s="7">
        <f t="shared" si="39"/>
        <v>39.283333338098601</v>
      </c>
      <c r="O54" s="7"/>
      <c r="P54" s="7"/>
      <c r="Q54" s="22"/>
      <c r="R54" s="22"/>
      <c r="S54" s="31">
        <f t="shared" si="40"/>
        <v>1</v>
      </c>
      <c r="T54" s="46" t="str">
        <f t="shared" si="41"/>
        <v>Southbound</v>
      </c>
      <c r="U54" s="186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7" t="str">
        <f t="shared" si="3"/>
        <v>https://d0f6bd738d7f1b3e5a7ca70fe4ff75f0.us-east-1.aws.found.io/app/kibana#/discover/Steve-Slow-Train-Analysis-(2080s-and-2083s)?_g=(refreshInterval:(display:Off,pause:!f,section:0,value:0),time:(from:'2017-02-20T08:04:37-0700',mode:absolute,to:'2017-02-20T10:50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4" s="188" t="str">
        <f t="shared" si="42"/>
        <v>N</v>
      </c>
      <c r="X54" s="188">
        <f t="shared" si="48"/>
        <v>1</v>
      </c>
      <c r="Y54" s="62">
        <f t="shared" si="43"/>
        <v>23.301100000000002</v>
      </c>
      <c r="Z54" s="62">
        <f t="shared" si="44"/>
        <v>1.54E-2</v>
      </c>
      <c r="AA54" s="62">
        <f t="shared" si="45"/>
        <v>23.285700000000002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 t="shared" si="46"/>
        <v>0138-20</v>
      </c>
      <c r="AE54" s="85" t="str">
        <f t="shared" si="9"/>
        <v>aws s3 cp s3://rtdc.mdm.uploadarchive.raw/RTDC4008/ "%USERPROFILE%\AppData\Local\Temp\OnboardLogs"\RTDC4008\2017-02-20 --exclude "*" --recursive --include "*20170220*" &amp; "%USERPROFILE%\Documents\GitHub\mrs-test-scripts\Headless Mode &amp; Sideloading\WalkAndUnGZ.bat" "%USERPROFILE%\AppData\Local\Temp\OnboardLogs"\RTDC4008\2017-02-20 &amp; aws s3 cp s3://rtdc.mdm.uploadarchive.raw/RTDC4008/ "%USERPROFILE%\AppData\Local\Temp\OnboardLogs"\RTDC4008\2017-02-21 --exclude "*" --recursive --include "*20170221*" &amp; "%USERPROFILE%\Documents\GitHub\mrs-test-scripts\Headless Mode &amp; Sideloading\WalkAndUnGZ.bat" "%USERPROFILE%\AppData\Local\Temp\OnboardLogs"\RTDC4008\2017-02-21</v>
      </c>
      <c r="AF54" s="82" t="str">
        <f t="shared" si="10"/>
        <v>"C:\Program Files (x86)\AstroGrep\AstroGrep.exe" /spath="%USERPROFILE%\AppData\Local\Temp\OnboardLogs" /stypes="app*4008*20170220*" /stext=" 16:.+((SYSTEM_STATE.+slice.+state.+changed )|(ment ac)|(multiple cpu faults)|(system.+state.+changed )|(\[timeout)|(PRM\|1\|D)|(kpr)|(kdp)|(\|lc)|(penalty))" /e /r /s</v>
      </c>
      <c r="AG54" s="1" t="str">
        <f t="shared" si="47"/>
        <v>EC</v>
      </c>
      <c r="AH54" s="86" t="str">
        <f t="shared" si="15"/>
        <v>"%USERPROFILE%\Documents\GitHub\eaglep3\Utilities\RefineRTDCRunTimes.py" --tripid 138-20 --locoid 4008 --swversion DE.1.0.9.0 --startMP 204:233011 --initTime 2017-02-20T09:04:37 --startdatetime 2017-02-20T09:11:17 --delay 2 --endMP 204:154 --enddatetime 2017-02-20T09:50:34 --enforcementcount 0 &gt;&gt;C:\Users\stu\Documents\GitHub\eaglep3-reporting\EC\2017-02-20-refined-times.txt</v>
      </c>
      <c r="AI54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{"issue":{"subject":"","project_id":79,"tracker_id":40,"status_id":1,"priority_id":2,"assigned_to_id":23,"start_date":"2017-02-20","description":"","custom_fields":[{"id":1,"name":"Subdivision","value":"EC"},{"id":4,"name":"Milepost","value":"0.0154"},{"id":17,"name":"Train ID","value":"138-20"},{"id":16,"name":"Locomotive ID","value":"4008"},{"id":130,"name":"Impact","value":""},{"id":150,"name":"Time of Event (Mountain Time)","value":"09:50:34"},{"id":151,"name":"Denver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48"/>
      <c r="AK54" s="48"/>
      <c r="AL54" s="48"/>
      <c r="AM54" s="154" t="str">
        <f t="shared" si="17"/>
        <v>start /low /b %USERPROFILE%\Documents\GitHub\eaglep3\Utilities\DownloadLogsFromS3.py --loco 4008 --day 2017-02-20</v>
      </c>
      <c r="AN54" s="163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"%USERPROFILE%\AppData\Local\Temp\OnboardLogs"\RTDC4008\*4008*20170220* | grep -SE "(Enforcement Action)|(\[TIMEOUT)|(CHR.+\|PRM\|1\|D.+(SWITCH|SIGNAL).+UNKNOWN)" - &gt;&gt; 2017-02-20-UncaughtWiMAX.txt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464</v>
      </c>
      <c r="B55" s="7">
        <v>4029</v>
      </c>
      <c r="C55" s="21" t="s">
        <v>408</v>
      </c>
      <c r="D55" s="21" t="s">
        <v>364</v>
      </c>
      <c r="E55" s="13">
        <v>42786.347997685189</v>
      </c>
      <c r="F55" s="13">
        <v>42786.354432870372</v>
      </c>
      <c r="G55" s="7">
        <v>1</v>
      </c>
      <c r="H55" s="21" t="s">
        <v>337</v>
      </c>
      <c r="I55" s="13">
        <v>42786.378564814811</v>
      </c>
      <c r="J55" s="7">
        <v>0</v>
      </c>
      <c r="K55" s="98" t="str">
        <f t="shared" si="37"/>
        <v>4029/4030</v>
      </c>
      <c r="L55" s="21" t="str">
        <f>VLOOKUP(A55,'Trips&amp;Operators'!$C$1:$G$99999,5,FALSE)</f>
        <v>YORK EDGAR</v>
      </c>
      <c r="M55" s="6">
        <f t="shared" si="38"/>
        <v>2.4131944439432118E-2</v>
      </c>
      <c r="N55" s="7">
        <f t="shared" si="39"/>
        <v>34.74999999278225</v>
      </c>
      <c r="O55" s="7"/>
      <c r="P55" s="7"/>
      <c r="Q55" s="22"/>
      <c r="R55" s="22"/>
      <c r="S55" s="31">
        <f t="shared" si="40"/>
        <v>1</v>
      </c>
      <c r="T55" s="46" t="str">
        <f t="shared" si="41"/>
        <v>NorthBound</v>
      </c>
      <c r="U55" s="186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7" t="str">
        <f t="shared" si="3"/>
        <v>https://d0f6bd738d7f1b3e5a7ca70fe4ff75f0.us-east-1.aws.found.io/app/kibana#/discover/Steve-Slow-Train-Analysis-(2080s-and-2083s)?_g=(refreshInterval:(display:Off,pause:!f,section:0,value:0),time:(from:'2017-02-20T07:21:07-0700',mode:absolute,to:'2017-02-20T10:05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55" s="188" t="str">
        <f t="shared" si="42"/>
        <v>N</v>
      </c>
      <c r="X55" s="188">
        <f t="shared" si="48"/>
        <v>1</v>
      </c>
      <c r="Y55" s="62">
        <f t="shared" si="43"/>
        <v>4.4699999999999997E-2</v>
      </c>
      <c r="Z55" s="62">
        <f t="shared" si="44"/>
        <v>23.3307</v>
      </c>
      <c r="AA55" s="62">
        <f t="shared" si="45"/>
        <v>23.286000000000001</v>
      </c>
      <c r="AB55" s="59" t="str">
        <f>VLOOKUP(A55,Enforcements!$C$7:$K$13,8,0)</f>
        <v>Bulletin (2)</v>
      </c>
      <c r="AC55" s="55" t="str">
        <f>VLOOKUP(A55,Enforcements!$C$7:$E$13,3,0)</f>
        <v>GRADE CROSSING</v>
      </c>
      <c r="AD55" s="56" t="str">
        <f t="shared" si="46"/>
        <v>0139-20</v>
      </c>
      <c r="AE55" s="85" t="str">
        <f t="shared" si="9"/>
        <v>aws s3 cp s3://rtdc.mdm.uploadarchive.raw/RTDC4029/ "%USERPROFILE%\AppData\Local\Temp\OnboardLogs"\RTDC4029\2017-02-20 --exclude "*" --recursive --include "*20170220*" &amp; "%USERPROFILE%\Documents\GitHub\mrs-test-scripts\Headless Mode &amp; Sideloading\WalkAndUnGZ.bat" "%USERPROFILE%\AppData\Local\Temp\OnboardLogs"\RTDC4029\2017-02-20 &amp; aws s3 cp s3://rtdc.mdm.uploadarchive.raw/RTDC4029/ "%USERPROFILE%\AppData\Local\Temp\OnboardLogs"\RTDC4029\2017-02-21 --exclude "*" --recursive --include "*20170221*" &amp; "%USERPROFILE%\Documents\GitHub\mrs-test-scripts\Headless Mode &amp; Sideloading\WalkAndUnGZ.bat" "%USERPROFILE%\AppData\Local\Temp\OnboardLogs"\RTDC4029\2017-02-21</v>
      </c>
      <c r="AF55" s="82" t="str">
        <f t="shared" si="10"/>
        <v>"C:\Program Files (x86)\AstroGrep\AstroGrep.exe" /spath="%USERPROFILE%\AppData\Local\Temp\OnboardLogs" /stypes="app*4029*20170220*" /stext=" 16:.+((SYSTEM_STATE.+slice.+state.+changed )|(ment ac)|(multiple cpu faults)|(system.+state.+changed )|(\[timeout)|(PRM\|1\|D)|(kpr)|(kdp)|(\|lc)|(penalty))" /e /r /s</v>
      </c>
      <c r="AG55" s="1" t="str">
        <f t="shared" si="47"/>
        <v>EC</v>
      </c>
      <c r="AH55" s="86" t="str">
        <f t="shared" si="15"/>
        <v>"%USERPROFILE%\Documents\GitHub\eaglep3\Utilities\RefineRTDCRunTimes.py" --tripid 139-20 --locoid 4029 --swversion DE.1.0.9.0 --startMP 204:447 --initTime 2017-02-20T08:21:07 --startdatetime 2017-02-20T08:30:23 --delay 1 --endMP 204:233307 --enddatetime 2017-02-20T09:05:08 --enforcementcount 0 &gt;&gt;C:\Users\stu\Documents\GitHub\eaglep3-reporting\EC\2017-02-20-refined-times.txt</v>
      </c>
      <c r="AI55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{"issue":{"subject":"","project_id":79,"tracker_id":40,"status_id":1,"priority_id":2,"assigned_to_id":23,"start_date":"2017-02-20","description":"","custom_fields":[{"id":1,"name":"Subdivision","value":"EC"},{"id":4,"name":"Milepost","value":"23.3307"},{"id":17,"name":"Train ID","value":"139-20"},{"id":16,"name":"Locomotive ID","value":"4029"},{"id":130,"name":"Impact","value":""},{"id":150,"name":"Time of Event (Mountain Time)","value":"09:05:08"},{"id":151,"name":"Denver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48"/>
      <c r="AK55" s="48"/>
      <c r="AL55" s="48"/>
      <c r="AM55" s="154" t="str">
        <f t="shared" si="17"/>
        <v>start /low /b %USERPROFILE%\Documents\GitHub\eaglep3\Utilities\DownloadLogsFromS3.py --loco 4029 --day 2017-02-20</v>
      </c>
      <c r="AN55" s="163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"%USERPROFILE%\AppData\Local\Temp\OnboardLogs"\RTDC4029\*4029*20170220* | grep -SE "(Enforcement Action)|(\[TIMEOUT)|(CHR.+\|PRM\|1\|D.+(SWITCH|SIGNAL).+UNKNOWN)" - &gt;&gt; 2017-02-20-UncaughtWiMAX.txt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552</v>
      </c>
      <c r="B56" s="7">
        <v>4030</v>
      </c>
      <c r="C56" s="21" t="s">
        <v>408</v>
      </c>
      <c r="D56" s="21" t="s">
        <v>723</v>
      </c>
      <c r="E56" s="13">
        <v>42786.3905787037</v>
      </c>
      <c r="F56" s="13">
        <v>42786.393217592595</v>
      </c>
      <c r="G56" s="7">
        <v>1</v>
      </c>
      <c r="H56" s="21" t="s">
        <v>184</v>
      </c>
      <c r="I56" s="13">
        <v>42786.419120370374</v>
      </c>
      <c r="J56" s="7">
        <v>0</v>
      </c>
      <c r="K56" s="98" t="str">
        <f t="shared" si="37"/>
        <v>4029/4030</v>
      </c>
      <c r="L56" s="21" t="str">
        <f>VLOOKUP(A56,'Trips&amp;Operators'!$C$1:$G$99999,5,FALSE)</f>
        <v>YORK EDGAR</v>
      </c>
      <c r="M56" s="6">
        <f t="shared" si="38"/>
        <v>2.5902777779265307E-2</v>
      </c>
      <c r="N56" s="7">
        <f t="shared" si="39"/>
        <v>37.300000002142042</v>
      </c>
      <c r="O56" s="7"/>
      <c r="P56" s="7"/>
      <c r="Q56" s="22"/>
      <c r="R56" s="22"/>
      <c r="S56" s="31">
        <f t="shared" si="40"/>
        <v>1</v>
      </c>
      <c r="T56" s="46" t="str">
        <f t="shared" si="41"/>
        <v>Southbound</v>
      </c>
      <c r="U56" s="186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7" t="str">
        <f t="shared" si="3"/>
        <v>https://d0f6bd738d7f1b3e5a7ca70fe4ff75f0.us-east-1.aws.found.io/app/kibana#/discover/Steve-Slow-Train-Analysis-(2080s-and-2083s)?_g=(refreshInterval:(display:Off,pause:!f,section:0,value:0),time:(from:'2017-02-20T08:22:26-0700',mode:absolute,to:'2017-02-20T11:03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56" s="188" t="str">
        <f t="shared" si="42"/>
        <v>N</v>
      </c>
      <c r="X56" s="188">
        <f t="shared" si="48"/>
        <v>1</v>
      </c>
      <c r="Y56" s="62">
        <f t="shared" si="43"/>
        <v>23.296900000000001</v>
      </c>
      <c r="Z56" s="62">
        <f t="shared" si="44"/>
        <v>1.49E-2</v>
      </c>
      <c r="AA56" s="62">
        <f t="shared" si="45"/>
        <v>23.282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 t="shared" si="46"/>
        <v>0140-20</v>
      </c>
      <c r="AE56" s="85" t="str">
        <f t="shared" si="9"/>
        <v>aws s3 cp s3://rtdc.mdm.uploadarchive.raw/RTDC4030/ "%USERPROFILE%\AppData\Local\Temp\OnboardLogs"\RTDC4030\2017-02-20 --exclude "*" --recursive --include "*20170220*" &amp; "%USERPROFILE%\Documents\GitHub\mrs-test-scripts\Headless Mode &amp; Sideloading\WalkAndUnGZ.bat" "%USERPROFILE%\AppData\Local\Temp\OnboardLogs"\RTDC4030\2017-02-20 &amp; aws s3 cp s3://rtdc.mdm.uploadarchive.raw/RTDC4030/ "%USERPROFILE%\AppData\Local\Temp\OnboardLogs"\RTDC4030\2017-02-21 --exclude "*" --recursive --include "*20170221*" &amp; "%USERPROFILE%\Documents\GitHub\mrs-test-scripts\Headless Mode &amp; Sideloading\WalkAndUnGZ.bat" "%USERPROFILE%\AppData\Local\Temp\OnboardLogs"\RTDC4030\2017-02-21</v>
      </c>
      <c r="AF56" s="82" t="str">
        <f t="shared" si="10"/>
        <v>"C:\Program Files (x86)\AstroGrep\AstroGrep.exe" /spath="%USERPROFILE%\AppData\Local\Temp\OnboardLogs" /stypes="app*4030*20170220*" /stext=" 17:.+((SYSTEM_STATE.+slice.+state.+changed )|(ment ac)|(multiple cpu faults)|(system.+state.+changed )|(\[timeout)|(PRM\|1\|D)|(kpr)|(kdp)|(\|lc)|(penalty))" /e /r /s</v>
      </c>
      <c r="AG56" s="1" t="str">
        <f t="shared" si="47"/>
        <v>EC</v>
      </c>
      <c r="AH56" s="86" t="str">
        <f t="shared" si="15"/>
        <v>"%USERPROFILE%\Documents\GitHub\eaglep3\Utilities\RefineRTDCRunTimes.py" --tripid 140-20 --locoid 4030 --swversion DE.1.0.9.0 --startMP 204:232969 --initTime 2017-02-20T09:22:26 --startdatetime 2017-02-20T09:26:14 --delay 1 --endMP 204:149 --enddatetime 2017-02-20T10:03:32 --enforcementcount 0 &gt;&gt;C:\Users\stu\Documents\GitHub\eaglep3-reporting\EC\2017-02-20-refined-times.txt</v>
      </c>
      <c r="AI56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{"issue":{"subject":"","project_id":79,"tracker_id":40,"status_id":1,"priority_id":2,"assigned_to_id":23,"start_date":"2017-02-20","description":"","custom_fields":[{"id":1,"name":"Subdivision","value":"EC"},{"id":4,"name":"Milepost","value":"0.0149"},{"id":17,"name":"Train ID","value":"140-20"},{"id":16,"name":"Locomotive ID","value":"4030"},{"id":130,"name":"Impact","value":""},{"id":150,"name":"Time of Event (Mountain Time)","value":"10:03:32"},{"id":151,"name":"Denver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48"/>
      <c r="AK56" s="48"/>
      <c r="AL56" s="48"/>
      <c r="AM56" s="154" t="str">
        <f t="shared" si="17"/>
        <v>start /low /b %USERPROFILE%\Documents\GitHub\eaglep3\Utilities\DownloadLogsFromS3.py --loco 4030 --day 2017-02-20</v>
      </c>
      <c r="AN56" s="163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"%USERPROFILE%\AppData\Local\Temp\OnboardLogs"\RTDC4030\*4030*20170220* | grep -SE "(Enforcement Action)|(\[TIMEOUT)|(CHR.+\|PRM\|1\|D.+(SWITCH|SIGNAL).+UNKNOWN)" - &gt;&gt; 2017-02-20-UncaughtWiMAX.txt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544</v>
      </c>
      <c r="B57" s="7">
        <v>4003</v>
      </c>
      <c r="C57" s="21" t="s">
        <v>408</v>
      </c>
      <c r="D57" s="21" t="s">
        <v>299</v>
      </c>
      <c r="E57" s="13">
        <v>42786.357824074075</v>
      </c>
      <c r="F57" s="13">
        <v>42786.364756944444</v>
      </c>
      <c r="G57" s="7">
        <v>0</v>
      </c>
      <c r="H57" s="21" t="s">
        <v>276</v>
      </c>
      <c r="I57" s="13">
        <v>42786.389745370368</v>
      </c>
      <c r="J57" s="7">
        <v>0</v>
      </c>
      <c r="K57" s="98" t="str">
        <f t="shared" si="37"/>
        <v>4003/4004</v>
      </c>
      <c r="L57" s="21" t="str">
        <f>VLOOKUP(A57,'Trips&amp;Operators'!$C$1:$G$99999,5,FALSE)</f>
        <v>SANTIZO D. EDY</v>
      </c>
      <c r="M57" s="6">
        <f t="shared" si="38"/>
        <v>2.4988425924675539E-2</v>
      </c>
      <c r="N57" s="7">
        <f t="shared" si="39"/>
        <v>35.983333331532776</v>
      </c>
      <c r="O57" s="7"/>
      <c r="P57" s="7"/>
      <c r="Q57" s="22"/>
      <c r="R57" s="22"/>
      <c r="S57" s="31">
        <f t="shared" si="40"/>
        <v>1</v>
      </c>
      <c r="T57" s="46" t="str">
        <f t="shared" si="41"/>
        <v>NorthBound</v>
      </c>
      <c r="U57" s="186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7" t="str">
        <f t="shared" si="3"/>
        <v>https://d0f6bd738d7f1b3e5a7ca70fe4ff75f0.us-east-1.aws.found.io/app/kibana#/discover/Steve-Slow-Train-Analysis-(2080s-and-2083s)?_g=(refreshInterval:(display:Off,pause:!f,section:0,value:0),time:(from:'2017-02-20T07:35:16-0700',mode:absolute,to:'2017-02-20T10:21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57" s="188" t="str">
        <f t="shared" si="42"/>
        <v>N</v>
      </c>
      <c r="X57" s="188">
        <f t="shared" si="48"/>
        <v>1</v>
      </c>
      <c r="Y57" s="62">
        <f t="shared" si="43"/>
        <v>4.3099999999999999E-2</v>
      </c>
      <c r="Z57" s="62">
        <f t="shared" si="44"/>
        <v>23.331199999999999</v>
      </c>
      <c r="AA57" s="62">
        <f t="shared" si="45"/>
        <v>23.2881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 t="shared" si="46"/>
        <v>0141-20</v>
      </c>
      <c r="AE57" s="85" t="str">
        <f t="shared" si="9"/>
        <v>aws s3 cp s3://rtdc.mdm.uploadarchive.raw/RTDC4003/ "%USERPROFILE%\AppData\Local\Temp\OnboardLogs"\RTDC4003\2017-02-20 --exclude "*" --recursive --include "*20170220*" &amp; "%USERPROFILE%\Documents\GitHub\mrs-test-scripts\Headless Mode &amp; Sideloading\WalkAndUnGZ.bat" "%USERPROFILE%\AppData\Local\Temp\OnboardLogs"\RTDC4003\2017-02-20 &amp; aws s3 cp s3://rtdc.mdm.uploadarchive.raw/RTDC4003/ "%USERPROFILE%\AppData\Local\Temp\OnboardLogs"\RTDC4003\2017-02-21 --exclude "*" --recursive --include "*20170221*" &amp; "%USERPROFILE%\Documents\GitHub\mrs-test-scripts\Headless Mode &amp; Sideloading\WalkAndUnGZ.bat" "%USERPROFILE%\AppData\Local\Temp\OnboardLogs"\RTDC4003\2017-02-21</v>
      </c>
      <c r="AF57" s="82" t="str">
        <f t="shared" si="10"/>
        <v>"C:\Program Files (x86)\AstroGrep\AstroGrep.exe" /spath="%USERPROFILE%\AppData\Local\Temp\OnboardLogs" /stypes="app*4003*20170220*" /stext=" 16:.+((SYSTEM_STATE.+slice.+state.+changed )|(ment ac)|(multiple cpu faults)|(system.+state.+changed )|(\[timeout)|(PRM\|1\|D)|(kpr)|(kdp)|(\|lc)|(penalty))" /e /r /s</v>
      </c>
      <c r="AG57" s="1" t="str">
        <f t="shared" si="47"/>
        <v>EC</v>
      </c>
      <c r="AH57" s="86" t="str">
        <f t="shared" si="15"/>
        <v>"%USERPROFILE%\Documents\GitHub\eaglep3\Utilities\RefineRTDCRunTimes.py" --tripid 141-20 --locoid 4003 --swversion DE.1.0.9.0 --startMP 204:431 --initTime 2017-02-20T08:35:16 --startdatetime 2017-02-20T08:45:15 --delay 0 --endMP 204:233312 --enddatetime 2017-02-20T09:21:14 --enforcementcount 0 &gt;&gt;C:\Users\stu\Documents\GitHub\eaglep3-reporting\EC\2017-02-20-refined-times.txt</v>
      </c>
      <c r="AI57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{"issue":{"subject":"","project_id":79,"tracker_id":40,"status_id":1,"priority_id":2,"assigned_to_id":23,"start_date":"2017-02-20","description":"","custom_fields":[{"id":1,"name":"Subdivision","value":"EC"},{"id":4,"name":"Milepost","value":"23.3312"},{"id":17,"name":"Train ID","value":"141-20"},{"id":16,"name":"Locomotive ID","value":"4003"},{"id":130,"name":"Impact","value":""},{"id":150,"name":"Time of Event (Mountain Time)","value":"09:21:14"},{"id":151,"name":"Denver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48"/>
      <c r="AK57" s="48"/>
      <c r="AL57" s="48"/>
      <c r="AM57" s="154" t="str">
        <f t="shared" si="17"/>
        <v>start /low /b %USERPROFILE%\Documents\GitHub\eaglep3\Utilities\DownloadLogsFromS3.py --loco 4003 --day 2017-02-20</v>
      </c>
      <c r="AN57" s="163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"%USERPROFILE%\AppData\Local\Temp\OnboardLogs"\RTDC4003\*4003*20170220* | grep -SE "(Enforcement Action)|(\[TIMEOUT)|(CHR.+\|PRM\|1\|D.+(SWITCH|SIGNAL).+UNKNOWN)" - &gt;&gt; 2017-02-20-UncaughtWiMAX.txt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553</v>
      </c>
      <c r="B58" s="7">
        <v>4004</v>
      </c>
      <c r="C58" s="21" t="s">
        <v>408</v>
      </c>
      <c r="D58" s="21" t="s">
        <v>301</v>
      </c>
      <c r="E58" s="13">
        <v>42786.391574074078</v>
      </c>
      <c r="F58" s="13">
        <v>42786.403715277775</v>
      </c>
      <c r="G58" s="7">
        <v>1</v>
      </c>
      <c r="H58" s="21" t="s">
        <v>223</v>
      </c>
      <c r="I58" s="13">
        <v>42786.429675925923</v>
      </c>
      <c r="J58" s="7">
        <v>0</v>
      </c>
      <c r="K58" s="98" t="str">
        <f t="shared" si="37"/>
        <v>4003/4004</v>
      </c>
      <c r="L58" s="21" t="str">
        <f>VLOOKUP(A58,'Trips&amp;Operators'!$C$1:$G$99999,5,FALSE)</f>
        <v>SANTIZO D. EDY</v>
      </c>
      <c r="M58" s="6">
        <f t="shared" si="38"/>
        <v>2.5960648148611654E-2</v>
      </c>
      <c r="N58" s="7">
        <f t="shared" si="39"/>
        <v>37.383333334000781</v>
      </c>
      <c r="O58" s="7"/>
      <c r="P58" s="7"/>
      <c r="Q58" s="22"/>
      <c r="R58" s="22"/>
      <c r="S58" s="31">
        <f t="shared" si="40"/>
        <v>1</v>
      </c>
      <c r="T58" s="46" t="str">
        <f t="shared" si="41"/>
        <v>Southbound</v>
      </c>
      <c r="U58" s="186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7" t="str">
        <f t="shared" si="3"/>
        <v>https://d0f6bd738d7f1b3e5a7ca70fe4ff75f0.us-east-1.aws.found.io/app/kibana#/discover/Steve-Slow-Train-Analysis-(2080s-and-2083s)?_g=(refreshInterval:(display:Off,pause:!f,section:0,value:0),time:(from:'2017-02-20T08:23:52-0700',mode:absolute,to:'2017-02-20T11:18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58" s="188" t="str">
        <f t="shared" si="42"/>
        <v>N</v>
      </c>
      <c r="X58" s="188">
        <f t="shared" si="48"/>
        <v>1</v>
      </c>
      <c r="Y58" s="62">
        <f t="shared" si="43"/>
        <v>23.298500000000001</v>
      </c>
      <c r="Z58" s="62">
        <f t="shared" si="44"/>
        <v>1.43E-2</v>
      </c>
      <c r="AA58" s="62">
        <f t="shared" si="45"/>
        <v>23.284200000000002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 t="shared" si="46"/>
        <v>0142-20</v>
      </c>
      <c r="AE58" s="85" t="str">
        <f t="shared" si="9"/>
        <v>aws s3 cp s3://rtdc.mdm.uploadarchive.raw/RTDC4004/ "%USERPROFILE%\AppData\Local\Temp\OnboardLogs"\RTDC4004\2017-02-20 --exclude "*" --recursive --include "*20170220*" &amp; "%USERPROFILE%\Documents\GitHub\mrs-test-scripts\Headless Mode &amp; Sideloading\WalkAndUnGZ.bat" "%USERPROFILE%\AppData\Local\Temp\OnboardLogs"\RTDC4004\2017-02-20 &amp; aws s3 cp s3://rtdc.mdm.uploadarchive.raw/RTDC4004/ "%USERPROFILE%\AppData\Local\Temp\OnboardLogs"\RTDC4004\2017-02-21 --exclude "*" --recursive --include "*20170221*" &amp; "%USERPROFILE%\Documents\GitHub\mrs-test-scripts\Headless Mode &amp; Sideloading\WalkAndUnGZ.bat" "%USERPROFILE%\AppData\Local\Temp\OnboardLogs"\RTDC4004\2017-02-21</v>
      </c>
      <c r="AF58" s="82" t="str">
        <f t="shared" si="10"/>
        <v>"C:\Program Files (x86)\AstroGrep\AstroGrep.exe" /spath="%USERPROFILE%\AppData\Local\Temp\OnboardLogs" /stypes="app*4004*20170220*" /stext=" 17:.+((SYSTEM_STATE.+slice.+state.+changed )|(ment ac)|(multiple cpu faults)|(system.+state.+changed )|(\[timeout)|(PRM\|1\|D)|(kpr)|(kdp)|(\|lc)|(penalty))" /e /r /s</v>
      </c>
      <c r="AG58" s="1" t="str">
        <f t="shared" si="47"/>
        <v>EC</v>
      </c>
      <c r="AH58" s="86" t="str">
        <f t="shared" si="15"/>
        <v>"%USERPROFILE%\Documents\GitHub\eaglep3\Utilities\RefineRTDCRunTimes.py" --tripid 142-20 --locoid 4004 --swversion DE.1.0.9.0 --startMP 204:232985 --initTime 2017-02-20T09:23:52 --startdatetime 2017-02-20T09:41:21 --delay 1 --endMP 204:143 --enddatetime 2017-02-20T10:18:44 --enforcementcount 0 &gt;&gt;C:\Users\stu\Documents\GitHub\eaglep3-reporting\EC\2017-02-20-refined-times.txt</v>
      </c>
      <c r="AI58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{"issue":{"subject":"","project_id":79,"tracker_id":40,"status_id":1,"priority_id":2,"assigned_to_id":23,"start_date":"2017-02-20","description":"","custom_fields":[{"id":1,"name":"Subdivision","value":"EC"},{"id":4,"name":"Milepost","value":"0.0143"},{"id":17,"name":"Train ID","value":"142-20"},{"id":16,"name":"Locomotive ID","value":"4004"},{"id":130,"name":"Impact","value":""},{"id":150,"name":"Time of Event (Mountain Time)","value":"10:18:44"},{"id":151,"name":"Denver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48"/>
      <c r="AK58" s="48"/>
      <c r="AL58" s="48"/>
      <c r="AM58" s="154" t="str">
        <f t="shared" si="17"/>
        <v>start /low /b %USERPROFILE%\Documents\GitHub\eaglep3\Utilities\DownloadLogsFromS3.py --loco 4004 --day 2017-02-20</v>
      </c>
      <c r="AN58" s="163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"%USERPROFILE%\AppData\Local\Temp\OnboardLogs"\RTDC4004\*4004*20170220* | grep -SE "(Enforcement Action)|(\[TIMEOUT)|(CHR.+\|PRM\|1\|D.+(SWITCH|SIGNAL).+UNKNOWN)" - &gt;&gt; 2017-02-20-UncaughtWiMAX.txt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548</v>
      </c>
      <c r="B59" s="7">
        <v>4016</v>
      </c>
      <c r="C59" s="21" t="s">
        <v>408</v>
      </c>
      <c r="D59" s="21" t="s">
        <v>299</v>
      </c>
      <c r="E59" s="13">
        <v>42786.371388888889</v>
      </c>
      <c r="F59" s="13">
        <v>42786.375173611108</v>
      </c>
      <c r="G59" s="7">
        <v>1</v>
      </c>
      <c r="H59" s="21" t="s">
        <v>724</v>
      </c>
      <c r="I59" s="13">
        <v>42786.399953703702</v>
      </c>
      <c r="J59" s="7">
        <v>0</v>
      </c>
      <c r="K59" s="98" t="str">
        <f t="shared" si="37"/>
        <v>4015/4016</v>
      </c>
      <c r="L59" s="21" t="str">
        <f>VLOOKUP(A59,'Trips&amp;Operators'!$C$1:$G$99999,5,FALSE)</f>
        <v>ROBINSON KADDIBA</v>
      </c>
      <c r="M59" s="6">
        <f t="shared" si="38"/>
        <v>2.4780092593573499E-2</v>
      </c>
      <c r="N59" s="7">
        <f t="shared" si="39"/>
        <v>35.683333334745839</v>
      </c>
      <c r="O59" s="7"/>
      <c r="P59" s="7"/>
      <c r="Q59" s="22"/>
      <c r="R59" s="22"/>
      <c r="S59" s="31">
        <f t="shared" si="40"/>
        <v>1</v>
      </c>
      <c r="T59" s="46" t="str">
        <f t="shared" si="41"/>
        <v>NorthBound</v>
      </c>
      <c r="U59" s="186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7" t="str">
        <f t="shared" si="3"/>
        <v>https://d0f6bd738d7f1b3e5a7ca70fe4ff75f0.us-east-1.aws.found.io/app/kibana#/discover/Steve-Slow-Train-Analysis-(2080s-and-2083s)?_g=(refreshInterval:(display:Off,pause:!f,section:0,value:0),time:(from:'2017-02-20T07:54:48-0700',mode:absolute,to:'2017-02-20T10:35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9" s="188" t="str">
        <f t="shared" si="42"/>
        <v>N</v>
      </c>
      <c r="X59" s="188">
        <f t="shared" si="48"/>
        <v>1</v>
      </c>
      <c r="Y59" s="62">
        <f t="shared" si="43"/>
        <v>4.3099999999999999E-2</v>
      </c>
      <c r="Z59" s="62">
        <f t="shared" si="44"/>
        <v>23.329699999999999</v>
      </c>
      <c r="AA59" s="62">
        <f t="shared" si="45"/>
        <v>23.2866</v>
      </c>
      <c r="AB59" s="59" t="e">
        <f>VLOOKUP(A59,Enforcements!$C$7:$K$13,8,0)</f>
        <v>#N/A</v>
      </c>
      <c r="AC59" s="55" t="e">
        <f>VLOOKUP(A59,Enforcements!$C$7:$E$13,3,0)</f>
        <v>#N/A</v>
      </c>
      <c r="AD59" s="56" t="str">
        <f t="shared" si="46"/>
        <v>0143-20</v>
      </c>
      <c r="AE59" s="85" t="str">
        <f t="shared" si="9"/>
        <v>aws s3 cp s3://rtdc.mdm.uploadarchive.raw/RTDC4016/ "%USERPROFILE%\AppData\Local\Temp\OnboardLogs"\RTDC4016\2017-02-20 --exclude "*" --recursive --include "*20170220*" &amp; "%USERPROFILE%\Documents\GitHub\mrs-test-scripts\Headless Mode &amp; Sideloading\WalkAndUnGZ.bat" "%USERPROFILE%\AppData\Local\Temp\OnboardLogs"\RTDC4016\2017-02-20 &amp; aws s3 cp s3://rtdc.mdm.uploadarchive.raw/RTDC4016/ "%USERPROFILE%\AppData\Local\Temp\OnboardLogs"\RTDC4016\2017-02-21 --exclude "*" --recursive --include "*20170221*" &amp; "%USERPROFILE%\Documents\GitHub\mrs-test-scripts\Headless Mode &amp; Sideloading\WalkAndUnGZ.bat" "%USERPROFILE%\AppData\Local\Temp\OnboardLogs"\RTDC4016\2017-02-21</v>
      </c>
      <c r="AF59" s="82" t="str">
        <f t="shared" si="10"/>
        <v>"C:\Program Files (x86)\AstroGrep\AstroGrep.exe" /spath="%USERPROFILE%\AppData\Local\Temp\OnboardLogs" /stypes="app*4016*20170220*" /stext=" 16:.+((SYSTEM_STATE.+slice.+state.+changed )|(ment ac)|(multiple cpu faults)|(system.+state.+changed )|(\[timeout)|(PRM\|1\|D)|(kpr)|(kdp)|(\|lc)|(penalty))" /e /r /s</v>
      </c>
      <c r="AG59" s="1" t="str">
        <f t="shared" si="47"/>
        <v>EC</v>
      </c>
      <c r="AH59" s="86" t="str">
        <f t="shared" si="15"/>
        <v>"%USERPROFILE%\Documents\GitHub\eaglep3\Utilities\RefineRTDCRunTimes.py" --tripid 143-20 --locoid 4016 --swversion DE.1.0.9.0 --startMP 204:431 --initTime 2017-02-20T08:54:48 --startdatetime 2017-02-20T09:00:15 --delay 1 --endMP 204:233297 --enddatetime 2017-02-20T09:35:56 --enforcementcount 0 &gt;&gt;C:\Users\stu\Documents\GitHub\eaglep3-reporting\EC\2017-02-20-refined-times.txt</v>
      </c>
      <c r="AI59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{"issue":{"subject":"","project_id":79,"tracker_id":40,"status_id":1,"priority_id":2,"assigned_to_id":23,"start_date":"2017-02-20","description":"","custom_fields":[{"id":1,"name":"Subdivision","value":"EC"},{"id":4,"name":"Milepost","value":"23.3297"},{"id":17,"name":"Train ID","value":"143-20"},{"id":16,"name":"Locomotive ID","value":"4016"},{"id":130,"name":"Impact","value":""},{"id":150,"name":"Time of Event (Mountain Time)","value":"09:35:56"},{"id":151,"name":"Denver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48"/>
      <c r="AK59" s="48"/>
      <c r="AL59" s="48"/>
      <c r="AM59" s="154" t="str">
        <f t="shared" si="17"/>
        <v>start /low /b %USERPROFILE%\Documents\GitHub\eaglep3\Utilities\DownloadLogsFromS3.py --loco 4016 --day 2017-02-20</v>
      </c>
      <c r="AN59" s="163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"%USERPROFILE%\AppData\Local\Temp\OnboardLogs"\RTDC4016\*4016*20170220* | grep -SE "(Enforcement Action)|(\[TIMEOUT)|(CHR.+\|PRM\|1\|D.+(SWITCH|SIGNAL).+UNKNOWN)" - &gt;&gt; 2017-02-20-UncaughtWiMAX.txt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554</v>
      </c>
      <c r="B60" s="7">
        <v>4015</v>
      </c>
      <c r="C60" s="21" t="s">
        <v>408</v>
      </c>
      <c r="D60" s="21" t="s">
        <v>275</v>
      </c>
      <c r="E60" s="13">
        <v>42786.40934027778</v>
      </c>
      <c r="F60" s="13">
        <v>42786.414039351854</v>
      </c>
      <c r="G60" s="7">
        <v>1</v>
      </c>
      <c r="H60" s="21" t="s">
        <v>184</v>
      </c>
      <c r="I60" s="13">
        <v>42786.440486111111</v>
      </c>
      <c r="J60" s="7">
        <v>0</v>
      </c>
      <c r="K60" s="98" t="str">
        <f t="shared" si="37"/>
        <v>4015/4016</v>
      </c>
      <c r="L60" s="21" t="str">
        <f>VLOOKUP(A60,'Trips&amp;Operators'!$C$1:$G$99999,5,FALSE)</f>
        <v>ROBINSON KADDIBA</v>
      </c>
      <c r="M60" s="6">
        <f t="shared" si="38"/>
        <v>2.6446759256941732E-2</v>
      </c>
      <c r="N60" s="7">
        <f t="shared" si="39"/>
        <v>38.083333329996094</v>
      </c>
      <c r="O60" s="7"/>
      <c r="P60" s="7"/>
      <c r="Q60" s="22"/>
      <c r="R60" s="22"/>
      <c r="S60" s="31">
        <f t="shared" si="40"/>
        <v>1</v>
      </c>
      <c r="T60" s="46" t="str">
        <f t="shared" si="41"/>
        <v>Southbound</v>
      </c>
      <c r="U60" s="186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7" t="str">
        <f t="shared" si="3"/>
        <v>https://d0f6bd738d7f1b3e5a7ca70fe4ff75f0.us-east-1.aws.found.io/app/kibana#/discover/Steve-Slow-Train-Analysis-(2080s-and-2083s)?_g=(refreshInterval:(display:Off,pause:!f,section:0,value:0),time:(from:'2017-02-20T08:49:27-0700',mode:absolute,to:'2017-02-20T11:34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0" s="188" t="str">
        <f t="shared" si="42"/>
        <v>N</v>
      </c>
      <c r="X60" s="188">
        <f t="shared" si="48"/>
        <v>1</v>
      </c>
      <c r="Y60" s="62">
        <f t="shared" si="43"/>
        <v>23.299600000000002</v>
      </c>
      <c r="Z60" s="62">
        <f t="shared" si="44"/>
        <v>1.49E-2</v>
      </c>
      <c r="AA60" s="62">
        <f t="shared" si="45"/>
        <v>23.284700000000001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 t="shared" si="46"/>
        <v>0144-20</v>
      </c>
      <c r="AE60" s="85" t="str">
        <f t="shared" si="9"/>
        <v>aws s3 cp s3://rtdc.mdm.uploadarchive.raw/RTDC4015/ "%USERPROFILE%\AppData\Local\Temp\OnboardLogs"\RTDC4015\2017-02-20 --exclude "*" --recursive --include "*20170220*" &amp; "%USERPROFILE%\Documents\GitHub\mrs-test-scripts\Headless Mode &amp; Sideloading\WalkAndUnGZ.bat" "%USERPROFILE%\AppData\Local\Temp\OnboardLogs"\RTDC4015\2017-02-20 &amp; aws s3 cp s3://rtdc.mdm.uploadarchive.raw/RTDC4015/ "%USERPROFILE%\AppData\Local\Temp\OnboardLogs"\RTDC4015\2017-02-21 --exclude "*" --recursive --include "*20170221*" &amp; "%USERPROFILE%\Documents\GitHub\mrs-test-scripts\Headless Mode &amp; Sideloading\WalkAndUnGZ.bat" "%USERPROFILE%\AppData\Local\Temp\OnboardLogs"\RTDC4015\2017-02-21</v>
      </c>
      <c r="AF60" s="82" t="str">
        <f t="shared" si="10"/>
        <v>"C:\Program Files (x86)\AstroGrep\AstroGrep.exe" /spath="%USERPROFILE%\AppData\Local\Temp\OnboardLogs" /stypes="app*4015*20170220*" /stext=" 17:.+((SYSTEM_STATE.+slice.+state.+changed )|(ment ac)|(multiple cpu faults)|(system.+state.+changed )|(\[timeout)|(PRM\|1\|D)|(kpr)|(kdp)|(\|lc)|(penalty))" /e /r /s</v>
      </c>
      <c r="AG60" s="1" t="str">
        <f t="shared" si="47"/>
        <v>EC</v>
      </c>
      <c r="AH60" s="86" t="str">
        <f t="shared" si="15"/>
        <v>"%USERPROFILE%\Documents\GitHub\eaglep3\Utilities\RefineRTDCRunTimes.py" --tripid 144-20 --locoid 4015 --swversion DE.1.0.9.0 --startMP 204:232996 --initTime 2017-02-20T09:49:27 --startdatetime 2017-02-20T09:56:13 --delay 1 --endMP 204:149 --enddatetime 2017-02-20T10:34:18 --enforcementcount 0 &gt;&gt;C:\Users\stu\Documents\GitHub\eaglep3-reporting\EC\2017-02-20-refined-times.txt</v>
      </c>
      <c r="AI60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{"issue":{"subject":"","project_id":79,"tracker_id":40,"status_id":1,"priority_id":2,"assigned_to_id":23,"start_date":"2017-02-20","description":"","custom_fields":[{"id":1,"name":"Subdivision","value":"EC"},{"id":4,"name":"Milepost","value":"0.0149"},{"id":17,"name":"Train ID","value":"144-20"},{"id":16,"name":"Locomotive ID","value":"4015"},{"id":130,"name":"Impact","value":""},{"id":150,"name":"Time of Event (Mountain Time)","value":"10:34:18"},{"id":151,"name":"Denver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48"/>
      <c r="AK60" s="48"/>
      <c r="AL60" s="48"/>
      <c r="AM60" s="154" t="str">
        <f t="shared" si="17"/>
        <v>start /low /b %USERPROFILE%\Documents\GitHub\eaglep3\Utilities\DownloadLogsFromS3.py --loco 4015 --day 2017-02-20</v>
      </c>
      <c r="AN60" s="163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"%USERPROFILE%\AppData\Local\Temp\OnboardLogs"\RTDC4015\*4015*20170220* | grep -SE "(Enforcement Action)|(\[TIMEOUT)|(CHR.+\|PRM\|1\|D.+(SWITCH|SIGNAL).+UNKNOWN)" - &gt;&gt; 2017-02-20-UncaughtWiMAX.txt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550</v>
      </c>
      <c r="B61" s="7">
        <v>4027</v>
      </c>
      <c r="C61" s="21" t="s">
        <v>408</v>
      </c>
      <c r="D61" s="21" t="s">
        <v>725</v>
      </c>
      <c r="E61" s="13">
        <v>42786.380150462966</v>
      </c>
      <c r="F61" s="13">
        <v>42786.385613425926</v>
      </c>
      <c r="G61" s="7">
        <v>1</v>
      </c>
      <c r="H61" s="21" t="s">
        <v>259</v>
      </c>
      <c r="I61" s="13">
        <v>42786.410821759258</v>
      </c>
      <c r="J61" s="7">
        <v>0</v>
      </c>
      <c r="K61" s="98" t="str">
        <f t="shared" si="37"/>
        <v>4027/4028</v>
      </c>
      <c r="L61" s="21" t="str">
        <f>VLOOKUP(A61,'Trips&amp;Operators'!$C$1:$G$99999,5,FALSE)</f>
        <v>MOSES BRADLEY</v>
      </c>
      <c r="M61" s="6">
        <f t="shared" si="38"/>
        <v>2.5208333332557231E-2</v>
      </c>
      <c r="N61" s="7">
        <f t="shared" si="39"/>
        <v>36.299999998882413</v>
      </c>
      <c r="O61" s="7"/>
      <c r="P61" s="7"/>
      <c r="Q61" s="22"/>
      <c r="R61" s="22"/>
      <c r="S61" s="31">
        <f t="shared" si="40"/>
        <v>1</v>
      </c>
      <c r="T61" s="46" t="str">
        <f t="shared" si="41"/>
        <v>NorthBound</v>
      </c>
      <c r="U61" s="186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7" t="str">
        <f t="shared" si="3"/>
        <v>https://d0f6bd738d7f1b3e5a7ca70fe4ff75f0.us-east-1.aws.found.io/app/kibana#/discover/Steve-Slow-Train-Analysis-(2080s-and-2083s)?_g=(refreshInterval:(display:Off,pause:!f,section:0,value:0),time:(from:'2017-02-20T08:07:25-0700',mode:absolute,to:'2017-02-20T10:51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1" s="188" t="str">
        <f t="shared" si="42"/>
        <v>N</v>
      </c>
      <c r="X61" s="188">
        <f t="shared" si="48"/>
        <v>1</v>
      </c>
      <c r="Y61" s="62">
        <f t="shared" si="43"/>
        <v>4.8800000000000003E-2</v>
      </c>
      <c r="Z61" s="62">
        <f t="shared" si="44"/>
        <v>23.3308</v>
      </c>
      <c r="AA61" s="62">
        <f t="shared" si="45"/>
        <v>23.282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 t="shared" si="46"/>
        <v>0145-20</v>
      </c>
      <c r="AE61" s="85" t="str">
        <f t="shared" si="9"/>
        <v>aws s3 cp s3://rtdc.mdm.uploadarchive.raw/RTDC4027/ "%USERPROFILE%\AppData\Local\Temp\OnboardLogs"\RTDC4027\2017-02-20 --exclude "*" --recursive --include "*20170220*" &amp; "%USERPROFILE%\Documents\GitHub\mrs-test-scripts\Headless Mode &amp; Sideloading\WalkAndUnGZ.bat" "%USERPROFILE%\AppData\Local\Temp\OnboardLogs"\RTDC4027\2017-02-20 &amp; aws s3 cp s3://rtdc.mdm.uploadarchive.raw/RTDC4027/ "%USERPROFILE%\AppData\Local\Temp\OnboardLogs"\RTDC4027\2017-02-21 --exclude "*" --recursive --include "*20170221*" &amp; "%USERPROFILE%\Documents\GitHub\mrs-test-scripts\Headless Mode &amp; Sideloading\WalkAndUnGZ.bat" "%USERPROFILE%\AppData\Local\Temp\OnboardLogs"\RTDC4027\2017-02-21</v>
      </c>
      <c r="AF61" s="82" t="str">
        <f t="shared" si="10"/>
        <v>"C:\Program Files (x86)\AstroGrep\AstroGrep.exe" /spath="%USERPROFILE%\AppData\Local\Temp\OnboardLogs" /stypes="app*4027*20170220*" /stext=" 16:.+((SYSTEM_STATE.+slice.+state.+changed )|(ment ac)|(multiple cpu faults)|(system.+state.+changed )|(\[timeout)|(PRM\|1\|D)|(kpr)|(kdp)|(\|lc)|(penalty))" /e /r /s</v>
      </c>
      <c r="AG61" s="1" t="str">
        <f t="shared" si="47"/>
        <v>EC</v>
      </c>
      <c r="AH61" s="86" t="str">
        <f t="shared" si="15"/>
        <v>"%USERPROFILE%\Documents\GitHub\eaglep3\Utilities\RefineRTDCRunTimes.py" --tripid 145-20 --locoid 4027 --swversion DE.1.0.9.0 --startMP 204:488 --initTime 2017-02-20T09:07:25 --startdatetime 2017-02-20T09:15:17 --delay 1 --endMP 204:233308 --enddatetime 2017-02-20T09:51:35 --enforcementcount 0 &gt;&gt;C:\Users\stu\Documents\GitHub\eaglep3-reporting\EC\2017-02-20-refined-times.txt</v>
      </c>
      <c r="AI61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{"issue":{"subject":"","project_id":79,"tracker_id":40,"status_id":1,"priority_id":2,"assigned_to_id":23,"start_date":"2017-02-20","description":"","custom_fields":[{"id":1,"name":"Subdivision","value":"EC"},{"id":4,"name":"Milepost","value":"23.3308"},{"id":17,"name":"Train ID","value":"145-20"},{"id":16,"name":"Locomotive ID","value":"4027"},{"id":130,"name":"Impact","value":""},{"id":150,"name":"Time of Event (Mountain Time)","value":"09:51:35"},{"id":151,"name":"Denver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48"/>
      <c r="AK61" s="48"/>
      <c r="AL61" s="48"/>
      <c r="AM61" s="154" t="str">
        <f t="shared" si="17"/>
        <v>start /low /b %USERPROFILE%\Documents\GitHub\eaglep3\Utilities\DownloadLogsFromS3.py --loco 4027 --day 2017-02-20</v>
      </c>
      <c r="AN61" s="163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"%USERPROFILE%\AppData\Local\Temp\OnboardLogs"\RTDC4027\*4027*20170220* | grep -SE "(Enforcement Action)|(\[TIMEOUT)|(CHR.+\|PRM\|1\|D.+(SWITCH|SIGNAL).+UNKNOWN)" - &gt;&gt; 2017-02-20-UncaughtWiMAX.txt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471</v>
      </c>
      <c r="B62" s="7">
        <v>4028</v>
      </c>
      <c r="C62" s="21" t="s">
        <v>408</v>
      </c>
      <c r="D62" s="21" t="s">
        <v>265</v>
      </c>
      <c r="E62" s="13">
        <v>42786.420312499999</v>
      </c>
      <c r="F62" s="13">
        <v>42786.424537037034</v>
      </c>
      <c r="G62" s="7">
        <v>1</v>
      </c>
      <c r="H62" s="21" t="s">
        <v>726</v>
      </c>
      <c r="I62" s="13">
        <v>42786.45385416667</v>
      </c>
      <c r="J62" s="7">
        <v>0</v>
      </c>
      <c r="K62" s="98" t="str">
        <f t="shared" si="37"/>
        <v>4027/4028</v>
      </c>
      <c r="L62" s="21" t="str">
        <f>VLOOKUP(A62,'Trips&amp;Operators'!$C$1:$G$99999,5,FALSE)</f>
        <v>MOSES BRADLEY</v>
      </c>
      <c r="M62" s="6">
        <f t="shared" si="38"/>
        <v>2.9317129636183381E-2</v>
      </c>
      <c r="N62" s="7">
        <f t="shared" si="39"/>
        <v>42.216666676104069</v>
      </c>
      <c r="O62" s="7"/>
      <c r="P62" s="7"/>
      <c r="Q62" s="22"/>
      <c r="R62" s="22"/>
      <c r="S62" s="31">
        <f t="shared" si="40"/>
        <v>1</v>
      </c>
      <c r="T62" s="46" t="str">
        <f t="shared" si="41"/>
        <v>Southbound</v>
      </c>
      <c r="U62" s="186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7" t="str">
        <f t="shared" si="3"/>
        <v>https://d0f6bd738d7f1b3e5a7ca70fe4ff75f0.us-east-1.aws.found.io/app/kibana#/discover/Steve-Slow-Train-Analysis-(2080s-and-2083s)?_g=(refreshInterval:(display:Off,pause:!f,section:0,value:0),time:(from:'2017-02-20T09:05:15-0700',mode:absolute,to:'2017-02-20T11:53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2" s="188" t="str">
        <f t="shared" si="42"/>
        <v>N</v>
      </c>
      <c r="X62" s="188">
        <f t="shared" si="48"/>
        <v>1</v>
      </c>
      <c r="Y62" s="62">
        <f t="shared" si="43"/>
        <v>23.299099999999999</v>
      </c>
      <c r="Z62" s="62">
        <f t="shared" si="44"/>
        <v>1.6899999999999998E-2</v>
      </c>
      <c r="AA62" s="62">
        <f t="shared" si="45"/>
        <v>23.2822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 t="shared" si="46"/>
        <v>0146-20</v>
      </c>
      <c r="AE62" s="85" t="str">
        <f t="shared" si="9"/>
        <v>aws s3 cp s3://rtdc.mdm.uploadarchive.raw/RTDC4028/ "%USERPROFILE%\AppData\Local\Temp\OnboardLogs"\RTDC4028\2017-02-20 --exclude "*" --recursive --include "*20170220*" &amp; "%USERPROFILE%\Documents\GitHub\mrs-test-scripts\Headless Mode &amp; Sideloading\WalkAndUnGZ.bat" "%USERPROFILE%\AppData\Local\Temp\OnboardLogs"\RTDC4028\2017-02-20 &amp; aws s3 cp s3://rtdc.mdm.uploadarchive.raw/RTDC4028/ "%USERPROFILE%\AppData\Local\Temp\OnboardLogs"\RTDC4028\2017-02-21 --exclude "*" --recursive --include "*20170221*" &amp; "%USERPROFILE%\Documents\GitHub\mrs-test-scripts\Headless Mode &amp; Sideloading\WalkAndUnGZ.bat" "%USERPROFILE%\AppData\Local\Temp\OnboardLogs"\RTDC4028\2017-02-21</v>
      </c>
      <c r="AF62" s="82" t="str">
        <f t="shared" si="10"/>
        <v>"C:\Program Files (x86)\AstroGrep\AstroGrep.exe" /spath="%USERPROFILE%\AppData\Local\Temp\OnboardLogs" /stypes="app*4028*20170220*" /stext=" 17:.+((SYSTEM_STATE.+slice.+state.+changed )|(ment ac)|(multiple cpu faults)|(system.+state.+changed )|(\[timeout)|(PRM\|1\|D)|(kpr)|(kdp)|(\|lc)|(penalty))" /e /r /s</v>
      </c>
      <c r="AG62" s="1" t="str">
        <f t="shared" si="47"/>
        <v>EC</v>
      </c>
      <c r="AH62" s="86" t="str">
        <f t="shared" si="15"/>
        <v>"%USERPROFILE%\Documents\GitHub\eaglep3\Utilities\RefineRTDCRunTimes.py" --tripid 146-20 --locoid 4028 --swversion DE.1.0.9.0 --startMP 204:232991 --initTime 2017-02-20T10:05:15 --startdatetime 2017-02-20T10:11:20 --delay 1 --endMP 204:169 --enddatetime 2017-02-20T10:53:33 --enforcementcount 0 &gt;&gt;C:\Users\stu\Documents\GitHub\eaglep3-reporting\EC\2017-02-20-refined-times.txt</v>
      </c>
      <c r="AI62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{"issue":{"subject":"","project_id":79,"tracker_id":40,"status_id":1,"priority_id":2,"assigned_to_id":23,"start_date":"2017-02-20","description":"","custom_fields":[{"id":1,"name":"Subdivision","value":"EC"},{"id":4,"name":"Milepost","value":"0.0169"},{"id":17,"name":"Train ID","value":"146-20"},{"id":16,"name":"Locomotive ID","value":"4028"},{"id":130,"name":"Impact","value":""},{"id":150,"name":"Time of Event (Mountain Time)","value":"10:53:33"},{"id":151,"name":"Denver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48"/>
      <c r="AK62" s="48"/>
      <c r="AL62" s="48"/>
      <c r="AM62" s="154" t="str">
        <f t="shared" si="17"/>
        <v>start /low /b %USERPROFILE%\Documents\GitHub\eaglep3\Utilities\DownloadLogsFromS3.py --loco 4028 --day 2017-02-20</v>
      </c>
      <c r="AN62" s="163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"%USERPROFILE%\AppData\Local\Temp\OnboardLogs"\RTDC4028\*4028*20170220* | grep -SE "(Enforcement Action)|(\[TIMEOUT)|(CHR.+\|PRM\|1\|D.+(SWITCH|SIGNAL).+UNKNOWN)" - &gt;&gt; 2017-02-20-UncaughtWiMAX.txt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551</v>
      </c>
      <c r="B63" s="7">
        <v>4020</v>
      </c>
      <c r="C63" s="21" t="s">
        <v>408</v>
      </c>
      <c r="D63" s="21" t="s">
        <v>727</v>
      </c>
      <c r="E63" s="13">
        <v>42786.389317129629</v>
      </c>
      <c r="F63" s="13">
        <v>42786.396006944444</v>
      </c>
      <c r="G63" s="7">
        <v>1</v>
      </c>
      <c r="H63" s="21" t="s">
        <v>341</v>
      </c>
      <c r="I63" s="13">
        <v>42786.422268518516</v>
      </c>
      <c r="J63" s="7">
        <v>0</v>
      </c>
      <c r="K63" s="98" t="str">
        <f t="shared" si="37"/>
        <v>4019/4020</v>
      </c>
      <c r="L63" s="21" t="str">
        <f>VLOOKUP(A63,'Trips&amp;Operators'!$C$1:$G$99999,5,FALSE)</f>
        <v>STARKS ANGELINA</v>
      </c>
      <c r="M63" s="6">
        <f t="shared" si="38"/>
        <v>2.626157407212304E-2</v>
      </c>
      <c r="N63" s="7">
        <f t="shared" si="39"/>
        <v>37.816666663857177</v>
      </c>
      <c r="O63" s="7"/>
      <c r="P63" s="7"/>
      <c r="Q63" s="22"/>
      <c r="R63" s="22"/>
      <c r="S63" s="31">
        <f t="shared" si="40"/>
        <v>1</v>
      </c>
      <c r="T63" s="46" t="str">
        <f t="shared" si="41"/>
        <v>NorthBound</v>
      </c>
      <c r="U63" s="186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7" t="str">
        <f t="shared" si="3"/>
        <v>https://d0f6bd738d7f1b3e5a7ca70fe4ff75f0.us-east-1.aws.found.io/app/kibana#/discover/Steve-Slow-Train-Analysis-(2080s-and-2083s)?_g=(refreshInterval:(display:Off,pause:!f,section:0,value:0),time:(from:'2017-02-20T08:20:37-0700',mode:absolute,to:'2017-02-20T11:08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63" s="188" t="str">
        <f t="shared" si="42"/>
        <v>N</v>
      </c>
      <c r="X63" s="188">
        <f t="shared" si="48"/>
        <v>1</v>
      </c>
      <c r="Y63" s="62">
        <f t="shared" si="43"/>
        <v>4.3700000000000003E-2</v>
      </c>
      <c r="Z63" s="62">
        <f t="shared" si="44"/>
        <v>23.327200000000001</v>
      </c>
      <c r="AA63" s="62">
        <f t="shared" si="45"/>
        <v>23.2835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 t="shared" si="46"/>
        <v>0147-20</v>
      </c>
      <c r="AE63" s="85" t="str">
        <f t="shared" si="9"/>
        <v>aws s3 cp s3://rtdc.mdm.uploadarchive.raw/RTDC4020/ "%USERPROFILE%\AppData\Local\Temp\OnboardLogs"\RTDC4020\2017-02-20 --exclude "*" --recursive --include "*20170220*" &amp; "%USERPROFILE%\Documents\GitHub\mrs-test-scripts\Headless Mode &amp; Sideloading\WalkAndUnGZ.bat" "%USERPROFILE%\AppData\Local\Temp\OnboardLogs"\RTDC4020\2017-02-20 &amp; aws s3 cp s3://rtdc.mdm.uploadarchive.raw/RTDC4020/ "%USERPROFILE%\AppData\Local\Temp\OnboardLogs"\RTDC4020\2017-02-21 --exclude "*" --recursive --include "*20170221*" &amp; "%USERPROFILE%\Documents\GitHub\mrs-test-scripts\Headless Mode &amp; Sideloading\WalkAndUnGZ.bat" "%USERPROFILE%\AppData\Local\Temp\OnboardLogs"\RTDC4020\2017-02-21</v>
      </c>
      <c r="AF63" s="82" t="str">
        <f t="shared" si="10"/>
        <v>"C:\Program Files (x86)\AstroGrep\AstroGrep.exe" /spath="%USERPROFILE%\AppData\Local\Temp\OnboardLogs" /stypes="app*4020*20170220*" /stext=" 17:.+((SYSTEM_STATE.+slice.+state.+changed )|(ment ac)|(multiple cpu faults)|(system.+state.+changed )|(\[timeout)|(PRM\|1\|D)|(kpr)|(kdp)|(\|lc)|(penalty))" /e /r /s</v>
      </c>
      <c r="AG63" s="1" t="str">
        <f t="shared" si="47"/>
        <v>EC</v>
      </c>
      <c r="AH63" s="86" t="str">
        <f t="shared" si="15"/>
        <v>"%USERPROFILE%\Documents\GitHub\eaglep3\Utilities\RefineRTDCRunTimes.py" --tripid 147-20 --locoid 4020 --swversion DE.1.0.9.0 --startMP 204:437 --initTime 2017-02-20T09:20:37 --startdatetime 2017-02-20T09:30:15 --delay 1 --endMP 204:233272 --enddatetime 2017-02-20T10:08:04 --enforcementcount 0 &gt;&gt;C:\Users\stu\Documents\GitHub\eaglep3-reporting\EC\2017-02-20-refined-times.txt</v>
      </c>
      <c r="AI63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{"issue":{"subject":"","project_id":79,"tracker_id":40,"status_id":1,"priority_id":2,"assigned_to_id":23,"start_date":"2017-02-20","description":"","custom_fields":[{"id":1,"name":"Subdivision","value":"EC"},{"id":4,"name":"Milepost","value":"23.3272"},{"id":17,"name":"Train ID","value":"147-20"},{"id":16,"name":"Locomotive ID","value":"4020"},{"id":130,"name":"Impact","value":""},{"id":150,"name":"Time of Event (Mountain Time)","value":"10:08:04"},{"id":151,"name":"Denver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48"/>
      <c r="AK63" s="48"/>
      <c r="AL63" s="48"/>
      <c r="AM63" s="154" t="str">
        <f t="shared" si="17"/>
        <v>start /low /b %USERPROFILE%\Documents\GitHub\eaglep3\Utilities\DownloadLogsFromS3.py --loco 4020 --day 2017-02-20</v>
      </c>
      <c r="AN63" s="163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"%USERPROFILE%\AppData\Local\Temp\OnboardLogs"\RTDC4020\*4020*20170220* | grep -SE "(Enforcement Action)|(\[TIMEOUT)|(CHR.+\|PRM\|1\|D.+(SWITCH|SIGNAL).+UNKNOWN)" - &gt;&gt; 2017-02-20-UncaughtWiMAX.txt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556</v>
      </c>
      <c r="B64" s="7">
        <v>4019</v>
      </c>
      <c r="C64" s="21" t="s">
        <v>408</v>
      </c>
      <c r="D64" s="21" t="s">
        <v>263</v>
      </c>
      <c r="E64" s="13">
        <v>42786.424351851849</v>
      </c>
      <c r="F64" s="13">
        <v>42786.434895833336</v>
      </c>
      <c r="G64" s="7">
        <v>1</v>
      </c>
      <c r="H64" s="21" t="s">
        <v>184</v>
      </c>
      <c r="I64" s="13">
        <v>42786.462534722225</v>
      </c>
      <c r="J64" s="7">
        <v>0</v>
      </c>
      <c r="K64" s="98" t="str">
        <f t="shared" si="37"/>
        <v>4019/4020</v>
      </c>
      <c r="L64" s="21" t="str">
        <f>VLOOKUP(A64,'Trips&amp;Operators'!$C$1:$G$99999,5,FALSE)</f>
        <v>STARKS ANGELINA</v>
      </c>
      <c r="M64" s="6">
        <f t="shared" si="38"/>
        <v>2.7638888888759539E-2</v>
      </c>
      <c r="N64" s="7">
        <f t="shared" si="39"/>
        <v>39.799999999813735</v>
      </c>
      <c r="O64" s="7"/>
      <c r="P64" s="7"/>
      <c r="Q64" s="22"/>
      <c r="R64" s="22"/>
      <c r="S64" s="31">
        <f t="shared" si="40"/>
        <v>1</v>
      </c>
      <c r="T64" s="46" t="str">
        <f t="shared" si="41"/>
        <v>Southbound</v>
      </c>
      <c r="U64" s="186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7" t="str">
        <f t="shared" si="3"/>
        <v>https://d0f6bd738d7f1b3e5a7ca70fe4ff75f0.us-east-1.aws.found.io/app/kibana#/discover/Steve-Slow-Train-Analysis-(2080s-and-2083s)?_g=(refreshInterval:(display:Off,pause:!f,section:0,value:0),time:(from:'2017-02-20T09:11:04-0700',mode:absolute,to:'2017-02-20T12:06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64" s="188" t="str">
        <f t="shared" si="42"/>
        <v>N</v>
      </c>
      <c r="X64" s="188">
        <f t="shared" si="48"/>
        <v>1</v>
      </c>
      <c r="Y64" s="62">
        <f t="shared" si="43"/>
        <v>23.297699999999999</v>
      </c>
      <c r="Z64" s="62">
        <f t="shared" si="44"/>
        <v>1.49E-2</v>
      </c>
      <c r="AA64" s="62">
        <f t="shared" si="45"/>
        <v>23.282799999999998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 t="shared" si="46"/>
        <v>0148-20</v>
      </c>
      <c r="AE64" s="85" t="str">
        <f t="shared" si="9"/>
        <v>aws s3 cp s3://rtdc.mdm.uploadarchive.raw/RTDC4019/ "%USERPROFILE%\AppData\Local\Temp\OnboardLogs"\RTDC4019\2017-02-20 --exclude "*" --recursive --include "*20170220*" &amp; "%USERPROFILE%\Documents\GitHub\mrs-test-scripts\Headless Mode &amp; Sideloading\WalkAndUnGZ.bat" "%USERPROFILE%\AppData\Local\Temp\OnboardLogs"\RTDC4019\2017-02-20 &amp; aws s3 cp s3://rtdc.mdm.uploadarchive.raw/RTDC4019/ "%USERPROFILE%\AppData\Local\Temp\OnboardLogs"\RTDC4019\2017-02-21 --exclude "*" --recursive --include "*20170221*" &amp; "%USERPROFILE%\Documents\GitHub\mrs-test-scripts\Headless Mode &amp; Sideloading\WalkAndUnGZ.bat" "%USERPROFILE%\AppData\Local\Temp\OnboardLogs"\RTDC4019\2017-02-21</v>
      </c>
      <c r="AF64" s="82" t="str">
        <f t="shared" si="10"/>
        <v>"C:\Program Files (x86)\AstroGrep\AstroGrep.exe" /spath="%USERPROFILE%\AppData\Local\Temp\OnboardLogs" /stypes="app*4019*20170220*" /stext=" 18:.+((SYSTEM_STATE.+slice.+state.+changed )|(ment ac)|(multiple cpu faults)|(system.+state.+changed )|(\[timeout)|(PRM\|1\|D)|(kpr)|(kdp)|(\|lc)|(penalty))" /e /r /s</v>
      </c>
      <c r="AG64" s="1" t="str">
        <f t="shared" si="47"/>
        <v>EC</v>
      </c>
      <c r="AH64" s="86" t="str">
        <f t="shared" si="15"/>
        <v>"%USERPROFILE%\Documents\GitHub\eaglep3\Utilities\RefineRTDCRunTimes.py" --tripid 148-20 --locoid 4019 --swversion DE.1.0.9.0 --startMP 204:232977 --initTime 2017-02-20T10:11:04 --startdatetime 2017-02-20T10:26:15 --delay 1 --endMP 204:149 --enddatetime 2017-02-20T11:06:03 --enforcementcount 0 &gt;&gt;C:\Users\stu\Documents\GitHub\eaglep3-reporting\EC\2017-02-20-refined-times.txt</v>
      </c>
      <c r="AI64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{"issue":{"subject":"","project_id":79,"tracker_id":40,"status_id":1,"priority_id":2,"assigned_to_id":23,"start_date":"2017-02-20","description":"","custom_fields":[{"id":1,"name":"Subdivision","value":"EC"},{"id":4,"name":"Milepost","value":"0.0149"},{"id":17,"name":"Train ID","value":"148-20"},{"id":16,"name":"Locomotive ID","value":"4019"},{"id":130,"name":"Impact","value":""},{"id":150,"name":"Time of Event (Mountain Time)","value":"11:06:03"},{"id":151,"name":"Denver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48"/>
      <c r="AK64" s="48"/>
      <c r="AL64" s="48"/>
      <c r="AM64" s="154" t="str">
        <f t="shared" si="17"/>
        <v>start /low /b %USERPROFILE%\Documents\GitHub\eaglep3\Utilities\DownloadLogsFromS3.py --loco 4019 --day 2017-02-20</v>
      </c>
      <c r="AN64" s="163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"%USERPROFILE%\AppData\Local\Temp\OnboardLogs"\RTDC4019\*4019*20170220* | grep -SE "(Enforcement Action)|(\[TIMEOUT)|(CHR.+\|PRM\|1\|D.+(SWITCH|SIGNAL).+UNKNOWN)" - &gt;&gt; 2017-02-20-UncaughtWiMAX.txt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467</v>
      </c>
      <c r="B65" s="7">
        <v>4046</v>
      </c>
      <c r="C65" s="21" t="s">
        <v>408</v>
      </c>
      <c r="D65" s="21" t="s">
        <v>364</v>
      </c>
      <c r="E65" s="13">
        <v>42786.401979166665</v>
      </c>
      <c r="F65" s="13">
        <v>42786.406550925924</v>
      </c>
      <c r="G65" s="7">
        <v>1</v>
      </c>
      <c r="H65" s="21" t="s">
        <v>411</v>
      </c>
      <c r="I65" s="13">
        <v>42786.432233796295</v>
      </c>
      <c r="J65" s="7">
        <v>0</v>
      </c>
      <c r="K65" s="98" t="str">
        <f t="shared" si="37"/>
        <v>4045/4046</v>
      </c>
      <c r="L65" s="21" t="str">
        <f>VLOOKUP(A65,'Trips&amp;Operators'!$C$1:$G$99999,5,FALSE)</f>
        <v>BONDS REYNALDO</v>
      </c>
      <c r="M65" s="6">
        <f t="shared" si="38"/>
        <v>2.5682870371383615E-2</v>
      </c>
      <c r="N65" s="7">
        <f t="shared" si="39"/>
        <v>36.983333334792405</v>
      </c>
      <c r="O65" s="7"/>
      <c r="P65" s="7"/>
      <c r="Q65" s="22"/>
      <c r="R65" s="22"/>
      <c r="S65" s="31">
        <f t="shared" si="40"/>
        <v>1</v>
      </c>
      <c r="T65" s="46" t="str">
        <f t="shared" si="41"/>
        <v>NorthBound</v>
      </c>
      <c r="U65" s="186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7" t="str">
        <f t="shared" si="3"/>
        <v>https://d0f6bd738d7f1b3e5a7ca70fe4ff75f0.us-east-1.aws.found.io/app/kibana#/discover/Steve-Slow-Train-Analysis-(2080s-and-2083s)?_g=(refreshInterval:(display:Off,pause:!f,section:0,value:0),time:(from:'2017-02-20T08:38:51-0700',mode:absolute,to:'2017-02-20T11:22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65" s="188" t="str">
        <f t="shared" si="42"/>
        <v>N</v>
      </c>
      <c r="X65" s="188">
        <f t="shared" si="48"/>
        <v>1</v>
      </c>
      <c r="Y65" s="62">
        <f t="shared" si="43"/>
        <v>4.4699999999999997E-2</v>
      </c>
      <c r="Z65" s="62">
        <f t="shared" si="44"/>
        <v>23.3325</v>
      </c>
      <c r="AA65" s="62">
        <f t="shared" si="45"/>
        <v>23.287800000000001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 t="shared" si="46"/>
        <v>0149-20</v>
      </c>
      <c r="AE65" s="85" t="str">
        <f t="shared" si="9"/>
        <v>aws s3 cp s3://rtdc.mdm.uploadarchive.raw/RTDC4046/ "%USERPROFILE%\AppData\Local\Temp\OnboardLogs"\RTDC4046\2017-02-20 --exclude "*" --recursive --include "*20170220*" &amp; "%USERPROFILE%\Documents\GitHub\mrs-test-scripts\Headless Mode &amp; Sideloading\WalkAndUnGZ.bat" "%USERPROFILE%\AppData\Local\Temp\OnboardLogs"\RTDC4046\2017-02-20 &amp; aws s3 cp s3://rtdc.mdm.uploadarchive.raw/RTDC4046/ "%USERPROFILE%\AppData\Local\Temp\OnboardLogs"\RTDC4046\2017-02-21 --exclude "*" --recursive --include "*20170221*" &amp; "%USERPROFILE%\Documents\GitHub\mrs-test-scripts\Headless Mode &amp; Sideloading\WalkAndUnGZ.bat" "%USERPROFILE%\AppData\Local\Temp\OnboardLogs"\RTDC4046\2017-02-21</v>
      </c>
      <c r="AF65" s="82" t="str">
        <f t="shared" si="10"/>
        <v>"C:\Program Files (x86)\AstroGrep\AstroGrep.exe" /spath="%USERPROFILE%\AppData\Local\Temp\OnboardLogs" /stypes="app*4046*20170220*" /stext=" 17:.+((SYSTEM_STATE.+slice.+state.+changed )|(ment ac)|(multiple cpu faults)|(system.+state.+changed )|(\[timeout)|(PRM\|1\|D)|(kpr)|(kdp)|(\|lc)|(penalty))" /e /r /s</v>
      </c>
      <c r="AG65" s="1" t="str">
        <f t="shared" si="47"/>
        <v>EC</v>
      </c>
      <c r="AH65" s="86" t="str">
        <f t="shared" si="15"/>
        <v>"%USERPROFILE%\Documents\GitHub\eaglep3\Utilities\RefineRTDCRunTimes.py" --tripid 149-20 --locoid 4046 --swversion DE.1.0.9.0 --startMP 204:447 --initTime 2017-02-20T09:38:51 --startdatetime 2017-02-20T09:45:26 --delay 1 --endMP 204:233325 --enddatetime 2017-02-20T10:22:25 --enforcementcount 0 &gt;&gt;C:\Users\stu\Documents\GitHub\eaglep3-reporting\EC\2017-02-20-refined-times.txt</v>
      </c>
      <c r="AI65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{"issue":{"subject":"","project_id":79,"tracker_id":40,"status_id":1,"priority_id":2,"assigned_to_id":23,"start_date":"2017-02-20","description":"","custom_fields":[{"id":1,"name":"Subdivision","value":"EC"},{"id":4,"name":"Milepost","value":"23.3325"},{"id":17,"name":"Train ID","value":"149-20"},{"id":16,"name":"Locomotive ID","value":"4046"},{"id":130,"name":"Impact","value":""},{"id":150,"name":"Time of Event (Mountain Time)","value":"10:22:25"},{"id":151,"name":"Denver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48"/>
      <c r="AK65" s="48"/>
      <c r="AL65" s="48"/>
      <c r="AM65" s="154" t="str">
        <f t="shared" si="17"/>
        <v>start /low /b %USERPROFILE%\Documents\GitHub\eaglep3\Utilities\DownloadLogsFromS3.py --loco 4046 --day 2017-02-20</v>
      </c>
      <c r="AN65" s="163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"%USERPROFILE%\AppData\Local\Temp\OnboardLogs"\RTDC4046\*4046*20170220* | grep -SE "(Enforcement Action)|(\[TIMEOUT)|(CHR.+\|PRM\|1\|D.+(SWITCH|SIGNAL).+UNKNOWN)" - &gt;&gt; 2017-02-20-UncaughtWiMAX.txt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561</v>
      </c>
      <c r="B66" s="7">
        <v>4045</v>
      </c>
      <c r="C66" s="21" t="s">
        <v>408</v>
      </c>
      <c r="D66" s="21" t="s">
        <v>362</v>
      </c>
      <c r="E66" s="13">
        <v>42786.44159722222</v>
      </c>
      <c r="F66" s="13">
        <v>42786.445590277777</v>
      </c>
      <c r="G66" s="7">
        <v>1</v>
      </c>
      <c r="H66" s="21" t="s">
        <v>194</v>
      </c>
      <c r="I66" s="13">
        <v>42786.473402777781</v>
      </c>
      <c r="J66" s="7">
        <v>0</v>
      </c>
      <c r="K66" s="98" t="str">
        <f t="shared" si="37"/>
        <v>4045/4046</v>
      </c>
      <c r="L66" s="21" t="str">
        <f>VLOOKUP(A66,'Trips&amp;Operators'!$C$1:$G$99999,5,FALSE)</f>
        <v>BONDS REYNALDO</v>
      </c>
      <c r="M66" s="6">
        <f t="shared" si="38"/>
        <v>2.7812500004074536E-2</v>
      </c>
      <c r="N66" s="7">
        <f t="shared" si="39"/>
        <v>40.050000005867332</v>
      </c>
      <c r="O66" s="7"/>
      <c r="P66" s="7"/>
      <c r="Q66" s="22"/>
      <c r="R66" s="22"/>
      <c r="S66" s="31">
        <f t="shared" si="40"/>
        <v>1</v>
      </c>
      <c r="T66" s="46" t="str">
        <f t="shared" si="41"/>
        <v>Southbound</v>
      </c>
      <c r="U66" s="186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7" t="str">
        <f t="shared" si="3"/>
        <v>https://d0f6bd738d7f1b3e5a7ca70fe4ff75f0.us-east-1.aws.found.io/app/kibana#/discover/Steve-Slow-Train-Analysis-(2080s-and-2083s)?_g=(refreshInterval:(display:Off,pause:!f,section:0,value:0),time:(from:'2017-02-20T09:35:54-0700',mode:absolute,to:'2017-02-20T12:21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66" s="188" t="str">
        <f t="shared" si="42"/>
        <v>N</v>
      </c>
      <c r="X66" s="188">
        <f t="shared" si="48"/>
        <v>1</v>
      </c>
      <c r="Y66" s="62">
        <f t="shared" si="43"/>
        <v>23.3004</v>
      </c>
      <c r="Z66" s="62">
        <f t="shared" si="44"/>
        <v>1.4999999999999999E-2</v>
      </c>
      <c r="AA66" s="62">
        <f t="shared" si="45"/>
        <v>23.285399999999999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 t="shared" si="46"/>
        <v>0150-20</v>
      </c>
      <c r="AE66" s="85" t="str">
        <f t="shared" si="9"/>
        <v>aws s3 cp s3://rtdc.mdm.uploadarchive.raw/RTDC4045/ "%USERPROFILE%\AppData\Local\Temp\OnboardLogs"\RTDC4045\2017-02-20 --exclude "*" --recursive --include "*20170220*" &amp; "%USERPROFILE%\Documents\GitHub\mrs-test-scripts\Headless Mode &amp; Sideloading\WalkAndUnGZ.bat" "%USERPROFILE%\AppData\Local\Temp\OnboardLogs"\RTDC4045\2017-02-20 &amp; aws s3 cp s3://rtdc.mdm.uploadarchive.raw/RTDC4045/ "%USERPROFILE%\AppData\Local\Temp\OnboardLogs"\RTDC4045\2017-02-21 --exclude "*" --recursive --include "*20170221*" &amp; "%USERPROFILE%\Documents\GitHub\mrs-test-scripts\Headless Mode &amp; Sideloading\WalkAndUnGZ.bat" "%USERPROFILE%\AppData\Local\Temp\OnboardLogs"\RTDC4045\2017-02-21</v>
      </c>
      <c r="AF66" s="82" t="str">
        <f t="shared" si="10"/>
        <v>"C:\Program Files (x86)\AstroGrep\AstroGrep.exe" /spath="%USERPROFILE%\AppData\Local\Temp\OnboardLogs" /stypes="app*4045*20170220*" /stext=" 18:.+((SYSTEM_STATE.+slice.+state.+changed )|(ment ac)|(multiple cpu faults)|(system.+state.+changed )|(\[timeout)|(PRM\|1\|D)|(kpr)|(kdp)|(\|lc)|(penalty))" /e /r /s</v>
      </c>
      <c r="AG66" s="1" t="str">
        <f t="shared" si="47"/>
        <v>EC</v>
      </c>
      <c r="AH66" s="86" t="str">
        <f t="shared" si="15"/>
        <v>"%USERPROFILE%\Documents\GitHub\eaglep3\Utilities\RefineRTDCRunTimes.py" --tripid 150-20 --locoid 4045 --swversion DE.1.0.9.0 --startMP 204:233004 --initTime 2017-02-20T10:35:54 --startdatetime 2017-02-20T10:41:39 --delay 1 --endMP 204:150 --enddatetime 2017-02-20T11:21:42 --enforcementcount 0 &gt;&gt;C:\Users\stu\Documents\GitHub\eaglep3-reporting\EC\2017-02-20-refined-times.txt</v>
      </c>
      <c r="AI66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{"issue":{"subject":"","project_id":79,"tracker_id":40,"status_id":1,"priority_id":2,"assigned_to_id":23,"start_date":"2017-02-20","description":"","custom_fields":[{"id":1,"name":"Subdivision","value":"EC"},{"id":4,"name":"Milepost","value":"0.015"},{"id":17,"name":"Train ID","value":"150-20"},{"id":16,"name":"Locomotive ID","value":"4045"},{"id":130,"name":"Impact","value":""},{"id":150,"name":"Time of Event (Mountain Time)","value":"11:21:42"},{"id":151,"name":"Denver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48"/>
      <c r="AK66" s="48"/>
      <c r="AL66" s="48"/>
      <c r="AM66" s="154" t="str">
        <f t="shared" si="17"/>
        <v>start /low /b %USERPROFILE%\Documents\GitHub\eaglep3\Utilities\DownloadLogsFromS3.py --loco 4045 --day 2017-02-20</v>
      </c>
      <c r="AN66" s="163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"%USERPROFILE%\AppData\Local\Temp\OnboardLogs"\RTDC4045\*4045*20170220* | grep -SE "(Enforcement Action)|(\[TIMEOUT)|(CHR.+\|PRM\|1\|D.+(SWITCH|SIGNAL).+UNKNOWN)" - &gt;&gt; 2017-02-20-UncaughtWiMAX.txt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555</v>
      </c>
      <c r="B67" s="7">
        <v>4007</v>
      </c>
      <c r="C67" s="21" t="s">
        <v>408</v>
      </c>
      <c r="D67" s="21" t="s">
        <v>251</v>
      </c>
      <c r="E67" s="13">
        <v>42786.412268518521</v>
      </c>
      <c r="F67" s="13">
        <v>42786.41684027778</v>
      </c>
      <c r="G67" s="7">
        <v>1</v>
      </c>
      <c r="H67" s="21" t="s">
        <v>369</v>
      </c>
      <c r="I67" s="13">
        <v>42786.442754629628</v>
      </c>
      <c r="J67" s="7">
        <v>0</v>
      </c>
      <c r="K67" s="98" t="str">
        <f t="shared" si="37"/>
        <v>4007/4008</v>
      </c>
      <c r="L67" s="21" t="str">
        <f>VLOOKUP(A67,'Trips&amp;Operators'!$C$1:$G$99999,5,FALSE)</f>
        <v>SHOOK JOHN</v>
      </c>
      <c r="M67" s="6">
        <f t="shared" si="38"/>
        <v>2.5914351848769002E-2</v>
      </c>
      <c r="N67" s="7">
        <f t="shared" si="39"/>
        <v>37.316666662227362</v>
      </c>
      <c r="O67" s="7"/>
      <c r="P67" s="7"/>
      <c r="Q67" s="22"/>
      <c r="R67" s="22"/>
      <c r="S67" s="31">
        <f t="shared" ref="S67:S98" si="49">SUM(U67:U67)/IF(AG67="EC",12,1)</f>
        <v>1</v>
      </c>
      <c r="T67" s="46" t="str">
        <f t="shared" si="41"/>
        <v>NorthBound</v>
      </c>
      <c r="U67" s="186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7" t="str">
        <f t="shared" si="3"/>
        <v>https://d0f6bd738d7f1b3e5a7ca70fe4ff75f0.us-east-1.aws.found.io/app/kibana#/discover/Steve-Slow-Train-Analysis-(2080s-and-2083s)?_g=(refreshInterval:(display:Off,pause:!f,section:0,value:0),time:(from:'2017-02-20T08:53:40-0700',mode:absolute,to:'2017-02-20T11:37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7" s="188" t="str">
        <f t="shared" si="42"/>
        <v>N</v>
      </c>
      <c r="X67" s="188">
        <f t="shared" si="48"/>
        <v>1</v>
      </c>
      <c r="Y67" s="62">
        <f t="shared" si="43"/>
        <v>4.53E-2</v>
      </c>
      <c r="Z67" s="62">
        <f t="shared" si="44"/>
        <v>23.330300000000001</v>
      </c>
      <c r="AA67" s="62">
        <f t="shared" si="45"/>
        <v>23.285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 t="shared" si="46"/>
        <v>0151-20</v>
      </c>
      <c r="AE67" s="85" t="str">
        <f t="shared" si="9"/>
        <v>aws s3 cp s3://rtdc.mdm.uploadarchive.raw/RTDC4007/ "%USERPROFILE%\AppData\Local\Temp\OnboardLogs"\RTDC4007\2017-02-20 --exclude "*" --recursive --include "*20170220*" &amp; "%USERPROFILE%\Documents\GitHub\mrs-test-scripts\Headless Mode &amp; Sideloading\WalkAndUnGZ.bat" "%USERPROFILE%\AppData\Local\Temp\OnboardLogs"\RTDC4007\2017-02-20 &amp; aws s3 cp s3://rtdc.mdm.uploadarchive.raw/RTDC4007/ "%USERPROFILE%\AppData\Local\Temp\OnboardLogs"\RTDC4007\2017-02-21 --exclude "*" --recursive --include "*20170221*" &amp; "%USERPROFILE%\Documents\GitHub\mrs-test-scripts\Headless Mode &amp; Sideloading\WalkAndUnGZ.bat" "%USERPROFILE%\AppData\Local\Temp\OnboardLogs"\RTDC4007\2017-02-21</v>
      </c>
      <c r="AF67" s="82" t="str">
        <f t="shared" si="10"/>
        <v>"C:\Program Files (x86)\AstroGrep\AstroGrep.exe" /spath="%USERPROFILE%\AppData\Local\Temp\OnboardLogs" /stypes="app*4007*20170220*" /stext=" 17:.+((SYSTEM_STATE.+slice.+state.+changed )|(ment ac)|(multiple cpu faults)|(system.+state.+changed )|(\[timeout)|(PRM\|1\|D)|(kpr)|(kdp)|(\|lc)|(penalty))" /e /r /s</v>
      </c>
      <c r="AG67" s="1" t="str">
        <f t="shared" si="47"/>
        <v>EC</v>
      </c>
      <c r="AH67" s="86" t="str">
        <f t="shared" si="15"/>
        <v>"%USERPROFILE%\Documents\GitHub\eaglep3\Utilities\RefineRTDCRunTimes.py" --tripid 151-20 --locoid 4007 --swversion DE.1.0.9.0 --startMP 204:453 --initTime 2017-02-20T09:53:40 --startdatetime 2017-02-20T10:00:15 --delay 1 --endMP 204:233303 --enddatetime 2017-02-20T10:37:34 --enforcementcount 0 &gt;&gt;C:\Users\stu\Documents\GitHub\eaglep3-reporting\EC\2017-02-20-refined-times.txt</v>
      </c>
      <c r="AI67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{"issue":{"subject":"","project_id":79,"tracker_id":40,"status_id":1,"priority_id":2,"assigned_to_id":23,"start_date":"2017-02-20","description":"","custom_fields":[{"id":1,"name":"Subdivision","value":"EC"},{"id":4,"name":"Milepost","value":"23.3303"},{"id":17,"name":"Train ID","value":"151-20"},{"id":16,"name":"Locomotive ID","value":"4007"},{"id":130,"name":"Impact","value":""},{"id":150,"name":"Time of Event (Mountain Time)","value":"10:37:34"},{"id":151,"name":"Denver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48"/>
      <c r="AK67" s="48"/>
      <c r="AL67" s="48"/>
      <c r="AM67" s="154" t="str">
        <f t="shared" si="17"/>
        <v>start /low /b %USERPROFILE%\Documents\GitHub\eaglep3\Utilities\DownloadLogsFromS3.py --loco 4007 --day 2017-02-20</v>
      </c>
      <c r="AN67" s="163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"%USERPROFILE%\AppData\Local\Temp\OnboardLogs"\RTDC4007\*4007*20170220* | grep -SE "(Enforcement Action)|(\[TIMEOUT)|(CHR.+\|PRM\|1\|D.+(SWITCH|SIGNAL).+UNKNOWN)" - &gt;&gt; 2017-02-20-UncaughtWiMAX.txt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564</v>
      </c>
      <c r="B68" s="7">
        <v>4008</v>
      </c>
      <c r="C68" s="21" t="s">
        <v>408</v>
      </c>
      <c r="D68" s="21" t="s">
        <v>409</v>
      </c>
      <c r="E68" s="13">
        <v>42786.44599537037</v>
      </c>
      <c r="F68" s="13">
        <v>42786.455729166664</v>
      </c>
      <c r="G68" s="7">
        <v>1</v>
      </c>
      <c r="H68" s="21" t="s">
        <v>361</v>
      </c>
      <c r="I68" s="13">
        <v>42786.485312500001</v>
      </c>
      <c r="J68" s="7">
        <v>0</v>
      </c>
      <c r="K68" s="98" t="str">
        <f t="shared" si="37"/>
        <v>4007/4008</v>
      </c>
      <c r="L68" s="21" t="str">
        <f>VLOOKUP(A68,'Trips&amp;Operators'!$C$1:$G$99999,5,FALSE)</f>
        <v>SHOOK JOHN</v>
      </c>
      <c r="M68" s="6">
        <f t="shared" si="38"/>
        <v>2.9583333336631767E-2</v>
      </c>
      <c r="N68" s="7">
        <f t="shared" si="39"/>
        <v>42.600000004749745</v>
      </c>
      <c r="O68" s="7"/>
      <c r="P68" s="7"/>
      <c r="Q68" s="22"/>
      <c r="R68" s="22"/>
      <c r="S68" s="31">
        <f t="shared" si="49"/>
        <v>1</v>
      </c>
      <c r="T68" s="46" t="str">
        <f t="shared" si="41"/>
        <v>Southbound</v>
      </c>
      <c r="U68" s="186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7" t="str">
        <f t="shared" si="3"/>
        <v>https://d0f6bd738d7f1b3e5a7ca70fe4ff75f0.us-east-1.aws.found.io/app/kibana#/discover/Steve-Slow-Train-Analysis-(2080s-and-2083s)?_g=(refreshInterval:(display:Off,pause:!f,section:0,value:0),time:(from:'2017-02-20T09:42:14-0700',mode:absolute,to:'2017-02-20T12:38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8" s="188" t="str">
        <f t="shared" si="42"/>
        <v>N</v>
      </c>
      <c r="X68" s="188">
        <f t="shared" si="48"/>
        <v>1</v>
      </c>
      <c r="Y68" s="62">
        <f t="shared" si="43"/>
        <v>23.298999999999999</v>
      </c>
      <c r="Z68" s="62">
        <f t="shared" si="44"/>
        <v>1.6299999999999999E-2</v>
      </c>
      <c r="AA68" s="62">
        <f t="shared" si="45"/>
        <v>23.282699999999998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 t="shared" si="46"/>
        <v>0152-20</v>
      </c>
      <c r="AE68" s="85" t="str">
        <f t="shared" si="9"/>
        <v>aws s3 cp s3://rtdc.mdm.uploadarchive.raw/RTDC4008/ "%USERPROFILE%\AppData\Local\Temp\OnboardLogs"\RTDC4008\2017-02-20 --exclude "*" --recursive --include "*20170220*" &amp; "%USERPROFILE%\Documents\GitHub\mrs-test-scripts\Headless Mode &amp; Sideloading\WalkAndUnGZ.bat" "%USERPROFILE%\AppData\Local\Temp\OnboardLogs"\RTDC4008\2017-02-20 &amp; aws s3 cp s3://rtdc.mdm.uploadarchive.raw/RTDC4008/ "%USERPROFILE%\AppData\Local\Temp\OnboardLogs"\RTDC4008\2017-02-21 --exclude "*" --recursive --include "*20170221*" &amp; "%USERPROFILE%\Documents\GitHub\mrs-test-scripts\Headless Mode &amp; Sideloading\WalkAndUnGZ.bat" "%USERPROFILE%\AppData\Local\Temp\OnboardLogs"\RTDC4008\2017-02-21</v>
      </c>
      <c r="AF68" s="82" t="str">
        <f t="shared" si="10"/>
        <v>"C:\Program Files (x86)\AstroGrep\AstroGrep.exe" /spath="%USERPROFILE%\AppData\Local\Temp\OnboardLogs" /stypes="app*4008*20170220*" /stext=" 18:.+((SYSTEM_STATE.+slice.+state.+changed )|(ment ac)|(multiple cpu faults)|(system.+state.+changed )|(\[timeout)|(PRM\|1\|D)|(kpr)|(kdp)|(\|lc)|(penalty))" /e /r /s</v>
      </c>
      <c r="AG68" s="1" t="str">
        <f t="shared" si="47"/>
        <v>EC</v>
      </c>
      <c r="AH68" s="86" t="str">
        <f t="shared" si="15"/>
        <v>"%USERPROFILE%\Documents\GitHub\eaglep3\Utilities\RefineRTDCRunTimes.py" --tripid 152-20 --locoid 4008 --swversion DE.1.0.9.0 --startMP 204:232990 --initTime 2017-02-20T10:42:14 --startdatetime 2017-02-20T10:56:15 --delay 1 --endMP 204:163 --enddatetime 2017-02-20T11:38:51 --enforcementcount 0 &gt;&gt;C:\Users\stu\Documents\GitHub\eaglep3-reporting\EC\2017-02-20-refined-times.txt</v>
      </c>
      <c r="AI68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{"issue":{"subject":"","project_id":79,"tracker_id":40,"status_id":1,"priority_id":2,"assigned_to_id":23,"start_date":"2017-02-20","description":"","custom_fields":[{"id":1,"name":"Subdivision","value":"EC"},{"id":4,"name":"Milepost","value":"0.0163"},{"id":17,"name":"Train ID","value":"152-20"},{"id":16,"name":"Locomotive ID","value":"4008"},{"id":130,"name":"Impact","value":""},{"id":150,"name":"Time of Event (Mountain Time)","value":"11:38:51"},{"id":151,"name":"Denver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48"/>
      <c r="AK68" s="48"/>
      <c r="AL68" s="48"/>
      <c r="AM68" s="154" t="str">
        <f t="shared" si="17"/>
        <v>start /low /b %USERPROFILE%\Documents\GitHub\eaglep3\Utilities\DownloadLogsFromS3.py --loco 4008 --day 2017-02-20</v>
      </c>
      <c r="AN68" s="163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"%USERPROFILE%\AppData\Local\Temp\OnboardLogs"\RTDC4008\*4008*20170220* | grep -SE "(Enforcement Action)|(\[TIMEOUT)|(CHR.+\|PRM\|1\|D.+(SWITCH|SIGNAL).+UNKNOWN)" - &gt;&gt; 2017-02-20-UncaughtWiMAX.txt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470</v>
      </c>
      <c r="B69" s="7">
        <v>4029</v>
      </c>
      <c r="C69" s="21" t="s">
        <v>408</v>
      </c>
      <c r="D69" s="21" t="s">
        <v>304</v>
      </c>
      <c r="E69" s="13">
        <v>42786.420173611114</v>
      </c>
      <c r="F69" s="13">
        <v>42786.421053240738</v>
      </c>
      <c r="G69" s="7">
        <v>1</v>
      </c>
      <c r="H69" s="21" t="s">
        <v>728</v>
      </c>
      <c r="I69" s="13">
        <v>42786.448518518519</v>
      </c>
      <c r="J69" s="7">
        <v>2</v>
      </c>
      <c r="K69" s="98" t="str">
        <f t="shared" si="37"/>
        <v>4029/4030</v>
      </c>
      <c r="L69" s="21" t="str">
        <f>VLOOKUP(A69,'Trips&amp;Operators'!$C$1:$G$99999,5,FALSE)</f>
        <v>YORK EDGAR</v>
      </c>
      <c r="M69" s="6">
        <f t="shared" si="38"/>
        <v>2.7465277780720498E-2</v>
      </c>
      <c r="N69" s="7"/>
      <c r="O69" s="7"/>
      <c r="P69" s="7">
        <f>24*60*SUM($M69:$M69)</f>
        <v>39.550000004237518</v>
      </c>
      <c r="Q69" s="22"/>
      <c r="R69" s="22" t="s">
        <v>884</v>
      </c>
      <c r="S69" s="31">
        <f t="shared" si="49"/>
        <v>1</v>
      </c>
      <c r="T69" s="46" t="str">
        <f t="shared" si="41"/>
        <v>NorthBound</v>
      </c>
      <c r="U69" s="186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7" t="str">
        <f t="shared" si="3"/>
        <v>https://d0f6bd738d7f1b3e5a7ca70fe4ff75f0.us-east-1.aws.found.io/app/kibana#/discover/Steve-Slow-Train-Analysis-(2080s-and-2083s)?_g=(refreshInterval:(display:Off,pause:!f,section:0,value:0),time:(from:'2017-02-20T09:05:03-0700',mode:absolute,to:'2017-02-20T11:45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9" s="188" t="str">
        <f t="shared" si="42"/>
        <v>Y</v>
      </c>
      <c r="X69" s="188">
        <f t="shared" si="48"/>
        <v>1</v>
      </c>
      <c r="Y69" s="62">
        <f t="shared" si="43"/>
        <v>4.7300000000000002E-2</v>
      </c>
      <c r="Z69" s="62">
        <f t="shared" si="44"/>
        <v>19.378399999999999</v>
      </c>
      <c r="AA69" s="62">
        <f t="shared" si="45"/>
        <v>19.331099999999999</v>
      </c>
      <c r="AB69" s="59" t="str">
        <f>VLOOKUP(A69,Enforcements!$C$7:$K$13,8,0)</f>
        <v>Bulletin (2)</v>
      </c>
      <c r="AC69" s="55" t="str">
        <f>VLOOKUP(A69,Enforcements!$C$7:$E$13,3,0)</f>
        <v>GRADE CROSSING</v>
      </c>
      <c r="AD69" s="56" t="str">
        <f t="shared" si="46"/>
        <v>0153-20</v>
      </c>
      <c r="AE69" s="85" t="str">
        <f t="shared" si="9"/>
        <v>aws s3 cp s3://rtdc.mdm.uploadarchive.raw/RTDC4029/ "%USERPROFILE%\AppData\Local\Temp\OnboardLogs"\RTDC4029\2017-02-20 --exclude "*" --recursive --include "*20170220*" &amp; "%USERPROFILE%\Documents\GitHub\mrs-test-scripts\Headless Mode &amp; Sideloading\WalkAndUnGZ.bat" "%USERPROFILE%\AppData\Local\Temp\OnboardLogs"\RTDC4029\2017-02-20 &amp; aws s3 cp s3://rtdc.mdm.uploadarchive.raw/RTDC4029/ "%USERPROFILE%\AppData\Local\Temp\OnboardLogs"\RTDC4029\2017-02-21 --exclude "*" --recursive --include "*20170221*" &amp; "%USERPROFILE%\Documents\GitHub\mrs-test-scripts\Headless Mode &amp; Sideloading\WalkAndUnGZ.bat" "%USERPROFILE%\AppData\Local\Temp\OnboardLogs"\RTDC4029\2017-02-21</v>
      </c>
      <c r="AF69" s="82" t="str">
        <f t="shared" si="10"/>
        <v>"C:\Program Files (x86)\AstroGrep\AstroGrep.exe" /spath="%USERPROFILE%\AppData\Local\Temp\OnboardLogs" /stypes="app*4029*20170220*" /stext=" 17:.+((SYSTEM_STATE.+slice.+state.+changed )|(ment ac)|(multiple cpu faults)|(system.+state.+changed )|(\[timeout)|(PRM\|1\|D)|(kpr)|(kdp)|(\|lc)|(penalty))" /e /r /s</v>
      </c>
      <c r="AG69" s="1" t="str">
        <f t="shared" si="47"/>
        <v>EC</v>
      </c>
      <c r="AH69" s="86" t="str">
        <f t="shared" si="15"/>
        <v>"%USERPROFILE%\Documents\GitHub\eaglep3\Utilities\RefineRTDCRunTimes.py" --tripid 153-20 --locoid 4029 --swversion DE.1.0.9.0 --startMP 204:473 --initTime 2017-02-20T10:05:03 --startdatetime 2017-02-20T10:06:19 --delay 1 --endMP 204:193784 --enddatetime 2017-02-20T10:45:52 --enforcementcount 2 &gt;&gt;C:\Users\stu\Documents\GitHub\eaglep3-reporting\EC\2017-02-20-refined-times.txt</v>
      </c>
      <c r="AI69" s="108" t="str">
        <f t="shared" si="16"/>
        <v>echo {"issue":{"subject":"Premature downgrade at Pena 2N","project_id":79,"tracker_id":40,"status_id":1,"priority_id":2,"assigned_to_id":23,"start_date":"2017-02-20","description":"At 10:44:38, Pena 2N dropped from PROCEED CAB to STOP while the train was still approaching it. Do logs indicate anything unusual at the time?","custom_fields":[{"id":1,"name":"Subdivision","value":"EC"},{"id":4,"name":"Milepost","value":"19.3784"},{"id":17,"name":"Train ID","value":"153-20"},{"id":16,"name":"Locomotive ID","value":"4029"},{"id":130,"name":"Impact","value":"Enforcement"},{"id":150,"name":"Time of Event (Mountain Time)","value":"10:45:52"},{"id":151,"name":"Denver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69" s="48" t="s">
        <v>885</v>
      </c>
      <c r="AK69" s="48" t="s">
        <v>124</v>
      </c>
      <c r="AL69" s="48" t="s">
        <v>129</v>
      </c>
      <c r="AM69" s="154" t="str">
        <f t="shared" si="17"/>
        <v>start /low /b %USERPROFILE%\Documents\GitHub\eaglep3\Utilities\DownloadLogsFromS3.py --loco 4029 --day 2017-02-20</v>
      </c>
      <c r="AN69" s="163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"%USERPROFILE%\AppData\Local\Temp\OnboardLogs"\RTDC4029\*4029*20170220* | grep -SE "(Enforcement Action)|(\[TIMEOUT)|(CHR.+\|PRM\|1\|D.+(SWITCH|SIGNAL).+UNKNOWN)" - &gt;&gt; 2017-02-20-UncaughtWiMAX.txt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20" customFormat="1" x14ac:dyDescent="0.25">
      <c r="A70" s="33" t="s">
        <v>566</v>
      </c>
      <c r="B70" s="7">
        <v>4030</v>
      </c>
      <c r="C70" s="21" t="s">
        <v>408</v>
      </c>
      <c r="D70" s="21" t="s">
        <v>301</v>
      </c>
      <c r="E70" s="13">
        <v>42786.456180555557</v>
      </c>
      <c r="F70" s="13">
        <v>42786.456956018519</v>
      </c>
      <c r="G70" s="7">
        <v>1</v>
      </c>
      <c r="H70" s="21" t="s">
        <v>729</v>
      </c>
      <c r="I70" s="13">
        <v>42786.467037037037</v>
      </c>
      <c r="J70" s="7">
        <v>0</v>
      </c>
      <c r="K70" s="98" t="str">
        <f t="shared" si="37"/>
        <v>4029/4030</v>
      </c>
      <c r="L70" s="21" t="str">
        <f>VLOOKUP(A70,'Trips&amp;Operators'!$C$1:$G$99999,5,FALSE)</f>
        <v>YORK EDGAR</v>
      </c>
      <c r="M70" s="6">
        <f t="shared" si="38"/>
        <v>1.0081018517666962E-2</v>
      </c>
      <c r="N70" s="7"/>
      <c r="O70" s="7"/>
      <c r="P70" s="7">
        <f>24*60*SUM($M70:$M70)</f>
        <v>14.516666665440425</v>
      </c>
      <c r="Q70" s="22"/>
      <c r="R70" s="22" t="s">
        <v>446</v>
      </c>
      <c r="S70" s="31">
        <f t="shared" si="49"/>
        <v>0</v>
      </c>
      <c r="T70" s="46" t="str">
        <f t="shared" si="41"/>
        <v>Southbound</v>
      </c>
      <c r="U70" s="186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0</v>
      </c>
      <c r="V70" s="187" t="str">
        <f t="shared" si="3"/>
        <v>https://d0f6bd738d7f1b3e5a7ca70fe4ff75f0.us-east-1.aws.found.io/app/kibana#/discover/Steve-Slow-Train-Analysis-(2080s-and-2083s)?_g=(refreshInterval:(display:Off,pause:!f,section:0,value:0),time:(from:'2017-02-20T09:56:54-0700',mode:absolute,to:'2017-02-20T12:12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0" s="188" t="str">
        <f t="shared" si="42"/>
        <v>Y</v>
      </c>
      <c r="X70" s="188">
        <f t="shared" si="48"/>
        <v>1</v>
      </c>
      <c r="Y70" s="62">
        <f t="shared" si="43"/>
        <v>23.298500000000001</v>
      </c>
      <c r="Z70" s="62">
        <f t="shared" si="44"/>
        <v>22.819800000000001</v>
      </c>
      <c r="AA70" s="62">
        <f t="shared" si="45"/>
        <v>0.4786999999999999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 t="shared" si="46"/>
        <v>0154-20</v>
      </c>
      <c r="AE70" s="85" t="str">
        <f t="shared" si="9"/>
        <v>aws s3 cp s3://rtdc.mdm.uploadarchive.raw/RTDC4030/ "%USERPROFILE%\AppData\Local\Temp\OnboardLogs"\RTDC4030\2017-02-20 --exclude "*" --recursive --include "*20170220*" &amp; "%USERPROFILE%\Documents\GitHub\mrs-test-scripts\Headless Mode &amp; Sideloading\WalkAndUnGZ.bat" "%USERPROFILE%\AppData\Local\Temp\OnboardLogs"\RTDC4030\2017-02-20 &amp; aws s3 cp s3://rtdc.mdm.uploadarchive.raw/RTDC4030/ "%USERPROFILE%\AppData\Local\Temp\OnboardLogs"\RTDC4030\2017-02-21 --exclude "*" --recursive --include "*20170221*" &amp; "%USERPROFILE%\Documents\GitHub\mrs-test-scripts\Headless Mode &amp; Sideloading\WalkAndUnGZ.bat" "%USERPROFILE%\AppData\Local\Temp\OnboardLogs"\RTDC4030\2017-02-21</v>
      </c>
      <c r="AF70" s="82" t="str">
        <f t="shared" si="10"/>
        <v>"C:\Program Files (x86)\AstroGrep\AstroGrep.exe" /spath="%USERPROFILE%\AppData\Local\Temp\OnboardLogs" /stypes="app*4030*20170220*" /stext=" 18:.+((SYSTEM_STATE.+slice.+state.+changed )|(ment ac)|(multiple cpu faults)|(system.+state.+changed )|(\[timeout)|(PRM\|1\|D)|(kpr)|(kdp)|(\|lc)|(penalty))" /e /r /s</v>
      </c>
      <c r="AG70" s="1" t="str">
        <f t="shared" si="47"/>
        <v>EC</v>
      </c>
      <c r="AH70" s="86" t="str">
        <f t="shared" si="15"/>
        <v>"%USERPROFILE%\Documents\GitHub\eaglep3\Utilities\RefineRTDCRunTimes.py" --tripid 154-20 --locoid 4030 --swversion DE.1.0.9.0 --startMP 204:232985 --initTime 2017-02-20T10:56:54 --startdatetime 2017-02-20T10:58:01 --delay 1 --endMP 204:228198 --enddatetime 2017-02-20T11:12:32 --enforcementcount 0 &gt;&gt;C:\Users\stu\Documents\GitHub\eaglep3-reporting\EC\2017-02-20-refined-times.txt</v>
      </c>
      <c r="AI70" s="108" t="str">
        <f t="shared" si="16"/>
        <v>echo {"issue":{"subject":"Onboard in-route failure","project_id":79,"tracker_id":40,"status_id":1,"priority_id":2,"assigned_to_id":23,"start_date":"2017-02-20","description":"","custom_fields":[{"id":1,"name":"Subdivision","value":"EC"},{"id":4,"name":"Milepost","value":"22.8198"},{"id":17,"name":"Train ID","value":"154-20"},{"id":16,"name":"Locomotive ID","value":"4030"},{"id":130,"name":"Impact","value":""},{"id":150,"name":"Time of Event (Mountain Time)","value":"11:12:32"},{"id":151,"name":"Denver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48"/>
      <c r="AK70" s="48"/>
      <c r="AL70" s="48"/>
      <c r="AM70" s="154" t="str">
        <f t="shared" si="17"/>
        <v>start /low /b %USERPROFILE%\Documents\GitHub\eaglep3\Utilities\DownloadLogsFromS3.py --loco 4030 --day 2017-02-20</v>
      </c>
      <c r="AN70" s="163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"%USERPROFILE%\AppData\Local\Temp\OnboardLogs"\RTDC4030\*4030*20170220* | grep -SE "(Enforcement Action)|(\[TIMEOUT)|(CHR.+\|PRM\|1\|D.+(SWITCH|SIGNAL).+UNKNOWN)" - &gt;&gt; 2017-02-20-UncaughtWiMAX.txt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20" customFormat="1" x14ac:dyDescent="0.25">
      <c r="A71" s="33" t="s">
        <v>560</v>
      </c>
      <c r="B71" s="7">
        <v>4003</v>
      </c>
      <c r="C71" s="21" t="s">
        <v>408</v>
      </c>
      <c r="D71" s="21" t="s">
        <v>226</v>
      </c>
      <c r="E71" s="13">
        <v>42786.43172453704</v>
      </c>
      <c r="F71" s="13">
        <v>42786.437662037039</v>
      </c>
      <c r="G71" s="7">
        <v>2</v>
      </c>
      <c r="H71" s="21" t="s">
        <v>730</v>
      </c>
      <c r="I71" s="13">
        <v>42786.462395833332</v>
      </c>
      <c r="J71" s="7">
        <v>0</v>
      </c>
      <c r="K71" s="98" t="str">
        <f t="shared" si="37"/>
        <v>4003/4004</v>
      </c>
      <c r="L71" s="21" t="str">
        <f>VLOOKUP(A71,'Trips&amp;Operators'!$C$1:$G$99999,5,FALSE)</f>
        <v>SWANSON BRYCE</v>
      </c>
      <c r="M71" s="6">
        <f t="shared" si="38"/>
        <v>2.4733796293730848E-2</v>
      </c>
      <c r="N71" s="7">
        <f t="shared" ref="N71:N102" si="50">24*60*SUM($M71:$M71)</f>
        <v>35.61666666297242</v>
      </c>
      <c r="O71" s="7"/>
      <c r="P71" s="7"/>
      <c r="Q71" s="22"/>
      <c r="R71" s="22"/>
      <c r="S71" s="31">
        <f t="shared" si="49"/>
        <v>1</v>
      </c>
      <c r="T71" s="46" t="str">
        <f t="shared" si="41"/>
        <v>NorthBound</v>
      </c>
      <c r="U71" s="186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7" t="str">
        <f t="shared" si="3"/>
        <v>https://d0f6bd738d7f1b3e5a7ca70fe4ff75f0.us-east-1.aws.found.io/app/kibana#/discover/Steve-Slow-Train-Analysis-(2080s-and-2083s)?_g=(refreshInterval:(display:Off,pause:!f,section:0,value:0),time:(from:'2017-02-20T09:21:41-0700',mode:absolute,to:'2017-02-20T12:05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71" s="188" t="str">
        <f t="shared" si="42"/>
        <v>N</v>
      </c>
      <c r="X71" s="188">
        <f t="shared" si="48"/>
        <v>1</v>
      </c>
      <c r="Y71" s="62">
        <f t="shared" si="43"/>
        <v>4.5100000000000001E-2</v>
      </c>
      <c r="Z71" s="62">
        <f t="shared" si="44"/>
        <v>23.324000000000002</v>
      </c>
      <c r="AA71" s="62">
        <f t="shared" si="45"/>
        <v>23.2789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 t="shared" si="46"/>
        <v>0155-20</v>
      </c>
      <c r="AE71" s="85" t="str">
        <f t="shared" si="9"/>
        <v>aws s3 cp s3://rtdc.mdm.uploadarchive.raw/RTDC4003/ "%USERPROFILE%\AppData\Local\Temp\OnboardLogs"\RTDC4003\2017-02-20 --exclude "*" --recursive --include "*20170220*" &amp; "%USERPROFILE%\Documents\GitHub\mrs-test-scripts\Headless Mode &amp; Sideloading\WalkAndUnGZ.bat" "%USERPROFILE%\AppData\Local\Temp\OnboardLogs"\RTDC4003\2017-02-20 &amp; aws s3 cp s3://rtdc.mdm.uploadarchive.raw/RTDC4003/ "%USERPROFILE%\AppData\Local\Temp\OnboardLogs"\RTDC4003\2017-02-21 --exclude "*" --recursive --include "*20170221*" &amp; "%USERPROFILE%\Documents\GitHub\mrs-test-scripts\Headless Mode &amp; Sideloading\WalkAndUnGZ.bat" "%USERPROFILE%\AppData\Local\Temp\OnboardLogs"\RTDC4003\2017-02-21</v>
      </c>
      <c r="AF71" s="82" t="str">
        <f t="shared" si="10"/>
        <v>"C:\Program Files (x86)\AstroGrep\AstroGrep.exe" /spath="%USERPROFILE%\AppData\Local\Temp\OnboardLogs" /stypes="app*4003*20170220*" /stext=" 18:.+((SYSTEM_STATE.+slice.+state.+changed )|(ment ac)|(multiple cpu faults)|(system.+state.+changed )|(\[timeout)|(PRM\|1\|D)|(kpr)|(kdp)|(\|lc)|(penalty))" /e /r /s</v>
      </c>
      <c r="AG71" s="1" t="str">
        <f t="shared" si="47"/>
        <v>EC</v>
      </c>
      <c r="AH71" s="86" t="str">
        <f t="shared" si="15"/>
        <v>"%USERPROFILE%\Documents\GitHub\eaglep3\Utilities\RefineRTDCRunTimes.py" --tripid 155-20 --locoid 4003 --swversion DE.1.0.9.0 --startMP 204:451 --initTime 2017-02-20T10:21:41 --startdatetime 2017-02-20T10:30:14 --delay 2 --endMP 204:233240 --enddatetime 2017-02-20T11:05:51 --enforcementcount 0 &gt;&gt;C:\Users\stu\Documents\GitHub\eaglep3-reporting\EC\2017-02-20-refined-times.txt</v>
      </c>
      <c r="AI71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{"issue":{"subject":"","project_id":79,"tracker_id":40,"status_id":1,"priority_id":2,"assigned_to_id":23,"start_date":"2017-02-20","description":"","custom_fields":[{"id":1,"name":"Subdivision","value":"EC"},{"id":4,"name":"Milepost","value":"23.324"},{"id":17,"name":"Train ID","value":"155-20"},{"id":16,"name":"Locomotive ID","value":"4003"},{"id":130,"name":"Impact","value":""},{"id":150,"name":"Time of Event (Mountain Time)","value":"11:05:51"},{"id":151,"name":"Denver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48"/>
      <c r="AK71" s="48"/>
      <c r="AL71" s="48"/>
      <c r="AM71" s="154" t="str">
        <f t="shared" si="17"/>
        <v>start /low /b %USERPROFILE%\Documents\GitHub\eaglep3\Utilities\DownloadLogsFromS3.py --loco 4003 --day 2017-02-20</v>
      </c>
      <c r="AN71" s="163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"%USERPROFILE%\AppData\Local\Temp\OnboardLogs"\RTDC4003\*4003*20170220* | grep -SE "(Enforcement Action)|(\[TIMEOUT)|(CHR.+\|PRM\|1\|D.+(SWITCH|SIGNAL).+UNKNOWN)" - &gt;&gt; 2017-02-20-UncaughtWiMAX.txt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20" customFormat="1" x14ac:dyDescent="0.25">
      <c r="A72" s="33" t="s">
        <v>570</v>
      </c>
      <c r="B72" s="7">
        <v>4004</v>
      </c>
      <c r="C72" s="21" t="s">
        <v>408</v>
      </c>
      <c r="D72" s="21" t="s">
        <v>731</v>
      </c>
      <c r="E72" s="13">
        <v>42786.464525462965</v>
      </c>
      <c r="F72" s="13">
        <v>42786.476527777777</v>
      </c>
      <c r="G72" s="7">
        <v>1</v>
      </c>
      <c r="H72" s="21" t="s">
        <v>223</v>
      </c>
      <c r="I72" s="13">
        <v>42786.505173611113</v>
      </c>
      <c r="J72" s="7">
        <v>0</v>
      </c>
      <c r="K72" s="98" t="str">
        <f t="shared" si="37"/>
        <v>4003/4004</v>
      </c>
      <c r="L72" s="21" t="str">
        <f>VLOOKUP(A72,'Trips&amp;Operators'!$C$1:$G$99999,5,FALSE)</f>
        <v>SWANSON BRYCE</v>
      </c>
      <c r="M72" s="6">
        <f t="shared" si="38"/>
        <v>2.8645833335758653E-2</v>
      </c>
      <c r="N72" s="7">
        <f t="shared" si="50"/>
        <v>41.25000000349246</v>
      </c>
      <c r="O72" s="7"/>
      <c r="P72" s="7"/>
      <c r="Q72" s="22"/>
      <c r="R72" s="22"/>
      <c r="S72" s="31">
        <f t="shared" si="49"/>
        <v>1</v>
      </c>
      <c r="T72" s="46" t="str">
        <f t="shared" si="41"/>
        <v>Southbound</v>
      </c>
      <c r="U72" s="186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7" t="str">
        <f t="shared" si="3"/>
        <v>https://d0f6bd738d7f1b3e5a7ca70fe4ff75f0.us-east-1.aws.found.io/app/kibana#/discover/Steve-Slow-Train-Analysis-(2080s-and-2083s)?_g=(refreshInterval:(display:Off,pause:!f,section:0,value:0),time:(from:'2017-02-20T10:08:55-0700',mode:absolute,to:'2017-02-20T13:07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72" s="188" t="str">
        <f t="shared" si="42"/>
        <v>N</v>
      </c>
      <c r="X72" s="188">
        <f t="shared" si="48"/>
        <v>1</v>
      </c>
      <c r="Y72" s="62">
        <f t="shared" si="43"/>
        <v>23.293199999999999</v>
      </c>
      <c r="Z72" s="62">
        <f t="shared" si="44"/>
        <v>1.43E-2</v>
      </c>
      <c r="AA72" s="62">
        <f t="shared" si="45"/>
        <v>23.2789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 t="shared" si="46"/>
        <v>0156-20</v>
      </c>
      <c r="AE72" s="85" t="str">
        <f t="shared" si="9"/>
        <v>aws s3 cp s3://rtdc.mdm.uploadarchive.raw/RTDC4004/ "%USERPROFILE%\AppData\Local\Temp\OnboardLogs"\RTDC4004\2017-02-20 --exclude "*" --recursive --include "*20170220*" &amp; "%USERPROFILE%\Documents\GitHub\mrs-test-scripts\Headless Mode &amp; Sideloading\WalkAndUnGZ.bat" "%USERPROFILE%\AppData\Local\Temp\OnboardLogs"\RTDC4004\2017-02-20 &amp; aws s3 cp s3://rtdc.mdm.uploadarchive.raw/RTDC4004/ "%USERPROFILE%\AppData\Local\Temp\OnboardLogs"\RTDC4004\2017-02-21 --exclude "*" --recursive --include "*20170221*" &amp; "%USERPROFILE%\Documents\GitHub\mrs-test-scripts\Headless Mode &amp; Sideloading\WalkAndUnGZ.bat" "%USERPROFILE%\AppData\Local\Temp\OnboardLogs"\RTDC4004\2017-02-21</v>
      </c>
      <c r="AF72" s="82" t="str">
        <f t="shared" si="10"/>
        <v>"C:\Program Files (x86)\AstroGrep\AstroGrep.exe" /spath="%USERPROFILE%\AppData\Local\Temp\OnboardLogs" /stypes="app*4004*20170220*" /stext=" 19:.+((SYSTEM_STATE.+slice.+state.+changed )|(ment ac)|(multiple cpu faults)|(system.+state.+changed )|(\[timeout)|(PRM\|1\|D)|(kpr)|(kdp)|(\|lc)|(penalty))" /e /r /s</v>
      </c>
      <c r="AG72" s="1" t="str">
        <f t="shared" si="47"/>
        <v>EC</v>
      </c>
      <c r="AH72" s="86" t="str">
        <f t="shared" si="15"/>
        <v>"%USERPROFILE%\Documents\GitHub\eaglep3\Utilities\RefineRTDCRunTimes.py" --tripid 156-20 --locoid 4004 --swversion DE.1.0.9.0 --startMP 204:232932 --initTime 2017-02-20T11:08:55 --startdatetime 2017-02-20T11:26:12 --delay 1 --endMP 204:143 --enddatetime 2017-02-20T12:07:27 --enforcementcount 0 &gt;&gt;C:\Users\stu\Documents\GitHub\eaglep3-reporting\EC\2017-02-20-refined-times.txt</v>
      </c>
      <c r="AI72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{"issue":{"subject":"","project_id":79,"tracker_id":40,"status_id":1,"priority_id":2,"assigned_to_id":23,"start_date":"2017-02-20","description":"","custom_fields":[{"id":1,"name":"Subdivision","value":"EC"},{"id":4,"name":"Milepost","value":"0.0143"},{"id":17,"name":"Train ID","value":"156-20"},{"id":16,"name":"Locomotive ID","value":"4004"},{"id":130,"name":"Impact","value":""},{"id":150,"name":"Time of Event (Mountain Time)","value":"12:07:27"},{"id":151,"name":"Denver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48"/>
      <c r="AK72" s="48"/>
      <c r="AL72" s="48"/>
      <c r="AM72" s="154" t="str">
        <f t="shared" si="17"/>
        <v>start /low /b %USERPROFILE%\Documents\GitHub\eaglep3\Utilities\DownloadLogsFromS3.py --loco 4004 --day 2017-02-20</v>
      </c>
      <c r="AN72" s="163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"%USERPROFILE%\AppData\Local\Temp\OnboardLogs"\RTDC4004\*4004*20170220* | grep -SE "(Enforcement Action)|(\[TIMEOUT)|(CHR.+\|PRM\|1\|D.+(SWITCH|SIGNAL).+UNKNOWN)" - &gt;&gt; 2017-02-20-UncaughtWiMAX.txt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x14ac:dyDescent="0.25">
      <c r="A73" s="33" t="s">
        <v>563</v>
      </c>
      <c r="B73" s="7">
        <v>4016</v>
      </c>
      <c r="C73" s="21" t="s">
        <v>408</v>
      </c>
      <c r="D73" s="21" t="s">
        <v>732</v>
      </c>
      <c r="E73" s="13">
        <v>42786.443391203706</v>
      </c>
      <c r="F73" s="13">
        <v>42786.448368055557</v>
      </c>
      <c r="G73" s="7">
        <v>7</v>
      </c>
      <c r="H73" s="21" t="s">
        <v>371</v>
      </c>
      <c r="I73" s="13">
        <v>42786.475277777776</v>
      </c>
      <c r="J73" s="7">
        <v>0</v>
      </c>
      <c r="K73" s="98" t="str">
        <f t="shared" si="37"/>
        <v>4015/4016</v>
      </c>
      <c r="L73" s="21" t="str">
        <f>VLOOKUP(A73,'Trips&amp;Operators'!$C$1:$G$99999,5,FALSE)</f>
        <v>ROBINSON KADDIBA</v>
      </c>
      <c r="M73" s="6">
        <f t="shared" si="38"/>
        <v>2.6909722218988463E-2</v>
      </c>
      <c r="N73" s="7">
        <f t="shared" si="50"/>
        <v>38.749999995343387</v>
      </c>
      <c r="O73" s="7"/>
      <c r="P73" s="7"/>
      <c r="Q73" s="22"/>
      <c r="R73" s="22"/>
      <c r="S73" s="31">
        <f t="shared" si="49"/>
        <v>1</v>
      </c>
      <c r="T73" s="46" t="str">
        <f t="shared" si="41"/>
        <v>NorthBound</v>
      </c>
      <c r="U73" s="186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7" t="str">
        <f t="shared" si="3"/>
        <v>https://d0f6bd738d7f1b3e5a7ca70fe4ff75f0.us-east-1.aws.found.io/app/kibana#/discover/Steve-Slow-Train-Analysis-(2080s-and-2083s)?_g=(refreshInterval:(display:Off,pause:!f,section:0,value:0),time:(from:'2017-02-20T09:38:29-0700',mode:absolute,to:'2017-02-20T12:24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3" s="188" t="str">
        <f t="shared" si="42"/>
        <v>N</v>
      </c>
      <c r="X73" s="188">
        <f t="shared" si="48"/>
        <v>1</v>
      </c>
      <c r="Y73" s="62">
        <f t="shared" si="43"/>
        <v>0.15129999999999999</v>
      </c>
      <c r="Z73" s="62">
        <f t="shared" si="44"/>
        <v>23.328499999999998</v>
      </c>
      <c r="AA73" s="62">
        <f t="shared" si="45"/>
        <v>23.177199999999999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 t="shared" si="46"/>
        <v>0157-20</v>
      </c>
      <c r="AE73" s="85" t="str">
        <f t="shared" si="9"/>
        <v>aws s3 cp s3://rtdc.mdm.uploadarchive.raw/RTDC4016/ "%USERPROFILE%\AppData\Local\Temp\OnboardLogs"\RTDC4016\2017-02-20 --exclude "*" --recursive --include "*20170220*" &amp; "%USERPROFILE%\Documents\GitHub\mrs-test-scripts\Headless Mode &amp; Sideloading\WalkAndUnGZ.bat" "%USERPROFILE%\AppData\Local\Temp\OnboardLogs"\RTDC4016\2017-02-20 &amp; aws s3 cp s3://rtdc.mdm.uploadarchive.raw/RTDC4016/ "%USERPROFILE%\AppData\Local\Temp\OnboardLogs"\RTDC4016\2017-02-21 --exclude "*" --recursive --include "*20170221*" &amp; "%USERPROFILE%\Documents\GitHub\mrs-test-scripts\Headless Mode &amp; Sideloading\WalkAndUnGZ.bat" "%USERPROFILE%\AppData\Local\Temp\OnboardLogs"\RTDC4016\2017-02-21</v>
      </c>
      <c r="AF73" s="82" t="str">
        <f t="shared" si="10"/>
        <v>"C:\Program Files (x86)\AstroGrep\AstroGrep.exe" /spath="%USERPROFILE%\AppData\Local\Temp\OnboardLogs" /stypes="app*4016*20170220*" /stext=" 18:.+((SYSTEM_STATE.+slice.+state.+changed )|(ment ac)|(multiple cpu faults)|(system.+state.+changed )|(\[timeout)|(PRM\|1\|D)|(kpr)|(kdp)|(\|lc)|(penalty))" /e /r /s</v>
      </c>
      <c r="AG73" s="1" t="str">
        <f t="shared" si="47"/>
        <v>EC</v>
      </c>
      <c r="AH73" s="86" t="str">
        <f t="shared" si="15"/>
        <v>"%USERPROFILE%\Documents\GitHub\eaglep3\Utilities\RefineRTDCRunTimes.py" --tripid 157-20 --locoid 4016 --swversion DE.1.0.9.0 --startMP 204:1513 --initTime 2017-02-20T10:38:29 --startdatetime 2017-02-20T10:45:39 --delay 7 --endMP 204:233285 --enddatetime 2017-02-20T11:24:24 --enforcementcount 0 &gt;&gt;C:\Users\stu\Documents\GitHub\eaglep3-reporting\EC\2017-02-20-refined-times.txt</v>
      </c>
      <c r="AI73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{"issue":{"subject":"","project_id":79,"tracker_id":40,"status_id":1,"priority_id":2,"assigned_to_id":23,"start_date":"2017-02-20","description":"","custom_fields":[{"id":1,"name":"Subdivision","value":"EC"},{"id":4,"name":"Milepost","value":"23.3285"},{"id":17,"name":"Train ID","value":"157-20"},{"id":16,"name":"Locomotive ID","value":"4016"},{"id":130,"name":"Impact","value":""},{"id":150,"name":"Time of Event (Mountain Time)","value":"11:24:24"},{"id":151,"name":"Denver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48"/>
      <c r="AK73" s="48"/>
      <c r="AL73" s="48"/>
      <c r="AM73" s="154" t="str">
        <f t="shared" si="17"/>
        <v>start /low /b %USERPROFILE%\Documents\GitHub\eaglep3\Utilities\DownloadLogsFromS3.py --loco 4016 --day 2017-02-20</v>
      </c>
      <c r="AN73" s="163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"%USERPROFILE%\AppData\Local\Temp\OnboardLogs"\RTDC4016\*4016*20170220* | grep -SE "(Enforcement Action)|(\[TIMEOUT)|(CHR.+\|PRM\|1\|D.+(SWITCH|SIGNAL).+UNKNOWN)" - &gt;&gt; 2017-02-20-UncaughtWiMAX.txt</v>
      </c>
    </row>
    <row r="74" spans="1:91" s="20" customFormat="1" x14ac:dyDescent="0.25">
      <c r="A74" s="33" t="s">
        <v>474</v>
      </c>
      <c r="B74" s="7">
        <v>4015</v>
      </c>
      <c r="C74" s="21" t="s">
        <v>408</v>
      </c>
      <c r="D74" s="21" t="s">
        <v>419</v>
      </c>
      <c r="E74" s="13">
        <v>42786.484363425923</v>
      </c>
      <c r="F74" s="13">
        <v>42786.486956018518</v>
      </c>
      <c r="G74" s="7">
        <v>1</v>
      </c>
      <c r="H74" s="21" t="s">
        <v>206</v>
      </c>
      <c r="I74" s="13">
        <v>42786.51494212963</v>
      </c>
      <c r="J74" s="7">
        <v>0</v>
      </c>
      <c r="K74" s="98" t="str">
        <f t="shared" si="37"/>
        <v>4015/4016</v>
      </c>
      <c r="L74" s="21" t="str">
        <f>VLOOKUP(A74,'Trips&amp;Operators'!$C$1:$G$99999,5,FALSE)</f>
        <v>ROBINSON KADDIBA</v>
      </c>
      <c r="M74" s="6">
        <f t="shared" si="38"/>
        <v>2.7986111112113576E-2</v>
      </c>
      <c r="N74" s="7">
        <f t="shared" si="50"/>
        <v>40.30000000144355</v>
      </c>
      <c r="O74" s="7"/>
      <c r="P74" s="7"/>
      <c r="Q74" s="22"/>
      <c r="R74" s="22"/>
      <c r="S74" s="31">
        <f t="shared" si="49"/>
        <v>1</v>
      </c>
      <c r="T74" s="46" t="str">
        <f t="shared" si="41"/>
        <v>Southbound</v>
      </c>
      <c r="U74" s="186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7" t="str">
        <f t="shared" si="3"/>
        <v>https://d0f6bd738d7f1b3e5a7ca70fe4ff75f0.us-east-1.aws.found.io/app/kibana#/discover/Steve-Slow-Train-Analysis-(2080s-and-2083s)?_g=(refreshInterval:(display:Off,pause:!f,section:0,value:0),time:(from:'2017-02-20T10:37:29-0700',mode:absolute,to:'2017-02-20T13:21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4" s="188" t="str">
        <f t="shared" si="42"/>
        <v>N</v>
      </c>
      <c r="X74" s="188">
        <f t="shared" ref="X74:X77" si="51">VALUE(LEFT(AD74,4))-VALUE(LEFT(AD73,4))</f>
        <v>1</v>
      </c>
      <c r="Y74" s="62">
        <f t="shared" si="43"/>
        <v>23.296399999999998</v>
      </c>
      <c r="Z74" s="62">
        <f t="shared" si="44"/>
        <v>1.52E-2</v>
      </c>
      <c r="AA74" s="62">
        <f t="shared" si="45"/>
        <v>23.281199999999998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 t="shared" si="46"/>
        <v>0158-20</v>
      </c>
      <c r="AE74" s="85" t="str">
        <f t="shared" si="9"/>
        <v>aws s3 cp s3://rtdc.mdm.uploadarchive.raw/RTDC4015/ "%USERPROFILE%\AppData\Local\Temp\OnboardLogs"\RTDC4015\2017-02-20 --exclude "*" --recursive --include "*20170220*" &amp; "%USERPROFILE%\Documents\GitHub\mrs-test-scripts\Headless Mode &amp; Sideloading\WalkAndUnGZ.bat" "%USERPROFILE%\AppData\Local\Temp\OnboardLogs"\RTDC4015\2017-02-20 &amp; aws s3 cp s3://rtdc.mdm.uploadarchive.raw/RTDC4015/ "%USERPROFILE%\AppData\Local\Temp\OnboardLogs"\RTDC4015\2017-02-21 --exclude "*" --recursive --include "*20170221*" &amp; "%USERPROFILE%\Documents\GitHub\mrs-test-scripts\Headless Mode &amp; Sideloading\WalkAndUnGZ.bat" "%USERPROFILE%\AppData\Local\Temp\OnboardLogs"\RTDC4015\2017-02-21</v>
      </c>
      <c r="AF74" s="82" t="str">
        <f t="shared" si="10"/>
        <v>"C:\Program Files (x86)\AstroGrep\AstroGrep.exe" /spath="%USERPROFILE%\AppData\Local\Temp\OnboardLogs" /stypes="app*4015*20170220*" /stext=" 19:.+((SYSTEM_STATE.+slice.+state.+changed )|(ment ac)|(multiple cpu faults)|(system.+state.+changed )|(\[timeout)|(PRM\|1\|D)|(kpr)|(kdp)|(\|lc)|(penalty))" /e /r /s</v>
      </c>
      <c r="AG74" s="1" t="str">
        <f t="shared" si="47"/>
        <v>EC</v>
      </c>
      <c r="AH74" s="86" t="str">
        <f t="shared" si="15"/>
        <v>"%USERPROFILE%\Documents\GitHub\eaglep3\Utilities\RefineRTDCRunTimes.py" --tripid 158-20 --locoid 4015 --swversion DE.1.0.9.0 --startMP 204:232964 --initTime 2017-02-20T11:37:29 --startdatetime 2017-02-20T11:41:13 --delay 1 --endMP 204:152 --enddatetime 2017-02-20T12:21:31 --enforcementcount 0 &gt;&gt;C:\Users\stu\Documents\GitHub\eaglep3-reporting\EC\2017-02-20-refined-times.txt</v>
      </c>
      <c r="AI74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{"issue":{"subject":"","project_id":79,"tracker_id":40,"status_id":1,"priority_id":2,"assigned_to_id":23,"start_date":"2017-02-20","description":"","custom_fields":[{"id":1,"name":"Subdivision","value":"EC"},{"id":4,"name":"Milepost","value":"0.0152"},{"id":17,"name":"Train ID","value":"158-20"},{"id":16,"name":"Locomotive ID","value":"4015"},{"id":130,"name":"Impact","value":""},{"id":150,"name":"Time of Event (Mountain Time)","value":"12:21:31"},{"id":151,"name":"Denver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48"/>
      <c r="AK74" s="48"/>
      <c r="AL74" s="48"/>
      <c r="AM74" s="154" t="str">
        <f t="shared" si="17"/>
        <v>start /low /b %USERPROFILE%\Documents\GitHub\eaglep3\Utilities\DownloadLogsFromS3.py --loco 4015 --day 2017-02-20</v>
      </c>
      <c r="AN74" s="163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"%USERPROFILE%\AppData\Local\Temp\OnboardLogs"\RTDC4015\*4015*20170220* | grep -SE "(Enforcement Action)|(\[TIMEOUT)|(CHR.+\|PRM\|1\|D.+(SWITCH|SIGNAL).+UNKNOWN)" - &gt;&gt; 2017-02-20-UncaughtWiMAX.txt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20" customFormat="1" x14ac:dyDescent="0.25">
      <c r="A75" s="33" t="s">
        <v>567</v>
      </c>
      <c r="B75" s="7">
        <v>4027</v>
      </c>
      <c r="C75" s="21" t="s">
        <v>408</v>
      </c>
      <c r="D75" s="21" t="s">
        <v>733</v>
      </c>
      <c r="E75" s="13">
        <v>42786.455925925926</v>
      </c>
      <c r="F75" s="13">
        <v>42786.458518518521</v>
      </c>
      <c r="G75" s="7">
        <v>4</v>
      </c>
      <c r="H75" s="21" t="s">
        <v>417</v>
      </c>
      <c r="I75" s="13">
        <v>42786.484317129631</v>
      </c>
      <c r="J75" s="7">
        <v>0</v>
      </c>
      <c r="K75" s="98" t="str">
        <f t="shared" si="37"/>
        <v>4027/4028</v>
      </c>
      <c r="L75" s="21" t="str">
        <f>VLOOKUP(A75,'Trips&amp;Operators'!$C$1:$G$99999,5,FALSE)</f>
        <v>STEWART MICHAEL</v>
      </c>
      <c r="M75" s="6">
        <f t="shared" si="38"/>
        <v>2.5798611110076308E-2</v>
      </c>
      <c r="N75" s="7">
        <f t="shared" si="50"/>
        <v>37.149999998509884</v>
      </c>
      <c r="O75" s="7"/>
      <c r="P75" s="7"/>
      <c r="Q75" s="22"/>
      <c r="R75" s="22"/>
      <c r="S75" s="31">
        <f t="shared" si="49"/>
        <v>1</v>
      </c>
      <c r="T75" s="46" t="str">
        <f t="shared" si="41"/>
        <v>NorthBound</v>
      </c>
      <c r="U75" s="186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7" t="str">
        <f t="shared" si="3"/>
        <v>https://d0f6bd738d7f1b3e5a7ca70fe4ff75f0.us-east-1.aws.found.io/app/kibana#/discover/Steve-Slow-Train-Analysis-(2080s-and-2083s)?_g=(refreshInterval:(display:Off,pause:!f,section:0,value:0),time:(from:'2017-02-20T09:56:32-0700',mode:absolute,to:'2017-02-20T12:37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5" s="188" t="str">
        <f t="shared" si="42"/>
        <v>N</v>
      </c>
      <c r="X75" s="188">
        <f t="shared" si="51"/>
        <v>1</v>
      </c>
      <c r="Y75" s="62">
        <f t="shared" si="43"/>
        <v>0.14080000000000001</v>
      </c>
      <c r="Z75" s="62">
        <f t="shared" si="44"/>
        <v>23.3291</v>
      </c>
      <c r="AA75" s="62">
        <f t="shared" si="45"/>
        <v>23.188300000000002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 t="shared" si="46"/>
        <v>0159-20</v>
      </c>
      <c r="AE75" s="85" t="str">
        <f t="shared" si="9"/>
        <v>aws s3 cp s3://rtdc.mdm.uploadarchive.raw/RTDC4027/ "%USERPROFILE%\AppData\Local\Temp\OnboardLogs"\RTDC4027\2017-02-20 --exclude "*" --recursive --include "*20170220*" &amp; "%USERPROFILE%\Documents\GitHub\mrs-test-scripts\Headless Mode &amp; Sideloading\WalkAndUnGZ.bat" "%USERPROFILE%\AppData\Local\Temp\OnboardLogs"\RTDC4027\2017-02-20 &amp; aws s3 cp s3://rtdc.mdm.uploadarchive.raw/RTDC4027/ "%USERPROFILE%\AppData\Local\Temp\OnboardLogs"\RTDC4027\2017-02-21 --exclude "*" --recursive --include "*20170221*" &amp; "%USERPROFILE%\Documents\GitHub\mrs-test-scripts\Headless Mode &amp; Sideloading\WalkAndUnGZ.bat" "%USERPROFILE%\AppData\Local\Temp\OnboardLogs"\RTDC4027\2017-02-21</v>
      </c>
      <c r="AF75" s="82" t="str">
        <f t="shared" si="10"/>
        <v>"C:\Program Files (x86)\AstroGrep\AstroGrep.exe" /spath="%USERPROFILE%\AppData\Local\Temp\OnboardLogs" /stypes="app*4027*20170220*" /stext=" 18:.+((SYSTEM_STATE.+slice.+state.+changed )|(ment ac)|(multiple cpu faults)|(system.+state.+changed )|(\[timeout)|(PRM\|1\|D)|(kpr)|(kdp)|(\|lc)|(penalty))" /e /r /s</v>
      </c>
      <c r="AG75" s="1" t="str">
        <f t="shared" si="47"/>
        <v>EC</v>
      </c>
      <c r="AH75" s="86" t="str">
        <f t="shared" si="15"/>
        <v>"%USERPROFILE%\Documents\GitHub\eaglep3\Utilities\RefineRTDCRunTimes.py" --tripid 159-20 --locoid 4027 --swversion DE.1.0.9.0 --startMP 204:1408 --initTime 2017-02-20T10:56:32 --startdatetime 2017-02-20T11:00:16 --delay 4 --endMP 204:233291 --enddatetime 2017-02-20T11:37:25 --enforcementcount 0 &gt;&gt;C:\Users\stu\Documents\GitHub\eaglep3-reporting\EC\2017-02-20-refined-times.txt</v>
      </c>
      <c r="AI75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{"issue":{"subject":"","project_id":79,"tracker_id":40,"status_id":1,"priority_id":2,"assigned_to_id":23,"start_date":"2017-02-20","description":"","custom_fields":[{"id":1,"name":"Subdivision","value":"EC"},{"id":4,"name":"Milepost","value":"23.3291"},{"id":17,"name":"Train ID","value":"159-20"},{"id":16,"name":"Locomotive ID","value":"4027"},{"id":130,"name":"Impact","value":""},{"id":150,"name":"Time of Event (Mountain Time)","value":"11:37:25"},{"id":151,"name":"Denver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48"/>
      <c r="AK75" s="48"/>
      <c r="AL75" s="48"/>
      <c r="AM75" s="154" t="str">
        <f t="shared" si="17"/>
        <v>start /low /b %USERPROFILE%\Documents\GitHub\eaglep3\Utilities\DownloadLogsFromS3.py --loco 4027 --day 2017-02-20</v>
      </c>
      <c r="AN75" s="163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"%USERPROFILE%\AppData\Local\Temp\OnboardLogs"\RTDC4027\*4027*20170220* | grep -SE "(Enforcement Action)|(\[TIMEOUT)|(CHR.+\|PRM\|1\|D.+(SWITCH|SIGNAL).+UNKNOWN)" - &gt;&gt; 2017-02-20-UncaughtWiMAX.txt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20" customFormat="1" x14ac:dyDescent="0.25">
      <c r="A76" s="33" t="s">
        <v>579</v>
      </c>
      <c r="B76" s="7">
        <v>4028</v>
      </c>
      <c r="C76" s="21" t="s">
        <v>408</v>
      </c>
      <c r="D76" s="21" t="s">
        <v>263</v>
      </c>
      <c r="E76" s="13">
        <v>42786.494733796295</v>
      </c>
      <c r="F76" s="13">
        <v>42786.497696759259</v>
      </c>
      <c r="G76" s="7">
        <v>1</v>
      </c>
      <c r="H76" s="21" t="s">
        <v>213</v>
      </c>
      <c r="I76" s="13">
        <v>42786.524375000001</v>
      </c>
      <c r="J76" s="7">
        <v>0</v>
      </c>
      <c r="K76" s="98" t="str">
        <f t="shared" si="37"/>
        <v>4027/4028</v>
      </c>
      <c r="L76" s="21" t="str">
        <f>VLOOKUP(A76,'Trips&amp;Operators'!$C$1:$G$99999,5,FALSE)</f>
        <v>STEWART MICHAEL</v>
      </c>
      <c r="M76" s="6">
        <f t="shared" si="38"/>
        <v>2.6678240741603076E-2</v>
      </c>
      <c r="N76" s="7">
        <f t="shared" si="50"/>
        <v>38.41666666790843</v>
      </c>
      <c r="O76" s="7"/>
      <c r="P76" s="7"/>
      <c r="Q76" s="22"/>
      <c r="R76" s="22"/>
      <c r="S76" s="31">
        <f t="shared" si="49"/>
        <v>1</v>
      </c>
      <c r="T76" s="46" t="str">
        <f t="shared" si="41"/>
        <v>Southbound</v>
      </c>
      <c r="U76" s="186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7" t="str">
        <f t="shared" si="3"/>
        <v>https://d0f6bd738d7f1b3e5a7ca70fe4ff75f0.us-east-1.aws.found.io/app/kibana#/discover/Steve-Slow-Train-Analysis-(2080s-and-2083s)?_g=(refreshInterval:(display:Off,pause:!f,section:0,value:0),time:(from:'2017-02-20T10:52:25-0700',mode:absolute,to:'2017-02-20T13:35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6" s="188" t="str">
        <f t="shared" si="42"/>
        <v>N</v>
      </c>
      <c r="X76" s="188">
        <f t="shared" si="51"/>
        <v>1</v>
      </c>
      <c r="Y76" s="62">
        <f t="shared" si="43"/>
        <v>23.297699999999999</v>
      </c>
      <c r="Z76" s="62">
        <f t="shared" si="44"/>
        <v>1.54E-2</v>
      </c>
      <c r="AA76" s="62">
        <f t="shared" si="45"/>
        <v>23.282299999999999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 t="shared" si="46"/>
        <v>0160-20</v>
      </c>
      <c r="AE76" s="85" t="str">
        <f t="shared" si="9"/>
        <v>aws s3 cp s3://rtdc.mdm.uploadarchive.raw/RTDC4028/ "%USERPROFILE%\AppData\Local\Temp\OnboardLogs"\RTDC4028\2017-02-20 --exclude "*" --recursive --include "*20170220*" &amp; "%USERPROFILE%\Documents\GitHub\mrs-test-scripts\Headless Mode &amp; Sideloading\WalkAndUnGZ.bat" "%USERPROFILE%\AppData\Local\Temp\OnboardLogs"\RTDC4028\2017-02-20 &amp; aws s3 cp s3://rtdc.mdm.uploadarchive.raw/RTDC4028/ "%USERPROFILE%\AppData\Local\Temp\OnboardLogs"\RTDC4028\2017-02-21 --exclude "*" --recursive --include "*20170221*" &amp; "%USERPROFILE%\Documents\GitHub\mrs-test-scripts\Headless Mode &amp; Sideloading\WalkAndUnGZ.bat" "%USERPROFILE%\AppData\Local\Temp\OnboardLogs"\RTDC4028\2017-02-21</v>
      </c>
      <c r="AF76" s="82" t="str">
        <f t="shared" si="10"/>
        <v>"C:\Program Files (x86)\AstroGrep\AstroGrep.exe" /spath="%USERPROFILE%\AppData\Local\Temp\OnboardLogs" /stypes="app*4028*20170220*" /stext=" 19:.+((SYSTEM_STATE.+slice.+state.+changed )|(ment ac)|(multiple cpu faults)|(system.+state.+changed )|(\[timeout)|(PRM\|1\|D)|(kpr)|(kdp)|(\|lc)|(penalty))" /e /r /s</v>
      </c>
      <c r="AG76" s="1" t="str">
        <f t="shared" si="47"/>
        <v>EC</v>
      </c>
      <c r="AH76" s="86" t="str">
        <f t="shared" si="15"/>
        <v>"%USERPROFILE%\Documents\GitHub\eaglep3\Utilities\RefineRTDCRunTimes.py" --tripid 160-20 --locoid 4028 --swversion DE.1.0.9.0 --startMP 204:232977 --initTime 2017-02-20T11:52:25 --startdatetime 2017-02-20T11:56:41 --delay 1 --endMP 204:154 --enddatetime 2017-02-20T12:35:06 --enforcementcount 0 &gt;&gt;C:\Users\stu\Documents\GitHub\eaglep3-reporting\EC\2017-02-20-refined-times.txt</v>
      </c>
      <c r="AI76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{"issue":{"subject":"","project_id":79,"tracker_id":40,"status_id":1,"priority_id":2,"assigned_to_id":23,"start_date":"2017-02-20","description":"","custom_fields":[{"id":1,"name":"Subdivision","value":"EC"},{"id":4,"name":"Milepost","value":"0.0154"},{"id":17,"name":"Train ID","value":"160-20"},{"id":16,"name":"Locomotive ID","value":"4028"},{"id":130,"name":"Impact","value":""},{"id":150,"name":"Time of Event (Mountain Time)","value":"12:35:06"},{"id":151,"name":"Denver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48"/>
      <c r="AK76" s="48"/>
      <c r="AL76" s="48"/>
      <c r="AM76" s="154" t="str">
        <f t="shared" si="17"/>
        <v>start /low /b %USERPROFILE%\Documents\GitHub\eaglep3\Utilities\DownloadLogsFromS3.py --loco 4028 --day 2017-02-20</v>
      </c>
      <c r="AN76" s="163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"%USERPROFILE%\AppData\Local\Temp\OnboardLogs"\RTDC4028\*4028*20170220* | grep -SE "(Enforcement Action)|(\[TIMEOUT)|(CHR.+\|PRM\|1\|D.+(SWITCH|SIGNAL).+UNKNOWN)" - &gt;&gt; 2017-02-20-UncaughtWiMAX.txt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20" customFormat="1" x14ac:dyDescent="0.25">
      <c r="A77" s="33" t="s">
        <v>473</v>
      </c>
      <c r="B77" s="7">
        <v>4020</v>
      </c>
      <c r="C77" s="21" t="s">
        <v>408</v>
      </c>
      <c r="D77" s="21" t="s">
        <v>258</v>
      </c>
      <c r="E77" s="13">
        <v>42786.465543981481</v>
      </c>
      <c r="F77" s="13">
        <v>42786.469583333332</v>
      </c>
      <c r="G77" s="7">
        <v>1</v>
      </c>
      <c r="H77" s="21" t="s">
        <v>418</v>
      </c>
      <c r="I77" s="13">
        <v>42786.496747685182</v>
      </c>
      <c r="J77" s="7">
        <v>0</v>
      </c>
      <c r="K77" s="98" t="str">
        <f t="shared" si="37"/>
        <v>4019/4020</v>
      </c>
      <c r="L77" s="21" t="str">
        <f>VLOOKUP(A77,'Trips&amp;Operators'!$C$1:$G$99999,5,FALSE)</f>
        <v>DAVIS MICHAEL</v>
      </c>
      <c r="M77" s="6">
        <f t="shared" si="38"/>
        <v>2.7164351849933155E-2</v>
      </c>
      <c r="N77" s="7">
        <f t="shared" si="50"/>
        <v>39.116666663903743</v>
      </c>
      <c r="O77" s="7"/>
      <c r="P77" s="7"/>
      <c r="Q77" s="22"/>
      <c r="R77" s="22"/>
      <c r="S77" s="31">
        <f t="shared" si="49"/>
        <v>1</v>
      </c>
      <c r="T77" s="46" t="str">
        <f t="shared" si="41"/>
        <v>NorthBound</v>
      </c>
      <c r="U77" s="186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7" t="str">
        <f t="shared" ref="V77:V140" si="52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-02-20T10:10:23-0700',mode:absolute,to:'2017-02-20T12:55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7" s="188" t="str">
        <f t="shared" si="42"/>
        <v>N</v>
      </c>
      <c r="X77" s="188">
        <f t="shared" si="51"/>
        <v>1</v>
      </c>
      <c r="Y77" s="62">
        <f t="shared" si="43"/>
        <v>4.5499999999999999E-2</v>
      </c>
      <c r="Z77" s="62">
        <f t="shared" si="44"/>
        <v>23.327000000000002</v>
      </c>
      <c r="AA77" s="62">
        <f t="shared" si="45"/>
        <v>23.281500000000001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 t="shared" si="46"/>
        <v>0161-20</v>
      </c>
      <c r="AE77" s="85" t="str">
        <f t="shared" ref="AE77:AE140" si="53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s3://rtdc.mdm.uploadarchive.raw/RTDC4020/ "%USERPROFILE%\AppData\Local\Temp\OnboardLogs"\RTDC4020\2017-02-20 --exclude "*" --recursive --include "*20170220*" &amp; "%USERPROFILE%\Documents\GitHub\mrs-test-scripts\Headless Mode &amp; Sideloading\WalkAndUnGZ.bat" "%USERPROFILE%\AppData\Local\Temp\OnboardLogs"\RTDC4020\2017-02-20 &amp; aws s3 cp s3://rtdc.mdm.uploadarchive.raw/RTDC4020/ "%USERPROFILE%\AppData\Local\Temp\OnboardLogs"\RTDC4020\2017-02-21 --exclude "*" --recursive --include "*20170221*" &amp; "%USERPROFILE%\Documents\GitHub\mrs-test-scripts\Headless Mode &amp; Sideloading\WalkAndUnGZ.bat" "%USERPROFILE%\AppData\Local\Temp\OnboardLogs"\RTDC4020\2017-02-21</v>
      </c>
      <c r="AF77" s="82" t="str">
        <f t="shared" ref="AF77:AF140" si="54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/stypes="app*4020*20170220*" /stext=" 18:.+((SYSTEM_STATE.+slice.+state.+changed )|(ment ac)|(multiple cpu faults)|(system.+state.+changed )|(\[timeout)|(PRM\|1\|D)|(kpr)|(kdp)|(\|lc)|(penalty))" /e /r /s</v>
      </c>
      <c r="AG77" s="1" t="str">
        <f t="shared" si="47"/>
        <v>EC</v>
      </c>
      <c r="AH77" s="86" t="str">
        <f t="shared" si="15"/>
        <v>"%USERPROFILE%\Documents\GitHub\eaglep3\Utilities\RefineRTDCRunTimes.py" --tripid 161-20 --locoid 4020 --swversion DE.1.0.9.0 --startMP 204:455 --initTime 2017-02-20T11:10:23 --startdatetime 2017-02-20T11:16:12 --delay 1 --endMP 204:233270 --enddatetime 2017-02-20T11:55:19 --enforcementcount 0 &gt;&gt;C:\Users\stu\Documents\GitHub\eaglep3-reporting\EC\2017-02-20-refined-times.txt</v>
      </c>
      <c r="AI77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{"issue":{"subject":"","project_id":79,"tracker_id":40,"status_id":1,"priority_id":2,"assigned_to_id":23,"start_date":"2017-02-20","description":"","custom_fields":[{"id":1,"name":"Subdivision","value":"EC"},{"id":4,"name":"Milepost","value":"23.327"},{"id":17,"name":"Train ID","value":"161-20"},{"id":16,"name":"Locomotive ID","value":"4020"},{"id":130,"name":"Impact","value":""},{"id":150,"name":"Time of Event (Mountain Time)","value":"11:55:19"},{"id":151,"name":"Denver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48"/>
      <c r="AK77" s="48"/>
      <c r="AL77" s="48"/>
      <c r="AM77" s="154" t="str">
        <f t="shared" si="17"/>
        <v>start /low /b %USERPROFILE%\Documents\GitHub\eaglep3\Utilities\DownloadLogsFromS3.py --loco 4020 --day 2017-02-20</v>
      </c>
      <c r="AN77" s="163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"%USERPROFILE%\AppData\Local\Temp\OnboardLogs"\RTDC4020\*4020*20170220* | grep -SE "(Enforcement Action)|(\[TIMEOUT)|(CHR.+\|PRM\|1\|D.+(SWITCH|SIGNAL).+UNKNOWN)" - &gt;&gt; 2017-02-20-UncaughtWiMAX.txt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x14ac:dyDescent="0.25">
      <c r="A78" s="33" t="s">
        <v>580</v>
      </c>
      <c r="B78" s="7">
        <v>4019</v>
      </c>
      <c r="C78" s="21" t="s">
        <v>408</v>
      </c>
      <c r="D78" s="21" t="s">
        <v>734</v>
      </c>
      <c r="E78" s="13">
        <v>42786.504861111112</v>
      </c>
      <c r="F78" s="13">
        <v>42786.508217592593</v>
      </c>
      <c r="G78" s="7">
        <v>2</v>
      </c>
      <c r="H78" s="21" t="s">
        <v>194</v>
      </c>
      <c r="I78" s="13">
        <v>42786.535555555558</v>
      </c>
      <c r="J78" s="7">
        <v>0</v>
      </c>
      <c r="K78" s="98" t="str">
        <f t="shared" si="37"/>
        <v>4019/4020</v>
      </c>
      <c r="L78" s="21" t="str">
        <f>VLOOKUP(A78,'Trips&amp;Operators'!$C$1:$G$99999,5,FALSE)</f>
        <v>DAVIS MICHAEL</v>
      </c>
      <c r="M78" s="6">
        <f t="shared" si="38"/>
        <v>2.7337962965248153E-2</v>
      </c>
      <c r="N78" s="7">
        <f t="shared" si="50"/>
        <v>39.36666666995734</v>
      </c>
      <c r="O78" s="7"/>
      <c r="P78" s="7"/>
      <c r="Q78" s="22"/>
      <c r="R78" s="22"/>
      <c r="S78" s="31">
        <f t="shared" si="49"/>
        <v>1</v>
      </c>
      <c r="T78" s="46" t="str">
        <f t="shared" si="41"/>
        <v>Southbound</v>
      </c>
      <c r="U78" s="186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7" t="str">
        <f t="shared" si="52"/>
        <v>https://d0f6bd738d7f1b3e5a7ca70fe4ff75f0.us-east-1.aws.found.io/app/kibana#/discover/Steve-Slow-Train-Analysis-(2080s-and-2083s)?_g=(refreshInterval:(display:Off,pause:!f,section:0,value:0),time:(from:'2017-02-20T11:07:00-0700',mode:absolute,to:'2017-02-20T13:51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8" s="188" t="str">
        <f t="shared" si="42"/>
        <v>N</v>
      </c>
      <c r="X78" s="188">
        <f t="shared" ref="X78:X89" si="55">VALUE(LEFT(AD78,4))-VALUE(LEFT(AD77,4))</f>
        <v>1</v>
      </c>
      <c r="Y78" s="62">
        <f t="shared" si="43"/>
        <v>23.294699999999999</v>
      </c>
      <c r="Z78" s="62">
        <f t="shared" si="44"/>
        <v>1.4999999999999999E-2</v>
      </c>
      <c r="AA78" s="62">
        <f t="shared" si="45"/>
        <v>23.279699999999998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 t="shared" si="46"/>
        <v>0162-20</v>
      </c>
      <c r="AE78" s="85" t="str">
        <f t="shared" si="53"/>
        <v>aws s3 cp s3://rtdc.mdm.uploadarchive.raw/RTDC4019/ "%USERPROFILE%\AppData\Local\Temp\OnboardLogs"\RTDC4019\2017-02-20 --exclude "*" --recursive --include "*20170220*" &amp; "%USERPROFILE%\Documents\GitHub\mrs-test-scripts\Headless Mode &amp; Sideloading\WalkAndUnGZ.bat" "%USERPROFILE%\AppData\Local\Temp\OnboardLogs"\RTDC4019\2017-02-20 &amp; aws s3 cp s3://rtdc.mdm.uploadarchive.raw/RTDC4019/ "%USERPROFILE%\AppData\Local\Temp\OnboardLogs"\RTDC4019\2017-02-21 --exclude "*" --recursive --include "*20170221*" &amp; "%USERPROFILE%\Documents\GitHub\mrs-test-scripts\Headless Mode &amp; Sideloading\WalkAndUnGZ.bat" "%USERPROFILE%\AppData\Local\Temp\OnboardLogs"\RTDC4019\2017-02-21</v>
      </c>
      <c r="AF78" s="82" t="str">
        <f t="shared" si="54"/>
        <v>"C:\Program Files (x86)\AstroGrep\AstroGrep.exe" /spath="%USERPROFILE%\AppData\Local\Temp\OnboardLogs" /stypes="app*4019*20170220*" /stext=" 19:.+((SYSTEM_STATE.+slice.+state.+changed )|(ment ac)|(multiple cpu faults)|(system.+state.+changed )|(\[timeout)|(PRM\|1\|D)|(kpr)|(kdp)|(\|lc)|(penalty))" /e /r /s</v>
      </c>
      <c r="AG78" s="1" t="str">
        <f t="shared" si="47"/>
        <v>EC</v>
      </c>
      <c r="AH78" s="86" t="str">
        <f t="shared" si="15"/>
        <v>"%USERPROFILE%\Documents\GitHub\eaglep3\Utilities\RefineRTDCRunTimes.py" --tripid 162-20 --locoid 4019 --swversion DE.1.0.9.0 --startMP 204:232947 --initTime 2017-02-20T12:07:00 --startdatetime 2017-02-20T12:11:50 --delay 2 --endMP 204:150 --enddatetime 2017-02-20T12:51:12 --enforcementcount 0 &gt;&gt;C:\Users\stu\Documents\GitHub\eaglep3-reporting\EC\2017-02-20-refined-times.txt</v>
      </c>
      <c r="AI78" s="108" t="str">
        <f t="shared" si="16"/>
        <v>echo {"issue":{"subject":"","project_id":79,"tracker_id":40,"status_id":1,"priority_id":2,"assigned_to_id":23,"start_date":"2017-02-20","description":"","custom_fields":[{"id":1,"name":"Subdivision","value":"EC"},{"id":4,"name":"Milepost","value":"0.015"},{"id":17,"name":"Train ID","value":"162-20"},{"id":16,"name":"Locomotive ID","value":"4019"},{"id":130,"name":"Impact","value":""},{"id":150,"name":"Time of Event (Mountain Time)","value":"12:51:12"},{"id":151,"name":"Denver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48"/>
      <c r="AK78" s="48"/>
      <c r="AL78" s="48"/>
      <c r="AM78" s="154" t="str">
        <f t="shared" si="17"/>
        <v>start /low /b %USERPROFILE%\Documents\GitHub\eaglep3\Utilities\DownloadLogsFromS3.py --loco 4019 --day 2017-02-20</v>
      </c>
      <c r="AN78" s="163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"%USERPROFILE%\AppData\Local\Temp\OnboardLogs"\RTDC4019\*4019*20170220* | grep -SE "(Enforcement Action)|(\[TIMEOUT)|(CHR.+\|PRM\|1\|D.+(SWITCH|SIGNAL).+UNKNOWN)" - &gt;&gt; 2017-02-20-UncaughtWiMAX.txt</v>
      </c>
    </row>
    <row r="79" spans="1:91" s="20" customFormat="1" x14ac:dyDescent="0.25">
      <c r="A79" s="33" t="s">
        <v>572</v>
      </c>
      <c r="B79" s="7">
        <v>4046</v>
      </c>
      <c r="C79" s="21" t="s">
        <v>408</v>
      </c>
      <c r="D79" s="21" t="s">
        <v>410</v>
      </c>
      <c r="E79" s="13">
        <v>42786.476458333331</v>
      </c>
      <c r="F79" s="13">
        <v>42786.47934027778</v>
      </c>
      <c r="G79" s="7">
        <v>1</v>
      </c>
      <c r="H79" s="21" t="s">
        <v>735</v>
      </c>
      <c r="I79" s="13">
        <v>42786.505196759259</v>
      </c>
      <c r="J79" s="7">
        <v>0</v>
      </c>
      <c r="K79" s="98" t="str">
        <f t="shared" si="37"/>
        <v>4045/4046</v>
      </c>
      <c r="L79" s="21" t="str">
        <f>VLOOKUP(A79,'Trips&amp;Operators'!$C$1:$G$99999,5,FALSE)</f>
        <v>CLARK KATHLEEN</v>
      </c>
      <c r="M79" s="6">
        <f t="shared" si="38"/>
        <v>2.5856481479422655E-2</v>
      </c>
      <c r="N79" s="7">
        <f t="shared" si="50"/>
        <v>37.233333330368623</v>
      </c>
      <c r="O79" s="7"/>
      <c r="P79" s="7"/>
      <c r="Q79" s="22"/>
      <c r="R79" s="22"/>
      <c r="S79" s="31">
        <f t="shared" si="49"/>
        <v>1</v>
      </c>
      <c r="T79" s="46" t="str">
        <f t="shared" si="41"/>
        <v>NorthBound</v>
      </c>
      <c r="U79" s="186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7" t="str">
        <f t="shared" si="52"/>
        <v>https://d0f6bd738d7f1b3e5a7ca70fe4ff75f0.us-east-1.aws.found.io/app/kibana#/discover/Steve-Slow-Train-Analysis-(2080s-and-2083s)?_g=(refreshInterval:(display:Off,pause:!f,section:0,value:0),time:(from:'2017-02-20T10:26:06-0700',mode:absolute,to:'2017-02-20T13:07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79" s="188" t="str">
        <f t="shared" si="42"/>
        <v>N</v>
      </c>
      <c r="X79" s="188">
        <f t="shared" si="55"/>
        <v>1</v>
      </c>
      <c r="Y79" s="62">
        <f t="shared" si="43"/>
        <v>4.58E-2</v>
      </c>
      <c r="Z79" s="62">
        <f t="shared" si="44"/>
        <v>23.328199999999999</v>
      </c>
      <c r="AA79" s="62">
        <f t="shared" si="45"/>
        <v>23.282399999999999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 t="shared" si="46"/>
        <v>0163-20</v>
      </c>
      <c r="AE79" s="85" t="str">
        <f t="shared" si="53"/>
        <v>aws s3 cp s3://rtdc.mdm.uploadarchive.raw/RTDC4046/ "%USERPROFILE%\AppData\Local\Temp\OnboardLogs"\RTDC4046\2017-02-20 --exclude "*" --recursive --include "*20170220*" &amp; "%USERPROFILE%\Documents\GitHub\mrs-test-scripts\Headless Mode &amp; Sideloading\WalkAndUnGZ.bat" "%USERPROFILE%\AppData\Local\Temp\OnboardLogs"\RTDC4046\2017-02-20 &amp; aws s3 cp s3://rtdc.mdm.uploadarchive.raw/RTDC4046/ "%USERPROFILE%\AppData\Local\Temp\OnboardLogs"\RTDC4046\2017-02-21 --exclude "*" --recursive --include "*20170221*" &amp; "%USERPROFILE%\Documents\GitHub\mrs-test-scripts\Headless Mode &amp; Sideloading\WalkAndUnGZ.bat" "%USERPROFILE%\AppData\Local\Temp\OnboardLogs"\RTDC4046\2017-02-21</v>
      </c>
      <c r="AF79" s="82" t="str">
        <f t="shared" si="54"/>
        <v>"C:\Program Files (x86)\AstroGrep\AstroGrep.exe" /spath="%USERPROFILE%\AppData\Local\Temp\OnboardLogs" /stypes="app*4046*20170220*" /stext=" 19:.+((SYSTEM_STATE.+slice.+state.+changed )|(ment ac)|(multiple cpu faults)|(system.+state.+changed )|(\[timeout)|(PRM\|1\|D)|(kpr)|(kdp)|(\|lc)|(penalty))" /e /r /s</v>
      </c>
      <c r="AG79" s="1" t="str">
        <f t="shared" si="47"/>
        <v>EC</v>
      </c>
      <c r="AH79" s="86" t="str">
        <f t="shared" ref="AH79:AH141" si="56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163-20 --locoid 4046 --swversion DE.1.0.9.0 --startMP 204:458 --initTime 2017-02-20T11:26:06 --startdatetime 2017-02-20T11:30:15 --delay 1 --endMP 204:233282 --enddatetime 2017-02-20T12:07:29 --enforcementcount 0 &gt;&gt;C:\Users\stu\Documents\GitHub\eaglep3-reporting\EC\2017-02-20-refined-times.txt</v>
      </c>
      <c r="AI79" s="108" t="str">
        <f t="shared" ref="AI79:AI141" si="57"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Z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{"issue":{"subject":"","project_id":79,"tracker_id":40,"status_id":1,"priority_id":2,"assigned_to_id":23,"start_date":"2017-02-20","description":"","custom_fields":[{"id":1,"name":"Subdivision","value":"EC"},{"id":4,"name":"Milepost","value":"23.3282"},{"id":17,"name":"Train ID","value":"163-20"},{"id":16,"name":"Locomotive ID","value":"4046"},{"id":130,"name":"Impact","value":""},{"id":150,"name":"Time of Event (Mountain Time)","value":"12:07:29"},{"id":151,"name":"Denver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48"/>
      <c r="AK79" s="48"/>
      <c r="AL79" s="48"/>
      <c r="AM79" s="154" t="str">
        <f t="shared" ref="AM79:AM141" si="58">"start /low /b "&amp;dls3logs&amp;" --loco "&amp;B79&amp;" --day "&amp;TEXT(F79,"YYYY-MM-DD")</f>
        <v>start /low /b %USERPROFILE%\Documents\GitHub\eaglep3\Utilities\DownloadLogsFromS3.py --loco 4046 --day 2017-02-20</v>
      </c>
      <c r="AN79" s="163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"%USERPROFILE%\AppData\Local\Temp\OnboardLogs"\RTDC4046\*4046*20170220* | grep -SE "(Enforcement Action)|(\[TIMEOUT)|(CHR.+\|PRM\|1\|D.+(SWITCH|SIGNAL).+UNKNOWN)" - &gt;&gt; 2017-02-20-UncaughtWiMAX.txt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20" customFormat="1" x14ac:dyDescent="0.25">
      <c r="A80" s="33" t="s">
        <v>585</v>
      </c>
      <c r="B80" s="7">
        <v>4045</v>
      </c>
      <c r="C80" s="21" t="s">
        <v>408</v>
      </c>
      <c r="D80" s="21" t="s">
        <v>736</v>
      </c>
      <c r="E80" s="13">
        <v>42786.512326388889</v>
      </c>
      <c r="F80" s="13">
        <v>42786.518229166664</v>
      </c>
      <c r="G80" s="7">
        <v>1</v>
      </c>
      <c r="H80" s="21" t="s">
        <v>421</v>
      </c>
      <c r="I80" s="13">
        <v>42786.545844907407</v>
      </c>
      <c r="J80" s="7">
        <v>0</v>
      </c>
      <c r="K80" s="98" t="str">
        <f t="shared" si="37"/>
        <v>4045/4046</v>
      </c>
      <c r="L80" s="21" t="str">
        <f>VLOOKUP(A80,'Trips&amp;Operators'!$C$1:$G$99999,5,FALSE)</f>
        <v>CLARK KATHLEEN</v>
      </c>
      <c r="M80" s="6">
        <f t="shared" si="38"/>
        <v>2.7615740742476191E-2</v>
      </c>
      <c r="N80" s="7">
        <f t="shared" si="50"/>
        <v>39.766666669165716</v>
      </c>
      <c r="O80" s="7"/>
      <c r="P80" s="7"/>
      <c r="Q80" s="22"/>
      <c r="R80" s="22"/>
      <c r="S80" s="31">
        <f t="shared" si="49"/>
        <v>1</v>
      </c>
      <c r="T80" s="46" t="str">
        <f t="shared" si="41"/>
        <v>Southbound</v>
      </c>
      <c r="U80" s="186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7" t="str">
        <f t="shared" si="52"/>
        <v>https://d0f6bd738d7f1b3e5a7ca70fe4ff75f0.us-east-1.aws.found.io/app/kibana#/discover/Steve-Slow-Train-Analysis-(2080s-and-2083s)?_g=(refreshInterval:(display:Off,pause:!f,section:0,value:0),time:(from:'2017-02-20T11:17:45-0700',mode:absolute,to:'2017-02-20T14:06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80" s="188" t="str">
        <f t="shared" si="42"/>
        <v>N</v>
      </c>
      <c r="X80" s="188">
        <f t="shared" si="55"/>
        <v>1</v>
      </c>
      <c r="Y80" s="62">
        <f t="shared" si="43"/>
        <v>23.294599999999999</v>
      </c>
      <c r="Z80" s="62">
        <f t="shared" si="44"/>
        <v>1.9199999999999998E-2</v>
      </c>
      <c r="AA80" s="62">
        <f t="shared" si="45"/>
        <v>23.275399999999998</v>
      </c>
      <c r="AB80" s="59" t="e">
        <f>VLOOKUP(A80,Enforcements!$C$7:$K$13,8,0)</f>
        <v>#N/A</v>
      </c>
      <c r="AC80" s="55" t="e">
        <f>VLOOKUP(A80,Enforcements!$C$7:$E$13,3,0)</f>
        <v>#N/A</v>
      </c>
      <c r="AD80" s="56" t="str">
        <f t="shared" si="46"/>
        <v>0164-20</v>
      </c>
      <c r="AE80" s="85" t="str">
        <f t="shared" si="53"/>
        <v>aws s3 cp s3://rtdc.mdm.uploadarchive.raw/RTDC4045/ "%USERPROFILE%\AppData\Local\Temp\OnboardLogs"\RTDC4045\2017-02-20 --exclude "*" --recursive --include "*20170220*" &amp; "%USERPROFILE%\Documents\GitHub\mrs-test-scripts\Headless Mode &amp; Sideloading\WalkAndUnGZ.bat" "%USERPROFILE%\AppData\Local\Temp\OnboardLogs"\RTDC4045\2017-02-20 &amp; aws s3 cp s3://rtdc.mdm.uploadarchive.raw/RTDC4045/ "%USERPROFILE%\AppData\Local\Temp\OnboardLogs"\RTDC4045\2017-02-21 --exclude "*" --recursive --include "*20170221*" &amp; "%USERPROFILE%\Documents\GitHub\mrs-test-scripts\Headless Mode &amp; Sideloading\WalkAndUnGZ.bat" "%USERPROFILE%\AppData\Local\Temp\OnboardLogs"\RTDC4045\2017-02-21</v>
      </c>
      <c r="AF80" s="82" t="str">
        <f t="shared" si="54"/>
        <v>"C:\Program Files (x86)\AstroGrep\AstroGrep.exe" /spath="%USERPROFILE%\AppData\Local\Temp\OnboardLogs" /stypes="app*4045*20170220*" /stext=" 20:.+((SYSTEM_STATE.+slice.+state.+changed )|(ment ac)|(multiple cpu faults)|(system.+state.+changed )|(\[timeout)|(PRM\|1\|D)|(kpr)|(kdp)|(\|lc)|(penalty))" /e /r /s</v>
      </c>
      <c r="AG80" s="1" t="str">
        <f t="shared" si="47"/>
        <v>EC</v>
      </c>
      <c r="AH80" s="86" t="str">
        <f t="shared" si="56"/>
        <v>"%USERPROFILE%\Documents\GitHub\eaglep3\Utilities\RefineRTDCRunTimes.py" --tripid 164-20 --locoid 4045 --swversion DE.1.0.9.0 --startMP 204:232946 --initTime 2017-02-20T12:17:45 --startdatetime 2017-02-20T12:26:15 --delay 1 --endMP 204:192 --enddatetime 2017-02-20T13:06:01 --enforcementcount 0 &gt;&gt;C:\Users\stu\Documents\GitHub\eaglep3-reporting\EC\2017-02-20-refined-times.txt</v>
      </c>
      <c r="AI80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{"issue":{"subject":"","project_id":79,"tracker_id":40,"status_id":1,"priority_id":2,"assigned_to_id":23,"start_date":"2017-02-20","description":"","custom_fields":[{"id":1,"name":"Subdivision","value":"EC"},{"id":4,"name":"Milepost","value":"0.0192"},{"id":17,"name":"Train ID","value":"164-20"},{"id":16,"name":"Locomotive ID","value":"4045"},{"id":130,"name":"Impact","value":""},{"id":150,"name":"Time of Event (Mountain Time)","value":"13:06:01"},{"id":151,"name":"Denver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48"/>
      <c r="AK80" s="48"/>
      <c r="AL80" s="48"/>
      <c r="AM80" s="154" t="str">
        <f t="shared" si="58"/>
        <v>start /low /b %USERPROFILE%\Documents\GitHub\eaglep3\Utilities\DownloadLogsFromS3.py --loco 4045 --day 2017-02-20</v>
      </c>
      <c r="AN80" s="163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"%USERPROFILE%\AppData\Local\Temp\OnboardLogs"\RTDC4045\*4045*20170220* | grep -SE "(Enforcement Action)|(\[TIMEOUT)|(CHR.+\|PRM\|1\|D.+(SWITCH|SIGNAL).+UNKNOWN)" - &gt;&gt; 2017-02-20-UncaughtWiMAX.txt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20" customFormat="1" x14ac:dyDescent="0.25">
      <c r="A81" s="33" t="s">
        <v>577</v>
      </c>
      <c r="B81" s="7">
        <v>4007</v>
      </c>
      <c r="C81" s="21" t="s">
        <v>408</v>
      </c>
      <c r="D81" s="21" t="s">
        <v>363</v>
      </c>
      <c r="E81" s="13">
        <v>42786.486886574072</v>
      </c>
      <c r="F81" s="13">
        <v>42786.489733796298</v>
      </c>
      <c r="G81" s="7">
        <v>1</v>
      </c>
      <c r="H81" s="21" t="s">
        <v>737</v>
      </c>
      <c r="I81" s="13">
        <v>42786.514444444445</v>
      </c>
      <c r="J81" s="7">
        <v>0</v>
      </c>
      <c r="K81" s="98" t="str">
        <f t="shared" si="37"/>
        <v>4007/4008</v>
      </c>
      <c r="L81" s="21" t="str">
        <f>VLOOKUP(A81,'Trips&amp;Operators'!$C$1:$G$99999,5,FALSE)</f>
        <v>ROMERO CHAD</v>
      </c>
      <c r="M81" s="6">
        <f t="shared" si="38"/>
        <v>2.47106481474475E-2</v>
      </c>
      <c r="N81" s="7">
        <f t="shared" si="50"/>
        <v>35.583333332324401</v>
      </c>
      <c r="O81" s="7"/>
      <c r="P81" s="7"/>
      <c r="Q81" s="22"/>
      <c r="R81" s="22"/>
      <c r="S81" s="31">
        <f t="shared" si="49"/>
        <v>1</v>
      </c>
      <c r="T81" s="46" t="str">
        <f t="shared" si="41"/>
        <v>NorthBound</v>
      </c>
      <c r="U81" s="186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7" t="str">
        <f t="shared" si="52"/>
        <v>https://d0f6bd738d7f1b3e5a7ca70fe4ff75f0.us-east-1.aws.found.io/app/kibana#/discover/Steve-Slow-Train-Analysis-(2080s-and-2083s)?_g=(refreshInterval:(display:Off,pause:!f,section:0,value:0),time:(from:'2017-02-20T10:41:07-0700',mode:absolute,to:'2017-02-20T13:20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81" s="188" t="str">
        <f t="shared" si="42"/>
        <v>N</v>
      </c>
      <c r="X81" s="188">
        <f t="shared" si="55"/>
        <v>1</v>
      </c>
      <c r="Y81" s="62">
        <f t="shared" si="43"/>
        <v>4.7500000000000001E-2</v>
      </c>
      <c r="Z81" s="62">
        <f t="shared" si="44"/>
        <v>23.333100000000002</v>
      </c>
      <c r="AA81" s="62">
        <f t="shared" si="45"/>
        <v>23.285600000000002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 t="shared" si="46"/>
        <v>0165-20</v>
      </c>
      <c r="AE81" s="85" t="str">
        <f t="shared" si="53"/>
        <v>aws s3 cp s3://rtdc.mdm.uploadarchive.raw/RTDC4007/ "%USERPROFILE%\AppData\Local\Temp\OnboardLogs"\RTDC4007\2017-02-20 --exclude "*" --recursive --include "*20170220*" &amp; "%USERPROFILE%\Documents\GitHub\mrs-test-scripts\Headless Mode &amp; Sideloading\WalkAndUnGZ.bat" "%USERPROFILE%\AppData\Local\Temp\OnboardLogs"\RTDC4007\2017-02-20 &amp; aws s3 cp s3://rtdc.mdm.uploadarchive.raw/RTDC4007/ "%USERPROFILE%\AppData\Local\Temp\OnboardLogs"\RTDC4007\2017-02-21 --exclude "*" --recursive --include "*20170221*" &amp; "%USERPROFILE%\Documents\GitHub\mrs-test-scripts\Headless Mode &amp; Sideloading\WalkAndUnGZ.bat" "%USERPROFILE%\AppData\Local\Temp\OnboardLogs"\RTDC4007\2017-02-21</v>
      </c>
      <c r="AF81" s="82" t="str">
        <f t="shared" si="54"/>
        <v>"C:\Program Files (x86)\AstroGrep\AstroGrep.exe" /spath="%USERPROFILE%\AppData\Local\Temp\OnboardLogs" /stypes="app*4007*20170220*" /stext=" 19:.+((SYSTEM_STATE.+slice.+state.+changed )|(ment ac)|(multiple cpu faults)|(system.+state.+changed )|(\[timeout)|(PRM\|1\|D)|(kpr)|(kdp)|(\|lc)|(penalty))" /e /r /s</v>
      </c>
      <c r="AG81" s="1" t="str">
        <f t="shared" si="47"/>
        <v>EC</v>
      </c>
      <c r="AH81" s="86" t="str">
        <f t="shared" si="56"/>
        <v>"%USERPROFILE%\Documents\GitHub\eaglep3\Utilities\RefineRTDCRunTimes.py" --tripid 165-20 --locoid 4007 --swversion DE.1.0.9.0 --startMP 204:475 --initTime 2017-02-20T11:41:07 --startdatetime 2017-02-20T11:45:13 --delay 1 --endMP 204:233331 --enddatetime 2017-02-20T12:20:48 --enforcementcount 0 &gt;&gt;C:\Users\stu\Documents\GitHub\eaglep3-reporting\EC\2017-02-20-refined-times.txt</v>
      </c>
      <c r="AI81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{"issue":{"subject":"","project_id":79,"tracker_id":40,"status_id":1,"priority_id":2,"assigned_to_id":23,"start_date":"2017-02-20","description":"","custom_fields":[{"id":1,"name":"Subdivision","value":"EC"},{"id":4,"name":"Milepost","value":"23.3331"},{"id":17,"name":"Train ID","value":"165-20"},{"id":16,"name":"Locomotive ID","value":"4007"},{"id":130,"name":"Impact","value":""},{"id":150,"name":"Time of Event (Mountain Time)","value":"12:20:48"},{"id":151,"name":"Denver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48"/>
      <c r="AK81" s="48"/>
      <c r="AL81" s="48"/>
      <c r="AM81" s="154" t="str">
        <f t="shared" si="58"/>
        <v>start /low /b %USERPROFILE%\Documents\GitHub\eaglep3\Utilities\DownloadLogsFromS3.py --loco 4007 --day 2017-02-20</v>
      </c>
      <c r="AN81" s="163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"%USERPROFILE%\AppData\Local\Temp\OnboardLogs"\RTDC4007\*4007*20170220* | grep -SE "(Enforcement Action)|(\[TIMEOUT)|(CHR.+\|PRM\|1\|D.+(SWITCH|SIGNAL).+UNKNOWN)" - &gt;&gt; 2017-02-20-UncaughtWiMAX.txt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20" customFormat="1" x14ac:dyDescent="0.25">
      <c r="A82" s="33" t="s">
        <v>587</v>
      </c>
      <c r="B82" s="7">
        <v>4008</v>
      </c>
      <c r="C82" s="21" t="s">
        <v>408</v>
      </c>
      <c r="D82" s="21" t="s">
        <v>340</v>
      </c>
      <c r="E82" s="13">
        <v>42786.519456018519</v>
      </c>
      <c r="F82" s="13">
        <v>42786.528703703705</v>
      </c>
      <c r="G82" s="7">
        <v>2</v>
      </c>
      <c r="H82" s="21" t="s">
        <v>184</v>
      </c>
      <c r="I82" s="13">
        <v>42786.553912037038</v>
      </c>
      <c r="J82" s="7">
        <v>0</v>
      </c>
      <c r="K82" s="98" t="str">
        <f t="shared" si="37"/>
        <v>4007/4008</v>
      </c>
      <c r="L82" s="21" t="str">
        <f>VLOOKUP(A82,'Trips&amp;Operators'!$C$1:$G$99999,5,FALSE)</f>
        <v>ROMERO CHAD</v>
      </c>
      <c r="M82" s="6">
        <f t="shared" si="38"/>
        <v>2.5208333332557231E-2</v>
      </c>
      <c r="N82" s="7">
        <f t="shared" si="50"/>
        <v>36.299999998882413</v>
      </c>
      <c r="O82" s="7"/>
      <c r="P82" s="7"/>
      <c r="Q82" s="22"/>
      <c r="R82" s="22"/>
      <c r="S82" s="31">
        <f t="shared" si="49"/>
        <v>1</v>
      </c>
      <c r="T82" s="46" t="str">
        <f t="shared" si="41"/>
        <v>Southbound</v>
      </c>
      <c r="U82" s="186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7" t="str">
        <f t="shared" si="52"/>
        <v>https://d0f6bd738d7f1b3e5a7ca70fe4ff75f0.us-east-1.aws.found.io/app/kibana#/discover/Steve-Slow-Train-Analysis-(2080s-and-2083s)?_g=(refreshInterval:(display:Off,pause:!f,section:0,value:0),time:(from:'2017-02-20T11:28:01-0700',mode:absolute,to:'2017-02-20T14:17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2" s="188" t="str">
        <f t="shared" si="42"/>
        <v>N</v>
      </c>
      <c r="X82" s="188">
        <f t="shared" si="55"/>
        <v>1</v>
      </c>
      <c r="Y82" s="62">
        <f t="shared" si="43"/>
        <v>23.301500000000001</v>
      </c>
      <c r="Z82" s="62">
        <f t="shared" si="44"/>
        <v>1.49E-2</v>
      </c>
      <c r="AA82" s="62">
        <f t="shared" si="45"/>
        <v>23.2866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 t="shared" si="46"/>
        <v>0166-20</v>
      </c>
      <c r="AE82" s="85" t="str">
        <f t="shared" si="53"/>
        <v>aws s3 cp s3://rtdc.mdm.uploadarchive.raw/RTDC4008/ "%USERPROFILE%\AppData\Local\Temp\OnboardLogs"\RTDC4008\2017-02-20 --exclude "*" --recursive --include "*20170220*" &amp; "%USERPROFILE%\Documents\GitHub\mrs-test-scripts\Headless Mode &amp; Sideloading\WalkAndUnGZ.bat" "%USERPROFILE%\AppData\Local\Temp\OnboardLogs"\RTDC4008\2017-02-20 &amp; aws s3 cp s3://rtdc.mdm.uploadarchive.raw/RTDC4008/ "%USERPROFILE%\AppData\Local\Temp\OnboardLogs"\RTDC4008\2017-02-21 --exclude "*" --recursive --include "*20170221*" &amp; "%USERPROFILE%\Documents\GitHub\mrs-test-scripts\Headless Mode &amp; Sideloading\WalkAndUnGZ.bat" "%USERPROFILE%\AppData\Local\Temp\OnboardLogs"\RTDC4008\2017-02-21</v>
      </c>
      <c r="AF82" s="82" t="str">
        <f t="shared" si="54"/>
        <v>"C:\Program Files (x86)\AstroGrep\AstroGrep.exe" /spath="%USERPROFILE%\AppData\Local\Temp\OnboardLogs" /stypes="app*4008*20170220*" /stext=" 20:.+((SYSTEM_STATE.+slice.+state.+changed )|(ment ac)|(multiple cpu faults)|(system.+state.+changed )|(\[timeout)|(PRM\|1\|D)|(kpr)|(kdp)|(\|lc)|(penalty))" /e /r /s</v>
      </c>
      <c r="AG82" s="1" t="str">
        <f t="shared" si="47"/>
        <v>EC</v>
      </c>
      <c r="AH82" s="86" t="str">
        <f t="shared" si="56"/>
        <v>"%USERPROFILE%\Documents\GitHub\eaglep3\Utilities\RefineRTDCRunTimes.py" --tripid 166-20 --locoid 4008 --swversion DE.1.0.9.0 --startMP 204:233015 --initTime 2017-02-20T12:28:01 --startdatetime 2017-02-20T12:41:20 --delay 2 --endMP 204:149 --enddatetime 2017-02-20T13:17:38 --enforcementcount 0 &gt;&gt;C:\Users\stu\Documents\GitHub\eaglep3-reporting\EC\2017-02-20-refined-times.txt</v>
      </c>
      <c r="AI82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{"issue":{"subject":"","project_id":79,"tracker_id":40,"status_id":1,"priority_id":2,"assigned_to_id":23,"start_date":"2017-02-20","description":"","custom_fields":[{"id":1,"name":"Subdivision","value":"EC"},{"id":4,"name":"Milepost","value":"0.0149"},{"id":17,"name":"Train ID","value":"166-20"},{"id":16,"name":"Locomotive ID","value":"4008"},{"id":130,"name":"Impact","value":""},{"id":150,"name":"Time of Event (Mountain Time)","value":"13:17:38"},{"id":151,"name":"Denver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48"/>
      <c r="AK82" s="48"/>
      <c r="AL82" s="48"/>
      <c r="AM82" s="154" t="str">
        <f t="shared" si="58"/>
        <v>start /low /b %USERPROFILE%\Documents\GitHub\eaglep3\Utilities\DownloadLogsFromS3.py --loco 4008 --day 2017-02-20</v>
      </c>
      <c r="AN82" s="163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"%USERPROFILE%\AppData\Local\Temp\OnboardLogs"\RTDC4008\*4008*20170220* | grep -SE "(Enforcement Action)|(\[TIMEOUT)|(CHR.+\|PRM\|1\|D.+(SWITCH|SIGNAL).+UNKNOWN)" - &gt;&gt; 2017-02-20-UncaughtWiMAX.txt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3" t="s">
        <v>578</v>
      </c>
      <c r="B83" s="7">
        <v>4044</v>
      </c>
      <c r="C83" s="21" t="s">
        <v>408</v>
      </c>
      <c r="D83" s="21" t="s">
        <v>226</v>
      </c>
      <c r="E83" s="13">
        <v>42786.492326388892</v>
      </c>
      <c r="F83" s="13">
        <v>42786.500208333331</v>
      </c>
      <c r="G83" s="7">
        <v>1</v>
      </c>
      <c r="H83" s="21" t="s">
        <v>738</v>
      </c>
      <c r="I83" s="13">
        <v>42786.525000000001</v>
      </c>
      <c r="J83" s="7">
        <v>0</v>
      </c>
      <c r="K83" s="98" t="str">
        <f t="shared" si="37"/>
        <v>4043/4044</v>
      </c>
      <c r="L83" s="21" t="str">
        <f>VLOOKUP(A83,'Trips&amp;Operators'!$C$1:$G$99999,5,FALSE)</f>
        <v>CRAYTON QUNTRELL</v>
      </c>
      <c r="M83" s="6">
        <f t="shared" si="38"/>
        <v>2.4791666670353152E-2</v>
      </c>
      <c r="N83" s="7">
        <f t="shared" si="50"/>
        <v>35.700000005308539</v>
      </c>
      <c r="O83" s="7"/>
      <c r="P83" s="7"/>
      <c r="Q83" s="22"/>
      <c r="R83" s="22"/>
      <c r="S83" s="31">
        <f t="shared" si="49"/>
        <v>1</v>
      </c>
      <c r="T83" s="46" t="str">
        <f t="shared" si="41"/>
        <v>NorthBound</v>
      </c>
      <c r="U83" s="186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7" t="str">
        <f t="shared" si="52"/>
        <v>https://d0f6bd738d7f1b3e5a7ca70fe4ff75f0.us-east-1.aws.found.io/app/kibana#/discover/Steve-Slow-Train-Analysis-(2080s-and-2083s)?_g=(refreshInterval:(display:Off,pause:!f,section:0,value:0),time:(from:'2017-02-20T10:48:57-0700',mode:absolute,to:'2017-02-20T13:36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3" s="188" t="str">
        <f t="shared" si="42"/>
        <v>N</v>
      </c>
      <c r="X83" s="188">
        <f t="shared" si="55"/>
        <v>1</v>
      </c>
      <c r="Y83" s="62">
        <f t="shared" si="43"/>
        <v>4.5100000000000001E-2</v>
      </c>
      <c r="Z83" s="62">
        <f t="shared" si="44"/>
        <v>23.328900000000001</v>
      </c>
      <c r="AA83" s="62">
        <f t="shared" si="45"/>
        <v>23.283799999999999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 t="shared" si="46"/>
        <v>0167-20</v>
      </c>
      <c r="AE83" s="85" t="str">
        <f t="shared" si="53"/>
        <v>aws s3 cp s3://rtdc.mdm.uploadarchive.raw/RTDC4044/ "%USERPROFILE%\AppData\Local\Temp\OnboardLogs"\RTDC4044\2017-02-20 --exclude "*" --recursive --include "*20170220*" &amp; "%USERPROFILE%\Documents\GitHub\mrs-test-scripts\Headless Mode &amp; Sideloading\WalkAndUnGZ.bat" "%USERPROFILE%\AppData\Local\Temp\OnboardLogs"\RTDC4044\2017-02-20 &amp; aws s3 cp s3://rtdc.mdm.uploadarchive.raw/RTDC4044/ "%USERPROFILE%\AppData\Local\Temp\OnboardLogs"\RTDC4044\2017-02-21 --exclude "*" --recursive --include "*20170221*" &amp; "%USERPROFILE%\Documents\GitHub\mrs-test-scripts\Headless Mode &amp; Sideloading\WalkAndUnGZ.bat" "%USERPROFILE%\AppData\Local\Temp\OnboardLogs"\RTDC4044\2017-02-21</v>
      </c>
      <c r="AF83" s="82" t="str">
        <f t="shared" si="54"/>
        <v>"C:\Program Files (x86)\AstroGrep\AstroGrep.exe" /spath="%USERPROFILE%\AppData\Local\Temp\OnboardLogs" /stypes="app*4044*20170220*" /stext=" 19:.+((SYSTEM_STATE.+slice.+state.+changed )|(ment ac)|(multiple cpu faults)|(system.+state.+changed )|(\[timeout)|(PRM\|1\|D)|(kpr)|(kdp)|(\|lc)|(penalty))" /e /r /s</v>
      </c>
      <c r="AG83" s="1" t="str">
        <f t="shared" si="47"/>
        <v>EC</v>
      </c>
      <c r="AH83" s="86" t="str">
        <f t="shared" si="56"/>
        <v>"%USERPROFILE%\Documents\GitHub\eaglep3\Utilities\RefineRTDCRunTimes.py" --tripid 167-20 --locoid 4044 --swversion DE.1.0.9.0 --startMP 204:451 --initTime 2017-02-20T11:48:57 --startdatetime 2017-02-20T12:00:18 --delay 1 --endMP 204:233289 --enddatetime 2017-02-20T12:36:00 --enforcementcount 0 &gt;&gt;C:\Users\stu\Documents\GitHub\eaglep3-reporting\EC\2017-02-20-refined-times.txt</v>
      </c>
      <c r="AI83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{"issue":{"subject":"","project_id":79,"tracker_id":40,"status_id":1,"priority_id":2,"assigned_to_id":23,"start_date":"2017-02-20","description":"","custom_fields":[{"id":1,"name":"Subdivision","value":"EC"},{"id":4,"name":"Milepost","value":"23.3289"},{"id":17,"name":"Train ID","value":"167-20"},{"id":16,"name":"Locomotive ID","value":"4044"},{"id":130,"name":"Impact","value":""},{"id":150,"name":"Time of Event (Mountain Time)","value":"12:36:00"},{"id":151,"name":"Denver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48"/>
      <c r="AK83" s="48"/>
      <c r="AL83" s="48"/>
      <c r="AM83" s="154" t="str">
        <f t="shared" si="58"/>
        <v>start /low /b %USERPROFILE%\Documents\GitHub\eaglep3\Utilities\DownloadLogsFromS3.py --loco 4044 --day 2017-02-20</v>
      </c>
      <c r="AN83" s="163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"%USERPROFILE%\AppData\Local\Temp\OnboardLogs"\RTDC4044\*4044*20170220* | grep -SE "(Enforcement Action)|(\[TIMEOUT)|(CHR.+\|PRM\|1\|D.+(SWITCH|SIGNAL).+UNKNOWN)" - &gt;&gt; 2017-02-20-UncaughtWiMAX.txt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3" t="s">
        <v>590</v>
      </c>
      <c r="B84" s="7">
        <v>4043</v>
      </c>
      <c r="C84" s="21" t="s">
        <v>408</v>
      </c>
      <c r="D84" s="21" t="s">
        <v>442</v>
      </c>
      <c r="E84" s="13">
        <v>42786.52952546296</v>
      </c>
      <c r="F84" s="13">
        <v>42786.539050925923</v>
      </c>
      <c r="G84" s="7">
        <v>1</v>
      </c>
      <c r="H84" s="21" t="s">
        <v>726</v>
      </c>
      <c r="I84" s="13">
        <v>42786.56559027778</v>
      </c>
      <c r="J84" s="7">
        <v>0</v>
      </c>
      <c r="K84" s="98" t="str">
        <f t="shared" si="37"/>
        <v>4043/4044</v>
      </c>
      <c r="L84" s="21" t="str">
        <f>VLOOKUP(A84,'Trips&amp;Operators'!$C$1:$G$99999,5,FALSE)</f>
        <v>CRAYTON QUNTRELL</v>
      </c>
      <c r="M84" s="6">
        <f t="shared" si="38"/>
        <v>2.6539351856627036E-2</v>
      </c>
      <c r="N84" s="7">
        <f t="shared" si="50"/>
        <v>38.216666673542932</v>
      </c>
      <c r="O84" s="7"/>
      <c r="P84" s="7"/>
      <c r="Q84" s="22"/>
      <c r="R84" s="22"/>
      <c r="S84" s="31">
        <f t="shared" si="49"/>
        <v>1</v>
      </c>
      <c r="T84" s="46" t="str">
        <f t="shared" si="41"/>
        <v>Southbound</v>
      </c>
      <c r="U84" s="186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7" t="str">
        <f t="shared" si="52"/>
        <v>https://d0f6bd738d7f1b3e5a7ca70fe4ff75f0.us-east-1.aws.found.io/app/kibana#/discover/Steve-Slow-Train-Analysis-(2080s-and-2083s)?_g=(refreshInterval:(display:Off,pause:!f,section:0,value:0),time:(from:'2017-02-20T11:42:31-0700',mode:absolute,to:'2017-02-20T14:34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4" s="188" t="str">
        <f t="shared" si="42"/>
        <v>N</v>
      </c>
      <c r="X84" s="188">
        <f t="shared" si="55"/>
        <v>1</v>
      </c>
      <c r="Y84" s="62">
        <f t="shared" si="43"/>
        <v>23.3005</v>
      </c>
      <c r="Z84" s="62">
        <f t="shared" si="44"/>
        <v>1.6899999999999998E-2</v>
      </c>
      <c r="AA84" s="62">
        <f t="shared" si="45"/>
        <v>23.2836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 t="shared" si="46"/>
        <v>0168-20</v>
      </c>
      <c r="AE84" s="85" t="str">
        <f t="shared" si="53"/>
        <v>aws s3 cp s3://rtdc.mdm.uploadarchive.raw/RTDC4043/ "%USERPROFILE%\AppData\Local\Temp\OnboardLogs"\RTDC4043\2017-02-20 --exclude "*" --recursive --include "*20170220*" &amp; "%USERPROFILE%\Documents\GitHub\mrs-test-scripts\Headless Mode &amp; Sideloading\WalkAndUnGZ.bat" "%USERPROFILE%\AppData\Local\Temp\OnboardLogs"\RTDC4043\2017-02-20 &amp; aws s3 cp s3://rtdc.mdm.uploadarchive.raw/RTDC4043/ "%USERPROFILE%\AppData\Local\Temp\OnboardLogs"\RTDC4043\2017-02-21 --exclude "*" --recursive --include "*20170221*" &amp; "%USERPROFILE%\Documents\GitHub\mrs-test-scripts\Headless Mode &amp; Sideloading\WalkAndUnGZ.bat" "%USERPROFILE%\AppData\Local\Temp\OnboardLogs"\RTDC4043\2017-02-21</v>
      </c>
      <c r="AF84" s="82" t="str">
        <f t="shared" si="54"/>
        <v>"C:\Program Files (x86)\AstroGrep\AstroGrep.exe" /spath="%USERPROFILE%\AppData\Local\Temp\OnboardLogs" /stypes="app*4043*20170220*" /stext=" 20:.+((SYSTEM_STATE.+slice.+state.+changed )|(ment ac)|(multiple cpu faults)|(system.+state.+changed )|(\[timeout)|(PRM\|1\|D)|(kpr)|(kdp)|(\|lc)|(penalty))" /e /r /s</v>
      </c>
      <c r="AG84" s="1" t="str">
        <f t="shared" si="47"/>
        <v>EC</v>
      </c>
      <c r="AH84" s="86" t="str">
        <f t="shared" si="56"/>
        <v>"%USERPROFILE%\Documents\GitHub\eaglep3\Utilities\RefineRTDCRunTimes.py" --tripid 168-20 --locoid 4043 --swversion DE.1.0.9.0 --startMP 204:233005 --initTime 2017-02-20T12:42:31 --startdatetime 2017-02-20T12:56:14 --delay 1 --endMP 204:169 --enddatetime 2017-02-20T13:34:27 --enforcementcount 0 &gt;&gt;C:\Users\stu\Documents\GitHub\eaglep3-reporting\EC\2017-02-20-refined-times.txt</v>
      </c>
      <c r="AI84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{"issue":{"subject":"","project_id":79,"tracker_id":40,"status_id":1,"priority_id":2,"assigned_to_id":23,"start_date":"2017-02-20","description":"","custom_fields":[{"id":1,"name":"Subdivision","value":"EC"},{"id":4,"name":"Milepost","value":"0.0169"},{"id":17,"name":"Train ID","value":"168-20"},{"id":16,"name":"Locomotive ID","value":"4043"},{"id":130,"name":"Impact","value":""},{"id":150,"name":"Time of Event (Mountain Time)","value":"13:34:27"},{"id":151,"name":"Denver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48"/>
      <c r="AK84" s="48"/>
      <c r="AL84" s="48"/>
      <c r="AM84" s="154" t="str">
        <f t="shared" si="58"/>
        <v>start /low /b %USERPROFILE%\Documents\GitHub\eaglep3\Utilities\DownloadLogsFromS3.py --loco 4043 --day 2017-02-20</v>
      </c>
      <c r="AN84" s="163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"%USERPROFILE%\AppData\Local\Temp\OnboardLogs"\RTDC4043\*4043*20170220* | grep -SE "(Enforcement Action)|(\[TIMEOUT)|(CHR.+\|PRM\|1\|D.+(SWITCH|SIGNAL).+UNKNOWN)" - &gt;&gt; 2017-02-20-UncaughtWiMAX.txt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0" customFormat="1" x14ac:dyDescent="0.25">
      <c r="A85" s="33" t="s">
        <v>581</v>
      </c>
      <c r="B85" s="7">
        <v>4003</v>
      </c>
      <c r="C85" s="21" t="s">
        <v>408</v>
      </c>
      <c r="D85" s="21" t="s">
        <v>300</v>
      </c>
      <c r="E85" s="13">
        <v>42786.508090277777</v>
      </c>
      <c r="F85" s="13">
        <v>42786.510798611111</v>
      </c>
      <c r="G85" s="7">
        <v>1</v>
      </c>
      <c r="H85" s="21" t="s">
        <v>368</v>
      </c>
      <c r="I85" s="13">
        <v>42786.536504629628</v>
      </c>
      <c r="J85" s="7">
        <v>0</v>
      </c>
      <c r="K85" s="98" t="str">
        <f t="shared" si="37"/>
        <v>4003/4004</v>
      </c>
      <c r="L85" s="21" t="str">
        <f>VLOOKUP(A85,'Trips&amp;Operators'!$C$1:$G$99999,5,FALSE)</f>
        <v>LEVERE CRAIG</v>
      </c>
      <c r="M85" s="6">
        <f t="shared" si="38"/>
        <v>2.5706018517666962E-2</v>
      </c>
      <c r="N85" s="7">
        <f t="shared" si="50"/>
        <v>37.016666665440425</v>
      </c>
      <c r="O85" s="7"/>
      <c r="P85" s="7"/>
      <c r="Q85" s="22"/>
      <c r="R85" s="22"/>
      <c r="S85" s="31">
        <f t="shared" si="49"/>
        <v>1</v>
      </c>
      <c r="T85" s="46" t="str">
        <f t="shared" si="41"/>
        <v>NorthBound</v>
      </c>
      <c r="U85" s="186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7" t="str">
        <f t="shared" si="52"/>
        <v>https://d0f6bd738d7f1b3e5a7ca70fe4ff75f0.us-east-1.aws.found.io/app/kibana#/discover/Steve-Slow-Train-Analysis-(2080s-and-2083s)?_g=(refreshInterval:(display:Off,pause:!f,section:0,value:0),time:(from:'2017-02-20T11:11:39-0700',mode:absolute,to:'2017-02-20T13:52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5" s="188" t="str">
        <f t="shared" si="42"/>
        <v>N</v>
      </c>
      <c r="X85" s="188">
        <f t="shared" si="55"/>
        <v>1</v>
      </c>
      <c r="Y85" s="62">
        <f t="shared" si="43"/>
        <v>4.4200000000000003E-2</v>
      </c>
      <c r="Z85" s="62">
        <f t="shared" si="44"/>
        <v>23.332100000000001</v>
      </c>
      <c r="AA85" s="62">
        <f t="shared" si="45"/>
        <v>23.2879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 t="shared" si="46"/>
        <v>0169-20</v>
      </c>
      <c r="AE85" s="85" t="str">
        <f t="shared" si="53"/>
        <v>aws s3 cp s3://rtdc.mdm.uploadarchive.raw/RTDC4003/ "%USERPROFILE%\AppData\Local\Temp\OnboardLogs"\RTDC4003\2017-02-20 --exclude "*" --recursive --include "*20170220*" &amp; "%USERPROFILE%\Documents\GitHub\mrs-test-scripts\Headless Mode &amp; Sideloading\WalkAndUnGZ.bat" "%USERPROFILE%\AppData\Local\Temp\OnboardLogs"\RTDC4003\2017-02-20 &amp; aws s3 cp s3://rtdc.mdm.uploadarchive.raw/RTDC4003/ "%USERPROFILE%\AppData\Local\Temp\OnboardLogs"\RTDC4003\2017-02-21 --exclude "*" --recursive --include "*20170221*" &amp; "%USERPROFILE%\Documents\GitHub\mrs-test-scripts\Headless Mode &amp; Sideloading\WalkAndUnGZ.bat" "%USERPROFILE%\AppData\Local\Temp\OnboardLogs"\RTDC4003\2017-02-21</v>
      </c>
      <c r="AF85" s="82" t="str">
        <f t="shared" si="54"/>
        <v>"C:\Program Files (x86)\AstroGrep\AstroGrep.exe" /spath="%USERPROFILE%\AppData\Local\Temp\OnboardLogs" /stypes="app*4003*20170220*" /stext=" 19:.+((SYSTEM_STATE.+slice.+state.+changed )|(ment ac)|(multiple cpu faults)|(system.+state.+changed )|(\[timeout)|(PRM\|1\|D)|(kpr)|(kdp)|(\|lc)|(penalty))" /e /r /s</v>
      </c>
      <c r="AG85" s="1" t="str">
        <f t="shared" si="47"/>
        <v>EC</v>
      </c>
      <c r="AH85" s="86" t="str">
        <f t="shared" si="56"/>
        <v>"%USERPROFILE%\Documents\GitHub\eaglep3\Utilities\RefineRTDCRunTimes.py" --tripid 169-20 --locoid 4003 --swversion DE.1.0.9.0 --startMP 204:442 --initTime 2017-02-20T12:11:39 --startdatetime 2017-02-20T12:15:33 --delay 1 --endMP 204:233321 --enddatetime 2017-02-20T12:52:34 --enforcementcount 0 &gt;&gt;C:\Users\stu\Documents\GitHub\eaglep3-reporting\EC\2017-02-20-refined-times.txt</v>
      </c>
      <c r="AI85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{"issue":{"subject":"","project_id":79,"tracker_id":40,"status_id":1,"priority_id":2,"assigned_to_id":23,"start_date":"2017-02-20","description":"","custom_fields":[{"id":1,"name":"Subdivision","value":"EC"},{"id":4,"name":"Milepost","value":"23.3321"},{"id":17,"name":"Train ID","value":"169-20"},{"id":16,"name":"Locomotive ID","value":"4003"},{"id":130,"name":"Impact","value":""},{"id":150,"name":"Time of Event (Mountain Time)","value":"12:52:34"},{"id":151,"name":"Denver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48"/>
      <c r="AK85" s="48"/>
      <c r="AL85" s="48"/>
      <c r="AM85" s="154" t="str">
        <f t="shared" si="58"/>
        <v>start /low /b %USERPROFILE%\Documents\GitHub\eaglep3\Utilities\DownloadLogsFromS3.py --loco 4003 --day 2017-02-20</v>
      </c>
      <c r="AN85" s="163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"%USERPROFILE%\AppData\Local\Temp\OnboardLogs"\RTDC4003\*4003*20170220* | grep -SE "(Enforcement Action)|(\[TIMEOUT)|(CHR.+\|PRM\|1\|D.+(SWITCH|SIGNAL).+UNKNOWN)" - &gt;&gt; 2017-02-20-UncaughtWiMAX.txt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x14ac:dyDescent="0.25">
      <c r="A86" s="33" t="s">
        <v>592</v>
      </c>
      <c r="B86" s="7">
        <v>4004</v>
      </c>
      <c r="C86" s="21" t="s">
        <v>408</v>
      </c>
      <c r="D86" s="21" t="s">
        <v>366</v>
      </c>
      <c r="E86" s="13">
        <v>42786.541956018518</v>
      </c>
      <c r="F86" s="13">
        <v>42786.549722222226</v>
      </c>
      <c r="G86" s="7">
        <v>1</v>
      </c>
      <c r="H86" s="21" t="s">
        <v>288</v>
      </c>
      <c r="I86" s="13">
        <v>42786.576874999999</v>
      </c>
      <c r="J86" s="7">
        <v>0</v>
      </c>
      <c r="K86" s="98" t="str">
        <f t="shared" si="37"/>
        <v>4003/4004</v>
      </c>
      <c r="L86" s="21" t="str">
        <f>VLOOKUP(A86,'Trips&amp;Operators'!$C$1:$G$99999,5,FALSE)</f>
        <v>LEVERE CRAIG</v>
      </c>
      <c r="M86" s="6">
        <f t="shared" si="38"/>
        <v>2.7152777773153502E-2</v>
      </c>
      <c r="N86" s="7">
        <f t="shared" si="50"/>
        <v>39.099999993341044</v>
      </c>
      <c r="O86" s="7"/>
      <c r="P86" s="7"/>
      <c r="Q86" s="22"/>
      <c r="R86" s="22"/>
      <c r="S86" s="31">
        <f t="shared" si="49"/>
        <v>1</v>
      </c>
      <c r="T86" s="46" t="str">
        <f t="shared" si="41"/>
        <v>Southbound</v>
      </c>
      <c r="U86" s="186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7" t="str">
        <f t="shared" si="52"/>
        <v>https://d0f6bd738d7f1b3e5a7ca70fe4ff75f0.us-east-1.aws.found.io/app/kibana#/discover/Steve-Slow-Train-Analysis-(2080s-and-2083s)?_g=(refreshInterval:(display:Off,pause:!f,section:0,value:0),time:(from:'2017-02-20T12:00:25-0700',mode:absolute,to:'2017-02-20T14:50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6" s="188" t="str">
        <f t="shared" si="42"/>
        <v>N</v>
      </c>
      <c r="X86" s="188">
        <f t="shared" si="55"/>
        <v>1</v>
      </c>
      <c r="Y86" s="62">
        <f t="shared" si="43"/>
        <v>23.301100000000002</v>
      </c>
      <c r="Z86" s="62">
        <f t="shared" si="44"/>
        <v>1.5599999999999999E-2</v>
      </c>
      <c r="AA86" s="62">
        <f t="shared" si="45"/>
        <v>23.285500000000003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 t="shared" si="46"/>
        <v>0170-20</v>
      </c>
      <c r="AE86" s="85" t="str">
        <f t="shared" si="53"/>
        <v>aws s3 cp s3://rtdc.mdm.uploadarchive.raw/RTDC4004/ "%USERPROFILE%\AppData\Local\Temp\OnboardLogs"\RTDC4004\2017-02-20 --exclude "*" --recursive --include "*20170220*" &amp; "%USERPROFILE%\Documents\GitHub\mrs-test-scripts\Headless Mode &amp; Sideloading\WalkAndUnGZ.bat" "%USERPROFILE%\AppData\Local\Temp\OnboardLogs"\RTDC4004\2017-02-20 &amp; aws s3 cp s3://rtdc.mdm.uploadarchive.raw/RTDC4004/ "%USERPROFILE%\AppData\Local\Temp\OnboardLogs"\RTDC4004\2017-02-21 --exclude "*" --recursive --include "*20170221*" &amp; "%USERPROFILE%\Documents\GitHub\mrs-test-scripts\Headless Mode &amp; Sideloading\WalkAndUnGZ.bat" "%USERPROFILE%\AppData\Local\Temp\OnboardLogs"\RTDC4004\2017-02-21</v>
      </c>
      <c r="AF86" s="82" t="str">
        <f t="shared" si="54"/>
        <v>"C:\Program Files (x86)\AstroGrep\AstroGrep.exe" /spath="%USERPROFILE%\AppData\Local\Temp\OnboardLogs" /stypes="app*4004*20170220*" /stext=" 20:.+((SYSTEM_STATE.+slice.+state.+changed )|(ment ac)|(multiple cpu faults)|(system.+state.+changed )|(\[timeout)|(PRM\|1\|D)|(kpr)|(kdp)|(\|lc)|(penalty))" /e /r /s</v>
      </c>
      <c r="AG86" s="1" t="str">
        <f t="shared" si="47"/>
        <v>EC</v>
      </c>
      <c r="AH86" s="86" t="str">
        <f t="shared" si="56"/>
        <v>"%USERPROFILE%\Documents\GitHub\eaglep3\Utilities\RefineRTDCRunTimes.py" --tripid 170-20 --locoid 4004 --swversion DE.1.0.9.0 --startMP 204:233011 --initTime 2017-02-20T13:00:25 --startdatetime 2017-02-20T13:11:36 --delay 1 --endMP 204:156 --enddatetime 2017-02-20T13:50:42 --enforcementcount 0 &gt;&gt;C:\Users\stu\Documents\GitHub\eaglep3-reporting\EC\2017-02-20-refined-times.txt</v>
      </c>
      <c r="AI86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{"issue":{"subject":"","project_id":79,"tracker_id":40,"status_id":1,"priority_id":2,"assigned_to_id":23,"start_date":"2017-02-20","description":"","custom_fields":[{"id":1,"name":"Subdivision","value":"EC"},{"id":4,"name":"Milepost","value":"0.0156"},{"id":17,"name":"Train ID","value":"170-20"},{"id":16,"name":"Locomotive ID","value":"4004"},{"id":130,"name":"Impact","value":""},{"id":150,"name":"Time of Event (Mountain Time)","value":"13:50:42"},{"id":151,"name":"Denver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48"/>
      <c r="AK86" s="48"/>
      <c r="AL86" s="48"/>
      <c r="AM86" s="154" t="str">
        <f t="shared" si="58"/>
        <v>start /low /b %USERPROFILE%\Documents\GitHub\eaglep3\Utilities\DownloadLogsFromS3.py --loco 4004 --day 2017-02-20</v>
      </c>
      <c r="AN86" s="163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"%USERPROFILE%\AppData\Local\Temp\OnboardLogs"\RTDC4004\*4004*20170220* | grep -SE "(Enforcement Action)|(\[TIMEOUT)|(CHR.+\|PRM\|1\|D.+(SWITCH|SIGNAL).+UNKNOWN)" - &gt;&gt; 2017-02-20-UncaughtWiMAX.txt</v>
      </c>
    </row>
    <row r="87" spans="1:91" s="20" customFormat="1" x14ac:dyDescent="0.25">
      <c r="A87" s="33" t="s">
        <v>586</v>
      </c>
      <c r="B87" s="7">
        <v>4016</v>
      </c>
      <c r="C87" s="21" t="s">
        <v>408</v>
      </c>
      <c r="D87" s="21" t="s">
        <v>293</v>
      </c>
      <c r="E87" s="13">
        <v>42786.516030092593</v>
      </c>
      <c r="F87" s="13">
        <v>42786.521006944444</v>
      </c>
      <c r="G87" s="7">
        <v>2</v>
      </c>
      <c r="H87" s="21" t="s">
        <v>738</v>
      </c>
      <c r="I87" s="13">
        <v>42786.545601851853</v>
      </c>
      <c r="J87" s="7">
        <v>0</v>
      </c>
      <c r="K87" s="98" t="str">
        <f t="shared" si="37"/>
        <v>4015/4016</v>
      </c>
      <c r="L87" s="21" t="str">
        <f>VLOOKUP(A87,'Trips&amp;Operators'!$C$1:$G$99999,5,FALSE)</f>
        <v>KILLION DAVID</v>
      </c>
      <c r="M87" s="6">
        <f t="shared" si="38"/>
        <v>2.4594907408754807E-2</v>
      </c>
      <c r="N87" s="7">
        <f t="shared" si="50"/>
        <v>35.416666668606922</v>
      </c>
      <c r="O87" s="7"/>
      <c r="P87" s="7"/>
      <c r="Q87" s="22"/>
      <c r="R87" s="22"/>
      <c r="S87" s="31">
        <f t="shared" si="49"/>
        <v>1</v>
      </c>
      <c r="T87" s="46" t="str">
        <f t="shared" si="41"/>
        <v>NorthBound</v>
      </c>
      <c r="U87" s="186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7" t="str">
        <f t="shared" si="52"/>
        <v>https://d0f6bd738d7f1b3e5a7ca70fe4ff75f0.us-east-1.aws.found.io/app/kibana#/discover/Steve-Slow-Train-Analysis-(2080s-and-2083s)?_g=(refreshInterval:(display:Off,pause:!f,section:0,value:0),time:(from:'2017-02-20T11:23:05-0700',mode:absolute,to:'2017-02-20T14:05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7" s="188" t="str">
        <f t="shared" si="42"/>
        <v>N</v>
      </c>
      <c r="X87" s="188">
        <f t="shared" si="55"/>
        <v>1</v>
      </c>
      <c r="Y87" s="62">
        <f t="shared" si="43"/>
        <v>4.7699999999999999E-2</v>
      </c>
      <c r="Z87" s="62">
        <f t="shared" si="44"/>
        <v>23.328900000000001</v>
      </c>
      <c r="AA87" s="62">
        <f t="shared" si="45"/>
        <v>23.281200000000002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 t="shared" si="46"/>
        <v>0171-20</v>
      </c>
      <c r="AE87" s="85" t="str">
        <f t="shared" si="53"/>
        <v>aws s3 cp s3://rtdc.mdm.uploadarchive.raw/RTDC4016/ "%USERPROFILE%\AppData\Local\Temp\OnboardLogs"\RTDC4016\2017-02-20 --exclude "*" --recursive --include "*20170220*" &amp; "%USERPROFILE%\Documents\GitHub\mrs-test-scripts\Headless Mode &amp; Sideloading\WalkAndUnGZ.bat" "%USERPROFILE%\AppData\Local\Temp\OnboardLogs"\RTDC4016\2017-02-20 &amp; aws s3 cp s3://rtdc.mdm.uploadarchive.raw/RTDC4016/ "%USERPROFILE%\AppData\Local\Temp\OnboardLogs"\RTDC4016\2017-02-21 --exclude "*" --recursive --include "*20170221*" &amp; "%USERPROFILE%\Documents\GitHub\mrs-test-scripts\Headless Mode &amp; Sideloading\WalkAndUnGZ.bat" "%USERPROFILE%\AppData\Local\Temp\OnboardLogs"\RTDC4016\2017-02-21</v>
      </c>
      <c r="AF87" s="82" t="str">
        <f t="shared" si="54"/>
        <v>"C:\Program Files (x86)\AstroGrep\AstroGrep.exe" /spath="%USERPROFILE%\AppData\Local\Temp\OnboardLogs" /stypes="app*4016*20170220*" /stext=" 20:.+((SYSTEM_STATE.+slice.+state.+changed )|(ment ac)|(multiple cpu faults)|(system.+state.+changed )|(\[timeout)|(PRM\|1\|D)|(kpr)|(kdp)|(\|lc)|(penalty))" /e /r /s</v>
      </c>
      <c r="AG87" s="1" t="str">
        <f t="shared" si="47"/>
        <v>EC</v>
      </c>
      <c r="AH87" s="86" t="str">
        <f t="shared" si="56"/>
        <v>"%USERPROFILE%\Documents\GitHub\eaglep3\Utilities\RefineRTDCRunTimes.py" --tripid 171-20 --locoid 4016 --swversion DE.1.0.9.0 --startMP 204:477 --initTime 2017-02-20T12:23:05 --startdatetime 2017-02-20T12:30:15 --delay 2 --endMP 204:233289 --enddatetime 2017-02-20T13:05:40 --enforcementcount 0 &gt;&gt;C:\Users\stu\Documents\GitHub\eaglep3-reporting\EC\2017-02-20-refined-times.txt</v>
      </c>
      <c r="AI87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{"issue":{"subject":"","project_id":79,"tracker_id":40,"status_id":1,"priority_id":2,"assigned_to_id":23,"start_date":"2017-02-20","description":"","custom_fields":[{"id":1,"name":"Subdivision","value":"EC"},{"id":4,"name":"Milepost","value":"23.3289"},{"id":17,"name":"Train ID","value":"171-20"},{"id":16,"name":"Locomotive ID","value":"4016"},{"id":130,"name":"Impact","value":""},{"id":150,"name":"Time of Event (Mountain Time)","value":"13:05:40"},{"id":151,"name":"Denver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48"/>
      <c r="AK87" s="48"/>
      <c r="AL87" s="48"/>
      <c r="AM87" s="154" t="str">
        <f t="shared" si="58"/>
        <v>start /low /b %USERPROFILE%\Documents\GitHub\eaglep3\Utilities\DownloadLogsFromS3.py --loco 4016 --day 2017-02-20</v>
      </c>
      <c r="AN87" s="163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"%USERPROFILE%\AppData\Local\Temp\OnboardLogs"\RTDC4016\*4016*20170220* | grep -SE "(Enforcement Action)|(\[TIMEOUT)|(CHR.+\|PRM\|1\|D.+(SWITCH|SIGNAL).+UNKNOWN)" - &gt;&gt; 2017-02-20-UncaughtWiMAX.txt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594</v>
      </c>
      <c r="B88" s="7">
        <v>4015</v>
      </c>
      <c r="C88" s="21" t="s">
        <v>408</v>
      </c>
      <c r="D88" s="21" t="s">
        <v>263</v>
      </c>
      <c r="E88" s="13">
        <v>42786.551504629628</v>
      </c>
      <c r="F88" s="13">
        <v>42786.560023148151</v>
      </c>
      <c r="G88" s="7">
        <v>1</v>
      </c>
      <c r="H88" s="21" t="s">
        <v>213</v>
      </c>
      <c r="I88" s="13">
        <v>42786.586782407408</v>
      </c>
      <c r="J88" s="7">
        <v>0</v>
      </c>
      <c r="K88" s="98" t="str">
        <f t="shared" si="37"/>
        <v>4015/4016</v>
      </c>
      <c r="L88" s="21" t="str">
        <f>VLOOKUP(A88,'Trips&amp;Operators'!$C$1:$G$99999,5,FALSE)</f>
        <v>KILLION DAVID</v>
      </c>
      <c r="M88" s="6">
        <f t="shared" si="38"/>
        <v>2.675925925723277E-2</v>
      </c>
      <c r="N88" s="7">
        <f t="shared" si="50"/>
        <v>38.533333330415189</v>
      </c>
      <c r="O88" s="7"/>
      <c r="P88" s="7"/>
      <c r="Q88" s="22"/>
      <c r="R88" s="22"/>
      <c r="S88" s="31">
        <f t="shared" si="49"/>
        <v>1</v>
      </c>
      <c r="T88" s="46" t="str">
        <f t="shared" si="41"/>
        <v>Southbound</v>
      </c>
      <c r="U88" s="186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7" t="str">
        <f t="shared" si="52"/>
        <v>https://d0f6bd738d7f1b3e5a7ca70fe4ff75f0.us-east-1.aws.found.io/app/kibana#/discover/Steve-Slow-Train-Analysis-(2080s-and-2083s)?_g=(refreshInterval:(display:Off,pause:!f,section:0,value:0),time:(from:'2017-02-20T12:14:10-0700',mode:absolute,to:'2017-02-20T15:04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8" s="188" t="str">
        <f t="shared" si="42"/>
        <v>N</v>
      </c>
      <c r="X88" s="188">
        <f t="shared" si="55"/>
        <v>1</v>
      </c>
      <c r="Y88" s="62">
        <f t="shared" si="43"/>
        <v>23.297699999999999</v>
      </c>
      <c r="Z88" s="62">
        <f t="shared" si="44"/>
        <v>1.54E-2</v>
      </c>
      <c r="AA88" s="62">
        <f t="shared" si="45"/>
        <v>23.282299999999999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 t="shared" si="46"/>
        <v>0172-20</v>
      </c>
      <c r="AE88" s="85" t="str">
        <f t="shared" si="53"/>
        <v>aws s3 cp s3://rtdc.mdm.uploadarchive.raw/RTDC4015/ "%USERPROFILE%\AppData\Local\Temp\OnboardLogs"\RTDC4015\2017-02-20 --exclude "*" --recursive --include "*20170220*" &amp; "%USERPROFILE%\Documents\GitHub\mrs-test-scripts\Headless Mode &amp; Sideloading\WalkAndUnGZ.bat" "%USERPROFILE%\AppData\Local\Temp\OnboardLogs"\RTDC4015\2017-02-20 &amp; aws s3 cp s3://rtdc.mdm.uploadarchive.raw/RTDC4015/ "%USERPROFILE%\AppData\Local\Temp\OnboardLogs"\RTDC4015\2017-02-21 --exclude "*" --recursive --include "*20170221*" &amp; "%USERPROFILE%\Documents\GitHub\mrs-test-scripts\Headless Mode &amp; Sideloading\WalkAndUnGZ.bat" "%USERPROFILE%\AppData\Local\Temp\OnboardLogs"\RTDC4015\2017-02-21</v>
      </c>
      <c r="AF88" s="82" t="str">
        <f t="shared" si="54"/>
        <v>"C:\Program Files (x86)\AstroGrep\AstroGrep.exe" /spath="%USERPROFILE%\AppData\Local\Temp\OnboardLogs" /stypes="app*4015*20170220*" /stext=" 21:.+((SYSTEM_STATE.+slice.+state.+changed )|(ment ac)|(multiple cpu faults)|(system.+state.+changed )|(\[timeout)|(PRM\|1\|D)|(kpr)|(kdp)|(\|lc)|(penalty))" /e /r /s</v>
      </c>
      <c r="AG88" s="1" t="str">
        <f t="shared" si="47"/>
        <v>EC</v>
      </c>
      <c r="AH88" s="86" t="str">
        <f t="shared" si="56"/>
        <v>"%USERPROFILE%\Documents\GitHub\eaglep3\Utilities\RefineRTDCRunTimes.py" --tripid 172-20 --locoid 4015 --swversion DE.1.0.9.0 --startMP 204:232977 --initTime 2017-02-20T13:14:10 --startdatetime 2017-02-20T13:26:26 --delay 1 --endMP 204:154 --enddatetime 2017-02-20T14:04:58 --enforcementcount 0 &gt;&gt;C:\Users\stu\Documents\GitHub\eaglep3-reporting\EC\2017-02-20-refined-times.txt</v>
      </c>
      <c r="AI88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{"issue":{"subject":"","project_id":79,"tracker_id":40,"status_id":1,"priority_id":2,"assigned_to_id":23,"start_date":"2017-02-20","description":"","custom_fields":[{"id":1,"name":"Subdivision","value":"EC"},{"id":4,"name":"Milepost","value":"0.0154"},{"id":17,"name":"Train ID","value":"172-20"},{"id":16,"name":"Locomotive ID","value":"4015"},{"id":130,"name":"Impact","value":""},{"id":150,"name":"Time of Event (Mountain Time)","value":"14:04:58"},{"id":151,"name":"Denver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48"/>
      <c r="AK88" s="48"/>
      <c r="AL88" s="48"/>
      <c r="AM88" s="154" t="str">
        <f t="shared" si="58"/>
        <v>start /low /b %USERPROFILE%\Documents\GitHub\eaglep3\Utilities\DownloadLogsFromS3.py --loco 4015 --day 2017-02-20</v>
      </c>
      <c r="AN88" s="163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"%USERPROFILE%\AppData\Local\Temp\OnboardLogs"\RTDC4015\*4015*20170220* | grep -SE "(Enforcement Action)|(\[TIMEOUT)|(CHR.+\|PRM\|1\|D.+(SWITCH|SIGNAL).+UNKNOWN)" - &gt;&gt; 2017-02-20-UncaughtWiMAX.txt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3" t="s">
        <v>589</v>
      </c>
      <c r="B89" s="7">
        <v>4027</v>
      </c>
      <c r="C89" s="21" t="s">
        <v>408</v>
      </c>
      <c r="D89" s="21" t="s">
        <v>226</v>
      </c>
      <c r="E89" s="13">
        <v>42786.526782407411</v>
      </c>
      <c r="F89" s="13">
        <v>42786.531504629631</v>
      </c>
      <c r="G89" s="7">
        <v>3</v>
      </c>
      <c r="H89" s="21" t="s">
        <v>721</v>
      </c>
      <c r="I89" s="13">
        <v>42786.556793981479</v>
      </c>
      <c r="J89" s="7">
        <v>0</v>
      </c>
      <c r="K89" s="98" t="str">
        <f t="shared" si="37"/>
        <v>4027/4028</v>
      </c>
      <c r="L89" s="21" t="str">
        <f>VLOOKUP(A89,'Trips&amp;Operators'!$C$1:$G$99999,5,FALSE)</f>
        <v>STEWART MICHAEL</v>
      </c>
      <c r="M89" s="6">
        <f t="shared" si="38"/>
        <v>2.5289351848186925E-2</v>
      </c>
      <c r="N89" s="7">
        <f t="shared" si="50"/>
        <v>36.416666661389172</v>
      </c>
      <c r="O89" s="7"/>
      <c r="P89" s="7"/>
      <c r="Q89" s="22"/>
      <c r="R89" s="22"/>
      <c r="S89" s="31">
        <f t="shared" si="49"/>
        <v>1</v>
      </c>
      <c r="T89" s="46" t="str">
        <f t="shared" si="41"/>
        <v>NorthBound</v>
      </c>
      <c r="U89" s="186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7" t="str">
        <f t="shared" si="52"/>
        <v>https://d0f6bd738d7f1b3e5a7ca70fe4ff75f0.us-east-1.aws.found.io/app/kibana#/discover/Steve-Slow-Train-Analysis-(2080s-and-2083s)?_g=(refreshInterval:(display:Off,pause:!f,section:0,value:0),time:(from:'2017-02-20T11:38:34-0700',mode:absolute,to:'2017-02-20T14:21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9" s="188" t="str">
        <f t="shared" si="42"/>
        <v>N</v>
      </c>
      <c r="X89" s="188">
        <f t="shared" si="55"/>
        <v>1</v>
      </c>
      <c r="Y89" s="62">
        <f t="shared" si="43"/>
        <v>4.5100000000000001E-2</v>
      </c>
      <c r="Z89" s="62">
        <f t="shared" si="44"/>
        <v>23.331399999999999</v>
      </c>
      <c r="AA89" s="62">
        <f t="shared" si="45"/>
        <v>23.286299999999997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 t="shared" si="46"/>
        <v>0173-20</v>
      </c>
      <c r="AE89" s="85" t="str">
        <f t="shared" si="53"/>
        <v>aws s3 cp s3://rtdc.mdm.uploadarchive.raw/RTDC4027/ "%USERPROFILE%\AppData\Local\Temp\OnboardLogs"\RTDC4027\2017-02-20 --exclude "*" --recursive --include "*20170220*" &amp; "%USERPROFILE%\Documents\GitHub\mrs-test-scripts\Headless Mode &amp; Sideloading\WalkAndUnGZ.bat" "%USERPROFILE%\AppData\Local\Temp\OnboardLogs"\RTDC4027\2017-02-20 &amp; aws s3 cp s3://rtdc.mdm.uploadarchive.raw/RTDC4027/ "%USERPROFILE%\AppData\Local\Temp\OnboardLogs"\RTDC4027\2017-02-21 --exclude "*" --recursive --include "*20170221*" &amp; "%USERPROFILE%\Documents\GitHub\mrs-test-scripts\Headless Mode &amp; Sideloading\WalkAndUnGZ.bat" "%USERPROFILE%\AppData\Local\Temp\OnboardLogs"\RTDC4027\2017-02-21</v>
      </c>
      <c r="AF89" s="82" t="str">
        <f t="shared" si="54"/>
        <v>"C:\Program Files (x86)\AstroGrep\AstroGrep.exe" /spath="%USERPROFILE%\AppData\Local\Temp\OnboardLogs" /stypes="app*4027*20170220*" /stext=" 20:.+((SYSTEM_STATE.+slice.+state.+changed )|(ment ac)|(multiple cpu faults)|(system.+state.+changed )|(\[timeout)|(PRM\|1\|D)|(kpr)|(kdp)|(\|lc)|(penalty))" /e /r /s</v>
      </c>
      <c r="AG89" s="1" t="str">
        <f t="shared" si="47"/>
        <v>EC</v>
      </c>
      <c r="AH89" s="86" t="str">
        <f t="shared" si="56"/>
        <v>"%USERPROFILE%\Documents\GitHub\eaglep3\Utilities\RefineRTDCRunTimes.py" --tripid 173-20 --locoid 4027 --swversion DE.1.0.9.0 --startMP 204:451 --initTime 2017-02-20T12:38:34 --startdatetime 2017-02-20T12:45:22 --delay 3 --endMP 204:233314 --enddatetime 2017-02-20T13:21:47 --enforcementcount 0 &gt;&gt;C:\Users\stu\Documents\GitHub\eaglep3-reporting\EC\2017-02-20-refined-times.txt</v>
      </c>
      <c r="AI89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{"issue":{"subject":"","project_id":79,"tracker_id":40,"status_id":1,"priority_id":2,"assigned_to_id":23,"start_date":"2017-02-20","description":"","custom_fields":[{"id":1,"name":"Subdivision","value":"EC"},{"id":4,"name":"Milepost","value":"23.3314"},{"id":17,"name":"Train ID","value":"173-20"},{"id":16,"name":"Locomotive ID","value":"4027"},{"id":130,"name":"Impact","value":""},{"id":150,"name":"Time of Event (Mountain Time)","value":"13:21:47"},{"id":151,"name":"Denver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48"/>
      <c r="AK89" s="48"/>
      <c r="AL89" s="48"/>
      <c r="AM89" s="154" t="str">
        <f t="shared" si="58"/>
        <v>start /low /b %USERPROFILE%\Documents\GitHub\eaglep3\Utilities\DownloadLogsFromS3.py --loco 4027 --day 2017-02-20</v>
      </c>
      <c r="AN89" s="163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"%USERPROFILE%\AppData\Local\Temp\OnboardLogs"\RTDC4027\*4027*20170220* | grep -SE "(Enforcement Action)|(\[TIMEOUT)|(CHR.+\|PRM\|1\|D.+(SWITCH|SIGNAL).+UNKNOWN)" - &gt;&gt; 2017-02-20-UncaughtWiMAX.txt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3" t="s">
        <v>597</v>
      </c>
      <c r="B90" s="7">
        <v>4028</v>
      </c>
      <c r="C90" s="21" t="s">
        <v>408</v>
      </c>
      <c r="D90" s="21" t="s">
        <v>439</v>
      </c>
      <c r="E90" s="13">
        <v>42786.567685185182</v>
      </c>
      <c r="F90" s="13">
        <v>42786.570729166669</v>
      </c>
      <c r="G90" s="7">
        <v>1</v>
      </c>
      <c r="H90" s="21" t="s">
        <v>207</v>
      </c>
      <c r="I90" s="13">
        <v>42786.597002314818</v>
      </c>
      <c r="J90" s="7">
        <v>0</v>
      </c>
      <c r="K90" s="98" t="str">
        <f t="shared" si="37"/>
        <v>4027/4028</v>
      </c>
      <c r="L90" s="21" t="str">
        <f>VLOOKUP(A90,'Trips&amp;Operators'!$C$1:$G$99999,5,FALSE)</f>
        <v>STEWART MICHAEL</v>
      </c>
      <c r="M90" s="6">
        <f t="shared" si="38"/>
        <v>2.6273148148902692E-2</v>
      </c>
      <c r="N90" s="7">
        <f t="shared" si="50"/>
        <v>37.833333334419876</v>
      </c>
      <c r="O90" s="7"/>
      <c r="P90" s="7"/>
      <c r="Q90" s="22"/>
      <c r="R90" s="22"/>
      <c r="S90" s="31">
        <f t="shared" si="49"/>
        <v>1</v>
      </c>
      <c r="T90" s="46" t="str">
        <f t="shared" si="41"/>
        <v>Southbound</v>
      </c>
      <c r="U90" s="186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7" t="str">
        <f t="shared" si="52"/>
        <v>https://d0f6bd738d7f1b3e5a7ca70fe4ff75f0.us-east-1.aws.found.io/app/kibana#/discover/Steve-Slow-Train-Analysis-(2080s-and-2083s)?_g=(refreshInterval:(display:Off,pause:!f,section:0,value:0),time:(from:'2017-02-20T12:37:28-0700',mode:absolute,to:'2017-02-20T15:19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0" s="188" t="str">
        <f t="shared" si="42"/>
        <v>N</v>
      </c>
      <c r="X90" s="188">
        <f t="shared" ref="X90:X91" si="59">VALUE(LEFT(AD90,4))-VALUE(LEFT(AD89,4))</f>
        <v>1</v>
      </c>
      <c r="Y90" s="62">
        <f t="shared" si="43"/>
        <v>23.299399999999999</v>
      </c>
      <c r="Z90" s="62">
        <f t="shared" si="44"/>
        <v>1.5800000000000002E-2</v>
      </c>
      <c r="AA90" s="62">
        <f t="shared" si="45"/>
        <v>23.2836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 t="shared" si="46"/>
        <v>0174-20</v>
      </c>
      <c r="AE90" s="85" t="str">
        <f t="shared" si="53"/>
        <v>aws s3 cp s3://rtdc.mdm.uploadarchive.raw/RTDC4028/ "%USERPROFILE%\AppData\Local\Temp\OnboardLogs"\RTDC4028\2017-02-20 --exclude "*" --recursive --include "*20170220*" &amp; "%USERPROFILE%\Documents\GitHub\mrs-test-scripts\Headless Mode &amp; Sideloading\WalkAndUnGZ.bat" "%USERPROFILE%\AppData\Local\Temp\OnboardLogs"\RTDC4028\2017-02-20 &amp; aws s3 cp s3://rtdc.mdm.uploadarchive.raw/RTDC4028/ "%USERPROFILE%\AppData\Local\Temp\OnboardLogs"\RTDC4028\2017-02-21 --exclude "*" --recursive --include "*20170221*" &amp; "%USERPROFILE%\Documents\GitHub\mrs-test-scripts\Headless Mode &amp; Sideloading\WalkAndUnGZ.bat" "%USERPROFILE%\AppData\Local\Temp\OnboardLogs"\RTDC4028\2017-02-21</v>
      </c>
      <c r="AF90" s="82" t="str">
        <f t="shared" si="54"/>
        <v>"C:\Program Files (x86)\AstroGrep\AstroGrep.exe" /spath="%USERPROFILE%\AppData\Local\Temp\OnboardLogs" /stypes="app*4028*20170220*" /stext=" 21:.+((SYSTEM_STATE.+slice.+state.+changed )|(ment ac)|(multiple cpu faults)|(system.+state.+changed )|(\[timeout)|(PRM\|1\|D)|(kpr)|(kdp)|(\|lc)|(penalty))" /e /r /s</v>
      </c>
      <c r="AG90" s="1" t="str">
        <f t="shared" si="47"/>
        <v>EC</v>
      </c>
      <c r="AH90" s="86" t="str">
        <f t="shared" si="56"/>
        <v>"%USERPROFILE%\Documents\GitHub\eaglep3\Utilities\RefineRTDCRunTimes.py" --tripid 174-20 --locoid 4028 --swversion DE.1.0.9.0 --startMP 204:232994 --initTime 2017-02-20T13:37:28 --startdatetime 2017-02-20T13:41:51 --delay 1 --endMP 204:158 --enddatetime 2017-02-20T14:19:41 --enforcementcount 0 &gt;&gt;C:\Users\stu\Documents\GitHub\eaglep3-reporting\EC\2017-02-20-refined-times.txt</v>
      </c>
      <c r="AI90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{"issue":{"subject":"","project_id":79,"tracker_id":40,"status_id":1,"priority_id":2,"assigned_to_id":23,"start_date":"2017-02-20","description":"","custom_fields":[{"id":1,"name":"Subdivision","value":"EC"},{"id":4,"name":"Milepost","value":"0.0158"},{"id":17,"name":"Train ID","value":"174-20"},{"id":16,"name":"Locomotive ID","value":"4028"},{"id":130,"name":"Impact","value":""},{"id":150,"name":"Time of Event (Mountain Time)","value":"14:19:41"},{"id":151,"name":"Denver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48"/>
      <c r="AK90" s="48"/>
      <c r="AL90" s="48"/>
      <c r="AM90" s="154" t="str">
        <f t="shared" si="58"/>
        <v>start /low /b %USERPROFILE%\Documents\GitHub\eaglep3\Utilities\DownloadLogsFromS3.py --loco 4028 --day 2017-02-20</v>
      </c>
      <c r="AN90" s="163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"%USERPROFILE%\AppData\Local\Temp\OnboardLogs"\RTDC4028\*4028*20170220* | grep -SE "(Enforcement Action)|(\[TIMEOUT)|(CHR.+\|PRM\|1\|D.+(SWITCH|SIGNAL).+UNKNOWN)" - &gt;&gt; 2017-02-20-UncaughtWiMAX.txt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591</v>
      </c>
      <c r="B91" s="7">
        <v>4020</v>
      </c>
      <c r="C91" s="21" t="s">
        <v>408</v>
      </c>
      <c r="D91" s="21" t="s">
        <v>257</v>
      </c>
      <c r="E91" s="13">
        <v>42786.538356481484</v>
      </c>
      <c r="F91" s="13">
        <v>42786.542083333334</v>
      </c>
      <c r="G91" s="7">
        <v>1</v>
      </c>
      <c r="H91" s="21" t="s">
        <v>370</v>
      </c>
      <c r="I91" s="13">
        <v>42786.568113425928</v>
      </c>
      <c r="J91" s="7">
        <v>0</v>
      </c>
      <c r="K91" s="98" t="str">
        <f t="shared" si="37"/>
        <v>4019/4020</v>
      </c>
      <c r="L91" s="21" t="str">
        <f>VLOOKUP(A91,'Trips&amp;Operators'!$C$1:$G$99999,5,FALSE)</f>
        <v>DAVIS MICHAEL</v>
      </c>
      <c r="M91" s="6">
        <f t="shared" si="38"/>
        <v>2.6030092594737653E-2</v>
      </c>
      <c r="N91" s="7">
        <f t="shared" si="50"/>
        <v>37.48333333642222</v>
      </c>
      <c r="O91" s="7"/>
      <c r="P91" s="7"/>
      <c r="Q91" s="22"/>
      <c r="R91" s="22"/>
      <c r="S91" s="31">
        <f t="shared" si="49"/>
        <v>1</v>
      </c>
      <c r="T91" s="46" t="str">
        <f t="shared" si="41"/>
        <v>NorthBound</v>
      </c>
      <c r="U91" s="186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7" t="str">
        <f t="shared" si="52"/>
        <v>https://d0f6bd738d7f1b3e5a7ca70fe4ff75f0.us-east-1.aws.found.io/app/kibana#/discover/Steve-Slow-Train-Analysis-(2080s-and-2083s)?_g=(refreshInterval:(display:Off,pause:!f,section:0,value:0),time:(from:'2017-02-20T11:55:14-0700',mode:absolute,to:'2017-02-20T14:38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91" s="188" t="str">
        <f t="shared" si="42"/>
        <v>N</v>
      </c>
      <c r="X91" s="188">
        <f t="shared" si="59"/>
        <v>1</v>
      </c>
      <c r="Y91" s="62">
        <f t="shared" si="43"/>
        <v>4.4600000000000001E-2</v>
      </c>
      <c r="Z91" s="62">
        <f t="shared" si="44"/>
        <v>23.330100000000002</v>
      </c>
      <c r="AA91" s="62">
        <f t="shared" si="45"/>
        <v>23.285500000000003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 t="shared" si="46"/>
        <v>0175-20</v>
      </c>
      <c r="AE91" s="85" t="str">
        <f t="shared" si="53"/>
        <v>aws s3 cp s3://rtdc.mdm.uploadarchive.raw/RTDC4020/ "%USERPROFILE%\AppData\Local\Temp\OnboardLogs"\RTDC4020\2017-02-20 --exclude "*" --recursive --include "*20170220*" &amp; "%USERPROFILE%\Documents\GitHub\mrs-test-scripts\Headless Mode &amp; Sideloading\WalkAndUnGZ.bat" "%USERPROFILE%\AppData\Local\Temp\OnboardLogs"\RTDC4020\2017-02-20 &amp; aws s3 cp s3://rtdc.mdm.uploadarchive.raw/RTDC4020/ "%USERPROFILE%\AppData\Local\Temp\OnboardLogs"\RTDC4020\2017-02-21 --exclude "*" --recursive --include "*20170221*" &amp; "%USERPROFILE%\Documents\GitHub\mrs-test-scripts\Headless Mode &amp; Sideloading\WalkAndUnGZ.bat" "%USERPROFILE%\AppData\Local\Temp\OnboardLogs"\RTDC4020\2017-02-21</v>
      </c>
      <c r="AF91" s="82" t="str">
        <f t="shared" si="54"/>
        <v>"C:\Program Files (x86)\AstroGrep\AstroGrep.exe" /spath="%USERPROFILE%\AppData\Local\Temp\OnboardLogs" /stypes="app*4020*20170220*" /stext=" 20:.+((SYSTEM_STATE.+slice.+state.+changed )|(ment ac)|(multiple cpu faults)|(system.+state.+changed )|(\[timeout)|(PRM\|1\|D)|(kpr)|(kdp)|(\|lc)|(penalty))" /e /r /s</v>
      </c>
      <c r="AG91" s="1" t="str">
        <f t="shared" si="47"/>
        <v>EC</v>
      </c>
      <c r="AH91" s="86" t="str">
        <f t="shared" si="56"/>
        <v>"%USERPROFILE%\Documents\GitHub\eaglep3\Utilities\RefineRTDCRunTimes.py" --tripid 175-20 --locoid 4020 --swversion DE.1.0.9.0 --startMP 204:446 --initTime 2017-02-20T12:55:14 --startdatetime 2017-02-20T13:00:36 --delay 1 --endMP 204:233301 --enddatetime 2017-02-20T13:38:05 --enforcementcount 0 &gt;&gt;C:\Users\stu\Documents\GitHub\eaglep3-reporting\EC\2017-02-20-refined-times.txt</v>
      </c>
      <c r="AI91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{"issue":{"subject":"","project_id":79,"tracker_id":40,"status_id":1,"priority_id":2,"assigned_to_id":23,"start_date":"2017-02-20","description":"","custom_fields":[{"id":1,"name":"Subdivision","value":"EC"},{"id":4,"name":"Milepost","value":"23.3301"},{"id":17,"name":"Train ID","value":"175-20"},{"id":16,"name":"Locomotive ID","value":"4020"},{"id":130,"name":"Impact","value":""},{"id":150,"name":"Time of Event (Mountain Time)","value":"13:38:05"},{"id":151,"name":"Denver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48"/>
      <c r="AK91" s="48"/>
      <c r="AL91" s="48"/>
      <c r="AM91" s="154" t="str">
        <f t="shared" si="58"/>
        <v>start /low /b %USERPROFILE%\Documents\GitHub\eaglep3\Utilities\DownloadLogsFromS3.py --loco 4020 --day 2017-02-20</v>
      </c>
      <c r="AN91" s="163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"%USERPROFILE%\AppData\Local\Temp\OnboardLogs"\RTDC4020\*4020*20170220* | grep -SE "(Enforcement Action)|(\[TIMEOUT)|(CHR.+\|PRM\|1\|D.+(SWITCH|SIGNAL).+UNKNOWN)" - &gt;&gt; 2017-02-20-UncaughtWiMAX.txt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599</v>
      </c>
      <c r="B92" s="7">
        <v>4019</v>
      </c>
      <c r="C92" s="21" t="s">
        <v>408</v>
      </c>
      <c r="D92" s="21" t="s">
        <v>336</v>
      </c>
      <c r="E92" s="13">
        <v>42786.578969907408</v>
      </c>
      <c r="F92" s="13">
        <v>42786.580972222226</v>
      </c>
      <c r="G92" s="7">
        <v>1</v>
      </c>
      <c r="H92" s="21" t="s">
        <v>291</v>
      </c>
      <c r="I92" s="13">
        <v>42786.608854166669</v>
      </c>
      <c r="J92" s="7">
        <v>0</v>
      </c>
      <c r="K92" s="98" t="str">
        <f t="shared" si="37"/>
        <v>4019/4020</v>
      </c>
      <c r="L92" s="21" t="str">
        <f>VLOOKUP(A92,'Trips&amp;Operators'!$C$1:$G$99999,5,FALSE)</f>
        <v>DAVIS MICHAEL</v>
      </c>
      <c r="M92" s="6">
        <f t="shared" si="38"/>
        <v>2.7881944442924578E-2</v>
      </c>
      <c r="N92" s="7">
        <f t="shared" si="50"/>
        <v>40.149999997811392</v>
      </c>
      <c r="O92" s="7"/>
      <c r="P92" s="7"/>
      <c r="Q92" s="22"/>
      <c r="R92" s="22"/>
      <c r="S92" s="31">
        <f t="shared" si="49"/>
        <v>1</v>
      </c>
      <c r="T92" s="46" t="str">
        <f t="shared" si="41"/>
        <v>Southbound</v>
      </c>
      <c r="U92" s="186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7" t="str">
        <f t="shared" si="52"/>
        <v>https://d0f6bd738d7f1b3e5a7ca70fe4ff75f0.us-east-1.aws.found.io/app/kibana#/discover/Steve-Slow-Train-Analysis-(2080s-and-2083s)?_g=(refreshInterval:(display:Off,pause:!f,section:0,value:0),time:(from:'2017-02-20T12:53:43-0700',mode:absolute,to:'2017-02-20T15:36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92" s="188" t="str">
        <f t="shared" si="42"/>
        <v>N</v>
      </c>
      <c r="X92" s="188">
        <f t="shared" ref="X92:X123" si="60">VALUE(LEFT(AD92,4))-VALUE(LEFT(AD91,4))</f>
        <v>1</v>
      </c>
      <c r="Y92" s="62">
        <f t="shared" si="43"/>
        <v>23.296700000000001</v>
      </c>
      <c r="Z92" s="62">
        <f t="shared" si="44"/>
        <v>1.47E-2</v>
      </c>
      <c r="AA92" s="62">
        <f t="shared" si="45"/>
        <v>23.282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 t="shared" si="46"/>
        <v>0176-20</v>
      </c>
      <c r="AE92" s="85" t="str">
        <f t="shared" si="53"/>
        <v>aws s3 cp s3://rtdc.mdm.uploadarchive.raw/RTDC4019/ "%USERPROFILE%\AppData\Local\Temp\OnboardLogs"\RTDC4019\2017-02-20 --exclude "*" --recursive --include "*20170220*" &amp; "%USERPROFILE%\Documents\GitHub\mrs-test-scripts\Headless Mode &amp; Sideloading\WalkAndUnGZ.bat" "%USERPROFILE%\AppData\Local\Temp\OnboardLogs"\RTDC4019\2017-02-20 &amp; aws s3 cp s3://rtdc.mdm.uploadarchive.raw/RTDC4019/ "%USERPROFILE%\AppData\Local\Temp\OnboardLogs"\RTDC4019\2017-02-21 --exclude "*" --recursive --include "*20170221*" &amp; "%USERPROFILE%\Documents\GitHub\mrs-test-scripts\Headless Mode &amp; Sideloading\WalkAndUnGZ.bat" "%USERPROFILE%\AppData\Local\Temp\OnboardLogs"\RTDC4019\2017-02-21</v>
      </c>
      <c r="AF92" s="82" t="str">
        <f t="shared" si="54"/>
        <v>"C:\Program Files (x86)\AstroGrep\AstroGrep.exe" /spath="%USERPROFILE%\AppData\Local\Temp\OnboardLogs" /stypes="app*4019*20170220*" /stext=" 21:.+((SYSTEM_STATE.+slice.+state.+changed )|(ment ac)|(multiple cpu faults)|(system.+state.+changed )|(\[timeout)|(PRM\|1\|D)|(kpr)|(kdp)|(\|lc)|(penalty))" /e /r /s</v>
      </c>
      <c r="AG92" s="1" t="str">
        <f t="shared" si="47"/>
        <v>EC</v>
      </c>
      <c r="AH92" s="86" t="str">
        <f t="shared" si="56"/>
        <v>"%USERPROFILE%\Documents\GitHub\eaglep3\Utilities\RefineRTDCRunTimes.py" --tripid 176-20 --locoid 4019 --swversion DE.1.0.9.0 --startMP 204:232967 --initTime 2017-02-20T13:53:43 --startdatetime 2017-02-20T13:56:36 --delay 1 --endMP 204:147 --enddatetime 2017-02-20T14:36:45 --enforcementcount 0 &gt;&gt;C:\Users\stu\Documents\GitHub\eaglep3-reporting\EC\2017-02-20-refined-times.txt</v>
      </c>
      <c r="AI92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{"issue":{"subject":"","project_id":79,"tracker_id":40,"status_id":1,"priority_id":2,"assigned_to_id":23,"start_date":"2017-02-20","description":"","custom_fields":[{"id":1,"name":"Subdivision","value":"EC"},{"id":4,"name":"Milepost","value":"0.0147"},{"id":17,"name":"Train ID","value":"176-20"},{"id":16,"name":"Locomotive ID","value":"4019"},{"id":130,"name":"Impact","value":""},{"id":150,"name":"Time of Event (Mountain Time)","value":"14:36:45"},{"id":151,"name":"Denver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48"/>
      <c r="AK92" s="48"/>
      <c r="AL92" s="48"/>
      <c r="AM92" s="154" t="str">
        <f t="shared" si="58"/>
        <v>start /low /b %USERPROFILE%\Documents\GitHub\eaglep3\Utilities\DownloadLogsFromS3.py --loco 4019 --day 2017-02-20</v>
      </c>
      <c r="AN92" s="163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"%USERPROFILE%\AppData\Local\Temp\OnboardLogs"\RTDC4019\*4019*20170220* | grep -SE "(Enforcement Action)|(\[TIMEOUT)|(CHR.+\|PRM\|1\|D.+(SWITCH|SIGNAL).+UNKNOWN)" - &gt;&gt; 2017-02-20-UncaughtWiMAX.txt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3" t="s">
        <v>593</v>
      </c>
      <c r="B93" s="7">
        <v>4046</v>
      </c>
      <c r="C93" s="21" t="s">
        <v>408</v>
      </c>
      <c r="D93" s="21" t="s">
        <v>435</v>
      </c>
      <c r="E93" s="13">
        <v>42786.547268518516</v>
      </c>
      <c r="F93" s="13">
        <v>42786.552372685182</v>
      </c>
      <c r="G93" s="7">
        <v>1</v>
      </c>
      <c r="H93" s="21" t="s">
        <v>289</v>
      </c>
      <c r="I93" s="13">
        <v>42786.578298611108</v>
      </c>
      <c r="J93" s="7">
        <v>0</v>
      </c>
      <c r="K93" s="98" t="str">
        <f t="shared" si="37"/>
        <v>4045/4046</v>
      </c>
      <c r="L93" s="21" t="str">
        <f>VLOOKUP(A93,'Trips&amp;Operators'!$C$1:$G$99999,5,FALSE)</f>
        <v>CLARK KATHLEEN</v>
      </c>
      <c r="M93" s="6">
        <f t="shared" si="38"/>
        <v>2.5925925925548654E-2</v>
      </c>
      <c r="N93" s="7">
        <f t="shared" si="50"/>
        <v>37.333333332790062</v>
      </c>
      <c r="O93" s="7"/>
      <c r="P93" s="7"/>
      <c r="Q93" s="22"/>
      <c r="R93" s="22"/>
      <c r="S93" s="31">
        <f t="shared" si="49"/>
        <v>1</v>
      </c>
      <c r="T93" s="46" t="str">
        <f t="shared" si="41"/>
        <v>NorthBound</v>
      </c>
      <c r="U93" s="186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7" t="str">
        <f t="shared" si="52"/>
        <v>https://d0f6bd738d7f1b3e5a7ca70fe4ff75f0.us-east-1.aws.found.io/app/kibana#/discover/Steve-Slow-Train-Analysis-(2080s-and-2083s)?_g=(refreshInterval:(display:Off,pause:!f,section:0,value:0),time:(from:'2017-02-20T12:08:04-0700',mode:absolute,to:'2017-02-20T14:52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93" s="188" t="str">
        <f t="shared" si="42"/>
        <v>N</v>
      </c>
      <c r="X93" s="188">
        <f t="shared" si="60"/>
        <v>1</v>
      </c>
      <c r="Y93" s="62">
        <f t="shared" si="43"/>
        <v>5.0799999999999998E-2</v>
      </c>
      <c r="Z93" s="62">
        <f t="shared" si="44"/>
        <v>23.331</v>
      </c>
      <c r="AA93" s="62">
        <f t="shared" si="45"/>
        <v>23.280200000000001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 t="shared" si="46"/>
        <v>0177-20</v>
      </c>
      <c r="AE93" s="85" t="str">
        <f t="shared" si="53"/>
        <v>aws s3 cp s3://rtdc.mdm.uploadarchive.raw/RTDC4046/ "%USERPROFILE%\AppData\Local\Temp\OnboardLogs"\RTDC4046\2017-02-20 --exclude "*" --recursive --include "*20170220*" &amp; "%USERPROFILE%\Documents\GitHub\mrs-test-scripts\Headless Mode &amp; Sideloading\WalkAndUnGZ.bat" "%USERPROFILE%\AppData\Local\Temp\OnboardLogs"\RTDC4046\2017-02-20 &amp; aws s3 cp s3://rtdc.mdm.uploadarchive.raw/RTDC4046/ "%USERPROFILE%\AppData\Local\Temp\OnboardLogs"\RTDC4046\2017-02-21 --exclude "*" --recursive --include "*20170221*" &amp; "%USERPROFILE%\Documents\GitHub\mrs-test-scripts\Headless Mode &amp; Sideloading\WalkAndUnGZ.bat" "%USERPROFILE%\AppData\Local\Temp\OnboardLogs"\RTDC4046\2017-02-21</v>
      </c>
      <c r="AF93" s="82" t="str">
        <f t="shared" si="54"/>
        <v>"C:\Program Files (x86)\AstroGrep\AstroGrep.exe" /spath="%USERPROFILE%\AppData\Local\Temp\OnboardLogs" /stypes="app*4046*20170220*" /stext=" 20:.+((SYSTEM_STATE.+slice.+state.+changed )|(ment ac)|(multiple cpu faults)|(system.+state.+changed )|(\[timeout)|(PRM\|1\|D)|(kpr)|(kdp)|(\|lc)|(penalty))" /e /r /s</v>
      </c>
      <c r="AG93" s="1" t="str">
        <f t="shared" si="47"/>
        <v>EC</v>
      </c>
      <c r="AH93" s="86" t="str">
        <f t="shared" si="56"/>
        <v>"%USERPROFILE%\Documents\GitHub\eaglep3\Utilities\RefineRTDCRunTimes.py" --tripid 177-20 --locoid 4046 --swversion DE.1.0.9.0 --startMP 204:508 --initTime 2017-02-20T13:08:04 --startdatetime 2017-02-20T13:15:25 --delay 1 --endMP 204:233310 --enddatetime 2017-02-20T13:52:45 --enforcementcount 0 &gt;&gt;C:\Users\stu\Documents\GitHub\eaglep3-reporting\EC\2017-02-20-refined-times.txt</v>
      </c>
      <c r="AI93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{"issue":{"subject":"","project_id":79,"tracker_id":40,"status_id":1,"priority_id":2,"assigned_to_id":23,"start_date":"2017-02-20","description":"","custom_fields":[{"id":1,"name":"Subdivision","value":"EC"},{"id":4,"name":"Milepost","value":"23.331"},{"id":17,"name":"Train ID","value":"177-20"},{"id":16,"name":"Locomotive ID","value":"4046"},{"id":130,"name":"Impact","value":""},{"id":150,"name":"Time of Event (Mountain Time)","value":"13:52:45"},{"id":151,"name":"Denver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48"/>
      <c r="AK93" s="48"/>
      <c r="AL93" s="48"/>
      <c r="AM93" s="154" t="str">
        <f t="shared" si="58"/>
        <v>start /low /b %USERPROFILE%\Documents\GitHub\eaglep3\Utilities\DownloadLogsFromS3.py --loco 4046 --day 2017-02-20</v>
      </c>
      <c r="AN93" s="163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"%USERPROFILE%\AppData\Local\Temp\OnboardLogs"\RTDC4046\*4046*20170220* | grep -SE "(Enforcement Action)|(\[TIMEOUT)|(CHR.+\|PRM\|1\|D.+(SWITCH|SIGNAL).+UNKNOWN)" - &gt;&gt; 2017-02-20-UncaughtWiMAX.txt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3" t="s">
        <v>600</v>
      </c>
      <c r="B94" s="7">
        <v>4045</v>
      </c>
      <c r="C94" s="21" t="s">
        <v>408</v>
      </c>
      <c r="D94" s="21" t="s">
        <v>334</v>
      </c>
      <c r="E94" s="13">
        <v>42786.586238425924</v>
      </c>
      <c r="F94" s="13">
        <v>42786.591145833336</v>
      </c>
      <c r="G94" s="7">
        <v>1</v>
      </c>
      <c r="H94" s="21" t="s">
        <v>739</v>
      </c>
      <c r="I94" s="13">
        <v>42786.618761574071</v>
      </c>
      <c r="J94" s="7">
        <v>0</v>
      </c>
      <c r="K94" s="98" t="str">
        <f t="shared" si="37"/>
        <v>4045/4046</v>
      </c>
      <c r="L94" s="21" t="str">
        <f>VLOOKUP(A94,'Trips&amp;Operators'!$C$1:$G$99999,5,FALSE)</f>
        <v>CLARK KATHLEEN</v>
      </c>
      <c r="M94" s="6">
        <f t="shared" si="38"/>
        <v>2.7615740735200234E-2</v>
      </c>
      <c r="N94" s="7">
        <f t="shared" si="50"/>
        <v>39.766666658688337</v>
      </c>
      <c r="O94" s="7"/>
      <c r="P94" s="7"/>
      <c r="Q94" s="22"/>
      <c r="R94" s="22"/>
      <c r="S94" s="31">
        <f t="shared" si="49"/>
        <v>1</v>
      </c>
      <c r="T94" s="46" t="str">
        <f t="shared" si="41"/>
        <v>Southbound</v>
      </c>
      <c r="U94" s="186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7" t="str">
        <f t="shared" si="52"/>
        <v>https://d0f6bd738d7f1b3e5a7ca70fe4ff75f0.us-east-1.aws.found.io/app/kibana#/discover/Steve-Slow-Train-Analysis-(2080s-and-2083s)?_g=(refreshInterval:(display:Off,pause:!f,section:0,value:0),time:(from:'2017-02-20T13:04:11-0700',mode:absolute,to:'2017-02-20T15:51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94" s="188" t="str">
        <f t="shared" si="42"/>
        <v>N</v>
      </c>
      <c r="X94" s="188">
        <f t="shared" si="60"/>
        <v>1</v>
      </c>
      <c r="Y94" s="62">
        <f t="shared" si="43"/>
        <v>23.2989</v>
      </c>
      <c r="Z94" s="62">
        <f t="shared" si="44"/>
        <v>1.8499999999999999E-2</v>
      </c>
      <c r="AA94" s="62">
        <f t="shared" si="45"/>
        <v>23.2804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 t="shared" si="46"/>
        <v>0178-20</v>
      </c>
      <c r="AE94" s="85" t="str">
        <f t="shared" si="53"/>
        <v>aws s3 cp s3://rtdc.mdm.uploadarchive.raw/RTDC4045/ "%USERPROFILE%\AppData\Local\Temp\OnboardLogs"\RTDC4045\2017-02-20 --exclude "*" --recursive --include "*20170220*" &amp; "%USERPROFILE%\Documents\GitHub\mrs-test-scripts\Headless Mode &amp; Sideloading\WalkAndUnGZ.bat" "%USERPROFILE%\AppData\Local\Temp\OnboardLogs"\RTDC4045\2017-02-20 &amp; aws s3 cp s3://rtdc.mdm.uploadarchive.raw/RTDC4045/ "%USERPROFILE%\AppData\Local\Temp\OnboardLogs"\RTDC4045\2017-02-21 --exclude "*" --recursive --include "*20170221*" &amp; "%USERPROFILE%\Documents\GitHub\mrs-test-scripts\Headless Mode &amp; Sideloading\WalkAndUnGZ.bat" "%USERPROFILE%\AppData\Local\Temp\OnboardLogs"\RTDC4045\2017-02-21</v>
      </c>
      <c r="AF94" s="82" t="str">
        <f t="shared" si="54"/>
        <v>"C:\Program Files (x86)\AstroGrep\AstroGrep.exe" /spath="%USERPROFILE%\AppData\Local\Temp\OnboardLogs" /stypes="app*4045*20170220*" /stext=" 21:.+((SYSTEM_STATE.+slice.+state.+changed )|(ment ac)|(multiple cpu faults)|(system.+state.+changed )|(\[timeout)|(PRM\|1\|D)|(kpr)|(kdp)|(\|lc)|(penalty))" /e /r /s</v>
      </c>
      <c r="AG94" s="1" t="str">
        <f t="shared" si="47"/>
        <v>EC</v>
      </c>
      <c r="AH94" s="86" t="str">
        <f t="shared" si="56"/>
        <v>"%USERPROFILE%\Documents\GitHub\eaglep3\Utilities\RefineRTDCRunTimes.py" --tripid 178-20 --locoid 4045 --swversion DE.1.0.9.0 --startMP 204:232989 --initTime 2017-02-20T14:04:11 --startdatetime 2017-02-20T14:11:15 --delay 1 --endMP 204:185 --enddatetime 2017-02-20T14:51:01 --enforcementcount 0 &gt;&gt;C:\Users\stu\Documents\GitHub\eaglep3-reporting\EC\2017-02-20-refined-times.txt</v>
      </c>
      <c r="AI94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{"issue":{"subject":"","project_id":79,"tracker_id":40,"status_id":1,"priority_id":2,"assigned_to_id":23,"start_date":"2017-02-20","description":"","custom_fields":[{"id":1,"name":"Subdivision","value":"EC"},{"id":4,"name":"Milepost","value":"0.0185"},{"id":17,"name":"Train ID","value":"178-20"},{"id":16,"name":"Locomotive ID","value":"4045"},{"id":130,"name":"Impact","value":""},{"id":150,"name":"Time of Event (Mountain Time)","value":"14:51:01"},{"id":151,"name":"Denver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48"/>
      <c r="AK94" s="48"/>
      <c r="AL94" s="48"/>
      <c r="AM94" s="154" t="str">
        <f t="shared" si="58"/>
        <v>start /low /b %USERPROFILE%\Documents\GitHub\eaglep3\Utilities\DownloadLogsFromS3.py --loco 4045 --day 2017-02-20</v>
      </c>
      <c r="AN94" s="163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"%USERPROFILE%\AppData\Local\Temp\OnboardLogs"\RTDC4045\*4045*20170220* | grep -SE "(Enforcement Action)|(\[TIMEOUT)|(CHR.+\|PRM\|1\|D.+(SWITCH|SIGNAL).+UNKNOWN)" - &gt;&gt; 2017-02-20-UncaughtWiMAX.txt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476</v>
      </c>
      <c r="B95" s="7">
        <v>4007</v>
      </c>
      <c r="C95" s="21" t="s">
        <v>408</v>
      </c>
      <c r="D95" s="21" t="s">
        <v>230</v>
      </c>
      <c r="E95" s="13">
        <v>42786.556689814817</v>
      </c>
      <c r="F95" s="13">
        <v>42786.562650462962</v>
      </c>
      <c r="G95" s="7">
        <v>1</v>
      </c>
      <c r="H95" s="21" t="s">
        <v>740</v>
      </c>
      <c r="I95" s="13">
        <v>42786.586550925924</v>
      </c>
      <c r="J95" s="7">
        <v>0</v>
      </c>
      <c r="K95" s="98" t="str">
        <f t="shared" si="37"/>
        <v>4007/4008</v>
      </c>
      <c r="L95" s="21" t="str">
        <f>VLOOKUP(A95,'Trips&amp;Operators'!$C$1:$G$99999,5,FALSE)</f>
        <v>ROMERO CHAD</v>
      </c>
      <c r="M95" s="6">
        <f t="shared" si="38"/>
        <v>2.3900462962046731E-2</v>
      </c>
      <c r="N95" s="7">
        <f t="shared" si="50"/>
        <v>34.416666665347293</v>
      </c>
      <c r="O95" s="7"/>
      <c r="P95" s="7"/>
      <c r="Q95" s="22"/>
      <c r="R95" s="22"/>
      <c r="S95" s="31">
        <f t="shared" si="49"/>
        <v>1</v>
      </c>
      <c r="T95" s="46" t="str">
        <f t="shared" si="41"/>
        <v>NorthBound</v>
      </c>
      <c r="U95" s="186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7" t="str">
        <f t="shared" si="52"/>
        <v>https://d0f6bd738d7f1b3e5a7ca70fe4ff75f0.us-east-1.aws.found.io/app/kibana#/discover/Steve-Slow-Train-Analysis-(2080s-and-2083s)?_g=(refreshInterval:(display:Off,pause:!f,section:0,value:0),time:(from:'2017-02-20T12:21:38-0700',mode:absolute,to:'2017-02-20T15:04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5" s="188" t="str">
        <f t="shared" si="42"/>
        <v>N</v>
      </c>
      <c r="X95" s="188">
        <f t="shared" si="60"/>
        <v>1</v>
      </c>
      <c r="Y95" s="62">
        <f t="shared" si="43"/>
        <v>4.5999999999999999E-2</v>
      </c>
      <c r="Z95" s="62">
        <f t="shared" si="44"/>
        <v>23.327400000000001</v>
      </c>
      <c r="AA95" s="62">
        <f t="shared" si="45"/>
        <v>23.281400000000001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 t="shared" si="46"/>
        <v>0179-20</v>
      </c>
      <c r="AE95" s="85" t="str">
        <f t="shared" si="53"/>
        <v>aws s3 cp s3://rtdc.mdm.uploadarchive.raw/RTDC4007/ "%USERPROFILE%\AppData\Local\Temp\OnboardLogs"\RTDC4007\2017-02-20 --exclude "*" --recursive --include "*20170220*" &amp; "%USERPROFILE%\Documents\GitHub\mrs-test-scripts\Headless Mode &amp; Sideloading\WalkAndUnGZ.bat" "%USERPROFILE%\AppData\Local\Temp\OnboardLogs"\RTDC4007\2017-02-20 &amp; aws s3 cp s3://rtdc.mdm.uploadarchive.raw/RTDC4007/ "%USERPROFILE%\AppData\Local\Temp\OnboardLogs"\RTDC4007\2017-02-21 --exclude "*" --recursive --include "*20170221*" &amp; "%USERPROFILE%\Documents\GitHub\mrs-test-scripts\Headless Mode &amp; Sideloading\WalkAndUnGZ.bat" "%USERPROFILE%\AppData\Local\Temp\OnboardLogs"\RTDC4007\2017-02-21</v>
      </c>
      <c r="AF95" s="82" t="str">
        <f t="shared" si="54"/>
        <v>"C:\Program Files (x86)\AstroGrep\AstroGrep.exe" /spath="%USERPROFILE%\AppData\Local\Temp\OnboardLogs" /stypes="app*4007*20170220*" /stext=" 21:.+((SYSTEM_STATE.+slice.+state.+changed )|(ment ac)|(multiple cpu faults)|(system.+state.+changed )|(\[timeout)|(PRM\|1\|D)|(kpr)|(kdp)|(\|lc)|(penalty))" /e /r /s</v>
      </c>
      <c r="AG95" s="1" t="str">
        <f t="shared" si="47"/>
        <v>EC</v>
      </c>
      <c r="AH95" s="86" t="str">
        <f t="shared" si="56"/>
        <v>"%USERPROFILE%\Documents\GitHub\eaglep3\Utilities\RefineRTDCRunTimes.py" --tripid 179-20 --locoid 4007 --swversion DE.1.0.9.0 --startMP 204:460 --initTime 2017-02-20T13:21:38 --startdatetime 2017-02-20T13:30:13 --delay 1 --endMP 204:233274 --enddatetime 2017-02-20T14:04:38 --enforcementcount 0 &gt;&gt;C:\Users\stu\Documents\GitHub\eaglep3-reporting\EC\2017-02-20-refined-times.txt</v>
      </c>
      <c r="AI95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{"issue":{"subject":"","project_id":79,"tracker_id":40,"status_id":1,"priority_id":2,"assigned_to_id":23,"start_date":"2017-02-20","description":"","custom_fields":[{"id":1,"name":"Subdivision","value":"EC"},{"id":4,"name":"Milepost","value":"23.3274"},{"id":17,"name":"Train ID","value":"179-20"},{"id":16,"name":"Locomotive ID","value":"4007"},{"id":130,"name":"Impact","value":""},{"id":150,"name":"Time of Event (Mountain Time)","value":"14:04:38"},{"id":151,"name":"Denver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48"/>
      <c r="AK95" s="48"/>
      <c r="AL95" s="48"/>
      <c r="AM95" s="154" t="str">
        <f t="shared" si="58"/>
        <v>start /low /b %USERPROFILE%\Documents\GitHub\eaglep3\Utilities\DownloadLogsFromS3.py --loco 4007 --day 2017-02-20</v>
      </c>
      <c r="AN95" s="163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"%USERPROFILE%\AppData\Local\Temp\OnboardLogs"\RTDC4007\*4007*20170220* | grep -SE "(Enforcement Action)|(\[TIMEOUT)|(CHR.+\|PRM\|1\|D.+(SWITCH|SIGNAL).+UNKNOWN)" - &gt;&gt; 2017-02-20-UncaughtWiMAX.txt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601</v>
      </c>
      <c r="B96" s="7">
        <v>4008</v>
      </c>
      <c r="C96" s="21" t="s">
        <v>408</v>
      </c>
      <c r="D96" s="21" t="s">
        <v>336</v>
      </c>
      <c r="E96" s="13">
        <v>42786.593356481484</v>
      </c>
      <c r="F96" s="13">
        <v>42786.601747685185</v>
      </c>
      <c r="G96" s="7">
        <v>2</v>
      </c>
      <c r="H96" s="21" t="s">
        <v>206</v>
      </c>
      <c r="I96" s="13">
        <v>42786.627974537034</v>
      </c>
      <c r="J96" s="7">
        <v>0</v>
      </c>
      <c r="K96" s="98" t="str">
        <f t="shared" si="37"/>
        <v>4007/4008</v>
      </c>
      <c r="L96" s="21" t="str">
        <f>VLOOKUP(A96,'Trips&amp;Operators'!$C$1:$G$99999,5,FALSE)</f>
        <v>ROMERO CHAD</v>
      </c>
      <c r="M96" s="6">
        <f t="shared" si="38"/>
        <v>2.622685184906004E-2</v>
      </c>
      <c r="N96" s="7">
        <f t="shared" si="50"/>
        <v>37.766666662646458</v>
      </c>
      <c r="O96" s="7"/>
      <c r="P96" s="7"/>
      <c r="Q96" s="22"/>
      <c r="R96" s="22"/>
      <c r="S96" s="31">
        <f t="shared" si="49"/>
        <v>1</v>
      </c>
      <c r="T96" s="46" t="str">
        <f t="shared" si="41"/>
        <v>Southbound</v>
      </c>
      <c r="U96" s="186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7" t="str">
        <f t="shared" si="52"/>
        <v>https://d0f6bd738d7f1b3e5a7ca70fe4ff75f0.us-east-1.aws.found.io/app/kibana#/discover/Steve-Slow-Train-Analysis-(2080s-and-2083s)?_g=(refreshInterval:(display:Off,pause:!f,section:0,value:0),time:(from:'2017-02-20T13:14:26-0700',mode:absolute,to:'2017-02-20T16:04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96" s="188" t="str">
        <f t="shared" si="42"/>
        <v>N</v>
      </c>
      <c r="X96" s="188">
        <f t="shared" si="60"/>
        <v>1</v>
      </c>
      <c r="Y96" s="62">
        <f t="shared" si="43"/>
        <v>23.296700000000001</v>
      </c>
      <c r="Z96" s="62">
        <f t="shared" si="44"/>
        <v>1.52E-2</v>
      </c>
      <c r="AA96" s="62">
        <f t="shared" si="45"/>
        <v>23.281500000000001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 t="shared" si="46"/>
        <v>0180-20</v>
      </c>
      <c r="AE96" s="85" t="str">
        <f t="shared" si="53"/>
        <v>aws s3 cp s3://rtdc.mdm.uploadarchive.raw/RTDC4008/ "%USERPROFILE%\AppData\Local\Temp\OnboardLogs"\RTDC4008\2017-02-20 --exclude "*" --recursive --include "*20170220*" &amp; "%USERPROFILE%\Documents\GitHub\mrs-test-scripts\Headless Mode &amp; Sideloading\WalkAndUnGZ.bat" "%USERPROFILE%\AppData\Local\Temp\OnboardLogs"\RTDC4008\2017-02-20 &amp; aws s3 cp s3://rtdc.mdm.uploadarchive.raw/RTDC4008/ "%USERPROFILE%\AppData\Local\Temp\OnboardLogs"\RTDC4008\2017-02-21 --exclude "*" --recursive --include "*20170221*" &amp; "%USERPROFILE%\Documents\GitHub\mrs-test-scripts\Headless Mode &amp; Sideloading\WalkAndUnGZ.bat" "%USERPROFILE%\AppData\Local\Temp\OnboardLogs"\RTDC4008\2017-02-21</v>
      </c>
      <c r="AF96" s="82" t="str">
        <f t="shared" si="54"/>
        <v>"C:\Program Files (x86)\AstroGrep\AstroGrep.exe" /spath="%USERPROFILE%\AppData\Local\Temp\OnboardLogs" /stypes="app*4008*20170220*" /stext=" 22:.+((SYSTEM_STATE.+slice.+state.+changed )|(ment ac)|(multiple cpu faults)|(system.+state.+changed )|(\[timeout)|(PRM\|1\|D)|(kpr)|(kdp)|(\|lc)|(penalty))" /e /r /s</v>
      </c>
      <c r="AG96" s="1" t="str">
        <f t="shared" si="47"/>
        <v>EC</v>
      </c>
      <c r="AH96" s="86" t="str">
        <f t="shared" si="56"/>
        <v>"%USERPROFILE%\Documents\GitHub\eaglep3\Utilities\RefineRTDCRunTimes.py" --tripid 180-20 --locoid 4008 --swversion DE.1.0.9.0 --startMP 204:232967 --initTime 2017-02-20T14:14:26 --startdatetime 2017-02-20T14:26:31 --delay 2 --endMP 204:152 --enddatetime 2017-02-20T15:04:17 --enforcementcount 0 &gt;&gt;C:\Users\stu\Documents\GitHub\eaglep3-reporting\EC\2017-02-20-refined-times.txt</v>
      </c>
      <c r="AI96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{"issue":{"subject":"","project_id":79,"tracker_id":40,"status_id":1,"priority_id":2,"assigned_to_id":23,"start_date":"2017-02-20","description":"","custom_fields":[{"id":1,"name":"Subdivision","value":"EC"},{"id":4,"name":"Milepost","value":"0.0152"},{"id":17,"name":"Train ID","value":"180-20"},{"id":16,"name":"Locomotive ID","value":"4008"},{"id":130,"name":"Impact","value":""},{"id":150,"name":"Time of Event (Mountain Time)","value":"15:04:17"},{"id":151,"name":"Denver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48"/>
      <c r="AK96" s="48"/>
      <c r="AL96" s="48"/>
      <c r="AM96" s="154" t="str">
        <f t="shared" si="58"/>
        <v>start /low /b %USERPROFILE%\Documents\GitHub\eaglep3\Utilities\DownloadLogsFromS3.py --loco 4008 --day 2017-02-20</v>
      </c>
      <c r="AN96" s="163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"%USERPROFILE%\AppData\Local\Temp\OnboardLogs"\RTDC4008\*4008*20170220* | grep -SE "(Enforcement Action)|(\[TIMEOUT)|(CHR.+\|PRM\|1\|D.+(SWITCH|SIGNAL).+UNKNOWN)" - &gt;&gt; 2017-02-20-UncaughtWiMAX.txt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3" t="s">
        <v>596</v>
      </c>
      <c r="B97" s="7">
        <v>4044</v>
      </c>
      <c r="C97" s="21" t="s">
        <v>408</v>
      </c>
      <c r="D97" s="21" t="s">
        <v>365</v>
      </c>
      <c r="E97" s="13">
        <v>42786.56790509259</v>
      </c>
      <c r="F97" s="13">
        <v>42786.573298611111</v>
      </c>
      <c r="G97" s="7">
        <v>1</v>
      </c>
      <c r="H97" s="21" t="s">
        <v>724</v>
      </c>
      <c r="I97" s="13">
        <v>42786.598043981481</v>
      </c>
      <c r="J97" s="7">
        <v>0</v>
      </c>
      <c r="K97" s="98" t="str">
        <f t="shared" si="37"/>
        <v>4043/4044</v>
      </c>
      <c r="L97" s="21" t="str">
        <f>VLOOKUP(A97,'Trips&amp;Operators'!$C$1:$G$99999,5,FALSE)</f>
        <v>CRAYTON QUNTRELL</v>
      </c>
      <c r="M97" s="6">
        <f t="shared" si="38"/>
        <v>2.47453703705105E-2</v>
      </c>
      <c r="N97" s="7">
        <f t="shared" si="50"/>
        <v>35.63333333353512</v>
      </c>
      <c r="O97" s="7"/>
      <c r="P97" s="7"/>
      <c r="Q97" s="22"/>
      <c r="R97" s="22"/>
      <c r="S97" s="31">
        <f t="shared" si="49"/>
        <v>1</v>
      </c>
      <c r="T97" s="46" t="str">
        <f t="shared" si="41"/>
        <v>NorthBound</v>
      </c>
      <c r="U97" s="186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7" t="str">
        <f t="shared" si="52"/>
        <v>https://d0f6bd738d7f1b3e5a7ca70fe4ff75f0.us-east-1.aws.found.io/app/kibana#/discover/Steve-Slow-Train-Analysis-(2080s-and-2083s)?_g=(refreshInterval:(display:Off,pause:!f,section:0,value:0),time:(from:'2017-02-20T12:37:47-0700',mode:absolute,to:'2017-02-20T15:21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7" s="188" t="str">
        <f t="shared" si="42"/>
        <v>N</v>
      </c>
      <c r="X97" s="188">
        <f t="shared" si="60"/>
        <v>1</v>
      </c>
      <c r="Y97" s="62">
        <f t="shared" si="43"/>
        <v>4.6600000000000003E-2</v>
      </c>
      <c r="Z97" s="62">
        <f t="shared" si="44"/>
        <v>23.329699999999999</v>
      </c>
      <c r="AA97" s="62">
        <f t="shared" si="45"/>
        <v>23.283099999999997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 t="shared" si="46"/>
        <v>0181-20</v>
      </c>
      <c r="AE97" s="85" t="str">
        <f t="shared" si="53"/>
        <v>aws s3 cp s3://rtdc.mdm.uploadarchive.raw/RTDC4044/ "%USERPROFILE%\AppData\Local\Temp\OnboardLogs"\RTDC4044\2017-02-20 --exclude "*" --recursive --include "*20170220*" &amp; "%USERPROFILE%\Documents\GitHub\mrs-test-scripts\Headless Mode &amp; Sideloading\WalkAndUnGZ.bat" "%USERPROFILE%\AppData\Local\Temp\OnboardLogs"\RTDC4044\2017-02-20 &amp; aws s3 cp s3://rtdc.mdm.uploadarchive.raw/RTDC4044/ "%USERPROFILE%\AppData\Local\Temp\OnboardLogs"\RTDC4044\2017-02-21 --exclude "*" --recursive --include "*20170221*" &amp; "%USERPROFILE%\Documents\GitHub\mrs-test-scripts\Headless Mode &amp; Sideloading\WalkAndUnGZ.bat" "%USERPROFILE%\AppData\Local\Temp\OnboardLogs"\RTDC4044\2017-02-21</v>
      </c>
      <c r="AF97" s="82" t="str">
        <f t="shared" si="54"/>
        <v>"C:\Program Files (x86)\AstroGrep\AstroGrep.exe" /spath="%USERPROFILE%\AppData\Local\Temp\OnboardLogs" /stypes="app*4044*20170220*" /stext=" 21:.+((SYSTEM_STATE.+slice.+state.+changed )|(ment ac)|(multiple cpu faults)|(system.+state.+changed )|(\[timeout)|(PRM\|1\|D)|(kpr)|(kdp)|(\|lc)|(penalty))" /e /r /s</v>
      </c>
      <c r="AG97" s="1" t="str">
        <f t="shared" si="47"/>
        <v>EC</v>
      </c>
      <c r="AH97" s="86" t="str">
        <f t="shared" si="56"/>
        <v>"%USERPROFILE%\Documents\GitHub\eaglep3\Utilities\RefineRTDCRunTimes.py" --tripid 181-20 --locoid 4044 --swversion DE.1.0.9.0 --startMP 204:466 --initTime 2017-02-20T13:37:47 --startdatetime 2017-02-20T13:45:33 --delay 1 --endMP 204:233297 --enddatetime 2017-02-20T14:21:11 --enforcementcount 0 &gt;&gt;C:\Users\stu\Documents\GitHub\eaglep3-reporting\EC\2017-02-20-refined-times.txt</v>
      </c>
      <c r="AI97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{"issue":{"subject":"","project_id":79,"tracker_id":40,"status_id":1,"priority_id":2,"assigned_to_id":23,"start_date":"2017-02-20","description":"","custom_fields":[{"id":1,"name":"Subdivision","value":"EC"},{"id":4,"name":"Milepost","value":"23.3297"},{"id":17,"name":"Train ID","value":"181-20"},{"id":16,"name":"Locomotive ID","value":"4044"},{"id":130,"name":"Impact","value":""},{"id":150,"name":"Time of Event (Mountain Time)","value":"14:21:11"},{"id":151,"name":"Denver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48"/>
      <c r="AK97" s="48"/>
      <c r="AL97" s="48"/>
      <c r="AM97" s="154" t="str">
        <f t="shared" si="58"/>
        <v>start /low /b %USERPROFILE%\Documents\GitHub\eaglep3\Utilities\DownloadLogsFromS3.py --loco 4044 --day 2017-02-20</v>
      </c>
      <c r="AN97" s="163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"%USERPROFILE%\AppData\Local\Temp\OnboardLogs"\RTDC4044\*4044*20170220* | grep -SE "(Enforcement Action)|(\[TIMEOUT)|(CHR.+\|PRM\|1\|D.+(SWITCH|SIGNAL).+UNKNOWN)" - &gt;&gt; 2017-02-20-UncaughtWiMAX.txt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3" t="s">
        <v>604</v>
      </c>
      <c r="B98" s="7">
        <v>4043</v>
      </c>
      <c r="C98" s="21" t="s">
        <v>408</v>
      </c>
      <c r="D98" s="21" t="s">
        <v>443</v>
      </c>
      <c r="E98" s="13">
        <v>42786.606053240743</v>
      </c>
      <c r="F98" s="13">
        <v>42786.612025462964</v>
      </c>
      <c r="G98" s="7">
        <v>2</v>
      </c>
      <c r="H98" s="21" t="s">
        <v>196</v>
      </c>
      <c r="I98" s="13">
        <v>42786.638541666667</v>
      </c>
      <c r="J98" s="7">
        <v>0</v>
      </c>
      <c r="K98" s="98" t="str">
        <f t="shared" si="37"/>
        <v>4043/4044</v>
      </c>
      <c r="L98" s="21" t="str">
        <f>VLOOKUP(A98,'Trips&amp;Operators'!$C$1:$G$99999,5,FALSE)</f>
        <v>CRAYTON QUNTRELL</v>
      </c>
      <c r="M98" s="6">
        <f t="shared" si="38"/>
        <v>2.6516203703067731E-2</v>
      </c>
      <c r="N98" s="7">
        <f t="shared" si="50"/>
        <v>38.183333332417533</v>
      </c>
      <c r="O98" s="7"/>
      <c r="P98" s="7"/>
      <c r="Q98" s="22"/>
      <c r="R98" s="22"/>
      <c r="S98" s="31">
        <f t="shared" si="49"/>
        <v>1</v>
      </c>
      <c r="T98" s="46" t="str">
        <f t="shared" si="41"/>
        <v>Southbound</v>
      </c>
      <c r="U98" s="186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7" t="str">
        <f t="shared" si="52"/>
        <v>https://d0f6bd738d7f1b3e5a7ca70fe4ff75f0.us-east-1.aws.found.io/app/kibana#/discover/Steve-Slow-Train-Analysis-(2080s-and-2083s)?_g=(refreshInterval:(display:Off,pause:!f,section:0,value:0),time:(from:'2017-02-20T13:32:43-0700',mode:absolute,to:'2017-02-20T16:19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8" s="188" t="str">
        <f t="shared" si="42"/>
        <v>N</v>
      </c>
      <c r="X98" s="188">
        <f t="shared" si="60"/>
        <v>1</v>
      </c>
      <c r="Y98" s="62">
        <f t="shared" si="43"/>
        <v>23.2974</v>
      </c>
      <c r="Z98" s="62">
        <f t="shared" si="44"/>
        <v>1.4500000000000001E-2</v>
      </c>
      <c r="AA98" s="62">
        <f t="shared" si="45"/>
        <v>23.282899999999998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 t="shared" si="46"/>
        <v>0182-20</v>
      </c>
      <c r="AE98" s="85" t="str">
        <f t="shared" si="53"/>
        <v>aws s3 cp s3://rtdc.mdm.uploadarchive.raw/RTDC4043/ "%USERPROFILE%\AppData\Local\Temp\OnboardLogs"\RTDC4043\2017-02-20 --exclude "*" --recursive --include "*20170220*" &amp; "%USERPROFILE%\Documents\GitHub\mrs-test-scripts\Headless Mode &amp; Sideloading\WalkAndUnGZ.bat" "%USERPROFILE%\AppData\Local\Temp\OnboardLogs"\RTDC4043\2017-02-20 &amp; aws s3 cp s3://rtdc.mdm.uploadarchive.raw/RTDC4043/ "%USERPROFILE%\AppData\Local\Temp\OnboardLogs"\RTDC4043\2017-02-21 --exclude "*" --recursive --include "*20170221*" &amp; "%USERPROFILE%\Documents\GitHub\mrs-test-scripts\Headless Mode &amp; Sideloading\WalkAndUnGZ.bat" "%USERPROFILE%\AppData\Local\Temp\OnboardLogs"\RTDC4043\2017-02-21</v>
      </c>
      <c r="AF98" s="82" t="str">
        <f t="shared" si="54"/>
        <v>"C:\Program Files (x86)\AstroGrep\AstroGrep.exe" /spath="%USERPROFILE%\AppData\Local\Temp\OnboardLogs" /stypes="app*4043*20170220*" /stext=" 22:.+((SYSTEM_STATE.+slice.+state.+changed )|(ment ac)|(multiple cpu faults)|(system.+state.+changed )|(\[timeout)|(PRM\|1\|D)|(kpr)|(kdp)|(\|lc)|(penalty))" /e /r /s</v>
      </c>
      <c r="AG98" s="1" t="str">
        <f t="shared" si="47"/>
        <v>EC</v>
      </c>
      <c r="AH98" s="86" t="str">
        <f t="shared" si="56"/>
        <v>"%USERPROFILE%\Documents\GitHub\eaglep3\Utilities\RefineRTDCRunTimes.py" --tripid 182-20 --locoid 4043 --swversion DE.1.0.9.0 --startMP 204:232974 --initTime 2017-02-20T14:32:43 --startdatetime 2017-02-20T14:41:19 --delay 2 --endMP 204:145 --enddatetime 2017-02-20T15:19:30 --enforcementcount 0 &gt;&gt;C:\Users\stu\Documents\GitHub\eaglep3-reporting\EC\2017-02-20-refined-times.txt</v>
      </c>
      <c r="AI98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{"issue":{"subject":"","project_id":79,"tracker_id":40,"status_id":1,"priority_id":2,"assigned_to_id":23,"start_date":"2017-02-20","description":"","custom_fields":[{"id":1,"name":"Subdivision","value":"EC"},{"id":4,"name":"Milepost","value":"0.0145"},{"id":17,"name":"Train ID","value":"182-20"},{"id":16,"name":"Locomotive ID","value":"4043"},{"id":130,"name":"Impact","value":""},{"id":150,"name":"Time of Event (Mountain Time)","value":"15:19:30"},{"id":151,"name":"Denver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48"/>
      <c r="AK98" s="48"/>
      <c r="AL98" s="48"/>
      <c r="AM98" s="154" t="str">
        <f t="shared" si="58"/>
        <v>start /low /b %USERPROFILE%\Documents\GitHub\eaglep3\Utilities\DownloadLogsFromS3.py --loco 4043 --day 2017-02-20</v>
      </c>
      <c r="AN98" s="163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"%USERPROFILE%\AppData\Local\Temp\OnboardLogs"\RTDC4043\*4043*20170220* | grep -SE "(Enforcement Action)|(\[TIMEOUT)|(CHR.+\|PRM\|1\|D.+(SWITCH|SIGNAL).+UNKNOWN)" - &gt;&gt; 2017-02-20-UncaughtWiMAX.txt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598</v>
      </c>
      <c r="B99" s="7">
        <v>4003</v>
      </c>
      <c r="C99" s="21" t="s">
        <v>408</v>
      </c>
      <c r="D99" s="21" t="s">
        <v>204</v>
      </c>
      <c r="E99" s="13">
        <v>42786.578587962962</v>
      </c>
      <c r="F99" s="13">
        <v>42786.583773148152</v>
      </c>
      <c r="G99" s="7">
        <v>1</v>
      </c>
      <c r="H99" s="21" t="s">
        <v>303</v>
      </c>
      <c r="I99" s="13">
        <v>42786.609548611108</v>
      </c>
      <c r="J99" s="7">
        <v>0</v>
      </c>
      <c r="K99" s="98" t="str">
        <f t="shared" ref="K99:K162" si="61">IF(ISEVEN(B99),(B99-1)&amp;"/"&amp;B99,B99&amp;"/"&amp;(B99+1))</f>
        <v>4003/4004</v>
      </c>
      <c r="L99" s="21" t="str">
        <f>VLOOKUP(A99,'Trips&amp;Operators'!$C$1:$G$99999,5,FALSE)</f>
        <v>LEVERE CRAIG</v>
      </c>
      <c r="M99" s="6">
        <f t="shared" ref="M99:M162" si="62">I99-F99</f>
        <v>2.5775462956517003E-2</v>
      </c>
      <c r="N99" s="7">
        <f t="shared" si="50"/>
        <v>37.116666657384485</v>
      </c>
      <c r="O99" s="7"/>
      <c r="P99" s="7"/>
      <c r="Q99" s="22"/>
      <c r="R99" s="22"/>
      <c r="S99" s="31">
        <f t="shared" ref="S99:S130" si="63">SUM(U99:U99)/IF(AG99="EC",12,1)</f>
        <v>1</v>
      </c>
      <c r="T99" s="46" t="str">
        <f t="shared" ref="T99:T162" si="64">IF(ISEVEN(LEFT(AD99,4)),"Southbound","NorthBound")</f>
        <v>NorthBound</v>
      </c>
      <c r="U99" s="186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7" t="str">
        <f t="shared" si="52"/>
        <v>https://d0f6bd738d7f1b3e5a7ca70fe4ff75f0.us-east-1.aws.found.io/app/kibana#/discover/Steve-Slow-Train-Analysis-(2080s-and-2083s)?_g=(refreshInterval:(display:Off,pause:!f,section:0,value:0),time:(from:'2017-02-20T12:53:10-0700',mode:absolute,to:'2017-02-20T15:37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9" s="188" t="str">
        <f t="shared" ref="W99:W162" si="65">IF(AA99&lt;IF(AG99="EC",23,5.65),"Y","N")</f>
        <v>N</v>
      </c>
      <c r="X99" s="188">
        <f t="shared" si="60"/>
        <v>1</v>
      </c>
      <c r="Y99" s="62">
        <f t="shared" ref="Y99:Y162" si="66">RIGHT(D99,LEN(D99)-4)/10000</f>
        <v>4.6199999999999998E-2</v>
      </c>
      <c r="Z99" s="62">
        <f t="shared" ref="Z99:Z162" si="67">RIGHT(H99,LEN(H99)-4)/10000</f>
        <v>23.3278</v>
      </c>
      <c r="AA99" s="62">
        <f t="shared" ref="AA99:AA162" si="68">ABS(Z99-Y99)</f>
        <v>23.281600000000001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 t="shared" ref="AD99:AD162" si="69">IF(LEN(A99)=6,"0"&amp;A99,A99)</f>
        <v>0183-20</v>
      </c>
      <c r="AE99" s="85" t="str">
        <f t="shared" si="53"/>
        <v>aws s3 cp s3://rtdc.mdm.uploadarchive.raw/RTDC4003/ "%USERPROFILE%\AppData\Local\Temp\OnboardLogs"\RTDC4003\2017-02-20 --exclude "*" --recursive --include "*20170220*" &amp; "%USERPROFILE%\Documents\GitHub\mrs-test-scripts\Headless Mode &amp; Sideloading\WalkAndUnGZ.bat" "%USERPROFILE%\AppData\Local\Temp\OnboardLogs"\RTDC4003\2017-02-20 &amp; aws s3 cp s3://rtdc.mdm.uploadarchive.raw/RTDC4003/ "%USERPROFILE%\AppData\Local\Temp\OnboardLogs"\RTDC4003\2017-02-21 --exclude "*" --recursive --include "*20170221*" &amp; "%USERPROFILE%\Documents\GitHub\mrs-test-scripts\Headless Mode &amp; Sideloading\WalkAndUnGZ.bat" "%USERPROFILE%\AppData\Local\Temp\OnboardLogs"\RTDC4003\2017-02-21</v>
      </c>
      <c r="AF99" s="82" t="str">
        <f t="shared" si="54"/>
        <v>"C:\Program Files (x86)\AstroGrep\AstroGrep.exe" /spath="%USERPROFILE%\AppData\Local\Temp\OnboardLogs" /stypes="app*4003*20170220*" /stext=" 21:.+((SYSTEM_STATE.+slice.+state.+changed )|(ment ac)|(multiple cpu faults)|(system.+state.+changed )|(\[timeout)|(PRM\|1\|D)|(kpr)|(kdp)|(\|lc)|(penalty))" /e /r /s</v>
      </c>
      <c r="AG99" s="1" t="str">
        <f t="shared" ref="AG99:AG162" si="70">IFERROR(IF(VALUE(LEFT(AD99,2))&lt;=2,"EC",IF(OR(VALUE(LEFT(AD99,2))=8,VALUE(LEFT(AD99,2))=18),"NW","Other")),"Other")</f>
        <v>EC</v>
      </c>
      <c r="AH99" s="86" t="str">
        <f t="shared" si="56"/>
        <v>"%USERPROFILE%\Documents\GitHub\eaglep3\Utilities\RefineRTDCRunTimes.py" --tripid 183-20 --locoid 4003 --swversion DE.1.0.9.0 --startMP 204:462 --initTime 2017-02-20T13:53:10 --startdatetime 2017-02-20T14:00:38 --delay 1 --endMP 204:233278 --enddatetime 2017-02-20T14:37:45 --enforcementcount 0 &gt;&gt;C:\Users\stu\Documents\GitHub\eaglep3-reporting\EC\2017-02-20-refined-times.txt</v>
      </c>
      <c r="AI99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{"issue":{"subject":"","project_id":79,"tracker_id":40,"status_id":1,"priority_id":2,"assigned_to_id":23,"start_date":"2017-02-20","description":"","custom_fields":[{"id":1,"name":"Subdivision","value":"EC"},{"id":4,"name":"Milepost","value":"23.3278"},{"id":17,"name":"Train ID","value":"183-20"},{"id":16,"name":"Locomotive ID","value":"4003"},{"id":130,"name":"Impact","value":""},{"id":150,"name":"Time of Event (Mountain Time)","value":"14:37:45"},{"id":151,"name":"Denver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48"/>
      <c r="AK99" s="48"/>
      <c r="AL99" s="48"/>
      <c r="AM99" s="154" t="str">
        <f t="shared" si="58"/>
        <v>start /low /b %USERPROFILE%\Documents\GitHub\eaglep3\Utilities\DownloadLogsFromS3.py --loco 4003 --day 2017-02-20</v>
      </c>
      <c r="AN99" s="163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"%USERPROFILE%\AppData\Local\Temp\OnboardLogs"\RTDC4003\*4003*20170220* | grep -SE "(Enforcement Action)|(\[TIMEOUT)|(CHR.+\|PRM\|1\|D.+(SWITCH|SIGNAL).+UNKNOWN)" - &gt;&gt; 2017-02-20-UncaughtWiMAX.txt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x14ac:dyDescent="0.25">
      <c r="A100" s="33" t="s">
        <v>480</v>
      </c>
      <c r="B100" s="7">
        <v>4004</v>
      </c>
      <c r="C100" s="21" t="s">
        <v>408</v>
      </c>
      <c r="D100" s="21" t="s">
        <v>741</v>
      </c>
      <c r="E100" s="13">
        <v>42786.616631944446</v>
      </c>
      <c r="F100" s="13">
        <v>42786.62259259259</v>
      </c>
      <c r="G100" s="7">
        <v>1</v>
      </c>
      <c r="H100" s="21" t="s">
        <v>194</v>
      </c>
      <c r="I100" s="13">
        <v>42786.649618055555</v>
      </c>
      <c r="J100" s="7">
        <v>0</v>
      </c>
      <c r="K100" s="98" t="str">
        <f t="shared" si="61"/>
        <v>4003/4004</v>
      </c>
      <c r="L100" s="21" t="str">
        <f>VLOOKUP(A100,'Trips&amp;Operators'!$C$1:$G$99999,5,FALSE)</f>
        <v>LEVERE CRAIG</v>
      </c>
      <c r="M100" s="6">
        <f t="shared" si="62"/>
        <v>2.7025462964957114E-2</v>
      </c>
      <c r="N100" s="7">
        <f t="shared" si="50"/>
        <v>38.916666669538245</v>
      </c>
      <c r="O100" s="7"/>
      <c r="P100" s="7"/>
      <c r="Q100" s="22"/>
      <c r="R100" s="22"/>
      <c r="S100" s="31">
        <f t="shared" si="63"/>
        <v>1</v>
      </c>
      <c r="T100" s="46" t="str">
        <f t="shared" si="64"/>
        <v>Southbound</v>
      </c>
      <c r="U100" s="186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7" t="str">
        <f t="shared" si="52"/>
        <v>https://d0f6bd738d7f1b3e5a7ca70fe4ff75f0.us-east-1.aws.found.io/app/kibana#/discover/Steve-Slow-Train-Analysis-(2080s-and-2083s)?_g=(refreshInterval:(display:Off,pause:!f,section:0,value:0),time:(from:'2017-02-20T13:47:57-0700',mode:absolute,to:'2017-02-20T16:35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0" s="188" t="str">
        <f t="shared" si="65"/>
        <v>N</v>
      </c>
      <c r="X100" s="188">
        <f t="shared" si="60"/>
        <v>1</v>
      </c>
      <c r="Y100" s="62">
        <f t="shared" si="66"/>
        <v>23.295300000000001</v>
      </c>
      <c r="Z100" s="62">
        <f t="shared" si="67"/>
        <v>1.4999999999999999E-2</v>
      </c>
      <c r="AA100" s="62">
        <f t="shared" si="68"/>
        <v>23.2803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 t="shared" si="69"/>
        <v>0184-20</v>
      </c>
      <c r="AE100" s="85" t="str">
        <f t="shared" si="53"/>
        <v>aws s3 cp s3://rtdc.mdm.uploadarchive.raw/RTDC4004/ "%USERPROFILE%\AppData\Local\Temp\OnboardLogs"\RTDC4004\2017-02-20 --exclude "*" --recursive --include "*20170220*" &amp; "%USERPROFILE%\Documents\GitHub\mrs-test-scripts\Headless Mode &amp; Sideloading\WalkAndUnGZ.bat" "%USERPROFILE%\AppData\Local\Temp\OnboardLogs"\RTDC4004\2017-02-20 &amp; aws s3 cp s3://rtdc.mdm.uploadarchive.raw/RTDC4004/ "%USERPROFILE%\AppData\Local\Temp\OnboardLogs"\RTDC4004\2017-02-21 --exclude "*" --recursive --include "*20170221*" &amp; "%USERPROFILE%\Documents\GitHub\mrs-test-scripts\Headless Mode &amp; Sideloading\WalkAndUnGZ.bat" "%USERPROFILE%\AppData\Local\Temp\OnboardLogs"\RTDC4004\2017-02-21</v>
      </c>
      <c r="AF100" s="82" t="str">
        <f t="shared" si="54"/>
        <v>"C:\Program Files (x86)\AstroGrep\AstroGrep.exe" /spath="%USERPROFILE%\AppData\Local\Temp\OnboardLogs" /stypes="app*4004*20170220*" /stext=" 22:.+((SYSTEM_STATE.+slice.+state.+changed )|(ment ac)|(multiple cpu faults)|(system.+state.+changed )|(\[timeout)|(PRM\|1\|D)|(kpr)|(kdp)|(\|lc)|(penalty))" /e /r /s</v>
      </c>
      <c r="AG100" s="1" t="str">
        <f t="shared" si="70"/>
        <v>EC</v>
      </c>
      <c r="AH100" s="86" t="str">
        <f t="shared" si="56"/>
        <v>"%USERPROFILE%\Documents\GitHub\eaglep3\Utilities\RefineRTDCRunTimes.py" --tripid 184-20 --locoid 4004 --swversion DE.1.0.9.0 --startMP 204:232953 --initTime 2017-02-20T14:47:57 --startdatetime 2017-02-20T14:56:32 --delay 1 --endMP 204:150 --enddatetime 2017-02-20T15:35:27 --enforcementcount 0 &gt;&gt;C:\Users\stu\Documents\GitHub\eaglep3-reporting\EC\2017-02-20-refined-times.txt</v>
      </c>
      <c r="AI100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{"issue":{"subject":"","project_id":79,"tracker_id":40,"status_id":1,"priority_id":2,"assigned_to_id":23,"start_date":"2017-02-20","description":"","custom_fields":[{"id":1,"name":"Subdivision","value":"EC"},{"id":4,"name":"Milepost","value":"0.015"},{"id":17,"name":"Train ID","value":"184-20"},{"id":16,"name":"Locomotive ID","value":"4004"},{"id":130,"name":"Impact","value":""},{"id":150,"name":"Time of Event (Mountain Time)","value":"15:35:27"},{"id":151,"name":"Denver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48"/>
      <c r="AK100" s="48"/>
      <c r="AL100" s="48"/>
      <c r="AM100" s="154" t="str">
        <f t="shared" si="58"/>
        <v>start /low /b %USERPROFILE%\Documents\GitHub\eaglep3\Utilities\DownloadLogsFromS3.py --loco 4004 --day 2017-02-20</v>
      </c>
      <c r="AN100" s="163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"%USERPROFILE%\AppData\Local\Temp\OnboardLogs"\RTDC4004\*4004*20170220* | grep -SE "(Enforcement Action)|(\[TIMEOUT)|(CHR.+\|PRM\|1\|D.+(SWITCH|SIGNAL).+UNKNOWN)" - &gt;&gt; 2017-02-20-UncaughtWiMAX.txt</v>
      </c>
    </row>
    <row r="101" spans="1:91" s="20" customFormat="1" x14ac:dyDescent="0.25">
      <c r="A101" s="33" t="s">
        <v>477</v>
      </c>
      <c r="B101" s="7">
        <v>4016</v>
      </c>
      <c r="C101" s="21" t="s">
        <v>408</v>
      </c>
      <c r="D101" s="21" t="s">
        <v>226</v>
      </c>
      <c r="E101" s="13">
        <v>42786.588310185187</v>
      </c>
      <c r="F101" s="13">
        <v>42786.593923611108</v>
      </c>
      <c r="G101" s="7">
        <v>1</v>
      </c>
      <c r="H101" s="21" t="s">
        <v>438</v>
      </c>
      <c r="I101" s="13">
        <v>42786.619247685187</v>
      </c>
      <c r="J101" s="7">
        <v>0</v>
      </c>
      <c r="K101" s="98" t="str">
        <f t="shared" si="61"/>
        <v>4015/4016</v>
      </c>
      <c r="L101" s="21" t="str">
        <f>VLOOKUP(A101,'Trips&amp;Operators'!$C$1:$G$99999,5,FALSE)</f>
        <v>KILLION DAVID</v>
      </c>
      <c r="M101" s="6">
        <f t="shared" si="62"/>
        <v>2.5324074078525882E-2</v>
      </c>
      <c r="N101" s="7">
        <f t="shared" si="50"/>
        <v>36.46666667307727</v>
      </c>
      <c r="O101" s="7"/>
      <c r="P101" s="7"/>
      <c r="Q101" s="22"/>
      <c r="R101" s="22"/>
      <c r="S101" s="31">
        <f t="shared" si="63"/>
        <v>1</v>
      </c>
      <c r="T101" s="46" t="str">
        <f t="shared" si="64"/>
        <v>NorthBound</v>
      </c>
      <c r="U101" s="186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7" t="str">
        <f t="shared" si="52"/>
        <v>https://d0f6bd738d7f1b3e5a7ca70fe4ff75f0.us-east-1.aws.found.io/app/kibana#/discover/Steve-Slow-Train-Analysis-(2080s-and-2083s)?_g=(refreshInterval:(display:Off,pause:!f,section:0,value:0),time:(from:'2017-02-20T13:07:10-0700',mode:absolute,to:'2017-02-20T15:51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1" s="188" t="str">
        <f t="shared" si="65"/>
        <v>N</v>
      </c>
      <c r="X101" s="188">
        <f t="shared" si="60"/>
        <v>1</v>
      </c>
      <c r="Y101" s="62">
        <f t="shared" si="66"/>
        <v>4.5100000000000001E-2</v>
      </c>
      <c r="Z101" s="62">
        <f t="shared" si="67"/>
        <v>23.329799999999999</v>
      </c>
      <c r="AA101" s="62">
        <f t="shared" si="68"/>
        <v>23.284699999999997</v>
      </c>
      <c r="AB101" s="59" t="str">
        <f>VLOOKUP(A101,Enforcements!$C$7:$K$13,8,0)</f>
        <v>Bulletin (2)</v>
      </c>
      <c r="AC101" s="55" t="str">
        <f>VLOOKUP(A101,Enforcements!$C$7:$E$13,3,0)</f>
        <v>GRADE CROSSING</v>
      </c>
      <c r="AD101" s="56" t="str">
        <f t="shared" si="69"/>
        <v>0185-20</v>
      </c>
      <c r="AE101" s="85" t="str">
        <f t="shared" si="53"/>
        <v>aws s3 cp s3://rtdc.mdm.uploadarchive.raw/RTDC4016/ "%USERPROFILE%\AppData\Local\Temp\OnboardLogs"\RTDC4016\2017-02-20 --exclude "*" --recursive --include "*20170220*" &amp; "%USERPROFILE%\Documents\GitHub\mrs-test-scripts\Headless Mode &amp; Sideloading\WalkAndUnGZ.bat" "%USERPROFILE%\AppData\Local\Temp\OnboardLogs"\RTDC4016\2017-02-20 &amp; aws s3 cp s3://rtdc.mdm.uploadarchive.raw/RTDC4016/ "%USERPROFILE%\AppData\Local\Temp\OnboardLogs"\RTDC4016\2017-02-21 --exclude "*" --recursive --include "*20170221*" &amp; "%USERPROFILE%\Documents\GitHub\mrs-test-scripts\Headless Mode &amp; Sideloading\WalkAndUnGZ.bat" "%USERPROFILE%\AppData\Local\Temp\OnboardLogs"\RTDC4016\2017-02-21</v>
      </c>
      <c r="AF101" s="82" t="str">
        <f t="shared" si="54"/>
        <v>"C:\Program Files (x86)\AstroGrep\AstroGrep.exe" /spath="%USERPROFILE%\AppData\Local\Temp\OnboardLogs" /stypes="app*4016*20170220*" /stext=" 21:.+((SYSTEM_STATE.+slice.+state.+changed )|(ment ac)|(multiple cpu faults)|(system.+state.+changed )|(\[timeout)|(PRM\|1\|D)|(kpr)|(kdp)|(\|lc)|(penalty))" /e /r /s</v>
      </c>
      <c r="AG101" s="1" t="str">
        <f t="shared" si="70"/>
        <v>EC</v>
      </c>
      <c r="AH101" s="86" t="str">
        <f t="shared" si="56"/>
        <v>"%USERPROFILE%\Documents\GitHub\eaglep3\Utilities\RefineRTDCRunTimes.py" --tripid 185-20 --locoid 4016 --swversion DE.1.0.9.0 --startMP 204:451 --initTime 2017-02-20T14:07:10 --startdatetime 2017-02-20T14:15:15 --delay 1 --endMP 204:233298 --enddatetime 2017-02-20T14:51:43 --enforcementcount 0 &gt;&gt;C:\Users\stu\Documents\GitHub\eaglep3-reporting\EC\2017-02-20-refined-times.txt</v>
      </c>
      <c r="AI101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{"issue":{"subject":"","project_id":79,"tracker_id":40,"status_id":1,"priority_id":2,"assigned_to_id":23,"start_date":"2017-02-20","description":"","custom_fields":[{"id":1,"name":"Subdivision","value":"EC"},{"id":4,"name":"Milepost","value":"23.3298"},{"id":17,"name":"Train ID","value":"185-20"},{"id":16,"name":"Locomotive ID","value":"4016"},{"id":130,"name":"Impact","value":""},{"id":150,"name":"Time of Event (Mountain Time)","value":"14:51:43"},{"id":151,"name":"Denver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48"/>
      <c r="AK101" s="48"/>
      <c r="AL101" s="48"/>
      <c r="AM101" s="154" t="str">
        <f t="shared" si="58"/>
        <v>start /low /b %USERPROFILE%\Documents\GitHub\eaglep3\Utilities\DownloadLogsFromS3.py --loco 4016 --day 2017-02-20</v>
      </c>
      <c r="AN101" s="163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"%USERPROFILE%\AppData\Local\Temp\OnboardLogs"\RTDC4016\*4016*20170220* | grep -SE "(Enforcement Action)|(\[TIMEOUT)|(CHR.+\|PRM\|1\|D.+(SWITCH|SIGNAL).+UNKNOWN)" - &gt;&gt; 2017-02-20-UncaughtWiMAX.txt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x14ac:dyDescent="0.25">
      <c r="A102" s="33" t="s">
        <v>608</v>
      </c>
      <c r="B102" s="7">
        <v>4015</v>
      </c>
      <c r="C102" s="21" t="s">
        <v>408</v>
      </c>
      <c r="D102" s="21" t="s">
        <v>263</v>
      </c>
      <c r="E102" s="13">
        <v>42786.625173611108</v>
      </c>
      <c r="F102" s="13">
        <v>42786.633090277777</v>
      </c>
      <c r="G102" s="7">
        <v>1</v>
      </c>
      <c r="H102" s="21" t="s">
        <v>742</v>
      </c>
      <c r="I102" s="13">
        <v>42786.663414351853</v>
      </c>
      <c r="J102" s="7">
        <v>0</v>
      </c>
      <c r="K102" s="98" t="str">
        <f t="shared" si="61"/>
        <v>4015/4016</v>
      </c>
      <c r="L102" s="21" t="str">
        <f>VLOOKUP(A102,'Trips&amp;Operators'!$C$1:$G$99999,5,FALSE)</f>
        <v>KILLION DAVID</v>
      </c>
      <c r="M102" s="6">
        <f t="shared" si="62"/>
        <v>3.0324074075906537E-2</v>
      </c>
      <c r="N102" s="7">
        <f t="shared" si="50"/>
        <v>43.666666669305414</v>
      </c>
      <c r="O102" s="7"/>
      <c r="P102" s="7"/>
      <c r="Q102" s="22"/>
      <c r="R102" s="22"/>
      <c r="S102" s="31">
        <f t="shared" si="63"/>
        <v>1</v>
      </c>
      <c r="T102" s="46" t="str">
        <f t="shared" si="64"/>
        <v>Southbound</v>
      </c>
      <c r="U102" s="186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7" t="str">
        <f t="shared" si="52"/>
        <v>https://d0f6bd738d7f1b3e5a7ca70fe4ff75f0.us-east-1.aws.found.io/app/kibana#/discover/Steve-Slow-Train-Analysis-(2080s-and-2083s)?_g=(refreshInterval:(display:Off,pause:!f,section:0,value:0),time:(from:'2017-02-20T14:00:15-0700',mode:absolute,to:'2017-02-20T16:55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2" s="188" t="str">
        <f t="shared" si="65"/>
        <v>N</v>
      </c>
      <c r="X102" s="188">
        <f t="shared" si="60"/>
        <v>1</v>
      </c>
      <c r="Y102" s="62">
        <f t="shared" si="66"/>
        <v>23.297699999999999</v>
      </c>
      <c r="Z102" s="62">
        <f t="shared" si="67"/>
        <v>1.72E-2</v>
      </c>
      <c r="AA102" s="62">
        <f t="shared" si="68"/>
        <v>23.2805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 t="shared" si="69"/>
        <v>0186-20</v>
      </c>
      <c r="AE102" s="85" t="str">
        <f t="shared" si="53"/>
        <v>aws s3 cp s3://rtdc.mdm.uploadarchive.raw/RTDC4015/ "%USERPROFILE%\AppData\Local\Temp\OnboardLogs"\RTDC4015\2017-02-20 --exclude "*" --recursive --include "*20170220*" &amp; "%USERPROFILE%\Documents\GitHub\mrs-test-scripts\Headless Mode &amp; Sideloading\WalkAndUnGZ.bat" "%USERPROFILE%\AppData\Local\Temp\OnboardLogs"\RTDC4015\2017-02-20 &amp; aws s3 cp s3://rtdc.mdm.uploadarchive.raw/RTDC4015/ "%USERPROFILE%\AppData\Local\Temp\OnboardLogs"\RTDC4015\2017-02-21 --exclude "*" --recursive --include "*20170221*" &amp; "%USERPROFILE%\Documents\GitHub\mrs-test-scripts\Headless Mode &amp; Sideloading\WalkAndUnGZ.bat" "%USERPROFILE%\AppData\Local\Temp\OnboardLogs"\RTDC4015\2017-02-21</v>
      </c>
      <c r="AF102" s="82" t="str">
        <f t="shared" si="54"/>
        <v>"C:\Program Files (x86)\AstroGrep\AstroGrep.exe" /spath="%USERPROFILE%\AppData\Local\Temp\OnboardLogs" /stypes="app*4015*20170220*" /stext=" 22:.+((SYSTEM_STATE.+slice.+state.+changed )|(ment ac)|(multiple cpu faults)|(system.+state.+changed )|(\[timeout)|(PRM\|1\|D)|(kpr)|(kdp)|(\|lc)|(penalty))" /e /r /s</v>
      </c>
      <c r="AG102" s="1" t="str">
        <f t="shared" si="70"/>
        <v>EC</v>
      </c>
      <c r="AH102" s="86" t="str">
        <f t="shared" si="56"/>
        <v>"%USERPROFILE%\Documents\GitHub\eaglep3\Utilities\RefineRTDCRunTimes.py" --tripid 186-20 --locoid 4015 --swversion DE.1.0.9.0 --startMP 204:232977 --initTime 2017-02-20T15:00:15 --startdatetime 2017-02-20T15:11:39 --delay 1 --endMP 204:172 --enddatetime 2017-02-20T15:55:19 --enforcementcount 0 &gt;&gt;C:\Users\stu\Documents\GitHub\eaglep3-reporting\EC\2017-02-20-refined-times.txt</v>
      </c>
      <c r="AI102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{"issue":{"subject":"","project_id":79,"tracker_id":40,"status_id":1,"priority_id":2,"assigned_to_id":23,"start_date":"2017-02-20","description":"","custom_fields":[{"id":1,"name":"Subdivision","value":"EC"},{"id":4,"name":"Milepost","value":"0.0172"},{"id":17,"name":"Train ID","value":"186-20"},{"id":16,"name":"Locomotive ID","value":"4015"},{"id":130,"name":"Impact","value":""},{"id":150,"name":"Time of Event (Mountain Time)","value":"15:55:19"},{"id":151,"name":"Denver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48"/>
      <c r="AK102" s="48"/>
      <c r="AL102" s="48"/>
      <c r="AM102" s="154" t="str">
        <f t="shared" si="58"/>
        <v>start /low /b %USERPROFILE%\Documents\GitHub\eaglep3\Utilities\DownloadLogsFromS3.py --loco 4015 --day 2017-02-20</v>
      </c>
      <c r="AN102" s="163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"%USERPROFILE%\AppData\Local\Temp\OnboardLogs"\RTDC4015\*4015*20170220* | grep -SE "(Enforcement Action)|(\[TIMEOUT)|(CHR.+\|PRM\|1\|D.+(SWITCH|SIGNAL).+UNKNOWN)" - &gt;&gt; 2017-02-20-UncaughtWiMAX.txt</v>
      </c>
    </row>
    <row r="103" spans="1:91" s="20" customFormat="1" x14ac:dyDescent="0.25">
      <c r="A103" s="33" t="s">
        <v>603</v>
      </c>
      <c r="B103" s="7">
        <v>4027</v>
      </c>
      <c r="C103" s="21" t="s">
        <v>408</v>
      </c>
      <c r="D103" s="21" t="s">
        <v>743</v>
      </c>
      <c r="E103" s="13">
        <v>42786.600659722222</v>
      </c>
      <c r="F103" s="13">
        <v>42786.604375000003</v>
      </c>
      <c r="G103" s="7">
        <v>2</v>
      </c>
      <c r="H103" s="21" t="s">
        <v>720</v>
      </c>
      <c r="I103" s="13">
        <v>42786.629444444443</v>
      </c>
      <c r="J103" s="7">
        <v>0</v>
      </c>
      <c r="K103" s="98" t="str">
        <f t="shared" si="61"/>
        <v>4027/4028</v>
      </c>
      <c r="L103" s="21" t="str">
        <f>VLOOKUP(A103,'Trips&amp;Operators'!$C$1:$G$99999,5,FALSE)</f>
        <v>STEWART MICHAEL</v>
      </c>
      <c r="M103" s="6">
        <f t="shared" si="62"/>
        <v>2.5069444440305233E-2</v>
      </c>
      <c r="N103" s="7">
        <f t="shared" ref="N103:N134" si="71">24*60*SUM($M103:$M103)</f>
        <v>36.099999994039536</v>
      </c>
      <c r="O103" s="7"/>
      <c r="P103" s="7"/>
      <c r="Q103" s="22"/>
      <c r="R103" s="22"/>
      <c r="S103" s="31">
        <f t="shared" si="63"/>
        <v>1</v>
      </c>
      <c r="T103" s="46" t="str">
        <f t="shared" si="64"/>
        <v>NorthBound</v>
      </c>
      <c r="U103" s="186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7" t="str">
        <f t="shared" si="52"/>
        <v>https://d0f6bd738d7f1b3e5a7ca70fe4ff75f0.us-east-1.aws.found.io/app/kibana#/discover/Steve-Slow-Train-Analysis-(2080s-and-2083s)?_g=(refreshInterval:(display:Off,pause:!f,section:0,value:0),time:(from:'2017-02-20T13:24:57-0700',mode:absolute,to:'2017-02-20T16:06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3" s="188" t="str">
        <f t="shared" si="65"/>
        <v>N</v>
      </c>
      <c r="X103" s="188">
        <f t="shared" si="60"/>
        <v>1</v>
      </c>
      <c r="Y103" s="62">
        <f t="shared" si="66"/>
        <v>4.6899999999999997E-2</v>
      </c>
      <c r="Z103" s="62">
        <f t="shared" si="67"/>
        <v>23.329899999999999</v>
      </c>
      <c r="AA103" s="62">
        <f t="shared" si="68"/>
        <v>23.282999999999998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 t="shared" si="69"/>
        <v>0187-20</v>
      </c>
      <c r="AE103" s="85" t="str">
        <f t="shared" si="53"/>
        <v>aws s3 cp s3://rtdc.mdm.uploadarchive.raw/RTDC4027/ "%USERPROFILE%\AppData\Local\Temp\OnboardLogs"\RTDC4027\2017-02-20 --exclude "*" --recursive --include "*20170220*" &amp; "%USERPROFILE%\Documents\GitHub\mrs-test-scripts\Headless Mode &amp; Sideloading\WalkAndUnGZ.bat" "%USERPROFILE%\AppData\Local\Temp\OnboardLogs"\RTDC4027\2017-02-20 &amp; aws s3 cp s3://rtdc.mdm.uploadarchive.raw/RTDC4027/ "%USERPROFILE%\AppData\Local\Temp\OnboardLogs"\RTDC4027\2017-02-21 --exclude "*" --recursive --include "*20170221*" &amp; "%USERPROFILE%\Documents\GitHub\mrs-test-scripts\Headless Mode &amp; Sideloading\WalkAndUnGZ.bat" "%USERPROFILE%\AppData\Local\Temp\OnboardLogs"\RTDC4027\2017-02-21</v>
      </c>
      <c r="AF103" s="82" t="str">
        <f t="shared" si="54"/>
        <v>"C:\Program Files (x86)\AstroGrep\AstroGrep.exe" /spath="%USERPROFILE%\AppData\Local\Temp\OnboardLogs" /stypes="app*4027*20170220*" /stext=" 22:.+((SYSTEM_STATE.+slice.+state.+changed )|(ment ac)|(multiple cpu faults)|(system.+state.+changed )|(\[timeout)|(PRM\|1\|D)|(kpr)|(kdp)|(\|lc)|(penalty))" /e /r /s</v>
      </c>
      <c r="AG103" s="1" t="str">
        <f t="shared" si="70"/>
        <v>EC</v>
      </c>
      <c r="AH103" s="86" t="str">
        <f t="shared" si="56"/>
        <v>"%USERPROFILE%\Documents\GitHub\eaglep3\Utilities\RefineRTDCRunTimes.py" --tripid 187-20 --locoid 4027 --swversion DE.1.0.9.0 --startMP 204:469 --initTime 2017-02-20T14:24:57 --startdatetime 2017-02-20T14:30:18 --delay 2 --endMP 204:233299 --enddatetime 2017-02-20T15:06:24 --enforcementcount 0 &gt;&gt;C:\Users\stu\Documents\GitHub\eaglep3-reporting\EC\2017-02-20-refined-times.txt</v>
      </c>
      <c r="AI103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{"issue":{"subject":"","project_id":79,"tracker_id":40,"status_id":1,"priority_id":2,"assigned_to_id":23,"start_date":"2017-02-20","description":"","custom_fields":[{"id":1,"name":"Subdivision","value":"EC"},{"id":4,"name":"Milepost","value":"23.3299"},{"id":17,"name":"Train ID","value":"187-20"},{"id":16,"name":"Locomotive ID","value":"4027"},{"id":130,"name":"Impact","value":""},{"id":150,"name":"Time of Event (Mountain Time)","value":"15:06:24"},{"id":151,"name":"Denver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48"/>
      <c r="AK103" s="48"/>
      <c r="AL103" s="48"/>
      <c r="AM103" s="154" t="str">
        <f t="shared" si="58"/>
        <v>start /low /b %USERPROFILE%\Documents\GitHub\eaglep3\Utilities\DownloadLogsFromS3.py --loco 4027 --day 2017-02-20</v>
      </c>
      <c r="AN103" s="163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"%USERPROFILE%\AppData\Local\Temp\OnboardLogs"\RTDC4027\*4027*20170220* | grep -SE "(Enforcement Action)|(\[TIMEOUT)|(CHR.+\|PRM\|1\|D.+(SWITCH|SIGNAL).+UNKNOWN)" - &gt;&gt; 2017-02-20-UncaughtWiMAX.txt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613</v>
      </c>
      <c r="B104" s="7">
        <v>4028</v>
      </c>
      <c r="C104" s="21" t="s">
        <v>408</v>
      </c>
      <c r="D104" s="21" t="s">
        <v>339</v>
      </c>
      <c r="E104" s="13">
        <v>42786.639085648145</v>
      </c>
      <c r="F104" s="13">
        <v>42786.643252314818</v>
      </c>
      <c r="G104" s="7">
        <v>1</v>
      </c>
      <c r="H104" s="21" t="s">
        <v>207</v>
      </c>
      <c r="I104" s="13">
        <v>42786.670428240737</v>
      </c>
      <c r="J104" s="7">
        <v>0</v>
      </c>
      <c r="K104" s="98" t="str">
        <f t="shared" si="61"/>
        <v>4027/4028</v>
      </c>
      <c r="L104" s="21" t="str">
        <f>VLOOKUP(A104,'Trips&amp;Operators'!$C$1:$G$99999,5,FALSE)</f>
        <v>STEWART MICHAEL</v>
      </c>
      <c r="M104" s="6">
        <f t="shared" si="62"/>
        <v>2.717592591943685E-2</v>
      </c>
      <c r="N104" s="7">
        <f t="shared" si="71"/>
        <v>39.133333323989064</v>
      </c>
      <c r="O104" s="7"/>
      <c r="P104" s="7"/>
      <c r="Q104" s="22"/>
      <c r="R104" s="22"/>
      <c r="S104" s="31">
        <f t="shared" si="63"/>
        <v>1</v>
      </c>
      <c r="T104" s="46" t="str">
        <f t="shared" si="64"/>
        <v>Southbound</v>
      </c>
      <c r="U104" s="186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7" t="str">
        <f t="shared" si="52"/>
        <v>https://d0f6bd738d7f1b3e5a7ca70fe4ff75f0.us-east-1.aws.found.io/app/kibana#/discover/Steve-Slow-Train-Analysis-(2080s-and-2083s)?_g=(refreshInterval:(display:Off,pause:!f,section:0,value:0),time:(from:'2017-02-20T14:20:17-0700',mode:absolute,to:'2017-02-20T17:05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4" s="188" t="str">
        <f t="shared" si="65"/>
        <v>N</v>
      </c>
      <c r="X104" s="188">
        <f t="shared" si="60"/>
        <v>1</v>
      </c>
      <c r="Y104" s="62">
        <f t="shared" si="66"/>
        <v>23.2973</v>
      </c>
      <c r="Z104" s="62">
        <f t="shared" si="67"/>
        <v>1.5800000000000002E-2</v>
      </c>
      <c r="AA104" s="62">
        <f t="shared" si="68"/>
        <v>23.281500000000001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 t="shared" si="69"/>
        <v>0188-20</v>
      </c>
      <c r="AE104" s="85" t="str">
        <f t="shared" si="53"/>
        <v>aws s3 cp s3://rtdc.mdm.uploadarchive.raw/RTDC4028/ "%USERPROFILE%\AppData\Local\Temp\OnboardLogs"\RTDC4028\2017-02-20 --exclude "*" --recursive --include "*20170220*" &amp; "%USERPROFILE%\Documents\GitHub\mrs-test-scripts\Headless Mode &amp; Sideloading\WalkAndUnGZ.bat" "%USERPROFILE%\AppData\Local\Temp\OnboardLogs"\RTDC4028\2017-02-20 &amp; aws s3 cp s3://rtdc.mdm.uploadarchive.raw/RTDC4028/ "%USERPROFILE%\AppData\Local\Temp\OnboardLogs"\RTDC4028\2017-02-21 --exclude "*" --recursive --include "*20170221*" &amp; "%USERPROFILE%\Documents\GitHub\mrs-test-scripts\Headless Mode &amp; Sideloading\WalkAndUnGZ.bat" "%USERPROFILE%\AppData\Local\Temp\OnboardLogs"\RTDC4028\2017-02-21</v>
      </c>
      <c r="AF104" s="82" t="str">
        <f t="shared" si="54"/>
        <v>"C:\Program Files (x86)\AstroGrep\AstroGrep.exe" /spath="%USERPROFILE%\AppData\Local\Temp\OnboardLogs" /stypes="app*4028*20170220*" /stext=" 23:.+((SYSTEM_STATE.+slice.+state.+changed )|(ment ac)|(multiple cpu faults)|(system.+state.+changed )|(\[timeout)|(PRM\|1\|D)|(kpr)|(kdp)|(\|lc)|(penalty))" /e /r /s</v>
      </c>
      <c r="AG104" s="1" t="str">
        <f t="shared" si="70"/>
        <v>EC</v>
      </c>
      <c r="AH104" s="86" t="str">
        <f t="shared" si="56"/>
        <v>"%USERPROFILE%\Documents\GitHub\eaglep3\Utilities\RefineRTDCRunTimes.py" --tripid 188-20 --locoid 4028 --swversion DE.1.0.9.0 --startMP 204:232973 --initTime 2017-02-20T15:20:17 --startdatetime 2017-02-20T15:26:17 --delay 1 --endMP 204:158 --enddatetime 2017-02-20T16:05:25 --enforcementcount 0 &gt;&gt;C:\Users\stu\Documents\GitHub\eaglep3-reporting\EC\2017-02-20-refined-times.txt</v>
      </c>
      <c r="AI104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{"issue":{"subject":"","project_id":79,"tracker_id":40,"status_id":1,"priority_id":2,"assigned_to_id":23,"start_date":"2017-02-20","description":"","custom_fields":[{"id":1,"name":"Subdivision","value":"EC"},{"id":4,"name":"Milepost","value":"0.0158"},{"id":17,"name":"Train ID","value":"188-20"},{"id":16,"name":"Locomotive ID","value":"4028"},{"id":130,"name":"Impact","value":""},{"id":150,"name":"Time of Event (Mountain Time)","value":"16:05:25"},{"id":151,"name":"Denver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48"/>
      <c r="AK104" s="48"/>
      <c r="AL104" s="48"/>
      <c r="AM104" s="154" t="str">
        <f t="shared" si="58"/>
        <v>start /low /b %USERPROFILE%\Documents\GitHub\eaglep3\Utilities\DownloadLogsFromS3.py --loco 4028 --day 2017-02-20</v>
      </c>
      <c r="AN104" s="163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"%USERPROFILE%\AppData\Local\Temp\OnboardLogs"\RTDC4028\*4028*20170220* | grep -SE "(Enforcement Action)|(\[TIMEOUT)|(CHR.+\|PRM\|1\|D.+(SWITCH|SIGNAL).+UNKNOWN)" - &gt;&gt; 2017-02-20-UncaughtWiMAX.txt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606</v>
      </c>
      <c r="B105" s="7">
        <v>4020</v>
      </c>
      <c r="C105" s="21" t="s">
        <v>408</v>
      </c>
      <c r="D105" s="21" t="s">
        <v>305</v>
      </c>
      <c r="E105" s="13">
        <v>42786.612962962965</v>
      </c>
      <c r="F105" s="13">
        <v>42786.615034722221</v>
      </c>
      <c r="G105" s="7">
        <v>1</v>
      </c>
      <c r="H105" s="21" t="s">
        <v>436</v>
      </c>
      <c r="I105" s="13">
        <v>42786.641840277778</v>
      </c>
      <c r="J105" s="7">
        <v>0</v>
      </c>
      <c r="K105" s="98" t="str">
        <f t="shared" si="61"/>
        <v>4019/4020</v>
      </c>
      <c r="L105" s="21" t="str">
        <f>VLOOKUP(A105,'Trips&amp;Operators'!$C$1:$G$99999,5,FALSE)</f>
        <v>DAVIS MICHAEL</v>
      </c>
      <c r="M105" s="6">
        <f t="shared" si="62"/>
        <v>2.6805555557075422E-2</v>
      </c>
      <c r="N105" s="7">
        <f t="shared" si="71"/>
        <v>38.600000002188608</v>
      </c>
      <c r="O105" s="7"/>
      <c r="P105" s="7"/>
      <c r="Q105" s="22"/>
      <c r="R105" s="22"/>
      <c r="S105" s="31">
        <f t="shared" si="63"/>
        <v>1</v>
      </c>
      <c r="T105" s="46" t="str">
        <f t="shared" si="64"/>
        <v>NorthBound</v>
      </c>
      <c r="U105" s="186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7" t="str">
        <f t="shared" si="52"/>
        <v>https://d0f6bd738d7f1b3e5a7ca70fe4ff75f0.us-east-1.aws.found.io/app/kibana#/discover/Steve-Slow-Train-Analysis-(2080s-and-2083s)?_g=(refreshInterval:(display:Off,pause:!f,section:0,value:0),time:(from:'2017-02-20T13:42:40-0700',mode:absolute,to:'2017-02-20T16:24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05" s="188" t="str">
        <f t="shared" si="65"/>
        <v>N</v>
      </c>
      <c r="X105" s="188">
        <f t="shared" si="60"/>
        <v>1</v>
      </c>
      <c r="Y105" s="62">
        <f t="shared" si="66"/>
        <v>4.7100000000000003E-2</v>
      </c>
      <c r="Z105" s="62">
        <f t="shared" si="67"/>
        <v>23.331900000000001</v>
      </c>
      <c r="AA105" s="62">
        <f t="shared" si="68"/>
        <v>23.284800000000001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 t="shared" si="69"/>
        <v>0189-20</v>
      </c>
      <c r="AE105" s="85" t="str">
        <f t="shared" si="53"/>
        <v>aws s3 cp s3://rtdc.mdm.uploadarchive.raw/RTDC4020/ "%USERPROFILE%\AppData\Local\Temp\OnboardLogs"\RTDC4020\2017-02-20 --exclude "*" --recursive --include "*20170220*" &amp; "%USERPROFILE%\Documents\GitHub\mrs-test-scripts\Headless Mode &amp; Sideloading\WalkAndUnGZ.bat" "%USERPROFILE%\AppData\Local\Temp\OnboardLogs"\RTDC4020\2017-02-20 &amp; aws s3 cp s3://rtdc.mdm.uploadarchive.raw/RTDC4020/ "%USERPROFILE%\AppData\Local\Temp\OnboardLogs"\RTDC4020\2017-02-21 --exclude "*" --recursive --include "*20170221*" &amp; "%USERPROFILE%\Documents\GitHub\mrs-test-scripts\Headless Mode &amp; Sideloading\WalkAndUnGZ.bat" "%USERPROFILE%\AppData\Local\Temp\OnboardLogs"\RTDC4020\2017-02-21</v>
      </c>
      <c r="AF105" s="82" t="str">
        <f t="shared" si="54"/>
        <v>"C:\Program Files (x86)\AstroGrep\AstroGrep.exe" /spath="%USERPROFILE%\AppData\Local\Temp\OnboardLogs" /stypes="app*4020*20170220*" /stext=" 22:.+((SYSTEM_STATE.+slice.+state.+changed )|(ment ac)|(multiple cpu faults)|(system.+state.+changed )|(\[timeout)|(PRM\|1\|D)|(kpr)|(kdp)|(\|lc)|(penalty))" /e /r /s</v>
      </c>
      <c r="AG105" s="1" t="str">
        <f t="shared" si="70"/>
        <v>EC</v>
      </c>
      <c r="AH105" s="86" t="str">
        <f t="shared" si="56"/>
        <v>"%USERPROFILE%\Documents\GitHub\eaglep3\Utilities\RefineRTDCRunTimes.py" --tripid 189-20 --locoid 4020 --swversion DE.1.0.9.0 --startMP 204:471 --initTime 2017-02-20T14:42:40 --startdatetime 2017-02-20T14:45:39 --delay 1 --endMP 204:233319 --enddatetime 2017-02-20T15:24:15 --enforcementcount 0 &gt;&gt;C:\Users\stu\Documents\GitHub\eaglep3-reporting\EC\2017-02-20-refined-times.txt</v>
      </c>
      <c r="AI105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{"issue":{"subject":"","project_id":79,"tracker_id":40,"status_id":1,"priority_id":2,"assigned_to_id":23,"start_date":"2017-02-20","description":"","custom_fields":[{"id":1,"name":"Subdivision","value":"EC"},{"id":4,"name":"Milepost","value":"23.3319"},{"id":17,"name":"Train ID","value":"189-20"},{"id":16,"name":"Locomotive ID","value":"4020"},{"id":130,"name":"Impact","value":""},{"id":150,"name":"Time of Event (Mountain Time)","value":"15:24:15"},{"id":151,"name":"Denver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48"/>
      <c r="AK105" s="48"/>
      <c r="AL105" s="48"/>
      <c r="AM105" s="154" t="str">
        <f t="shared" si="58"/>
        <v>start /low /b %USERPROFILE%\Documents\GitHub\eaglep3\Utilities\DownloadLogsFromS3.py --loco 4020 --day 2017-02-20</v>
      </c>
      <c r="AN105" s="163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"%USERPROFILE%\AppData\Local\Temp\OnboardLogs"\RTDC4020\*4020*20170220* | grep -SE "(Enforcement Action)|(\[TIMEOUT)|(CHR.+\|PRM\|1\|D.+(SWITCH|SIGNAL).+UNKNOWN)" - &gt;&gt; 2017-02-20-UncaughtWiMAX.txt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616</v>
      </c>
      <c r="B106" s="7">
        <v>4019</v>
      </c>
      <c r="C106" s="21" t="s">
        <v>408</v>
      </c>
      <c r="D106" s="21" t="s">
        <v>744</v>
      </c>
      <c r="E106" s="13">
        <v>42786.651018518518</v>
      </c>
      <c r="F106" s="13">
        <v>42786.653900462959</v>
      </c>
      <c r="G106" s="7">
        <v>1</v>
      </c>
      <c r="H106" s="21" t="s">
        <v>213</v>
      </c>
      <c r="I106" s="13">
        <v>42786.681712962964</v>
      </c>
      <c r="J106" s="7">
        <v>0</v>
      </c>
      <c r="K106" s="98" t="str">
        <f t="shared" si="61"/>
        <v>4019/4020</v>
      </c>
      <c r="L106" s="21" t="str">
        <f>VLOOKUP(A106,'Trips&amp;Operators'!$C$1:$G$99999,5,FALSE)</f>
        <v>DAVIS MICHAEL</v>
      </c>
      <c r="M106" s="6">
        <f t="shared" si="62"/>
        <v>2.7812500004074536E-2</v>
      </c>
      <c r="N106" s="7">
        <f t="shared" si="71"/>
        <v>40.050000005867332</v>
      </c>
      <c r="O106" s="7"/>
      <c r="P106" s="7"/>
      <c r="Q106" s="22"/>
      <c r="R106" s="22"/>
      <c r="S106" s="31">
        <f t="shared" si="63"/>
        <v>1</v>
      </c>
      <c r="T106" s="46" t="str">
        <f t="shared" si="64"/>
        <v>Southbound</v>
      </c>
      <c r="U106" s="186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7" t="str">
        <f t="shared" si="52"/>
        <v>https://d0f6bd738d7f1b3e5a7ca70fe4ff75f0.us-east-1.aws.found.io/app/kibana#/discover/Steve-Slow-Train-Analysis-(2080s-and-2083s)?_g=(refreshInterval:(display:Off,pause:!f,section:0,value:0),time:(from:'2017-02-20T14:37:28-0700',mode:absolute,to:'2017-02-20T17:21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6" s="188" t="str">
        <f t="shared" si="65"/>
        <v>N</v>
      </c>
      <c r="X106" s="188">
        <f t="shared" si="60"/>
        <v>1</v>
      </c>
      <c r="Y106" s="62">
        <f t="shared" si="66"/>
        <v>23.297899999999998</v>
      </c>
      <c r="Z106" s="62">
        <f t="shared" si="67"/>
        <v>1.54E-2</v>
      </c>
      <c r="AA106" s="62">
        <f t="shared" si="68"/>
        <v>23.282499999999999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 t="shared" si="69"/>
        <v>0190-20</v>
      </c>
      <c r="AE106" s="85" t="str">
        <f t="shared" si="53"/>
        <v>aws s3 cp s3://rtdc.mdm.uploadarchive.raw/RTDC4019/ "%USERPROFILE%\AppData\Local\Temp\OnboardLogs"\RTDC4019\2017-02-20 --exclude "*" --recursive --include "*20170220*" &amp; "%USERPROFILE%\Documents\GitHub\mrs-test-scripts\Headless Mode &amp; Sideloading\WalkAndUnGZ.bat" "%USERPROFILE%\AppData\Local\Temp\OnboardLogs"\RTDC4019\2017-02-20 &amp; aws s3 cp s3://rtdc.mdm.uploadarchive.raw/RTDC4019/ "%USERPROFILE%\AppData\Local\Temp\OnboardLogs"\RTDC4019\2017-02-21 --exclude "*" --recursive --include "*20170221*" &amp; "%USERPROFILE%\Documents\GitHub\mrs-test-scripts\Headless Mode &amp; Sideloading\WalkAndUnGZ.bat" "%USERPROFILE%\AppData\Local\Temp\OnboardLogs"\RTDC4019\2017-02-21</v>
      </c>
      <c r="AF106" s="82" t="str">
        <f t="shared" si="54"/>
        <v>"C:\Program Files (x86)\AstroGrep\AstroGrep.exe" /spath="%USERPROFILE%\AppData\Local\Temp\OnboardLogs" /stypes="app*4019*20170220*" /stext=" 23:.+((SYSTEM_STATE.+slice.+state.+changed )|(ment ac)|(multiple cpu faults)|(system.+state.+changed )|(\[timeout)|(PRM\|1\|D)|(kpr)|(kdp)|(\|lc)|(penalty))" /e /r /s</v>
      </c>
      <c r="AG106" s="1" t="str">
        <f t="shared" si="70"/>
        <v>EC</v>
      </c>
      <c r="AH106" s="86" t="str">
        <f t="shared" si="56"/>
        <v>"%USERPROFILE%\Documents\GitHub\eaglep3\Utilities\RefineRTDCRunTimes.py" --tripid 190-20 --locoid 4019 --swversion DE.1.0.9.0 --startMP 204:232979 --initTime 2017-02-20T15:37:28 --startdatetime 2017-02-20T15:41:37 --delay 1 --endMP 204:154 --enddatetime 2017-02-20T16:21:40 --enforcementcount 0 &gt;&gt;C:\Users\stu\Documents\GitHub\eaglep3-reporting\EC\2017-02-20-refined-times.txt</v>
      </c>
      <c r="AI106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{"issue":{"subject":"","project_id":79,"tracker_id":40,"status_id":1,"priority_id":2,"assigned_to_id":23,"start_date":"2017-02-20","description":"","custom_fields":[{"id":1,"name":"Subdivision","value":"EC"},{"id":4,"name":"Milepost","value":"0.0154"},{"id":17,"name":"Train ID","value":"190-20"},{"id":16,"name":"Locomotive ID","value":"4019"},{"id":130,"name":"Impact","value":""},{"id":150,"name":"Time of Event (Mountain Time)","value":"16:21:40"},{"id":151,"name":"Denver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48"/>
      <c r="AK106" s="48"/>
      <c r="AL106" s="48"/>
      <c r="AM106" s="154" t="str">
        <f t="shared" si="58"/>
        <v>start /low /b %USERPROFILE%\Documents\GitHub\eaglep3\Utilities\DownloadLogsFromS3.py --loco 4019 --day 2017-02-20</v>
      </c>
      <c r="AN106" s="163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"%USERPROFILE%\AppData\Local\Temp\OnboardLogs"\RTDC4019\*4019*20170220* | grep -SE "(Enforcement Action)|(\[TIMEOUT)|(CHR.+\|PRM\|1\|D.+(SWITCH|SIGNAL).+UNKNOWN)" - &gt;&gt; 2017-02-20-UncaughtWiMAX.txt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607</v>
      </c>
      <c r="B107" s="7">
        <v>4046</v>
      </c>
      <c r="C107" s="21" t="s">
        <v>408</v>
      </c>
      <c r="D107" s="21" t="s">
        <v>227</v>
      </c>
      <c r="E107" s="13">
        <v>42786.62</v>
      </c>
      <c r="F107" s="13">
        <v>42786.625173611108</v>
      </c>
      <c r="G107" s="7">
        <v>1</v>
      </c>
      <c r="H107" s="21" t="s">
        <v>369</v>
      </c>
      <c r="I107" s="13">
        <v>42786.651979166665</v>
      </c>
      <c r="J107" s="7">
        <v>0</v>
      </c>
      <c r="K107" s="98" t="str">
        <f t="shared" si="61"/>
        <v>4045/4046</v>
      </c>
      <c r="L107" s="21" t="str">
        <f>VLOOKUP(A107,'Trips&amp;Operators'!$C$1:$G$99999,5,FALSE)</f>
        <v>CLARK KATHLEEN</v>
      </c>
      <c r="M107" s="6">
        <f t="shared" si="62"/>
        <v>2.6805555557075422E-2</v>
      </c>
      <c r="N107" s="7">
        <f t="shared" si="71"/>
        <v>38.600000002188608</v>
      </c>
      <c r="O107" s="7"/>
      <c r="P107" s="7"/>
      <c r="Q107" s="22"/>
      <c r="R107" s="22"/>
      <c r="S107" s="31">
        <f t="shared" si="63"/>
        <v>1</v>
      </c>
      <c r="T107" s="46" t="str">
        <f t="shared" si="64"/>
        <v>NorthBound</v>
      </c>
      <c r="U107" s="186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7" t="str">
        <f t="shared" si="52"/>
        <v>https://d0f6bd738d7f1b3e5a7ca70fe4ff75f0.us-east-1.aws.found.io/app/kibana#/discover/Steve-Slow-Train-Analysis-(2080s-and-2083s)?_g=(refreshInterval:(display:Off,pause:!f,section:0,value:0),time:(from:'2017-02-20T13:52:48-0700',mode:absolute,to:'2017-02-20T16:38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07" s="188" t="str">
        <f t="shared" si="65"/>
        <v>N</v>
      </c>
      <c r="X107" s="188">
        <f t="shared" si="60"/>
        <v>1</v>
      </c>
      <c r="Y107" s="62">
        <f t="shared" si="66"/>
        <v>4.5699999999999998E-2</v>
      </c>
      <c r="Z107" s="62">
        <f t="shared" si="67"/>
        <v>23.330300000000001</v>
      </c>
      <c r="AA107" s="62">
        <f t="shared" si="68"/>
        <v>23.284600000000001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 t="shared" si="69"/>
        <v>0191-20</v>
      </c>
      <c r="AE107" s="85" t="str">
        <f t="shared" si="53"/>
        <v>aws s3 cp s3://rtdc.mdm.uploadarchive.raw/RTDC4046/ "%USERPROFILE%\AppData\Local\Temp\OnboardLogs"\RTDC4046\2017-02-20 --exclude "*" --recursive --include "*20170220*" &amp; "%USERPROFILE%\Documents\GitHub\mrs-test-scripts\Headless Mode &amp; Sideloading\WalkAndUnGZ.bat" "%USERPROFILE%\AppData\Local\Temp\OnboardLogs"\RTDC4046\2017-02-20 &amp; aws s3 cp s3://rtdc.mdm.uploadarchive.raw/RTDC4046/ "%USERPROFILE%\AppData\Local\Temp\OnboardLogs"\RTDC4046\2017-02-21 --exclude "*" --recursive --include "*20170221*" &amp; "%USERPROFILE%\Documents\GitHub\mrs-test-scripts\Headless Mode &amp; Sideloading\WalkAndUnGZ.bat" "%USERPROFILE%\AppData\Local\Temp\OnboardLogs"\RTDC4046\2017-02-21</v>
      </c>
      <c r="AF107" s="82" t="str">
        <f t="shared" si="54"/>
        <v>"C:\Program Files (x86)\AstroGrep\AstroGrep.exe" /spath="%USERPROFILE%\AppData\Local\Temp\OnboardLogs" /stypes="app*4046*20170220*" /stext=" 22:.+((SYSTEM_STATE.+slice.+state.+changed )|(ment ac)|(multiple cpu faults)|(system.+state.+changed )|(\[timeout)|(PRM\|1\|D)|(kpr)|(kdp)|(\|lc)|(penalty))" /e /r /s</v>
      </c>
      <c r="AG107" s="1" t="str">
        <f t="shared" si="70"/>
        <v>EC</v>
      </c>
      <c r="AH107" s="86" t="str">
        <f t="shared" si="56"/>
        <v>"%USERPROFILE%\Documents\GitHub\eaglep3\Utilities\RefineRTDCRunTimes.py" --tripid 191-20 --locoid 4046 --swversion DE.1.0.9.0 --startMP 204:457 --initTime 2017-02-20T14:52:48 --startdatetime 2017-02-20T15:00:15 --delay 1 --endMP 204:233303 --enddatetime 2017-02-20T15:38:51 --enforcementcount 0 &gt;&gt;C:\Users\stu\Documents\GitHub\eaglep3-reporting\EC\2017-02-20-refined-times.txt</v>
      </c>
      <c r="AI107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{"issue":{"subject":"","project_id":79,"tracker_id":40,"status_id":1,"priority_id":2,"assigned_to_id":23,"start_date":"2017-02-20","description":"","custom_fields":[{"id":1,"name":"Subdivision","value":"EC"},{"id":4,"name":"Milepost","value":"23.3303"},{"id":17,"name":"Train ID","value":"191-20"},{"id":16,"name":"Locomotive ID","value":"4046"},{"id":130,"name":"Impact","value":""},{"id":150,"name":"Time of Event (Mountain Time)","value":"15:38:51"},{"id":151,"name":"Denver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48"/>
      <c r="AK107" s="48"/>
      <c r="AL107" s="48"/>
      <c r="AM107" s="154" t="str">
        <f t="shared" si="58"/>
        <v>start /low /b %USERPROFILE%\Documents\GitHub\eaglep3\Utilities\DownloadLogsFromS3.py --loco 4046 --day 2017-02-20</v>
      </c>
      <c r="AN107" s="163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"%USERPROFILE%\AppData\Local\Temp\OnboardLogs"\RTDC4046\*4046*20170220* | grep -SE "(Enforcement Action)|(\[TIMEOUT)|(CHR.+\|PRM\|1\|D.+(SWITCH|SIGNAL).+UNKNOWN)" - &gt;&gt; 2017-02-20-UncaughtWiMAX.txt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619</v>
      </c>
      <c r="B108" s="7">
        <v>4045</v>
      </c>
      <c r="C108" s="21" t="s">
        <v>408</v>
      </c>
      <c r="D108" s="21" t="s">
        <v>333</v>
      </c>
      <c r="E108" s="13">
        <v>42786.658368055556</v>
      </c>
      <c r="F108" s="13">
        <v>42786.664050925923</v>
      </c>
      <c r="G108" s="7">
        <v>1</v>
      </c>
      <c r="H108" s="21" t="s">
        <v>745</v>
      </c>
      <c r="I108" s="13">
        <v>42786.691342592596</v>
      </c>
      <c r="J108" s="7">
        <v>0</v>
      </c>
      <c r="K108" s="98" t="str">
        <f t="shared" si="61"/>
        <v>4045/4046</v>
      </c>
      <c r="L108" s="21" t="str">
        <f>VLOOKUP(A108,'Trips&amp;Operators'!$C$1:$G$99999,5,FALSE)</f>
        <v>CLARK KATHLEEN</v>
      </c>
      <c r="M108" s="6">
        <f t="shared" si="62"/>
        <v>2.7291666672681458E-2</v>
      </c>
      <c r="N108" s="7">
        <f t="shared" si="71"/>
        <v>39.3000000086613</v>
      </c>
      <c r="O108" s="7"/>
      <c r="P108" s="7"/>
      <c r="Q108" s="22"/>
      <c r="R108" s="22"/>
      <c r="S108" s="31">
        <f t="shared" si="63"/>
        <v>1</v>
      </c>
      <c r="T108" s="46" t="str">
        <f t="shared" si="64"/>
        <v>Southbound</v>
      </c>
      <c r="U108" s="186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7" t="str">
        <f t="shared" si="52"/>
        <v>https://d0f6bd738d7f1b3e5a7ca70fe4ff75f0.us-east-1.aws.found.io/app/kibana#/discover/Steve-Slow-Train-Analysis-(2080s-and-2083s)?_g=(refreshInterval:(display:Off,pause:!f,section:0,value:0),time:(from:'2017-02-20T14:48:03-0700',mode:absolute,to:'2017-02-20T17:35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08" s="188" t="str">
        <f t="shared" si="65"/>
        <v>N</v>
      </c>
      <c r="X108" s="188">
        <f t="shared" si="60"/>
        <v>1</v>
      </c>
      <c r="Y108" s="62">
        <f t="shared" si="66"/>
        <v>23.297499999999999</v>
      </c>
      <c r="Z108" s="62">
        <f t="shared" si="67"/>
        <v>1.83E-2</v>
      </c>
      <c r="AA108" s="62">
        <f t="shared" si="68"/>
        <v>23.279199999999999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 t="shared" si="69"/>
        <v>0192-20</v>
      </c>
      <c r="AE108" s="85" t="str">
        <f t="shared" si="53"/>
        <v>aws s3 cp s3://rtdc.mdm.uploadarchive.raw/RTDC4045/ "%USERPROFILE%\AppData\Local\Temp\OnboardLogs"\RTDC4045\2017-02-20 --exclude "*" --recursive --include "*20170220*" &amp; "%USERPROFILE%\Documents\GitHub\mrs-test-scripts\Headless Mode &amp; Sideloading\WalkAndUnGZ.bat" "%USERPROFILE%\AppData\Local\Temp\OnboardLogs"\RTDC4045\2017-02-20 &amp; aws s3 cp s3://rtdc.mdm.uploadarchive.raw/RTDC4045/ "%USERPROFILE%\AppData\Local\Temp\OnboardLogs"\RTDC4045\2017-02-21 --exclude "*" --recursive --include "*20170221*" &amp; "%USERPROFILE%\Documents\GitHub\mrs-test-scripts\Headless Mode &amp; Sideloading\WalkAndUnGZ.bat" "%USERPROFILE%\AppData\Local\Temp\OnboardLogs"\RTDC4045\2017-02-21</v>
      </c>
      <c r="AF108" s="82" t="str">
        <f t="shared" si="54"/>
        <v>"C:\Program Files (x86)\AstroGrep\AstroGrep.exe" /spath="%USERPROFILE%\AppData\Local\Temp\OnboardLogs" /stypes="app*4045*20170220*" /stext=" 23:.+((SYSTEM_STATE.+slice.+state.+changed )|(ment ac)|(multiple cpu faults)|(system.+state.+changed )|(\[timeout)|(PRM\|1\|D)|(kpr)|(kdp)|(\|lc)|(penalty))" /e /r /s</v>
      </c>
      <c r="AG108" s="1" t="str">
        <f t="shared" si="70"/>
        <v>EC</v>
      </c>
      <c r="AH108" s="86" t="str">
        <f t="shared" si="56"/>
        <v>"%USERPROFILE%\Documents\GitHub\eaglep3\Utilities\RefineRTDCRunTimes.py" --tripid 192-20 --locoid 4045 --swversion DE.1.0.9.0 --startMP 204:232975 --initTime 2017-02-20T15:48:03 --startdatetime 2017-02-20T15:56:14 --delay 1 --endMP 204:183 --enddatetime 2017-02-20T16:35:32 --enforcementcount 0 &gt;&gt;C:\Users\stu\Documents\GitHub\eaglep3-reporting\EC\2017-02-20-refined-times.txt</v>
      </c>
      <c r="AI108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{"issue":{"subject":"","project_id":79,"tracker_id":40,"status_id":1,"priority_id":2,"assigned_to_id":23,"start_date":"2017-02-20","description":"","custom_fields":[{"id":1,"name":"Subdivision","value":"EC"},{"id":4,"name":"Milepost","value":"0.0183"},{"id":17,"name":"Train ID","value":"192-20"},{"id":16,"name":"Locomotive ID","value":"4045"},{"id":130,"name":"Impact","value":""},{"id":150,"name":"Time of Event (Mountain Time)","value":"16:35:32"},{"id":151,"name":"Denver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48"/>
      <c r="AK108" s="48"/>
      <c r="AL108" s="48"/>
      <c r="AM108" s="154" t="str">
        <f t="shared" si="58"/>
        <v>start /low /b %USERPROFILE%\Documents\GitHub\eaglep3\Utilities\DownloadLogsFromS3.py --loco 4045 --day 2017-02-20</v>
      </c>
      <c r="AN108" s="163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"%USERPROFILE%\AppData\Local\Temp\OnboardLogs"\RTDC4045\*4045*20170220* | grep -SE "(Enforcement Action)|(\[TIMEOUT)|(CHR.+\|PRM\|1\|D.+(SWITCH|SIGNAL).+UNKNOWN)" - &gt;&gt; 2017-02-20-UncaughtWiMAX.txt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609</v>
      </c>
      <c r="B109" s="7">
        <v>4007</v>
      </c>
      <c r="C109" s="21" t="s">
        <v>408</v>
      </c>
      <c r="D109" s="21" t="s">
        <v>257</v>
      </c>
      <c r="E109" s="13">
        <v>42786.630810185183</v>
      </c>
      <c r="F109" s="13">
        <v>42786.635567129626</v>
      </c>
      <c r="G109" s="7">
        <v>1</v>
      </c>
      <c r="H109" s="21" t="s">
        <v>335</v>
      </c>
      <c r="I109" s="13">
        <v>42786.660057870373</v>
      </c>
      <c r="J109" s="7">
        <v>0</v>
      </c>
      <c r="K109" s="98" t="str">
        <f t="shared" si="61"/>
        <v>4007/4008</v>
      </c>
      <c r="L109" s="21" t="str">
        <f>VLOOKUP(A109,'Trips&amp;Operators'!$C$1:$G$99999,5,FALSE)</f>
        <v>ROMERO CHAD</v>
      </c>
      <c r="M109" s="6">
        <f t="shared" si="62"/>
        <v>2.4490740746841766E-2</v>
      </c>
      <c r="N109" s="7">
        <f t="shared" si="71"/>
        <v>35.266666675452143</v>
      </c>
      <c r="O109" s="7"/>
      <c r="P109" s="7"/>
      <c r="Q109" s="22"/>
      <c r="R109" s="22"/>
      <c r="S109" s="31">
        <f t="shared" si="63"/>
        <v>1</v>
      </c>
      <c r="T109" s="46" t="str">
        <f t="shared" si="64"/>
        <v>NorthBound</v>
      </c>
      <c r="U109" s="186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7" t="str">
        <f t="shared" si="52"/>
        <v>https://d0f6bd738d7f1b3e5a7ca70fe4ff75f0.us-east-1.aws.found.io/app/kibana#/discover/Steve-Slow-Train-Analysis-(2080s-and-2083s)?_g=(refreshInterval:(display:Off,pause:!f,section:0,value:0),time:(from:'2017-02-20T14:08:22-0700',mode:absolute,to:'2017-02-20T16:50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9" s="188" t="str">
        <f t="shared" si="65"/>
        <v>N</v>
      </c>
      <c r="X109" s="188">
        <f t="shared" si="60"/>
        <v>1</v>
      </c>
      <c r="Y109" s="62">
        <f t="shared" si="66"/>
        <v>4.4600000000000001E-2</v>
      </c>
      <c r="Z109" s="62">
        <f t="shared" si="67"/>
        <v>23.331700000000001</v>
      </c>
      <c r="AA109" s="62">
        <f t="shared" si="68"/>
        <v>23.287100000000002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 t="shared" si="69"/>
        <v>0193-20</v>
      </c>
      <c r="AE109" s="85" t="str">
        <f t="shared" si="53"/>
        <v>aws s3 cp s3://rtdc.mdm.uploadarchive.raw/RTDC4007/ "%USERPROFILE%\AppData\Local\Temp\OnboardLogs"\RTDC4007\2017-02-20 --exclude "*" --recursive --include "*20170220*" &amp; "%USERPROFILE%\Documents\GitHub\mrs-test-scripts\Headless Mode &amp; Sideloading\WalkAndUnGZ.bat" "%USERPROFILE%\AppData\Local\Temp\OnboardLogs"\RTDC4007\2017-02-20 &amp; aws s3 cp s3://rtdc.mdm.uploadarchive.raw/RTDC4007/ "%USERPROFILE%\AppData\Local\Temp\OnboardLogs"\RTDC4007\2017-02-21 --exclude "*" --recursive --include "*20170221*" &amp; "%USERPROFILE%\Documents\GitHub\mrs-test-scripts\Headless Mode &amp; Sideloading\WalkAndUnGZ.bat" "%USERPROFILE%\AppData\Local\Temp\OnboardLogs"\RTDC4007\2017-02-21</v>
      </c>
      <c r="AF109" s="82" t="str">
        <f t="shared" si="54"/>
        <v>"C:\Program Files (x86)\AstroGrep\AstroGrep.exe" /spath="%USERPROFILE%\AppData\Local\Temp\OnboardLogs" /stypes="app*4007*20170220*" /stext=" 22:.+((SYSTEM_STATE.+slice.+state.+changed )|(ment ac)|(multiple cpu faults)|(system.+state.+changed )|(\[timeout)|(PRM\|1\|D)|(kpr)|(kdp)|(\|lc)|(penalty))" /e /r /s</v>
      </c>
      <c r="AG109" s="1" t="str">
        <f t="shared" si="70"/>
        <v>EC</v>
      </c>
      <c r="AH109" s="86" t="str">
        <f t="shared" si="56"/>
        <v>"%USERPROFILE%\Documents\GitHub\eaglep3\Utilities\RefineRTDCRunTimes.py" --tripid 193-20 --locoid 4007 --swversion DE.1.0.9.0 --startMP 204:446 --initTime 2017-02-20T15:08:22 --startdatetime 2017-02-20T15:15:13 --delay 1 --endMP 204:233317 --enddatetime 2017-02-20T15:50:29 --enforcementcount 0 &gt;&gt;C:\Users\stu\Documents\GitHub\eaglep3-reporting\EC\2017-02-20-refined-times.txt</v>
      </c>
      <c r="AI109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{"issue":{"subject":"","project_id":79,"tracker_id":40,"status_id":1,"priority_id":2,"assigned_to_id":23,"start_date":"2017-02-20","description":"","custom_fields":[{"id":1,"name":"Subdivision","value":"EC"},{"id":4,"name":"Milepost","value":"23.3317"},{"id":17,"name":"Train ID","value":"193-20"},{"id":16,"name":"Locomotive ID","value":"4007"},{"id":130,"name":"Impact","value":""},{"id":150,"name":"Time of Event (Mountain Time)","value":"15:50:29"},{"id":151,"name":"Denver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48"/>
      <c r="AK109" s="48"/>
      <c r="AL109" s="48"/>
      <c r="AM109" s="154" t="str">
        <f t="shared" si="58"/>
        <v>start /low /b %USERPROFILE%\Documents\GitHub\eaglep3\Utilities\DownloadLogsFromS3.py --loco 4007 --day 2017-02-20</v>
      </c>
      <c r="AN109" s="163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"%USERPROFILE%\AppData\Local\Temp\OnboardLogs"\RTDC4007\*4007*20170220* | grep -SE "(Enforcement Action)|(\[TIMEOUT)|(CHR.+\|PRM\|1\|D.+(SWITCH|SIGNAL).+UNKNOWN)" - &gt;&gt; 2017-02-20-UncaughtWiMAX.txt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620</v>
      </c>
      <c r="B110" s="7">
        <v>4008</v>
      </c>
      <c r="C110" s="21" t="s">
        <v>408</v>
      </c>
      <c r="D110" s="21" t="s">
        <v>746</v>
      </c>
      <c r="E110" s="13">
        <v>42786.662812499999</v>
      </c>
      <c r="F110" s="13">
        <v>42786.674456018518</v>
      </c>
      <c r="G110" s="7">
        <v>1</v>
      </c>
      <c r="H110" s="21" t="s">
        <v>287</v>
      </c>
      <c r="I110" s="13">
        <v>42786.700057870374</v>
      </c>
      <c r="J110" s="7">
        <v>0</v>
      </c>
      <c r="K110" s="98" t="str">
        <f t="shared" si="61"/>
        <v>4007/4008</v>
      </c>
      <c r="L110" s="21" t="str">
        <f>VLOOKUP(A110,'Trips&amp;Operators'!$C$1:$G$99999,5,FALSE)</f>
        <v>ROMERO CHAD</v>
      </c>
      <c r="M110" s="6">
        <f t="shared" si="62"/>
        <v>2.5601851855753921E-2</v>
      </c>
      <c r="N110" s="7">
        <f t="shared" si="71"/>
        <v>36.866666672285646</v>
      </c>
      <c r="O110" s="7"/>
      <c r="P110" s="7"/>
      <c r="Q110" s="22"/>
      <c r="R110" s="22"/>
      <c r="S110" s="31">
        <f t="shared" si="63"/>
        <v>1</v>
      </c>
      <c r="T110" s="46" t="str">
        <f t="shared" si="64"/>
        <v>Southbound</v>
      </c>
      <c r="U110" s="186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7" t="str">
        <f t="shared" si="52"/>
        <v>https://d0f6bd738d7f1b3e5a7ca70fe4ff75f0.us-east-1.aws.found.io/app/kibana#/discover/Steve-Slow-Train-Analysis-(2080s-and-2083s)?_g=(refreshInterval:(display:Off,pause:!f,section:0,value:0),time:(from:'2017-02-20T14:54:27-0700',mode:absolute,to:'2017-02-20T17:48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10" s="188" t="str">
        <f t="shared" si="65"/>
        <v>N</v>
      </c>
      <c r="X110" s="188">
        <f t="shared" si="60"/>
        <v>1</v>
      </c>
      <c r="Y110" s="62">
        <f t="shared" si="66"/>
        <v>23.3</v>
      </c>
      <c r="Z110" s="62">
        <f t="shared" si="67"/>
        <v>1.3599999999999999E-2</v>
      </c>
      <c r="AA110" s="62">
        <f t="shared" si="68"/>
        <v>23.2864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 t="shared" si="69"/>
        <v>0194-20</v>
      </c>
      <c r="AE110" s="85" t="str">
        <f t="shared" si="53"/>
        <v>aws s3 cp s3://rtdc.mdm.uploadarchive.raw/RTDC4008/ "%USERPROFILE%\AppData\Local\Temp\OnboardLogs"\RTDC4008\2017-02-20 --exclude "*" --recursive --include "*20170220*" &amp; "%USERPROFILE%\Documents\GitHub\mrs-test-scripts\Headless Mode &amp; Sideloading\WalkAndUnGZ.bat" "%USERPROFILE%\AppData\Local\Temp\OnboardLogs"\RTDC4008\2017-02-20 &amp; aws s3 cp s3://rtdc.mdm.uploadarchive.raw/RTDC4008/ "%USERPROFILE%\AppData\Local\Temp\OnboardLogs"\RTDC4008\2017-02-21 --exclude "*" --recursive --include "*20170221*" &amp; "%USERPROFILE%\Documents\GitHub\mrs-test-scripts\Headless Mode &amp; Sideloading\WalkAndUnGZ.bat" "%USERPROFILE%\AppData\Local\Temp\OnboardLogs"\RTDC4008\2017-02-21</v>
      </c>
      <c r="AF110" s="82" t="str">
        <f t="shared" si="54"/>
        <v>"C:\Program Files (x86)\AstroGrep\AstroGrep.exe" /spath="%USERPROFILE%\AppData\Local\Temp\OnboardLogs" /stypes="app*4008*20170220*" /stext=" 23:.+((SYSTEM_STATE.+slice.+state.+changed )|(ment ac)|(multiple cpu faults)|(system.+state.+changed )|(\[timeout)|(PRM\|1\|D)|(kpr)|(kdp)|(\|lc)|(penalty))" /e /r /s</v>
      </c>
      <c r="AG110" s="1" t="str">
        <f t="shared" si="70"/>
        <v>EC</v>
      </c>
      <c r="AH110" s="86" t="str">
        <f t="shared" si="56"/>
        <v>"%USERPROFILE%\Documents\GitHub\eaglep3\Utilities\RefineRTDCRunTimes.py" --tripid 194-20 --locoid 4008 --swversion DE.1.0.9.0 --startMP 204:233000 --initTime 2017-02-20T15:54:27 --startdatetime 2017-02-20T16:11:13 --delay 1 --endMP 204:136 --enddatetime 2017-02-20T16:48:05 --enforcementcount 0 &gt;&gt;C:\Users\stu\Documents\GitHub\eaglep3-reporting\EC\2017-02-20-refined-times.txt</v>
      </c>
      <c r="AI110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{"issue":{"subject":"","project_id":79,"tracker_id":40,"status_id":1,"priority_id":2,"assigned_to_id":23,"start_date":"2017-02-20","description":"","custom_fields":[{"id":1,"name":"Subdivision","value":"EC"},{"id":4,"name":"Milepost","value":"0.0136"},{"id":17,"name":"Train ID","value":"194-20"},{"id":16,"name":"Locomotive ID","value":"4008"},{"id":130,"name":"Impact","value":""},{"id":150,"name":"Time of Event (Mountain Time)","value":"16:48:05"},{"id":151,"name":"Denver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48"/>
      <c r="AK110" s="48"/>
      <c r="AL110" s="48"/>
      <c r="AM110" s="154" t="str">
        <f t="shared" si="58"/>
        <v>start /low /b %USERPROFILE%\Documents\GitHub\eaglep3\Utilities\DownloadLogsFromS3.py --loco 4008 --day 2017-02-20</v>
      </c>
      <c r="AN110" s="163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"%USERPROFILE%\AppData\Local\Temp\OnboardLogs"\RTDC4008\*4008*20170220* | grep -SE "(Enforcement Action)|(\[TIMEOUT)|(CHR.+\|PRM\|1\|D.+(SWITCH|SIGNAL).+UNKNOWN)" - &gt;&gt; 2017-02-20-UncaughtWiMAX.txt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3" t="s">
        <v>614</v>
      </c>
      <c r="B111" s="7">
        <v>4044</v>
      </c>
      <c r="C111" s="21" t="s">
        <v>408</v>
      </c>
      <c r="D111" s="21" t="s">
        <v>298</v>
      </c>
      <c r="E111" s="13">
        <v>42786.641030092593</v>
      </c>
      <c r="F111" s="13">
        <v>42786.646122685182</v>
      </c>
      <c r="G111" s="7">
        <v>1</v>
      </c>
      <c r="H111" s="21" t="s">
        <v>337</v>
      </c>
      <c r="I111" s="13">
        <v>42786.671296296299</v>
      </c>
      <c r="J111" s="7">
        <v>0</v>
      </c>
      <c r="K111" s="98" t="str">
        <f t="shared" si="61"/>
        <v>4043/4044</v>
      </c>
      <c r="L111" s="21" t="str">
        <f>VLOOKUP(A111,'Trips&amp;Operators'!$C$1:$G$99999,5,FALSE)</f>
        <v>CRAYTON QUNTRELL</v>
      </c>
      <c r="M111" s="6">
        <f t="shared" si="62"/>
        <v>2.5173611116770189E-2</v>
      </c>
      <c r="N111" s="7">
        <f t="shared" si="71"/>
        <v>36.250000008149073</v>
      </c>
      <c r="O111" s="7"/>
      <c r="P111" s="7"/>
      <c r="Q111" s="22"/>
      <c r="R111" s="22"/>
      <c r="S111" s="31">
        <f t="shared" si="63"/>
        <v>1</v>
      </c>
      <c r="T111" s="46" t="str">
        <f t="shared" si="64"/>
        <v>NorthBound</v>
      </c>
      <c r="U111" s="186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7" t="str">
        <f t="shared" si="52"/>
        <v>https://d0f6bd738d7f1b3e5a7ca70fe4ff75f0.us-east-1.aws.found.io/app/kibana#/discover/Steve-Slow-Train-Analysis-(2080s-and-2083s)?_g=(refreshInterval:(display:Off,pause:!f,section:0,value:0),time:(from:'2017-02-20T14:23:05-0700',mode:absolute,to:'2017-02-20T17:06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1" s="188" t="str">
        <f t="shared" si="65"/>
        <v>N</v>
      </c>
      <c r="X111" s="188">
        <f t="shared" si="60"/>
        <v>1</v>
      </c>
      <c r="Y111" s="62">
        <f t="shared" si="66"/>
        <v>4.3799999999999999E-2</v>
      </c>
      <c r="Z111" s="62">
        <f t="shared" si="67"/>
        <v>23.3307</v>
      </c>
      <c r="AA111" s="62">
        <f t="shared" si="68"/>
        <v>23.286899999999999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 t="shared" si="69"/>
        <v>0195-20</v>
      </c>
      <c r="AE111" s="85" t="str">
        <f t="shared" si="53"/>
        <v>aws s3 cp s3://rtdc.mdm.uploadarchive.raw/RTDC4044/ "%USERPROFILE%\AppData\Local\Temp\OnboardLogs"\RTDC4044\2017-02-20 --exclude "*" --recursive --include "*20170220*" &amp; "%USERPROFILE%\Documents\GitHub\mrs-test-scripts\Headless Mode &amp; Sideloading\WalkAndUnGZ.bat" "%USERPROFILE%\AppData\Local\Temp\OnboardLogs"\RTDC4044\2017-02-20 &amp; aws s3 cp s3://rtdc.mdm.uploadarchive.raw/RTDC4044/ "%USERPROFILE%\AppData\Local\Temp\OnboardLogs"\RTDC4044\2017-02-21 --exclude "*" --recursive --include "*20170221*" &amp; "%USERPROFILE%\Documents\GitHub\mrs-test-scripts\Headless Mode &amp; Sideloading\WalkAndUnGZ.bat" "%USERPROFILE%\AppData\Local\Temp\OnboardLogs"\RTDC4044\2017-02-21</v>
      </c>
      <c r="AF111" s="82" t="str">
        <f t="shared" si="54"/>
        <v>"C:\Program Files (x86)\AstroGrep\AstroGrep.exe" /spath="%USERPROFILE%\AppData\Local\Temp\OnboardLogs" /stypes="app*4044*20170220*" /stext=" 23:.+((SYSTEM_STATE.+slice.+state.+changed )|(ment ac)|(multiple cpu faults)|(system.+state.+changed )|(\[timeout)|(PRM\|1\|D)|(kpr)|(kdp)|(\|lc)|(penalty))" /e /r /s</v>
      </c>
      <c r="AG111" s="1" t="str">
        <f t="shared" si="70"/>
        <v>EC</v>
      </c>
      <c r="AH111" s="86" t="str">
        <f t="shared" si="56"/>
        <v>"%USERPROFILE%\Documents\GitHub\eaglep3\Utilities\RefineRTDCRunTimes.py" --tripid 195-20 --locoid 4044 --swversion DE.1.0.9.0 --startMP 204:438 --initTime 2017-02-20T15:23:05 --startdatetime 2017-02-20T15:30:25 --delay 1 --endMP 204:233307 --enddatetime 2017-02-20T16:06:40 --enforcementcount 0 &gt;&gt;C:\Users\stu\Documents\GitHub\eaglep3-reporting\EC\2017-02-20-refined-times.txt</v>
      </c>
      <c r="AI111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{"issue":{"subject":"","project_id":79,"tracker_id":40,"status_id":1,"priority_id":2,"assigned_to_id":23,"start_date":"2017-02-20","description":"","custom_fields":[{"id":1,"name":"Subdivision","value":"EC"},{"id":4,"name":"Milepost","value":"23.3307"},{"id":17,"name":"Train ID","value":"195-20"},{"id":16,"name":"Locomotive ID","value":"4044"},{"id":130,"name":"Impact","value":""},{"id":150,"name":"Time of Event (Mountain Time)","value":"16:06:40"},{"id":151,"name":"Denver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48"/>
      <c r="AK111" s="48"/>
      <c r="AL111" s="48"/>
      <c r="AM111" s="154" t="str">
        <f t="shared" si="58"/>
        <v>start /low /b %USERPROFILE%\Documents\GitHub\eaglep3\Utilities\DownloadLogsFromS3.py --loco 4044 --day 2017-02-20</v>
      </c>
      <c r="AN111" s="163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"%USERPROFILE%\AppData\Local\Temp\OnboardLogs"\RTDC4044\*4044*20170220* | grep -SE "(Enforcement Action)|(\[TIMEOUT)|(CHR.+\|PRM\|1\|D.+(SWITCH|SIGNAL).+UNKNOWN)" - &gt;&gt; 2017-02-20-UncaughtWiMAX.txt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3" t="s">
        <v>624</v>
      </c>
      <c r="B112" s="7">
        <v>4043</v>
      </c>
      <c r="C112" s="21" t="s">
        <v>408</v>
      </c>
      <c r="D112" s="21" t="s">
        <v>439</v>
      </c>
      <c r="E112" s="13">
        <v>42786.675370370373</v>
      </c>
      <c r="F112" s="13">
        <v>42786.684895833336</v>
      </c>
      <c r="G112" s="7">
        <v>1</v>
      </c>
      <c r="H112" s="21" t="s">
        <v>203</v>
      </c>
      <c r="I112" s="13">
        <v>42786.711481481485</v>
      </c>
      <c r="J112" s="7">
        <v>0</v>
      </c>
      <c r="K112" s="98" t="str">
        <f t="shared" si="61"/>
        <v>4043/4044</v>
      </c>
      <c r="L112" s="21" t="str">
        <f>VLOOKUP(A112,'Trips&amp;Operators'!$C$1:$G$99999,5,FALSE)</f>
        <v>CRAYTON QUNTRELL</v>
      </c>
      <c r="M112" s="6">
        <f t="shared" si="62"/>
        <v>2.658564814919373E-2</v>
      </c>
      <c r="N112" s="7">
        <f t="shared" si="71"/>
        <v>38.283333334838971</v>
      </c>
      <c r="O112" s="7"/>
      <c r="P112" s="7"/>
      <c r="Q112" s="22"/>
      <c r="R112" s="22"/>
      <c r="S112" s="31">
        <f t="shared" si="63"/>
        <v>1</v>
      </c>
      <c r="T112" s="46" t="str">
        <f t="shared" si="64"/>
        <v>Southbound</v>
      </c>
      <c r="U112" s="186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7" t="str">
        <f t="shared" si="52"/>
        <v>https://d0f6bd738d7f1b3e5a7ca70fe4ff75f0.us-east-1.aws.found.io/app/kibana#/discover/Steve-Slow-Train-Analysis-(2080s-and-2083s)?_g=(refreshInterval:(display:Off,pause:!f,section:0,value:0),time:(from:'2017-02-20T15:12:32-0700',mode:absolute,to:'2017-02-20T18:04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2" s="188" t="str">
        <f t="shared" si="65"/>
        <v>N</v>
      </c>
      <c r="X112" s="188">
        <f t="shared" si="60"/>
        <v>1</v>
      </c>
      <c r="Y112" s="62">
        <f t="shared" si="66"/>
        <v>23.299399999999999</v>
      </c>
      <c r="Z112" s="62">
        <f t="shared" si="67"/>
        <v>1.6E-2</v>
      </c>
      <c r="AA112" s="62">
        <f t="shared" si="68"/>
        <v>23.2834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 t="shared" si="69"/>
        <v>0196-20</v>
      </c>
      <c r="AE112" s="85" t="str">
        <f t="shared" si="53"/>
        <v>aws s3 cp s3://rtdc.mdm.uploadarchive.raw/RTDC4043/ "%USERPROFILE%\AppData\Local\Temp\OnboardLogs"\RTDC4043\2017-02-20 --exclude "*" --recursive --include "*20170220*" &amp; "%USERPROFILE%\Documents\GitHub\mrs-test-scripts\Headless Mode &amp; Sideloading\WalkAndUnGZ.bat" "%USERPROFILE%\AppData\Local\Temp\OnboardLogs"\RTDC4043\2017-02-20 &amp; aws s3 cp s3://rtdc.mdm.uploadarchive.raw/RTDC4043/ "%USERPROFILE%\AppData\Local\Temp\OnboardLogs"\RTDC4043\2017-02-21 --exclude "*" --recursive --include "*20170221*" &amp; "%USERPROFILE%\Documents\GitHub\mrs-test-scripts\Headless Mode &amp; Sideloading\WalkAndUnGZ.bat" "%USERPROFILE%\AppData\Local\Temp\OnboardLogs"\RTDC4043\2017-02-21</v>
      </c>
      <c r="AF112" s="82" t="str">
        <f t="shared" si="54"/>
        <v>"C:\Program Files (x86)\AstroGrep\AstroGrep.exe" /spath="%USERPROFILE%\AppData\Local\Temp\OnboardLogs" /stypes="app*4043*20170221*" /stext=" 00:.+((SYSTEM_STATE.+slice.+state.+changed )|(ment ac)|(multiple cpu faults)|(system.+state.+changed )|(\[timeout)|(PRM\|1\|D)|(kpr)|(kdp)|(\|lc)|(penalty))" /e /r /s</v>
      </c>
      <c r="AG112" s="1" t="str">
        <f t="shared" si="70"/>
        <v>EC</v>
      </c>
      <c r="AH112" s="86" t="str">
        <f t="shared" si="56"/>
        <v>"%USERPROFILE%\Documents\GitHub\eaglep3\Utilities\RefineRTDCRunTimes.py" --tripid 196-20 --locoid 4043 --swversion DE.1.0.9.0 --startMP 204:232994 --initTime 2017-02-20T16:12:32 --startdatetime 2017-02-20T16:26:15 --delay 1 --endMP 204:160 --enddatetime 2017-02-20T17:04:32 --enforcementcount 0 &gt;&gt;C:\Users\stu\Documents\GitHub\eaglep3-reporting\EC\2017-02-20-refined-times.txt</v>
      </c>
      <c r="AI112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{"issue":{"subject":"","project_id":79,"tracker_id":40,"status_id":1,"priority_id":2,"assigned_to_id":23,"start_date":"2017-02-20","description":"","custom_fields":[{"id":1,"name":"Subdivision","value":"EC"},{"id":4,"name":"Milepost","value":"0.016"},{"id":17,"name":"Train ID","value":"196-20"},{"id":16,"name":"Locomotive ID","value":"4043"},{"id":130,"name":"Impact","value":""},{"id":150,"name":"Time of Event (Mountain Time)","value":"17:04:32"},{"id":151,"name":"Denver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48"/>
      <c r="AK112" s="48"/>
      <c r="AL112" s="48"/>
      <c r="AM112" s="154" t="str">
        <f t="shared" si="58"/>
        <v>start /low /b %USERPROFILE%\Documents\GitHub\eaglep3\Utilities\DownloadLogsFromS3.py --loco 4043 --day 2017-02-20</v>
      </c>
      <c r="AN112" s="163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"%USERPROFILE%\AppData\Local\Temp\OnboardLogs"\RTDC4043\*4043*20170220* | grep -SE "(Enforcement Action)|(\[TIMEOUT)|(CHR.+\|PRM\|1\|D.+(SWITCH|SIGNAL).+UNKNOWN)" - &gt;&gt; 2017-02-20-UncaughtWiMAX.txt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3" t="s">
        <v>617</v>
      </c>
      <c r="B113" s="7">
        <v>4003</v>
      </c>
      <c r="C113" s="21" t="s">
        <v>408</v>
      </c>
      <c r="D113" s="21" t="s">
        <v>226</v>
      </c>
      <c r="E113" s="13">
        <v>42786.651701388888</v>
      </c>
      <c r="F113" s="13">
        <v>42786.656701388885</v>
      </c>
      <c r="G113" s="7">
        <v>1</v>
      </c>
      <c r="H113" s="21" t="s">
        <v>367</v>
      </c>
      <c r="I113" s="13">
        <v>42786.682326388887</v>
      </c>
      <c r="J113" s="7">
        <v>0</v>
      </c>
      <c r="K113" s="98" t="str">
        <f t="shared" si="61"/>
        <v>4003/4004</v>
      </c>
      <c r="L113" s="21" t="str">
        <f>VLOOKUP(A113,'Trips&amp;Operators'!$C$1:$G$99999,5,FALSE)</f>
        <v>LEVERE CRAIG</v>
      </c>
      <c r="M113" s="6">
        <f t="shared" si="62"/>
        <v>2.5625000002037268E-2</v>
      </c>
      <c r="N113" s="7">
        <f t="shared" si="71"/>
        <v>36.900000002933666</v>
      </c>
      <c r="O113" s="7"/>
      <c r="P113" s="7"/>
      <c r="Q113" s="22"/>
      <c r="R113" s="22"/>
      <c r="S113" s="31">
        <f t="shared" si="63"/>
        <v>1</v>
      </c>
      <c r="T113" s="46" t="str">
        <f t="shared" si="64"/>
        <v>NorthBound</v>
      </c>
      <c r="U113" s="186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7" t="str">
        <f t="shared" si="52"/>
        <v>https://d0f6bd738d7f1b3e5a7ca70fe4ff75f0.us-east-1.aws.found.io/app/kibana#/discover/Steve-Slow-Train-Analysis-(2080s-and-2083s)?_g=(refreshInterval:(display:Off,pause:!f,section:0,value:0),time:(from:'2017-02-20T14:38:27-0700',mode:absolute,to:'2017-02-20T17:22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3" s="188" t="str">
        <f t="shared" si="65"/>
        <v>N</v>
      </c>
      <c r="X113" s="188">
        <f t="shared" si="60"/>
        <v>1</v>
      </c>
      <c r="Y113" s="62">
        <f t="shared" si="66"/>
        <v>4.5100000000000001E-2</v>
      </c>
      <c r="Z113" s="62">
        <f t="shared" si="67"/>
        <v>23.330400000000001</v>
      </c>
      <c r="AA113" s="62">
        <f t="shared" si="68"/>
        <v>23.285299999999999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 t="shared" si="69"/>
        <v>0197-20</v>
      </c>
      <c r="AE113" s="85" t="str">
        <f t="shared" si="53"/>
        <v>aws s3 cp s3://rtdc.mdm.uploadarchive.raw/RTDC4003/ "%USERPROFILE%\AppData\Local\Temp\OnboardLogs"\RTDC4003\2017-02-20 --exclude "*" --recursive --include "*20170220*" &amp; "%USERPROFILE%\Documents\GitHub\mrs-test-scripts\Headless Mode &amp; Sideloading\WalkAndUnGZ.bat" "%USERPROFILE%\AppData\Local\Temp\OnboardLogs"\RTDC4003\2017-02-20 &amp; aws s3 cp s3://rtdc.mdm.uploadarchive.raw/RTDC4003/ "%USERPROFILE%\AppData\Local\Temp\OnboardLogs"\RTDC4003\2017-02-21 --exclude "*" --recursive --include "*20170221*" &amp; "%USERPROFILE%\Documents\GitHub\mrs-test-scripts\Headless Mode &amp; Sideloading\WalkAndUnGZ.bat" "%USERPROFILE%\AppData\Local\Temp\OnboardLogs"\RTDC4003\2017-02-21</v>
      </c>
      <c r="AF113" s="82" t="str">
        <f t="shared" si="54"/>
        <v>"C:\Program Files (x86)\AstroGrep\AstroGrep.exe" /spath="%USERPROFILE%\AppData\Local\Temp\OnboardLogs" /stypes="app*4003*20170220*" /stext=" 23:.+((SYSTEM_STATE.+slice.+state.+changed )|(ment ac)|(multiple cpu faults)|(system.+state.+changed )|(\[timeout)|(PRM\|1\|D)|(kpr)|(kdp)|(\|lc)|(penalty))" /e /r /s</v>
      </c>
      <c r="AG113" s="1" t="str">
        <f t="shared" si="70"/>
        <v>EC</v>
      </c>
      <c r="AH113" s="86" t="str">
        <f t="shared" si="56"/>
        <v>"%USERPROFILE%\Documents\GitHub\eaglep3\Utilities\RefineRTDCRunTimes.py" --tripid 197-20 --locoid 4003 --swversion DE.1.0.9.0 --startMP 204:451 --initTime 2017-02-20T15:38:27 --startdatetime 2017-02-20T15:45:39 --delay 1 --endMP 204:233304 --enddatetime 2017-02-20T16:22:33 --enforcementcount 0 &gt;&gt;C:\Users\stu\Documents\GitHub\eaglep3-reporting\EC\2017-02-20-refined-times.txt</v>
      </c>
      <c r="AI113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{"issue":{"subject":"","project_id":79,"tracker_id":40,"status_id":1,"priority_id":2,"assigned_to_id":23,"start_date":"2017-02-20","description":"","custom_fields":[{"id":1,"name":"Subdivision","value":"EC"},{"id":4,"name":"Milepost","value":"23.3304"},{"id":17,"name":"Train ID","value":"197-20"},{"id":16,"name":"Locomotive ID","value":"4003"},{"id":130,"name":"Impact","value":""},{"id":150,"name":"Time of Event (Mountain Time)","value":"16:22:33"},{"id":151,"name":"Denver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48"/>
      <c r="AK113" s="48"/>
      <c r="AL113" s="48"/>
      <c r="AM113" s="154" t="str">
        <f t="shared" si="58"/>
        <v>start /low /b %USERPROFILE%\Documents\GitHub\eaglep3\Utilities\DownloadLogsFromS3.py --loco 4003 --day 2017-02-20</v>
      </c>
      <c r="AN113" s="163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"%USERPROFILE%\AppData\Local\Temp\OnboardLogs"\RTDC4003\*4003*20170220* | grep -SE "(Enforcement Action)|(\[TIMEOUT)|(CHR.+\|PRM\|1\|D.+(SWITCH|SIGNAL).+UNKNOWN)" - &gt;&gt; 2017-02-20-UncaughtWiMAX.txt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3" t="s">
        <v>630</v>
      </c>
      <c r="B114" s="7">
        <v>4004</v>
      </c>
      <c r="C114" s="21" t="s">
        <v>408</v>
      </c>
      <c r="D114" s="21" t="s">
        <v>439</v>
      </c>
      <c r="E114" s="13">
        <v>42786.687638888892</v>
      </c>
      <c r="F114" s="13">
        <v>42786.695462962962</v>
      </c>
      <c r="G114" s="7">
        <v>1</v>
      </c>
      <c r="H114" s="21" t="s">
        <v>291</v>
      </c>
      <c r="I114" s="13">
        <v>42786.723321759258</v>
      </c>
      <c r="J114" s="7">
        <v>0</v>
      </c>
      <c r="K114" s="98" t="str">
        <f t="shared" si="61"/>
        <v>4003/4004</v>
      </c>
      <c r="L114" s="21" t="str">
        <f>VLOOKUP(A114,'Trips&amp;Operators'!$C$1:$G$99999,5,FALSE)</f>
        <v>LEVERE CRAIG</v>
      </c>
      <c r="M114" s="6">
        <f t="shared" si="62"/>
        <v>2.7858796296641231E-2</v>
      </c>
      <c r="N114" s="7">
        <f t="shared" si="71"/>
        <v>40.116666667163372</v>
      </c>
      <c r="O114" s="7"/>
      <c r="P114" s="7"/>
      <c r="Q114" s="22"/>
      <c r="R114" s="22"/>
      <c r="S114" s="31">
        <f t="shared" si="63"/>
        <v>1</v>
      </c>
      <c r="T114" s="46" t="str">
        <f t="shared" si="64"/>
        <v>Southbound</v>
      </c>
      <c r="U114" s="186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7" t="str">
        <f t="shared" si="52"/>
        <v>https://d0f6bd738d7f1b3e5a7ca70fe4ff75f0.us-east-1.aws.found.io/app/kibana#/discover/Steve-Slow-Train-Analysis-(2080s-and-2083s)?_g=(refreshInterval:(display:Off,pause:!f,section:0,value:0),time:(from:'2017-02-20T15:30:12-0700',mode:absolute,to:'2017-02-20T18:21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4" s="188" t="str">
        <f t="shared" si="65"/>
        <v>N</v>
      </c>
      <c r="X114" s="188">
        <f t="shared" si="60"/>
        <v>1</v>
      </c>
      <c r="Y114" s="62">
        <f t="shared" si="66"/>
        <v>23.299399999999999</v>
      </c>
      <c r="Z114" s="62">
        <f t="shared" si="67"/>
        <v>1.47E-2</v>
      </c>
      <c r="AA114" s="62">
        <f t="shared" si="68"/>
        <v>23.284699999999997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 t="shared" si="69"/>
        <v>0198-20</v>
      </c>
      <c r="AE114" s="85" t="str">
        <f t="shared" si="53"/>
        <v>aws s3 cp s3://rtdc.mdm.uploadarchive.raw/RTDC4004/ "%USERPROFILE%\AppData\Local\Temp\OnboardLogs"\RTDC4004\2017-02-20 --exclude "*" --recursive --include "*20170220*" &amp; "%USERPROFILE%\Documents\GitHub\mrs-test-scripts\Headless Mode &amp; Sideloading\WalkAndUnGZ.bat" "%USERPROFILE%\AppData\Local\Temp\OnboardLogs"\RTDC4004\2017-02-20 &amp; aws s3 cp s3://rtdc.mdm.uploadarchive.raw/RTDC4004/ "%USERPROFILE%\AppData\Local\Temp\OnboardLogs"\RTDC4004\2017-02-21 --exclude "*" --recursive --include "*20170221*" &amp; "%USERPROFILE%\Documents\GitHub\mrs-test-scripts\Headless Mode &amp; Sideloading\WalkAndUnGZ.bat" "%USERPROFILE%\AppData\Local\Temp\OnboardLogs"\RTDC4004\2017-02-21</v>
      </c>
      <c r="AF114" s="82" t="str">
        <f t="shared" si="54"/>
        <v>"C:\Program Files (x86)\AstroGrep\AstroGrep.exe" /spath="%USERPROFILE%\AppData\Local\Temp\OnboardLogs" /stypes="app*4004*20170221*" /stext=" 00:.+((SYSTEM_STATE.+slice.+state.+changed )|(ment ac)|(multiple cpu faults)|(system.+state.+changed )|(\[timeout)|(PRM\|1\|D)|(kpr)|(kdp)|(\|lc)|(penalty))" /e /r /s</v>
      </c>
      <c r="AG114" s="1" t="str">
        <f t="shared" si="70"/>
        <v>EC</v>
      </c>
      <c r="AH114" s="86" t="str">
        <f t="shared" si="56"/>
        <v>"%USERPROFILE%\Documents\GitHub\eaglep3\Utilities\RefineRTDCRunTimes.py" --tripid 198-20 --locoid 4004 --swversion DE.1.0.9.0 --startMP 204:232994 --initTime 2017-02-20T16:30:12 --startdatetime 2017-02-20T16:41:28 --delay 1 --endMP 204:147 --enddatetime 2017-02-20T17:21:35 --enforcementcount 0 &gt;&gt;C:\Users\stu\Documents\GitHub\eaglep3-reporting\EC\2017-02-20-refined-times.txt</v>
      </c>
      <c r="AI114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{"issue":{"subject":"","project_id":79,"tracker_id":40,"status_id":1,"priority_id":2,"assigned_to_id":23,"start_date":"2017-02-20","description":"","custom_fields":[{"id":1,"name":"Subdivision","value":"EC"},{"id":4,"name":"Milepost","value":"0.0147"},{"id":17,"name":"Train ID","value":"198-20"},{"id":16,"name":"Locomotive ID","value":"4004"},{"id":130,"name":"Impact","value":""},{"id":150,"name":"Time of Event (Mountain Time)","value":"17:21:35"},{"id":151,"name":"Denver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48"/>
      <c r="AK114" s="48"/>
      <c r="AL114" s="48"/>
      <c r="AM114" s="154" t="str">
        <f t="shared" si="58"/>
        <v>start /low /b %USERPROFILE%\Documents\GitHub\eaglep3\Utilities\DownloadLogsFromS3.py --loco 4004 --day 2017-02-20</v>
      </c>
      <c r="AN114" s="163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"%USERPROFILE%\AppData\Local\Temp\OnboardLogs"\RTDC4004\*4004*20170221* | grep -SE "(Enforcement Action)|(\[TIMEOUT)|(CHR.+\|PRM\|1\|D.+(SWITCH|SIGNAL).+UNKNOWN)" - &gt;&gt; 2017-02-20-UncaughtWiMAX.txt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3" t="s">
        <v>621</v>
      </c>
      <c r="B115" s="7">
        <v>4016</v>
      </c>
      <c r="C115" s="21" t="s">
        <v>408</v>
      </c>
      <c r="D115" s="21" t="s">
        <v>410</v>
      </c>
      <c r="E115" s="13">
        <v>42786.664687500001</v>
      </c>
      <c r="F115" s="13">
        <v>42786.666909722226</v>
      </c>
      <c r="G115" s="7">
        <v>1</v>
      </c>
      <c r="H115" s="21" t="s">
        <v>417</v>
      </c>
      <c r="I115" s="13">
        <v>42786.69253472222</v>
      </c>
      <c r="J115" s="7">
        <v>0</v>
      </c>
      <c r="K115" s="98" t="str">
        <f t="shared" si="61"/>
        <v>4015/4016</v>
      </c>
      <c r="L115" s="21" t="str">
        <f>VLOOKUP(A115,'Trips&amp;Operators'!$C$1:$G$99999,5,FALSE)</f>
        <v>KILLION DAVID</v>
      </c>
      <c r="M115" s="6">
        <f t="shared" si="62"/>
        <v>2.5624999994761311E-2</v>
      </c>
      <c r="N115" s="7">
        <f t="shared" si="71"/>
        <v>36.899999992456287</v>
      </c>
      <c r="O115" s="7"/>
      <c r="P115" s="7"/>
      <c r="Q115" s="22"/>
      <c r="R115" s="22"/>
      <c r="S115" s="31">
        <f t="shared" si="63"/>
        <v>1</v>
      </c>
      <c r="T115" s="46" t="str">
        <f t="shared" si="64"/>
        <v>NorthBound</v>
      </c>
      <c r="U115" s="186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7" t="str">
        <f t="shared" si="52"/>
        <v>https://d0f6bd738d7f1b3e5a7ca70fe4ff75f0.us-east-1.aws.found.io/app/kibana#/discover/Steve-Slow-Train-Analysis-(2080s-and-2083s)?_g=(refreshInterval:(display:Off,pause:!f,section:0,value:0),time:(from:'2017-02-20T14:57:09-0700',mode:absolute,to:'2017-02-20T17:37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5" s="188" t="str">
        <f t="shared" si="65"/>
        <v>N</v>
      </c>
      <c r="X115" s="188">
        <f t="shared" si="60"/>
        <v>1</v>
      </c>
      <c r="Y115" s="62">
        <f t="shared" si="66"/>
        <v>4.58E-2</v>
      </c>
      <c r="Z115" s="62">
        <f t="shared" si="67"/>
        <v>23.3291</v>
      </c>
      <c r="AA115" s="62">
        <f t="shared" si="68"/>
        <v>23.283300000000001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 t="shared" si="69"/>
        <v>0199-20</v>
      </c>
      <c r="AE115" s="85" t="str">
        <f t="shared" si="53"/>
        <v>aws s3 cp s3://rtdc.mdm.uploadarchive.raw/RTDC4016/ "%USERPROFILE%\AppData\Local\Temp\OnboardLogs"\RTDC4016\2017-02-20 --exclude "*" --recursive --include "*20170220*" &amp; "%USERPROFILE%\Documents\GitHub\mrs-test-scripts\Headless Mode &amp; Sideloading\WalkAndUnGZ.bat" "%USERPROFILE%\AppData\Local\Temp\OnboardLogs"\RTDC4016\2017-02-20 &amp; aws s3 cp s3://rtdc.mdm.uploadarchive.raw/RTDC4016/ "%USERPROFILE%\AppData\Local\Temp\OnboardLogs"\RTDC4016\2017-02-21 --exclude "*" --recursive --include "*20170221*" &amp; "%USERPROFILE%\Documents\GitHub\mrs-test-scripts\Headless Mode &amp; Sideloading\WalkAndUnGZ.bat" "%USERPROFILE%\AppData\Local\Temp\OnboardLogs"\RTDC4016\2017-02-21</v>
      </c>
      <c r="AF115" s="82" t="str">
        <f t="shared" si="54"/>
        <v>"C:\Program Files (x86)\AstroGrep\AstroGrep.exe" /spath="%USERPROFILE%\AppData\Local\Temp\OnboardLogs" /stypes="app*4016*20170220*" /stext=" 23:.+((SYSTEM_STATE.+slice.+state.+changed )|(ment ac)|(multiple cpu faults)|(system.+state.+changed )|(\[timeout)|(PRM\|1\|D)|(kpr)|(kdp)|(\|lc)|(penalty))" /e /r /s</v>
      </c>
      <c r="AG115" s="1" t="str">
        <f t="shared" si="70"/>
        <v>EC</v>
      </c>
      <c r="AH115" s="86" t="str">
        <f t="shared" si="56"/>
        <v>"%USERPROFILE%\Documents\GitHub\eaglep3\Utilities\RefineRTDCRunTimes.py" --tripid 199-20 --locoid 4016 --swversion DE.1.0.9.0 --startMP 204:458 --initTime 2017-02-20T15:57:09 --startdatetime 2017-02-20T16:00:21 --delay 1 --endMP 204:233291 --enddatetime 2017-02-20T16:37:15 --enforcementcount 0 &gt;&gt;C:\Users\stu\Documents\GitHub\eaglep3-reporting\EC\2017-02-20-refined-times.txt</v>
      </c>
      <c r="AI115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{"issue":{"subject":"","project_id":79,"tracker_id":40,"status_id":1,"priority_id":2,"assigned_to_id":23,"start_date":"2017-02-20","description":"","custom_fields":[{"id":1,"name":"Subdivision","value":"EC"},{"id":4,"name":"Milepost","value":"23.3291"},{"id":17,"name":"Train ID","value":"199-20"},{"id":16,"name":"Locomotive ID","value":"4016"},{"id":130,"name":"Impact","value":""},{"id":150,"name":"Time of Event (Mountain Time)","value":"16:37:15"},{"id":151,"name":"Denver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48"/>
      <c r="AK115" s="48"/>
      <c r="AL115" s="48"/>
      <c r="AM115" s="154" t="str">
        <f t="shared" si="58"/>
        <v>start /low /b %USERPROFILE%\Documents\GitHub\eaglep3\Utilities\DownloadLogsFromS3.py --loco 4016 --day 2017-02-20</v>
      </c>
      <c r="AN115" s="163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"%USERPROFILE%\AppData\Local\Temp\OnboardLogs"\RTDC4016\*4016*20170220* | grep -SE "(Enforcement Action)|(\[TIMEOUT)|(CHR.+\|PRM\|1\|D.+(SWITCH|SIGNAL).+UNKNOWN)" - &gt;&gt; 2017-02-20-UncaughtWiMAX.txt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3" t="s">
        <v>482</v>
      </c>
      <c r="B116" s="7">
        <v>4015</v>
      </c>
      <c r="C116" s="21" t="s">
        <v>408</v>
      </c>
      <c r="D116" s="21" t="s">
        <v>339</v>
      </c>
      <c r="E116" s="13">
        <v>42786.698692129627</v>
      </c>
      <c r="F116" s="13">
        <v>42786.705729166664</v>
      </c>
      <c r="G116" s="7">
        <v>1</v>
      </c>
      <c r="H116" s="21" t="s">
        <v>184</v>
      </c>
      <c r="I116" s="13">
        <v>42786.733807870369</v>
      </c>
      <c r="J116" s="7">
        <v>0</v>
      </c>
      <c r="K116" s="98" t="str">
        <f t="shared" si="61"/>
        <v>4015/4016</v>
      </c>
      <c r="L116" s="21" t="str">
        <f>VLOOKUP(A116,'Trips&amp;Operators'!$C$1:$G$99999,5,FALSE)</f>
        <v>KILLION DAVID</v>
      </c>
      <c r="M116" s="6">
        <f t="shared" si="62"/>
        <v>2.8078703704522923E-2</v>
      </c>
      <c r="N116" s="7">
        <f t="shared" si="71"/>
        <v>40.433333334513009</v>
      </c>
      <c r="O116" s="7"/>
      <c r="P116" s="7"/>
      <c r="Q116" s="22"/>
      <c r="R116" s="22"/>
      <c r="S116" s="31">
        <f t="shared" si="63"/>
        <v>1</v>
      </c>
      <c r="T116" s="46" t="str">
        <f t="shared" si="64"/>
        <v>Southbound</v>
      </c>
      <c r="U116" s="186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7" t="str">
        <f t="shared" si="52"/>
        <v>https://d0f6bd738d7f1b3e5a7ca70fe4ff75f0.us-east-1.aws.found.io/app/kibana#/discover/Steve-Slow-Train-Analysis-(2080s-and-2083s)?_g=(refreshInterval:(display:Off,pause:!f,section:0,value:0),time:(from:'2017-02-20T15:46:07-0700',mode:absolute,to:'2017-02-20T18:36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6" s="188" t="str">
        <f t="shared" si="65"/>
        <v>N</v>
      </c>
      <c r="X116" s="188">
        <f t="shared" si="60"/>
        <v>1</v>
      </c>
      <c r="Y116" s="62">
        <f t="shared" si="66"/>
        <v>23.2973</v>
      </c>
      <c r="Z116" s="62">
        <f t="shared" si="67"/>
        <v>1.49E-2</v>
      </c>
      <c r="AA116" s="62">
        <f t="shared" si="68"/>
        <v>23.282399999999999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 t="shared" si="69"/>
        <v>0200-20</v>
      </c>
      <c r="AE116" s="85" t="str">
        <f t="shared" si="53"/>
        <v>aws s3 cp s3://rtdc.mdm.uploadarchive.raw/RTDC4015/ "%USERPROFILE%\AppData\Local\Temp\OnboardLogs"\RTDC4015\2017-02-20 --exclude "*" --recursive --include "*20170220*" &amp; "%USERPROFILE%\Documents\GitHub\mrs-test-scripts\Headless Mode &amp; Sideloading\WalkAndUnGZ.bat" "%USERPROFILE%\AppData\Local\Temp\OnboardLogs"\RTDC4015\2017-02-20 &amp; aws s3 cp s3://rtdc.mdm.uploadarchive.raw/RTDC4015/ "%USERPROFILE%\AppData\Local\Temp\OnboardLogs"\RTDC4015\2017-02-21 --exclude "*" --recursive --include "*20170221*" &amp; "%USERPROFILE%\Documents\GitHub\mrs-test-scripts\Headless Mode &amp; Sideloading\WalkAndUnGZ.bat" "%USERPROFILE%\AppData\Local\Temp\OnboardLogs"\RTDC4015\2017-02-21</v>
      </c>
      <c r="AF116" s="82" t="str">
        <f t="shared" si="54"/>
        <v>"C:\Program Files (x86)\AstroGrep\AstroGrep.exe" /spath="%USERPROFILE%\AppData\Local\Temp\OnboardLogs" /stypes="app*4015*20170221*" /stext=" 00:.+((SYSTEM_STATE.+slice.+state.+changed )|(ment ac)|(multiple cpu faults)|(system.+state.+changed )|(\[timeout)|(PRM\|1\|D)|(kpr)|(kdp)|(\|lc)|(penalty))" /e /r /s</v>
      </c>
      <c r="AG116" s="1" t="str">
        <f t="shared" si="70"/>
        <v>EC</v>
      </c>
      <c r="AH116" s="86" t="str">
        <f t="shared" si="56"/>
        <v>"%USERPROFILE%\Documents\GitHub\eaglep3\Utilities\RefineRTDCRunTimes.py" --tripid 200-20 --locoid 4015 --swversion DE.1.0.9.0 --startMP 204:232973 --initTime 2017-02-20T16:46:07 --startdatetime 2017-02-20T16:56:15 --delay 1 --endMP 204:149 --enddatetime 2017-02-20T17:36:41 --enforcementcount 0 &gt;&gt;C:\Users\stu\Documents\GitHub\eaglep3-reporting\EC\2017-02-20-refined-times.txt</v>
      </c>
      <c r="AI116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{"issue":{"subject":"","project_id":79,"tracker_id":40,"status_id":1,"priority_id":2,"assigned_to_id":23,"start_date":"2017-02-20","description":"","custom_fields":[{"id":1,"name":"Subdivision","value":"EC"},{"id":4,"name":"Milepost","value":"0.0149"},{"id":17,"name":"Train ID","value":"200-20"},{"id":16,"name":"Locomotive ID","value":"4015"},{"id":130,"name":"Impact","value":""},{"id":150,"name":"Time of Event (Mountain Time)","value":"17:36:41"},{"id":151,"name":"Denver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48"/>
      <c r="AK116" s="48"/>
      <c r="AL116" s="48"/>
      <c r="AM116" s="154" t="str">
        <f t="shared" si="58"/>
        <v>start /low /b %USERPROFILE%\Documents\GitHub\eaglep3\Utilities\DownloadLogsFromS3.py --loco 4015 --day 2017-02-20</v>
      </c>
      <c r="AN116" s="163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"%USERPROFILE%\AppData\Local\Temp\OnboardLogs"\RTDC4015\*4015*20170221* | grep -SE "(Enforcement Action)|(\[TIMEOUT)|(CHR.+\|PRM\|1\|D.+(SWITCH|SIGNAL).+UNKNOWN)" - &gt;&gt; 2017-02-20-UncaughtWiMAX.txt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623</v>
      </c>
      <c r="B117" s="7">
        <v>4027</v>
      </c>
      <c r="C117" s="21" t="s">
        <v>408</v>
      </c>
      <c r="D117" s="21" t="s">
        <v>365</v>
      </c>
      <c r="E117" s="13">
        <v>42786.672858796293</v>
      </c>
      <c r="F117" s="13">
        <v>42786.677442129629</v>
      </c>
      <c r="G117" s="7">
        <v>1</v>
      </c>
      <c r="H117" s="21" t="s">
        <v>438</v>
      </c>
      <c r="I117" s="13">
        <v>42786.7028125</v>
      </c>
      <c r="J117" s="7">
        <v>0</v>
      </c>
      <c r="K117" s="98" t="str">
        <f t="shared" si="61"/>
        <v>4027/4028</v>
      </c>
      <c r="L117" s="21" t="str">
        <f>VLOOKUP(A117,'Trips&amp;Operators'!$C$1:$G$99999,5,FALSE)</f>
        <v>STEWART MICHAEL</v>
      </c>
      <c r="M117" s="6">
        <f t="shared" si="62"/>
        <v>2.5370370371092577E-2</v>
      </c>
      <c r="N117" s="7">
        <f t="shared" si="71"/>
        <v>36.53333333437331</v>
      </c>
      <c r="O117" s="7"/>
      <c r="P117" s="7"/>
      <c r="Q117" s="22"/>
      <c r="R117" s="22"/>
      <c r="S117" s="31">
        <f t="shared" si="63"/>
        <v>1</v>
      </c>
      <c r="T117" s="46" t="str">
        <f t="shared" si="64"/>
        <v>NorthBound</v>
      </c>
      <c r="U117" s="186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7" t="str">
        <f t="shared" si="52"/>
        <v>https://d0f6bd738d7f1b3e5a7ca70fe4ff75f0.us-east-1.aws.found.io/app/kibana#/discover/Steve-Slow-Train-Analysis-(2080s-and-2083s)?_g=(refreshInterval:(display:Off,pause:!f,section:0,value:0),time:(from:'2017-02-20T15:08:55-0700',mode:absolute,to:'2017-02-20T17:52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7" s="188" t="str">
        <f t="shared" si="65"/>
        <v>N</v>
      </c>
      <c r="X117" s="188">
        <f t="shared" si="60"/>
        <v>1</v>
      </c>
      <c r="Y117" s="62">
        <f t="shared" si="66"/>
        <v>4.6600000000000003E-2</v>
      </c>
      <c r="Z117" s="62">
        <f t="shared" si="67"/>
        <v>23.329799999999999</v>
      </c>
      <c r="AA117" s="62">
        <f t="shared" si="68"/>
        <v>23.283199999999997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 t="shared" si="69"/>
        <v>0201-20</v>
      </c>
      <c r="AE117" s="85" t="str">
        <f t="shared" si="53"/>
        <v>aws s3 cp s3://rtdc.mdm.uploadarchive.raw/RTDC4027/ "%USERPROFILE%\AppData\Local\Temp\OnboardLogs"\RTDC4027\2017-02-20 --exclude "*" --recursive --include "*20170220*" &amp; "%USERPROFILE%\Documents\GitHub\mrs-test-scripts\Headless Mode &amp; Sideloading\WalkAndUnGZ.bat" "%USERPROFILE%\AppData\Local\Temp\OnboardLogs"\RTDC4027\2017-02-20 &amp; aws s3 cp s3://rtdc.mdm.uploadarchive.raw/RTDC4027/ "%USERPROFILE%\AppData\Local\Temp\OnboardLogs"\RTDC4027\2017-02-21 --exclude "*" --recursive --include "*20170221*" &amp; "%USERPROFILE%\Documents\GitHub\mrs-test-scripts\Headless Mode &amp; Sideloading\WalkAndUnGZ.bat" "%USERPROFILE%\AppData\Local\Temp\OnboardLogs"\RTDC4027\2017-02-21</v>
      </c>
      <c r="AF117" s="82" t="str">
        <f t="shared" si="54"/>
        <v>"C:\Program Files (x86)\AstroGrep\AstroGrep.exe" /spath="%USERPROFILE%\AppData\Local\Temp\OnboardLogs" /stypes="app*4027*20170220*" /stext=" 23:.+((SYSTEM_STATE.+slice.+state.+changed )|(ment ac)|(multiple cpu faults)|(system.+state.+changed )|(\[timeout)|(PRM\|1\|D)|(kpr)|(kdp)|(\|lc)|(penalty))" /e /r /s</v>
      </c>
      <c r="AG117" s="1" t="str">
        <f t="shared" si="70"/>
        <v>EC</v>
      </c>
      <c r="AH117" s="86" t="str">
        <f t="shared" si="56"/>
        <v>"%USERPROFILE%\Documents\GitHub\eaglep3\Utilities\RefineRTDCRunTimes.py" --tripid 201-20 --locoid 4027 --swversion DE.1.0.9.0 --startMP 204:466 --initTime 2017-02-20T16:08:55 --startdatetime 2017-02-20T16:15:31 --delay 1 --endMP 204:233298 --enddatetime 2017-02-20T16:52:03 --enforcementcount 0 &gt;&gt;C:\Users\stu\Documents\GitHub\eaglep3-reporting\EC\2017-02-20-refined-times.txt</v>
      </c>
      <c r="AI117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{"issue":{"subject":"","project_id":79,"tracker_id":40,"status_id":1,"priority_id":2,"assigned_to_id":23,"start_date":"2017-02-20","description":"","custom_fields":[{"id":1,"name":"Subdivision","value":"EC"},{"id":4,"name":"Milepost","value":"23.3298"},{"id":17,"name":"Train ID","value":"201-20"},{"id":16,"name":"Locomotive ID","value":"4027"},{"id":130,"name":"Impact","value":""},{"id":150,"name":"Time of Event (Mountain Time)","value":"16:52:03"},{"id":151,"name":"Denver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48"/>
      <c r="AK117" s="48"/>
      <c r="AL117" s="48"/>
      <c r="AM117" s="154" t="str">
        <f t="shared" si="58"/>
        <v>start /low /b %USERPROFILE%\Documents\GitHub\eaglep3\Utilities\DownloadLogsFromS3.py --loco 4027 --day 2017-02-20</v>
      </c>
      <c r="AN117" s="163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"%USERPROFILE%\AppData\Local\Temp\OnboardLogs"\RTDC4027\*4027*20170220* | grep -SE "(Enforcement Action)|(\[TIMEOUT)|(CHR.+\|PRM\|1\|D.+(SWITCH|SIGNAL).+UNKNOWN)" - &gt;&gt; 2017-02-20-UncaughtWiMAX.txt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633</v>
      </c>
      <c r="B118" s="7">
        <v>4028</v>
      </c>
      <c r="C118" s="21" t="s">
        <v>408</v>
      </c>
      <c r="D118" s="21" t="s">
        <v>744</v>
      </c>
      <c r="E118" s="13">
        <v>42786.71197916667</v>
      </c>
      <c r="F118" s="13">
        <v>42786.716365740744</v>
      </c>
      <c r="G118" s="7">
        <v>1</v>
      </c>
      <c r="H118" s="21" t="s">
        <v>288</v>
      </c>
      <c r="I118" s="13">
        <v>42786.743310185186</v>
      </c>
      <c r="J118" s="7">
        <v>0</v>
      </c>
      <c r="K118" s="98" t="str">
        <f t="shared" si="61"/>
        <v>4027/4028</v>
      </c>
      <c r="L118" s="21" t="str">
        <f>VLOOKUP(A118,'Trips&amp;Operators'!$C$1:$G$99999,5,FALSE)</f>
        <v>STEWART MICHAEL</v>
      </c>
      <c r="M118" s="6">
        <f t="shared" si="62"/>
        <v>2.6944444442051463E-2</v>
      </c>
      <c r="N118" s="7">
        <f t="shared" si="71"/>
        <v>38.799999996554106</v>
      </c>
      <c r="O118" s="7"/>
      <c r="P118" s="7"/>
      <c r="Q118" s="22"/>
      <c r="R118" s="22"/>
      <c r="S118" s="31">
        <f t="shared" si="63"/>
        <v>1</v>
      </c>
      <c r="T118" s="46" t="str">
        <f t="shared" si="64"/>
        <v>Southbound</v>
      </c>
      <c r="U118" s="186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7" t="str">
        <f t="shared" si="52"/>
        <v>https://d0f6bd738d7f1b3e5a7ca70fe4ff75f0.us-east-1.aws.found.io/app/kibana#/discover/Steve-Slow-Train-Analysis-(2080s-and-2083s)?_g=(refreshInterval:(display:Off,pause:!f,section:0,value:0),time:(from:'2017-02-20T16:05:15-0700',mode:absolute,to:'2017-02-20T18:50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8" s="188" t="str">
        <f t="shared" si="65"/>
        <v>N</v>
      </c>
      <c r="X118" s="188">
        <f t="shared" si="60"/>
        <v>1</v>
      </c>
      <c r="Y118" s="62">
        <f t="shared" si="66"/>
        <v>23.297899999999998</v>
      </c>
      <c r="Z118" s="62">
        <f t="shared" si="67"/>
        <v>1.5599999999999999E-2</v>
      </c>
      <c r="AA118" s="62">
        <f t="shared" si="68"/>
        <v>23.282299999999999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 t="shared" si="69"/>
        <v>0202-20</v>
      </c>
      <c r="AE118" s="85" t="str">
        <f t="shared" si="53"/>
        <v>aws s3 cp s3://rtdc.mdm.uploadarchive.raw/RTDC4028/ "%USERPROFILE%\AppData\Local\Temp\OnboardLogs"\RTDC4028\2017-02-20 --exclude "*" --recursive --include "*20170220*" &amp; "%USERPROFILE%\Documents\GitHub\mrs-test-scripts\Headless Mode &amp; Sideloading\WalkAndUnGZ.bat" "%USERPROFILE%\AppData\Local\Temp\OnboardLogs"\RTDC4028\2017-02-20 &amp; aws s3 cp s3://rtdc.mdm.uploadarchive.raw/RTDC4028/ "%USERPROFILE%\AppData\Local\Temp\OnboardLogs"\RTDC4028\2017-02-21 --exclude "*" --recursive --include "*20170221*" &amp; "%USERPROFILE%\Documents\GitHub\mrs-test-scripts\Headless Mode &amp; Sideloading\WalkAndUnGZ.bat" "%USERPROFILE%\AppData\Local\Temp\OnboardLogs"\RTDC4028\2017-02-21</v>
      </c>
      <c r="AF118" s="82" t="str">
        <f t="shared" si="54"/>
        <v>"C:\Program Files (x86)\AstroGrep\AstroGrep.exe" /spath="%USERPROFILE%\AppData\Local\Temp\OnboardLogs" /stypes="app*4028*20170221*" /stext=" 00:.+((SYSTEM_STATE.+slice.+state.+changed )|(ment ac)|(multiple cpu faults)|(system.+state.+changed )|(\[timeout)|(PRM\|1\|D)|(kpr)|(kdp)|(\|lc)|(penalty))" /e /r /s</v>
      </c>
      <c r="AG118" s="1" t="str">
        <f t="shared" si="70"/>
        <v>EC</v>
      </c>
      <c r="AH118" s="86" t="str">
        <f t="shared" si="56"/>
        <v>"%USERPROFILE%\Documents\GitHub\eaglep3\Utilities\RefineRTDCRunTimes.py" --tripid 202-20 --locoid 4028 --swversion DE.1.0.9.0 --startMP 204:232979 --initTime 2017-02-20T17:05:15 --startdatetime 2017-02-20T17:11:34 --delay 1 --endMP 204:156 --enddatetime 2017-02-20T17:50:22 --enforcementcount 0 &gt;&gt;C:\Users\stu\Documents\GitHub\eaglep3-reporting\EC\2017-02-20-refined-times.txt</v>
      </c>
      <c r="AI118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{"issue":{"subject":"","project_id":79,"tracker_id":40,"status_id":1,"priority_id":2,"assigned_to_id":23,"start_date":"2017-02-20","description":"","custom_fields":[{"id":1,"name":"Subdivision","value":"EC"},{"id":4,"name":"Milepost","value":"0.0156"},{"id":17,"name":"Train ID","value":"202-20"},{"id":16,"name":"Locomotive ID","value":"4028"},{"id":130,"name":"Impact","value":""},{"id":150,"name":"Time of Event (Mountain Time)","value":"17:50:22"},{"id":151,"name":"Denver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48"/>
      <c r="AK118" s="48"/>
      <c r="AL118" s="48"/>
      <c r="AM118" s="154" t="str">
        <f t="shared" si="58"/>
        <v>start /low /b %USERPROFILE%\Documents\GitHub\eaglep3\Utilities\DownloadLogsFromS3.py --loco 4028 --day 2017-02-20</v>
      </c>
      <c r="AN118" s="163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"%USERPROFILE%\AppData\Local\Temp\OnboardLogs"\RTDC4028\*4028*20170221* | grep -SE "(Enforcement Action)|(\[TIMEOUT)|(CHR.+\|PRM\|1\|D.+(SWITCH|SIGNAL).+UNKNOWN)" - &gt;&gt; 2017-02-20-UncaughtWiMAX.txt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628</v>
      </c>
      <c r="B119" s="7">
        <v>4020</v>
      </c>
      <c r="C119" s="21" t="s">
        <v>408</v>
      </c>
      <c r="D119" s="21" t="s">
        <v>230</v>
      </c>
      <c r="E119" s="13">
        <v>42786.685335648152</v>
      </c>
      <c r="F119" s="13">
        <v>42786.687986111108</v>
      </c>
      <c r="G119" s="7">
        <v>1</v>
      </c>
      <c r="H119" s="21" t="s">
        <v>720</v>
      </c>
      <c r="I119" s="13">
        <v>42786.714872685188</v>
      </c>
      <c r="J119" s="7">
        <v>0</v>
      </c>
      <c r="K119" s="98" t="str">
        <f t="shared" si="61"/>
        <v>4019/4020</v>
      </c>
      <c r="L119" s="21" t="str">
        <f>VLOOKUP(A119,'Trips&amp;Operators'!$C$1:$G$99999,5,FALSE)</f>
        <v>DAVIS MICHAEL</v>
      </c>
      <c r="M119" s="6">
        <f t="shared" si="62"/>
        <v>2.6886574079981074E-2</v>
      </c>
      <c r="N119" s="7">
        <f t="shared" si="71"/>
        <v>38.716666675172746</v>
      </c>
      <c r="O119" s="7"/>
      <c r="P119" s="7"/>
      <c r="Q119" s="22"/>
      <c r="R119" s="22"/>
      <c r="S119" s="31">
        <f t="shared" si="63"/>
        <v>1</v>
      </c>
      <c r="T119" s="46" t="str">
        <f t="shared" si="64"/>
        <v>NorthBound</v>
      </c>
      <c r="U119" s="186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7" t="str">
        <f t="shared" si="52"/>
        <v>https://d0f6bd738d7f1b3e5a7ca70fe4ff75f0.us-east-1.aws.found.io/app/kibana#/discover/Steve-Slow-Train-Analysis-(2080s-and-2083s)?_g=(refreshInterval:(display:Off,pause:!f,section:0,value:0),time:(from:'2017-02-20T15:26:53-0700',mode:absolute,to:'2017-02-20T18:09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9" s="188" t="str">
        <f t="shared" si="65"/>
        <v>N</v>
      </c>
      <c r="X119" s="188">
        <f t="shared" si="60"/>
        <v>1</v>
      </c>
      <c r="Y119" s="62">
        <f t="shared" si="66"/>
        <v>4.5999999999999999E-2</v>
      </c>
      <c r="Z119" s="62">
        <f t="shared" si="67"/>
        <v>23.329899999999999</v>
      </c>
      <c r="AA119" s="62">
        <f t="shared" si="68"/>
        <v>23.283899999999999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 t="shared" si="69"/>
        <v>0203-20</v>
      </c>
      <c r="AE119" s="85" t="str">
        <f t="shared" si="53"/>
        <v>aws s3 cp s3://rtdc.mdm.uploadarchive.raw/RTDC4020/ "%USERPROFILE%\AppData\Local\Temp\OnboardLogs"\RTDC4020\2017-02-20 --exclude "*" --recursive --include "*20170220*" &amp; "%USERPROFILE%\Documents\GitHub\mrs-test-scripts\Headless Mode &amp; Sideloading\WalkAndUnGZ.bat" "%USERPROFILE%\AppData\Local\Temp\OnboardLogs"\RTDC4020\2017-02-20 &amp; aws s3 cp s3://rtdc.mdm.uploadarchive.raw/RTDC4020/ "%USERPROFILE%\AppData\Local\Temp\OnboardLogs"\RTDC4020\2017-02-21 --exclude "*" --recursive --include "*20170221*" &amp; "%USERPROFILE%\Documents\GitHub\mrs-test-scripts\Headless Mode &amp; Sideloading\WalkAndUnGZ.bat" "%USERPROFILE%\AppData\Local\Temp\OnboardLogs"\RTDC4020\2017-02-21</v>
      </c>
      <c r="AF119" s="82" t="str">
        <f t="shared" si="54"/>
        <v>"C:\Program Files (x86)\AstroGrep\AstroGrep.exe" /spath="%USERPROFILE%\AppData\Local\Temp\OnboardLogs" /stypes="app*4020*20170221*" /stext=" 00:.+((SYSTEM_STATE.+slice.+state.+changed )|(ment ac)|(multiple cpu faults)|(system.+state.+changed )|(\[timeout)|(PRM\|1\|D)|(kpr)|(kdp)|(\|lc)|(penalty))" /e /r /s</v>
      </c>
      <c r="AG119" s="1" t="str">
        <f t="shared" si="70"/>
        <v>EC</v>
      </c>
      <c r="AH119" s="86" t="str">
        <f t="shared" si="56"/>
        <v>"%USERPROFILE%\Documents\GitHub\eaglep3\Utilities\RefineRTDCRunTimes.py" --tripid 203-20 --locoid 4020 --swversion DE.1.0.9.0 --startMP 204:460 --initTime 2017-02-20T16:26:53 --startdatetime 2017-02-20T16:30:42 --delay 1 --endMP 204:233299 --enddatetime 2017-02-20T17:09:25 --enforcementcount 0 &gt;&gt;C:\Users\stu\Documents\GitHub\eaglep3-reporting\EC\2017-02-20-refined-times.txt</v>
      </c>
      <c r="AI119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{"issue":{"subject":"","project_id":79,"tracker_id":40,"status_id":1,"priority_id":2,"assigned_to_id":23,"start_date":"2017-02-20","description":"","custom_fields":[{"id":1,"name":"Subdivision","value":"EC"},{"id":4,"name":"Milepost","value":"23.3299"},{"id":17,"name":"Train ID","value":"203-20"},{"id":16,"name":"Locomotive ID","value":"4020"},{"id":130,"name":"Impact","value":""},{"id":150,"name":"Time of Event (Mountain Time)","value":"17:09:25"},{"id":151,"name":"Denver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48"/>
      <c r="AK119" s="48"/>
      <c r="AL119" s="48"/>
      <c r="AM119" s="154" t="str">
        <f t="shared" si="58"/>
        <v>start /low /b %USERPROFILE%\Documents\GitHub\eaglep3\Utilities\DownloadLogsFromS3.py --loco 4020 --day 2017-02-20</v>
      </c>
      <c r="AN119" s="163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"%USERPROFILE%\AppData\Local\Temp\OnboardLogs"\RTDC4020\*4020*20170220* | grep -SE "(Enforcement Action)|(\[TIMEOUT)|(CHR.+\|PRM\|1\|D.+(SWITCH|SIGNAL).+UNKNOWN)" - &gt;&gt; 2017-02-20-UncaughtWiMAX.txt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639</v>
      </c>
      <c r="B120" s="7">
        <v>4019</v>
      </c>
      <c r="C120" s="21" t="s">
        <v>408</v>
      </c>
      <c r="D120" s="21" t="s">
        <v>277</v>
      </c>
      <c r="E120" s="13">
        <v>42786.725185185183</v>
      </c>
      <c r="F120" s="13">
        <v>42786.726921296293</v>
      </c>
      <c r="G120" s="7">
        <v>1</v>
      </c>
      <c r="H120" s="21" t="s">
        <v>194</v>
      </c>
      <c r="I120" s="13">
        <v>42786.754560185182</v>
      </c>
      <c r="J120" s="7">
        <v>0</v>
      </c>
      <c r="K120" s="98" t="str">
        <f t="shared" si="61"/>
        <v>4019/4020</v>
      </c>
      <c r="L120" s="21" t="str">
        <f>VLOOKUP(A120,'Trips&amp;Operators'!$C$1:$G$99999,5,FALSE)</f>
        <v>DAVIS MICHAEL</v>
      </c>
      <c r="M120" s="6">
        <f t="shared" si="62"/>
        <v>2.7638888888759539E-2</v>
      </c>
      <c r="N120" s="7">
        <f t="shared" si="71"/>
        <v>39.799999999813735</v>
      </c>
      <c r="O120" s="7"/>
      <c r="P120" s="7"/>
      <c r="Q120" s="22"/>
      <c r="R120" s="22"/>
      <c r="S120" s="31">
        <f t="shared" si="63"/>
        <v>1</v>
      </c>
      <c r="T120" s="46" t="str">
        <f t="shared" si="64"/>
        <v>Southbound</v>
      </c>
      <c r="U120" s="186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7" t="str">
        <f t="shared" si="52"/>
        <v>https://d0f6bd738d7f1b3e5a7ca70fe4ff75f0.us-east-1.aws.found.io/app/kibana#/discover/Steve-Slow-Train-Analysis-(2080s-and-2083s)?_g=(refreshInterval:(display:Off,pause:!f,section:0,value:0),time:(from:'2017-02-20T16:24:16-0700',mode:absolute,to:'2017-02-20T19:06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20" s="188" t="str">
        <f t="shared" si="65"/>
        <v>N</v>
      </c>
      <c r="X120" s="188">
        <f t="shared" si="60"/>
        <v>1</v>
      </c>
      <c r="Y120" s="62">
        <f t="shared" si="66"/>
        <v>23.297999999999998</v>
      </c>
      <c r="Z120" s="62">
        <f t="shared" si="67"/>
        <v>1.4999999999999999E-2</v>
      </c>
      <c r="AA120" s="62">
        <f t="shared" si="68"/>
        <v>23.282999999999998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 t="shared" si="69"/>
        <v>0204-20</v>
      </c>
      <c r="AE120" s="85" t="str">
        <f t="shared" si="53"/>
        <v>aws s3 cp s3://rtdc.mdm.uploadarchive.raw/RTDC4019/ "%USERPROFILE%\AppData\Local\Temp\OnboardLogs"\RTDC4019\2017-02-20 --exclude "*" --recursive --include "*20170220*" &amp; "%USERPROFILE%\Documents\GitHub\mrs-test-scripts\Headless Mode &amp; Sideloading\WalkAndUnGZ.bat" "%USERPROFILE%\AppData\Local\Temp\OnboardLogs"\RTDC4019\2017-02-20 &amp; aws s3 cp s3://rtdc.mdm.uploadarchive.raw/RTDC4019/ "%USERPROFILE%\AppData\Local\Temp\OnboardLogs"\RTDC4019\2017-02-21 --exclude "*" --recursive --include "*20170221*" &amp; "%USERPROFILE%\Documents\GitHub\mrs-test-scripts\Headless Mode &amp; Sideloading\WalkAndUnGZ.bat" "%USERPROFILE%\AppData\Local\Temp\OnboardLogs"\RTDC4019\2017-02-21</v>
      </c>
      <c r="AF120" s="82" t="str">
        <f t="shared" si="54"/>
        <v>"C:\Program Files (x86)\AstroGrep\AstroGrep.exe" /spath="%USERPROFILE%\AppData\Local\Temp\OnboardLogs" /stypes="app*4019*20170221*" /stext=" 01:.+((SYSTEM_STATE.+slice.+state.+changed )|(ment ac)|(multiple cpu faults)|(system.+state.+changed )|(\[timeout)|(PRM\|1\|D)|(kpr)|(kdp)|(\|lc)|(penalty))" /e /r /s</v>
      </c>
      <c r="AG120" s="1" t="str">
        <f t="shared" si="70"/>
        <v>EC</v>
      </c>
      <c r="AH120" s="86" t="str">
        <f t="shared" si="56"/>
        <v>"%USERPROFILE%\Documents\GitHub\eaglep3\Utilities\RefineRTDCRunTimes.py" --tripid 204-20 --locoid 4019 --swversion DE.1.0.9.0 --startMP 204:232980 --initTime 2017-02-20T17:24:16 --startdatetime 2017-02-20T17:26:46 --delay 1 --endMP 204:150 --enddatetime 2017-02-20T18:06:34 --enforcementcount 0 &gt;&gt;C:\Users\stu\Documents\GitHub\eaglep3-reporting\EC\2017-02-20-refined-times.txt</v>
      </c>
      <c r="AI120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{"issue":{"subject":"","project_id":79,"tracker_id":40,"status_id":1,"priority_id":2,"assigned_to_id":23,"start_date":"2017-02-20","description":"","custom_fields":[{"id":1,"name":"Subdivision","value":"EC"},{"id":4,"name":"Milepost","value":"0.015"},{"id":17,"name":"Train ID","value":"204-20"},{"id":16,"name":"Locomotive ID","value":"4019"},{"id":130,"name":"Impact","value":""},{"id":150,"name":"Time of Event (Mountain Time)","value":"18:06:34"},{"id":151,"name":"Denver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48"/>
      <c r="AK120" s="48"/>
      <c r="AL120" s="48"/>
      <c r="AM120" s="154" t="str">
        <f t="shared" si="58"/>
        <v>start /low /b %USERPROFILE%\Documents\GitHub\eaglep3\Utilities\DownloadLogsFromS3.py --loco 4019 --day 2017-02-20</v>
      </c>
      <c r="AN120" s="163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"%USERPROFILE%\AppData\Local\Temp\OnboardLogs"\RTDC4019\*4019*20170221* | grep -SE "(Enforcement Action)|(\[TIMEOUT)|(CHR.+\|PRM\|1\|D.+(SWITCH|SIGNAL).+UNKNOWN)" - &gt;&gt; 2017-02-20-UncaughtWiMAX.txt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631</v>
      </c>
      <c r="B121" s="7">
        <v>4046</v>
      </c>
      <c r="C121" s="21" t="s">
        <v>408</v>
      </c>
      <c r="D121" s="21" t="s">
        <v>747</v>
      </c>
      <c r="E121" s="13">
        <v>42786.694687499999</v>
      </c>
      <c r="F121" s="13">
        <v>42786.698078703703</v>
      </c>
      <c r="G121" s="7">
        <v>1</v>
      </c>
      <c r="H121" s="21" t="s">
        <v>417</v>
      </c>
      <c r="I121" s="13">
        <v>42786.724432870367</v>
      </c>
      <c r="J121" s="7">
        <v>0</v>
      </c>
      <c r="K121" s="98" t="str">
        <f t="shared" si="61"/>
        <v>4045/4046</v>
      </c>
      <c r="L121" s="21" t="str">
        <f>VLOOKUP(A121,'Trips&amp;Operators'!$C$1:$G$99999,5,FALSE)</f>
        <v>CLARK KATHLEEN</v>
      </c>
      <c r="M121" s="6">
        <f t="shared" si="62"/>
        <v>2.6354166664532386E-2</v>
      </c>
      <c r="N121" s="7">
        <f t="shared" si="71"/>
        <v>37.949999996926636</v>
      </c>
      <c r="O121" s="7"/>
      <c r="P121" s="7"/>
      <c r="Q121" s="22"/>
      <c r="R121" s="22"/>
      <c r="S121" s="31">
        <f t="shared" si="63"/>
        <v>1</v>
      </c>
      <c r="T121" s="46" t="str">
        <f t="shared" si="64"/>
        <v>NorthBound</v>
      </c>
      <c r="U121" s="186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7" t="str">
        <f t="shared" si="52"/>
        <v>https://d0f6bd738d7f1b3e5a7ca70fe4ff75f0.us-east-1.aws.found.io/app/kibana#/discover/Steve-Slow-Train-Analysis-(2080s-and-2083s)?_g=(refreshInterval:(display:Off,pause:!f,section:0,value:0),time:(from:'2017-02-20T15:40:21-0700',mode:absolute,to:'2017-02-20T18:23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21" s="188" t="str">
        <f t="shared" si="65"/>
        <v>N</v>
      </c>
      <c r="X121" s="188">
        <f t="shared" si="60"/>
        <v>1</v>
      </c>
      <c r="Y121" s="62">
        <f t="shared" si="66"/>
        <v>4.9299999999999997E-2</v>
      </c>
      <c r="Z121" s="62">
        <f t="shared" si="67"/>
        <v>23.3291</v>
      </c>
      <c r="AA121" s="62">
        <f t="shared" si="68"/>
        <v>23.279800000000002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 t="shared" si="69"/>
        <v>0205-20</v>
      </c>
      <c r="AE121" s="85" t="str">
        <f t="shared" si="53"/>
        <v>aws s3 cp s3://rtdc.mdm.uploadarchive.raw/RTDC4046/ "%USERPROFILE%\AppData\Local\Temp\OnboardLogs"\RTDC4046\2017-02-20 --exclude "*" --recursive --include "*20170220*" &amp; "%USERPROFILE%\Documents\GitHub\mrs-test-scripts\Headless Mode &amp; Sideloading\WalkAndUnGZ.bat" "%USERPROFILE%\AppData\Local\Temp\OnboardLogs"\RTDC4046\2017-02-20 &amp; aws s3 cp s3://rtdc.mdm.uploadarchive.raw/RTDC4046/ "%USERPROFILE%\AppData\Local\Temp\OnboardLogs"\RTDC4046\2017-02-21 --exclude "*" --recursive --include "*20170221*" &amp; "%USERPROFILE%\Documents\GitHub\mrs-test-scripts\Headless Mode &amp; Sideloading\WalkAndUnGZ.bat" "%USERPROFILE%\AppData\Local\Temp\OnboardLogs"\RTDC4046\2017-02-21</v>
      </c>
      <c r="AF121" s="82" t="str">
        <f t="shared" si="54"/>
        <v>"C:\Program Files (x86)\AstroGrep\AstroGrep.exe" /spath="%USERPROFILE%\AppData\Local\Temp\OnboardLogs" /stypes="app*4046*20170221*" /stext=" 00:.+((SYSTEM_STATE.+slice.+state.+changed )|(ment ac)|(multiple cpu faults)|(system.+state.+changed )|(\[timeout)|(PRM\|1\|D)|(kpr)|(kdp)|(\|lc)|(penalty))" /e /r /s</v>
      </c>
      <c r="AG121" s="1" t="str">
        <f t="shared" si="70"/>
        <v>EC</v>
      </c>
      <c r="AH121" s="86" t="str">
        <f t="shared" si="56"/>
        <v>"%USERPROFILE%\Documents\GitHub\eaglep3\Utilities\RefineRTDCRunTimes.py" --tripid 205-20 --locoid 4046 --swversion DE.1.0.9.0 --startMP 204:493 --initTime 2017-02-20T16:40:21 --startdatetime 2017-02-20T16:45:14 --delay 1 --endMP 204:233291 --enddatetime 2017-02-20T17:23:11 --enforcementcount 0 &gt;&gt;C:\Users\stu\Documents\GitHub\eaglep3-reporting\EC\2017-02-20-refined-times.txt</v>
      </c>
      <c r="AI121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{"issue":{"subject":"","project_id":79,"tracker_id":40,"status_id":1,"priority_id":2,"assigned_to_id":23,"start_date":"2017-02-20","description":"","custom_fields":[{"id":1,"name":"Subdivision","value":"EC"},{"id":4,"name":"Milepost","value":"23.3291"},{"id":17,"name":"Train ID","value":"205-20"},{"id":16,"name":"Locomotive ID","value":"4046"},{"id":130,"name":"Impact","value":""},{"id":150,"name":"Time of Event (Mountain Time)","value":"17:23:11"},{"id":151,"name":"Denver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48"/>
      <c r="AK121" s="48"/>
      <c r="AL121" s="48"/>
      <c r="AM121" s="154" t="str">
        <f t="shared" si="58"/>
        <v>start /low /b %USERPROFILE%\Documents\GitHub\eaglep3\Utilities\DownloadLogsFromS3.py --loco 4046 --day 2017-02-20</v>
      </c>
      <c r="AN121" s="163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"%USERPROFILE%\AppData\Local\Temp\OnboardLogs"\RTDC4046\*4046*20170221* | grep -SE "(Enforcement Action)|(\[TIMEOUT)|(CHR.+\|PRM\|1\|D.+(SWITCH|SIGNAL).+UNKNOWN)" - &gt;&gt; 2017-02-20-UncaughtWiMAX.txt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640</v>
      </c>
      <c r="B122" s="7">
        <v>4045</v>
      </c>
      <c r="C122" s="21" t="s">
        <v>408</v>
      </c>
      <c r="D122" s="21" t="s">
        <v>722</v>
      </c>
      <c r="E122" s="13">
        <v>42786.730405092596</v>
      </c>
      <c r="F122" s="13">
        <v>42786.736967592595</v>
      </c>
      <c r="G122" s="7">
        <v>1</v>
      </c>
      <c r="H122" s="21" t="s">
        <v>726</v>
      </c>
      <c r="I122" s="13">
        <v>42786.764513888891</v>
      </c>
      <c r="J122" s="7">
        <v>0</v>
      </c>
      <c r="K122" s="98" t="str">
        <f t="shared" si="61"/>
        <v>4045/4046</v>
      </c>
      <c r="L122" s="21" t="str">
        <f>VLOOKUP(A122,'Trips&amp;Operators'!$C$1:$G$99999,5,FALSE)</f>
        <v>CLARK KATHLEEN</v>
      </c>
      <c r="M122" s="6">
        <f t="shared" si="62"/>
        <v>2.7546296296350192E-2</v>
      </c>
      <c r="N122" s="7">
        <f t="shared" si="71"/>
        <v>39.666666666744277</v>
      </c>
      <c r="O122" s="7"/>
      <c r="P122" s="7"/>
      <c r="Q122" s="22"/>
      <c r="R122" s="22"/>
      <c r="S122" s="31">
        <f t="shared" si="63"/>
        <v>1</v>
      </c>
      <c r="T122" s="46" t="str">
        <f t="shared" si="64"/>
        <v>Southbound</v>
      </c>
      <c r="U122" s="186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7" t="str">
        <f t="shared" si="52"/>
        <v>https://d0f6bd738d7f1b3e5a7ca70fe4ff75f0.us-east-1.aws.found.io/app/kibana#/discover/Steve-Slow-Train-Analysis-(2080s-and-2083s)?_g=(refreshInterval:(display:Off,pause:!f,section:0,value:0),time:(from:'2017-02-20T16:31:47-0700',mode:absolute,to:'2017-02-20T19:20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22" s="188" t="str">
        <f t="shared" si="65"/>
        <v>N</v>
      </c>
      <c r="X122" s="188">
        <f t="shared" si="60"/>
        <v>1</v>
      </c>
      <c r="Y122" s="62">
        <f t="shared" si="66"/>
        <v>23.298100000000002</v>
      </c>
      <c r="Z122" s="62">
        <f t="shared" si="67"/>
        <v>1.6899999999999998E-2</v>
      </c>
      <c r="AA122" s="62">
        <f t="shared" si="68"/>
        <v>23.281200000000002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 t="shared" si="69"/>
        <v>0206-20</v>
      </c>
      <c r="AE122" s="85" t="str">
        <f t="shared" si="53"/>
        <v>aws s3 cp s3://rtdc.mdm.uploadarchive.raw/RTDC4045/ "%USERPROFILE%\AppData\Local\Temp\OnboardLogs"\RTDC4045\2017-02-20 --exclude "*" --recursive --include "*20170220*" &amp; "%USERPROFILE%\Documents\GitHub\mrs-test-scripts\Headless Mode &amp; Sideloading\WalkAndUnGZ.bat" "%USERPROFILE%\AppData\Local\Temp\OnboardLogs"\RTDC4045\2017-02-20 &amp; aws s3 cp s3://rtdc.mdm.uploadarchive.raw/RTDC4045/ "%USERPROFILE%\AppData\Local\Temp\OnboardLogs"\RTDC4045\2017-02-21 --exclude "*" --recursive --include "*20170221*" &amp; "%USERPROFILE%\Documents\GitHub\mrs-test-scripts\Headless Mode &amp; Sideloading\WalkAndUnGZ.bat" "%USERPROFILE%\AppData\Local\Temp\OnboardLogs"\RTDC4045\2017-02-21</v>
      </c>
      <c r="AF122" s="82" t="str">
        <f t="shared" si="54"/>
        <v>"C:\Program Files (x86)\AstroGrep\AstroGrep.exe" /spath="%USERPROFILE%\AppData\Local\Temp\OnboardLogs" /stypes="app*4045*20170221*" /stext=" 01:.+((SYSTEM_STATE.+slice.+state.+changed )|(ment ac)|(multiple cpu faults)|(system.+state.+changed )|(\[timeout)|(PRM\|1\|D)|(kpr)|(kdp)|(\|lc)|(penalty))" /e /r /s</v>
      </c>
      <c r="AG122" s="1" t="str">
        <f t="shared" si="70"/>
        <v>EC</v>
      </c>
      <c r="AH122" s="86" t="str">
        <f t="shared" si="56"/>
        <v>"%USERPROFILE%\Documents\GitHub\eaglep3\Utilities\RefineRTDCRunTimes.py" --tripid 206-20 --locoid 4045 --swversion DE.1.0.9.0 --startMP 204:232981 --initTime 2017-02-20T17:31:47 --startdatetime 2017-02-20T17:41:14 --delay 1 --endMP 204:169 --enddatetime 2017-02-20T18:20:54 --enforcementcount 0 &gt;&gt;C:\Users\stu\Documents\GitHub\eaglep3-reporting\EC\2017-02-20-refined-times.txt</v>
      </c>
      <c r="AI122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{"issue":{"subject":"","project_id":79,"tracker_id":40,"status_id":1,"priority_id":2,"assigned_to_id":23,"start_date":"2017-02-20","description":"","custom_fields":[{"id":1,"name":"Subdivision","value":"EC"},{"id":4,"name":"Milepost","value":"0.0169"},{"id":17,"name":"Train ID","value":"206-20"},{"id":16,"name":"Locomotive ID","value":"4045"},{"id":130,"name":"Impact","value":""},{"id":150,"name":"Time of Event (Mountain Time)","value":"18:20:54"},{"id":151,"name":"Denver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48"/>
      <c r="AK122" s="48"/>
      <c r="AL122" s="48"/>
      <c r="AM122" s="154" t="str">
        <f t="shared" si="58"/>
        <v>start /low /b %USERPROFILE%\Documents\GitHub\eaglep3\Utilities\DownloadLogsFromS3.py --loco 4045 --day 2017-02-20</v>
      </c>
      <c r="AN122" s="163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"%USERPROFILE%\AppData\Local\Temp\OnboardLogs"\RTDC4045\*4045*20170221* | grep -SE "(Enforcement Action)|(\[TIMEOUT)|(CHR.+\|PRM\|1\|D.+(SWITCH|SIGNAL).+UNKNOWN)" - &gt;&gt; 2017-02-20-UncaughtWiMAX.txt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632</v>
      </c>
      <c r="B123" s="7">
        <v>4007</v>
      </c>
      <c r="C123" s="21" t="s">
        <v>408</v>
      </c>
      <c r="D123" s="21" t="s">
        <v>748</v>
      </c>
      <c r="E123" s="13">
        <v>42786.702951388892</v>
      </c>
      <c r="F123" s="13">
        <v>42786.708472222221</v>
      </c>
      <c r="G123" s="7">
        <v>1</v>
      </c>
      <c r="H123" s="21" t="s">
        <v>749</v>
      </c>
      <c r="I123" s="13">
        <v>42786.73364583333</v>
      </c>
      <c r="J123" s="7">
        <v>0</v>
      </c>
      <c r="K123" s="98" t="str">
        <f t="shared" si="61"/>
        <v>4007/4008</v>
      </c>
      <c r="L123" s="21" t="str">
        <f>VLOOKUP(A123,'Trips&amp;Operators'!$C$1:$G$99999,5,FALSE)</f>
        <v>ROMERO CHAD</v>
      </c>
      <c r="M123" s="6">
        <f t="shared" si="62"/>
        <v>2.5173611109494232E-2</v>
      </c>
      <c r="N123" s="7">
        <f t="shared" si="71"/>
        <v>36.249999997671694</v>
      </c>
      <c r="O123" s="7"/>
      <c r="P123" s="7"/>
      <c r="Q123" s="22"/>
      <c r="R123" s="22"/>
      <c r="S123" s="31">
        <f t="shared" si="63"/>
        <v>1</v>
      </c>
      <c r="T123" s="46" t="str">
        <f t="shared" si="64"/>
        <v>NorthBound</v>
      </c>
      <c r="U123" s="186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7" t="str">
        <f t="shared" si="52"/>
        <v>https://d0f6bd738d7f1b3e5a7ca70fe4ff75f0.us-east-1.aws.found.io/app/kibana#/discover/Steve-Slow-Train-Analysis-(2080s-and-2083s)?_g=(refreshInterval:(display:Off,pause:!f,section:0,value:0),time:(from:'2017-02-20T15:52:15-0700',mode:absolute,to:'2017-02-20T18:36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3" s="188" t="str">
        <f t="shared" si="65"/>
        <v>N</v>
      </c>
      <c r="X123" s="188">
        <f t="shared" si="60"/>
        <v>1</v>
      </c>
      <c r="Y123" s="62">
        <f t="shared" si="66"/>
        <v>4.2900000000000001E-2</v>
      </c>
      <c r="Z123" s="62">
        <f t="shared" si="67"/>
        <v>23.339700000000001</v>
      </c>
      <c r="AA123" s="62">
        <f t="shared" si="68"/>
        <v>23.296800000000001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 t="shared" si="69"/>
        <v>0207-20</v>
      </c>
      <c r="AE123" s="85" t="str">
        <f t="shared" si="53"/>
        <v>aws s3 cp s3://rtdc.mdm.uploadarchive.raw/RTDC4007/ "%USERPROFILE%\AppData\Local\Temp\OnboardLogs"\RTDC4007\2017-02-20 --exclude "*" --recursive --include "*20170220*" &amp; "%USERPROFILE%\Documents\GitHub\mrs-test-scripts\Headless Mode &amp; Sideloading\WalkAndUnGZ.bat" "%USERPROFILE%\AppData\Local\Temp\OnboardLogs"\RTDC4007\2017-02-20 &amp; aws s3 cp s3://rtdc.mdm.uploadarchive.raw/RTDC4007/ "%USERPROFILE%\AppData\Local\Temp\OnboardLogs"\RTDC4007\2017-02-21 --exclude "*" --recursive --include "*20170221*" &amp; "%USERPROFILE%\Documents\GitHub\mrs-test-scripts\Headless Mode &amp; Sideloading\WalkAndUnGZ.bat" "%USERPROFILE%\AppData\Local\Temp\OnboardLogs"\RTDC4007\2017-02-21</v>
      </c>
      <c r="AF123" s="82" t="str">
        <f t="shared" si="54"/>
        <v>"C:\Program Files (x86)\AstroGrep\AstroGrep.exe" /spath="%USERPROFILE%\AppData\Local\Temp\OnboardLogs" /stypes="app*4007*20170221*" /stext=" 00:.+((SYSTEM_STATE.+slice.+state.+changed )|(ment ac)|(multiple cpu faults)|(system.+state.+changed )|(\[timeout)|(PRM\|1\|D)|(kpr)|(kdp)|(\|lc)|(penalty))" /e /r /s</v>
      </c>
      <c r="AG123" s="1" t="str">
        <f t="shared" si="70"/>
        <v>EC</v>
      </c>
      <c r="AH123" s="86" t="str">
        <f t="shared" si="56"/>
        <v>"%USERPROFILE%\Documents\GitHub\eaglep3\Utilities\RefineRTDCRunTimes.py" --tripid 207-20 --locoid 4007 --swversion DE.1.0.9.0 --startMP 204:429 --initTime 2017-02-20T16:52:15 --startdatetime 2017-02-20T17:00:12 --delay 1 --endMP 204:233397 --enddatetime 2017-02-20T17:36:27 --enforcementcount 0 &gt;&gt;C:\Users\stu\Documents\GitHub\eaglep3-reporting\EC\2017-02-20-refined-times.txt</v>
      </c>
      <c r="AI123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{"issue":{"subject":"","project_id":79,"tracker_id":40,"status_id":1,"priority_id":2,"assigned_to_id":23,"start_date":"2017-02-20","description":"","custom_fields":[{"id":1,"name":"Subdivision","value":"EC"},{"id":4,"name":"Milepost","value":"23.3397"},{"id":17,"name":"Train ID","value":"207-20"},{"id":16,"name":"Locomotive ID","value":"4007"},{"id":130,"name":"Impact","value":""},{"id":150,"name":"Time of Event (Mountain Time)","value":"17:36:27"},{"id":151,"name":"Denver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48"/>
      <c r="AK123" s="48"/>
      <c r="AL123" s="48"/>
      <c r="AM123" s="154" t="str">
        <f t="shared" si="58"/>
        <v>start /low /b %USERPROFILE%\Documents\GitHub\eaglep3\Utilities\DownloadLogsFromS3.py --loco 4007 --day 2017-02-20</v>
      </c>
      <c r="AN123" s="163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"%USERPROFILE%\AppData\Local\Temp\OnboardLogs"\RTDC4007\*4007*20170221* | grep -SE "(Enforcement Action)|(\[TIMEOUT)|(CHR.+\|PRM\|1\|D.+(SWITCH|SIGNAL).+UNKNOWN)" - &gt;&gt; 2017-02-20-UncaughtWiMAX.txt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644</v>
      </c>
      <c r="B124" s="7">
        <v>4008</v>
      </c>
      <c r="C124" s="21" t="s">
        <v>408</v>
      </c>
      <c r="D124" s="21" t="s">
        <v>750</v>
      </c>
      <c r="E124" s="13">
        <v>42786.735277777778</v>
      </c>
      <c r="F124" s="13">
        <v>42786.747395833336</v>
      </c>
      <c r="G124" s="7">
        <v>1</v>
      </c>
      <c r="H124" s="21" t="s">
        <v>184</v>
      </c>
      <c r="I124" s="13">
        <v>42786.7731712963</v>
      </c>
      <c r="J124" s="7">
        <v>0</v>
      </c>
      <c r="K124" s="98" t="str">
        <f t="shared" si="61"/>
        <v>4007/4008</v>
      </c>
      <c r="L124" s="21" t="str">
        <f>VLOOKUP(A124,'Trips&amp;Operators'!$C$1:$G$99999,5,FALSE)</f>
        <v>ROMERO CHAD</v>
      </c>
      <c r="M124" s="6">
        <f t="shared" si="62"/>
        <v>2.5775462963792961E-2</v>
      </c>
      <c r="N124" s="7">
        <f t="shared" si="71"/>
        <v>37.116666667861864</v>
      </c>
      <c r="O124" s="7"/>
      <c r="P124" s="7"/>
      <c r="Q124" s="22"/>
      <c r="R124" s="22"/>
      <c r="S124" s="31">
        <f t="shared" si="63"/>
        <v>1</v>
      </c>
      <c r="T124" s="46" t="str">
        <f t="shared" si="64"/>
        <v>Southbound</v>
      </c>
      <c r="U124" s="186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7" t="str">
        <f t="shared" si="52"/>
        <v>https://d0f6bd738d7f1b3e5a7ca70fe4ff75f0.us-east-1.aws.found.io/app/kibana#/discover/Steve-Slow-Train-Analysis-(2080s-and-2083s)?_g=(refreshInterval:(display:Off,pause:!f,section:0,value:0),time:(from:'2017-02-20T16:38:48-0700',mode:absolute,to:'2017-02-20T19:33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24" s="188" t="str">
        <f t="shared" si="65"/>
        <v>N</v>
      </c>
      <c r="X124" s="188">
        <f t="shared" ref="X124:X151" si="72">VALUE(LEFT(AD124,4))-VALUE(LEFT(AD123,4))</f>
        <v>1</v>
      </c>
      <c r="Y124" s="62">
        <f t="shared" si="66"/>
        <v>23.308599999999998</v>
      </c>
      <c r="Z124" s="62">
        <f t="shared" si="67"/>
        <v>1.49E-2</v>
      </c>
      <c r="AA124" s="62">
        <f t="shared" si="68"/>
        <v>23.293699999999998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 t="shared" si="69"/>
        <v>0208-20</v>
      </c>
      <c r="AE124" s="85" t="str">
        <f t="shared" si="53"/>
        <v>aws s3 cp s3://rtdc.mdm.uploadarchive.raw/RTDC4008/ "%USERPROFILE%\AppData\Local\Temp\OnboardLogs"\RTDC4008\2017-02-20 --exclude "*" --recursive --include "*20170220*" &amp; "%USERPROFILE%\Documents\GitHub\mrs-test-scripts\Headless Mode &amp; Sideloading\WalkAndUnGZ.bat" "%USERPROFILE%\AppData\Local\Temp\OnboardLogs"\RTDC4008\2017-02-20 &amp; aws s3 cp s3://rtdc.mdm.uploadarchive.raw/RTDC4008/ "%USERPROFILE%\AppData\Local\Temp\OnboardLogs"\RTDC4008\2017-02-21 --exclude "*" --recursive --include "*20170221*" &amp; "%USERPROFILE%\Documents\GitHub\mrs-test-scripts\Headless Mode &amp; Sideloading\WalkAndUnGZ.bat" "%USERPROFILE%\AppData\Local\Temp\OnboardLogs"\RTDC4008\2017-02-21</v>
      </c>
      <c r="AF124" s="82" t="str">
        <f t="shared" si="54"/>
        <v>"C:\Program Files (x86)\AstroGrep\AstroGrep.exe" /spath="%USERPROFILE%\AppData\Local\Temp\OnboardLogs" /stypes="app*4008*20170221*" /stext=" 01:.+((SYSTEM_STATE.+slice.+state.+changed )|(ment ac)|(multiple cpu faults)|(system.+state.+changed )|(\[timeout)|(PRM\|1\|D)|(kpr)|(kdp)|(\|lc)|(penalty))" /e /r /s</v>
      </c>
      <c r="AG124" s="1" t="str">
        <f t="shared" si="70"/>
        <v>EC</v>
      </c>
      <c r="AH124" s="86" t="str">
        <f t="shared" si="56"/>
        <v>"%USERPROFILE%\Documents\GitHub\eaglep3\Utilities\RefineRTDCRunTimes.py" --tripid 208-20 --locoid 4008 --swversion DE.1.0.9.0 --startMP 204:233086 --initTime 2017-02-20T17:38:48 --startdatetime 2017-02-20T17:56:15 --delay 1 --endMP 204:149 --enddatetime 2017-02-20T18:33:22 --enforcementcount 0 &gt;&gt;C:\Users\stu\Documents\GitHub\eaglep3-reporting\EC\2017-02-20-refined-times.txt</v>
      </c>
      <c r="AI124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{"issue":{"subject":"","project_id":79,"tracker_id":40,"status_id":1,"priority_id":2,"assigned_to_id":23,"start_date":"2017-02-20","description":"","custom_fields":[{"id":1,"name":"Subdivision","value":"EC"},{"id":4,"name":"Milepost","value":"0.0149"},{"id":17,"name":"Train ID","value":"208-20"},{"id":16,"name":"Locomotive ID","value":"4008"},{"id":130,"name":"Impact","value":""},{"id":150,"name":"Time of Event (Mountain Time)","value":"18:33:22"},{"id":151,"name":"Denver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48"/>
      <c r="AK124" s="48"/>
      <c r="AL124" s="48"/>
      <c r="AM124" s="154" t="str">
        <f t="shared" si="58"/>
        <v>start /low /b %USERPROFILE%\Documents\GitHub\eaglep3\Utilities\DownloadLogsFromS3.py --loco 4008 --day 2017-02-20</v>
      </c>
      <c r="AN124" s="163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"%USERPROFILE%\AppData\Local\Temp\OnboardLogs"\RTDC4008\*4008*20170221* | grep -SE "(Enforcement Action)|(\[TIMEOUT)|(CHR.+\|PRM\|1\|D.+(SWITCH|SIGNAL).+UNKNOWN)" - &gt;&gt; 2017-02-20-UncaughtWiMAX.txt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636</v>
      </c>
      <c r="B125" s="7">
        <v>4044</v>
      </c>
      <c r="C125" s="21" t="s">
        <v>408</v>
      </c>
      <c r="D125" s="21" t="s">
        <v>227</v>
      </c>
      <c r="E125" s="13">
        <v>42786.716377314813</v>
      </c>
      <c r="F125" s="13">
        <v>42786.719027777777</v>
      </c>
      <c r="G125" s="7">
        <v>1</v>
      </c>
      <c r="H125" s="21" t="s">
        <v>751</v>
      </c>
      <c r="I125" s="13">
        <v>42786.74496527778</v>
      </c>
      <c r="J125" s="7">
        <v>0</v>
      </c>
      <c r="K125" s="98" t="str">
        <f t="shared" si="61"/>
        <v>4043/4044</v>
      </c>
      <c r="L125" s="21" t="str">
        <f>VLOOKUP(A125,'Trips&amp;Operators'!$C$1:$G$99999,5,FALSE)</f>
        <v>CHANDLER KELVIN</v>
      </c>
      <c r="M125" s="6">
        <f t="shared" si="62"/>
        <v>2.5937500002328306E-2</v>
      </c>
      <c r="N125" s="7">
        <f t="shared" si="71"/>
        <v>37.350000003352761</v>
      </c>
      <c r="O125" s="7"/>
      <c r="P125" s="7"/>
      <c r="Q125" s="22"/>
      <c r="R125" s="22"/>
      <c r="S125" s="31">
        <f t="shared" si="63"/>
        <v>1</v>
      </c>
      <c r="T125" s="46" t="str">
        <f t="shared" si="64"/>
        <v>NorthBound</v>
      </c>
      <c r="U125" s="186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7" t="str">
        <f t="shared" si="52"/>
        <v>https://d0f6bd738d7f1b3e5a7ca70fe4ff75f0.us-east-1.aws.found.io/app/kibana#/discover/Steve-Slow-Train-Analysis-(2080s-and-2083s)?_g=(refreshInterval:(display:Off,pause:!f,section:0,value:0),time:(from:'2017-02-20T16:11:35-0700',mode:absolute,to:'2017-02-20T18:52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5" s="188" t="str">
        <f t="shared" si="65"/>
        <v>N</v>
      </c>
      <c r="X125" s="188">
        <f t="shared" si="72"/>
        <v>1</v>
      </c>
      <c r="Y125" s="62">
        <f t="shared" si="66"/>
        <v>4.5699999999999998E-2</v>
      </c>
      <c r="Z125" s="62">
        <f t="shared" si="67"/>
        <v>23.3385</v>
      </c>
      <c r="AA125" s="62">
        <f t="shared" si="68"/>
        <v>23.2928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 t="shared" si="69"/>
        <v>0209-20</v>
      </c>
      <c r="AE125" s="85" t="str">
        <f t="shared" si="53"/>
        <v>aws s3 cp s3://rtdc.mdm.uploadarchive.raw/RTDC4044/ "%USERPROFILE%\AppData\Local\Temp\OnboardLogs"\RTDC4044\2017-02-20 --exclude "*" --recursive --include "*20170220*" &amp; "%USERPROFILE%\Documents\GitHub\mrs-test-scripts\Headless Mode &amp; Sideloading\WalkAndUnGZ.bat" "%USERPROFILE%\AppData\Local\Temp\OnboardLogs"\RTDC4044\2017-02-20 &amp; aws s3 cp s3://rtdc.mdm.uploadarchive.raw/RTDC4044/ "%USERPROFILE%\AppData\Local\Temp\OnboardLogs"\RTDC4044\2017-02-21 --exclude "*" --recursive --include "*20170221*" &amp; "%USERPROFILE%\Documents\GitHub\mrs-test-scripts\Headless Mode &amp; Sideloading\WalkAndUnGZ.bat" "%USERPROFILE%\AppData\Local\Temp\OnboardLogs"\RTDC4044\2017-02-21</v>
      </c>
      <c r="AF125" s="82" t="str">
        <f t="shared" si="54"/>
        <v>"C:\Program Files (x86)\AstroGrep\AstroGrep.exe" /spath="%USERPROFILE%\AppData\Local\Temp\OnboardLogs" /stypes="app*4044*20170221*" /stext=" 00:.+((SYSTEM_STATE.+slice.+state.+changed )|(ment ac)|(multiple cpu faults)|(system.+state.+changed )|(\[timeout)|(PRM\|1\|D)|(kpr)|(kdp)|(\|lc)|(penalty))" /e /r /s</v>
      </c>
      <c r="AG125" s="1" t="str">
        <f t="shared" si="70"/>
        <v>EC</v>
      </c>
      <c r="AH125" s="86" t="str">
        <f t="shared" si="56"/>
        <v>"%USERPROFILE%\Documents\GitHub\eaglep3\Utilities\RefineRTDCRunTimes.py" --tripid 209-20 --locoid 4044 --swversion DE.1.0.9.0 --startMP 204:457 --initTime 2017-02-20T17:11:35 --startdatetime 2017-02-20T17:15:24 --delay 1 --endMP 204:233385 --enddatetime 2017-02-20T17:52:45 --enforcementcount 0 &gt;&gt;C:\Users\stu\Documents\GitHub\eaglep3-reporting\EC\2017-02-20-refined-times.txt</v>
      </c>
      <c r="AI125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{"issue":{"subject":"","project_id":79,"tracker_id":40,"status_id":1,"priority_id":2,"assigned_to_id":23,"start_date":"2017-02-20","description":"","custom_fields":[{"id":1,"name":"Subdivision","value":"EC"},{"id":4,"name":"Milepost","value":"23.3385"},{"id":17,"name":"Train ID","value":"209-20"},{"id":16,"name":"Locomotive ID","value":"4044"},{"id":130,"name":"Impact","value":""},{"id":150,"name":"Time of Event (Mountain Time)","value":"17:52:45"},{"id":151,"name":"Denver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48"/>
      <c r="AK125" s="48"/>
      <c r="AL125" s="48"/>
      <c r="AM125" s="154" t="str">
        <f t="shared" si="58"/>
        <v>start /low /b %USERPROFILE%\Documents\GitHub\eaglep3\Utilities\DownloadLogsFromS3.py --loco 4044 --day 2017-02-20</v>
      </c>
      <c r="AN125" s="163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"%USERPROFILE%\AppData\Local\Temp\OnboardLogs"\RTDC4044\*4044*20170221* | grep -SE "(Enforcement Action)|(\[TIMEOUT)|(CHR.+\|PRM\|1\|D.+(SWITCH|SIGNAL).+UNKNOWN)" - &gt;&gt; 2017-02-20-UncaughtWiMAX.txt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648</v>
      </c>
      <c r="B126" s="7">
        <v>4043</v>
      </c>
      <c r="C126" s="21" t="s">
        <v>408</v>
      </c>
      <c r="D126" s="21" t="s">
        <v>752</v>
      </c>
      <c r="E126" s="13">
        <v>42786.756168981483</v>
      </c>
      <c r="F126" s="13">
        <v>42786.757928240739</v>
      </c>
      <c r="G126" s="7">
        <v>1</v>
      </c>
      <c r="H126" s="21" t="s">
        <v>361</v>
      </c>
      <c r="I126" s="13">
        <v>42786.785162037035</v>
      </c>
      <c r="J126" s="7">
        <v>0</v>
      </c>
      <c r="K126" s="98" t="str">
        <f t="shared" si="61"/>
        <v>4043/4044</v>
      </c>
      <c r="L126" s="21" t="str">
        <f>VLOOKUP(A126,'Trips&amp;Operators'!$C$1:$G$99999,5,FALSE)</f>
        <v>CHANDLER KELVIN</v>
      </c>
      <c r="M126" s="6">
        <f t="shared" si="62"/>
        <v>2.7233796296059154E-2</v>
      </c>
      <c r="N126" s="7">
        <f t="shared" si="71"/>
        <v>39.216666666325182</v>
      </c>
      <c r="O126" s="7"/>
      <c r="P126" s="7"/>
      <c r="Q126" s="22"/>
      <c r="R126" s="22"/>
      <c r="S126" s="31">
        <f t="shared" si="63"/>
        <v>1</v>
      </c>
      <c r="T126" s="46" t="str">
        <f t="shared" si="64"/>
        <v>Southbound</v>
      </c>
      <c r="U126" s="186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7" t="str">
        <f t="shared" si="52"/>
        <v>https://d0f6bd738d7f1b3e5a7ca70fe4ff75f0.us-east-1.aws.found.io/app/kibana#/discover/Steve-Slow-Train-Analysis-(2080s-and-2083s)?_g=(refreshInterval:(display:Off,pause:!f,section:0,value:0),time:(from:'2017-02-20T17:08:53-0700',mode:absolute,to:'2017-02-20T19:50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6" s="188" t="str">
        <f t="shared" si="65"/>
        <v>N</v>
      </c>
      <c r="X126" s="188">
        <f t="shared" si="72"/>
        <v>1</v>
      </c>
      <c r="Y126" s="62">
        <f t="shared" si="66"/>
        <v>23.309100000000001</v>
      </c>
      <c r="Z126" s="62">
        <f t="shared" si="67"/>
        <v>1.6299999999999999E-2</v>
      </c>
      <c r="AA126" s="62">
        <f t="shared" si="68"/>
        <v>23.2928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 t="shared" si="69"/>
        <v>0210-20</v>
      </c>
      <c r="AE126" s="85" t="str">
        <f t="shared" si="53"/>
        <v>aws s3 cp s3://rtdc.mdm.uploadarchive.raw/RTDC4043/ "%USERPROFILE%\AppData\Local\Temp\OnboardLogs"\RTDC4043\2017-02-20 --exclude "*" --recursive --include "*20170220*" &amp; "%USERPROFILE%\Documents\GitHub\mrs-test-scripts\Headless Mode &amp; Sideloading\WalkAndUnGZ.bat" "%USERPROFILE%\AppData\Local\Temp\OnboardLogs"\RTDC4043\2017-02-20 &amp; aws s3 cp s3://rtdc.mdm.uploadarchive.raw/RTDC4043/ "%USERPROFILE%\AppData\Local\Temp\OnboardLogs"\RTDC4043\2017-02-21 --exclude "*" --recursive --include "*20170221*" &amp; "%USERPROFILE%\Documents\GitHub\mrs-test-scripts\Headless Mode &amp; Sideloading\WalkAndUnGZ.bat" "%USERPROFILE%\AppData\Local\Temp\OnboardLogs"\RTDC4043\2017-02-21</v>
      </c>
      <c r="AF126" s="82" t="str">
        <f t="shared" si="54"/>
        <v>"C:\Program Files (x86)\AstroGrep\AstroGrep.exe" /spath="%USERPROFILE%\AppData\Local\Temp\OnboardLogs" /stypes="app*4043*20170221*" /stext=" 01:.+((SYSTEM_STATE.+slice.+state.+changed )|(ment ac)|(multiple cpu faults)|(system.+state.+changed )|(\[timeout)|(PRM\|1\|D)|(kpr)|(kdp)|(\|lc)|(penalty))" /e /r /s</v>
      </c>
      <c r="AG126" s="1" t="str">
        <f t="shared" si="70"/>
        <v>EC</v>
      </c>
      <c r="AH126" s="86" t="str">
        <f t="shared" si="56"/>
        <v>"%USERPROFILE%\Documents\GitHub\eaglep3\Utilities\RefineRTDCRunTimes.py" --tripid 210-20 --locoid 4043 --swversion DE.1.0.9.0 --startMP 204:233091 --initTime 2017-02-20T18:08:53 --startdatetime 2017-02-20T18:11:25 --delay 1 --endMP 204:163 --enddatetime 2017-02-20T18:50:38 --enforcementcount 0 &gt;&gt;C:\Users\stu\Documents\GitHub\eaglep3-reporting\EC\2017-02-20-refined-times.txt</v>
      </c>
      <c r="AI126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{"issue":{"subject":"","project_id":79,"tracker_id":40,"status_id":1,"priority_id":2,"assigned_to_id":23,"start_date":"2017-02-20","description":"","custom_fields":[{"id":1,"name":"Subdivision","value":"EC"},{"id":4,"name":"Milepost","value":"0.0163"},{"id":17,"name":"Train ID","value":"210-20"},{"id":16,"name":"Locomotive ID","value":"4043"},{"id":130,"name":"Impact","value":""},{"id":150,"name":"Time of Event (Mountain Time)","value":"18:50:38"},{"id":151,"name":"Denver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48"/>
      <c r="AK126" s="48"/>
      <c r="AL126" s="48"/>
      <c r="AM126" s="154" t="str">
        <f t="shared" si="58"/>
        <v>start /low /b %USERPROFILE%\Documents\GitHub\eaglep3\Utilities\DownloadLogsFromS3.py --loco 4043 --day 2017-02-20</v>
      </c>
      <c r="AN126" s="163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"%USERPROFILE%\AppData\Local\Temp\OnboardLogs"\RTDC4043\*4043*20170221* | grep -SE "(Enforcement Action)|(\[TIMEOUT)|(CHR.+\|PRM\|1\|D.+(SWITCH|SIGNAL).+UNKNOWN)" - &gt;&gt; 2017-02-20-UncaughtWiMAX.txt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638</v>
      </c>
      <c r="B127" s="7">
        <v>4003</v>
      </c>
      <c r="C127" s="21" t="s">
        <v>408</v>
      </c>
      <c r="D127" s="21" t="s">
        <v>293</v>
      </c>
      <c r="E127" s="13">
        <v>42786.724733796298</v>
      </c>
      <c r="F127" s="13">
        <v>42786.729479166665</v>
      </c>
      <c r="G127" s="7">
        <v>1</v>
      </c>
      <c r="H127" s="21" t="s">
        <v>370</v>
      </c>
      <c r="I127" s="13">
        <v>42786.754537037035</v>
      </c>
      <c r="J127" s="7">
        <v>0</v>
      </c>
      <c r="K127" s="98" t="str">
        <f t="shared" si="61"/>
        <v>4003/4004</v>
      </c>
      <c r="L127" s="21" t="str">
        <f>VLOOKUP(A127,'Trips&amp;Operators'!$C$1:$G$99999,5,FALSE)</f>
        <v>CRAYTON QUNTRELL</v>
      </c>
      <c r="M127" s="6">
        <f t="shared" si="62"/>
        <v>2.5057870370801538E-2</v>
      </c>
      <c r="N127" s="7">
        <f t="shared" si="71"/>
        <v>36.083333333954215</v>
      </c>
      <c r="O127" s="7"/>
      <c r="P127" s="7"/>
      <c r="Q127" s="22"/>
      <c r="R127" s="22"/>
      <c r="S127" s="31">
        <f t="shared" si="63"/>
        <v>1</v>
      </c>
      <c r="T127" s="46" t="str">
        <f t="shared" si="64"/>
        <v>NorthBound</v>
      </c>
      <c r="U127" s="186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7" t="str">
        <f t="shared" si="52"/>
        <v>https://d0f6bd738d7f1b3e5a7ca70fe4ff75f0.us-east-1.aws.found.io/app/kibana#/discover/Steve-Slow-Train-Analysis-(2080s-and-2083s)?_g=(refreshInterval:(display:Off,pause:!f,section:0,value:0),time:(from:'2017-02-20T16:23:37-0700',mode:absolute,to:'2017-02-20T19:06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27" s="188" t="str">
        <f t="shared" si="65"/>
        <v>N</v>
      </c>
      <c r="X127" s="188">
        <f t="shared" si="72"/>
        <v>1</v>
      </c>
      <c r="Y127" s="62">
        <f t="shared" si="66"/>
        <v>4.7699999999999999E-2</v>
      </c>
      <c r="Z127" s="62">
        <f t="shared" si="67"/>
        <v>23.330100000000002</v>
      </c>
      <c r="AA127" s="62">
        <f t="shared" si="68"/>
        <v>23.282400000000003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 t="shared" si="69"/>
        <v>0211-20</v>
      </c>
      <c r="AE127" s="85" t="str">
        <f t="shared" si="53"/>
        <v>aws s3 cp s3://rtdc.mdm.uploadarchive.raw/RTDC4003/ "%USERPROFILE%\AppData\Local\Temp\OnboardLogs"\RTDC4003\2017-02-20 --exclude "*" --recursive --include "*20170220*" &amp; "%USERPROFILE%\Documents\GitHub\mrs-test-scripts\Headless Mode &amp; Sideloading\WalkAndUnGZ.bat" "%USERPROFILE%\AppData\Local\Temp\OnboardLogs"\RTDC4003\2017-02-20 &amp; aws s3 cp s3://rtdc.mdm.uploadarchive.raw/RTDC4003/ "%USERPROFILE%\AppData\Local\Temp\OnboardLogs"\RTDC4003\2017-02-21 --exclude "*" --recursive --include "*20170221*" &amp; "%USERPROFILE%\Documents\GitHub\mrs-test-scripts\Headless Mode &amp; Sideloading\WalkAndUnGZ.bat" "%USERPROFILE%\AppData\Local\Temp\OnboardLogs"\RTDC4003\2017-02-21</v>
      </c>
      <c r="AF127" s="82" t="str">
        <f t="shared" si="54"/>
        <v>"C:\Program Files (x86)\AstroGrep\AstroGrep.exe" /spath="%USERPROFILE%\AppData\Local\Temp\OnboardLogs" /stypes="app*4003*20170221*" /stext=" 01:.+((SYSTEM_STATE.+slice.+state.+changed )|(ment ac)|(multiple cpu faults)|(system.+state.+changed )|(\[timeout)|(PRM\|1\|D)|(kpr)|(kdp)|(\|lc)|(penalty))" /e /r /s</v>
      </c>
      <c r="AG127" s="1" t="str">
        <f t="shared" si="70"/>
        <v>EC</v>
      </c>
      <c r="AH127" s="86" t="str">
        <f t="shared" si="56"/>
        <v>"%USERPROFILE%\Documents\GitHub\eaglep3\Utilities\RefineRTDCRunTimes.py" --tripid 211-20 --locoid 4003 --swversion DE.1.0.9.0 --startMP 204:477 --initTime 2017-02-20T17:23:37 --startdatetime 2017-02-20T17:30:27 --delay 1 --endMP 204:233301 --enddatetime 2017-02-20T18:06:32 --enforcementcount 0 &gt;&gt;C:\Users\stu\Documents\GitHub\eaglep3-reporting\EC\2017-02-20-refined-times.txt</v>
      </c>
      <c r="AI127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{"issue":{"subject":"","project_id":79,"tracker_id":40,"status_id":1,"priority_id":2,"assigned_to_id":23,"start_date":"2017-02-20","description":"","custom_fields":[{"id":1,"name":"Subdivision","value":"EC"},{"id":4,"name":"Milepost","value":"23.3301"},{"id":17,"name":"Train ID","value":"211-20"},{"id":16,"name":"Locomotive ID","value":"4003"},{"id":130,"name":"Impact","value":""},{"id":150,"name":"Time of Event (Mountain Time)","value":"18:06:32"},{"id":151,"name":"Denver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48"/>
      <c r="AK127" s="48"/>
      <c r="AL127" s="48"/>
      <c r="AM127" s="154" t="str">
        <f t="shared" si="58"/>
        <v>start /low /b %USERPROFILE%\Documents\GitHub\eaglep3\Utilities\DownloadLogsFromS3.py --loco 4003 --day 2017-02-20</v>
      </c>
      <c r="AN127" s="163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"%USERPROFILE%\AppData\Local\Temp\OnboardLogs"\RTDC4003\*4003*20170221* | grep -SE "(Enforcement Action)|(\[TIMEOUT)|(CHR.+\|PRM\|1\|D.+(SWITCH|SIGNAL).+UNKNOWN)" - &gt;&gt; 2017-02-20-UncaughtWiMAX.txt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650</v>
      </c>
      <c r="B128" s="7">
        <v>4004</v>
      </c>
      <c r="C128" s="21" t="s">
        <v>408</v>
      </c>
      <c r="D128" s="21" t="s">
        <v>294</v>
      </c>
      <c r="E128" s="13">
        <v>42786.758460648147</v>
      </c>
      <c r="F128" s="13">
        <v>42786.768263888887</v>
      </c>
      <c r="G128" s="7">
        <v>1</v>
      </c>
      <c r="H128" s="21" t="s">
        <v>207</v>
      </c>
      <c r="I128" s="13">
        <v>42786.795069444444</v>
      </c>
      <c r="J128" s="7">
        <v>0</v>
      </c>
      <c r="K128" s="98" t="str">
        <f t="shared" si="61"/>
        <v>4003/4004</v>
      </c>
      <c r="L128" s="21" t="str">
        <f>VLOOKUP(A128,'Trips&amp;Operators'!$C$1:$G$99999,5,FALSE)</f>
        <v>DAVIDSON DAVID</v>
      </c>
      <c r="M128" s="6">
        <f t="shared" si="62"/>
        <v>2.6805555557075422E-2</v>
      </c>
      <c r="N128" s="7">
        <f t="shared" si="71"/>
        <v>38.600000002188608</v>
      </c>
      <c r="O128" s="7"/>
      <c r="P128" s="7"/>
      <c r="Q128" s="22"/>
      <c r="R128" s="22"/>
      <c r="S128" s="31">
        <f t="shared" si="63"/>
        <v>1</v>
      </c>
      <c r="T128" s="46" t="str">
        <f t="shared" si="64"/>
        <v>Southbound</v>
      </c>
      <c r="U128" s="186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7" t="str">
        <f t="shared" si="52"/>
        <v>https://d0f6bd738d7f1b3e5a7ca70fe4ff75f0.us-east-1.aws.found.io/app/kibana#/discover/Steve-Slow-Train-Analysis-(2080s-and-2083s)?_g=(refreshInterval:(display:Off,pause:!f,section:0,value:0),time:(from:'2017-02-20T17:12:11-0700',mode:absolute,to:'2017-02-20T20:04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28" s="188" t="str">
        <f t="shared" si="65"/>
        <v>N</v>
      </c>
      <c r="X128" s="188">
        <f t="shared" si="72"/>
        <v>1</v>
      </c>
      <c r="Y128" s="62">
        <f t="shared" si="66"/>
        <v>23.299800000000001</v>
      </c>
      <c r="Z128" s="62">
        <f t="shared" si="67"/>
        <v>1.5800000000000002E-2</v>
      </c>
      <c r="AA128" s="62">
        <f t="shared" si="68"/>
        <v>23.284000000000002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 t="shared" si="69"/>
        <v>0212-20</v>
      </c>
      <c r="AE128" s="85" t="str">
        <f t="shared" si="53"/>
        <v>aws s3 cp s3://rtdc.mdm.uploadarchive.raw/RTDC4004/ "%USERPROFILE%\AppData\Local\Temp\OnboardLogs"\RTDC4004\2017-02-20 --exclude "*" --recursive --include "*20170220*" &amp; "%USERPROFILE%\Documents\GitHub\mrs-test-scripts\Headless Mode &amp; Sideloading\WalkAndUnGZ.bat" "%USERPROFILE%\AppData\Local\Temp\OnboardLogs"\RTDC4004\2017-02-20 &amp; aws s3 cp s3://rtdc.mdm.uploadarchive.raw/RTDC4004/ "%USERPROFILE%\AppData\Local\Temp\OnboardLogs"\RTDC4004\2017-02-21 --exclude "*" --recursive --include "*20170221*" &amp; "%USERPROFILE%\Documents\GitHub\mrs-test-scripts\Headless Mode &amp; Sideloading\WalkAndUnGZ.bat" "%USERPROFILE%\AppData\Local\Temp\OnboardLogs"\RTDC4004\2017-02-21</v>
      </c>
      <c r="AF128" s="82" t="str">
        <f t="shared" si="54"/>
        <v>"C:\Program Files (x86)\AstroGrep\AstroGrep.exe" /spath="%USERPROFILE%\AppData\Local\Temp\OnboardLogs" /stypes="app*4004*20170221*" /stext=" 02:.+((SYSTEM_STATE.+slice.+state.+changed )|(ment ac)|(multiple cpu faults)|(system.+state.+changed )|(\[timeout)|(PRM\|1\|D)|(kpr)|(kdp)|(\|lc)|(penalty))" /e /r /s</v>
      </c>
      <c r="AG128" s="1" t="str">
        <f t="shared" si="70"/>
        <v>EC</v>
      </c>
      <c r="AH128" s="86" t="str">
        <f t="shared" si="56"/>
        <v>"%USERPROFILE%\Documents\GitHub\eaglep3\Utilities\RefineRTDCRunTimes.py" --tripid 212-20 --locoid 4004 --swversion DE.1.0.9.0 --startMP 204:232998 --initTime 2017-02-20T18:12:11 --startdatetime 2017-02-20T18:26:18 --delay 1 --endMP 204:158 --enddatetime 2017-02-20T19:04:54 --enforcementcount 0 &gt;&gt;C:\Users\stu\Documents\GitHub\eaglep3-reporting\EC\2017-02-20-refined-times.txt</v>
      </c>
      <c r="AI128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{"issue":{"subject":"","project_id":79,"tracker_id":40,"status_id":1,"priority_id":2,"assigned_to_id":23,"start_date":"2017-02-20","description":"","custom_fields":[{"id":1,"name":"Subdivision","value":"EC"},{"id":4,"name":"Milepost","value":"0.0158"},{"id":17,"name":"Train ID","value":"212-20"},{"id":16,"name":"Locomotive ID","value":"4004"},{"id":130,"name":"Impact","value":""},{"id":150,"name":"Time of Event (Mountain Time)","value":"19:04:54"},{"id":151,"name":"Denver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48"/>
      <c r="AK128" s="48"/>
      <c r="AL128" s="48"/>
      <c r="AM128" s="154" t="str">
        <f t="shared" si="58"/>
        <v>start /low /b %USERPROFILE%\Documents\GitHub\eaglep3\Utilities\DownloadLogsFromS3.py --loco 4004 --day 2017-02-20</v>
      </c>
      <c r="AN128" s="163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"%USERPROFILE%\AppData\Local\Temp\OnboardLogs"\RTDC4004\*4004*20170221* | grep -SE "(Enforcement Action)|(\[TIMEOUT)|(CHR.+\|PRM\|1\|D.+(SWITCH|SIGNAL).+UNKNOWN)" - &gt;&gt; 2017-02-20-UncaughtWiMAX.txt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645</v>
      </c>
      <c r="B129" s="7">
        <v>4016</v>
      </c>
      <c r="C129" s="21" t="s">
        <v>408</v>
      </c>
      <c r="D129" s="21" t="s">
        <v>753</v>
      </c>
      <c r="E129" s="13">
        <v>42786.736562500002</v>
      </c>
      <c r="F129" s="13">
        <v>42786.739965277775</v>
      </c>
      <c r="G129" s="7">
        <v>1</v>
      </c>
      <c r="H129" s="21" t="s">
        <v>754</v>
      </c>
      <c r="I129" s="13">
        <v>42786.765231481484</v>
      </c>
      <c r="J129" s="7">
        <v>0</v>
      </c>
      <c r="K129" s="98" t="str">
        <f t="shared" si="61"/>
        <v>4015/4016</v>
      </c>
      <c r="L129" s="21" t="str">
        <f>VLOOKUP(A129,'Trips&amp;Operators'!$C$1:$G$99999,5,FALSE)</f>
        <v>SMITH MICHAEL</v>
      </c>
      <c r="M129" s="6">
        <f t="shared" si="62"/>
        <v>2.5266203709179536E-2</v>
      </c>
      <c r="N129" s="7">
        <f t="shared" si="71"/>
        <v>36.383333341218531</v>
      </c>
      <c r="O129" s="7"/>
      <c r="P129" s="7"/>
      <c r="Q129" s="22"/>
      <c r="R129" s="22"/>
      <c r="S129" s="31">
        <f t="shared" si="63"/>
        <v>1</v>
      </c>
      <c r="T129" s="46" t="str">
        <f t="shared" si="64"/>
        <v>NorthBound</v>
      </c>
      <c r="U129" s="186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7" t="str">
        <f t="shared" si="52"/>
        <v>https://d0f6bd738d7f1b3e5a7ca70fe4ff75f0.us-east-1.aws.found.io/app/kibana#/discover/Steve-Slow-Train-Analysis-(2080s-and-2083s)?_g=(refreshInterval:(display:Off,pause:!f,section:0,value:0),time:(from:'2017-02-20T16:40:39-0700',mode:absolute,to:'2017-02-20T19:21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9" s="188" t="str">
        <f t="shared" si="65"/>
        <v>N</v>
      </c>
      <c r="X129" s="188">
        <f t="shared" si="72"/>
        <v>1</v>
      </c>
      <c r="Y129" s="62">
        <f t="shared" si="66"/>
        <v>4.8399999999999999E-2</v>
      </c>
      <c r="Z129" s="62">
        <f t="shared" si="67"/>
        <v>23.33</v>
      </c>
      <c r="AA129" s="62">
        <f t="shared" si="68"/>
        <v>23.281599999999997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 t="shared" si="69"/>
        <v>0213-20</v>
      </c>
      <c r="AE129" s="85" t="str">
        <f t="shared" si="53"/>
        <v>aws s3 cp s3://rtdc.mdm.uploadarchive.raw/RTDC4016/ "%USERPROFILE%\AppData\Local\Temp\OnboardLogs"\RTDC4016\2017-02-20 --exclude "*" --recursive --include "*20170220*" &amp; "%USERPROFILE%\Documents\GitHub\mrs-test-scripts\Headless Mode &amp; Sideloading\WalkAndUnGZ.bat" "%USERPROFILE%\AppData\Local\Temp\OnboardLogs"\RTDC4016\2017-02-20 &amp; aws s3 cp s3://rtdc.mdm.uploadarchive.raw/RTDC4016/ "%USERPROFILE%\AppData\Local\Temp\OnboardLogs"\RTDC4016\2017-02-21 --exclude "*" --recursive --include "*20170221*" &amp; "%USERPROFILE%\Documents\GitHub\mrs-test-scripts\Headless Mode &amp; Sideloading\WalkAndUnGZ.bat" "%USERPROFILE%\AppData\Local\Temp\OnboardLogs"\RTDC4016\2017-02-21</v>
      </c>
      <c r="AF129" s="82" t="str">
        <f t="shared" si="54"/>
        <v>"C:\Program Files (x86)\AstroGrep\AstroGrep.exe" /spath="%USERPROFILE%\AppData\Local\Temp\OnboardLogs" /stypes="app*4016*20170221*" /stext=" 01:.+((SYSTEM_STATE.+slice.+state.+changed )|(ment ac)|(multiple cpu faults)|(system.+state.+changed )|(\[timeout)|(PRM\|1\|D)|(kpr)|(kdp)|(\|lc)|(penalty))" /e /r /s</v>
      </c>
      <c r="AG129" s="1" t="str">
        <f t="shared" si="70"/>
        <v>EC</v>
      </c>
      <c r="AH129" s="86" t="str">
        <f t="shared" si="56"/>
        <v>"%USERPROFILE%\Documents\GitHub\eaglep3\Utilities\RefineRTDCRunTimes.py" --tripid 213-20 --locoid 4016 --swversion DE.1.0.9.0 --startMP 204:484 --initTime 2017-02-20T17:40:39 --startdatetime 2017-02-20T17:45:33 --delay 1 --endMP 204:233300 --enddatetime 2017-02-20T18:21:56 --enforcementcount 0 &gt;&gt;C:\Users\stu\Documents\GitHub\eaglep3-reporting\EC\2017-02-20-refined-times.txt</v>
      </c>
      <c r="AI129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{"issue":{"subject":"","project_id":79,"tracker_id":40,"status_id":1,"priority_id":2,"assigned_to_id":23,"start_date":"2017-02-20","description":"","custom_fields":[{"id":1,"name":"Subdivision","value":"EC"},{"id":4,"name":"Milepost","value":"23.33"},{"id":17,"name":"Train ID","value":"213-20"},{"id":16,"name":"Locomotive ID","value":"4016"},{"id":130,"name":"Impact","value":""},{"id":150,"name":"Time of Event (Mountain Time)","value":"18:21:56"},{"id":151,"name":"Denver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48"/>
      <c r="AK129" s="48"/>
      <c r="AL129" s="48"/>
      <c r="AM129" s="154" t="str">
        <f t="shared" si="58"/>
        <v>start /low /b %USERPROFILE%\Documents\GitHub\eaglep3\Utilities\DownloadLogsFromS3.py --loco 4016 --day 2017-02-20</v>
      </c>
      <c r="AN129" s="163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"%USERPROFILE%\AppData\Local\Temp\OnboardLogs"\RTDC4016\*4016*20170221* | grep -SE "(Enforcement Action)|(\[TIMEOUT)|(CHR.+\|PRM\|1\|D.+(SWITCH|SIGNAL).+UNKNOWN)" - &gt;&gt; 2017-02-20-UncaughtWiMAX.txt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652</v>
      </c>
      <c r="B130" s="7">
        <v>4015</v>
      </c>
      <c r="C130" s="21" t="s">
        <v>408</v>
      </c>
      <c r="D130" s="21" t="s">
        <v>262</v>
      </c>
      <c r="E130" s="13">
        <v>42786.771284722221</v>
      </c>
      <c r="F130" s="13">
        <v>42786.778819444444</v>
      </c>
      <c r="G130" s="7">
        <v>1</v>
      </c>
      <c r="H130" s="21" t="s">
        <v>223</v>
      </c>
      <c r="I130" s="13">
        <v>42786.805613425924</v>
      </c>
      <c r="J130" s="7">
        <v>0</v>
      </c>
      <c r="K130" s="98" t="str">
        <f t="shared" si="61"/>
        <v>4015/4016</v>
      </c>
      <c r="L130" s="21" t="str">
        <f>VLOOKUP(A130,'Trips&amp;Operators'!$C$1:$G$99999,5,FALSE)</f>
        <v>SMITH MICHAEL</v>
      </c>
      <c r="M130" s="6">
        <f t="shared" si="62"/>
        <v>2.679398148029577E-2</v>
      </c>
      <c r="N130" s="7">
        <f t="shared" si="71"/>
        <v>38.583333331625909</v>
      </c>
      <c r="O130" s="7"/>
      <c r="P130" s="7"/>
      <c r="Q130" s="22"/>
      <c r="R130" s="22"/>
      <c r="S130" s="31">
        <f t="shared" si="63"/>
        <v>1</v>
      </c>
      <c r="T130" s="46" t="str">
        <f t="shared" si="64"/>
        <v>Southbound</v>
      </c>
      <c r="U130" s="186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7" t="str">
        <f t="shared" si="52"/>
        <v>https://d0f6bd738d7f1b3e5a7ca70fe4ff75f0.us-east-1.aws.found.io/app/kibana#/discover/Steve-Slow-Train-Analysis-(2080s-and-2083s)?_g=(refreshInterval:(display:Off,pause:!f,section:0,value:0),time:(from:'2017-02-20T17:30:39-0700',mode:absolute,to:'2017-02-20T20:20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0" s="188" t="str">
        <f t="shared" si="65"/>
        <v>N</v>
      </c>
      <c r="X130" s="188">
        <f t="shared" si="72"/>
        <v>1</v>
      </c>
      <c r="Y130" s="62">
        <f t="shared" si="66"/>
        <v>23.299299999999999</v>
      </c>
      <c r="Z130" s="62">
        <f t="shared" si="67"/>
        <v>1.43E-2</v>
      </c>
      <c r="AA130" s="62">
        <f t="shared" si="68"/>
        <v>23.285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 t="shared" si="69"/>
        <v>0214-20</v>
      </c>
      <c r="AE130" s="85" t="str">
        <f t="shared" si="53"/>
        <v>aws s3 cp s3://rtdc.mdm.uploadarchive.raw/RTDC4015/ "%USERPROFILE%\AppData\Local\Temp\OnboardLogs"\RTDC4015\2017-02-20 --exclude "*" --recursive --include "*20170220*" &amp; "%USERPROFILE%\Documents\GitHub\mrs-test-scripts\Headless Mode &amp; Sideloading\WalkAndUnGZ.bat" "%USERPROFILE%\AppData\Local\Temp\OnboardLogs"\RTDC4015\2017-02-20 &amp; aws s3 cp s3://rtdc.mdm.uploadarchive.raw/RTDC4015/ "%USERPROFILE%\AppData\Local\Temp\OnboardLogs"\RTDC4015\2017-02-21 --exclude "*" --recursive --include "*20170221*" &amp; "%USERPROFILE%\Documents\GitHub\mrs-test-scripts\Headless Mode &amp; Sideloading\WalkAndUnGZ.bat" "%USERPROFILE%\AppData\Local\Temp\OnboardLogs"\RTDC4015\2017-02-21</v>
      </c>
      <c r="AF130" s="82" t="str">
        <f t="shared" si="54"/>
        <v>"C:\Program Files (x86)\AstroGrep\AstroGrep.exe" /spath="%USERPROFILE%\AppData\Local\Temp\OnboardLogs" /stypes="app*4015*20170221*" /stext=" 02:.+((SYSTEM_STATE.+slice.+state.+changed )|(ment ac)|(multiple cpu faults)|(system.+state.+changed )|(\[timeout)|(PRM\|1\|D)|(kpr)|(kdp)|(\|lc)|(penalty))" /e /r /s</v>
      </c>
      <c r="AG130" s="1" t="str">
        <f t="shared" si="70"/>
        <v>EC</v>
      </c>
      <c r="AH130" s="86" t="str">
        <f t="shared" si="56"/>
        <v>"%USERPROFILE%\Documents\GitHub\eaglep3\Utilities\RefineRTDCRunTimes.py" --tripid 214-20 --locoid 4015 --swversion DE.1.0.9.0 --startMP 204:232993 --initTime 2017-02-20T18:30:39 --startdatetime 2017-02-20T18:41:30 --delay 1 --endMP 204:143 --enddatetime 2017-02-20T19:20:05 --enforcementcount 0 &gt;&gt;C:\Users\stu\Documents\GitHub\eaglep3-reporting\EC\2017-02-20-refined-times.txt</v>
      </c>
      <c r="AI130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{"issue":{"subject":"","project_id":79,"tracker_id":40,"status_id":1,"priority_id":2,"assigned_to_id":23,"start_date":"2017-02-20","description":"","custom_fields":[{"id":1,"name":"Subdivision","value":"EC"},{"id":4,"name":"Milepost","value":"0.0143"},{"id":17,"name":"Train ID","value":"214-20"},{"id":16,"name":"Locomotive ID","value":"4015"},{"id":130,"name":"Impact","value":""},{"id":150,"name":"Time of Event (Mountain Time)","value":"19:20:05"},{"id":151,"name":"Denver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48"/>
      <c r="AK130" s="48"/>
      <c r="AL130" s="48"/>
      <c r="AM130" s="154" t="str">
        <f t="shared" si="58"/>
        <v>start /low /b %USERPROFILE%\Documents\GitHub\eaglep3\Utilities\DownloadLogsFromS3.py --loco 4015 --day 2017-02-20</v>
      </c>
      <c r="AN130" s="163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"%USERPROFILE%\AppData\Local\Temp\OnboardLogs"\RTDC4015\*4015*20170221* | grep -SE "(Enforcement Action)|(\[TIMEOUT)|(CHR.+\|PRM\|1\|D.+(SWITCH|SIGNAL).+UNKNOWN)" - &gt;&gt; 2017-02-20-UncaughtWiMAX.txt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646</v>
      </c>
      <c r="B131" s="7">
        <v>4027</v>
      </c>
      <c r="C131" s="21" t="s">
        <v>408</v>
      </c>
      <c r="D131" s="21" t="s">
        <v>230</v>
      </c>
      <c r="E131" s="13">
        <v>42786.74596064815</v>
      </c>
      <c r="F131" s="13">
        <v>42786.750162037039</v>
      </c>
      <c r="G131" s="7">
        <v>1</v>
      </c>
      <c r="H131" s="21" t="s">
        <v>738</v>
      </c>
      <c r="I131" s="13">
        <v>42786.775833333333</v>
      </c>
      <c r="J131" s="7">
        <v>0</v>
      </c>
      <c r="K131" s="98" t="str">
        <f t="shared" si="61"/>
        <v>4027/4028</v>
      </c>
      <c r="L131" s="21" t="str">
        <f>VLOOKUP(A131,'Trips&amp;Operators'!$C$1:$G$99999,5,FALSE)</f>
        <v>KILLION DAVID</v>
      </c>
      <c r="M131" s="6">
        <f t="shared" si="62"/>
        <v>2.5671296294603962E-2</v>
      </c>
      <c r="N131" s="7">
        <f t="shared" si="71"/>
        <v>36.966666664229706</v>
      </c>
      <c r="O131" s="7"/>
      <c r="P131" s="7"/>
      <c r="Q131" s="22"/>
      <c r="R131" s="22"/>
      <c r="S131" s="31">
        <f t="shared" ref="S131:S162" si="73">SUM(U131:U131)/IF(AG131="EC",12,1)</f>
        <v>1</v>
      </c>
      <c r="T131" s="46" t="str">
        <f t="shared" si="64"/>
        <v>NorthBound</v>
      </c>
      <c r="U131" s="186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7" t="str">
        <f t="shared" si="52"/>
        <v>https://d0f6bd738d7f1b3e5a7ca70fe4ff75f0.us-east-1.aws.found.io/app/kibana#/discover/Steve-Slow-Train-Analysis-(2080s-and-2083s)?_g=(refreshInterval:(display:Off,pause:!f,section:0,value:0),time:(from:'2017-02-20T16:54:11-0700',mode:absolute,to:'2017-02-20T19:37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1" s="188" t="str">
        <f t="shared" si="65"/>
        <v>N</v>
      </c>
      <c r="X131" s="188">
        <f t="shared" si="72"/>
        <v>1</v>
      </c>
      <c r="Y131" s="62">
        <f t="shared" si="66"/>
        <v>4.5999999999999999E-2</v>
      </c>
      <c r="Z131" s="62">
        <f t="shared" si="67"/>
        <v>23.328900000000001</v>
      </c>
      <c r="AA131" s="62">
        <f t="shared" si="68"/>
        <v>23.282900000000001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 t="shared" si="69"/>
        <v>0215-20</v>
      </c>
      <c r="AE131" s="85" t="str">
        <f t="shared" si="53"/>
        <v>aws s3 cp s3://rtdc.mdm.uploadarchive.raw/RTDC4027/ "%USERPROFILE%\AppData\Local\Temp\OnboardLogs"\RTDC4027\2017-02-20 --exclude "*" --recursive --include "*20170220*" &amp; "%USERPROFILE%\Documents\GitHub\mrs-test-scripts\Headless Mode &amp; Sideloading\WalkAndUnGZ.bat" "%USERPROFILE%\AppData\Local\Temp\OnboardLogs"\RTDC4027\2017-02-20 &amp; aws s3 cp s3://rtdc.mdm.uploadarchive.raw/RTDC4027/ "%USERPROFILE%\AppData\Local\Temp\OnboardLogs"\RTDC4027\2017-02-21 --exclude "*" --recursive --include "*20170221*" &amp; "%USERPROFILE%\Documents\GitHub\mrs-test-scripts\Headless Mode &amp; Sideloading\WalkAndUnGZ.bat" "%USERPROFILE%\AppData\Local\Temp\OnboardLogs"\RTDC4027\2017-02-21</v>
      </c>
      <c r="AF131" s="82" t="str">
        <f t="shared" si="54"/>
        <v>"C:\Program Files (x86)\AstroGrep\AstroGrep.exe" /spath="%USERPROFILE%\AppData\Local\Temp\OnboardLogs" /stypes="app*4027*20170221*" /stext=" 01:.+((SYSTEM_STATE.+slice.+state.+changed )|(ment ac)|(multiple cpu faults)|(system.+state.+changed )|(\[timeout)|(PRM\|1\|D)|(kpr)|(kdp)|(\|lc)|(penalty))" /e /r /s</v>
      </c>
      <c r="AG131" s="1" t="str">
        <f t="shared" si="70"/>
        <v>EC</v>
      </c>
      <c r="AH131" s="86" t="str">
        <f t="shared" si="56"/>
        <v>"%USERPROFILE%\Documents\GitHub\eaglep3\Utilities\RefineRTDCRunTimes.py" --tripid 215-20 --locoid 4027 --swversion DE.1.0.9.0 --startMP 204:460 --initTime 2017-02-20T17:54:11 --startdatetime 2017-02-20T18:00:14 --delay 1 --endMP 204:233289 --enddatetime 2017-02-20T18:37:12 --enforcementcount 0 &gt;&gt;C:\Users\stu\Documents\GitHub\eaglep3-reporting\EC\2017-02-20-refined-times.txt</v>
      </c>
      <c r="AI131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{"issue":{"subject":"","project_id":79,"tracker_id":40,"status_id":1,"priority_id":2,"assigned_to_id":23,"start_date":"2017-02-20","description":"","custom_fields":[{"id":1,"name":"Subdivision","value":"EC"},{"id":4,"name":"Milepost","value":"23.3289"},{"id":17,"name":"Train ID","value":"215-20"},{"id":16,"name":"Locomotive ID","value":"4027"},{"id":130,"name":"Impact","value":""},{"id":150,"name":"Time of Event (Mountain Time)","value":"18:37:12"},{"id":151,"name":"Denver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48"/>
      <c r="AK131" s="48"/>
      <c r="AL131" s="48"/>
      <c r="AM131" s="154" t="str">
        <f t="shared" si="58"/>
        <v>start /low /b %USERPROFILE%\Documents\GitHub\eaglep3\Utilities\DownloadLogsFromS3.py --loco 4027 --day 2017-02-20</v>
      </c>
      <c r="AN131" s="163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"%USERPROFILE%\AppData\Local\Temp\OnboardLogs"\RTDC4027\*4027*20170221* | grep -SE "(Enforcement Action)|(\[TIMEOUT)|(CHR.+\|PRM\|1\|D.+(SWITCH|SIGNAL).+UNKNOWN)" - &gt;&gt; 2017-02-20-UncaughtWiMAX.txt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655</v>
      </c>
      <c r="B132" s="7">
        <v>4028</v>
      </c>
      <c r="C132" s="21" t="s">
        <v>408</v>
      </c>
      <c r="D132" s="21" t="s">
        <v>755</v>
      </c>
      <c r="E132" s="13">
        <v>42786.784236111111</v>
      </c>
      <c r="F132" s="13">
        <v>42786.789421296293</v>
      </c>
      <c r="G132" s="7">
        <v>1</v>
      </c>
      <c r="H132" s="21" t="s">
        <v>203</v>
      </c>
      <c r="I132" s="13">
        <v>42786.816192129627</v>
      </c>
      <c r="J132" s="7">
        <v>0</v>
      </c>
      <c r="K132" s="98" t="str">
        <f t="shared" si="61"/>
        <v>4027/4028</v>
      </c>
      <c r="L132" s="21" t="str">
        <f>VLOOKUP(A132,'Trips&amp;Operators'!$C$1:$G$99999,5,FALSE)</f>
        <v>KILLION DAVID</v>
      </c>
      <c r="M132" s="6">
        <f t="shared" si="62"/>
        <v>2.6770833334012423E-2</v>
      </c>
      <c r="N132" s="7">
        <f t="shared" si="71"/>
        <v>38.550000000977889</v>
      </c>
      <c r="O132" s="7"/>
      <c r="P132" s="7"/>
      <c r="Q132" s="22"/>
      <c r="R132" s="22"/>
      <c r="S132" s="31">
        <f t="shared" si="73"/>
        <v>1</v>
      </c>
      <c r="T132" s="46" t="str">
        <f t="shared" si="64"/>
        <v>Southbound</v>
      </c>
      <c r="U132" s="186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7" t="str">
        <f t="shared" si="52"/>
        <v>https://d0f6bd738d7f1b3e5a7ca70fe4ff75f0.us-east-1.aws.found.io/app/kibana#/discover/Steve-Slow-Train-Analysis-(2080s-and-2083s)?_g=(refreshInterval:(display:Off,pause:!f,section:0,value:0),time:(from:'2017-02-20T17:49:18-0700',mode:absolute,to:'2017-02-20T20:35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2" s="188" t="str">
        <f t="shared" si="65"/>
        <v>N</v>
      </c>
      <c r="X132" s="188">
        <f t="shared" si="72"/>
        <v>1</v>
      </c>
      <c r="Y132" s="62">
        <f t="shared" si="66"/>
        <v>23.2957</v>
      </c>
      <c r="Z132" s="62">
        <f t="shared" si="67"/>
        <v>1.6E-2</v>
      </c>
      <c r="AA132" s="62">
        <f t="shared" si="68"/>
        <v>23.279700000000002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 t="shared" si="69"/>
        <v>0216-20</v>
      </c>
      <c r="AE132" s="85" t="str">
        <f t="shared" si="53"/>
        <v>aws s3 cp s3://rtdc.mdm.uploadarchive.raw/RTDC4028/ "%USERPROFILE%\AppData\Local\Temp\OnboardLogs"\RTDC4028\2017-02-20 --exclude "*" --recursive --include "*20170220*" &amp; "%USERPROFILE%\Documents\GitHub\mrs-test-scripts\Headless Mode &amp; Sideloading\WalkAndUnGZ.bat" "%USERPROFILE%\AppData\Local\Temp\OnboardLogs"\RTDC4028\2017-02-20 &amp; aws s3 cp s3://rtdc.mdm.uploadarchive.raw/RTDC4028/ "%USERPROFILE%\AppData\Local\Temp\OnboardLogs"\RTDC4028\2017-02-21 --exclude "*" --recursive --include "*20170221*" &amp; "%USERPROFILE%\Documents\GitHub\mrs-test-scripts\Headless Mode &amp; Sideloading\WalkAndUnGZ.bat" "%USERPROFILE%\AppData\Local\Temp\OnboardLogs"\RTDC4028\2017-02-21</v>
      </c>
      <c r="AF132" s="82" t="str">
        <f t="shared" si="54"/>
        <v>"C:\Program Files (x86)\AstroGrep\AstroGrep.exe" /spath="%USERPROFILE%\AppData\Local\Temp\OnboardLogs" /stypes="app*4028*20170221*" /stext=" 02:.+((SYSTEM_STATE.+slice.+state.+changed )|(ment ac)|(multiple cpu faults)|(system.+state.+changed )|(\[timeout)|(PRM\|1\|D)|(kpr)|(kdp)|(\|lc)|(penalty))" /e /r /s</v>
      </c>
      <c r="AG132" s="1" t="str">
        <f t="shared" si="70"/>
        <v>EC</v>
      </c>
      <c r="AH132" s="86" t="str">
        <f t="shared" si="56"/>
        <v>"%USERPROFILE%\Documents\GitHub\eaglep3\Utilities\RefineRTDCRunTimes.py" --tripid 216-20 --locoid 4028 --swversion DE.1.0.9.0 --startMP 204:232957 --initTime 2017-02-20T18:49:18 --startdatetime 2017-02-20T18:56:46 --delay 1 --endMP 204:160 --enddatetime 2017-02-20T19:35:19 --enforcementcount 0 &gt;&gt;C:\Users\stu\Documents\GitHub\eaglep3-reporting\EC\2017-02-20-refined-times.txt</v>
      </c>
      <c r="AI132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{"issue":{"subject":"","project_id":79,"tracker_id":40,"status_id":1,"priority_id":2,"assigned_to_id":23,"start_date":"2017-02-20","description":"","custom_fields":[{"id":1,"name":"Subdivision","value":"EC"},{"id":4,"name":"Milepost","value":"0.016"},{"id":17,"name":"Train ID","value":"216-20"},{"id":16,"name":"Locomotive ID","value":"4028"},{"id":130,"name":"Impact","value":""},{"id":150,"name":"Time of Event (Mountain Time)","value":"19:35:19"},{"id":151,"name":"Denver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48"/>
      <c r="AK132" s="48"/>
      <c r="AL132" s="48"/>
      <c r="AM132" s="154" t="str">
        <f t="shared" si="58"/>
        <v>start /low /b %USERPROFILE%\Documents\GitHub\eaglep3\Utilities\DownloadLogsFromS3.py --loco 4028 --day 2017-02-20</v>
      </c>
      <c r="AN132" s="163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"%USERPROFILE%\AppData\Local\Temp\OnboardLogs"\RTDC4028\*4028*20170221* | grep -SE "(Enforcement Action)|(\[TIMEOUT)|(CHR.+\|PRM\|1\|D.+(SWITCH|SIGNAL).+UNKNOWN)" - &gt;&gt; 2017-02-20-UncaughtWiMAX.txt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649</v>
      </c>
      <c r="B133" s="7">
        <v>4020</v>
      </c>
      <c r="C133" s="21" t="s">
        <v>408</v>
      </c>
      <c r="D133" s="21" t="s">
        <v>364</v>
      </c>
      <c r="E133" s="13">
        <v>42786.757106481484</v>
      </c>
      <c r="F133" s="13">
        <v>42786.760914351849</v>
      </c>
      <c r="G133" s="7">
        <v>3</v>
      </c>
      <c r="H133" s="21" t="s">
        <v>756</v>
      </c>
      <c r="I133" s="13">
        <v>42786.785254629627</v>
      </c>
      <c r="J133" s="7">
        <v>0</v>
      </c>
      <c r="K133" s="98" t="str">
        <f t="shared" si="61"/>
        <v>4019/4020</v>
      </c>
      <c r="L133" s="21" t="str">
        <f>VLOOKUP(A133,'Trips&amp;Operators'!$C$1:$G$99999,5,FALSE)</f>
        <v>STAMBAUGH JAMES</v>
      </c>
      <c r="M133" s="6">
        <f t="shared" si="62"/>
        <v>2.4340277777810115E-2</v>
      </c>
      <c r="N133" s="7">
        <f t="shared" si="71"/>
        <v>35.050000000046566</v>
      </c>
      <c r="O133" s="7"/>
      <c r="P133" s="7"/>
      <c r="Q133" s="22"/>
      <c r="R133" s="22"/>
      <c r="S133" s="31">
        <f t="shared" si="73"/>
        <v>1</v>
      </c>
      <c r="T133" s="46" t="str">
        <f t="shared" si="64"/>
        <v>NorthBound</v>
      </c>
      <c r="U133" s="186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7" t="str">
        <f t="shared" si="52"/>
        <v>https://d0f6bd738d7f1b3e5a7ca70fe4ff75f0.us-east-1.aws.found.io/app/kibana#/discover/Steve-Slow-Train-Analysis-(2080s-and-2083s)?_g=(refreshInterval:(display:Off,pause:!f,section:0,value:0),time:(from:'2017-02-20T17:10:14-0700',mode:absolute,to:'2017-02-20T19:50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3" s="188" t="str">
        <f t="shared" si="65"/>
        <v>N</v>
      </c>
      <c r="X133" s="188">
        <f t="shared" si="72"/>
        <v>1</v>
      </c>
      <c r="Y133" s="62">
        <f t="shared" si="66"/>
        <v>4.4699999999999997E-2</v>
      </c>
      <c r="Z133" s="62">
        <f t="shared" si="67"/>
        <v>23.337399999999999</v>
      </c>
      <c r="AA133" s="62">
        <f t="shared" si="68"/>
        <v>23.2927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 t="shared" si="69"/>
        <v>0217-20</v>
      </c>
      <c r="AE133" s="85" t="str">
        <f t="shared" si="53"/>
        <v>aws s3 cp s3://rtdc.mdm.uploadarchive.raw/RTDC4020/ "%USERPROFILE%\AppData\Local\Temp\OnboardLogs"\RTDC4020\2017-02-20 --exclude "*" --recursive --include "*20170220*" &amp; "%USERPROFILE%\Documents\GitHub\mrs-test-scripts\Headless Mode &amp; Sideloading\WalkAndUnGZ.bat" "%USERPROFILE%\AppData\Local\Temp\OnboardLogs"\RTDC4020\2017-02-20 &amp; aws s3 cp s3://rtdc.mdm.uploadarchive.raw/RTDC4020/ "%USERPROFILE%\AppData\Local\Temp\OnboardLogs"\RTDC4020\2017-02-21 --exclude "*" --recursive --include "*20170221*" &amp; "%USERPROFILE%\Documents\GitHub\mrs-test-scripts\Headless Mode &amp; Sideloading\WalkAndUnGZ.bat" "%USERPROFILE%\AppData\Local\Temp\OnboardLogs"\RTDC4020\2017-02-21</v>
      </c>
      <c r="AF133" s="82" t="str">
        <f t="shared" si="54"/>
        <v>"C:\Program Files (x86)\AstroGrep\AstroGrep.exe" /spath="%USERPROFILE%\AppData\Local\Temp\OnboardLogs" /stypes="app*4020*20170221*" /stext=" 01:.+((SYSTEM_STATE.+slice.+state.+changed )|(ment ac)|(multiple cpu faults)|(system.+state.+changed )|(\[timeout)|(PRM\|1\|D)|(kpr)|(kdp)|(\|lc)|(penalty))" /e /r /s</v>
      </c>
      <c r="AG133" s="1" t="str">
        <f t="shared" si="70"/>
        <v>EC</v>
      </c>
      <c r="AH133" s="86" t="str">
        <f t="shared" si="56"/>
        <v>"%USERPROFILE%\Documents\GitHub\eaglep3\Utilities\RefineRTDCRunTimes.py" --tripid 217-20 --locoid 4020 --swversion DE.1.0.9.0 --startMP 204:447 --initTime 2017-02-20T18:10:14 --startdatetime 2017-02-20T18:15:43 --delay 3 --endMP 204:233374 --enddatetime 2017-02-20T18:50:46 --enforcementcount 0 &gt;&gt;C:\Users\stu\Documents\GitHub\eaglep3-reporting\EC\2017-02-20-refined-times.txt</v>
      </c>
      <c r="AI133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{"issue":{"subject":"","project_id":79,"tracker_id":40,"status_id":1,"priority_id":2,"assigned_to_id":23,"start_date":"2017-02-20","description":"","custom_fields":[{"id":1,"name":"Subdivision","value":"EC"},{"id":4,"name":"Milepost","value":"23.3374"},{"id":17,"name":"Train ID","value":"217-20"},{"id":16,"name":"Locomotive ID","value":"4020"},{"id":130,"name":"Impact","value":""},{"id":150,"name":"Time of Event (Mountain Time)","value":"18:50:46"},{"id":151,"name":"Denver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48"/>
      <c r="AK133" s="48"/>
      <c r="AL133" s="48"/>
      <c r="AM133" s="154" t="str">
        <f t="shared" si="58"/>
        <v>start /low /b %USERPROFILE%\Documents\GitHub\eaglep3\Utilities\DownloadLogsFromS3.py --loco 4020 --day 2017-02-20</v>
      </c>
      <c r="AN133" s="163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"%USERPROFILE%\AppData\Local\Temp\OnboardLogs"\RTDC4020\*4020*20170221* | grep -SE "(Enforcement Action)|(\[TIMEOUT)|(CHR.+\|PRM\|1\|D.+(SWITCH|SIGNAL).+UNKNOWN)" - &gt;&gt; 2017-02-20-UncaughtWiMAX.txt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656</v>
      </c>
      <c r="B134" s="7">
        <v>4019</v>
      </c>
      <c r="C134" s="21" t="s">
        <v>408</v>
      </c>
      <c r="D134" s="21" t="s">
        <v>757</v>
      </c>
      <c r="E134" s="13">
        <v>42786.787719907406</v>
      </c>
      <c r="F134" s="13">
        <v>42786.799953703703</v>
      </c>
      <c r="G134" s="7">
        <v>2</v>
      </c>
      <c r="H134" s="21" t="s">
        <v>184</v>
      </c>
      <c r="I134" s="13">
        <v>42786.825219907405</v>
      </c>
      <c r="J134" s="7">
        <v>0</v>
      </c>
      <c r="K134" s="98" t="str">
        <f t="shared" si="61"/>
        <v>4019/4020</v>
      </c>
      <c r="L134" s="21" t="str">
        <f>VLOOKUP(A134,'Trips&amp;Operators'!$C$1:$G$99999,5,FALSE)</f>
        <v>STAMBAUGH JAMES</v>
      </c>
      <c r="M134" s="6">
        <f t="shared" si="62"/>
        <v>2.5266203701903578E-2</v>
      </c>
      <c r="N134" s="7">
        <f t="shared" si="71"/>
        <v>36.383333330741152</v>
      </c>
      <c r="O134" s="7"/>
      <c r="P134" s="7"/>
      <c r="Q134" s="22"/>
      <c r="R134" s="22"/>
      <c r="S134" s="31">
        <f t="shared" si="73"/>
        <v>1</v>
      </c>
      <c r="T134" s="46" t="str">
        <f t="shared" si="64"/>
        <v>Southbound</v>
      </c>
      <c r="U134" s="186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7" t="str">
        <f t="shared" si="52"/>
        <v>https://d0f6bd738d7f1b3e5a7ca70fe4ff75f0.us-east-1.aws.found.io/app/kibana#/discover/Steve-Slow-Train-Analysis-(2080s-and-2083s)?_g=(refreshInterval:(display:Off,pause:!f,section:0,value:0),time:(from:'2017-02-20T17:54:19-0700',mode:absolute,to:'2017-02-20T20:48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4" s="188" t="str">
        <f t="shared" si="65"/>
        <v>N</v>
      </c>
      <c r="X134" s="188">
        <f t="shared" si="72"/>
        <v>1</v>
      </c>
      <c r="Y134" s="62">
        <f t="shared" si="66"/>
        <v>23.3062</v>
      </c>
      <c r="Z134" s="62">
        <f t="shared" si="67"/>
        <v>1.49E-2</v>
      </c>
      <c r="AA134" s="62">
        <f t="shared" si="68"/>
        <v>23.2913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 t="shared" si="69"/>
        <v>0218-20</v>
      </c>
      <c r="AE134" s="85" t="str">
        <f t="shared" si="53"/>
        <v>aws s3 cp s3://rtdc.mdm.uploadarchive.raw/RTDC4019/ "%USERPROFILE%\AppData\Local\Temp\OnboardLogs"\RTDC4019\2017-02-20 --exclude "*" --recursive --include "*20170220*" &amp; "%USERPROFILE%\Documents\GitHub\mrs-test-scripts\Headless Mode &amp; Sideloading\WalkAndUnGZ.bat" "%USERPROFILE%\AppData\Local\Temp\OnboardLogs"\RTDC4019\2017-02-20 &amp; aws s3 cp s3://rtdc.mdm.uploadarchive.raw/RTDC4019/ "%USERPROFILE%\AppData\Local\Temp\OnboardLogs"\RTDC4019\2017-02-21 --exclude "*" --recursive --include "*20170221*" &amp; "%USERPROFILE%\Documents\GitHub\mrs-test-scripts\Headless Mode &amp; Sideloading\WalkAndUnGZ.bat" "%USERPROFILE%\AppData\Local\Temp\OnboardLogs"\RTDC4019\2017-02-21</v>
      </c>
      <c r="AF134" s="82" t="str">
        <f t="shared" si="54"/>
        <v>"C:\Program Files (x86)\AstroGrep\AstroGrep.exe" /spath="%USERPROFILE%\AppData\Local\Temp\OnboardLogs" /stypes="app*4019*20170221*" /stext=" 02:.+((SYSTEM_STATE.+slice.+state.+changed )|(ment ac)|(multiple cpu faults)|(system.+state.+changed )|(\[timeout)|(PRM\|1\|D)|(kpr)|(kdp)|(\|lc)|(penalty))" /e /r /s</v>
      </c>
      <c r="AG134" s="1" t="str">
        <f t="shared" si="70"/>
        <v>EC</v>
      </c>
      <c r="AH134" s="86" t="str">
        <f t="shared" si="56"/>
        <v>"%USERPROFILE%\Documents\GitHub\eaglep3\Utilities\RefineRTDCRunTimes.py" --tripid 218-20 --locoid 4019 --swversion DE.1.0.9.0 --startMP 204:233062 --initTime 2017-02-20T18:54:19 --startdatetime 2017-02-20T19:11:56 --delay 2 --endMP 204:149 --enddatetime 2017-02-20T19:48:19 --enforcementcount 0 &gt;&gt;C:\Users\stu\Documents\GitHub\eaglep3-reporting\EC\2017-02-20-refined-times.txt</v>
      </c>
      <c r="AI134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{"issue":{"subject":"","project_id":79,"tracker_id":40,"status_id":1,"priority_id":2,"assigned_to_id":23,"start_date":"2017-02-20","description":"","custom_fields":[{"id":1,"name":"Subdivision","value":"EC"},{"id":4,"name":"Milepost","value":"0.0149"},{"id":17,"name":"Train ID","value":"218-20"},{"id":16,"name":"Locomotive ID","value":"4019"},{"id":130,"name":"Impact","value":""},{"id":150,"name":"Time of Event (Mountain Time)","value":"19:48:19"},{"id":151,"name":"Denver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48"/>
      <c r="AK134" s="48"/>
      <c r="AL134" s="48"/>
      <c r="AM134" s="154" t="str">
        <f t="shared" si="58"/>
        <v>start /low /b %USERPROFILE%\Documents\GitHub\eaglep3\Utilities\DownloadLogsFromS3.py --loco 4019 --day 2017-02-20</v>
      </c>
      <c r="AN134" s="163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"%USERPROFILE%\AppData\Local\Temp\OnboardLogs"\RTDC4019\*4019*20170221* | grep -SE "(Enforcement Action)|(\[TIMEOUT)|(CHR.+\|PRM\|1\|D.+(SWITCH|SIGNAL).+UNKNOWN)" - &gt;&gt; 2017-02-20-UncaughtWiMAX.txt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484</v>
      </c>
      <c r="B135" s="7">
        <v>4046</v>
      </c>
      <c r="C135" s="21" t="s">
        <v>408</v>
      </c>
      <c r="D135" s="21" t="s">
        <v>758</v>
      </c>
      <c r="E135" s="13">
        <v>42786.76835648148</v>
      </c>
      <c r="F135" s="13">
        <v>42786.771157407406</v>
      </c>
      <c r="G135" s="7">
        <v>1</v>
      </c>
      <c r="H135" s="21" t="s">
        <v>437</v>
      </c>
      <c r="I135" s="13">
        <v>42786.797013888892</v>
      </c>
      <c r="J135" s="7">
        <v>0</v>
      </c>
      <c r="K135" s="98" t="str">
        <f t="shared" si="61"/>
        <v>4045/4046</v>
      </c>
      <c r="L135" s="21" t="str">
        <f>VLOOKUP(A135,'Trips&amp;Operators'!$C$1:$G$99999,5,FALSE)</f>
        <v>STORY SAMANTHA</v>
      </c>
      <c r="M135" s="6">
        <f t="shared" si="62"/>
        <v>2.5856481486698613E-2</v>
      </c>
      <c r="N135" s="7">
        <f t="shared" ref="N135:N166" si="74">24*60*SUM($M135:$M135)</f>
        <v>37.233333340846002</v>
      </c>
      <c r="O135" s="7"/>
      <c r="P135" s="7"/>
      <c r="Q135" s="22"/>
      <c r="R135" s="22"/>
      <c r="S135" s="31">
        <f t="shared" si="73"/>
        <v>1</v>
      </c>
      <c r="T135" s="46" t="str">
        <f t="shared" si="64"/>
        <v>NorthBound</v>
      </c>
      <c r="U135" s="186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7" t="str">
        <f t="shared" si="52"/>
        <v>https://d0f6bd738d7f1b3e5a7ca70fe4ff75f0.us-east-1.aws.found.io/app/kibana#/discover/Steve-Slow-Train-Analysis-(2080s-and-2083s)?_g=(refreshInterval:(display:Off,pause:!f,section:0,value:0),time:(from:'2017-02-20T17:26:26-0700',mode:absolute,to:'2017-02-20T20:07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5" s="188" t="str">
        <f t="shared" si="65"/>
        <v>N</v>
      </c>
      <c r="X135" s="188">
        <f t="shared" si="72"/>
        <v>1</v>
      </c>
      <c r="Y135" s="62">
        <f t="shared" si="66"/>
        <v>4.8000000000000001E-2</v>
      </c>
      <c r="Z135" s="62">
        <f t="shared" si="67"/>
        <v>23.332000000000001</v>
      </c>
      <c r="AA135" s="62">
        <f t="shared" si="68"/>
        <v>23.284000000000002</v>
      </c>
      <c r="AB135" s="59" t="str">
        <f>VLOOKUP(A135,Enforcements!$C$7:$K$13,8,0)</f>
        <v>Bulletin (2)</v>
      </c>
      <c r="AC135" s="55" t="str">
        <f>VLOOKUP(A135,Enforcements!$C$7:$E$13,3,0)</f>
        <v>GRADE CROSSING</v>
      </c>
      <c r="AD135" s="56" t="str">
        <f t="shared" si="69"/>
        <v>0219-20</v>
      </c>
      <c r="AE135" s="85" t="str">
        <f t="shared" si="53"/>
        <v>aws s3 cp s3://rtdc.mdm.uploadarchive.raw/RTDC4046/ "%USERPROFILE%\AppData\Local\Temp\OnboardLogs"\RTDC4046\2017-02-20 --exclude "*" --recursive --include "*20170220*" &amp; "%USERPROFILE%\Documents\GitHub\mrs-test-scripts\Headless Mode &amp; Sideloading\WalkAndUnGZ.bat" "%USERPROFILE%\AppData\Local\Temp\OnboardLogs"\RTDC4046\2017-02-20 &amp; aws s3 cp s3://rtdc.mdm.uploadarchive.raw/RTDC4046/ "%USERPROFILE%\AppData\Local\Temp\OnboardLogs"\RTDC4046\2017-02-21 --exclude "*" --recursive --include "*20170221*" &amp; "%USERPROFILE%\Documents\GitHub\mrs-test-scripts\Headless Mode &amp; Sideloading\WalkAndUnGZ.bat" "%USERPROFILE%\AppData\Local\Temp\OnboardLogs"\RTDC4046\2017-02-21</v>
      </c>
      <c r="AF135" s="82" t="str">
        <f t="shared" si="54"/>
        <v>"C:\Program Files (x86)\AstroGrep\AstroGrep.exe" /spath="%USERPROFILE%\AppData\Local\Temp\OnboardLogs" /stypes="app*4046*20170221*" /stext=" 02:.+((SYSTEM_STATE.+slice.+state.+changed )|(ment ac)|(multiple cpu faults)|(system.+state.+changed )|(\[timeout)|(PRM\|1\|D)|(kpr)|(kdp)|(\|lc)|(penalty))" /e /r /s</v>
      </c>
      <c r="AG135" s="1" t="str">
        <f t="shared" si="70"/>
        <v>EC</v>
      </c>
      <c r="AH135" s="86" t="str">
        <f t="shared" si="56"/>
        <v>"%USERPROFILE%\Documents\GitHub\eaglep3\Utilities\RefineRTDCRunTimes.py" --tripid 219-20 --locoid 4046 --swversion DE.1.0.9.0 --startMP 204:480 --initTime 2017-02-20T18:26:26 --startdatetime 2017-02-20T18:30:28 --delay 1 --endMP 204:233320 --enddatetime 2017-02-20T19:07:42 --enforcementcount 0 &gt;&gt;C:\Users\stu\Documents\GitHub\eaglep3-reporting\EC\2017-02-20-refined-times.txt</v>
      </c>
      <c r="AI135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{"issue":{"subject":"","project_id":79,"tracker_id":40,"status_id":1,"priority_id":2,"assigned_to_id":23,"start_date":"2017-02-20","description":"","custom_fields":[{"id":1,"name":"Subdivision","value":"EC"},{"id":4,"name":"Milepost","value":"23.332"},{"id":17,"name":"Train ID","value":"219-20"},{"id":16,"name":"Locomotive ID","value":"4046"},{"id":130,"name":"Impact","value":""},{"id":150,"name":"Time of Event (Mountain Time)","value":"19:07:42"},{"id":151,"name":"Denver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48"/>
      <c r="AK135" s="48"/>
      <c r="AL135" s="48"/>
      <c r="AM135" s="154" t="str">
        <f t="shared" si="58"/>
        <v>start /low /b %USERPROFILE%\Documents\GitHub\eaglep3\Utilities\DownloadLogsFromS3.py --loco 4046 --day 2017-02-20</v>
      </c>
      <c r="AN135" s="163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"%USERPROFILE%\AppData\Local\Temp\OnboardLogs"\RTDC4046\*4046*20170221* | grep -SE "(Enforcement Action)|(\[TIMEOUT)|(CHR.+\|PRM\|1\|D.+(SWITCH|SIGNAL).+UNKNOWN)" - &gt;&gt; 2017-02-20-UncaughtWiMAX.txt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661</v>
      </c>
      <c r="B136" s="7">
        <v>4045</v>
      </c>
      <c r="C136" s="21" t="s">
        <v>408</v>
      </c>
      <c r="D136" s="21" t="s">
        <v>294</v>
      </c>
      <c r="E136" s="13">
        <v>42786.807384259257</v>
      </c>
      <c r="F136" s="13">
        <v>42786.810231481482</v>
      </c>
      <c r="G136" s="7">
        <v>1</v>
      </c>
      <c r="H136" s="21" t="s">
        <v>206</v>
      </c>
      <c r="I136" s="13">
        <v>42786.836712962962</v>
      </c>
      <c r="J136" s="7">
        <v>0</v>
      </c>
      <c r="K136" s="98" t="str">
        <f t="shared" si="61"/>
        <v>4045/4046</v>
      </c>
      <c r="L136" s="21" t="str">
        <f>VLOOKUP(A136,'Trips&amp;Operators'!$C$1:$G$99999,5,FALSE)</f>
        <v>STORY SAMANTHA</v>
      </c>
      <c r="M136" s="6">
        <f t="shared" si="62"/>
        <v>2.6481481480004732E-2</v>
      </c>
      <c r="N136" s="7">
        <f t="shared" si="74"/>
        <v>38.133333331206813</v>
      </c>
      <c r="O136" s="7"/>
      <c r="P136" s="7"/>
      <c r="Q136" s="22"/>
      <c r="R136" s="22"/>
      <c r="S136" s="31">
        <f t="shared" si="73"/>
        <v>1</v>
      </c>
      <c r="T136" s="46" t="str">
        <f t="shared" si="64"/>
        <v>Southbound</v>
      </c>
      <c r="U136" s="186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7" t="str">
        <f t="shared" si="52"/>
        <v>https://d0f6bd738d7f1b3e5a7ca70fe4ff75f0.us-east-1.aws.found.io/app/kibana#/discover/Steve-Slow-Train-Analysis-(2080s-and-2083s)?_g=(refreshInterval:(display:Off,pause:!f,section:0,value:0),time:(from:'2017-02-20T18:22:38-0700',mode:absolute,to:'2017-02-20T21:04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6" s="188" t="str">
        <f t="shared" si="65"/>
        <v>N</v>
      </c>
      <c r="X136" s="188">
        <f t="shared" si="72"/>
        <v>1</v>
      </c>
      <c r="Y136" s="62">
        <f t="shared" si="66"/>
        <v>23.299800000000001</v>
      </c>
      <c r="Z136" s="62">
        <f t="shared" si="67"/>
        <v>1.52E-2</v>
      </c>
      <c r="AA136" s="62">
        <f t="shared" si="68"/>
        <v>23.284600000000001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 t="shared" si="69"/>
        <v>0220-20</v>
      </c>
      <c r="AE136" s="85" t="str">
        <f t="shared" si="53"/>
        <v>aws s3 cp s3://rtdc.mdm.uploadarchive.raw/RTDC4045/ "%USERPROFILE%\AppData\Local\Temp\OnboardLogs"\RTDC4045\2017-02-20 --exclude "*" --recursive --include "*20170220*" &amp; "%USERPROFILE%\Documents\GitHub\mrs-test-scripts\Headless Mode &amp; Sideloading\WalkAndUnGZ.bat" "%USERPROFILE%\AppData\Local\Temp\OnboardLogs"\RTDC4045\2017-02-20 &amp; aws s3 cp s3://rtdc.mdm.uploadarchive.raw/RTDC4045/ "%USERPROFILE%\AppData\Local\Temp\OnboardLogs"\RTDC4045\2017-02-21 --exclude "*" --recursive --include "*20170221*" &amp; "%USERPROFILE%\Documents\GitHub\mrs-test-scripts\Headless Mode &amp; Sideloading\WalkAndUnGZ.bat" "%USERPROFILE%\AppData\Local\Temp\OnboardLogs"\RTDC4045\2017-02-21</v>
      </c>
      <c r="AF136" s="82" t="str">
        <f t="shared" si="54"/>
        <v>"C:\Program Files (x86)\AstroGrep\AstroGrep.exe" /spath="%USERPROFILE%\AppData\Local\Temp\OnboardLogs" /stypes="app*4045*20170221*" /stext=" 03:.+((SYSTEM_STATE.+slice.+state.+changed )|(ment ac)|(multiple cpu faults)|(system.+state.+changed )|(\[timeout)|(PRM\|1\|D)|(kpr)|(kdp)|(\|lc)|(penalty))" /e /r /s</v>
      </c>
      <c r="AG136" s="1" t="str">
        <f t="shared" si="70"/>
        <v>EC</v>
      </c>
      <c r="AH136" s="86" t="str">
        <f t="shared" si="56"/>
        <v>"%USERPROFILE%\Documents\GitHub\eaglep3\Utilities\RefineRTDCRunTimes.py" --tripid 220-20 --locoid 4045 --swversion DE.1.0.9.0 --startMP 204:232998 --initTime 2017-02-20T19:22:38 --startdatetime 2017-02-20T19:26:44 --delay 1 --endMP 204:152 --enddatetime 2017-02-20T20:04:52 --enforcementcount 0 &gt;&gt;C:\Users\stu\Documents\GitHub\eaglep3-reporting\EC\2017-02-20-refined-times.txt</v>
      </c>
      <c r="AI136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{"issue":{"subject":"","project_id":79,"tracker_id":40,"status_id":1,"priority_id":2,"assigned_to_id":23,"start_date":"2017-02-20","description":"","custom_fields":[{"id":1,"name":"Subdivision","value":"EC"},{"id":4,"name":"Milepost","value":"0.0152"},{"id":17,"name":"Train ID","value":"220-20"},{"id":16,"name":"Locomotive ID","value":"4045"},{"id":130,"name":"Impact","value":""},{"id":150,"name":"Time of Event (Mountain Time)","value":"20:04:52"},{"id":151,"name":"Denver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48"/>
      <c r="AK136" s="48"/>
      <c r="AL136" s="48"/>
      <c r="AM136" s="154" t="str">
        <f t="shared" si="58"/>
        <v>start /low /b %USERPROFILE%\Documents\GitHub\eaglep3\Utilities\DownloadLogsFromS3.py --loco 4045 --day 2017-02-20</v>
      </c>
      <c r="AN136" s="163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"%USERPROFILE%\AppData\Local\Temp\OnboardLogs"\RTDC4045\*4045*20170221* | grep -SE "(Enforcement Action)|(\[TIMEOUT)|(CHR.+\|PRM\|1\|D.+(SWITCH|SIGNAL).+UNKNOWN)" - &gt;&gt; 2017-02-20-UncaughtWiMAX.txt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x14ac:dyDescent="0.25">
      <c r="A137" s="33" t="s">
        <v>657</v>
      </c>
      <c r="B137" s="7">
        <v>4044</v>
      </c>
      <c r="C137" s="21" t="s">
        <v>408</v>
      </c>
      <c r="D137" s="21" t="s">
        <v>204</v>
      </c>
      <c r="E137" s="13">
        <v>42786.789004629631</v>
      </c>
      <c r="F137" s="13">
        <v>42786.791886574072</v>
      </c>
      <c r="G137" s="7">
        <v>1</v>
      </c>
      <c r="H137" s="21" t="s">
        <v>266</v>
      </c>
      <c r="I137" s="13">
        <v>42786.817037037035</v>
      </c>
      <c r="J137" s="7">
        <v>0</v>
      </c>
      <c r="K137" s="98" t="str">
        <f t="shared" si="61"/>
        <v>4043/4044</v>
      </c>
      <c r="L137" s="21" t="str">
        <f>VLOOKUP(A137,'Trips&amp;Operators'!$C$1:$G$99999,5,FALSE)</f>
        <v>CHANDLER KELVIN</v>
      </c>
      <c r="M137" s="6">
        <f t="shared" si="62"/>
        <v>2.5150462963210884E-2</v>
      </c>
      <c r="N137" s="7">
        <f t="shared" si="74"/>
        <v>36.216666667023674</v>
      </c>
      <c r="O137" s="7"/>
      <c r="P137" s="7"/>
      <c r="Q137" s="22"/>
      <c r="R137" s="22"/>
      <c r="S137" s="31">
        <f t="shared" si="73"/>
        <v>1</v>
      </c>
      <c r="T137" s="46" t="str">
        <f t="shared" si="64"/>
        <v>NorthBound</v>
      </c>
      <c r="U137" s="186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7" t="str">
        <f t="shared" si="52"/>
        <v>https://d0f6bd738d7f1b3e5a7ca70fe4ff75f0.us-east-1.aws.found.io/app/kibana#/discover/Steve-Slow-Train-Analysis-(2080s-and-2083s)?_g=(refreshInterval:(display:Off,pause:!f,section:0,value:0),time:(from:'2017-02-20T17:56:10-0700',mode:absolute,to:'2017-02-20T20:36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7" s="188" t="str">
        <f t="shared" si="65"/>
        <v>N</v>
      </c>
      <c r="X137" s="188">
        <f t="shared" si="72"/>
        <v>1</v>
      </c>
      <c r="Y137" s="62">
        <f t="shared" si="66"/>
        <v>4.6199999999999998E-2</v>
      </c>
      <c r="Z137" s="62">
        <f t="shared" si="67"/>
        <v>23.3293</v>
      </c>
      <c r="AA137" s="62">
        <f t="shared" si="68"/>
        <v>23.283100000000001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 t="shared" si="69"/>
        <v>0221-20</v>
      </c>
      <c r="AE137" s="85" t="str">
        <f t="shared" si="53"/>
        <v>aws s3 cp s3://rtdc.mdm.uploadarchive.raw/RTDC4044/ "%USERPROFILE%\AppData\Local\Temp\OnboardLogs"\RTDC4044\2017-02-20 --exclude "*" --recursive --include "*20170220*" &amp; "%USERPROFILE%\Documents\GitHub\mrs-test-scripts\Headless Mode &amp; Sideloading\WalkAndUnGZ.bat" "%USERPROFILE%\AppData\Local\Temp\OnboardLogs"\RTDC4044\2017-02-20 &amp; aws s3 cp s3://rtdc.mdm.uploadarchive.raw/RTDC4044/ "%USERPROFILE%\AppData\Local\Temp\OnboardLogs"\RTDC4044\2017-02-21 --exclude "*" --recursive --include "*20170221*" &amp; "%USERPROFILE%\Documents\GitHub\mrs-test-scripts\Headless Mode &amp; Sideloading\WalkAndUnGZ.bat" "%USERPROFILE%\AppData\Local\Temp\OnboardLogs"\RTDC4044\2017-02-21</v>
      </c>
      <c r="AF137" s="82" t="str">
        <f t="shared" si="54"/>
        <v>"C:\Program Files (x86)\AstroGrep\AstroGrep.exe" /spath="%USERPROFILE%\AppData\Local\Temp\OnboardLogs" /stypes="app*4044*20170221*" /stext=" 02:.+((SYSTEM_STATE.+slice.+state.+changed )|(ment ac)|(multiple cpu faults)|(system.+state.+changed )|(\[timeout)|(PRM\|1\|D)|(kpr)|(kdp)|(\|lc)|(penalty))" /e /r /s</v>
      </c>
      <c r="AG137" s="1" t="str">
        <f t="shared" si="70"/>
        <v>EC</v>
      </c>
      <c r="AH137" s="86" t="str">
        <f t="shared" si="56"/>
        <v>"%USERPROFILE%\Documents\GitHub\eaglep3\Utilities\RefineRTDCRunTimes.py" --tripid 221-20 --locoid 4044 --swversion DE.1.0.9.0 --startMP 204:462 --initTime 2017-02-20T18:56:10 --startdatetime 2017-02-20T19:00:19 --delay 1 --endMP 204:233293 --enddatetime 2017-02-20T19:36:32 --enforcementcount 0 &gt;&gt;C:\Users\stu\Documents\GitHub\eaglep3-reporting\EC\2017-02-20-refined-times.txt</v>
      </c>
      <c r="AI137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{"issue":{"subject":"","project_id":79,"tracker_id":40,"status_id":1,"priority_id":2,"assigned_to_id":23,"start_date":"2017-02-20","description":"","custom_fields":[{"id":1,"name":"Subdivision","value":"EC"},{"id":4,"name":"Milepost","value":"23.3293"},{"id":17,"name":"Train ID","value":"221-20"},{"id":16,"name":"Locomotive ID","value":"4044"},{"id":130,"name":"Impact","value":""},{"id":150,"name":"Time of Event (Mountain Time)","value":"19:36:32"},{"id":151,"name":"Denver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48"/>
      <c r="AK137" s="48"/>
      <c r="AL137" s="48"/>
      <c r="AM137" s="154" t="str">
        <f t="shared" si="58"/>
        <v>start /low /b %USERPROFILE%\Documents\GitHub\eaglep3\Utilities\DownloadLogsFromS3.py --loco 4044 --day 2017-02-20</v>
      </c>
      <c r="AN137" s="163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"%USERPROFILE%\AppData\Local\Temp\OnboardLogs"\RTDC4044\*4044*20170221* | grep -SE "(Enforcement Action)|(\[TIMEOUT)|(CHR.+\|PRM\|1\|D.+(SWITCH|SIGNAL).+UNKNOWN)" - &gt;&gt; 2017-02-20-UncaughtWiMAX.txt</v>
      </c>
    </row>
    <row r="138" spans="1:91" s="20" customFormat="1" x14ac:dyDescent="0.25">
      <c r="A138" s="33" t="s">
        <v>666</v>
      </c>
      <c r="B138" s="7">
        <v>4043</v>
      </c>
      <c r="C138" s="21" t="s">
        <v>408</v>
      </c>
      <c r="D138" s="21" t="s">
        <v>759</v>
      </c>
      <c r="E138" s="13">
        <v>42786.828159722223</v>
      </c>
      <c r="F138" s="13">
        <v>42786.830787037034</v>
      </c>
      <c r="G138" s="7">
        <v>0</v>
      </c>
      <c r="H138" s="21" t="s">
        <v>760</v>
      </c>
      <c r="I138" s="13">
        <v>42786.85833333333</v>
      </c>
      <c r="J138" s="7">
        <v>0</v>
      </c>
      <c r="K138" s="98" t="str">
        <f t="shared" si="61"/>
        <v>4043/4044</v>
      </c>
      <c r="L138" s="21" t="str">
        <f>VLOOKUP(A138,'Trips&amp;Operators'!$C$1:$G$99999,5,FALSE)</f>
        <v>CHANDLER KELVIN</v>
      </c>
      <c r="M138" s="6">
        <f t="shared" si="62"/>
        <v>2.7546296296350192E-2</v>
      </c>
      <c r="N138" s="7">
        <f t="shared" si="74"/>
        <v>39.666666666744277</v>
      </c>
      <c r="O138" s="7"/>
      <c r="P138" s="7"/>
      <c r="Q138" s="22"/>
      <c r="R138" s="22"/>
      <c r="S138" s="31">
        <f t="shared" si="73"/>
        <v>1</v>
      </c>
      <c r="T138" s="46" t="str">
        <f t="shared" si="64"/>
        <v>Southbound</v>
      </c>
      <c r="U138" s="186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7" t="str">
        <f t="shared" si="52"/>
        <v>https://d0f6bd738d7f1b3e5a7ca70fe4ff75f0.us-east-1.aws.found.io/app/kibana#/discover/Steve-Slow-Train-Analysis-(2080s-and-2083s)?_g=(refreshInterval:(display:Off,pause:!f,section:0,value:0),time:(from:'2017-02-20T18:52:33-0700',mode:absolute,to:'2017-02-20T21:36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8" s="188" t="str">
        <f t="shared" si="65"/>
        <v>N</v>
      </c>
      <c r="X138" s="188">
        <f t="shared" si="72"/>
        <v>1</v>
      </c>
      <c r="Y138" s="62">
        <f t="shared" si="66"/>
        <v>23.297599999999999</v>
      </c>
      <c r="Z138" s="62">
        <f t="shared" si="67"/>
        <v>1.8100000000000002E-2</v>
      </c>
      <c r="AA138" s="62">
        <f t="shared" si="68"/>
        <v>23.279499999999999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 t="shared" si="69"/>
        <v>0222-20</v>
      </c>
      <c r="AE138" s="85" t="str">
        <f t="shared" si="53"/>
        <v>aws s3 cp s3://rtdc.mdm.uploadarchive.raw/RTDC4043/ "%USERPROFILE%\AppData\Local\Temp\OnboardLogs"\RTDC4043\2017-02-20 --exclude "*" --recursive --include "*20170220*" &amp; "%USERPROFILE%\Documents\GitHub\mrs-test-scripts\Headless Mode &amp; Sideloading\WalkAndUnGZ.bat" "%USERPROFILE%\AppData\Local\Temp\OnboardLogs"\RTDC4043\2017-02-20 &amp; aws s3 cp s3://rtdc.mdm.uploadarchive.raw/RTDC4043/ "%USERPROFILE%\AppData\Local\Temp\OnboardLogs"\RTDC4043\2017-02-21 --exclude "*" --recursive --include "*20170221*" &amp; "%USERPROFILE%\Documents\GitHub\mrs-test-scripts\Headless Mode &amp; Sideloading\WalkAndUnGZ.bat" "%USERPROFILE%\AppData\Local\Temp\OnboardLogs"\RTDC4043\2017-02-21</v>
      </c>
      <c r="AF138" s="82" t="str">
        <f t="shared" si="54"/>
        <v>"C:\Program Files (x86)\AstroGrep\AstroGrep.exe" /spath="%USERPROFILE%\AppData\Local\Temp\OnboardLogs" /stypes="app*4043*20170221*" /stext=" 03:.+((SYSTEM_STATE.+slice.+state.+changed )|(ment ac)|(multiple cpu faults)|(system.+state.+changed )|(\[timeout)|(PRM\|1\|D)|(kpr)|(kdp)|(\|lc)|(penalty))" /e /r /s</v>
      </c>
      <c r="AG138" s="1" t="str">
        <f t="shared" si="70"/>
        <v>EC</v>
      </c>
      <c r="AH138" s="86" t="str">
        <f t="shared" si="56"/>
        <v>"%USERPROFILE%\Documents\GitHub\eaglep3\Utilities\RefineRTDCRunTimes.py" --tripid 222-20 --locoid 4043 --swversion DE.1.0.9.0 --startMP 204:232976 --initTime 2017-02-20T19:52:33 --startdatetime 2017-02-20T19:56:20 --delay 0 --endMP 204:181 --enddatetime 2017-02-20T20:36:00 --enforcementcount 0 &gt;&gt;C:\Users\stu\Documents\GitHub\eaglep3-reporting\EC\2017-02-20-refined-times.txt</v>
      </c>
      <c r="AI138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{"issue":{"subject":"","project_id":79,"tracker_id":40,"status_id":1,"priority_id":2,"assigned_to_id":23,"start_date":"2017-02-20","description":"","custom_fields":[{"id":1,"name":"Subdivision","value":"EC"},{"id":4,"name":"Milepost","value":"0.0181"},{"id":17,"name":"Train ID","value":"222-20"},{"id":16,"name":"Locomotive ID","value":"4043"},{"id":130,"name":"Impact","value":""},{"id":150,"name":"Time of Event (Mountain Time)","value":"20:36:00"},{"id":151,"name":"Denver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48"/>
      <c r="AK138" s="48"/>
      <c r="AL138" s="48"/>
      <c r="AM138" s="154" t="str">
        <f t="shared" si="58"/>
        <v>start /low /b %USERPROFILE%\Documents\GitHub\eaglep3\Utilities\DownloadLogsFromS3.py --loco 4043 --day 2017-02-20</v>
      </c>
      <c r="AN138" s="163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"%USERPROFILE%\AppData\Local\Temp\OnboardLogs"\RTDC4043\*4043*20170221* | grep -SE "(Enforcement Action)|(\[TIMEOUT)|(CHR.+\|PRM\|1\|D.+(SWITCH|SIGNAL).+UNKNOWN)" - &gt;&gt; 2017-02-20-UncaughtWiMAX.txt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662</v>
      </c>
      <c r="B139" s="7">
        <v>4016</v>
      </c>
      <c r="C139" s="21" t="s">
        <v>408</v>
      </c>
      <c r="D139" s="21" t="s">
        <v>230</v>
      </c>
      <c r="E139" s="13">
        <v>42786.808472222219</v>
      </c>
      <c r="F139" s="13">
        <v>42786.812696759262</v>
      </c>
      <c r="G139" s="7">
        <v>1</v>
      </c>
      <c r="H139" s="21" t="s">
        <v>259</v>
      </c>
      <c r="I139" s="13">
        <v>42786.838043981479</v>
      </c>
      <c r="J139" s="7">
        <v>0</v>
      </c>
      <c r="K139" s="98" t="str">
        <f t="shared" si="61"/>
        <v>4015/4016</v>
      </c>
      <c r="L139" s="21" t="str">
        <f>VLOOKUP(A139,'Trips&amp;Operators'!$C$1:$G$99999,5,FALSE)</f>
        <v>SAFIEF AEIMEN</v>
      </c>
      <c r="M139" s="6">
        <f t="shared" si="62"/>
        <v>2.5347222217533272E-2</v>
      </c>
      <c r="N139" s="7">
        <f t="shared" si="74"/>
        <v>36.499999993247911</v>
      </c>
      <c r="O139" s="7"/>
      <c r="P139" s="7"/>
      <c r="Q139" s="22"/>
      <c r="R139" s="22"/>
      <c r="S139" s="31">
        <f t="shared" si="73"/>
        <v>1</v>
      </c>
      <c r="T139" s="46" t="str">
        <f t="shared" si="64"/>
        <v>NorthBound</v>
      </c>
      <c r="U139" s="186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7" t="str">
        <f t="shared" si="52"/>
        <v>https://d0f6bd738d7f1b3e5a7ca70fe4ff75f0.us-east-1.aws.found.io/app/kibana#/discover/Steve-Slow-Train-Analysis-(2080s-and-2083s)?_g=(refreshInterval:(display:Off,pause:!f,section:0,value:0),time:(from:'2017-02-20T18:24:12-0700',mode:absolute,to:'2017-02-20T21:06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9" s="188" t="str">
        <f t="shared" si="65"/>
        <v>N</v>
      </c>
      <c r="X139" s="188">
        <f t="shared" si="72"/>
        <v>1</v>
      </c>
      <c r="Y139" s="62">
        <f t="shared" si="66"/>
        <v>4.5999999999999999E-2</v>
      </c>
      <c r="Z139" s="62">
        <f t="shared" si="67"/>
        <v>23.3308</v>
      </c>
      <c r="AA139" s="62">
        <f t="shared" si="68"/>
        <v>23.284800000000001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 t="shared" si="69"/>
        <v>0223-20</v>
      </c>
      <c r="AE139" s="85" t="str">
        <f t="shared" si="53"/>
        <v>aws s3 cp s3://rtdc.mdm.uploadarchive.raw/RTDC4016/ "%USERPROFILE%\AppData\Local\Temp\OnboardLogs"\RTDC4016\2017-02-20 --exclude "*" --recursive --include "*20170220*" &amp; "%USERPROFILE%\Documents\GitHub\mrs-test-scripts\Headless Mode &amp; Sideloading\WalkAndUnGZ.bat" "%USERPROFILE%\AppData\Local\Temp\OnboardLogs"\RTDC4016\2017-02-20 &amp; aws s3 cp s3://rtdc.mdm.uploadarchive.raw/RTDC4016/ "%USERPROFILE%\AppData\Local\Temp\OnboardLogs"\RTDC4016\2017-02-21 --exclude "*" --recursive --include "*20170221*" &amp; "%USERPROFILE%\Documents\GitHub\mrs-test-scripts\Headless Mode &amp; Sideloading\WalkAndUnGZ.bat" "%USERPROFILE%\AppData\Local\Temp\OnboardLogs"\RTDC4016\2017-02-21</v>
      </c>
      <c r="AF139" s="82" t="str">
        <f t="shared" si="54"/>
        <v>"C:\Program Files (x86)\AstroGrep\AstroGrep.exe" /spath="%USERPROFILE%\AppData\Local\Temp\OnboardLogs" /stypes="app*4016*20170221*" /stext=" 03:.+((SYSTEM_STATE.+slice.+state.+changed )|(ment ac)|(multiple cpu faults)|(system.+state.+changed )|(\[timeout)|(PRM\|1\|D)|(kpr)|(kdp)|(\|lc)|(penalty))" /e /r /s</v>
      </c>
      <c r="AG139" s="1" t="str">
        <f t="shared" si="70"/>
        <v>EC</v>
      </c>
      <c r="AH139" s="86" t="str">
        <f t="shared" si="56"/>
        <v>"%USERPROFILE%\Documents\GitHub\eaglep3\Utilities\RefineRTDCRunTimes.py" --tripid 223-20 --locoid 4016 --swversion DE.1.0.9.0 --startMP 204:460 --initTime 2017-02-20T19:24:12 --startdatetime 2017-02-20T19:30:17 --delay 1 --endMP 204:233308 --enddatetime 2017-02-20T20:06:47 --enforcementcount 0 &gt;&gt;C:\Users\stu\Documents\GitHub\eaglep3-reporting\EC\2017-02-20-refined-times.txt</v>
      </c>
      <c r="AI139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{"issue":{"subject":"","project_id":79,"tracker_id":40,"status_id":1,"priority_id":2,"assigned_to_id":23,"start_date":"2017-02-20","description":"","custom_fields":[{"id":1,"name":"Subdivision","value":"EC"},{"id":4,"name":"Milepost","value":"23.3308"},{"id":17,"name":"Train ID","value":"223-20"},{"id":16,"name":"Locomotive ID","value":"4016"},{"id":130,"name":"Impact","value":""},{"id":150,"name":"Time of Event (Mountain Time)","value":"20:06:47"},{"id":151,"name":"Denver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48"/>
      <c r="AK139" s="48"/>
      <c r="AL139" s="48"/>
      <c r="AM139" s="154" t="str">
        <f t="shared" si="58"/>
        <v>start /low /b %USERPROFILE%\Documents\GitHub\eaglep3\Utilities\DownloadLogsFromS3.py --loco 4016 --day 2017-02-20</v>
      </c>
      <c r="AN139" s="163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"%USERPROFILE%\AppData\Local\Temp\OnboardLogs"\RTDC4016\*4016*20170221* | grep -SE "(Enforcement Action)|(\[TIMEOUT)|(CHR.+\|PRM\|1\|D.+(SWITCH|SIGNAL).+UNKNOWN)" - &gt;&gt; 2017-02-20-UncaughtWiMAX.txt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670</v>
      </c>
      <c r="B140" s="7">
        <v>4015</v>
      </c>
      <c r="C140" s="21" t="s">
        <v>408</v>
      </c>
      <c r="D140" s="21" t="s">
        <v>265</v>
      </c>
      <c r="E140" s="13">
        <v>42786.84238425926</v>
      </c>
      <c r="F140" s="13">
        <v>42786.851678240739</v>
      </c>
      <c r="G140" s="7">
        <v>2</v>
      </c>
      <c r="H140" s="21" t="s">
        <v>269</v>
      </c>
      <c r="I140" s="13">
        <v>42786.878761574073</v>
      </c>
      <c r="J140" s="7">
        <v>0</v>
      </c>
      <c r="K140" s="98" t="str">
        <f t="shared" si="61"/>
        <v>4015/4016</v>
      </c>
      <c r="L140" s="21" t="str">
        <f>VLOOKUP(A140,'Trips&amp;Operators'!$C$1:$G$99999,5,FALSE)</f>
        <v>SAFIEF AEIMEN</v>
      </c>
      <c r="M140" s="6">
        <f t="shared" si="62"/>
        <v>2.7083333334303461E-2</v>
      </c>
      <c r="N140" s="7">
        <f t="shared" si="74"/>
        <v>39.000000001396984</v>
      </c>
      <c r="O140" s="7"/>
      <c r="P140" s="7"/>
      <c r="Q140" s="22"/>
      <c r="R140" s="22"/>
      <c r="S140" s="31">
        <f t="shared" si="73"/>
        <v>1</v>
      </c>
      <c r="T140" s="46" t="str">
        <f t="shared" si="64"/>
        <v>Southbound</v>
      </c>
      <c r="U140" s="186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7" t="str">
        <f t="shared" si="52"/>
        <v>https://d0f6bd738d7f1b3e5a7ca70fe4ff75f0.us-east-1.aws.found.io/app/kibana#/discover/Steve-Slow-Train-Analysis-(2080s-and-2083s)?_g=(refreshInterval:(display:Off,pause:!f,section:0,value:0),time:(from:'2017-02-20T19:13:02-0700',mode:absolute,to:'2017-02-20T22:05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0" s="188" t="str">
        <f t="shared" si="65"/>
        <v>N</v>
      </c>
      <c r="X140" s="188">
        <f t="shared" si="72"/>
        <v>1</v>
      </c>
      <c r="Y140" s="62">
        <f t="shared" si="66"/>
        <v>23.299099999999999</v>
      </c>
      <c r="Z140" s="62">
        <f t="shared" si="67"/>
        <v>1.61E-2</v>
      </c>
      <c r="AA140" s="62">
        <f t="shared" si="68"/>
        <v>23.282999999999998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 t="shared" si="69"/>
        <v>0224-20</v>
      </c>
      <c r="AE140" s="85" t="str">
        <f t="shared" si="53"/>
        <v>aws s3 cp s3://rtdc.mdm.uploadarchive.raw/RTDC4015/ "%USERPROFILE%\AppData\Local\Temp\OnboardLogs"\RTDC4015\2017-02-20 --exclude "*" --recursive --include "*20170220*" &amp; "%USERPROFILE%\Documents\GitHub\mrs-test-scripts\Headless Mode &amp; Sideloading\WalkAndUnGZ.bat" "%USERPROFILE%\AppData\Local\Temp\OnboardLogs"\RTDC4015\2017-02-20 &amp; aws s3 cp s3://rtdc.mdm.uploadarchive.raw/RTDC4015/ "%USERPROFILE%\AppData\Local\Temp\OnboardLogs"\RTDC4015\2017-02-21 --exclude "*" --recursive --include "*20170221*" &amp; "%USERPROFILE%\Documents\GitHub\mrs-test-scripts\Headless Mode &amp; Sideloading\WalkAndUnGZ.bat" "%USERPROFILE%\AppData\Local\Temp\OnboardLogs"\RTDC4015\2017-02-21</v>
      </c>
      <c r="AF140" s="82" t="str">
        <f t="shared" si="54"/>
        <v>"C:\Program Files (x86)\AstroGrep\AstroGrep.exe" /spath="%USERPROFILE%\AppData\Local\Temp\OnboardLogs" /stypes="app*4015*20170221*" /stext=" 04:.+((SYSTEM_STATE.+slice.+state.+changed )|(ment ac)|(multiple cpu faults)|(system.+state.+changed )|(\[timeout)|(PRM\|1\|D)|(kpr)|(kdp)|(\|lc)|(penalty))" /e /r /s</v>
      </c>
      <c r="AG140" s="1" t="str">
        <f t="shared" si="70"/>
        <v>EC</v>
      </c>
      <c r="AH140" s="86" t="str">
        <f t="shared" si="56"/>
        <v>"%USERPROFILE%\Documents\GitHub\eaglep3\Utilities\RefineRTDCRunTimes.py" --tripid 224-20 --locoid 4015 --swversion DE.1.0.9.0 --startMP 204:232991 --initTime 2017-02-20T20:13:02 --startdatetime 2017-02-20T20:26:25 --delay 2 --endMP 204:161 --enddatetime 2017-02-20T21:05:25 --enforcementcount 0 &gt;&gt;C:\Users\stu\Documents\GitHub\eaglep3-reporting\EC\2017-02-20-refined-times.txt</v>
      </c>
      <c r="AI140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{"issue":{"subject":"","project_id":79,"tracker_id":40,"status_id":1,"priority_id":2,"assigned_to_id":23,"start_date":"2017-02-20","description":"","custom_fields":[{"id":1,"name":"Subdivision","value":"EC"},{"id":4,"name":"Milepost","value":"0.0161"},{"id":17,"name":"Train ID","value":"224-20"},{"id":16,"name":"Locomotive ID","value":"4015"},{"id":130,"name":"Impact","value":""},{"id":150,"name":"Time of Event (Mountain Time)","value":"21:05:25"},{"id":151,"name":"Denver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48"/>
      <c r="AK140" s="48"/>
      <c r="AL140" s="48"/>
      <c r="AM140" s="154" t="str">
        <f t="shared" si="58"/>
        <v>start /low /b %USERPROFILE%\Documents\GitHub\eaglep3\Utilities\DownloadLogsFromS3.py --loco 4015 --day 2017-02-20</v>
      </c>
      <c r="AN140" s="163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"%USERPROFILE%\AppData\Local\Temp\OnboardLogs"\RTDC4015\*4015*20170221* | grep -SE "(Enforcement Action)|(\[TIMEOUT)|(CHR.+\|PRM\|1\|D.+(SWITCH|SIGNAL).+UNKNOWN)" - &gt;&gt; 2017-02-20-UncaughtWiMAX.txt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665</v>
      </c>
      <c r="B141" s="7">
        <v>4020</v>
      </c>
      <c r="C141" s="21" t="s">
        <v>408</v>
      </c>
      <c r="D141" s="21" t="s">
        <v>227</v>
      </c>
      <c r="E141" s="13">
        <v>42786.826874999999</v>
      </c>
      <c r="F141" s="13">
        <v>42786.833599537036</v>
      </c>
      <c r="G141" s="7">
        <v>2</v>
      </c>
      <c r="H141" s="21" t="s">
        <v>761</v>
      </c>
      <c r="I141" s="13">
        <v>42786.858113425929</v>
      </c>
      <c r="J141" s="7">
        <v>0</v>
      </c>
      <c r="K141" s="98" t="str">
        <f t="shared" si="61"/>
        <v>4019/4020</v>
      </c>
      <c r="L141" s="21" t="str">
        <f>VLOOKUP(A141,'Trips&amp;Operators'!$C$1:$G$99999,5,FALSE)</f>
        <v>STAMBAUGH JAMES</v>
      </c>
      <c r="M141" s="6">
        <f t="shared" si="62"/>
        <v>2.4513888893125113E-2</v>
      </c>
      <c r="N141" s="7">
        <f t="shared" si="74"/>
        <v>35.300000006100163</v>
      </c>
      <c r="O141" s="7"/>
      <c r="P141" s="7"/>
      <c r="Q141" s="22"/>
      <c r="R141" s="22"/>
      <c r="S141" s="31">
        <f t="shared" si="73"/>
        <v>1</v>
      </c>
      <c r="T141" s="46" t="str">
        <f t="shared" si="64"/>
        <v>NorthBound</v>
      </c>
      <c r="U141" s="186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7" t="str">
        <f t="shared" ref="V141:V204" si="75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-02-20T18:50:42-0700',mode:absolute,to:'2017-02-20T21:35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1" s="188" t="str">
        <f t="shared" si="65"/>
        <v>N</v>
      </c>
      <c r="X141" s="188">
        <f t="shared" si="72"/>
        <v>1</v>
      </c>
      <c r="Y141" s="62">
        <f t="shared" si="66"/>
        <v>4.5699999999999998E-2</v>
      </c>
      <c r="Z141" s="62">
        <f t="shared" si="67"/>
        <v>23.3355</v>
      </c>
      <c r="AA141" s="62">
        <f t="shared" si="68"/>
        <v>23.2898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 t="shared" si="69"/>
        <v>0225-20</v>
      </c>
      <c r="AE141" s="85" t="str">
        <f t="shared" ref="AE141:AE204" si="76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s3://rtdc.mdm.uploadarchive.raw/RTDC4020/ "%USERPROFILE%\AppData\Local\Temp\OnboardLogs"\RTDC4020\2017-02-20 --exclude "*" --recursive --include "*20170220*" &amp; "%USERPROFILE%\Documents\GitHub\mrs-test-scripts\Headless Mode &amp; Sideloading\WalkAndUnGZ.bat" "%USERPROFILE%\AppData\Local\Temp\OnboardLogs"\RTDC4020\2017-02-20 &amp; aws s3 cp s3://rtdc.mdm.uploadarchive.raw/RTDC4020/ "%USERPROFILE%\AppData\Local\Temp\OnboardLogs"\RTDC4020\2017-02-21 --exclude "*" --recursive --include "*20170221*" &amp; "%USERPROFILE%\Documents\GitHub\mrs-test-scripts\Headless Mode &amp; Sideloading\WalkAndUnGZ.bat" "%USERPROFILE%\AppData\Local\Temp\OnboardLogs"\RTDC4020\2017-02-21</v>
      </c>
      <c r="AF141" s="82" t="str">
        <f t="shared" ref="AF141:AF204" si="77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/stypes="app*4020*20170221*" /stext=" 03:.+((SYSTEM_STATE.+slice.+state.+changed )|(ment ac)|(multiple cpu faults)|(system.+state.+changed )|(\[timeout)|(PRM\|1\|D)|(kpr)|(kdp)|(\|lc)|(penalty))" /e /r /s</v>
      </c>
      <c r="AG141" s="1" t="str">
        <f t="shared" si="70"/>
        <v>EC</v>
      </c>
      <c r="AH141" s="86" t="str">
        <f t="shared" si="56"/>
        <v>"%USERPROFILE%\Documents\GitHub\eaglep3\Utilities\RefineRTDCRunTimes.py" --tripid 225-20 --locoid 4020 --swversion DE.1.0.9.0 --startMP 204:457 --initTime 2017-02-20T19:50:42 --startdatetime 2017-02-20T20:00:23 --delay 2 --endMP 204:233355 --enddatetime 2017-02-20T20:35:41 --enforcementcount 0 &gt;&gt;C:\Users\stu\Documents\GitHub\eaglep3-reporting\EC\2017-02-20-refined-times.txt</v>
      </c>
      <c r="AI141" s="108" t="str">
        <f t="shared" si="57"/>
        <v>echo {"issue":{"subject":"","project_id":79,"tracker_id":40,"status_id":1,"priority_id":2,"assigned_to_id":23,"start_date":"2017-02-20","description":"","custom_fields":[{"id":1,"name":"Subdivision","value":"EC"},{"id":4,"name":"Milepost","value":"23.3355"},{"id":17,"name":"Train ID","value":"225-20"},{"id":16,"name":"Locomotive ID","value":"4020"},{"id":130,"name":"Impact","value":""},{"id":150,"name":"Time of Event (Mountain Time)","value":"20:35:41"},{"id":151,"name":"Denver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48"/>
      <c r="AK141" s="48"/>
      <c r="AL141" s="48"/>
      <c r="AM141" s="154" t="str">
        <f t="shared" si="58"/>
        <v>start /low /b %USERPROFILE%\Documents\GitHub\eaglep3\Utilities\DownloadLogsFromS3.py --loco 4020 --day 2017-02-20</v>
      </c>
      <c r="AN141" s="163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"%USERPROFILE%\AppData\Local\Temp\OnboardLogs"\RTDC4020\*4020*20170221* | grep -SE "(Enforcement Action)|(\[TIMEOUT)|(CHR.+\|PRM\|1\|D.+(SWITCH|SIGNAL).+UNKNOWN)" - &gt;&gt; 2017-02-20-UncaughtWiMAX.txt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674</v>
      </c>
      <c r="B142" s="7">
        <v>4019</v>
      </c>
      <c r="C142" s="21" t="s">
        <v>408</v>
      </c>
      <c r="D142" s="21" t="s">
        <v>762</v>
      </c>
      <c r="E142" s="13">
        <v>42786.870312500003</v>
      </c>
      <c r="F142" s="13">
        <v>42786.873055555552</v>
      </c>
      <c r="G142" s="7">
        <v>1</v>
      </c>
      <c r="H142" s="21" t="s">
        <v>203</v>
      </c>
      <c r="I142" s="13">
        <v>42786.899664351855</v>
      </c>
      <c r="J142" s="7">
        <v>0</v>
      </c>
      <c r="K142" s="98" t="str">
        <f t="shared" si="61"/>
        <v>4019/4020</v>
      </c>
      <c r="L142" s="21" t="str">
        <f>VLOOKUP(A142,'Trips&amp;Operators'!$C$1:$G$99999,5,FALSE)</f>
        <v>STAMBAUGH JAMES</v>
      </c>
      <c r="M142" s="6">
        <f t="shared" si="62"/>
        <v>2.6608796302753035E-2</v>
      </c>
      <c r="N142" s="7">
        <f t="shared" si="74"/>
        <v>38.31666667596437</v>
      </c>
      <c r="O142" s="7"/>
      <c r="P142" s="7"/>
      <c r="Q142" s="22"/>
      <c r="R142" s="22"/>
      <c r="S142" s="31">
        <f t="shared" si="73"/>
        <v>1</v>
      </c>
      <c r="T142" s="46" t="str">
        <f t="shared" si="64"/>
        <v>Southbound</v>
      </c>
      <c r="U142" s="186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7" t="str">
        <f t="shared" si="75"/>
        <v>https://d0f6bd738d7f1b3e5a7ca70fe4ff75f0.us-east-1.aws.found.io/app/kibana#/discover/Steve-Slow-Train-Analysis-(2080s-and-2083s)?_g=(refreshInterval:(display:Off,pause:!f,section:0,value:0),time:(from:'2017-02-20T19:53:15-0700',mode:absolute,to:'2017-02-20T22:35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2" s="188" t="str">
        <f t="shared" si="65"/>
        <v>N</v>
      </c>
      <c r="X142" s="188">
        <f t="shared" si="72"/>
        <v>1</v>
      </c>
      <c r="Y142" s="62">
        <f t="shared" si="66"/>
        <v>23.305700000000002</v>
      </c>
      <c r="Z142" s="62">
        <f t="shared" si="67"/>
        <v>1.6E-2</v>
      </c>
      <c r="AA142" s="62">
        <f t="shared" si="68"/>
        <v>23.289700000000003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 t="shared" si="69"/>
        <v>0226-20</v>
      </c>
      <c r="AE142" s="85" t="str">
        <f t="shared" si="76"/>
        <v>aws s3 cp s3://rtdc.mdm.uploadarchive.raw/RTDC4019/ "%USERPROFILE%\AppData\Local\Temp\OnboardLogs"\RTDC4019\2017-02-20 --exclude "*" --recursive --include "*20170220*" &amp; "%USERPROFILE%\Documents\GitHub\mrs-test-scripts\Headless Mode &amp; Sideloading\WalkAndUnGZ.bat" "%USERPROFILE%\AppData\Local\Temp\OnboardLogs"\RTDC4019\2017-02-20 &amp; aws s3 cp s3://rtdc.mdm.uploadarchive.raw/RTDC4019/ "%USERPROFILE%\AppData\Local\Temp\OnboardLogs"\RTDC4019\2017-02-21 --exclude "*" --recursive --include "*20170221*" &amp; "%USERPROFILE%\Documents\GitHub\mrs-test-scripts\Headless Mode &amp; Sideloading\WalkAndUnGZ.bat" "%USERPROFILE%\AppData\Local\Temp\OnboardLogs"\RTDC4019\2017-02-21</v>
      </c>
      <c r="AF142" s="82" t="str">
        <f t="shared" si="77"/>
        <v>"C:\Program Files (x86)\AstroGrep\AstroGrep.exe" /spath="%USERPROFILE%\AppData\Local\Temp\OnboardLogs" /stypes="app*4019*20170221*" /stext=" 04:.+((SYSTEM_STATE.+slice.+state.+changed )|(ment ac)|(multiple cpu faults)|(system.+state.+changed )|(\[timeout)|(PRM\|1\|D)|(kpr)|(kdp)|(\|lc)|(penalty))" /e /r /s</v>
      </c>
      <c r="AG142" s="1" t="str">
        <f t="shared" si="70"/>
        <v>EC</v>
      </c>
      <c r="AH142" s="86" t="str">
        <f t="shared" ref="AH142:AH203" si="78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226-20 --locoid 4019 --swversion DE.1.0.9.0 --startMP 204:233057 --initTime 2017-02-20T20:53:15 --startdatetime 2017-02-20T20:57:12 --delay 1 --endMP 204:160 --enddatetime 2017-02-20T21:35:31 --enforcementcount 0 &gt;&gt;C:\Users\stu\Documents\GitHub\eaglep3-reporting\EC\2017-02-20-refined-times.txt</v>
      </c>
      <c r="AI142" s="108" t="str">
        <f t="shared" ref="AI142:AI203" si="79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{"issue":{"subject":"","project_id":79,"tracker_id":40,"status_id":1,"priority_id":2,"assigned_to_id":23,"start_date":"2017-02-20","description":"","custom_fields":[{"id":1,"name":"Subdivision","value":"EC"},{"id":4,"name":"Milepost","value":"0.016"},{"id":17,"name":"Train ID","value":"226-20"},{"id":16,"name":"Locomotive ID","value":"4019"},{"id":130,"name":"Impact","value":""},{"id":150,"name":"Time of Event (Mountain Time)","value":"21:35:31"},{"id":151,"name":"Denver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48"/>
      <c r="AK142" s="48"/>
      <c r="AL142" s="48"/>
      <c r="AM142" s="154" t="str">
        <f t="shared" ref="AM142:AM203" si="80">"start /low /b "&amp;dls3logs&amp;" --loco "&amp;B142&amp;" --day "&amp;TEXT(F142,"YYYY-MM-DD")</f>
        <v>start /low /b %USERPROFILE%\Documents\GitHub\eaglep3\Utilities\DownloadLogsFromS3.py --loco 4019 --day 2017-02-20</v>
      </c>
      <c r="AN142" s="163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"%USERPROFILE%\AppData\Local\Temp\OnboardLogs"\RTDC4019\*4019*20170221* | grep -SE "(Enforcement Action)|(\[TIMEOUT)|(CHR.+\|PRM\|1\|D.+(SWITCH|SIGNAL).+UNKNOWN)" - &gt;&gt; 2017-02-20-UncaughtWiMAX.txt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x14ac:dyDescent="0.25">
      <c r="A143" s="33" t="s">
        <v>671</v>
      </c>
      <c r="B143" s="7">
        <v>4046</v>
      </c>
      <c r="C143" s="21" t="s">
        <v>408</v>
      </c>
      <c r="D143" s="21" t="s">
        <v>293</v>
      </c>
      <c r="E143" s="13">
        <v>42786.853368055556</v>
      </c>
      <c r="F143" s="13">
        <v>42786.855254629627</v>
      </c>
      <c r="G143" s="7">
        <v>1</v>
      </c>
      <c r="H143" s="21" t="s">
        <v>306</v>
      </c>
      <c r="I143" s="13">
        <v>42786.881516203706</v>
      </c>
      <c r="J143" s="7">
        <v>0</v>
      </c>
      <c r="K143" s="98" t="str">
        <f t="shared" si="61"/>
        <v>4045/4046</v>
      </c>
      <c r="L143" s="21" t="str">
        <f>VLOOKUP(A143,'Trips&amp;Operators'!$C$1:$G$99999,5,FALSE)</f>
        <v>DUNCAN SHEILA</v>
      </c>
      <c r="M143" s="6">
        <f t="shared" si="62"/>
        <v>2.6261574079398997E-2</v>
      </c>
      <c r="N143" s="7">
        <f t="shared" si="74"/>
        <v>37.816666674334556</v>
      </c>
      <c r="O143" s="7"/>
      <c r="P143" s="7"/>
      <c r="Q143" s="22"/>
      <c r="R143" s="22"/>
      <c r="S143" s="31">
        <f t="shared" si="73"/>
        <v>1</v>
      </c>
      <c r="T143" s="46" t="str">
        <f t="shared" si="64"/>
        <v>NorthBound</v>
      </c>
      <c r="U143" s="186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7" t="str">
        <f t="shared" si="75"/>
        <v>https://d0f6bd738d7f1b3e5a7ca70fe4ff75f0.us-east-1.aws.found.io/app/kibana#/discover/Steve-Slow-Train-Analysis-(2080s-and-2083s)?_g=(refreshInterval:(display:Off,pause:!f,section:0,value:0),time:(from:'2017-02-20T19:28:51-0700',mode:absolute,to:'2017-02-20T22:09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43" s="188" t="str">
        <f t="shared" si="65"/>
        <v>N</v>
      </c>
      <c r="X143" s="188">
        <f t="shared" si="72"/>
        <v>1</v>
      </c>
      <c r="Y143" s="62">
        <f t="shared" si="66"/>
        <v>4.7699999999999999E-2</v>
      </c>
      <c r="Z143" s="62">
        <f t="shared" si="67"/>
        <v>23.3306</v>
      </c>
      <c r="AA143" s="62">
        <f t="shared" si="68"/>
        <v>23.282900000000001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 t="shared" si="69"/>
        <v>0227-20</v>
      </c>
      <c r="AE143" s="85" t="str">
        <f t="shared" si="76"/>
        <v>aws s3 cp s3://rtdc.mdm.uploadarchive.raw/RTDC4046/ "%USERPROFILE%\AppData\Local\Temp\OnboardLogs"\RTDC4046\2017-02-20 --exclude "*" --recursive --include "*20170220*" &amp; "%USERPROFILE%\Documents\GitHub\mrs-test-scripts\Headless Mode &amp; Sideloading\WalkAndUnGZ.bat" "%USERPROFILE%\AppData\Local\Temp\OnboardLogs"\RTDC4046\2017-02-20 &amp; aws s3 cp s3://rtdc.mdm.uploadarchive.raw/RTDC4046/ "%USERPROFILE%\AppData\Local\Temp\OnboardLogs"\RTDC4046\2017-02-21 --exclude "*" --recursive --include "*20170221*" &amp; "%USERPROFILE%\Documents\GitHub\mrs-test-scripts\Headless Mode &amp; Sideloading\WalkAndUnGZ.bat" "%USERPROFILE%\AppData\Local\Temp\OnboardLogs"\RTDC4046\2017-02-21</v>
      </c>
      <c r="AF143" s="82" t="str">
        <f t="shared" si="77"/>
        <v>"C:\Program Files (x86)\AstroGrep\AstroGrep.exe" /spath="%USERPROFILE%\AppData\Local\Temp\OnboardLogs" /stypes="app*4046*20170221*" /stext=" 04:.+((SYSTEM_STATE.+slice.+state.+changed )|(ment ac)|(multiple cpu faults)|(system.+state.+changed )|(\[timeout)|(PRM\|1\|D)|(kpr)|(kdp)|(\|lc)|(penalty))" /e /r /s</v>
      </c>
      <c r="AG143" s="1" t="str">
        <f t="shared" si="70"/>
        <v>EC</v>
      </c>
      <c r="AH143" s="86" t="str">
        <f t="shared" si="78"/>
        <v>"%USERPROFILE%\Documents\GitHub\eaglep3\Utilities\RefineRTDCRunTimes.py" --tripid 227-20 --locoid 4046 --swversion DE.1.0.9.0 --startMP 204:477 --initTime 2017-02-20T20:28:51 --startdatetime 2017-02-20T20:31:34 --delay 1 --endMP 204:233306 --enddatetime 2017-02-20T21:09:23 --enforcementcount 0 &gt;&gt;C:\Users\stu\Documents\GitHub\eaglep3-reporting\EC\2017-02-20-refined-times.txt</v>
      </c>
      <c r="AI143" s="108" t="str">
        <f t="shared" si="79"/>
        <v>echo {"issue":{"subject":"","project_id":79,"tracker_id":40,"status_id":1,"priority_id":2,"assigned_to_id":23,"start_date":"2017-02-20","description":"","custom_fields":[{"id":1,"name":"Subdivision","value":"EC"},{"id":4,"name":"Milepost","value":"23.3306"},{"id":17,"name":"Train ID","value":"227-20"},{"id":16,"name":"Locomotive ID","value":"4046"},{"id":130,"name":"Impact","value":""},{"id":150,"name":"Time of Event (Mountain Time)","value":"21:09:23"},{"id":151,"name":"Denver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48"/>
      <c r="AK143" s="48"/>
      <c r="AL143" s="48"/>
      <c r="AM143" s="154" t="str">
        <f t="shared" si="80"/>
        <v>start /low /b %USERPROFILE%\Documents\GitHub\eaglep3\Utilities\DownloadLogsFromS3.py --loco 4046 --day 2017-02-20</v>
      </c>
      <c r="AN143" s="163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"%USERPROFILE%\AppData\Local\Temp\OnboardLogs"\RTDC4046\*4046*20170221* | grep -SE "(Enforcement Action)|(\[TIMEOUT)|(CHR.+\|PRM\|1\|D.+(SWITCH|SIGNAL).+UNKNOWN)" - &gt;&gt; 2017-02-20-UncaughtWiMAX.txt</v>
      </c>
    </row>
    <row r="144" spans="1:91" s="20" customFormat="1" x14ac:dyDescent="0.25">
      <c r="A144" s="33" t="s">
        <v>677</v>
      </c>
      <c r="B144" s="7">
        <v>4045</v>
      </c>
      <c r="C144" s="21" t="s">
        <v>408</v>
      </c>
      <c r="D144" s="21" t="s">
        <v>443</v>
      </c>
      <c r="E144" s="13">
        <v>42786.886493055557</v>
      </c>
      <c r="F144" s="13">
        <v>42786.893368055556</v>
      </c>
      <c r="G144" s="7">
        <v>1</v>
      </c>
      <c r="H144" s="21" t="s">
        <v>184</v>
      </c>
      <c r="I144" s="13">
        <v>42786.921481481484</v>
      </c>
      <c r="J144" s="7">
        <v>0</v>
      </c>
      <c r="K144" s="98" t="str">
        <f t="shared" si="61"/>
        <v>4045/4046</v>
      </c>
      <c r="L144" s="21" t="str">
        <f>VLOOKUP(A144,'Trips&amp;Operators'!$C$1:$G$99999,5,FALSE)</f>
        <v>DUNCAN SHEILA</v>
      </c>
      <c r="M144" s="6">
        <f t="shared" si="62"/>
        <v>2.8113425927585922E-2</v>
      </c>
      <c r="N144" s="7">
        <f t="shared" si="74"/>
        <v>40.483333335723728</v>
      </c>
      <c r="O144" s="7"/>
      <c r="P144" s="7"/>
      <c r="Q144" s="22"/>
      <c r="R144" s="22"/>
      <c r="S144" s="31">
        <f t="shared" si="73"/>
        <v>1</v>
      </c>
      <c r="T144" s="46" t="str">
        <f t="shared" si="64"/>
        <v>Southbound</v>
      </c>
      <c r="U144" s="186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87" t="str">
        <f t="shared" si="75"/>
        <v>https://d0f6bd738d7f1b3e5a7ca70fe4ff75f0.us-east-1.aws.found.io/app/kibana#/discover/Steve-Slow-Train-Analysis-(2080s-and-2083s)?_g=(refreshInterval:(display:Off,pause:!f,section:0,value:0),time:(from:'2017-02-20T20:16:33-0700',mode:absolute,to:'2017-02-20T23:06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4" s="188" t="str">
        <f t="shared" si="65"/>
        <v>N</v>
      </c>
      <c r="X144" s="188">
        <f t="shared" si="72"/>
        <v>1</v>
      </c>
      <c r="Y144" s="62">
        <f t="shared" si="66"/>
        <v>23.2974</v>
      </c>
      <c r="Z144" s="62">
        <f t="shared" si="67"/>
        <v>1.49E-2</v>
      </c>
      <c r="AA144" s="62">
        <f t="shared" si="68"/>
        <v>23.282499999999999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 t="shared" si="69"/>
        <v>0228-20</v>
      </c>
      <c r="AE144" s="85" t="str">
        <f t="shared" si="76"/>
        <v>aws s3 cp s3://rtdc.mdm.uploadarchive.raw/RTDC4045/ "%USERPROFILE%\AppData\Local\Temp\OnboardLogs"\RTDC4045\2017-02-20 --exclude "*" --recursive --include "*20170220*" &amp; "%USERPROFILE%\Documents\GitHub\mrs-test-scripts\Headless Mode &amp; Sideloading\WalkAndUnGZ.bat" "%USERPROFILE%\AppData\Local\Temp\OnboardLogs"\RTDC4045\2017-02-20 &amp; aws s3 cp s3://rtdc.mdm.uploadarchive.raw/RTDC4045/ "%USERPROFILE%\AppData\Local\Temp\OnboardLogs"\RTDC4045\2017-02-21 --exclude "*" --recursive --include "*20170221*" &amp; "%USERPROFILE%\Documents\GitHub\mrs-test-scripts\Headless Mode &amp; Sideloading\WalkAndUnGZ.bat" "%USERPROFILE%\AppData\Local\Temp\OnboardLogs"\RTDC4045\2017-02-21</v>
      </c>
      <c r="AF144" s="82" t="str">
        <f t="shared" si="77"/>
        <v>"C:\Program Files (x86)\AstroGrep\AstroGrep.exe" /spath="%USERPROFILE%\AppData\Local\Temp\OnboardLogs" /stypes="app*4045*20170221*" /stext=" 05:.+((SYSTEM_STATE.+slice.+state.+changed )|(ment ac)|(multiple cpu faults)|(system.+state.+changed )|(\[timeout)|(PRM\|1\|D)|(kpr)|(kdp)|(\|lc)|(penalty))" /e /r /s</v>
      </c>
      <c r="AG144" s="1" t="str">
        <f t="shared" si="70"/>
        <v>EC</v>
      </c>
      <c r="AH144" s="86" t="str">
        <f t="shared" si="78"/>
        <v>"%USERPROFILE%\Documents\GitHub\eaglep3\Utilities\RefineRTDCRunTimes.py" --tripid 228-20 --locoid 4045 --swversion DE.1.0.9.0 --startMP 204:232974 --initTime 2017-02-20T21:16:33 --startdatetime 2017-02-20T21:26:27 --delay 1 --endMP 204:149 --enddatetime 2017-02-20T22:06:56 --enforcementcount 0 &gt;&gt;C:\Users\stu\Documents\GitHub\eaglep3-reporting\EC\2017-02-20-refined-times.txt</v>
      </c>
      <c r="AI144" s="108" t="str">
        <f t="shared" si="79"/>
        <v>echo {"issue":{"subject":"","project_id":79,"tracker_id":40,"status_id":1,"priority_id":2,"assigned_to_id":23,"start_date":"2017-02-20","description":"","custom_fields":[{"id":1,"name":"Subdivision","value":"EC"},{"id":4,"name":"Milepost","value":"0.0149"},{"id":17,"name":"Train ID","value":"228-20"},{"id":16,"name":"Locomotive ID","value":"4045"},{"id":130,"name":"Impact","value":""},{"id":150,"name":"Time of Event (Mountain Time)","value":"22:06:56"},{"id":151,"name":"Denver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48"/>
      <c r="AK144" s="48"/>
      <c r="AL144" s="48"/>
      <c r="AM144" s="154" t="str">
        <f t="shared" si="80"/>
        <v>start /low /b %USERPROFILE%\Documents\GitHub\eaglep3\Utilities\DownloadLogsFromS3.py --loco 4045 --day 2017-02-20</v>
      </c>
      <c r="AN144" s="163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"%USERPROFILE%\AppData\Local\Temp\OnboardLogs"\RTDC4045\*4045*20170221* | grep -SE "(Enforcement Action)|(\[TIMEOUT)|(CHR.+\|PRM\|1\|D.+(SWITCH|SIGNAL).+UNKNOWN)" - &gt;&gt; 2017-02-20-UncaughtWiMAX.txt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675</v>
      </c>
      <c r="B145" s="7">
        <v>4044</v>
      </c>
      <c r="C145" s="21" t="s">
        <v>408</v>
      </c>
      <c r="D145" s="21" t="s">
        <v>258</v>
      </c>
      <c r="E145" s="13">
        <v>42786.872696759259</v>
      </c>
      <c r="F145" s="13">
        <v>42786.875277777777</v>
      </c>
      <c r="G145" s="7">
        <v>1</v>
      </c>
      <c r="H145" s="21" t="s">
        <v>724</v>
      </c>
      <c r="I145" s="13">
        <v>42786.901979166665</v>
      </c>
      <c r="J145" s="7">
        <v>0</v>
      </c>
      <c r="K145" s="98" t="str">
        <f t="shared" si="61"/>
        <v>4043/4044</v>
      </c>
      <c r="L145" s="21" t="str">
        <f>VLOOKUP(A145,'Trips&amp;Operators'!$C$1:$G$99999,5,FALSE)</f>
        <v>CHANDLER KELVIN</v>
      </c>
      <c r="M145" s="6">
        <f t="shared" si="62"/>
        <v>2.6701388887886424E-2</v>
      </c>
      <c r="N145" s="7">
        <f t="shared" si="74"/>
        <v>38.44999999855645</v>
      </c>
      <c r="O145" s="7"/>
      <c r="P145" s="7"/>
      <c r="Q145" s="22"/>
      <c r="R145" s="22" t="s">
        <v>894</v>
      </c>
      <c r="S145" s="31">
        <f t="shared" si="73"/>
        <v>1</v>
      </c>
      <c r="T145" s="46" t="str">
        <f t="shared" si="64"/>
        <v>NorthBound</v>
      </c>
      <c r="U145" s="186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7" t="str">
        <f t="shared" si="75"/>
        <v>https://d0f6bd738d7f1b3e5a7ca70fe4ff75f0.us-east-1.aws.found.io/app/kibana#/discover/Steve-Slow-Train-Analysis-(2080s-and-2083s)?_g=(refreshInterval:(display:Off,pause:!f,section:0,value:0),time:(from:'2017-02-20T19:56:41-0700',mode:absolute,to:'2017-02-20T22:38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5" s="188" t="str">
        <f t="shared" si="65"/>
        <v>N</v>
      </c>
      <c r="X145" s="188">
        <f t="shared" si="72"/>
        <v>1</v>
      </c>
      <c r="Y145" s="62">
        <f t="shared" si="66"/>
        <v>4.5499999999999999E-2</v>
      </c>
      <c r="Z145" s="62">
        <f t="shared" si="67"/>
        <v>23.329699999999999</v>
      </c>
      <c r="AA145" s="62">
        <f t="shared" si="68"/>
        <v>23.284199999999998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 t="shared" si="69"/>
        <v>0229-20</v>
      </c>
      <c r="AE145" s="85" t="str">
        <f t="shared" si="76"/>
        <v>aws s3 cp s3://rtdc.mdm.uploadarchive.raw/RTDC4044/ "%USERPROFILE%\AppData\Local\Temp\OnboardLogs"\RTDC4044\2017-02-20 --exclude "*" --recursive --include "*20170220*" &amp; "%USERPROFILE%\Documents\GitHub\mrs-test-scripts\Headless Mode &amp; Sideloading\WalkAndUnGZ.bat" "%USERPROFILE%\AppData\Local\Temp\OnboardLogs"\RTDC4044\2017-02-20 &amp; aws s3 cp s3://rtdc.mdm.uploadarchive.raw/RTDC4044/ "%USERPROFILE%\AppData\Local\Temp\OnboardLogs"\RTDC4044\2017-02-21 --exclude "*" --recursive --include "*20170221*" &amp; "%USERPROFILE%\Documents\GitHub\mrs-test-scripts\Headless Mode &amp; Sideloading\WalkAndUnGZ.bat" "%USERPROFILE%\AppData\Local\Temp\OnboardLogs"\RTDC4044\2017-02-21</v>
      </c>
      <c r="AF145" s="82" t="str">
        <f t="shared" si="77"/>
        <v>"C:\Program Files (x86)\AstroGrep\AstroGrep.exe" /spath="%USERPROFILE%\AppData\Local\Temp\OnboardLogs" /stypes="app*4044*20170221*" /stext=" 04:.+((SYSTEM_STATE.+slice.+state.+changed )|(ment ac)|(multiple cpu faults)|(system.+state.+changed )|(\[timeout)|(PRM\|1\|D)|(kpr)|(kdp)|(\|lc)|(penalty))" /e /r /s</v>
      </c>
      <c r="AG145" s="1" t="str">
        <f t="shared" si="70"/>
        <v>EC</v>
      </c>
      <c r="AH145" s="86" t="str">
        <f t="shared" si="78"/>
        <v>"%USERPROFILE%\Documents\GitHub\eaglep3\Utilities\RefineRTDCRunTimes.py" --tripid 229-20 --locoid 4044 --swversion DE.1.0.9.0 --startMP 204:455 --initTime 2017-02-20T20:56:41 --startdatetime 2017-02-20T21:00:24 --delay 1 --endMP 204:233297 --enddatetime 2017-02-20T21:38:51 --enforcementcount 0 &gt;&gt;C:\Users\stu\Documents\GitHub\eaglep3-reporting\EC\2017-02-20-refined-times.txt</v>
      </c>
      <c r="AI145" s="108" t="str">
        <f t="shared" si="79"/>
        <v>echo {"issue":{"subject":"Brief red fence reported (signal system changing aspects as designed)","project_id":79,"tracker_id":40,"status_id":1,"priority_id":2,"assigned_to_id":23,"start_date":"2017-02-20","description":"","custom_fields":[{"id":1,"name":"Subdivision","value":"EC"},{"id":4,"name":"Milepost","value":"23.3297"},{"id":17,"name":"Train ID","value":"229-20"},{"id":16,"name":"Locomotive ID","value":"4044"},{"id":130,"name":"Impact","value":""},{"id":150,"name":"Time of Event (Mountain Time)","value":"21:38:51"},{"id":151,"name":"Denver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48"/>
      <c r="AK145" s="48"/>
      <c r="AL145" s="48"/>
      <c r="AM145" s="154" t="str">
        <f t="shared" si="80"/>
        <v>start /low /b %USERPROFILE%\Documents\GitHub\eaglep3\Utilities\DownloadLogsFromS3.py --loco 4044 --day 2017-02-20</v>
      </c>
      <c r="AN145" s="163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"%USERPROFILE%\AppData\Local\Temp\OnboardLogs"\RTDC4044\*4044*20170221* | grep -SE "(Enforcement Action)|(\[TIMEOUT)|(CHR.+\|PRM\|1\|D.+(SWITCH|SIGNAL).+UNKNOWN)" - &gt;&gt; 2017-02-20-UncaughtWiMAX.txt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680</v>
      </c>
      <c r="B146" s="7">
        <v>4043</v>
      </c>
      <c r="C146" s="21" t="s">
        <v>408</v>
      </c>
      <c r="D146" s="21" t="s">
        <v>263</v>
      </c>
      <c r="E146" s="13">
        <v>42786.911041666666</v>
      </c>
      <c r="F146" s="13">
        <v>42786.914224537039</v>
      </c>
      <c r="G146" s="7">
        <v>1</v>
      </c>
      <c r="H146" s="21" t="s">
        <v>295</v>
      </c>
      <c r="I146" s="13">
        <v>42786.942118055558</v>
      </c>
      <c r="J146" s="7">
        <v>0</v>
      </c>
      <c r="K146" s="98" t="str">
        <f t="shared" si="61"/>
        <v>4043/4044</v>
      </c>
      <c r="L146" s="21" t="str">
        <f>VLOOKUP(A146,'Trips&amp;Operators'!$C$1:$G$99999,5,FALSE)</f>
        <v>CHANDLER KELVIN</v>
      </c>
      <c r="M146" s="6">
        <f t="shared" si="62"/>
        <v>2.789351851970423E-2</v>
      </c>
      <c r="N146" s="7">
        <f t="shared" si="74"/>
        <v>40.166666668374091</v>
      </c>
      <c r="O146" s="7"/>
      <c r="P146" s="7"/>
      <c r="Q146" s="22"/>
      <c r="R146" s="22"/>
      <c r="S146" s="31">
        <f t="shared" si="73"/>
        <v>1</v>
      </c>
      <c r="T146" s="46" t="str">
        <f t="shared" si="64"/>
        <v>Southbound</v>
      </c>
      <c r="U146" s="186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7" t="str">
        <f t="shared" si="75"/>
        <v>https://d0f6bd738d7f1b3e5a7ca70fe4ff75f0.us-east-1.aws.found.io/app/kibana#/discover/Steve-Slow-Train-Analysis-(2080s-and-2083s)?_g=(refreshInterval:(display:Off,pause:!f,section:0,value:0),time:(from:'2017-02-20T20:51:54-0700',mode:absolute,to:'2017-02-20T23:36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6" s="188" t="str">
        <f t="shared" si="65"/>
        <v>N</v>
      </c>
      <c r="X146" s="188">
        <f t="shared" si="72"/>
        <v>1</v>
      </c>
      <c r="Y146" s="62">
        <f t="shared" si="66"/>
        <v>23.297699999999999</v>
      </c>
      <c r="Z146" s="62">
        <f t="shared" si="67"/>
        <v>1.38E-2</v>
      </c>
      <c r="AA146" s="62">
        <f t="shared" si="68"/>
        <v>23.283899999999999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 t="shared" si="69"/>
        <v>0230-20</v>
      </c>
      <c r="AE146" s="85" t="str">
        <f t="shared" si="76"/>
        <v>aws s3 cp s3://rtdc.mdm.uploadarchive.raw/RTDC4043/ "%USERPROFILE%\AppData\Local\Temp\OnboardLogs"\RTDC4043\2017-02-20 --exclude "*" --recursive --include "*20170220*" &amp; "%USERPROFILE%\Documents\GitHub\mrs-test-scripts\Headless Mode &amp; Sideloading\WalkAndUnGZ.bat" "%USERPROFILE%\AppData\Local\Temp\OnboardLogs"\RTDC4043\2017-02-20 &amp; aws s3 cp s3://rtdc.mdm.uploadarchive.raw/RTDC4043/ "%USERPROFILE%\AppData\Local\Temp\OnboardLogs"\RTDC4043\2017-02-21 --exclude "*" --recursive --include "*20170221*" &amp; "%USERPROFILE%\Documents\GitHub\mrs-test-scripts\Headless Mode &amp; Sideloading\WalkAndUnGZ.bat" "%USERPROFILE%\AppData\Local\Temp\OnboardLogs"\RTDC4043\2017-02-21</v>
      </c>
      <c r="AF146" s="82" t="str">
        <f t="shared" si="77"/>
        <v>"C:\Program Files (x86)\AstroGrep\AstroGrep.exe" /spath="%USERPROFILE%\AppData\Local\Temp\OnboardLogs" /stypes="app*4043*20170221*" /stext=" 05:.+((SYSTEM_STATE.+slice.+state.+changed )|(ment ac)|(multiple cpu faults)|(system.+state.+changed )|(\[timeout)|(PRM\|1\|D)|(kpr)|(kdp)|(\|lc)|(penalty))" /e /r /s</v>
      </c>
      <c r="AG146" s="1" t="str">
        <f t="shared" si="70"/>
        <v>EC</v>
      </c>
      <c r="AH146" s="86" t="str">
        <f t="shared" si="78"/>
        <v>"%USERPROFILE%\Documents\GitHub\eaglep3\Utilities\RefineRTDCRunTimes.py" --tripid 230-20 --locoid 4043 --swversion DE.1.0.9.0 --startMP 204:232977 --initTime 2017-02-20T21:51:54 --startdatetime 2017-02-20T21:56:29 --delay 1 --endMP 204:138 --enddatetime 2017-02-20T22:36:39 --enforcementcount 0 &gt;&gt;C:\Users\stu\Documents\GitHub\eaglep3-reporting\EC\2017-02-20-refined-times.txt</v>
      </c>
      <c r="AI146" s="108" t="str">
        <f t="shared" si="79"/>
        <v>echo {"issue":{"subject":"","project_id":79,"tracker_id":40,"status_id":1,"priority_id":2,"assigned_to_id":23,"start_date":"2017-02-20","description":"","custom_fields":[{"id":1,"name":"Subdivision","value":"EC"},{"id":4,"name":"Milepost","value":"0.0138"},{"id":17,"name":"Train ID","value":"230-20"},{"id":16,"name":"Locomotive ID","value":"4043"},{"id":130,"name":"Impact","value":""},{"id":150,"name":"Time of Event (Mountain Time)","value":"22:36:39"},{"id":151,"name":"Denver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48"/>
      <c r="AK146" s="48"/>
      <c r="AL146" s="48"/>
      <c r="AM146" s="154" t="str">
        <f t="shared" si="80"/>
        <v>start /low /b %USERPROFILE%\Documents\GitHub\eaglep3\Utilities\DownloadLogsFromS3.py --loco 4043 --day 2017-02-20</v>
      </c>
      <c r="AN146" s="163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"%USERPROFILE%\AppData\Local\Temp\OnboardLogs"\RTDC4043\*4043*20170221* | grep -SE "(Enforcement Action)|(\[TIMEOUT)|(CHR.+\|PRM\|1\|D.+(SWITCH|SIGNAL).+UNKNOWN)" - &gt;&gt; 2017-02-20-UncaughtWiMAX.txt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3" t="s">
        <v>678</v>
      </c>
      <c r="B147" s="7">
        <v>4016</v>
      </c>
      <c r="C147" s="21" t="s">
        <v>408</v>
      </c>
      <c r="D147" s="21" t="s">
        <v>230</v>
      </c>
      <c r="E147" s="13">
        <v>42786.888414351852</v>
      </c>
      <c r="F147" s="13">
        <v>42786.896168981482</v>
      </c>
      <c r="G147" s="7">
        <v>1</v>
      </c>
      <c r="H147" s="21" t="s">
        <v>302</v>
      </c>
      <c r="I147" s="13">
        <v>42786.921354166669</v>
      </c>
      <c r="J147" s="7">
        <v>0</v>
      </c>
      <c r="K147" s="98" t="str">
        <f t="shared" si="61"/>
        <v>4015/4016</v>
      </c>
      <c r="L147" s="21" t="str">
        <f>VLOOKUP(A147,'Trips&amp;Operators'!$C$1:$G$99999,5,FALSE)</f>
        <v>SMITH MICHAEL</v>
      </c>
      <c r="M147" s="6">
        <f t="shared" si="62"/>
        <v>2.5185185186273884E-2</v>
      </c>
      <c r="N147" s="7">
        <f t="shared" si="74"/>
        <v>36.266666668234393</v>
      </c>
      <c r="O147" s="7"/>
      <c r="P147" s="7"/>
      <c r="Q147" s="22"/>
      <c r="R147" s="22"/>
      <c r="S147" s="31">
        <f t="shared" si="73"/>
        <v>1</v>
      </c>
      <c r="T147" s="46" t="str">
        <f t="shared" si="64"/>
        <v>NorthBound</v>
      </c>
      <c r="U147" s="186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7" t="str">
        <f t="shared" si="75"/>
        <v>https://d0f6bd738d7f1b3e5a7ca70fe4ff75f0.us-east-1.aws.found.io/app/kibana#/discover/Steve-Slow-Train-Analysis-(2080s-and-2083s)?_g=(refreshInterval:(display:Off,pause:!f,section:0,value:0),time:(from:'2017-02-20T20:19:19-0700',mode:absolute,to:'2017-02-20T23:06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7" s="188" t="str">
        <f t="shared" si="65"/>
        <v>N</v>
      </c>
      <c r="X147" s="188">
        <f t="shared" si="72"/>
        <v>1</v>
      </c>
      <c r="Y147" s="62">
        <f t="shared" si="66"/>
        <v>4.5999999999999999E-2</v>
      </c>
      <c r="Z147" s="62">
        <f t="shared" si="67"/>
        <v>23.332699999999999</v>
      </c>
      <c r="AA147" s="62">
        <f t="shared" si="68"/>
        <v>23.2867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 t="shared" si="69"/>
        <v>0231-20</v>
      </c>
      <c r="AE147" s="85" t="str">
        <f t="shared" si="76"/>
        <v>aws s3 cp s3://rtdc.mdm.uploadarchive.raw/RTDC4016/ "%USERPROFILE%\AppData\Local\Temp\OnboardLogs"\RTDC4016\2017-02-20 --exclude "*" --recursive --include "*20170220*" &amp; "%USERPROFILE%\Documents\GitHub\mrs-test-scripts\Headless Mode &amp; Sideloading\WalkAndUnGZ.bat" "%USERPROFILE%\AppData\Local\Temp\OnboardLogs"\RTDC4016\2017-02-20 &amp; aws s3 cp s3://rtdc.mdm.uploadarchive.raw/RTDC4016/ "%USERPROFILE%\AppData\Local\Temp\OnboardLogs"\RTDC4016\2017-02-21 --exclude "*" --recursive --include "*20170221*" &amp; "%USERPROFILE%\Documents\GitHub\mrs-test-scripts\Headless Mode &amp; Sideloading\WalkAndUnGZ.bat" "%USERPROFILE%\AppData\Local\Temp\OnboardLogs"\RTDC4016\2017-02-21</v>
      </c>
      <c r="AF147" s="82" t="str">
        <f t="shared" si="77"/>
        <v>"C:\Program Files (x86)\AstroGrep\AstroGrep.exe" /spath="%USERPROFILE%\AppData\Local\Temp\OnboardLogs" /stypes="app*4016*20170221*" /stext=" 05:.+((SYSTEM_STATE.+slice.+state.+changed )|(ment ac)|(multiple cpu faults)|(system.+state.+changed )|(\[timeout)|(PRM\|1\|D)|(kpr)|(kdp)|(\|lc)|(penalty))" /e /r /s</v>
      </c>
      <c r="AG147" s="1" t="str">
        <f t="shared" si="70"/>
        <v>EC</v>
      </c>
      <c r="AH147" s="86" t="str">
        <f t="shared" si="78"/>
        <v>"%USERPROFILE%\Documents\GitHub\eaglep3\Utilities\RefineRTDCRunTimes.py" --tripid 231-20 --locoid 4016 --swversion DE.1.0.9.0 --startMP 204:460 --initTime 2017-02-20T21:19:19 --startdatetime 2017-02-20T21:30:29 --delay 1 --endMP 204:233327 --enddatetime 2017-02-20T22:06:45 --enforcementcount 0 &gt;&gt;C:\Users\stu\Documents\GitHub\eaglep3-reporting\EC\2017-02-20-refined-times.txt</v>
      </c>
      <c r="AI147" s="108" t="str">
        <f t="shared" si="79"/>
        <v>echo {"issue":{"subject":"","project_id":79,"tracker_id":40,"status_id":1,"priority_id":2,"assigned_to_id":23,"start_date":"2017-02-20","description":"","custom_fields":[{"id":1,"name":"Subdivision","value":"EC"},{"id":4,"name":"Milepost","value":"23.3327"},{"id":17,"name":"Train ID","value":"231-20"},{"id":16,"name":"Locomotive ID","value":"4016"},{"id":130,"name":"Impact","value":""},{"id":150,"name":"Time of Event (Mountain Time)","value":"22:06:45"},{"id":151,"name":"Denver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48"/>
      <c r="AK147" s="48"/>
      <c r="AL147" s="48"/>
      <c r="AM147" s="154" t="str">
        <f t="shared" si="80"/>
        <v>start /low /b %USERPROFILE%\Documents\GitHub\eaglep3\Utilities\DownloadLogsFromS3.py --loco 4016 --day 2017-02-20</v>
      </c>
      <c r="AN147" s="163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"%USERPROFILE%\AppData\Local\Temp\OnboardLogs"\RTDC4016\*4016*20170221* | grep -SE "(Enforcement Action)|(\[TIMEOUT)|(CHR.+\|PRM\|1\|D.+(SWITCH|SIGNAL).+UNKNOWN)" - &gt;&gt; 2017-02-20-UncaughtWiMAX.txt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3" t="s">
        <v>681</v>
      </c>
      <c r="B148" s="7">
        <v>4015</v>
      </c>
      <c r="C148" s="21" t="s">
        <v>408</v>
      </c>
      <c r="D148" s="21" t="s">
        <v>301</v>
      </c>
      <c r="E148" s="13">
        <v>42786.924629629626</v>
      </c>
      <c r="F148" s="13">
        <v>42786.935115740744</v>
      </c>
      <c r="G148" s="7">
        <v>1</v>
      </c>
      <c r="H148" s="21" t="s">
        <v>361</v>
      </c>
      <c r="I148" s="13">
        <v>42786.962094907409</v>
      </c>
      <c r="J148" s="7">
        <v>0</v>
      </c>
      <c r="K148" s="98" t="str">
        <f t="shared" si="61"/>
        <v>4015/4016</v>
      </c>
      <c r="L148" s="21" t="str">
        <f>VLOOKUP(A148,'Trips&amp;Operators'!$C$1:$G$99999,5,FALSE)</f>
        <v>SMITH MICHAEL</v>
      </c>
      <c r="M148" s="6">
        <f t="shared" si="62"/>
        <v>2.6979166665114462E-2</v>
      </c>
      <c r="N148" s="7">
        <f t="shared" si="74"/>
        <v>38.849999997764826</v>
      </c>
      <c r="O148" s="7"/>
      <c r="P148" s="7"/>
      <c r="Q148" s="22"/>
      <c r="R148" s="22"/>
      <c r="S148" s="31">
        <f t="shared" si="73"/>
        <v>1</v>
      </c>
      <c r="T148" s="46" t="str">
        <f t="shared" si="64"/>
        <v>Southbound</v>
      </c>
      <c r="U148" s="186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7" t="str">
        <f t="shared" si="75"/>
        <v>https://d0f6bd738d7f1b3e5a7ca70fe4ff75f0.us-east-1.aws.found.io/app/kibana#/discover/Steve-Slow-Train-Analysis-(2080s-and-2083s)?_g=(refreshInterval:(display:Off,pause:!f,section:0,value:0),time:(from:'2017-02-20T21:11:28-0700',mode:absolute,to:'2017-02-21T00:05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8" s="188" t="str">
        <f t="shared" si="65"/>
        <v>N</v>
      </c>
      <c r="X148" s="188">
        <f t="shared" si="72"/>
        <v>1</v>
      </c>
      <c r="Y148" s="62">
        <f t="shared" si="66"/>
        <v>23.298500000000001</v>
      </c>
      <c r="Z148" s="62">
        <f t="shared" si="67"/>
        <v>1.6299999999999999E-2</v>
      </c>
      <c r="AA148" s="62">
        <f t="shared" si="68"/>
        <v>23.2822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 t="shared" si="69"/>
        <v>0232-20</v>
      </c>
      <c r="AE148" s="85" t="str">
        <f t="shared" si="76"/>
        <v>aws s3 cp s3://rtdc.mdm.uploadarchive.raw/RTDC4015/ "%USERPROFILE%\AppData\Local\Temp\OnboardLogs"\RTDC4015\2017-02-20 --exclude "*" --recursive --include "*20170220*" &amp; "%USERPROFILE%\Documents\GitHub\mrs-test-scripts\Headless Mode &amp; Sideloading\WalkAndUnGZ.bat" "%USERPROFILE%\AppData\Local\Temp\OnboardLogs"\RTDC4015\2017-02-20 &amp; aws s3 cp s3://rtdc.mdm.uploadarchive.raw/RTDC4015/ "%USERPROFILE%\AppData\Local\Temp\OnboardLogs"\RTDC4015\2017-02-21 --exclude "*" --recursive --include "*20170221*" &amp; "%USERPROFILE%\Documents\GitHub\mrs-test-scripts\Headless Mode &amp; Sideloading\WalkAndUnGZ.bat" "%USERPROFILE%\AppData\Local\Temp\OnboardLogs"\RTDC4015\2017-02-21</v>
      </c>
      <c r="AF148" s="82" t="str">
        <f t="shared" si="77"/>
        <v>"C:\Program Files (x86)\AstroGrep\AstroGrep.exe" /spath="%USERPROFILE%\AppData\Local\Temp\OnboardLogs" /stypes="app*4015*20170221*" /stext=" 06:.+((SYSTEM_STATE.+slice.+state.+changed )|(ment ac)|(multiple cpu faults)|(system.+state.+changed )|(\[timeout)|(PRM\|1\|D)|(kpr)|(kdp)|(\|lc)|(penalty))" /e /r /s</v>
      </c>
      <c r="AG148" s="1" t="str">
        <f t="shared" si="70"/>
        <v>EC</v>
      </c>
      <c r="AH148" s="86" t="str">
        <f t="shared" si="78"/>
        <v>"%USERPROFILE%\Documents\GitHub\eaglep3\Utilities\RefineRTDCRunTimes.py" --tripid 232-20 --locoid 4015 --swversion DE.1.0.9.0 --startMP 204:232985 --initTime 2017-02-20T22:11:28 --startdatetime 2017-02-20T22:26:34 --delay 1 --endMP 204:163 --enddatetime 2017-02-20T23:05:25 --enforcementcount 0 &gt;&gt;C:\Users\stu\Documents\GitHub\eaglep3-reporting\EC\2017-02-20-refined-times.txt</v>
      </c>
      <c r="AI148" s="108" t="str">
        <f t="shared" si="79"/>
        <v>echo {"issue":{"subject":"","project_id":79,"tracker_id":40,"status_id":1,"priority_id":2,"assigned_to_id":23,"start_date":"2017-02-20","description":"","custom_fields":[{"id":1,"name":"Subdivision","value":"EC"},{"id":4,"name":"Milepost","value":"0.0163"},{"id":17,"name":"Train ID","value":"232-20"},{"id":16,"name":"Locomotive ID","value":"4015"},{"id":130,"name":"Impact","value":""},{"id":150,"name":"Time of Event (Mountain Time)","value":"23:05:25"},{"id":151,"name":"Denver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48"/>
      <c r="AK148" s="48"/>
      <c r="AL148" s="48"/>
      <c r="AM148" s="154" t="str">
        <f t="shared" si="80"/>
        <v>start /low /b %USERPROFILE%\Documents\GitHub\eaglep3\Utilities\DownloadLogsFromS3.py --loco 4015 --day 2017-02-20</v>
      </c>
      <c r="AN148" s="163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"%USERPROFILE%\AppData\Local\Temp\OnboardLogs"\RTDC4015\*4015*20170221* | grep -SE "(Enforcement Action)|(\[TIMEOUT)|(CHR.+\|PRM\|1\|D.+(SWITCH|SIGNAL).+UNKNOWN)" - &gt;&gt; 2017-02-20-UncaughtWiMAX.txt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x14ac:dyDescent="0.25">
      <c r="A149" s="33" t="s">
        <v>487</v>
      </c>
      <c r="B149" s="7">
        <v>4020</v>
      </c>
      <c r="C149" s="21" t="s">
        <v>408</v>
      </c>
      <c r="D149" s="21" t="s">
        <v>414</v>
      </c>
      <c r="E149" s="13">
        <v>42786.901701388888</v>
      </c>
      <c r="F149" s="13">
        <v>42786.916898148149</v>
      </c>
      <c r="G149" s="7">
        <v>0</v>
      </c>
      <c r="H149" s="21" t="s">
        <v>413</v>
      </c>
      <c r="I149" s="13">
        <v>42786.94153935185</v>
      </c>
      <c r="J149" s="7">
        <v>0</v>
      </c>
      <c r="K149" s="98" t="str">
        <f t="shared" si="61"/>
        <v>4019/4020</v>
      </c>
      <c r="L149" s="21" t="str">
        <f>VLOOKUP(A149,'Trips&amp;Operators'!$C$1:$G$99999,5,FALSE)</f>
        <v>STAMBAUGH JAMES</v>
      </c>
      <c r="M149" s="6">
        <f t="shared" si="62"/>
        <v>2.4641203701321501E-2</v>
      </c>
      <c r="N149" s="7">
        <f t="shared" si="74"/>
        <v>35.483333329902962</v>
      </c>
      <c r="O149" s="7"/>
      <c r="P149" s="7"/>
      <c r="Q149" s="22"/>
      <c r="R149" s="22"/>
      <c r="S149" s="31">
        <f t="shared" si="73"/>
        <v>1</v>
      </c>
      <c r="T149" s="46" t="str">
        <f t="shared" si="64"/>
        <v>NorthBound</v>
      </c>
      <c r="U149" s="186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7" t="str">
        <f t="shared" si="75"/>
        <v>https://d0f6bd738d7f1b3e5a7ca70fe4ff75f0.us-east-1.aws.found.io/app/kibana#/discover/Steve-Slow-Train-Analysis-(2080s-and-2083s)?_g=(refreshInterval:(display:Off,pause:!f,section:0,value:0),time:(from:'2017-02-20T20:38:27-0700',mode:absolute,to:'2017-02-20T23:35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9" s="188" t="str">
        <f t="shared" si="65"/>
        <v>N</v>
      </c>
      <c r="X149" s="188">
        <f t="shared" si="72"/>
        <v>1</v>
      </c>
      <c r="Y149" s="62">
        <f t="shared" si="66"/>
        <v>4.3499999999999997E-2</v>
      </c>
      <c r="Z149" s="62">
        <f t="shared" si="67"/>
        <v>23.333200000000001</v>
      </c>
      <c r="AA149" s="62">
        <f t="shared" si="68"/>
        <v>23.2897</v>
      </c>
      <c r="AB149" s="59" t="str">
        <f>VLOOKUP(A149,Enforcements!$C$7:$K$13,8,0)</f>
        <v>Bulletin (2)</v>
      </c>
      <c r="AC149" s="55" t="str">
        <f>VLOOKUP(A149,Enforcements!$C$7:$E$13,3,0)</f>
        <v>GRADE CROSSING</v>
      </c>
      <c r="AD149" s="56" t="str">
        <f t="shared" si="69"/>
        <v>0233-20</v>
      </c>
      <c r="AE149" s="85" t="str">
        <f t="shared" si="76"/>
        <v>aws s3 cp s3://rtdc.mdm.uploadarchive.raw/RTDC4020/ "%USERPROFILE%\AppData\Local\Temp\OnboardLogs"\RTDC4020\2017-02-20 --exclude "*" --recursive --include "*20170220*" &amp; "%USERPROFILE%\Documents\GitHub\mrs-test-scripts\Headless Mode &amp; Sideloading\WalkAndUnGZ.bat" "%USERPROFILE%\AppData\Local\Temp\OnboardLogs"\RTDC4020\2017-02-20 &amp; aws s3 cp s3://rtdc.mdm.uploadarchive.raw/RTDC4020/ "%USERPROFILE%\AppData\Local\Temp\OnboardLogs"\RTDC4020\2017-02-21 --exclude "*" --recursive --include "*20170221*" &amp; "%USERPROFILE%\Documents\GitHub\mrs-test-scripts\Headless Mode &amp; Sideloading\WalkAndUnGZ.bat" "%USERPROFILE%\AppData\Local\Temp\OnboardLogs"\RTDC4020\2017-02-21</v>
      </c>
      <c r="AF149" s="82" t="str">
        <f t="shared" si="77"/>
        <v>"C:\Program Files (x86)\AstroGrep\AstroGrep.exe" /spath="%USERPROFILE%\AppData\Local\Temp\OnboardLogs" /stypes="app*4020*20170221*" /stext=" 05:.+((SYSTEM_STATE.+slice.+state.+changed )|(ment ac)|(multiple cpu faults)|(system.+state.+changed )|(\[timeout)|(PRM\|1\|D)|(kpr)|(kdp)|(\|lc)|(penalty))" /e /r /s</v>
      </c>
      <c r="AG149" s="1" t="str">
        <f t="shared" si="70"/>
        <v>EC</v>
      </c>
      <c r="AH149" s="86" t="str">
        <f t="shared" si="78"/>
        <v>"%USERPROFILE%\Documents\GitHub\eaglep3\Utilities\RefineRTDCRunTimes.py" --tripid 233-20 --locoid 4020 --swversion DE.1.0.9.0 --startMP 204:435 --initTime 2017-02-20T21:38:27 --startdatetime 2017-02-20T22:00:20 --delay 0 --endMP 204:233332 --enddatetime 2017-02-20T22:35:49 --enforcementcount 0 &gt;&gt;C:\Users\stu\Documents\GitHub\eaglep3-reporting\EC\2017-02-20-refined-times.txt</v>
      </c>
      <c r="AI149" s="108" t="str">
        <f t="shared" si="79"/>
        <v>echo {"issue":{"subject":"","project_id":79,"tracker_id":40,"status_id":1,"priority_id":2,"assigned_to_id":23,"start_date":"2017-02-20","description":"","custom_fields":[{"id":1,"name":"Subdivision","value":"EC"},{"id":4,"name":"Milepost","value":"23.3332"},{"id":17,"name":"Train ID","value":"233-20"},{"id":16,"name":"Locomotive ID","value":"4020"},{"id":130,"name":"Impact","value":""},{"id":150,"name":"Time of Event (Mountain Time)","value":"22:35:49"},{"id":151,"name":"Denver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48"/>
      <c r="AK149" s="48"/>
      <c r="AL149" s="48"/>
      <c r="AM149" s="154" t="str">
        <f t="shared" si="80"/>
        <v>start /low /b %USERPROFILE%\Documents\GitHub\eaglep3\Utilities\DownloadLogsFromS3.py --loco 4020 --day 2017-02-20</v>
      </c>
      <c r="AN149" s="163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"%USERPROFILE%\AppData\Local\Temp\OnboardLogs"\RTDC4020\*4020*20170221* | grep -SE "(Enforcement Action)|(\[TIMEOUT)|(CHR.+\|PRM\|1\|D.+(SWITCH|SIGNAL).+UNKNOWN)" - &gt;&gt; 2017-02-20-UncaughtWiMAX.txt</v>
      </c>
    </row>
    <row r="150" spans="1:91" x14ac:dyDescent="0.25">
      <c r="A150" s="33" t="s">
        <v>684</v>
      </c>
      <c r="B150" s="7">
        <v>4019</v>
      </c>
      <c r="C150" s="21" t="s">
        <v>408</v>
      </c>
      <c r="D150" s="21" t="s">
        <v>415</v>
      </c>
      <c r="E150" s="13">
        <v>42786.943356481483</v>
      </c>
      <c r="F150" s="13">
        <v>42786.955983796295</v>
      </c>
      <c r="G150" s="7">
        <v>1</v>
      </c>
      <c r="H150" s="21" t="s">
        <v>274</v>
      </c>
      <c r="I150" s="13">
        <v>42786.982476851852</v>
      </c>
      <c r="J150" s="7">
        <v>0</v>
      </c>
      <c r="K150" s="98" t="str">
        <f t="shared" si="61"/>
        <v>4019/4020</v>
      </c>
      <c r="L150" s="21" t="str">
        <f>VLOOKUP(A150,'Trips&amp;Operators'!$C$1:$G$99999,5,FALSE)</f>
        <v>STAMBAUGH JAMES</v>
      </c>
      <c r="M150" s="6">
        <f t="shared" si="62"/>
        <v>2.6493055556784384E-2</v>
      </c>
      <c r="N150" s="7">
        <f t="shared" si="74"/>
        <v>38.150000001769513</v>
      </c>
      <c r="O150" s="7"/>
      <c r="P150" s="7"/>
      <c r="Q150" s="22"/>
      <c r="R150" s="22"/>
      <c r="S150" s="31">
        <f t="shared" si="73"/>
        <v>1</v>
      </c>
      <c r="T150" s="46" t="str">
        <f t="shared" si="64"/>
        <v>Southbound</v>
      </c>
      <c r="U150" s="186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7" t="str">
        <f t="shared" si="75"/>
        <v>https://d0f6bd738d7f1b3e5a7ca70fe4ff75f0.us-east-1.aws.found.io/app/kibana#/discover/Steve-Slow-Train-Analysis-(2080s-and-2083s)?_g=(refreshInterval:(display:Off,pause:!f,section:0,value:0),time:(from:'2017-02-20T21:38:26-0700',mode:absolute,to:'2017-02-21T00:34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0" s="188" t="str">
        <f t="shared" si="65"/>
        <v>N</v>
      </c>
      <c r="X150" s="188">
        <f t="shared" si="72"/>
        <v>1</v>
      </c>
      <c r="Y150" s="62">
        <f t="shared" si="66"/>
        <v>23.303000000000001</v>
      </c>
      <c r="Z150" s="62">
        <f t="shared" si="67"/>
        <v>1.41E-2</v>
      </c>
      <c r="AA150" s="62">
        <f t="shared" si="68"/>
        <v>23.288900000000002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 t="shared" si="69"/>
        <v>0234-20</v>
      </c>
      <c r="AE150" s="85" t="str">
        <f t="shared" si="76"/>
        <v>aws s3 cp s3://rtdc.mdm.uploadarchive.raw/RTDC4019/ "%USERPROFILE%\AppData\Local\Temp\OnboardLogs"\RTDC4019\2017-02-20 --exclude "*" --recursive --include "*20170220*" &amp; "%USERPROFILE%\Documents\GitHub\mrs-test-scripts\Headless Mode &amp; Sideloading\WalkAndUnGZ.bat" "%USERPROFILE%\AppData\Local\Temp\OnboardLogs"\RTDC4019\2017-02-20 &amp; aws s3 cp s3://rtdc.mdm.uploadarchive.raw/RTDC4019/ "%USERPROFILE%\AppData\Local\Temp\OnboardLogs"\RTDC4019\2017-02-21 --exclude "*" --recursive --include "*20170221*" &amp; "%USERPROFILE%\Documents\GitHub\mrs-test-scripts\Headless Mode &amp; Sideloading\WalkAndUnGZ.bat" "%USERPROFILE%\AppData\Local\Temp\OnboardLogs"\RTDC4019\2017-02-21</v>
      </c>
      <c r="AF150" s="82" t="str">
        <f t="shared" si="77"/>
        <v>"C:\Program Files (x86)\AstroGrep\AstroGrep.exe" /spath="%USERPROFILE%\AppData\Local\Temp\OnboardLogs" /stypes="app*4019*20170221*" /stext=" 06:.+((SYSTEM_STATE.+slice.+state.+changed )|(ment ac)|(multiple cpu faults)|(system.+state.+changed )|(\[timeout)|(PRM\|1\|D)|(kpr)|(kdp)|(\|lc)|(penalty))" /e /r /s</v>
      </c>
      <c r="AG150" s="1" t="str">
        <f t="shared" si="70"/>
        <v>EC</v>
      </c>
      <c r="AH150" s="86" t="str">
        <f t="shared" si="78"/>
        <v>"%USERPROFILE%\Documents\GitHub\eaglep3\Utilities\RefineRTDCRunTimes.py" --tripid 234-20 --locoid 4019 --swversion DE.1.0.9.0 --startMP 204:233030 --initTime 2017-02-20T22:38:26 --startdatetime 2017-02-20T22:56:37 --delay 1 --endMP 204:141 --enddatetime 2017-02-20T23:34:46 --enforcementcount 0 &gt;&gt;C:\Users\stu\Documents\GitHub\eaglep3-reporting\EC\2017-02-20-refined-times.txt</v>
      </c>
      <c r="AI150" s="108" t="str">
        <f t="shared" si="79"/>
        <v>echo {"issue":{"subject":"","project_id":79,"tracker_id":40,"status_id":1,"priority_id":2,"assigned_to_id":23,"start_date":"2017-02-20","description":"","custom_fields":[{"id":1,"name":"Subdivision","value":"EC"},{"id":4,"name":"Milepost","value":"0.0141"},{"id":17,"name":"Train ID","value":"234-20"},{"id":16,"name":"Locomotive ID","value":"4019"},{"id":130,"name":"Impact","value":""},{"id":150,"name":"Time of Event (Mountain Time)","value":"23:34:46"},{"id":151,"name":"Denver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48"/>
      <c r="AK150" s="48"/>
      <c r="AL150" s="48"/>
      <c r="AM150" s="154" t="str">
        <f t="shared" si="80"/>
        <v>start /low /b %USERPROFILE%\Documents\GitHub\eaglep3\Utilities\DownloadLogsFromS3.py --loco 4019 --day 2017-02-20</v>
      </c>
      <c r="AN150" s="163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"%USERPROFILE%\AppData\Local\Temp\OnboardLogs"\RTDC4019\*4019*20170221* | grep -SE "(Enforcement Action)|(\[TIMEOUT)|(CHR.+\|PRM\|1\|D.+(SWITCH|SIGNAL).+UNKNOWN)" - &gt;&gt; 2017-02-20-UncaughtWiMAX.txt</v>
      </c>
    </row>
    <row r="151" spans="1:91" x14ac:dyDescent="0.25">
      <c r="A151" s="33" t="s">
        <v>488</v>
      </c>
      <c r="B151" s="7">
        <v>4046</v>
      </c>
      <c r="C151" s="21" t="s">
        <v>408</v>
      </c>
      <c r="D151" s="21" t="s">
        <v>251</v>
      </c>
      <c r="E151" s="13">
        <v>42786.92763888889</v>
      </c>
      <c r="F151" s="13">
        <v>42786.937731481485</v>
      </c>
      <c r="G151" s="7">
        <v>7</v>
      </c>
      <c r="H151" s="21" t="s">
        <v>763</v>
      </c>
      <c r="I151" s="13">
        <v>42786.965219907404</v>
      </c>
      <c r="J151" s="7">
        <v>0</v>
      </c>
      <c r="K151" s="98" t="str">
        <f t="shared" si="61"/>
        <v>4045/4046</v>
      </c>
      <c r="L151" s="21" t="str">
        <f>VLOOKUP(A151,'Trips&amp;Operators'!$C$1:$G$99999,5,FALSE)</f>
        <v>STORY SAMANTHA</v>
      </c>
      <c r="M151" s="6">
        <f t="shared" si="62"/>
        <v>2.7488425919727888E-2</v>
      </c>
      <c r="N151" s="7">
        <f t="shared" si="74"/>
        <v>39.583333324408159</v>
      </c>
      <c r="O151" s="7"/>
      <c r="P151" s="7"/>
      <c r="Q151" s="22"/>
      <c r="R151" s="22"/>
      <c r="S151" s="31">
        <f t="shared" si="73"/>
        <v>1</v>
      </c>
      <c r="T151" s="46" t="str">
        <f t="shared" si="64"/>
        <v>NorthBound</v>
      </c>
      <c r="U151" s="186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7" t="str">
        <f t="shared" si="75"/>
        <v>https://d0f6bd738d7f1b3e5a7ca70fe4ff75f0.us-east-1.aws.found.io/app/kibana#/discover/Steve-Slow-Train-Analysis-(2080s-and-2083s)?_g=(refreshInterval:(display:Off,pause:!f,section:0,value:0),time:(from:'2017-02-20T21:15:48-0700',mode:absolute,to:'2017-02-21T00:09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1" s="188" t="str">
        <f t="shared" si="65"/>
        <v>N</v>
      </c>
      <c r="X151" s="188">
        <f t="shared" si="72"/>
        <v>1</v>
      </c>
      <c r="Y151" s="62">
        <f t="shared" si="66"/>
        <v>4.53E-2</v>
      </c>
      <c r="Z151" s="62">
        <f t="shared" si="67"/>
        <v>23.334399999999999</v>
      </c>
      <c r="AA151" s="62">
        <f t="shared" si="68"/>
        <v>23.289099999999998</v>
      </c>
      <c r="AB151" s="59" t="str">
        <f>VLOOKUP(A151,Enforcements!$C$7:$K$13,8,0)</f>
        <v>Bulletin (2)</v>
      </c>
      <c r="AC151" s="55" t="str">
        <f>VLOOKUP(A151,Enforcements!$C$7:$E$13,3,0)</f>
        <v>GRADE CROSSING</v>
      </c>
      <c r="AD151" s="56" t="str">
        <f t="shared" si="69"/>
        <v>0235-20</v>
      </c>
      <c r="AE151" s="85" t="str">
        <f t="shared" si="76"/>
        <v>aws s3 cp s3://rtdc.mdm.uploadarchive.raw/RTDC4046/ "%USERPROFILE%\AppData\Local\Temp\OnboardLogs"\RTDC4046\2017-02-20 --exclude "*" --recursive --include "*20170220*" &amp; "%USERPROFILE%\Documents\GitHub\mrs-test-scripts\Headless Mode &amp; Sideloading\WalkAndUnGZ.bat" "%USERPROFILE%\AppData\Local\Temp\OnboardLogs"\RTDC4046\2017-02-20 &amp; aws s3 cp s3://rtdc.mdm.uploadarchive.raw/RTDC4046/ "%USERPROFILE%\AppData\Local\Temp\OnboardLogs"\RTDC4046\2017-02-21 --exclude "*" --recursive --include "*20170221*" &amp; "%USERPROFILE%\Documents\GitHub\mrs-test-scripts\Headless Mode &amp; Sideloading\WalkAndUnGZ.bat" "%USERPROFILE%\AppData\Local\Temp\OnboardLogs"\RTDC4046\2017-02-21</v>
      </c>
      <c r="AF151" s="82" t="str">
        <f t="shared" si="77"/>
        <v>"C:\Program Files (x86)\AstroGrep\AstroGrep.exe" /spath="%USERPROFILE%\AppData\Local\Temp\OnboardLogs" /stypes="app*4046*20170221*" /stext=" 06:.+((SYSTEM_STATE.+slice.+state.+changed )|(ment ac)|(multiple cpu faults)|(system.+state.+changed )|(\[timeout)|(PRM\|1\|D)|(kpr)|(kdp)|(\|lc)|(penalty))" /e /r /s</v>
      </c>
      <c r="AG151" s="1" t="str">
        <f t="shared" si="70"/>
        <v>EC</v>
      </c>
      <c r="AH151" s="86" t="str">
        <f t="shared" si="78"/>
        <v>"%USERPROFILE%\Documents\GitHub\eaglep3\Utilities\RefineRTDCRunTimes.py" --tripid 235-20 --locoid 4046 --swversion DE.1.0.9.0 --startMP 204:453 --initTime 2017-02-20T22:15:48 --startdatetime 2017-02-20T22:30:20 --delay 7 --endMP 204:233344 --enddatetime 2017-02-20T23:09:55 --enforcementcount 0 &gt;&gt;C:\Users\stu\Documents\GitHub\eaglep3-reporting\EC\2017-02-20-refined-times.txt</v>
      </c>
      <c r="AI151" s="108" t="str">
        <f t="shared" si="79"/>
        <v>echo {"issue":{"subject":"","project_id":79,"tracker_id":40,"status_id":1,"priority_id":2,"assigned_to_id":23,"start_date":"2017-02-20","description":"","custom_fields":[{"id":1,"name":"Subdivision","value":"EC"},{"id":4,"name":"Milepost","value":"23.3344"},{"id":17,"name":"Train ID","value":"235-20"},{"id":16,"name":"Locomotive ID","value":"4046"},{"id":130,"name":"Impact","value":""},{"id":150,"name":"Time of Event (Mountain Time)","value":"23:09:55"},{"id":151,"name":"Denver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48"/>
      <c r="AK151" s="48"/>
      <c r="AL151" s="48"/>
      <c r="AM151" s="154" t="str">
        <f t="shared" si="80"/>
        <v>start /low /b %USERPROFILE%\Documents\GitHub\eaglep3\Utilities\DownloadLogsFromS3.py --loco 4046 --day 2017-02-20</v>
      </c>
      <c r="AN151" s="163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"%USERPROFILE%\AppData\Local\Temp\OnboardLogs"\RTDC4046\*4046*20170221* | grep -SE "(Enforcement Action)|(\[TIMEOUT)|(CHR.+\|PRM\|1\|D.+(SWITCH|SIGNAL).+UNKNOWN)" - &gt;&gt; 2017-02-20-UncaughtWiMAX.txt</v>
      </c>
    </row>
    <row r="152" spans="1:91" x14ac:dyDescent="0.25">
      <c r="A152" s="33" t="s">
        <v>687</v>
      </c>
      <c r="B152" s="7">
        <v>4045</v>
      </c>
      <c r="C152" s="21" t="s">
        <v>408</v>
      </c>
      <c r="D152" s="21" t="s">
        <v>764</v>
      </c>
      <c r="E152" s="13">
        <v>42786.968530092592</v>
      </c>
      <c r="F152" s="13">
        <v>42786.976701388892</v>
      </c>
      <c r="G152" s="7">
        <v>2</v>
      </c>
      <c r="H152" s="21" t="s">
        <v>206</v>
      </c>
      <c r="I152" s="13">
        <v>42787.005497685182</v>
      </c>
      <c r="J152" s="7">
        <v>0</v>
      </c>
      <c r="K152" s="98" t="str">
        <f t="shared" si="61"/>
        <v>4045/4046</v>
      </c>
      <c r="L152" s="21" t="str">
        <f>VLOOKUP(A152,'Trips&amp;Operators'!$C$1:$G$99999,5,FALSE)</f>
        <v>STORY SAMANTHA</v>
      </c>
      <c r="M152" s="6">
        <f t="shared" si="62"/>
        <v>2.8796296290238388E-2</v>
      </c>
      <c r="N152" s="7">
        <f t="shared" si="74"/>
        <v>41.466666657943279</v>
      </c>
      <c r="O152" s="7"/>
      <c r="P152" s="7"/>
      <c r="Q152" s="22"/>
      <c r="R152" s="22"/>
      <c r="S152" s="31">
        <f t="shared" si="73"/>
        <v>1</v>
      </c>
      <c r="T152" s="46" t="str">
        <f t="shared" si="64"/>
        <v>Southbound</v>
      </c>
      <c r="U152" s="186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7" t="str">
        <f t="shared" si="75"/>
        <v>https://d0f6bd738d7f1b3e5a7ca70fe4ff75f0.us-east-1.aws.found.io/app/kibana#/discover/Steve-Slow-Train-Analysis-(2080s-and-2083s)?_g=(refreshInterval:(display:Off,pause:!f,section:0,value:0),time:(from:'2017-02-20T22:14:41-0700',mode:absolute,to:'2017-02-21T01:07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2" s="188" t="str">
        <f t="shared" si="65"/>
        <v>N</v>
      </c>
      <c r="X152" s="188">
        <f t="shared" ref="X152:X154" si="81">VALUE(LEFT(AD152,4))-VALUE(LEFT(AD151,4))</f>
        <v>1</v>
      </c>
      <c r="Y152" s="62">
        <f t="shared" si="66"/>
        <v>23.302700000000002</v>
      </c>
      <c r="Z152" s="62">
        <f t="shared" si="67"/>
        <v>1.52E-2</v>
      </c>
      <c r="AA152" s="62">
        <f t="shared" si="68"/>
        <v>23.287500000000001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 t="shared" si="69"/>
        <v>0236-20</v>
      </c>
      <c r="AE152" s="85" t="str">
        <f t="shared" si="76"/>
        <v>aws s3 cp s3://rtdc.mdm.uploadarchive.raw/RTDC4045/ "%USERPROFILE%\AppData\Local\Temp\OnboardLogs"\RTDC4045\2017-02-20 --exclude "*" --recursive --include "*20170220*" &amp; "%USERPROFILE%\Documents\GitHub\mrs-test-scripts\Headless Mode &amp; Sideloading\WalkAndUnGZ.bat" "%USERPROFILE%\AppData\Local\Temp\OnboardLogs"\RTDC4045\2017-02-20 &amp; aws s3 cp s3://rtdc.mdm.uploadarchive.raw/RTDC4045/ "%USERPROFILE%\AppData\Local\Temp\OnboardLogs"\RTDC4045\2017-02-21 --exclude "*" --recursive --include "*20170221*" &amp; "%USERPROFILE%\Documents\GitHub\mrs-test-scripts\Headless Mode &amp; Sideloading\WalkAndUnGZ.bat" "%USERPROFILE%\AppData\Local\Temp\OnboardLogs"\RTDC4045\2017-02-21</v>
      </c>
      <c r="AF152" s="82" t="str">
        <f t="shared" si="77"/>
        <v>"C:\Program Files (x86)\AstroGrep\AstroGrep.exe" /spath="%USERPROFILE%\AppData\Local\Temp\OnboardLogs" /stypes="app*4045*20170221*" /stext=" 07:.+((SYSTEM_STATE.+slice.+state.+changed )|(ment ac)|(multiple cpu faults)|(system.+state.+changed )|(\[timeout)|(PRM\|1\|D)|(kpr)|(kdp)|(\|lc)|(penalty))" /e /r /s</v>
      </c>
      <c r="AG152" s="1" t="str">
        <f t="shared" si="70"/>
        <v>EC</v>
      </c>
      <c r="AH152" s="86" t="str">
        <f t="shared" si="78"/>
        <v>"%USERPROFILE%\Documents\GitHub\eaglep3\Utilities\RefineRTDCRunTimes.py" --tripid 236-20 --locoid 4045 --swversion DE.1.0.9.0 --startMP 204:233027 --initTime 2017-02-20T23:14:41 --startdatetime 2017-02-20T23:26:27 --delay 2 --endMP 204:152 --enddatetime 2017-02-21T00:07:55 --enforcementcount 0 &gt;&gt;C:\Users\stu\Documents\GitHub\eaglep3-reporting\EC\2017-02-20-refined-times.txt</v>
      </c>
      <c r="AI152" s="108" t="str">
        <f t="shared" si="79"/>
        <v>echo {"issue":{"subject":"","project_id":79,"tracker_id":40,"status_id":1,"priority_id":2,"assigned_to_id":23,"start_date":"2017-02-21","description":"","custom_fields":[{"id":1,"name":"Subdivision","value":"EC"},{"id":4,"name":"Milepost","value":"0.0152"},{"id":17,"name":"Train ID","value":"236-20"},{"id":16,"name":"Locomotive ID","value":"4045"},{"id":130,"name":"Impact","value":""},{"id":150,"name":"Time of Event (Mountain Time)","value":"00:07:55"},{"id":151,"name":"Denver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48"/>
      <c r="AK152" s="48"/>
      <c r="AL152" s="48"/>
      <c r="AM152" s="154" t="str">
        <f t="shared" si="80"/>
        <v>start /low /b %USERPROFILE%\Documents\GitHub\eaglep3\Utilities\DownloadLogsFromS3.py --loco 4045 --day 2017-02-20</v>
      </c>
      <c r="AN152" s="163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"%USERPROFILE%\AppData\Local\Temp\OnboardLogs"\RTDC4045\*4045*20170221* | grep -SE "(Enforcement Action)|(\[TIMEOUT)|(CHR.+\|PRM\|1\|D.+(SWITCH|SIGNAL).+UNKNOWN)" - &gt;&gt; 2017-02-20-UncaughtWiMAX.txt</v>
      </c>
    </row>
    <row r="153" spans="1:91" x14ac:dyDescent="0.25">
      <c r="A153" s="33" t="s">
        <v>685</v>
      </c>
      <c r="B153" s="7">
        <v>4044</v>
      </c>
      <c r="C153" s="21" t="s">
        <v>408</v>
      </c>
      <c r="D153" s="21" t="s">
        <v>230</v>
      </c>
      <c r="E153" s="13">
        <v>42786.95553240741</v>
      </c>
      <c r="F153" s="13">
        <v>42786.958912037036</v>
      </c>
      <c r="G153" s="7">
        <v>1</v>
      </c>
      <c r="H153" s="21" t="s">
        <v>370</v>
      </c>
      <c r="I153" s="13">
        <v>42786.983599537038</v>
      </c>
      <c r="J153" s="7">
        <v>0</v>
      </c>
      <c r="K153" s="98" t="str">
        <f t="shared" si="61"/>
        <v>4043/4044</v>
      </c>
      <c r="L153" s="21" t="str">
        <f>VLOOKUP(A153,'Trips&amp;Operators'!$C$1:$G$99999,5,FALSE)</f>
        <v>CHANDLER KELVIN</v>
      </c>
      <c r="M153" s="6">
        <f t="shared" si="62"/>
        <v>2.4687500001164153E-2</v>
      </c>
      <c r="N153" s="7">
        <f t="shared" si="74"/>
        <v>35.550000001676381</v>
      </c>
      <c r="O153" s="7"/>
      <c r="P153" s="7"/>
      <c r="Q153" s="22"/>
      <c r="R153" s="22"/>
      <c r="S153" s="31">
        <f t="shared" si="73"/>
        <v>1</v>
      </c>
      <c r="T153" s="46" t="str">
        <f t="shared" si="64"/>
        <v>NorthBound</v>
      </c>
      <c r="U153" s="186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7" t="str">
        <f t="shared" si="75"/>
        <v>https://d0f6bd738d7f1b3e5a7ca70fe4ff75f0.us-east-1.aws.found.io/app/kibana#/discover/Steve-Slow-Train-Analysis-(2080s-and-2083s)?_g=(refreshInterval:(display:Off,pause:!f,section:0,value:0),time:(from:'2017-02-20T21:55:58-0700',mode:absolute,to:'2017-02-21T00:36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3" s="188" t="str">
        <f t="shared" si="65"/>
        <v>N</v>
      </c>
      <c r="X153" s="188">
        <f t="shared" si="81"/>
        <v>1</v>
      </c>
      <c r="Y153" s="62">
        <f t="shared" si="66"/>
        <v>4.5999999999999999E-2</v>
      </c>
      <c r="Z153" s="62">
        <f t="shared" si="67"/>
        <v>23.330100000000002</v>
      </c>
      <c r="AA153" s="62">
        <f t="shared" si="68"/>
        <v>23.284100000000002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 t="shared" si="69"/>
        <v>0237-20</v>
      </c>
      <c r="AE153" s="85" t="str">
        <f t="shared" si="76"/>
        <v>aws s3 cp s3://rtdc.mdm.uploadarchive.raw/RTDC4044/ "%USERPROFILE%\AppData\Local\Temp\OnboardLogs"\RTDC4044\2017-02-20 --exclude "*" --recursive --include "*20170220*" &amp; "%USERPROFILE%\Documents\GitHub\mrs-test-scripts\Headless Mode &amp; Sideloading\WalkAndUnGZ.bat" "%USERPROFILE%\AppData\Local\Temp\OnboardLogs"\RTDC4044\2017-02-20 &amp; aws s3 cp s3://rtdc.mdm.uploadarchive.raw/RTDC4044/ "%USERPROFILE%\AppData\Local\Temp\OnboardLogs"\RTDC4044\2017-02-21 --exclude "*" --recursive --include "*20170221*" &amp; "%USERPROFILE%\Documents\GitHub\mrs-test-scripts\Headless Mode &amp; Sideloading\WalkAndUnGZ.bat" "%USERPROFILE%\AppData\Local\Temp\OnboardLogs"\RTDC4044\2017-02-21</v>
      </c>
      <c r="AF153" s="82" t="str">
        <f t="shared" si="77"/>
        <v>"C:\Program Files (x86)\AstroGrep\AstroGrep.exe" /spath="%USERPROFILE%\AppData\Local\Temp\OnboardLogs" /stypes="app*4044*20170221*" /stext=" 06:.+((SYSTEM_STATE.+slice.+state.+changed )|(ment ac)|(multiple cpu faults)|(system.+state.+changed )|(\[timeout)|(PRM\|1\|D)|(kpr)|(kdp)|(\|lc)|(penalty))" /e /r /s</v>
      </c>
      <c r="AG153" s="1" t="str">
        <f t="shared" si="70"/>
        <v>EC</v>
      </c>
      <c r="AH153" s="86" t="str">
        <f t="shared" si="78"/>
        <v>"%USERPROFILE%\Documents\GitHub\eaglep3\Utilities\RefineRTDCRunTimes.py" --tripid 237-20 --locoid 4044 --swversion DE.1.0.9.0 --startMP 204:460 --initTime 2017-02-20T22:55:58 --startdatetime 2017-02-20T23:00:50 --delay 1 --endMP 204:233301 --enddatetime 2017-02-20T23:36:23 --enforcementcount 0 &gt;&gt;C:\Users\stu\Documents\GitHub\eaglep3-reporting\EC\2017-02-20-refined-times.txt</v>
      </c>
      <c r="AI153" s="108" t="str">
        <f t="shared" si="79"/>
        <v>echo {"issue":{"subject":"","project_id":79,"tracker_id":40,"status_id":1,"priority_id":2,"assigned_to_id":23,"start_date":"2017-02-20","description":"","custom_fields":[{"id":1,"name":"Subdivision","value":"EC"},{"id":4,"name":"Milepost","value":"23.3301"},{"id":17,"name":"Train ID","value":"237-20"},{"id":16,"name":"Locomotive ID","value":"4044"},{"id":130,"name":"Impact","value":""},{"id":150,"name":"Time of Event (Mountain Time)","value":"23:36:23"},{"id":151,"name":"Denver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48"/>
      <c r="AK153" s="48"/>
      <c r="AL153" s="48"/>
      <c r="AM153" s="154" t="str">
        <f t="shared" si="80"/>
        <v>start /low /b %USERPROFILE%\Documents\GitHub\eaglep3\Utilities\DownloadLogsFromS3.py --loco 4044 --day 2017-02-20</v>
      </c>
      <c r="AN153" s="163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"%USERPROFILE%\AppData\Local\Temp\OnboardLogs"\RTDC4044\*4044*20170221* | grep -SE "(Enforcement Action)|(\[TIMEOUT)|(CHR.+\|PRM\|1\|D.+(SWITCH|SIGNAL).+UNKNOWN)" - &gt;&gt; 2017-02-20-UncaughtWiMAX.txt</v>
      </c>
    </row>
    <row r="154" spans="1:91" x14ac:dyDescent="0.25">
      <c r="A154" s="33" t="s">
        <v>689</v>
      </c>
      <c r="B154" s="7">
        <v>4043</v>
      </c>
      <c r="C154" s="21" t="s">
        <v>408</v>
      </c>
      <c r="D154" s="21" t="s">
        <v>765</v>
      </c>
      <c r="E154" s="13">
        <v>42786.996342592596</v>
      </c>
      <c r="F154" s="13">
        <v>42786.997627314813</v>
      </c>
      <c r="G154" s="7">
        <v>1</v>
      </c>
      <c r="H154" s="21" t="s">
        <v>203</v>
      </c>
      <c r="I154" s="13">
        <v>42787.02480324074</v>
      </c>
      <c r="J154" s="7">
        <v>0</v>
      </c>
      <c r="K154" s="98" t="str">
        <f t="shared" si="61"/>
        <v>4043/4044</v>
      </c>
      <c r="L154" s="21" t="str">
        <f>VLOOKUP(A154,'Trips&amp;Operators'!$C$1:$G$99999,5,FALSE)</f>
        <v>CHANDLER KELVIN</v>
      </c>
      <c r="M154" s="6">
        <f t="shared" si="62"/>
        <v>2.7175925926712807E-2</v>
      </c>
      <c r="N154" s="7">
        <f t="shared" si="74"/>
        <v>39.133333334466442</v>
      </c>
      <c r="O154" s="7"/>
      <c r="P154" s="7"/>
      <c r="Q154" s="22"/>
      <c r="R154" s="22"/>
      <c r="S154" s="31">
        <f t="shared" si="73"/>
        <v>1</v>
      </c>
      <c r="T154" s="46" t="str">
        <f t="shared" si="64"/>
        <v>Southbound</v>
      </c>
      <c r="U154" s="186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7" t="str">
        <f t="shared" si="75"/>
        <v>https://d0f6bd738d7f1b3e5a7ca70fe4ff75f0.us-east-1.aws.found.io/app/kibana#/discover/Steve-Slow-Train-Analysis-(2080s-and-2083s)?_g=(refreshInterval:(display:Off,pause:!f,section:0,value:0),time:(from:'2017-02-20T22:54:44-0700',mode:absolute,to:'2017-02-21T01:35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4" s="188" t="str">
        <f t="shared" si="65"/>
        <v>N</v>
      </c>
      <c r="X154" s="188">
        <f t="shared" si="81"/>
        <v>1</v>
      </c>
      <c r="Y154" s="62">
        <f t="shared" si="66"/>
        <v>23.296500000000002</v>
      </c>
      <c r="Z154" s="62">
        <f t="shared" si="67"/>
        <v>1.6E-2</v>
      </c>
      <c r="AA154" s="62">
        <f t="shared" si="68"/>
        <v>23.280500000000004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 t="shared" si="69"/>
        <v>0238-20</v>
      </c>
      <c r="AE154" s="85" t="str">
        <f t="shared" si="76"/>
        <v>aws s3 cp s3://rtdc.mdm.uploadarchive.raw/RTDC4043/ "%USERPROFILE%\AppData\Local\Temp\OnboardLogs"\RTDC4043\2017-02-20 --exclude "*" --recursive --include "*20170220*" &amp; "%USERPROFILE%\Documents\GitHub\mrs-test-scripts\Headless Mode &amp; Sideloading\WalkAndUnGZ.bat" "%USERPROFILE%\AppData\Local\Temp\OnboardLogs"\RTDC4043\2017-02-20 &amp; aws s3 cp s3://rtdc.mdm.uploadarchive.raw/RTDC4043/ "%USERPROFILE%\AppData\Local\Temp\OnboardLogs"\RTDC4043\2017-02-21 --exclude "*" --recursive --include "*20170221*" &amp; "%USERPROFILE%\Documents\GitHub\mrs-test-scripts\Headless Mode &amp; Sideloading\WalkAndUnGZ.bat" "%USERPROFILE%\AppData\Local\Temp\OnboardLogs"\RTDC4043\2017-02-21</v>
      </c>
      <c r="AF154" s="82" t="str">
        <f t="shared" si="77"/>
        <v>"C:\Program Files (x86)\AstroGrep\AstroGrep.exe" /spath="%USERPROFILE%\AppData\Local\Temp\OnboardLogs" /stypes="app*4043*20170221*" /stext=" 07:.+((SYSTEM_STATE.+slice.+state.+changed )|(ment ac)|(multiple cpu faults)|(system.+state.+changed )|(\[timeout)|(PRM\|1\|D)|(kpr)|(kdp)|(\|lc)|(penalty))" /e /r /s</v>
      </c>
      <c r="AG154" s="1" t="str">
        <f t="shared" si="70"/>
        <v>EC</v>
      </c>
      <c r="AH154" s="86" t="str">
        <f t="shared" si="78"/>
        <v>"%USERPROFILE%\Documents\GitHub\eaglep3\Utilities\RefineRTDCRunTimes.py" --tripid 238-20 --locoid 4043 --swversion DE.1.0.9.0 --startMP 204:232965 --initTime 2017-02-20T23:54:44 --startdatetime 2017-02-20T23:56:35 --delay 1 --endMP 204:160 --enddatetime 2017-02-21T00:35:43 --enforcementcount 0 &gt;&gt;C:\Users\stu\Documents\GitHub\eaglep3-reporting\EC\2017-02-20-refined-times.txt</v>
      </c>
      <c r="AI154" s="108" t="str">
        <f t="shared" si="79"/>
        <v>echo {"issue":{"subject":"","project_id":79,"tracker_id":40,"status_id":1,"priority_id":2,"assigned_to_id":23,"start_date":"2017-02-21","description":"","custom_fields":[{"id":1,"name":"Subdivision","value":"EC"},{"id":4,"name":"Milepost","value":"0.016"},{"id":17,"name":"Train ID","value":"238-20"},{"id":16,"name":"Locomotive ID","value":"4043"},{"id":130,"name":"Impact","value":""},{"id":150,"name":"Time of Event (Mountain Time)","value":"00:35:43"},{"id":151,"name":"Denver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48"/>
      <c r="AK154" s="48"/>
      <c r="AL154" s="48"/>
      <c r="AM154" s="154" t="str">
        <f t="shared" si="80"/>
        <v>start /low /b %USERPROFILE%\Documents\GitHub\eaglep3\Utilities\DownloadLogsFromS3.py --loco 4043 --day 2017-02-20</v>
      </c>
      <c r="AN154" s="163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"%USERPROFILE%\AppData\Local\Temp\OnboardLogs"\RTDC4043\*4043*20170221* | grep -SE "(Enforcement Action)|(\[TIMEOUT)|(CHR.+\|PRM\|1\|D.+(SWITCH|SIGNAL).+UNKNOWN)" - &gt;&gt; 2017-02-20-UncaughtWiMAX.txt</v>
      </c>
    </row>
    <row r="155" spans="1:91" x14ac:dyDescent="0.25">
      <c r="A155" s="33" t="s">
        <v>686</v>
      </c>
      <c r="B155" s="7">
        <v>4016</v>
      </c>
      <c r="C155" s="21" t="s">
        <v>408</v>
      </c>
      <c r="D155" s="21" t="s">
        <v>365</v>
      </c>
      <c r="E155" s="13">
        <v>42786.968148148146</v>
      </c>
      <c r="F155" s="13">
        <v>42786.97934027778</v>
      </c>
      <c r="G155" s="7">
        <v>1</v>
      </c>
      <c r="H155" s="21" t="s">
        <v>754</v>
      </c>
      <c r="I155" s="13">
        <v>42787.004247685189</v>
      </c>
      <c r="J155" s="7">
        <v>0</v>
      </c>
      <c r="K155" s="98" t="str">
        <f t="shared" si="61"/>
        <v>4015/4016</v>
      </c>
      <c r="L155" s="21" t="str">
        <f>VLOOKUP(A155,'Trips&amp;Operators'!$C$1:$G$99999,5,FALSE)</f>
        <v>SMITH MICHAEL</v>
      </c>
      <c r="M155" s="6">
        <f t="shared" si="62"/>
        <v>2.4907407409045845E-2</v>
      </c>
      <c r="N155" s="7">
        <f t="shared" si="74"/>
        <v>35.866666669026017</v>
      </c>
      <c r="O155" s="7"/>
      <c r="P155" s="7"/>
      <c r="Q155" s="22"/>
      <c r="R155" s="22"/>
      <c r="S155" s="31">
        <f t="shared" si="73"/>
        <v>1</v>
      </c>
      <c r="T155" s="46" t="str">
        <f t="shared" si="64"/>
        <v>NorthBound</v>
      </c>
      <c r="U155" s="186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87" t="str">
        <f t="shared" si="75"/>
        <v>https://d0f6bd738d7f1b3e5a7ca70fe4ff75f0.us-east-1.aws.found.io/app/kibana#/discover/Steve-Slow-Train-Analysis-(2080s-and-2083s)?_g=(refreshInterval:(display:Off,pause:!f,section:0,value:0),time:(from:'2017-02-20T22:14:08-0700',mode:absolute,to:'2017-02-21T01:06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5" s="188" t="str">
        <f t="shared" si="65"/>
        <v>N</v>
      </c>
      <c r="X155" s="188">
        <f t="shared" ref="X155:X178" si="82">VALUE(LEFT(AD155,4))-VALUE(LEFT(AD154,4))</f>
        <v>1</v>
      </c>
      <c r="Y155" s="62">
        <f t="shared" si="66"/>
        <v>4.6600000000000003E-2</v>
      </c>
      <c r="Z155" s="62">
        <f t="shared" si="67"/>
        <v>23.33</v>
      </c>
      <c r="AA155" s="62">
        <f t="shared" si="68"/>
        <v>23.283399999999997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 t="shared" si="69"/>
        <v>0239-20</v>
      </c>
      <c r="AE155" s="85" t="str">
        <f t="shared" si="76"/>
        <v>aws s3 cp s3://rtdc.mdm.uploadarchive.raw/RTDC4016/ "%USERPROFILE%\AppData\Local\Temp\OnboardLogs"\RTDC4016\2017-02-20 --exclude "*" --recursive --include "*20170220*" &amp; "%USERPROFILE%\Documents\GitHub\mrs-test-scripts\Headless Mode &amp; Sideloading\WalkAndUnGZ.bat" "%USERPROFILE%\AppData\Local\Temp\OnboardLogs"\RTDC4016\2017-02-20 &amp; aws s3 cp s3://rtdc.mdm.uploadarchive.raw/RTDC4016/ "%USERPROFILE%\AppData\Local\Temp\OnboardLogs"\RTDC4016\2017-02-21 --exclude "*" --recursive --include "*20170221*" &amp; "%USERPROFILE%\Documents\GitHub\mrs-test-scripts\Headless Mode &amp; Sideloading\WalkAndUnGZ.bat" "%USERPROFILE%\AppData\Local\Temp\OnboardLogs"\RTDC4016\2017-02-21</v>
      </c>
      <c r="AF155" s="82" t="str">
        <f t="shared" si="77"/>
        <v>"C:\Program Files (x86)\AstroGrep\AstroGrep.exe" /spath="%USERPROFILE%\AppData\Local\Temp\OnboardLogs" /stypes="app*4016*20170221*" /stext=" 07:.+((SYSTEM_STATE.+slice.+state.+changed )|(ment ac)|(multiple cpu faults)|(system.+state.+changed )|(\[timeout)|(PRM\|1\|D)|(kpr)|(kdp)|(\|lc)|(penalty))" /e /r /s</v>
      </c>
      <c r="AG155" s="1" t="str">
        <f t="shared" si="70"/>
        <v>EC</v>
      </c>
      <c r="AH155" s="86" t="str">
        <f t="shared" si="78"/>
        <v>"%USERPROFILE%\Documents\GitHub\eaglep3\Utilities\RefineRTDCRunTimes.py" --tripid 239-20 --locoid 4016 --swversion DE.1.0.9.0 --startMP 204:466 --initTime 2017-02-20T23:14:08 --startdatetime 2017-02-20T23:30:15 --delay 1 --endMP 204:233300 --enddatetime 2017-02-21T00:06:07 --enforcementcount 0 &gt;&gt;C:\Users\stu\Documents\GitHub\eaglep3-reporting\EC\2017-02-20-refined-times.txt</v>
      </c>
      <c r="AI155" s="108" t="str">
        <f t="shared" si="79"/>
        <v>echo {"issue":{"subject":"","project_id":79,"tracker_id":40,"status_id":1,"priority_id":2,"assigned_to_id":23,"start_date":"2017-02-21","description":"","custom_fields":[{"id":1,"name":"Subdivision","value":"EC"},{"id":4,"name":"Milepost","value":"23.33"},{"id":17,"name":"Train ID","value":"239-20"},{"id":16,"name":"Locomotive ID","value":"4016"},{"id":130,"name":"Impact","value":""},{"id":150,"name":"Time of Event (Mountain Time)","value":"00:06:07"},{"id":151,"name":"Denver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48"/>
      <c r="AK155" s="48"/>
      <c r="AL155" s="48"/>
      <c r="AM155" s="154" t="str">
        <f t="shared" si="80"/>
        <v>start /low /b %USERPROFILE%\Documents\GitHub\eaglep3\Utilities\DownloadLogsFromS3.py --loco 4016 --day 2017-02-20</v>
      </c>
      <c r="AN155" s="163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"%USERPROFILE%\AppData\Local\Temp\OnboardLogs"\RTDC4016\*4016*20170221* | grep -SE "(Enforcement Action)|(\[TIMEOUT)|(CHR.+\|PRM\|1\|D.+(SWITCH|SIGNAL).+UNKNOWN)" - &gt;&gt; 2017-02-20-UncaughtWiMAX.txt</v>
      </c>
    </row>
    <row r="156" spans="1:91" x14ac:dyDescent="0.25">
      <c r="A156" s="33" t="s">
        <v>690</v>
      </c>
      <c r="B156" s="7">
        <v>4015</v>
      </c>
      <c r="C156" s="21" t="s">
        <v>408</v>
      </c>
      <c r="D156" s="21" t="s">
        <v>439</v>
      </c>
      <c r="E156" s="13">
        <v>42787.010613425926</v>
      </c>
      <c r="F156" s="13">
        <v>42787.01829861111</v>
      </c>
      <c r="G156" s="7">
        <v>1</v>
      </c>
      <c r="H156" s="21" t="s">
        <v>207</v>
      </c>
      <c r="I156" s="13">
        <v>42787.045266203706</v>
      </c>
      <c r="J156" s="7">
        <v>0</v>
      </c>
      <c r="K156" s="98" t="str">
        <f t="shared" si="61"/>
        <v>4015/4016</v>
      </c>
      <c r="L156" s="21" t="str">
        <f>VLOOKUP(A156,'Trips&amp;Operators'!$C$1:$G$99999,5,FALSE)</f>
        <v>SMITH MICHAEL</v>
      </c>
      <c r="M156" s="6">
        <f t="shared" si="62"/>
        <v>2.6967592595610768E-2</v>
      </c>
      <c r="N156" s="7">
        <f t="shared" si="74"/>
        <v>38.833333337679505</v>
      </c>
      <c r="O156" s="7"/>
      <c r="P156" s="7"/>
      <c r="Q156" s="22"/>
      <c r="R156" s="22"/>
      <c r="S156" s="31">
        <f t="shared" si="73"/>
        <v>1</v>
      </c>
      <c r="T156" s="46" t="str">
        <f t="shared" si="64"/>
        <v>Southbound</v>
      </c>
      <c r="U156" s="186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87" t="str">
        <f t="shared" si="75"/>
        <v>https://d0f6bd738d7f1b3e5a7ca70fe4ff75f0.us-east-1.aws.found.io/app/kibana#/discover/Steve-Slow-Train-Analysis-(2080s-and-2083s)?_g=(refreshInterval:(display:Off,pause:!f,section:0,value:0),time:(from:'2017-02-20T23:15:17-0700',mode:absolute,to:'2017-02-21T02:05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6" s="188" t="str">
        <f t="shared" si="65"/>
        <v>N</v>
      </c>
      <c r="X156" s="188">
        <f t="shared" si="82"/>
        <v>1</v>
      </c>
      <c r="Y156" s="62">
        <f t="shared" si="66"/>
        <v>23.299399999999999</v>
      </c>
      <c r="Z156" s="62">
        <f t="shared" si="67"/>
        <v>1.5800000000000002E-2</v>
      </c>
      <c r="AA156" s="62">
        <f t="shared" si="68"/>
        <v>23.2836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 t="shared" si="69"/>
        <v>0240-20</v>
      </c>
      <c r="AE156" s="85" t="str">
        <f t="shared" si="76"/>
        <v>aws s3 cp s3://rtdc.mdm.uploadarchive.raw/RTDC4015/ "%USERPROFILE%\AppData\Local\Temp\OnboardLogs"\RTDC4015\2017-02-21 --exclude "*" --recursive --include "*20170221*" &amp; "%USERPROFILE%\Documents\GitHub\mrs-test-scripts\Headless Mode &amp; Sideloading\WalkAndUnGZ.bat" "%USERPROFILE%\AppData\Local\Temp\OnboardLogs"\RTDC4015\2017-02-21 &amp; aws s3 cp s3://rtdc.mdm.uploadarchive.raw/RTDC4015/ "%USERPROFILE%\AppData\Local\Temp\OnboardLogs"\RTDC4015\2017-02-22 --exclude "*" --recursive --include "*20170222*" &amp; "%USERPROFILE%\Documents\GitHub\mrs-test-scripts\Headless Mode &amp; Sideloading\WalkAndUnGZ.bat" "%USERPROFILE%\AppData\Local\Temp\OnboardLogs"\RTDC4015\2017-02-22</v>
      </c>
      <c r="AF156" s="82" t="str">
        <f t="shared" si="77"/>
        <v>"C:\Program Files (x86)\AstroGrep\AstroGrep.exe" /spath="%USERPROFILE%\AppData\Local\Temp\OnboardLogs" /stypes="app*4015*20170221*" /stext=" 08:.+((SYSTEM_STATE.+slice.+state.+changed )|(ment ac)|(multiple cpu faults)|(system.+state.+changed )|(\[timeout)|(PRM\|1\|D)|(kpr)|(kdp)|(\|lc)|(penalty))" /e /r /s</v>
      </c>
      <c r="AG156" s="1" t="str">
        <f t="shared" si="70"/>
        <v>EC</v>
      </c>
      <c r="AH156" s="86" t="str">
        <f t="shared" si="78"/>
        <v>"%USERPROFILE%\Documents\GitHub\eaglep3\Utilities\RefineRTDCRunTimes.py" --tripid 240-20 --locoid 4015 --swversion DE.1.0.9.0 --startMP 204:232994 --initTime 2017-02-21T00:15:17 --startdatetime 2017-02-21T00:26:21 --delay 1 --endMP 204:158 --enddatetime 2017-02-21T01:05:11 --enforcementcount 0 &gt;&gt;C:\Users\stu\Documents\GitHub\eaglep3-reporting\EC\2017-02-20-refined-times.txt</v>
      </c>
      <c r="AI156" s="108" t="str">
        <f t="shared" si="79"/>
        <v>echo {"issue":{"subject":"","project_id":79,"tracker_id":40,"status_id":1,"priority_id":2,"assigned_to_id":23,"start_date":"2017-02-21","description":"","custom_fields":[{"id":1,"name":"Subdivision","value":"EC"},{"id":4,"name":"Milepost","value":"0.0158"},{"id":17,"name":"Train ID","value":"240-20"},{"id":16,"name":"Locomotive ID","value":"4015"},{"id":130,"name":"Impact","value":""},{"id":150,"name":"Time of Event (Mountain Time)","value":"01:05:11"},{"id":151,"name":"Denver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48"/>
      <c r="AK156" s="48"/>
      <c r="AL156" s="48"/>
      <c r="AM156" s="154" t="str">
        <f t="shared" si="80"/>
        <v>start /low /b %USERPROFILE%\Documents\GitHub\eaglep3\Utilities\DownloadLogsFromS3.py --loco 4015 --day 2017-02-21</v>
      </c>
      <c r="AN156" s="163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"%USERPROFILE%\AppData\Local\Temp\OnboardLogs"\RTDC4015\*4015*20170221* | grep -SE "(Enforcement Action)|(\[TIMEOUT)|(CHR.+\|PRM\|1\|D.+(SWITCH|SIGNAL).+UNKNOWN)" - &gt;&gt; 2017-02-20-UncaughtWiMAX.txt</v>
      </c>
    </row>
    <row r="157" spans="1:91" s="20" customFormat="1" x14ac:dyDescent="0.25">
      <c r="A157" s="33" t="s">
        <v>688</v>
      </c>
      <c r="B157" s="7">
        <v>4020</v>
      </c>
      <c r="C157" s="21" t="s">
        <v>408</v>
      </c>
      <c r="D157" s="21" t="s">
        <v>227</v>
      </c>
      <c r="E157" s="13">
        <v>42786.983993055554</v>
      </c>
      <c r="F157" s="13">
        <v>42787.000497685185</v>
      </c>
      <c r="G157" s="7">
        <v>1</v>
      </c>
      <c r="H157" s="21" t="s">
        <v>412</v>
      </c>
      <c r="I157" s="13">
        <v>42787.024548611109</v>
      </c>
      <c r="J157" s="7">
        <v>0</v>
      </c>
      <c r="K157" s="98" t="str">
        <f t="shared" si="61"/>
        <v>4019/4020</v>
      </c>
      <c r="L157" s="21" t="str">
        <f>VLOOKUP(A157,'Trips&amp;Operators'!$C$1:$G$99999,5,FALSE)</f>
        <v>STAMBAUGH JAMES</v>
      </c>
      <c r="M157" s="6">
        <f t="shared" si="62"/>
        <v>2.4050925923802424E-2</v>
      </c>
      <c r="N157" s="7">
        <f t="shared" si="74"/>
        <v>34.633333330275491</v>
      </c>
      <c r="O157" s="7"/>
      <c r="P157" s="7"/>
      <c r="Q157" s="22"/>
      <c r="R157" s="22"/>
      <c r="S157" s="31">
        <f t="shared" si="73"/>
        <v>1</v>
      </c>
      <c r="T157" s="46" t="str">
        <f t="shared" si="64"/>
        <v>NorthBound</v>
      </c>
      <c r="U157" s="186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87" t="str">
        <f t="shared" si="75"/>
        <v>https://d0f6bd738d7f1b3e5a7ca70fe4ff75f0.us-east-1.aws.found.io/app/kibana#/discover/Steve-Slow-Train-Analysis-(2080s-and-2083s)?_g=(refreshInterval:(display:Off,pause:!f,section:0,value:0),time:(from:'2017-02-20T22:36:57-0700',mode:absolute,to:'2017-02-21T01:35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7" s="188" t="str">
        <f t="shared" si="65"/>
        <v>N</v>
      </c>
      <c r="X157" s="188">
        <f t="shared" si="82"/>
        <v>1</v>
      </c>
      <c r="Y157" s="62">
        <f t="shared" si="66"/>
        <v>4.5699999999999998E-2</v>
      </c>
      <c r="Z157" s="62">
        <f t="shared" si="67"/>
        <v>23.332599999999999</v>
      </c>
      <c r="AA157" s="62">
        <f t="shared" si="68"/>
        <v>23.286899999999999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 t="shared" si="69"/>
        <v>0241-20</v>
      </c>
      <c r="AE157" s="85" t="str">
        <f t="shared" si="76"/>
        <v>aws s3 cp s3://rtdc.mdm.uploadarchive.raw/RTDC4020/ "%USERPROFILE%\AppData\Local\Temp\OnboardLogs"\RTDC4020\2017-02-21 --exclude "*" --recursive --include "*20170221*" &amp; "%USERPROFILE%\Documents\GitHub\mrs-test-scripts\Headless Mode &amp; Sideloading\WalkAndUnGZ.bat" "%USERPROFILE%\AppData\Local\Temp\OnboardLogs"\RTDC4020\2017-02-21 &amp; aws s3 cp s3://rtdc.mdm.uploadarchive.raw/RTDC4020/ "%USERPROFILE%\AppData\Local\Temp\OnboardLogs"\RTDC4020\2017-02-22 --exclude "*" --recursive --include "*20170222*" &amp; "%USERPROFILE%\Documents\GitHub\mrs-test-scripts\Headless Mode &amp; Sideloading\WalkAndUnGZ.bat" "%USERPROFILE%\AppData\Local\Temp\OnboardLogs"\RTDC4020\2017-02-22</v>
      </c>
      <c r="AF157" s="82" t="str">
        <f t="shared" si="77"/>
        <v>"C:\Program Files (x86)\AstroGrep\AstroGrep.exe" /spath="%USERPROFILE%\AppData\Local\Temp\OnboardLogs" /stypes="app*4020*20170221*" /stext=" 07:.+((SYSTEM_STATE.+slice.+state.+changed )|(ment ac)|(multiple cpu faults)|(system.+state.+changed )|(\[timeout)|(PRM\|1\|D)|(kpr)|(kdp)|(\|lc)|(penalty))" /e /r /s</v>
      </c>
      <c r="AG157" s="1" t="str">
        <f t="shared" si="70"/>
        <v>EC</v>
      </c>
      <c r="AH157" s="86" t="str">
        <f t="shared" si="78"/>
        <v>"%USERPROFILE%\Documents\GitHub\eaglep3\Utilities\RefineRTDCRunTimes.py" --tripid 241-20 --locoid 4020 --swversion DE.1.0.9.0 --startMP 204:457 --initTime 2017-02-20T23:36:57 --startdatetime 2017-02-21T00:00:43 --delay 1 --endMP 204:233326 --enddatetime 2017-02-21T00:35:21 --enforcementcount 0 &gt;&gt;C:\Users\stu\Documents\GitHub\eaglep3-reporting\EC\2017-02-20-refined-times.txt</v>
      </c>
      <c r="AI157" s="108" t="str">
        <f t="shared" si="79"/>
        <v>echo {"issue":{"subject":"","project_id":79,"tracker_id":40,"status_id":1,"priority_id":2,"assigned_to_id":23,"start_date":"2017-02-21","description":"","custom_fields":[{"id":1,"name":"Subdivision","value":"EC"},{"id":4,"name":"Milepost","value":"23.3326"},{"id":17,"name":"Train ID","value":"241-20"},{"id":16,"name":"Locomotive ID","value":"4020"},{"id":130,"name":"Impact","value":""},{"id":150,"name":"Time of Event (Mountain Time)","value":"00:35:21"},{"id":151,"name":"Denver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48"/>
      <c r="AK157" s="48"/>
      <c r="AL157" s="48"/>
      <c r="AM157" s="154" t="str">
        <f t="shared" si="80"/>
        <v>start /low /b %USERPROFILE%\Documents\GitHub\eaglep3\Utilities\DownloadLogsFromS3.py --loco 4020 --day 2017-02-21</v>
      </c>
      <c r="AN157" s="163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"%USERPROFILE%\AppData\Local\Temp\OnboardLogs"\RTDC4020\*4020*20170221* | grep -SE "(Enforcement Action)|(\[TIMEOUT)|(CHR.+\|PRM\|1\|D.+(SWITCH|SIGNAL).+UNKNOWN)" - &gt;&gt; 2017-02-20-UncaughtWiMAX.txt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x14ac:dyDescent="0.25">
      <c r="A158" s="33" t="s">
        <v>693</v>
      </c>
      <c r="B158" s="7">
        <v>4019</v>
      </c>
      <c r="C158" s="21" t="s">
        <v>408</v>
      </c>
      <c r="D158" s="21" t="s">
        <v>416</v>
      </c>
      <c r="E158" s="13">
        <v>42787.037754629629</v>
      </c>
      <c r="F158" s="13">
        <v>42787.039259259262</v>
      </c>
      <c r="G158" s="7">
        <v>1</v>
      </c>
      <c r="H158" s="21" t="s">
        <v>766</v>
      </c>
      <c r="I158" s="13">
        <v>42787.067835648151</v>
      </c>
      <c r="J158" s="7">
        <v>0</v>
      </c>
      <c r="K158" s="98" t="str">
        <f t="shared" si="61"/>
        <v>4019/4020</v>
      </c>
      <c r="L158" s="21" t="str">
        <f>VLOOKUP(A158,'Trips&amp;Operators'!$C$1:$G$99999,5,FALSE)</f>
        <v>STAMBAUGH JAMES</v>
      </c>
      <c r="M158" s="6">
        <f t="shared" si="62"/>
        <v>2.8576388889632653E-2</v>
      </c>
      <c r="N158" s="7">
        <f t="shared" si="74"/>
        <v>41.150000001071021</v>
      </c>
      <c r="O158" s="7"/>
      <c r="P158" s="7"/>
      <c r="Q158" s="22"/>
      <c r="R158" s="22"/>
      <c r="S158" s="31">
        <f t="shared" si="73"/>
        <v>1</v>
      </c>
      <c r="T158" s="46" t="str">
        <f t="shared" si="64"/>
        <v>Southbound</v>
      </c>
      <c r="U158" s="186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87" t="str">
        <f t="shared" si="75"/>
        <v>https://d0f6bd738d7f1b3e5a7ca70fe4ff75f0.us-east-1.aws.found.io/app/kibana#/discover/Steve-Slow-Train-Analysis-(2080s-and-2083s)?_g=(refreshInterval:(display:Off,pause:!f,section:0,value:0),time:(from:'2017-02-20T23:54:22-0700',mode:absolute,to:'2017-02-21T02:37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8" s="188" t="str">
        <f t="shared" si="65"/>
        <v>N</v>
      </c>
      <c r="X158" s="188">
        <f t="shared" si="82"/>
        <v>1</v>
      </c>
      <c r="Y158" s="62">
        <f t="shared" si="66"/>
        <v>23.3017</v>
      </c>
      <c r="Z158" s="62">
        <f t="shared" si="67"/>
        <v>3.8699999999999998E-2</v>
      </c>
      <c r="AA158" s="62">
        <f t="shared" si="68"/>
        <v>23.263000000000002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 t="shared" si="69"/>
        <v>0242-20</v>
      </c>
      <c r="AE158" s="85" t="str">
        <f t="shared" si="76"/>
        <v>aws s3 cp s3://rtdc.mdm.uploadarchive.raw/RTDC4019/ "%USERPROFILE%\AppData\Local\Temp\OnboardLogs"\RTDC4019\2017-02-21 --exclude "*" --recursive --include "*20170221*" &amp; "%USERPROFILE%\Documents\GitHub\mrs-test-scripts\Headless Mode &amp; Sideloading\WalkAndUnGZ.bat" "%USERPROFILE%\AppData\Local\Temp\OnboardLogs"\RTDC4019\2017-02-21 &amp; aws s3 cp s3://rtdc.mdm.uploadarchive.raw/RTDC4019/ "%USERPROFILE%\AppData\Local\Temp\OnboardLogs"\RTDC4019\2017-02-22 --exclude "*" --recursive --include "*20170222*" &amp; "%USERPROFILE%\Documents\GitHub\mrs-test-scripts\Headless Mode &amp; Sideloading\WalkAndUnGZ.bat" "%USERPROFILE%\AppData\Local\Temp\OnboardLogs"\RTDC4019\2017-02-22</v>
      </c>
      <c r="AF158" s="82" t="str">
        <f t="shared" si="77"/>
        <v>"C:\Program Files (x86)\AstroGrep\AstroGrep.exe" /spath="%USERPROFILE%\AppData\Local\Temp\OnboardLogs" /stypes="app*4019*20170221*" /stext=" 08:.+((SYSTEM_STATE.+slice.+state.+changed )|(ment ac)|(multiple cpu faults)|(system.+state.+changed )|(\[timeout)|(PRM\|1\|D)|(kpr)|(kdp)|(\|lc)|(penalty))" /e /r /s</v>
      </c>
      <c r="AG158" s="1" t="str">
        <f t="shared" si="70"/>
        <v>EC</v>
      </c>
      <c r="AH158" s="86" t="str">
        <f t="shared" si="78"/>
        <v>"%USERPROFILE%\Documents\GitHub\eaglep3\Utilities\RefineRTDCRunTimes.py" --tripid 242-20 --locoid 4019 --swversion DE.1.0.9.0 --startMP 204:233017 --initTime 2017-02-21T00:54:22 --startdatetime 2017-02-21T00:56:32 --delay 1 --endMP 204:387 --enddatetime 2017-02-21T01:37:41 --enforcementcount 0 &gt;&gt;C:\Users\stu\Documents\GitHub\eaglep3-reporting\EC\2017-02-20-refined-times.txt</v>
      </c>
      <c r="AI158" s="108" t="str">
        <f t="shared" si="79"/>
        <v>echo {"issue":{"subject":"","project_id":79,"tracker_id":40,"status_id":1,"priority_id":2,"assigned_to_id":23,"start_date":"2017-02-21","description":"","custom_fields":[{"id":1,"name":"Subdivision","value":"EC"},{"id":4,"name":"Milepost","value":"0.0387"},{"id":17,"name":"Train ID","value":"242-20"},{"id":16,"name":"Locomotive ID","value":"4019"},{"id":130,"name":"Impact","value":""},{"id":150,"name":"Time of Event (Mountain Time)","value":"01:37:41"},{"id":151,"name":"Denver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48"/>
      <c r="AK158" s="48"/>
      <c r="AL158" s="48"/>
      <c r="AM158" s="154" t="str">
        <f t="shared" si="80"/>
        <v>start /low /b %USERPROFILE%\Documents\GitHub\eaglep3\Utilities\DownloadLogsFromS3.py --loco 4019 --day 2017-02-21</v>
      </c>
      <c r="AN158" s="163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"%USERPROFILE%\AppData\Local\Temp\OnboardLogs"\RTDC4019\*4019*20170221* | grep -SE "(Enforcement Action)|(\[TIMEOUT)|(CHR.+\|PRM\|1\|D.+(SWITCH|SIGNAL).+UNKNOWN)" - &gt;&gt; 2017-02-20-UncaughtWiMAX.txt</v>
      </c>
    </row>
    <row r="159" spans="1:91" x14ac:dyDescent="0.25">
      <c r="A159" s="33" t="s">
        <v>691</v>
      </c>
      <c r="B159" s="7">
        <v>4046</v>
      </c>
      <c r="C159" s="21" t="s">
        <v>408</v>
      </c>
      <c r="D159" s="21" t="s">
        <v>258</v>
      </c>
      <c r="E159" s="13">
        <v>42787.010891203703</v>
      </c>
      <c r="F159" s="13">
        <v>42787.021307870367</v>
      </c>
      <c r="G159" s="7">
        <v>1</v>
      </c>
      <c r="H159" s="21" t="s">
        <v>767</v>
      </c>
      <c r="I159" s="13">
        <v>42787.046458333331</v>
      </c>
      <c r="J159" s="7">
        <v>0</v>
      </c>
      <c r="K159" s="98" t="str">
        <f t="shared" si="61"/>
        <v>4045/4046</v>
      </c>
      <c r="L159" s="21" t="str">
        <f>VLOOKUP(A159,'Trips&amp;Operators'!$C$1:$G$99999,5,FALSE)</f>
        <v>STORY SAMANTHA</v>
      </c>
      <c r="M159" s="6">
        <f t="shared" si="62"/>
        <v>2.5150462963210884E-2</v>
      </c>
      <c r="N159" s="7">
        <f t="shared" si="74"/>
        <v>36.216666667023674</v>
      </c>
      <c r="O159" s="7"/>
      <c r="P159" s="7"/>
      <c r="Q159" s="22"/>
      <c r="R159" s="22"/>
      <c r="S159" s="31">
        <f t="shared" si="73"/>
        <v>1</v>
      </c>
      <c r="T159" s="46" t="str">
        <f t="shared" si="64"/>
        <v>NorthBound</v>
      </c>
      <c r="U159" s="186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87" t="str">
        <f t="shared" si="75"/>
        <v>https://d0f6bd738d7f1b3e5a7ca70fe4ff75f0.us-east-1.aws.found.io/app/kibana#/discover/Steve-Slow-Train-Analysis-(2080s-and-2083s)?_g=(refreshInterval:(display:Off,pause:!f,section:0,value:0),time:(from:'2017-02-20T23:15:41-0700',mode:absolute,to:'2017-02-21T02:06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9" s="188" t="str">
        <f t="shared" si="65"/>
        <v>N</v>
      </c>
      <c r="X159" s="188">
        <f t="shared" si="82"/>
        <v>1</v>
      </c>
      <c r="Y159" s="62">
        <f t="shared" si="66"/>
        <v>4.5499999999999999E-2</v>
      </c>
      <c r="Z159" s="62">
        <f t="shared" si="67"/>
        <v>23.324200000000001</v>
      </c>
      <c r="AA159" s="62">
        <f t="shared" si="68"/>
        <v>23.278700000000001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 t="shared" si="69"/>
        <v>0243-20</v>
      </c>
      <c r="AE159" s="85" t="str">
        <f t="shared" si="76"/>
        <v>aws s3 cp s3://rtdc.mdm.uploadarchive.raw/RTDC4046/ "%USERPROFILE%\AppData\Local\Temp\OnboardLogs"\RTDC4046\2017-02-21 --exclude "*" --recursive --include "*20170221*" &amp; "%USERPROFILE%\Documents\GitHub\mrs-test-scripts\Headless Mode &amp; Sideloading\WalkAndUnGZ.bat" "%USERPROFILE%\AppData\Local\Temp\OnboardLogs"\RTDC4046\2017-02-21 &amp; aws s3 cp s3://rtdc.mdm.uploadarchive.raw/RTDC4046/ "%USERPROFILE%\AppData\Local\Temp\OnboardLogs"\RTDC4046\2017-02-22 --exclude "*" --recursive --include "*20170222*" &amp; "%USERPROFILE%\Documents\GitHub\mrs-test-scripts\Headless Mode &amp; Sideloading\WalkAndUnGZ.bat" "%USERPROFILE%\AppData\Local\Temp\OnboardLogs"\RTDC4046\2017-02-22</v>
      </c>
      <c r="AF159" s="82" t="str">
        <f t="shared" si="77"/>
        <v>"C:\Program Files (x86)\AstroGrep\AstroGrep.exe" /spath="%USERPROFILE%\AppData\Local\Temp\OnboardLogs" /stypes="app*4046*20170221*" /stext=" 08:.+((SYSTEM_STATE.+slice.+state.+changed )|(ment ac)|(multiple cpu faults)|(system.+state.+changed )|(\[timeout)|(PRM\|1\|D)|(kpr)|(kdp)|(\|lc)|(penalty))" /e /r /s</v>
      </c>
      <c r="AG159" s="1" t="str">
        <f t="shared" si="70"/>
        <v>EC</v>
      </c>
      <c r="AH159" s="86" t="str">
        <f t="shared" si="78"/>
        <v>"%USERPROFILE%\Documents\GitHub\eaglep3\Utilities\RefineRTDCRunTimes.py" --tripid 243-20 --locoid 4046 --swversion DE.1.0.9.0 --startMP 204:455 --initTime 2017-02-21T00:15:41 --startdatetime 2017-02-21T00:30:41 --delay 1 --endMP 204:233242 --enddatetime 2017-02-21T01:06:54 --enforcementcount 0 &gt;&gt;C:\Users\stu\Documents\GitHub\eaglep3-reporting\EC\2017-02-20-refined-times.txt</v>
      </c>
      <c r="AI159" s="108" t="str">
        <f t="shared" si="79"/>
        <v>echo {"issue":{"subject":"","project_id":79,"tracker_id":40,"status_id":1,"priority_id":2,"assigned_to_id":23,"start_date":"2017-02-21","description":"","custom_fields":[{"id":1,"name":"Subdivision","value":"EC"},{"id":4,"name":"Milepost","value":"23.3242"},{"id":17,"name":"Train ID","value":"243-20"},{"id":16,"name":"Locomotive ID","value":"4046"},{"id":130,"name":"Impact","value":""},{"id":150,"name":"Time of Event (Mountain Time)","value":"01:06:54"},{"id":151,"name":"Denver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48"/>
      <c r="AK159" s="48"/>
      <c r="AL159" s="48"/>
      <c r="AM159" s="154" t="str">
        <f t="shared" si="80"/>
        <v>start /low /b %USERPROFILE%\Documents\GitHub\eaglep3\Utilities\DownloadLogsFromS3.py --loco 4046 --day 2017-02-21</v>
      </c>
      <c r="AN159" s="163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"%USERPROFILE%\AppData\Local\Temp\OnboardLogs"\RTDC4046\*4046*20170221* | grep -SE "(Enforcement Action)|(\[TIMEOUT)|(CHR.+\|PRM\|1\|D.+(SWITCH|SIGNAL).+UNKNOWN)" - &gt;&gt; 2017-02-20-UncaughtWiMAX.txt</v>
      </c>
    </row>
    <row r="160" spans="1:91" x14ac:dyDescent="0.25">
      <c r="A160" s="33" t="s">
        <v>695</v>
      </c>
      <c r="B160" s="7">
        <v>4045</v>
      </c>
      <c r="C160" s="21" t="s">
        <v>408</v>
      </c>
      <c r="D160" s="21" t="s">
        <v>768</v>
      </c>
      <c r="E160" s="13">
        <v>42787.051678240743</v>
      </c>
      <c r="F160" s="13">
        <v>42787.059907407405</v>
      </c>
      <c r="G160" s="7">
        <v>1</v>
      </c>
      <c r="H160" s="21" t="s">
        <v>269</v>
      </c>
      <c r="I160" s="13">
        <v>42787.087048611109</v>
      </c>
      <c r="J160" s="7">
        <v>0</v>
      </c>
      <c r="K160" s="98" t="str">
        <f t="shared" si="61"/>
        <v>4045/4046</v>
      </c>
      <c r="L160" s="21" t="str">
        <f>VLOOKUP(A160,'Trips&amp;Operators'!$C$1:$G$99999,5,FALSE)</f>
        <v>STORY SAMANTHA</v>
      </c>
      <c r="M160" s="6">
        <f t="shared" si="62"/>
        <v>2.7141203703649808E-2</v>
      </c>
      <c r="N160" s="7">
        <f t="shared" si="74"/>
        <v>39.083333333255723</v>
      </c>
      <c r="O160" s="7"/>
      <c r="P160" s="7"/>
      <c r="Q160" s="22"/>
      <c r="R160" s="22"/>
      <c r="S160" s="31">
        <f t="shared" si="73"/>
        <v>1</v>
      </c>
      <c r="T160" s="46" t="str">
        <f t="shared" si="64"/>
        <v>Southbound</v>
      </c>
      <c r="U160" s="186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187" t="str">
        <f t="shared" si="75"/>
        <v>https://d0f6bd738d7f1b3e5a7ca70fe4ff75f0.us-east-1.aws.found.io/app/kibana#/discover/Steve-Slow-Train-Analysis-(2080s-and-2083s)?_g=(refreshInterval:(display:Off,pause:!f,section:0,value:0),time:(from:'2017-02-21T00:14:25-0700',mode:absolute,to:'2017-02-21T03:05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0" s="188" t="str">
        <f t="shared" si="65"/>
        <v>N</v>
      </c>
      <c r="X160" s="188">
        <f t="shared" si="82"/>
        <v>1</v>
      </c>
      <c r="Y160" s="62">
        <f t="shared" si="66"/>
        <v>23.2913</v>
      </c>
      <c r="Z160" s="62">
        <f t="shared" si="67"/>
        <v>1.61E-2</v>
      </c>
      <c r="AA160" s="62">
        <f t="shared" si="68"/>
        <v>23.275199999999998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 t="shared" si="69"/>
        <v>0244-20</v>
      </c>
      <c r="AE160" s="85" t="str">
        <f t="shared" si="76"/>
        <v>aws s3 cp s3://rtdc.mdm.uploadarchive.raw/RTDC4045/ "%USERPROFILE%\AppData\Local\Temp\OnboardLogs"\RTDC4045\2017-02-21 --exclude "*" --recursive --include "*20170221*" &amp; "%USERPROFILE%\Documents\GitHub\mrs-test-scripts\Headless Mode &amp; Sideloading\WalkAndUnGZ.bat" "%USERPROFILE%\AppData\Local\Temp\OnboardLogs"\RTDC4045\2017-02-21 &amp; aws s3 cp s3://rtdc.mdm.uploadarchive.raw/RTDC4045/ "%USERPROFILE%\AppData\Local\Temp\OnboardLogs"\RTDC4045\2017-02-22 --exclude "*" --recursive --include "*20170222*" &amp; "%USERPROFILE%\Documents\GitHub\mrs-test-scripts\Headless Mode &amp; Sideloading\WalkAndUnGZ.bat" "%USERPROFILE%\AppData\Local\Temp\OnboardLogs"\RTDC4045\2017-02-22</v>
      </c>
      <c r="AF160" s="82" t="str">
        <f t="shared" si="77"/>
        <v>"C:\Program Files (x86)\AstroGrep\AstroGrep.exe" /spath="%USERPROFILE%\AppData\Local\Temp\OnboardLogs" /stypes="app*4045*20170221*" /stext=" 09:.+((SYSTEM_STATE.+slice.+state.+changed )|(ment ac)|(multiple cpu faults)|(system.+state.+changed )|(\[timeout)|(PRM\|1\|D)|(kpr)|(kdp)|(\|lc)|(penalty))" /e /r /s</v>
      </c>
      <c r="AG160" s="1" t="str">
        <f t="shared" si="70"/>
        <v>EC</v>
      </c>
      <c r="AH160" s="86" t="str">
        <f t="shared" si="78"/>
        <v>"%USERPROFILE%\Documents\GitHub\eaglep3\Utilities\RefineRTDCRunTimes.py" --tripid 244-20 --locoid 4045 --swversion DE.1.0.9.0 --startMP 204:232913 --initTime 2017-02-21T01:14:25 --startdatetime 2017-02-21T01:26:16 --delay 1 --endMP 204:161 --enddatetime 2017-02-21T02:05:21 --enforcementcount 0 &gt;&gt;C:\Users\stu\Documents\GitHub\eaglep3-reporting\EC\2017-02-20-refined-times.txt</v>
      </c>
      <c r="AI160" s="108" t="str">
        <f t="shared" si="79"/>
        <v>echo {"issue":{"subject":"","project_id":79,"tracker_id":40,"status_id":1,"priority_id":2,"assigned_to_id":23,"start_date":"2017-02-21","description":"","custom_fields":[{"id":1,"name":"Subdivision","value":"EC"},{"id":4,"name":"Milepost","value":"0.0161"},{"id":17,"name":"Train ID","value":"244-20"},{"id":16,"name":"Locomotive ID","value":"4045"},{"id":130,"name":"Impact","value":""},{"id":150,"name":"Time of Event (Mountain Time)","value":"02:05:21"},{"id":151,"name":"Denver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48"/>
      <c r="AK160" s="48"/>
      <c r="AL160" s="48"/>
      <c r="AM160" s="154" t="str">
        <f t="shared" si="80"/>
        <v>start /low /b %USERPROFILE%\Documents\GitHub\eaglep3\Utilities\DownloadLogsFromS3.py --loco 4045 --day 2017-02-21</v>
      </c>
      <c r="AN160" s="163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"%USERPROFILE%\AppData\Local\Temp\OnboardLogs"\RTDC4045\*4045*20170221* | grep -SE "(Enforcement Action)|(\[TIMEOUT)|(CHR.+\|PRM\|1\|D.+(SWITCH|SIGNAL).+UNKNOWN)" - &gt;&gt; 2017-02-20-UncaughtWiMAX.txt</v>
      </c>
    </row>
    <row r="161" spans="1:91" s="20" customFormat="1" x14ac:dyDescent="0.25">
      <c r="A161" s="33" t="s">
        <v>509</v>
      </c>
      <c r="B161" s="7">
        <v>4021</v>
      </c>
      <c r="C161" s="21" t="s">
        <v>408</v>
      </c>
      <c r="D161" s="21" t="s">
        <v>433</v>
      </c>
      <c r="E161" s="13">
        <v>42786.211840277778</v>
      </c>
      <c r="F161" s="13">
        <v>42786.213425925926</v>
      </c>
      <c r="G161" s="7">
        <v>1</v>
      </c>
      <c r="H161" s="21" t="s">
        <v>797</v>
      </c>
      <c r="I161" s="13">
        <v>42786.225856481484</v>
      </c>
      <c r="J161" s="7">
        <v>0</v>
      </c>
      <c r="K161" s="98" t="str">
        <f t="shared" si="61"/>
        <v>4021/4022</v>
      </c>
      <c r="L161" s="21" t="str">
        <f>VLOOKUP(A161,'Trips&amp;Operators'!$C$1:$G$99999,5,FALSE)</f>
        <v>SWANSON BRYCE</v>
      </c>
      <c r="M161" s="6">
        <f t="shared" si="62"/>
        <v>1.2430555558239575E-2</v>
      </c>
      <c r="N161" s="7">
        <f t="shared" si="74"/>
        <v>17.900000003864989</v>
      </c>
      <c r="O161" s="7"/>
      <c r="P161" s="7"/>
      <c r="Q161" s="22"/>
      <c r="R161" s="22"/>
      <c r="S161" s="31">
        <f t="shared" si="73"/>
        <v>1</v>
      </c>
      <c r="T161" s="46" t="str">
        <f t="shared" si="64"/>
        <v>Southbound</v>
      </c>
      <c r="U161" s="186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7" t="str">
        <f t="shared" si="75"/>
        <v>https://d0f6bd738d7f1b3e5a7ca70fe4ff75f0.us-east-1.aws.found.io/app/kibana#/discover/Steve-Slow-Train-Analysis-(2080s-and-2083s)?_g=(refreshInterval:(display:Off,pause:!f,section:0,value:0),time:(from:'2017-02-20T04:05:03-0700',mode:absolute,to:'2017-02-20T06:25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1" s="188" t="str">
        <f t="shared" si="65"/>
        <v>N</v>
      </c>
      <c r="X161" s="188">
        <f t="shared" si="82"/>
        <v>556</v>
      </c>
      <c r="Y161" s="62">
        <f t="shared" si="66"/>
        <v>5.8620999999999999</v>
      </c>
      <c r="Z161" s="62">
        <f t="shared" si="67"/>
        <v>6.6799999999999998E-2</v>
      </c>
      <c r="AA161" s="62">
        <f t="shared" si="68"/>
        <v>5.7953000000000001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 t="shared" si="69"/>
        <v>0800-20</v>
      </c>
      <c r="AE161" s="85" t="str">
        <f t="shared" si="76"/>
        <v>aws s3 cp s3://rtdc.mdm.uploadarchive.raw/RTDC4021/ "%USERPROFILE%\AppData\Local\Temp\OnboardLogs"\RTDC4021\2017-02-20 --exclude "*" --recursive --include "*20170220*" &amp; "%USERPROFILE%\Documents\GitHub\mrs-test-scripts\Headless Mode &amp; Sideloading\WalkAndUnGZ.bat" "%USERPROFILE%\AppData\Local\Temp\OnboardLogs"\RTDC4021\2017-02-20 &amp; aws s3 cp s3://rtdc.mdm.uploadarchive.raw/RTDC4021/ "%USERPROFILE%\AppData\Local\Temp\OnboardLogs"\RTDC4021\2017-02-21 --exclude "*" --recursive --include "*20170221*" &amp; "%USERPROFILE%\Documents\GitHub\mrs-test-scripts\Headless Mode &amp; Sideloading\WalkAndUnGZ.bat" "%USERPROFILE%\AppData\Local\Temp\OnboardLogs"\RTDC4021\2017-02-21</v>
      </c>
      <c r="AF161" s="82" t="str">
        <f t="shared" si="77"/>
        <v>"C:\Program Files (x86)\AstroGrep\AstroGrep.exe" /spath="%USERPROFILE%\AppData\Local\Temp\OnboardLogs" /stypes="app*4021*20170220*" /stext=" 12:.+((SYSTEM_STATE.+slice.+state.+changed )|(ment ac)|(multiple cpu faults)|(system.+state.+changed )|(\[timeout)|(PRM\|1\|D)|(kpr)|(kdp)|(\|lc)|(penalty))" /e /r /s</v>
      </c>
      <c r="AG161" s="1" t="str">
        <f t="shared" si="70"/>
        <v>NW</v>
      </c>
      <c r="AH161" s="86" t="str">
        <f t="shared" si="78"/>
        <v>"%USERPROFILE%\Documents\GitHub\eaglep3\Utilities\RefineRTDCRunTimes.py" --tripid 800-20 --locoid 4021 --swversion DE.1.0.9.0 --startMP 300:58621 --initTime 2017-02-20T05:05:03 --startdatetime 2017-02-20T05:07:20 --delay 1 --endMP 204:668 --enddatetime 2017-02-20T05:25:14 --enforcementcount 0 &gt;&gt;C:\Users\stu\Documents\GitHub\eaglep3-reporting\EC\2017-02-20-refined-times.txt</v>
      </c>
      <c r="AI161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{"issue":{"subject":"","project_id":79,"tracker_id":40,"status_id":1,"priority_id":2,"assigned_to_id":23,"start_date":"2017-02-20","description":"","custom_fields":[{"id":1,"name":"Subdivision","value":"NW"},{"id":4,"name":"Milepost","value":"0.0668"},{"id":17,"name":"Train ID","value":"800-20"},{"id":16,"name":"Locomotive ID","value":"4021"},{"id":130,"name":"Impact","value":""},{"id":150,"name":"Time of Event (Mountain Time)","value":"05:25:14"},{"id":151,"name":"Denver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48"/>
      <c r="AK161" s="48"/>
      <c r="AL161" s="48"/>
      <c r="AM161" s="154" t="str">
        <f t="shared" si="80"/>
        <v>start /low /b %USERPROFILE%\Documents\GitHub\eaglep3\Utilities\DownloadLogsFromS3.py --loco 4021 --day 2017-02-20</v>
      </c>
      <c r="AN161" s="163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"%USERPROFILE%\AppData\Local\Temp\OnboardLogs"\RTDC4021\*4021*20170220* | grep -SE "(Enforcement Action)|(\[TIMEOUT)|(CHR.+\|PRM\|1\|D.+(SWITCH|SIGNAL).+UNKNOWN)" - &gt;&gt; 2017-02-20-UncaughtWiMAX.txt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3" t="s">
        <v>513</v>
      </c>
      <c r="B162" s="7">
        <v>4022</v>
      </c>
      <c r="C162" s="21" t="s">
        <v>408</v>
      </c>
      <c r="D162" s="21" t="s">
        <v>798</v>
      </c>
      <c r="E162" s="13">
        <v>42786.227824074071</v>
      </c>
      <c r="F162" s="13">
        <v>42786.244062500002</v>
      </c>
      <c r="G162" s="7">
        <v>1</v>
      </c>
      <c r="H162" s="21" t="s">
        <v>799</v>
      </c>
      <c r="I162" s="13">
        <v>42786.253599537034</v>
      </c>
      <c r="J162" s="7">
        <v>0</v>
      </c>
      <c r="K162" s="98" t="str">
        <f t="shared" si="61"/>
        <v>4021/4022</v>
      </c>
      <c r="L162" s="21" t="str">
        <f>VLOOKUP(A162,'Trips&amp;Operators'!$C$1:$G$99999,5,FALSE)</f>
        <v>SWANSON BRYCE</v>
      </c>
      <c r="M162" s="6">
        <f t="shared" si="62"/>
        <v>9.5370370327145793E-3</v>
      </c>
      <c r="N162" s="7">
        <f t="shared" si="74"/>
        <v>13.733333327108994</v>
      </c>
      <c r="O162" s="7"/>
      <c r="P162" s="7"/>
      <c r="Q162" s="22"/>
      <c r="R162" s="22"/>
      <c r="S162" s="31">
        <f t="shared" si="73"/>
        <v>1</v>
      </c>
      <c r="T162" s="46" t="str">
        <f t="shared" si="64"/>
        <v>NorthBound</v>
      </c>
      <c r="U162" s="186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7" t="str">
        <f t="shared" si="75"/>
        <v>https://d0f6bd738d7f1b3e5a7ca70fe4ff75f0.us-east-1.aws.found.io/app/kibana#/discover/Steve-Slow-Train-Analysis-(2080s-and-2083s)?_g=(refreshInterval:(display:Off,pause:!f,section:0,value:0),time:(from:'2017-02-20T04:28:04-0700',mode:absolute,to:'2017-02-20T07:05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2" s="188" t="str">
        <f t="shared" si="65"/>
        <v>N</v>
      </c>
      <c r="X162" s="188">
        <f t="shared" si="82"/>
        <v>1</v>
      </c>
      <c r="Y162" s="62">
        <f t="shared" si="66"/>
        <v>9.5699999999999993E-2</v>
      </c>
      <c r="Z162" s="62">
        <f t="shared" si="67"/>
        <v>5.8930999999999996</v>
      </c>
      <c r="AA162" s="62">
        <f t="shared" si="68"/>
        <v>5.7973999999999997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 t="shared" si="69"/>
        <v>0801-20</v>
      </c>
      <c r="AE162" s="85" t="str">
        <f t="shared" si="76"/>
        <v>aws s3 cp s3://rtdc.mdm.uploadarchive.raw/RTDC4022/ "%USERPROFILE%\AppData\Local\Temp\OnboardLogs"\RTDC4022\2017-02-20 --exclude "*" --recursive --include "*20170220*" &amp; "%USERPROFILE%\Documents\GitHub\mrs-test-scripts\Headless Mode &amp; Sideloading\WalkAndUnGZ.bat" "%USERPROFILE%\AppData\Local\Temp\OnboardLogs"\RTDC4022\2017-02-20 &amp; aws s3 cp s3://rtdc.mdm.uploadarchive.raw/RTDC4022/ "%USERPROFILE%\AppData\Local\Temp\OnboardLogs"\RTDC4022\2017-02-21 --exclude "*" --recursive --include "*20170221*" &amp; "%USERPROFILE%\Documents\GitHub\mrs-test-scripts\Headless Mode &amp; Sideloading\WalkAndUnGZ.bat" "%USERPROFILE%\AppData\Local\Temp\OnboardLogs"\RTDC4022\2017-02-21</v>
      </c>
      <c r="AF162" s="82" t="str">
        <f t="shared" si="77"/>
        <v>"C:\Program Files (x86)\AstroGrep\AstroGrep.exe" /spath="%USERPROFILE%\AppData\Local\Temp\OnboardLogs" /stypes="app*4022*20170220*" /stext=" 13:.+((SYSTEM_STATE.+slice.+state.+changed )|(ment ac)|(multiple cpu faults)|(system.+state.+changed )|(\[timeout)|(PRM\|1\|D)|(kpr)|(kdp)|(\|lc)|(penalty))" /e /r /s</v>
      </c>
      <c r="AG162" s="1" t="str">
        <f t="shared" si="70"/>
        <v>NW</v>
      </c>
      <c r="AH162" s="86" t="str">
        <f t="shared" si="78"/>
        <v>"%USERPROFILE%\Documents\GitHub\eaglep3\Utilities\RefineRTDCRunTimes.py" --tripid 801-20 --locoid 4022 --swversion DE.1.0.9.0 --startMP 204:957 --initTime 2017-02-20T05:28:04 --startdatetime 2017-02-20T05:51:27 --delay 1 --endMP 300:58931 --enddatetime 2017-02-20T06:05:11 --enforcementcount 0 &gt;&gt;C:\Users\stu\Documents\GitHub\eaglep3-reporting\EC\2017-02-20-refined-times.txt</v>
      </c>
      <c r="AI162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{"issue":{"subject":"","project_id":79,"tracker_id":40,"status_id":1,"priority_id":2,"assigned_to_id":23,"start_date":"2017-02-20","description":"","custom_fields":[{"id":1,"name":"Subdivision","value":"NW"},{"id":4,"name":"Milepost","value":"5.8931"},{"id":17,"name":"Train ID","value":"801-20"},{"id":16,"name":"Locomotive ID","value":"4022"},{"id":130,"name":"Impact","value":""},{"id":150,"name":"Time of Event (Mountain Time)","value":"06:05:11"},{"id":151,"name":"Denver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48"/>
      <c r="AK162" s="48"/>
      <c r="AL162" s="48"/>
      <c r="AM162" s="154" t="str">
        <f t="shared" si="80"/>
        <v>start /low /b %USERPROFILE%\Documents\GitHub\eaglep3\Utilities\DownloadLogsFromS3.py --loco 4022 --day 2017-02-20</v>
      </c>
      <c r="AN162" s="163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"%USERPROFILE%\AppData\Local\Temp\OnboardLogs"\RTDC4022\*4022*20170220* | grep -SE "(Enforcement Action)|(\[TIMEOUT)|(CHR.+\|PRM\|1\|D.+(SWITCH|SIGNAL).+UNKNOWN)" - &gt;&gt; 2017-02-20-UncaughtWiMAX.txt</v>
      </c>
    </row>
    <row r="163" spans="1:91" x14ac:dyDescent="0.25">
      <c r="A163" s="33" t="s">
        <v>519</v>
      </c>
      <c r="B163" s="7">
        <v>4021</v>
      </c>
      <c r="C163" s="21" t="s">
        <v>408</v>
      </c>
      <c r="D163" s="21" t="s">
        <v>433</v>
      </c>
      <c r="E163" s="13">
        <v>42786.254490740743</v>
      </c>
      <c r="F163" s="13">
        <v>42786.255810185183</v>
      </c>
      <c r="G163" s="7">
        <v>1</v>
      </c>
      <c r="H163" s="21" t="s">
        <v>800</v>
      </c>
      <c r="I163" s="13">
        <v>42786.267939814818</v>
      </c>
      <c r="J163" s="7">
        <v>0</v>
      </c>
      <c r="K163" s="98" t="str">
        <f t="shared" ref="K163:K226" si="83">IF(ISEVEN(B163),(B163-1)&amp;"/"&amp;B163,B163&amp;"/"&amp;(B163+1))</f>
        <v>4021/4022</v>
      </c>
      <c r="L163" s="21" t="str">
        <f>VLOOKUP(A163,'Trips&amp;Operators'!$C$1:$G$99999,5,FALSE)</f>
        <v>SWANSON BRYCE</v>
      </c>
      <c r="M163" s="6">
        <f t="shared" ref="M163:M226" si="84">I163-F163</f>
        <v>1.212962963472819E-2</v>
      </c>
      <c r="N163" s="7">
        <f t="shared" si="74"/>
        <v>17.466666674008593</v>
      </c>
      <c r="O163" s="7"/>
      <c r="P163" s="7"/>
      <c r="Q163" s="22"/>
      <c r="R163" s="22"/>
      <c r="S163" s="31">
        <f t="shared" ref="S163:S194" si="85">SUM(U163:U163)/IF(AG163="EC",12,1)</f>
        <v>1</v>
      </c>
      <c r="T163" s="46" t="str">
        <f t="shared" ref="T163:T226" si="86">IF(ISEVEN(LEFT(AD163,4)),"Southbound","NorthBound")</f>
        <v>Southbound</v>
      </c>
      <c r="U163" s="186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7" t="str">
        <f t="shared" si="75"/>
        <v>https://d0f6bd738d7f1b3e5a7ca70fe4ff75f0.us-east-1.aws.found.io/app/kibana#/discover/Steve-Slow-Train-Analysis-(2080s-and-2083s)?_g=(refreshInterval:(display:Off,pause:!f,section:0,value:0),time:(from:'2017-02-20T05:06:28-0700',mode:absolute,to:'2017-02-20T07:25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3" s="188" t="str">
        <f t="shared" ref="W163:W226" si="87">IF(AA163&lt;IF(AG163="EC",23,5.65),"Y","N")</f>
        <v>N</v>
      </c>
      <c r="X163" s="188">
        <f t="shared" si="82"/>
        <v>1</v>
      </c>
      <c r="Y163" s="62">
        <f t="shared" ref="Y163:Y226" si="88">RIGHT(D163,LEN(D163)-4)/10000</f>
        <v>5.8620999999999999</v>
      </c>
      <c r="Z163" s="62">
        <f t="shared" ref="Z163:Z226" si="89">RIGHT(H163,LEN(H163)-4)/10000</f>
        <v>6.7000000000000004E-2</v>
      </c>
      <c r="AA163" s="62">
        <f t="shared" ref="AA163:AA226" si="90">ABS(Z163-Y163)</f>
        <v>5.7950999999999997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 t="shared" ref="AD163:AD226" si="91">IF(LEN(A163)=6,"0"&amp;A163,A163)</f>
        <v>0802-20</v>
      </c>
      <c r="AE163" s="85" t="str">
        <f t="shared" si="76"/>
        <v>aws s3 cp s3://rtdc.mdm.uploadarchive.raw/RTDC4021/ "%USERPROFILE%\AppData\Local\Temp\OnboardLogs"\RTDC4021\2017-02-20 --exclude "*" --recursive --include "*20170220*" &amp; "%USERPROFILE%\Documents\GitHub\mrs-test-scripts\Headless Mode &amp; Sideloading\WalkAndUnGZ.bat" "%USERPROFILE%\AppData\Local\Temp\OnboardLogs"\RTDC4021\2017-02-20 &amp; aws s3 cp s3://rtdc.mdm.uploadarchive.raw/RTDC4021/ "%USERPROFILE%\AppData\Local\Temp\OnboardLogs"\RTDC4021\2017-02-21 --exclude "*" --recursive --include "*20170221*" &amp; "%USERPROFILE%\Documents\GitHub\mrs-test-scripts\Headless Mode &amp; Sideloading\WalkAndUnGZ.bat" "%USERPROFILE%\AppData\Local\Temp\OnboardLogs"\RTDC4021\2017-02-21</v>
      </c>
      <c r="AF163" s="82" t="str">
        <f t="shared" si="77"/>
        <v>"C:\Program Files (x86)\AstroGrep\AstroGrep.exe" /spath="%USERPROFILE%\AppData\Local\Temp\OnboardLogs" /stypes="app*4021*20170220*" /stext=" 13:.+((SYSTEM_STATE.+slice.+state.+changed )|(ment ac)|(multiple cpu faults)|(system.+state.+changed )|(\[timeout)|(PRM\|1\|D)|(kpr)|(kdp)|(\|lc)|(penalty))" /e /r /s</v>
      </c>
      <c r="AG163" s="1" t="str">
        <f t="shared" ref="AG163:AG226" si="92">IFERROR(IF(VALUE(LEFT(AD163,2))&lt;=2,"EC",IF(OR(VALUE(LEFT(AD163,2))=8,VALUE(LEFT(AD163,2))=18),"NW","Other")),"Other")</f>
        <v>NW</v>
      </c>
      <c r="AH163" s="86" t="str">
        <f t="shared" si="78"/>
        <v>"%USERPROFILE%\Documents\GitHub\eaglep3\Utilities\RefineRTDCRunTimes.py" --tripid 802-20 --locoid 4021 --swversion DE.1.0.9.0 --startMP 300:58621 --initTime 2017-02-20T06:06:28 --startdatetime 2017-02-20T06:08:22 --delay 1 --endMP 204:670 --enddatetime 2017-02-20T06:25:50 --enforcementcount 0 &gt;&gt;C:\Users\stu\Documents\GitHub\eaglep3-reporting\EC\2017-02-20-refined-times.txt</v>
      </c>
      <c r="AI163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{"issue":{"subject":"","project_id":79,"tracker_id":40,"status_id":1,"priority_id":2,"assigned_to_id":23,"start_date":"2017-02-20","description":"","custom_fields":[{"id":1,"name":"Subdivision","value":"NW"},{"id":4,"name":"Milepost","value":"0.067"},{"id":17,"name":"Train ID","value":"802-20"},{"id":16,"name":"Locomotive ID","value":"4021"},{"id":130,"name":"Impact","value":""},{"id":150,"name":"Time of Event (Mountain Time)","value":"06:25:50"},{"id":151,"name":"Denver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48"/>
      <c r="AK163" s="48"/>
      <c r="AL163" s="48"/>
      <c r="AM163" s="154" t="str">
        <f t="shared" si="80"/>
        <v>start /low /b %USERPROFILE%\Documents\GitHub\eaglep3\Utilities\DownloadLogsFromS3.py --loco 4021 --day 2017-02-20</v>
      </c>
      <c r="AN163" s="163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"%USERPROFILE%\AppData\Local\Temp\OnboardLogs"\RTDC4021\*4021*20170220* | grep -SE "(Enforcement Action)|(\[TIMEOUT)|(CHR.+\|PRM\|1\|D.+(SWITCH|SIGNAL).+UNKNOWN)" - &gt;&gt; 2017-02-20-UncaughtWiMAX.txt</v>
      </c>
    </row>
    <row r="164" spans="1:91" x14ac:dyDescent="0.25">
      <c r="A164" s="33" t="s">
        <v>455</v>
      </c>
      <c r="B164" s="7">
        <v>4011</v>
      </c>
      <c r="C164" s="21" t="s">
        <v>408</v>
      </c>
      <c r="D164" s="21" t="s">
        <v>801</v>
      </c>
      <c r="E164" s="13">
        <v>42786.25744212963</v>
      </c>
      <c r="F164" s="13">
        <v>42786.264826388891</v>
      </c>
      <c r="G164" s="7">
        <v>1</v>
      </c>
      <c r="H164" s="21" t="s">
        <v>427</v>
      </c>
      <c r="I164" s="13">
        <v>42786.274780092594</v>
      </c>
      <c r="J164" s="7">
        <v>0</v>
      </c>
      <c r="K164" s="98" t="str">
        <f t="shared" si="83"/>
        <v>4011/4012</v>
      </c>
      <c r="L164" s="21" t="str">
        <f>VLOOKUP(A164,'Trips&amp;Operators'!$C$1:$G$99999,5,FALSE)</f>
        <v>ROCHA YAOTL</v>
      </c>
      <c r="M164" s="6">
        <f t="shared" si="84"/>
        <v>9.9537037021946162E-3</v>
      </c>
      <c r="N164" s="7">
        <f t="shared" si="74"/>
        <v>14.333333331160247</v>
      </c>
      <c r="O164" s="7"/>
      <c r="P164" s="7"/>
      <c r="Q164" s="22"/>
      <c r="R164" s="22"/>
      <c r="S164" s="31">
        <f t="shared" si="85"/>
        <v>1</v>
      </c>
      <c r="T164" s="46" t="str">
        <f t="shared" si="86"/>
        <v>NorthBound</v>
      </c>
      <c r="U164" s="186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7" t="str">
        <f t="shared" si="75"/>
        <v>https://d0f6bd738d7f1b3e5a7ca70fe4ff75f0.us-east-1.aws.found.io/app/kibana#/discover/Steve-Slow-Train-Analysis-(2080s-and-2083s)?_g=(refreshInterval:(display:Off,pause:!f,section:0,value:0),time:(from:'2017-02-20T05:10:43-0700',mode:absolute,to:'2017-02-20T07:35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4" s="188" t="str">
        <f t="shared" si="87"/>
        <v>N</v>
      </c>
      <c r="X164" s="188">
        <f t="shared" si="82"/>
        <v>1</v>
      </c>
      <c r="Y164" s="62">
        <f t="shared" si="88"/>
        <v>9.0399999999999994E-2</v>
      </c>
      <c r="Z164" s="62">
        <f t="shared" si="89"/>
        <v>5.8956</v>
      </c>
      <c r="AA164" s="62">
        <f t="shared" si="90"/>
        <v>5.8052000000000001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 t="shared" si="91"/>
        <v>0803-20</v>
      </c>
      <c r="AE164" s="85" t="str">
        <f t="shared" si="76"/>
        <v>aws s3 cp s3://rtdc.mdm.uploadarchive.raw/RTDC4011/ "%USERPROFILE%\AppData\Local\Temp\OnboardLogs"\RTDC4011\2017-02-20 --exclude "*" --recursive --include "*20170220*" &amp; "%USERPROFILE%\Documents\GitHub\mrs-test-scripts\Headless Mode &amp; Sideloading\WalkAndUnGZ.bat" "%USERPROFILE%\AppData\Local\Temp\OnboardLogs"\RTDC4011\2017-02-20 &amp; aws s3 cp s3://rtdc.mdm.uploadarchive.raw/RTDC4011/ "%USERPROFILE%\AppData\Local\Temp\OnboardLogs"\RTDC4011\2017-02-21 --exclude "*" --recursive --include "*20170221*" &amp; "%USERPROFILE%\Documents\GitHub\mrs-test-scripts\Headless Mode &amp; Sideloading\WalkAndUnGZ.bat" "%USERPROFILE%\AppData\Local\Temp\OnboardLogs"\RTDC4011\2017-02-21</v>
      </c>
      <c r="AF164" s="82" t="str">
        <f t="shared" si="77"/>
        <v>"C:\Program Files (x86)\AstroGrep\AstroGrep.exe" /spath="%USERPROFILE%\AppData\Local\Temp\OnboardLogs" /stypes="app*4011*20170220*" /stext=" 13:.+((SYSTEM_STATE.+slice.+state.+changed )|(ment ac)|(multiple cpu faults)|(system.+state.+changed )|(\[timeout)|(PRM\|1\|D)|(kpr)|(kdp)|(\|lc)|(penalty))" /e /r /s</v>
      </c>
      <c r="AG164" s="1" t="str">
        <f t="shared" si="92"/>
        <v>NW</v>
      </c>
      <c r="AH164" s="86" t="str">
        <f t="shared" si="78"/>
        <v>"%USERPROFILE%\Documents\GitHub\eaglep3\Utilities\RefineRTDCRunTimes.py" --tripid 803-20 --locoid 4011 --swversion DE.1.0.9.0 --startMP 204:904 --initTime 2017-02-20T06:10:43 --startdatetime 2017-02-20T06:21:21 --delay 1 --endMP 300:58956 --enddatetime 2017-02-20T06:35:41 --enforcementcount 0 &gt;&gt;C:\Users\stu\Documents\GitHub\eaglep3-reporting\EC\2017-02-20-refined-times.txt</v>
      </c>
      <c r="AI164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{"issue":{"subject":"","project_id":79,"tracker_id":40,"status_id":1,"priority_id":2,"assigned_to_id":23,"start_date":"2017-02-20","description":"","custom_fields":[{"id":1,"name":"Subdivision","value":"NW"},{"id":4,"name":"Milepost","value":"5.8956"},{"id":17,"name":"Train ID","value":"803-20"},{"id":16,"name":"Locomotive ID","value":"4011"},{"id":130,"name":"Impact","value":""},{"id":150,"name":"Time of Event (Mountain Time)","value":"06:35:41"},{"id":151,"name":"Denver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48"/>
      <c r="AK164" s="48"/>
      <c r="AL164" s="48"/>
      <c r="AM164" s="154" t="str">
        <f t="shared" si="80"/>
        <v>start /low /b %USERPROFILE%\Documents\GitHub\eaglep3\Utilities\DownloadLogsFromS3.py --loco 4011 --day 2017-02-20</v>
      </c>
      <c r="AN164" s="163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"%USERPROFILE%\AppData\Local\Temp\OnboardLogs"\RTDC4011\*4011*20170220* | grep -SE "(Enforcement Action)|(\[TIMEOUT)|(CHR.+\|PRM\|1\|D.+(SWITCH|SIGNAL).+UNKNOWN)" - &gt;&gt; 2017-02-20-UncaughtWiMAX.txt</v>
      </c>
    </row>
    <row r="165" spans="1:91" s="20" customFormat="1" x14ac:dyDescent="0.25">
      <c r="A165" s="33" t="s">
        <v>457</v>
      </c>
      <c r="B165" s="7">
        <v>4012</v>
      </c>
      <c r="C165" s="21" t="s">
        <v>408</v>
      </c>
      <c r="D165" s="21" t="s">
        <v>802</v>
      </c>
      <c r="E165" s="13">
        <v>42786.275949074072</v>
      </c>
      <c r="F165" s="13">
        <v>42786.27783564815</v>
      </c>
      <c r="G165" s="7">
        <v>1</v>
      </c>
      <c r="H165" s="21" t="s">
        <v>803</v>
      </c>
      <c r="I165" s="13">
        <v>42786.2887962963</v>
      </c>
      <c r="J165" s="7">
        <v>0</v>
      </c>
      <c r="K165" s="98" t="str">
        <f t="shared" si="83"/>
        <v>4011/4012</v>
      </c>
      <c r="L165" s="21" t="str">
        <f>VLOOKUP(A165,'Trips&amp;Operators'!$C$1:$G$99999,5,FALSE)</f>
        <v>ROCHA YAOTL</v>
      </c>
      <c r="M165" s="6">
        <f t="shared" si="84"/>
        <v>1.096064814919373E-2</v>
      </c>
      <c r="N165" s="7">
        <f t="shared" si="74"/>
        <v>15.783333334838971</v>
      </c>
      <c r="O165" s="7"/>
      <c r="P165" s="7"/>
      <c r="Q165" s="22"/>
      <c r="R165" s="22"/>
      <c r="S165" s="31">
        <f t="shared" si="85"/>
        <v>1</v>
      </c>
      <c r="T165" s="46" t="str">
        <f t="shared" si="86"/>
        <v>Southbound</v>
      </c>
      <c r="U165" s="186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7" t="str">
        <f t="shared" si="75"/>
        <v>https://d0f6bd738d7f1b3e5a7ca70fe4ff75f0.us-east-1.aws.found.io/app/kibana#/discover/Steve-Slow-Train-Analysis-(2080s-and-2083s)?_g=(refreshInterval:(display:Off,pause:!f,section:0,value:0),time:(from:'2017-02-20T05:37:22-0700',mode:absolute,to:'2017-02-20T07:55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5" s="188" t="str">
        <f t="shared" si="87"/>
        <v>N</v>
      </c>
      <c r="X165" s="188">
        <f t="shared" si="82"/>
        <v>1</v>
      </c>
      <c r="Y165" s="62">
        <f t="shared" si="88"/>
        <v>5.8643000000000001</v>
      </c>
      <c r="Z165" s="62">
        <f t="shared" si="89"/>
        <v>6.7100000000000007E-2</v>
      </c>
      <c r="AA165" s="62">
        <f t="shared" si="90"/>
        <v>5.7972000000000001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 t="shared" si="91"/>
        <v>0804-20</v>
      </c>
      <c r="AE165" s="85" t="str">
        <f t="shared" si="76"/>
        <v>aws s3 cp s3://rtdc.mdm.uploadarchive.raw/RTDC4012/ "%USERPROFILE%\AppData\Local\Temp\OnboardLogs"\RTDC4012\2017-02-20 --exclude "*" --recursive --include "*20170220*" &amp; "%USERPROFILE%\Documents\GitHub\mrs-test-scripts\Headless Mode &amp; Sideloading\WalkAndUnGZ.bat" "%USERPROFILE%\AppData\Local\Temp\OnboardLogs"\RTDC4012\2017-02-20 &amp; aws s3 cp s3://rtdc.mdm.uploadarchive.raw/RTDC4012/ "%USERPROFILE%\AppData\Local\Temp\OnboardLogs"\RTDC4012\2017-02-21 --exclude "*" --recursive --include "*20170221*" &amp; "%USERPROFILE%\Documents\GitHub\mrs-test-scripts\Headless Mode &amp; Sideloading\WalkAndUnGZ.bat" "%USERPROFILE%\AppData\Local\Temp\OnboardLogs"\RTDC4012\2017-02-21</v>
      </c>
      <c r="AF165" s="82" t="str">
        <f t="shared" si="77"/>
        <v>"C:\Program Files (x86)\AstroGrep\AstroGrep.exe" /spath="%USERPROFILE%\AppData\Local\Temp\OnboardLogs" /stypes="app*4012*20170220*" /stext=" 13:.+((SYSTEM_STATE.+slice.+state.+changed )|(ment ac)|(multiple cpu faults)|(system.+state.+changed )|(\[timeout)|(PRM\|1\|D)|(kpr)|(kdp)|(\|lc)|(penalty))" /e /r /s</v>
      </c>
      <c r="AG165" s="1" t="str">
        <f t="shared" si="92"/>
        <v>NW</v>
      </c>
      <c r="AH165" s="86" t="str">
        <f t="shared" si="78"/>
        <v>"%USERPROFILE%\Documents\GitHub\eaglep3\Utilities\RefineRTDCRunTimes.py" --tripid 804-20 --locoid 4012 --swversion DE.1.0.9.0 --startMP 300:58643 --initTime 2017-02-20T06:37:22 --startdatetime 2017-02-20T06:40:05 --delay 1 --endMP 204:671 --enddatetime 2017-02-20T06:55:52 --enforcementcount 0 &gt;&gt;C:\Users\stu\Documents\GitHub\eaglep3-reporting\EC\2017-02-20-refined-times.txt</v>
      </c>
      <c r="AI165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{"issue":{"subject":"","project_id":79,"tracker_id":40,"status_id":1,"priority_id":2,"assigned_to_id":23,"start_date":"2017-02-20","description":"","custom_fields":[{"id":1,"name":"Subdivision","value":"NW"},{"id":4,"name":"Milepost","value":"0.0671"},{"id":17,"name":"Train ID","value":"804-20"},{"id":16,"name":"Locomotive ID","value":"4012"},{"id":130,"name":"Impact","value":""},{"id":150,"name":"Time of Event (Mountain Time)","value":"06:55:52"},{"id":151,"name":"Denver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48"/>
      <c r="AK165" s="48"/>
      <c r="AL165" s="48"/>
      <c r="AM165" s="154" t="str">
        <f t="shared" si="80"/>
        <v>start /low /b %USERPROFILE%\Documents\GitHub\eaglep3\Utilities\DownloadLogsFromS3.py --loco 4012 --day 2017-02-20</v>
      </c>
      <c r="AN165" s="163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"%USERPROFILE%\AppData\Local\Temp\OnboardLogs"\RTDC4012\*4012*20170220* | grep -SE "(Enforcement Action)|(\[TIMEOUT)|(CHR.+\|PRM\|1\|D.+(SWITCH|SIGNAL).+UNKNOWN)" - &gt;&gt; 2017-02-20-UncaughtWiMAX.txt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3" t="s">
        <v>524</v>
      </c>
      <c r="B166" s="7">
        <v>4022</v>
      </c>
      <c r="C166" s="21" t="s">
        <v>408</v>
      </c>
      <c r="D166" s="21" t="s">
        <v>804</v>
      </c>
      <c r="E166" s="13">
        <v>42786.269131944442</v>
      </c>
      <c r="F166" s="13">
        <v>42786.285601851851</v>
      </c>
      <c r="G166" s="7">
        <v>1</v>
      </c>
      <c r="H166" s="21" t="s">
        <v>434</v>
      </c>
      <c r="I166" s="13">
        <v>42786.295231481483</v>
      </c>
      <c r="J166" s="7">
        <v>0</v>
      </c>
      <c r="K166" s="98" t="str">
        <f t="shared" si="83"/>
        <v>4021/4022</v>
      </c>
      <c r="L166" s="21" t="str">
        <f>VLOOKUP(A166,'Trips&amp;Operators'!$C$1:$G$99999,5,FALSE)</f>
        <v>SWANSON BRYCE</v>
      </c>
      <c r="M166" s="6">
        <f t="shared" si="84"/>
        <v>9.6296296323998831E-3</v>
      </c>
      <c r="N166" s="7">
        <f t="shared" si="74"/>
        <v>13.866666670655832</v>
      </c>
      <c r="O166" s="7"/>
      <c r="P166" s="7"/>
      <c r="Q166" s="22"/>
      <c r="R166" s="22"/>
      <c r="S166" s="31">
        <f t="shared" si="85"/>
        <v>1</v>
      </c>
      <c r="T166" s="46" t="str">
        <f t="shared" si="86"/>
        <v>NorthBound</v>
      </c>
      <c r="U166" s="186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7" t="str">
        <f t="shared" si="75"/>
        <v>https://d0f6bd738d7f1b3e5a7ca70fe4ff75f0.us-east-1.aws.found.io/app/kibana#/discover/Steve-Slow-Train-Analysis-(2080s-and-2083s)?_g=(refreshInterval:(display:Off,pause:!f,section:0,value:0),time:(from:'2017-02-20T05:27:33-0700',mode:absolute,to:'2017-02-20T08:05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6" s="188" t="str">
        <f t="shared" si="87"/>
        <v>N</v>
      </c>
      <c r="X166" s="188">
        <f t="shared" si="82"/>
        <v>1</v>
      </c>
      <c r="Y166" s="62">
        <f t="shared" si="88"/>
        <v>9.6500000000000002E-2</v>
      </c>
      <c r="Z166" s="62">
        <f t="shared" si="89"/>
        <v>5.8935000000000004</v>
      </c>
      <c r="AA166" s="62">
        <f t="shared" si="90"/>
        <v>5.7970000000000006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 t="shared" si="91"/>
        <v>0805-20</v>
      </c>
      <c r="AE166" s="85" t="str">
        <f t="shared" si="76"/>
        <v>aws s3 cp s3://rtdc.mdm.uploadarchive.raw/RTDC4022/ "%USERPROFILE%\AppData\Local\Temp\OnboardLogs"\RTDC4022\2017-02-20 --exclude "*" --recursive --include "*20170220*" &amp; "%USERPROFILE%\Documents\GitHub\mrs-test-scripts\Headless Mode &amp; Sideloading\WalkAndUnGZ.bat" "%USERPROFILE%\AppData\Local\Temp\OnboardLogs"\RTDC4022\2017-02-20 &amp; aws s3 cp s3://rtdc.mdm.uploadarchive.raw/RTDC4022/ "%USERPROFILE%\AppData\Local\Temp\OnboardLogs"\RTDC4022\2017-02-21 --exclude "*" --recursive --include "*20170221*" &amp; "%USERPROFILE%\Documents\GitHub\mrs-test-scripts\Headless Mode &amp; Sideloading\WalkAndUnGZ.bat" "%USERPROFILE%\AppData\Local\Temp\OnboardLogs"\RTDC4022\2017-02-21</v>
      </c>
      <c r="AF166" s="82" t="str">
        <f t="shared" si="77"/>
        <v>"C:\Program Files (x86)\AstroGrep\AstroGrep.exe" /spath="%USERPROFILE%\AppData\Local\Temp\OnboardLogs" /stypes="app*4022*20170220*" /stext=" 14:.+((SYSTEM_STATE.+slice.+state.+changed )|(ment ac)|(multiple cpu faults)|(system.+state.+changed )|(\[timeout)|(PRM\|1\|D)|(kpr)|(kdp)|(\|lc)|(penalty))" /e /r /s</v>
      </c>
      <c r="AG166" s="1" t="str">
        <f t="shared" si="92"/>
        <v>NW</v>
      </c>
      <c r="AH166" s="86" t="str">
        <f t="shared" si="78"/>
        <v>"%USERPROFILE%\Documents\GitHub\eaglep3\Utilities\RefineRTDCRunTimes.py" --tripid 805-20 --locoid 4022 --swversion DE.1.0.9.0 --startMP 204:965 --initTime 2017-02-20T06:27:33 --startdatetime 2017-02-20T06:51:16 --delay 1 --endMP 300:58935 --enddatetime 2017-02-20T07:05:08 --enforcementcount 0 &gt;&gt;C:\Users\stu\Documents\GitHub\eaglep3-reporting\EC\2017-02-20-refined-times.txt</v>
      </c>
      <c r="AI166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{"issue":{"subject":"","project_id":79,"tracker_id":40,"status_id":1,"priority_id":2,"assigned_to_id":23,"start_date":"2017-02-20","description":"","custom_fields":[{"id":1,"name":"Subdivision","value":"NW"},{"id":4,"name":"Milepost","value":"5.8935"},{"id":17,"name":"Train ID","value":"805-20"},{"id":16,"name":"Locomotive ID","value":"4022"},{"id":130,"name":"Impact","value":""},{"id":150,"name":"Time of Event (Mountain Time)","value":"07:05:08"},{"id":151,"name":"Denver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48"/>
      <c r="AK166" s="48"/>
      <c r="AL166" s="48"/>
      <c r="AM166" s="154" t="str">
        <f t="shared" si="80"/>
        <v>start /low /b %USERPROFILE%\Documents\GitHub\eaglep3\Utilities\DownloadLogsFromS3.py --loco 4022 --day 2017-02-20</v>
      </c>
      <c r="AN166" s="163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"%USERPROFILE%\AppData\Local\Temp\OnboardLogs"\RTDC4022\*4022*20170220* | grep -SE "(Enforcement Action)|(\[TIMEOUT)|(CHR.+\|PRM\|1\|D.+(SWITCH|SIGNAL).+UNKNOWN)" - &gt;&gt; 2017-02-20-UncaughtWiMAX.txt</v>
      </c>
    </row>
    <row r="167" spans="1:91" s="20" customFormat="1" x14ac:dyDescent="0.25">
      <c r="A167" s="33" t="s">
        <v>528</v>
      </c>
      <c r="B167" s="7">
        <v>4021</v>
      </c>
      <c r="C167" s="21" t="s">
        <v>408</v>
      </c>
      <c r="D167" s="21" t="s">
        <v>433</v>
      </c>
      <c r="E167" s="13">
        <v>42786.29619212963</v>
      </c>
      <c r="F167" s="13">
        <v>42786.297731481478</v>
      </c>
      <c r="G167" s="7">
        <v>1</v>
      </c>
      <c r="H167" s="21" t="s">
        <v>797</v>
      </c>
      <c r="I167" s="13">
        <v>42786.309421296297</v>
      </c>
      <c r="J167" s="7">
        <v>0</v>
      </c>
      <c r="K167" s="98" t="str">
        <f t="shared" si="83"/>
        <v>4021/4022</v>
      </c>
      <c r="L167" s="21" t="str">
        <f>VLOOKUP(A167,'Trips&amp;Operators'!$C$1:$G$99999,5,FALSE)</f>
        <v>SWANSON BRYCE</v>
      </c>
      <c r="M167" s="6">
        <f t="shared" si="84"/>
        <v>1.1689814818964805E-2</v>
      </c>
      <c r="N167" s="7">
        <f t="shared" ref="N167:N203" si="93">24*60*SUM($M167:$M167)</f>
        <v>16.83333333930932</v>
      </c>
      <c r="O167" s="7"/>
      <c r="P167" s="7"/>
      <c r="Q167" s="22"/>
      <c r="R167" s="22"/>
      <c r="S167" s="31">
        <f t="shared" si="85"/>
        <v>1</v>
      </c>
      <c r="T167" s="46" t="str">
        <f t="shared" si="86"/>
        <v>Southbound</v>
      </c>
      <c r="U167" s="186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7" t="str">
        <f t="shared" si="75"/>
        <v>https://d0f6bd738d7f1b3e5a7ca70fe4ff75f0.us-east-1.aws.found.io/app/kibana#/discover/Steve-Slow-Train-Analysis-(2080s-and-2083s)?_g=(refreshInterval:(display:Off,pause:!f,section:0,value:0),time:(from:'2017-02-20T06:06:31-0700',mode:absolute,to:'2017-02-20T08:25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7" s="188" t="str">
        <f t="shared" si="87"/>
        <v>N</v>
      </c>
      <c r="X167" s="188">
        <f t="shared" si="82"/>
        <v>1</v>
      </c>
      <c r="Y167" s="62">
        <f t="shared" si="88"/>
        <v>5.8620999999999999</v>
      </c>
      <c r="Z167" s="62">
        <f t="shared" si="89"/>
        <v>6.6799999999999998E-2</v>
      </c>
      <c r="AA167" s="62">
        <f t="shared" si="90"/>
        <v>5.7953000000000001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 t="shared" si="91"/>
        <v>0806-20</v>
      </c>
      <c r="AE167" s="85" t="str">
        <f t="shared" si="76"/>
        <v>aws s3 cp s3://rtdc.mdm.uploadarchive.raw/RTDC4021/ "%USERPROFILE%\AppData\Local\Temp\OnboardLogs"\RTDC4021\2017-02-20 --exclude "*" --recursive --include "*20170220*" &amp; "%USERPROFILE%\Documents\GitHub\mrs-test-scripts\Headless Mode &amp; Sideloading\WalkAndUnGZ.bat" "%USERPROFILE%\AppData\Local\Temp\OnboardLogs"\RTDC4021\2017-02-20 &amp; aws s3 cp s3://rtdc.mdm.uploadarchive.raw/RTDC4021/ "%USERPROFILE%\AppData\Local\Temp\OnboardLogs"\RTDC4021\2017-02-21 --exclude "*" --recursive --include "*20170221*" &amp; "%USERPROFILE%\Documents\GitHub\mrs-test-scripts\Headless Mode &amp; Sideloading\WalkAndUnGZ.bat" "%USERPROFILE%\AppData\Local\Temp\OnboardLogs"\RTDC4021\2017-02-21</v>
      </c>
      <c r="AF167" s="82" t="str">
        <f t="shared" si="77"/>
        <v>"C:\Program Files (x86)\AstroGrep\AstroGrep.exe" /spath="%USERPROFILE%\AppData\Local\Temp\OnboardLogs" /stypes="app*4021*20170220*" /stext=" 14:.+((SYSTEM_STATE.+slice.+state.+changed )|(ment ac)|(multiple cpu faults)|(system.+state.+changed )|(\[timeout)|(PRM\|1\|D)|(kpr)|(kdp)|(\|lc)|(penalty))" /e /r /s</v>
      </c>
      <c r="AG167" s="1" t="str">
        <f t="shared" si="92"/>
        <v>NW</v>
      </c>
      <c r="AH167" s="86" t="str">
        <f t="shared" si="78"/>
        <v>"%USERPROFILE%\Documents\GitHub\eaglep3\Utilities\RefineRTDCRunTimes.py" --tripid 806-20 --locoid 4021 --swversion DE.1.0.9.0 --startMP 300:58621 --initTime 2017-02-20T07:06:31 --startdatetime 2017-02-20T07:08:44 --delay 1 --endMP 204:668 --enddatetime 2017-02-20T07:25:34 --enforcementcount 0 &gt;&gt;C:\Users\stu\Documents\GitHub\eaglep3-reporting\EC\2017-02-20-refined-times.txt</v>
      </c>
      <c r="AI167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{"issue":{"subject":"","project_id":79,"tracker_id":40,"status_id":1,"priority_id":2,"assigned_to_id":23,"start_date":"2017-02-20","description":"","custom_fields":[{"id":1,"name":"Subdivision","value":"NW"},{"id":4,"name":"Milepost","value":"0.0668"},{"id":17,"name":"Train ID","value":"806-20"},{"id":16,"name":"Locomotive ID","value":"4021"},{"id":130,"name":"Impact","value":""},{"id":150,"name":"Time of Event (Mountain Time)","value":"07:25:34"},{"id":151,"name":"Denver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48"/>
      <c r="AK167" s="48"/>
      <c r="AL167" s="48"/>
      <c r="AM167" s="154" t="str">
        <f t="shared" si="80"/>
        <v>start /low /b %USERPROFILE%\Documents\GitHub\eaglep3\Utilities\DownloadLogsFromS3.py --loco 4021 --day 2017-02-20</v>
      </c>
      <c r="AN167" s="163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"%USERPROFILE%\AppData\Local\Temp\OnboardLogs"\RTDC4021\*4021*20170220* | grep -SE "(Enforcement Action)|(\[TIMEOUT)|(CHR.+\|PRM\|1\|D.+(SWITCH|SIGNAL).+UNKNOWN)" - &gt;&gt; 2017-02-20-UncaughtWiMAX.txt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3" t="s">
        <v>527</v>
      </c>
      <c r="B168" s="7">
        <v>4011</v>
      </c>
      <c r="C168" s="21" t="s">
        <v>408</v>
      </c>
      <c r="D168" s="21" t="s">
        <v>805</v>
      </c>
      <c r="E168" s="13">
        <v>42786.295185185183</v>
      </c>
      <c r="F168" s="13">
        <v>42786.306481481479</v>
      </c>
      <c r="G168" s="7">
        <v>0</v>
      </c>
      <c r="H168" s="21" t="s">
        <v>806</v>
      </c>
      <c r="I168" s="13">
        <v>42786.315787037034</v>
      </c>
      <c r="J168" s="7">
        <v>0</v>
      </c>
      <c r="K168" s="98" t="str">
        <f t="shared" si="83"/>
        <v>4011/4012</v>
      </c>
      <c r="L168" s="21" t="str">
        <f>VLOOKUP(A168,'Trips&amp;Operators'!$C$1:$G$99999,5,FALSE)</f>
        <v>ROCHA YAOTL</v>
      </c>
      <c r="M168" s="6">
        <f t="shared" si="84"/>
        <v>9.3055555553291924E-3</v>
      </c>
      <c r="N168" s="7">
        <f t="shared" si="93"/>
        <v>13.399999999674037</v>
      </c>
      <c r="O168" s="7"/>
      <c r="P168" s="7"/>
      <c r="Q168" s="22"/>
      <c r="R168" s="22"/>
      <c r="S168" s="31">
        <f t="shared" si="85"/>
        <v>1</v>
      </c>
      <c r="T168" s="46" t="str">
        <f t="shared" si="86"/>
        <v>NorthBound</v>
      </c>
      <c r="U168" s="186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7" t="str">
        <f t="shared" si="75"/>
        <v>https://d0f6bd738d7f1b3e5a7ca70fe4ff75f0.us-east-1.aws.found.io/app/kibana#/discover/Steve-Slow-Train-Analysis-(2080s-and-2083s)?_g=(refreshInterval:(display:Off,pause:!f,section:0,value:0),time:(from:'2017-02-20T06:05:04-0700',mode:absolute,to:'2017-02-20T08:34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8" s="188" t="str">
        <f t="shared" si="87"/>
        <v>N</v>
      </c>
      <c r="X168" s="188">
        <f t="shared" si="82"/>
        <v>1</v>
      </c>
      <c r="Y168" s="62">
        <f t="shared" si="88"/>
        <v>9.5799999999999996E-2</v>
      </c>
      <c r="Z168" s="62">
        <f t="shared" si="89"/>
        <v>5.8968999999999996</v>
      </c>
      <c r="AA168" s="62">
        <f t="shared" si="90"/>
        <v>5.8010999999999999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 t="shared" si="91"/>
        <v>0807-20</v>
      </c>
      <c r="AE168" s="85" t="str">
        <f t="shared" si="76"/>
        <v>aws s3 cp s3://rtdc.mdm.uploadarchive.raw/RTDC4011/ "%USERPROFILE%\AppData\Local\Temp\OnboardLogs"\RTDC4011\2017-02-20 --exclude "*" --recursive --include "*20170220*" &amp; "%USERPROFILE%\Documents\GitHub\mrs-test-scripts\Headless Mode &amp; Sideloading\WalkAndUnGZ.bat" "%USERPROFILE%\AppData\Local\Temp\OnboardLogs"\RTDC4011\2017-02-20 &amp; aws s3 cp s3://rtdc.mdm.uploadarchive.raw/RTDC4011/ "%USERPROFILE%\AppData\Local\Temp\OnboardLogs"\RTDC4011\2017-02-21 --exclude "*" --recursive --include "*20170221*" &amp; "%USERPROFILE%\Documents\GitHub\mrs-test-scripts\Headless Mode &amp; Sideloading\WalkAndUnGZ.bat" "%USERPROFILE%\AppData\Local\Temp\OnboardLogs"\RTDC4011\2017-02-21</v>
      </c>
      <c r="AF168" s="82" t="str">
        <f t="shared" si="77"/>
        <v>"C:\Program Files (x86)\AstroGrep\AstroGrep.exe" /spath="%USERPROFILE%\AppData\Local\Temp\OnboardLogs" /stypes="app*4011*20170220*" /stext=" 14:.+((SYSTEM_STATE.+slice.+state.+changed )|(ment ac)|(multiple cpu faults)|(system.+state.+changed )|(\[timeout)|(PRM\|1\|D)|(kpr)|(kdp)|(\|lc)|(penalty))" /e /r /s</v>
      </c>
      <c r="AG168" s="1" t="str">
        <f t="shared" si="92"/>
        <v>NW</v>
      </c>
      <c r="AH168" s="86" t="str">
        <f t="shared" si="78"/>
        <v>"%USERPROFILE%\Documents\GitHub\eaglep3\Utilities\RefineRTDCRunTimes.py" --tripid 807-20 --locoid 4011 --swversion DE.1.0.9.0 --startMP 204:958 --initTime 2017-02-20T07:05:04 --startdatetime 2017-02-20T07:21:20 --delay 0 --endMP 300:58969 --enddatetime 2017-02-20T07:34:44 --enforcementcount 0 &gt;&gt;C:\Users\stu\Documents\GitHub\eaglep3-reporting\EC\2017-02-20-refined-times.txt</v>
      </c>
      <c r="AI168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{"issue":{"subject":"","project_id":79,"tracker_id":40,"status_id":1,"priority_id":2,"assigned_to_id":23,"start_date":"2017-02-20","description":"","custom_fields":[{"id":1,"name":"Subdivision","value":"NW"},{"id":4,"name":"Milepost","value":"5.8969"},{"id":17,"name":"Train ID","value":"807-20"},{"id":16,"name":"Locomotive ID","value":"4011"},{"id":130,"name":"Impact","value":""},{"id":150,"name":"Time of Event (Mountain Time)","value":"07:34:44"},{"id":151,"name":"Denver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48"/>
      <c r="AK168" s="48"/>
      <c r="AL168" s="48"/>
      <c r="AM168" s="154" t="str">
        <f t="shared" si="80"/>
        <v>start /low /b %USERPROFILE%\Documents\GitHub\eaglep3\Utilities\DownloadLogsFromS3.py --loco 4011 --day 2017-02-20</v>
      </c>
      <c r="AN168" s="163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"%USERPROFILE%\AppData\Local\Temp\OnboardLogs"\RTDC4011\*4011*20170220* | grep -SE "(Enforcement Action)|(\[TIMEOUT)|(CHR.+\|PRM\|1\|D.+(SWITCH|SIGNAL).+UNKNOWN)" - &gt;&gt; 2017-02-20-UncaughtWiMAX.txt</v>
      </c>
    </row>
    <row r="169" spans="1:91" x14ac:dyDescent="0.25">
      <c r="A169" s="33" t="s">
        <v>461</v>
      </c>
      <c r="B169" s="7">
        <v>4012</v>
      </c>
      <c r="C169" s="21" t="s">
        <v>408</v>
      </c>
      <c r="D169" s="21" t="s">
        <v>807</v>
      </c>
      <c r="E169" s="13">
        <v>42786.316793981481</v>
      </c>
      <c r="F169" s="13">
        <v>42786.318043981482</v>
      </c>
      <c r="G169" s="7">
        <v>1</v>
      </c>
      <c r="H169" s="21" t="s">
        <v>430</v>
      </c>
      <c r="I169" s="13">
        <v>42786.329780092594</v>
      </c>
      <c r="J169" s="7">
        <v>0</v>
      </c>
      <c r="K169" s="98" t="str">
        <f t="shared" si="83"/>
        <v>4011/4012</v>
      </c>
      <c r="L169" s="21" t="str">
        <f>VLOOKUP(A169,'Trips&amp;Operators'!$C$1:$G$99999,5,FALSE)</f>
        <v>ROCHA YAOTL</v>
      </c>
      <c r="M169" s="6">
        <f t="shared" si="84"/>
        <v>1.17361111115315E-2</v>
      </c>
      <c r="N169" s="7">
        <f t="shared" si="93"/>
        <v>16.90000000060536</v>
      </c>
      <c r="O169" s="7"/>
      <c r="P169" s="7"/>
      <c r="Q169" s="22"/>
      <c r="R169" s="22"/>
      <c r="S169" s="31">
        <f t="shared" si="85"/>
        <v>1</v>
      </c>
      <c r="T169" s="46" t="str">
        <f t="shared" si="86"/>
        <v>Southbound</v>
      </c>
      <c r="U169" s="186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7" t="str">
        <f t="shared" si="75"/>
        <v>https://d0f6bd738d7f1b3e5a7ca70fe4ff75f0.us-east-1.aws.found.io/app/kibana#/discover/Steve-Slow-Train-Analysis-(2080s-and-2083s)?_g=(refreshInterval:(display:Off,pause:!f,section:0,value:0),time:(from:'2017-02-20T06:36:11-0700',mode:absolute,to:'2017-02-20T08:54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9" s="188" t="str">
        <f t="shared" si="87"/>
        <v>N</v>
      </c>
      <c r="X169" s="188">
        <f t="shared" si="82"/>
        <v>1</v>
      </c>
      <c r="Y169" s="62">
        <f t="shared" si="88"/>
        <v>5.8651</v>
      </c>
      <c r="Z169" s="62">
        <f t="shared" si="89"/>
        <v>6.8199999999999997E-2</v>
      </c>
      <c r="AA169" s="62">
        <f t="shared" si="90"/>
        <v>5.7968999999999999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 t="shared" si="91"/>
        <v>0808-20</v>
      </c>
      <c r="AE169" s="85" t="str">
        <f t="shared" si="76"/>
        <v>aws s3 cp s3://rtdc.mdm.uploadarchive.raw/RTDC4012/ "%USERPROFILE%\AppData\Local\Temp\OnboardLogs"\RTDC4012\2017-02-20 --exclude "*" --recursive --include "*20170220*" &amp; "%USERPROFILE%\Documents\GitHub\mrs-test-scripts\Headless Mode &amp; Sideloading\WalkAndUnGZ.bat" "%USERPROFILE%\AppData\Local\Temp\OnboardLogs"\RTDC4012\2017-02-20 &amp; aws s3 cp s3://rtdc.mdm.uploadarchive.raw/RTDC4012/ "%USERPROFILE%\AppData\Local\Temp\OnboardLogs"\RTDC4012\2017-02-21 --exclude "*" --recursive --include "*20170221*" &amp; "%USERPROFILE%\Documents\GitHub\mrs-test-scripts\Headless Mode &amp; Sideloading\WalkAndUnGZ.bat" "%USERPROFILE%\AppData\Local\Temp\OnboardLogs"\RTDC4012\2017-02-21</v>
      </c>
      <c r="AF169" s="82" t="str">
        <f t="shared" si="77"/>
        <v>"C:\Program Files (x86)\AstroGrep\AstroGrep.exe" /spath="%USERPROFILE%\AppData\Local\Temp\OnboardLogs" /stypes="app*4012*20170220*" /stext=" 14:.+((SYSTEM_STATE.+slice.+state.+changed )|(ment ac)|(multiple cpu faults)|(system.+state.+changed )|(\[timeout)|(PRM\|1\|D)|(kpr)|(kdp)|(\|lc)|(penalty))" /e /r /s</v>
      </c>
      <c r="AG169" s="1" t="str">
        <f t="shared" si="92"/>
        <v>NW</v>
      </c>
      <c r="AH169" s="86" t="str">
        <f t="shared" si="78"/>
        <v>"%USERPROFILE%\Documents\GitHub\eaglep3\Utilities\RefineRTDCRunTimes.py" --tripid 808-20 --locoid 4012 --swversion DE.1.0.9.0 --startMP 300:58651 --initTime 2017-02-20T07:36:11 --startdatetime 2017-02-20T07:37:59 --delay 1 --endMP 204:682 --enddatetime 2017-02-20T07:54:53 --enforcementcount 0 &gt;&gt;C:\Users\stu\Documents\GitHub\eaglep3-reporting\EC\2017-02-20-refined-times.txt</v>
      </c>
      <c r="AI169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{"issue":{"subject":"","project_id":79,"tracker_id":40,"status_id":1,"priority_id":2,"assigned_to_id":23,"start_date":"2017-02-20","description":"","custom_fields":[{"id":1,"name":"Subdivision","value":"NW"},{"id":4,"name":"Milepost","value":"0.0682"},{"id":17,"name":"Train ID","value":"808-20"},{"id":16,"name":"Locomotive ID","value":"4012"},{"id":130,"name":"Impact","value":""},{"id":150,"name":"Time of Event (Mountain Time)","value":"07:54:53"},{"id":151,"name":"Denver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48"/>
      <c r="AK169" s="48"/>
      <c r="AL169" s="48"/>
      <c r="AM169" s="154" t="str">
        <f t="shared" si="80"/>
        <v>start /low /b %USERPROFILE%\Documents\GitHub\eaglep3\Utilities\DownloadLogsFromS3.py --loco 4012 --day 2017-02-20</v>
      </c>
      <c r="AN169" s="163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"%USERPROFILE%\AppData\Local\Temp\OnboardLogs"\RTDC4012\*4012*20170220* | grep -SE "(Enforcement Action)|(\[TIMEOUT)|(CHR.+\|PRM\|1\|D.+(SWITCH|SIGNAL).+UNKNOWN)" - &gt;&gt; 2017-02-20-UncaughtWiMAX.txt</v>
      </c>
    </row>
    <row r="170" spans="1:91" s="20" customFormat="1" x14ac:dyDescent="0.25">
      <c r="A170" s="33" t="s">
        <v>534</v>
      </c>
      <c r="B170" s="7">
        <v>4022</v>
      </c>
      <c r="C170" s="21" t="s">
        <v>408</v>
      </c>
      <c r="D170" s="21" t="s">
        <v>805</v>
      </c>
      <c r="E170" s="13">
        <v>42786.311319444445</v>
      </c>
      <c r="F170" s="13">
        <v>42786.327256944445</v>
      </c>
      <c r="G170" s="7">
        <v>1</v>
      </c>
      <c r="H170" s="21" t="s">
        <v>808</v>
      </c>
      <c r="I170" s="13">
        <v>42786.336944444447</v>
      </c>
      <c r="J170" s="7">
        <v>0</v>
      </c>
      <c r="K170" s="98" t="str">
        <f t="shared" si="83"/>
        <v>4021/4022</v>
      </c>
      <c r="L170" s="21" t="str">
        <f>VLOOKUP(A170,'Trips&amp;Operators'!$C$1:$G$99999,5,FALSE)</f>
        <v>SWANSON BRYCE</v>
      </c>
      <c r="M170" s="6">
        <f t="shared" si="84"/>
        <v>9.6875000017462298E-3</v>
      </c>
      <c r="N170" s="7">
        <f t="shared" si="93"/>
        <v>13.950000002514571</v>
      </c>
      <c r="O170" s="7"/>
      <c r="P170" s="7"/>
      <c r="Q170" s="22"/>
      <c r="R170" s="22"/>
      <c r="S170" s="31">
        <f t="shared" si="85"/>
        <v>1</v>
      </c>
      <c r="T170" s="46" t="str">
        <f t="shared" si="86"/>
        <v>NorthBound</v>
      </c>
      <c r="U170" s="186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7" t="str">
        <f t="shared" si="75"/>
        <v>https://d0f6bd738d7f1b3e5a7ca70fe4ff75f0.us-east-1.aws.found.io/app/kibana#/discover/Steve-Slow-Train-Analysis-(2080s-and-2083s)?_g=(refreshInterval:(display:Off,pause:!f,section:0,value:0),time:(from:'2017-02-20T06:28:18-0700',mode:absolute,to:'2017-02-20T09:05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70" s="188" t="str">
        <f t="shared" si="87"/>
        <v>N</v>
      </c>
      <c r="X170" s="188">
        <f t="shared" si="82"/>
        <v>1</v>
      </c>
      <c r="Y170" s="62">
        <f t="shared" si="88"/>
        <v>9.5799999999999996E-2</v>
      </c>
      <c r="Z170" s="62">
        <f t="shared" si="89"/>
        <v>5.8929</v>
      </c>
      <c r="AA170" s="62">
        <f t="shared" si="90"/>
        <v>5.7971000000000004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 t="shared" si="91"/>
        <v>0809-20</v>
      </c>
      <c r="AE170" s="85" t="str">
        <f t="shared" si="76"/>
        <v>aws s3 cp s3://rtdc.mdm.uploadarchive.raw/RTDC4022/ "%USERPROFILE%\AppData\Local\Temp\OnboardLogs"\RTDC4022\2017-02-20 --exclude "*" --recursive --include "*20170220*" &amp; "%USERPROFILE%\Documents\GitHub\mrs-test-scripts\Headless Mode &amp; Sideloading\WalkAndUnGZ.bat" "%USERPROFILE%\AppData\Local\Temp\OnboardLogs"\RTDC4022\2017-02-20 &amp; aws s3 cp s3://rtdc.mdm.uploadarchive.raw/RTDC4022/ "%USERPROFILE%\AppData\Local\Temp\OnboardLogs"\RTDC4022\2017-02-21 --exclude "*" --recursive --include "*20170221*" &amp; "%USERPROFILE%\Documents\GitHub\mrs-test-scripts\Headless Mode &amp; Sideloading\WalkAndUnGZ.bat" "%USERPROFILE%\AppData\Local\Temp\OnboardLogs"\RTDC4022\2017-02-21</v>
      </c>
      <c r="AF170" s="82" t="str">
        <f t="shared" si="77"/>
        <v>"C:\Program Files (x86)\AstroGrep\AstroGrep.exe" /spath="%USERPROFILE%\AppData\Local\Temp\OnboardLogs" /stypes="app*4022*20170220*" /stext=" 15:.+((SYSTEM_STATE.+slice.+state.+changed )|(ment ac)|(multiple cpu faults)|(system.+state.+changed )|(\[timeout)|(PRM\|1\|D)|(kpr)|(kdp)|(\|lc)|(penalty))" /e /r /s</v>
      </c>
      <c r="AG170" s="1" t="str">
        <f t="shared" si="92"/>
        <v>NW</v>
      </c>
      <c r="AH170" s="86" t="str">
        <f t="shared" si="78"/>
        <v>"%USERPROFILE%\Documents\GitHub\eaglep3\Utilities\RefineRTDCRunTimes.py" --tripid 809-20 --locoid 4022 --swversion DE.1.0.9.0 --startMP 204:958 --initTime 2017-02-20T07:28:18 --startdatetime 2017-02-20T07:51:15 --delay 1 --endMP 300:58929 --enddatetime 2017-02-20T08:05:12 --enforcementcount 0 &gt;&gt;C:\Users\stu\Documents\GitHub\eaglep3-reporting\EC\2017-02-20-refined-times.txt</v>
      </c>
      <c r="AI170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{"issue":{"subject":"","project_id":79,"tracker_id":40,"status_id":1,"priority_id":2,"assigned_to_id":23,"start_date":"2017-02-20","description":"","custom_fields":[{"id":1,"name":"Subdivision","value":"NW"},{"id":4,"name":"Milepost","value":"5.8929"},{"id":17,"name":"Train ID","value":"809-20"},{"id":16,"name":"Locomotive ID","value":"4022"},{"id":130,"name":"Impact","value":""},{"id":150,"name":"Time of Event (Mountain Time)","value":"08:05:12"},{"id":151,"name":"Denver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48"/>
      <c r="AK170" s="48"/>
      <c r="AL170" s="48"/>
      <c r="AM170" s="154" t="str">
        <f t="shared" si="80"/>
        <v>start /low /b %USERPROFILE%\Documents\GitHub\eaglep3\Utilities\DownloadLogsFromS3.py --loco 4022 --day 2017-02-20</v>
      </c>
      <c r="AN170" s="163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"%USERPROFILE%\AppData\Local\Temp\OnboardLogs"\RTDC4022\*4022*20170220* | grep -SE "(Enforcement Action)|(\[TIMEOUT)|(CHR.+\|PRM\|1\|D.+(SWITCH|SIGNAL).+UNKNOWN)" - &gt;&gt; 2017-02-20-UncaughtWiMAX.txt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3" t="s">
        <v>538</v>
      </c>
      <c r="B171" s="7">
        <v>4021</v>
      </c>
      <c r="C171" s="21" t="s">
        <v>408</v>
      </c>
      <c r="D171" s="21" t="s">
        <v>809</v>
      </c>
      <c r="E171" s="13">
        <v>42786.337962962964</v>
      </c>
      <c r="F171" s="13">
        <v>42786.339317129627</v>
      </c>
      <c r="G171" s="7">
        <v>1</v>
      </c>
      <c r="H171" s="21" t="s">
        <v>429</v>
      </c>
      <c r="I171" s="13">
        <v>42786.351018518515</v>
      </c>
      <c r="J171" s="7">
        <v>0</v>
      </c>
      <c r="K171" s="98" t="str">
        <f t="shared" si="83"/>
        <v>4021/4022</v>
      </c>
      <c r="L171" s="21" t="str">
        <f>VLOOKUP(A171,'Trips&amp;Operators'!$C$1:$G$99999,5,FALSE)</f>
        <v>SWANSON BRYCE</v>
      </c>
      <c r="M171" s="6">
        <f t="shared" si="84"/>
        <v>1.17013888884685E-2</v>
      </c>
      <c r="N171" s="7">
        <f t="shared" si="93"/>
        <v>16.84999999939464</v>
      </c>
      <c r="O171" s="7"/>
      <c r="P171" s="7"/>
      <c r="Q171" s="22"/>
      <c r="R171" s="22"/>
      <c r="S171" s="31">
        <f t="shared" si="85"/>
        <v>1</v>
      </c>
      <c r="T171" s="46" t="str">
        <f t="shared" si="86"/>
        <v>Southbound</v>
      </c>
      <c r="U171" s="186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7" t="str">
        <f t="shared" si="75"/>
        <v>https://d0f6bd738d7f1b3e5a7ca70fe4ff75f0.us-east-1.aws.found.io/app/kibana#/discover/Steve-Slow-Train-Analysis-(2080s-and-2083s)?_g=(refreshInterval:(display:Off,pause:!f,section:0,value:0),time:(from:'2017-02-20T07:06:40-0700',mode:absolute,to:'2017-02-20T09:25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71" s="188" t="str">
        <f t="shared" si="87"/>
        <v>N</v>
      </c>
      <c r="X171" s="188">
        <f t="shared" si="82"/>
        <v>1</v>
      </c>
      <c r="Y171" s="62">
        <f t="shared" si="88"/>
        <v>5.8613</v>
      </c>
      <c r="Z171" s="62">
        <f t="shared" si="89"/>
        <v>6.8500000000000005E-2</v>
      </c>
      <c r="AA171" s="62">
        <f t="shared" si="90"/>
        <v>5.7927999999999997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 t="shared" si="91"/>
        <v>0810-20</v>
      </c>
      <c r="AE171" s="85" t="str">
        <f t="shared" si="76"/>
        <v>aws s3 cp s3://rtdc.mdm.uploadarchive.raw/RTDC4021/ "%USERPROFILE%\AppData\Local\Temp\OnboardLogs"\RTDC4021\2017-02-20 --exclude "*" --recursive --include "*20170220*" &amp; "%USERPROFILE%\Documents\GitHub\mrs-test-scripts\Headless Mode &amp; Sideloading\WalkAndUnGZ.bat" "%USERPROFILE%\AppData\Local\Temp\OnboardLogs"\RTDC4021\2017-02-20 &amp; aws s3 cp s3://rtdc.mdm.uploadarchive.raw/RTDC4021/ "%USERPROFILE%\AppData\Local\Temp\OnboardLogs"\RTDC4021\2017-02-21 --exclude "*" --recursive --include "*20170221*" &amp; "%USERPROFILE%\Documents\GitHub\mrs-test-scripts\Headless Mode &amp; Sideloading\WalkAndUnGZ.bat" "%USERPROFILE%\AppData\Local\Temp\OnboardLogs"\RTDC4021\2017-02-21</v>
      </c>
      <c r="AF171" s="82" t="str">
        <f t="shared" si="77"/>
        <v>"C:\Program Files (x86)\AstroGrep\AstroGrep.exe" /spath="%USERPROFILE%\AppData\Local\Temp\OnboardLogs" /stypes="app*4021*20170220*" /stext=" 15:.+((SYSTEM_STATE.+slice.+state.+changed )|(ment ac)|(multiple cpu faults)|(system.+state.+changed )|(\[timeout)|(PRM\|1\|D)|(kpr)|(kdp)|(\|lc)|(penalty))" /e /r /s</v>
      </c>
      <c r="AG171" s="1" t="str">
        <f t="shared" si="92"/>
        <v>NW</v>
      </c>
      <c r="AH171" s="86" t="str">
        <f t="shared" si="78"/>
        <v>"%USERPROFILE%\Documents\GitHub\eaglep3\Utilities\RefineRTDCRunTimes.py" --tripid 810-20 --locoid 4021 --swversion DE.1.0.9.0 --startMP 300:58613 --initTime 2017-02-20T08:06:40 --startdatetime 2017-02-20T08:08:37 --delay 1 --endMP 204:685 --enddatetime 2017-02-20T08:25:28 --enforcementcount 0 &gt;&gt;C:\Users\stu\Documents\GitHub\eaglep3-reporting\EC\2017-02-20-refined-times.txt</v>
      </c>
      <c r="AI171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{"issue":{"subject":"","project_id":79,"tracker_id":40,"status_id":1,"priority_id":2,"assigned_to_id":23,"start_date":"2017-02-20","description":"","custom_fields":[{"id":1,"name":"Subdivision","value":"NW"},{"id":4,"name":"Milepost","value":"0.0685"},{"id":17,"name":"Train ID","value":"810-20"},{"id":16,"name":"Locomotive ID","value":"4021"},{"id":130,"name":"Impact","value":""},{"id":150,"name":"Time of Event (Mountain Time)","value":"08:25:28"},{"id":151,"name":"Denver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48"/>
      <c r="AK171" s="48"/>
      <c r="AL171" s="48"/>
      <c r="AM171" s="154" t="str">
        <f t="shared" si="80"/>
        <v>start /low /b %USERPROFILE%\Documents\GitHub\eaglep3\Utilities\DownloadLogsFromS3.py --loco 4021 --day 2017-02-20</v>
      </c>
      <c r="AN171" s="163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"%USERPROFILE%\AppData\Local\Temp\OnboardLogs"\RTDC4021\*4021*20170220* | grep -SE "(Enforcement Action)|(\[TIMEOUT)|(CHR.+\|PRM\|1\|D.+(SWITCH|SIGNAL).+UNKNOWN)" - &gt;&gt; 2017-02-20-UncaughtWiMAX.txt</v>
      </c>
    </row>
    <row r="172" spans="1:91" s="20" customFormat="1" x14ac:dyDescent="0.25">
      <c r="A172" s="33" t="s">
        <v>541</v>
      </c>
      <c r="B172" s="7">
        <v>4011</v>
      </c>
      <c r="C172" s="21" t="s">
        <v>408</v>
      </c>
      <c r="D172" s="21" t="s">
        <v>810</v>
      </c>
      <c r="E172" s="13">
        <v>42786.344456018516</v>
      </c>
      <c r="F172" s="13">
        <v>42786.348263888889</v>
      </c>
      <c r="G172" s="7">
        <v>1</v>
      </c>
      <c r="H172" s="21" t="s">
        <v>811</v>
      </c>
      <c r="I172" s="13">
        <v>42786.35769675926</v>
      </c>
      <c r="J172" s="7">
        <v>0</v>
      </c>
      <c r="K172" s="98" t="str">
        <f t="shared" si="83"/>
        <v>4011/4012</v>
      </c>
      <c r="L172" s="21" t="str">
        <f>VLOOKUP(A172,'Trips&amp;Operators'!$C$1:$G$99999,5,FALSE)</f>
        <v>ROCHA YAOTL</v>
      </c>
      <c r="M172" s="6">
        <f t="shared" si="84"/>
        <v>9.4328703708015382E-3</v>
      </c>
      <c r="N172" s="7">
        <f t="shared" si="93"/>
        <v>13.583333333954215</v>
      </c>
      <c r="O172" s="7"/>
      <c r="P172" s="7"/>
      <c r="Q172" s="22"/>
      <c r="R172" s="22"/>
      <c r="S172" s="31">
        <f t="shared" si="85"/>
        <v>1</v>
      </c>
      <c r="T172" s="46" t="str">
        <f t="shared" si="86"/>
        <v>NorthBound</v>
      </c>
      <c r="U172" s="186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7" t="str">
        <f t="shared" si="75"/>
        <v>https://d0f6bd738d7f1b3e5a7ca70fe4ff75f0.us-east-1.aws.found.io/app/kibana#/discover/Steve-Slow-Train-Analysis-(2080s-and-2083s)?_g=(refreshInterval:(display:Off,pause:!f,section:0,value:0),time:(from:'2017-02-20T07:16:01-0700',mode:absolute,to:'2017-02-20T09:35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2" s="188" t="str">
        <f t="shared" si="87"/>
        <v>N</v>
      </c>
      <c r="X172" s="188">
        <f t="shared" si="82"/>
        <v>1</v>
      </c>
      <c r="Y172" s="62">
        <f t="shared" si="88"/>
        <v>9.6000000000000002E-2</v>
      </c>
      <c r="Z172" s="62">
        <f t="shared" si="89"/>
        <v>5.8958000000000004</v>
      </c>
      <c r="AA172" s="62">
        <f t="shared" si="90"/>
        <v>5.7998000000000003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 t="shared" si="91"/>
        <v>0811-20</v>
      </c>
      <c r="AE172" s="85" t="str">
        <f t="shared" si="76"/>
        <v>aws s3 cp s3://rtdc.mdm.uploadarchive.raw/RTDC4011/ "%USERPROFILE%\AppData\Local\Temp\OnboardLogs"\RTDC4011\2017-02-20 --exclude "*" --recursive --include "*20170220*" &amp; "%USERPROFILE%\Documents\GitHub\mrs-test-scripts\Headless Mode &amp; Sideloading\WalkAndUnGZ.bat" "%USERPROFILE%\AppData\Local\Temp\OnboardLogs"\RTDC4011\2017-02-20 &amp; aws s3 cp s3://rtdc.mdm.uploadarchive.raw/RTDC4011/ "%USERPROFILE%\AppData\Local\Temp\OnboardLogs"\RTDC4011\2017-02-21 --exclude "*" --recursive --include "*20170221*" &amp; "%USERPROFILE%\Documents\GitHub\mrs-test-scripts\Headless Mode &amp; Sideloading\WalkAndUnGZ.bat" "%USERPROFILE%\AppData\Local\Temp\OnboardLogs"\RTDC4011\2017-02-21</v>
      </c>
      <c r="AF172" s="82" t="str">
        <f t="shared" si="77"/>
        <v>"C:\Program Files (x86)\AstroGrep\AstroGrep.exe" /spath="%USERPROFILE%\AppData\Local\Temp\OnboardLogs" /stypes="app*4011*20170220*" /stext=" 15:.+((SYSTEM_STATE.+slice.+state.+changed )|(ment ac)|(multiple cpu faults)|(system.+state.+changed )|(\[timeout)|(PRM\|1\|D)|(kpr)|(kdp)|(\|lc)|(penalty))" /e /r /s</v>
      </c>
      <c r="AG172" s="1" t="str">
        <f t="shared" si="92"/>
        <v>NW</v>
      </c>
      <c r="AH172" s="86" t="str">
        <f t="shared" si="78"/>
        <v>"%USERPROFILE%\Documents\GitHub\eaglep3\Utilities\RefineRTDCRunTimes.py" --tripid 811-20 --locoid 4011 --swversion DE.1.0.9.0 --startMP 204:960 --initTime 2017-02-20T08:16:01 --startdatetime 2017-02-20T08:21:30 --delay 1 --endMP 300:58958 --enddatetime 2017-02-20T08:35:05 --enforcementcount 0 &gt;&gt;C:\Users\stu\Documents\GitHub\eaglep3-reporting\EC\2017-02-20-refined-times.txt</v>
      </c>
      <c r="AI172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{"issue":{"subject":"","project_id":79,"tracker_id":40,"status_id":1,"priority_id":2,"assigned_to_id":23,"start_date":"2017-02-20","description":"","custom_fields":[{"id":1,"name":"Subdivision","value":"NW"},{"id":4,"name":"Milepost","value":"5.8958"},{"id":17,"name":"Train ID","value":"811-20"},{"id":16,"name":"Locomotive ID","value":"4011"},{"id":130,"name":"Impact","value":""},{"id":150,"name":"Time of Event (Mountain Time)","value":"08:35:05"},{"id":151,"name":"Denver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48"/>
      <c r="AK172" s="48"/>
      <c r="AL172" s="48"/>
      <c r="AM172" s="154" t="str">
        <f t="shared" si="80"/>
        <v>start /low /b %USERPROFILE%\Documents\GitHub\eaglep3\Utilities\DownloadLogsFromS3.py --loco 4011 --day 2017-02-20</v>
      </c>
      <c r="AN172" s="163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"%USERPROFILE%\AppData\Local\Temp\OnboardLogs"\RTDC4011\*4011*20170220* | grep -SE "(Enforcement Action)|(\[TIMEOUT)|(CHR.+\|PRM\|1\|D.+(SWITCH|SIGNAL).+UNKNOWN)" - &gt;&gt; 2017-02-20-UncaughtWiMAX.txt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x14ac:dyDescent="0.25">
      <c r="A173" s="33" t="s">
        <v>545</v>
      </c>
      <c r="B173" s="7">
        <v>4012</v>
      </c>
      <c r="C173" s="21" t="s">
        <v>408</v>
      </c>
      <c r="D173" s="21" t="s">
        <v>812</v>
      </c>
      <c r="E173" s="13">
        <v>42786.3596875</v>
      </c>
      <c r="F173" s="13">
        <v>42786.36146990741</v>
      </c>
      <c r="G173" s="7">
        <v>1</v>
      </c>
      <c r="H173" s="21" t="s">
        <v>307</v>
      </c>
      <c r="I173" s="13">
        <v>42786.371400462966</v>
      </c>
      <c r="J173" s="7">
        <v>0</v>
      </c>
      <c r="K173" s="98" t="str">
        <f t="shared" si="83"/>
        <v>4011/4012</v>
      </c>
      <c r="L173" s="21" t="str">
        <f>VLOOKUP(A173,'Trips&amp;Operators'!$C$1:$G$99999,5,FALSE)</f>
        <v>ROCHA YAOTL</v>
      </c>
      <c r="M173" s="6">
        <f t="shared" si="84"/>
        <v>9.930555555911269E-3</v>
      </c>
      <c r="N173" s="7">
        <f t="shared" si="93"/>
        <v>14.300000000512227</v>
      </c>
      <c r="O173" s="7"/>
      <c r="P173" s="7"/>
      <c r="Q173" s="22"/>
      <c r="R173" s="22"/>
      <c r="S173" s="31">
        <f t="shared" si="85"/>
        <v>1</v>
      </c>
      <c r="T173" s="46" t="str">
        <f t="shared" si="86"/>
        <v>Southbound</v>
      </c>
      <c r="U173" s="186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7" t="str">
        <f t="shared" si="75"/>
        <v>https://d0f6bd738d7f1b3e5a7ca70fe4ff75f0.us-east-1.aws.found.io/app/kibana#/discover/Steve-Slow-Train-Analysis-(2080s-and-2083s)?_g=(refreshInterval:(display:Off,pause:!f,section:0,value:0),time:(from:'2017-02-20T07:37:57-0700',mode:absolute,to:'2017-02-20T09:54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3" s="188" t="str">
        <f t="shared" si="87"/>
        <v>N</v>
      </c>
      <c r="X173" s="188">
        <f t="shared" si="82"/>
        <v>1</v>
      </c>
      <c r="Y173" s="62">
        <f t="shared" si="88"/>
        <v>5.8644999999999996</v>
      </c>
      <c r="Z173" s="62">
        <f t="shared" si="89"/>
        <v>6.7799999999999999E-2</v>
      </c>
      <c r="AA173" s="62">
        <f t="shared" si="90"/>
        <v>5.7966999999999995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 t="shared" si="91"/>
        <v>0812-20</v>
      </c>
      <c r="AE173" s="85" t="str">
        <f t="shared" si="76"/>
        <v>aws s3 cp s3://rtdc.mdm.uploadarchive.raw/RTDC4012/ "%USERPROFILE%\AppData\Local\Temp\OnboardLogs"\RTDC4012\2017-02-20 --exclude "*" --recursive --include "*20170220*" &amp; "%USERPROFILE%\Documents\GitHub\mrs-test-scripts\Headless Mode &amp; Sideloading\WalkAndUnGZ.bat" "%USERPROFILE%\AppData\Local\Temp\OnboardLogs"\RTDC4012\2017-02-20 &amp; aws s3 cp s3://rtdc.mdm.uploadarchive.raw/RTDC4012/ "%USERPROFILE%\AppData\Local\Temp\OnboardLogs"\RTDC4012\2017-02-21 --exclude "*" --recursive --include "*20170221*" &amp; "%USERPROFILE%\Documents\GitHub\mrs-test-scripts\Headless Mode &amp; Sideloading\WalkAndUnGZ.bat" "%USERPROFILE%\AppData\Local\Temp\OnboardLogs"\RTDC4012\2017-02-21</v>
      </c>
      <c r="AF173" s="82" t="str">
        <f t="shared" si="77"/>
        <v>"C:\Program Files (x86)\AstroGrep\AstroGrep.exe" /spath="%USERPROFILE%\AppData\Local\Temp\OnboardLogs" /stypes="app*4012*20170220*" /stext=" 15:.+((SYSTEM_STATE.+slice.+state.+changed )|(ment ac)|(multiple cpu faults)|(system.+state.+changed )|(\[timeout)|(PRM\|1\|D)|(kpr)|(kdp)|(\|lc)|(penalty))" /e /r /s</v>
      </c>
      <c r="AG173" s="1" t="str">
        <f t="shared" si="92"/>
        <v>NW</v>
      </c>
      <c r="AH173" s="86" t="str">
        <f t="shared" si="78"/>
        <v>"%USERPROFILE%\Documents\GitHub\eaglep3\Utilities\RefineRTDCRunTimes.py" --tripid 812-20 --locoid 4012 --swversion DE.1.0.9.0 --startMP 300:58645 --initTime 2017-02-20T08:37:57 --startdatetime 2017-02-20T08:40:31 --delay 1 --endMP 204:678 --enddatetime 2017-02-20T08:54:49 --enforcementcount 0 &gt;&gt;C:\Users\stu\Documents\GitHub\eaglep3-reporting\EC\2017-02-20-refined-times.txt</v>
      </c>
      <c r="AI173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{"issue":{"subject":"","project_id":79,"tracker_id":40,"status_id":1,"priority_id":2,"assigned_to_id":23,"start_date":"2017-02-20","description":"","custom_fields":[{"id":1,"name":"Subdivision","value":"NW"},{"id":4,"name":"Milepost","value":"0.0678"},{"id":17,"name":"Train ID","value":"812-20"},{"id":16,"name":"Locomotive ID","value":"4012"},{"id":130,"name":"Impact","value":""},{"id":150,"name":"Time of Event (Mountain Time)","value":"08:54:49"},{"id":151,"name":"Denver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48"/>
      <c r="AK173" s="48"/>
      <c r="AL173" s="48"/>
      <c r="AM173" s="154" t="str">
        <f t="shared" si="80"/>
        <v>start /low /b %USERPROFILE%\Documents\GitHub\eaglep3\Utilities\DownloadLogsFromS3.py --loco 4012 --day 2017-02-20</v>
      </c>
      <c r="AN173" s="163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"%USERPROFILE%\AppData\Local\Temp\OnboardLogs"\RTDC4012\*4012*20170220* | grep -SE "(Enforcement Action)|(\[TIMEOUT)|(CHR.+\|PRM\|1\|D.+(SWITCH|SIGNAL).+UNKNOWN)" - &gt;&gt; 2017-02-20-UncaughtWiMAX.txt</v>
      </c>
    </row>
    <row r="174" spans="1:91" x14ac:dyDescent="0.25">
      <c r="A174" s="33" t="s">
        <v>465</v>
      </c>
      <c r="B174" s="7">
        <v>4011</v>
      </c>
      <c r="C174" s="21" t="s">
        <v>408</v>
      </c>
      <c r="D174" s="21" t="s">
        <v>813</v>
      </c>
      <c r="E174" s="13">
        <v>42786.380196759259</v>
      </c>
      <c r="F174" s="13">
        <v>42786.38989583333</v>
      </c>
      <c r="G174" s="7">
        <v>1</v>
      </c>
      <c r="H174" s="21" t="s">
        <v>342</v>
      </c>
      <c r="I174" s="13">
        <v>42786.401250000003</v>
      </c>
      <c r="J174" s="7">
        <v>0</v>
      </c>
      <c r="K174" s="98" t="str">
        <f t="shared" si="83"/>
        <v>4011/4012</v>
      </c>
      <c r="L174" s="21" t="str">
        <f>VLOOKUP(A174,'Trips&amp;Operators'!$C$1:$G$99999,5,FALSE)</f>
        <v>ROCHA YAOTL</v>
      </c>
      <c r="M174" s="6">
        <f t="shared" si="84"/>
        <v>1.135416667239042E-2</v>
      </c>
      <c r="N174" s="7">
        <f t="shared" si="93"/>
        <v>16.350000008242205</v>
      </c>
      <c r="O174" s="7"/>
      <c r="P174" s="7"/>
      <c r="Q174" s="22"/>
      <c r="R174" s="22"/>
      <c r="S174" s="31">
        <f t="shared" si="85"/>
        <v>1</v>
      </c>
      <c r="T174" s="46" t="str">
        <f t="shared" si="86"/>
        <v>NorthBound</v>
      </c>
      <c r="U174" s="186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7" t="str">
        <f t="shared" si="75"/>
        <v>https://d0f6bd738d7f1b3e5a7ca70fe4ff75f0.us-east-1.aws.found.io/app/kibana#/discover/Steve-Slow-Train-Analysis-(2080s-and-2083s)?_g=(refreshInterval:(display:Off,pause:!f,section:0,value:0),time:(from:'2017-02-20T08:07:29-0700',mode:absolute,to:'2017-02-20T10:37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4" s="188" t="str">
        <f t="shared" si="87"/>
        <v>N</v>
      </c>
      <c r="X174" s="188">
        <f t="shared" si="82"/>
        <v>1</v>
      </c>
      <c r="Y174" s="62">
        <f t="shared" si="88"/>
        <v>9.5100000000000004E-2</v>
      </c>
      <c r="Z174" s="62">
        <f t="shared" si="89"/>
        <v>5.8967000000000001</v>
      </c>
      <c r="AA174" s="62">
        <f t="shared" si="90"/>
        <v>5.8015999999999996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 t="shared" si="91"/>
        <v>0813-20</v>
      </c>
      <c r="AE174" s="85" t="str">
        <f t="shared" si="76"/>
        <v>aws s3 cp s3://rtdc.mdm.uploadarchive.raw/RTDC4011/ "%USERPROFILE%\AppData\Local\Temp\OnboardLogs"\RTDC4011\2017-02-20 --exclude "*" --recursive --include "*20170220*" &amp; "%USERPROFILE%\Documents\GitHub\mrs-test-scripts\Headless Mode &amp; Sideloading\WalkAndUnGZ.bat" "%USERPROFILE%\AppData\Local\Temp\OnboardLogs"\RTDC4011\2017-02-20 &amp; aws s3 cp s3://rtdc.mdm.uploadarchive.raw/RTDC4011/ "%USERPROFILE%\AppData\Local\Temp\OnboardLogs"\RTDC4011\2017-02-21 --exclude "*" --recursive --include "*20170221*" &amp; "%USERPROFILE%\Documents\GitHub\mrs-test-scripts\Headless Mode &amp; Sideloading\WalkAndUnGZ.bat" "%USERPROFILE%\AppData\Local\Temp\OnboardLogs"\RTDC4011\2017-02-21</v>
      </c>
      <c r="AF174" s="82" t="str">
        <f t="shared" si="77"/>
        <v>"C:\Program Files (x86)\AstroGrep\AstroGrep.exe" /spath="%USERPROFILE%\AppData\Local\Temp\OnboardLogs" /stypes="app*4011*20170220*" /stext=" 16:.+((SYSTEM_STATE.+slice.+state.+changed )|(ment ac)|(multiple cpu faults)|(system.+state.+changed )|(\[timeout)|(PRM\|1\|D)|(kpr)|(kdp)|(\|lc)|(penalty))" /e /r /s</v>
      </c>
      <c r="AG174" s="1" t="str">
        <f t="shared" si="92"/>
        <v>NW</v>
      </c>
      <c r="AH174" s="86" t="str">
        <f t="shared" si="78"/>
        <v>"%USERPROFILE%\Documents\GitHub\eaglep3\Utilities\RefineRTDCRunTimes.py" --tripid 813-20 --locoid 4011 --swversion DE.1.0.9.0 --startMP 204:951 --initTime 2017-02-20T09:07:29 --startdatetime 2017-02-20T09:21:27 --delay 1 --endMP 300:58967 --enddatetime 2017-02-20T09:37:48 --enforcementcount 0 &gt;&gt;C:\Users\stu\Documents\GitHub\eaglep3-reporting\EC\2017-02-20-refined-times.txt</v>
      </c>
      <c r="AI174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{"issue":{"subject":"","project_id":79,"tracker_id":40,"status_id":1,"priority_id":2,"assigned_to_id":23,"start_date":"2017-02-20","description":"","custom_fields":[{"id":1,"name":"Subdivision","value":"NW"},{"id":4,"name":"Milepost","value":"5.8967"},{"id":17,"name":"Train ID","value":"813-20"},{"id":16,"name":"Locomotive ID","value":"4011"},{"id":130,"name":"Impact","value":""},{"id":150,"name":"Time of Event (Mountain Time)","value":"09:37:48"},{"id":151,"name":"Denver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48"/>
      <c r="AK174" s="48"/>
      <c r="AL174" s="48"/>
      <c r="AM174" s="154" t="str">
        <f t="shared" si="80"/>
        <v>start /low /b %USERPROFILE%\Documents\GitHub\eaglep3\Utilities\DownloadLogsFromS3.py --loco 4011 --day 2017-02-20</v>
      </c>
      <c r="AN174" s="163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"%USERPROFILE%\AppData\Local\Temp\OnboardLogs"\RTDC4011\*4011*20170220* | grep -SE "(Enforcement Action)|(\[TIMEOUT)|(CHR.+\|PRM\|1\|D.+(SWITCH|SIGNAL).+UNKNOWN)" - &gt;&gt; 2017-02-20-UncaughtWiMAX.txt</v>
      </c>
    </row>
    <row r="175" spans="1:91" x14ac:dyDescent="0.25">
      <c r="A175" s="33" t="s">
        <v>466</v>
      </c>
      <c r="B175" s="7">
        <v>4012</v>
      </c>
      <c r="C175" s="21" t="s">
        <v>408</v>
      </c>
      <c r="D175" s="21" t="s">
        <v>814</v>
      </c>
      <c r="E175" s="13">
        <v>42786.402175925927</v>
      </c>
      <c r="F175" s="13">
        <v>42786.40351851852</v>
      </c>
      <c r="G175" s="7">
        <v>1</v>
      </c>
      <c r="H175" s="21" t="s">
        <v>815</v>
      </c>
      <c r="I175" s="13">
        <v>42786.4143287037</v>
      </c>
      <c r="J175" s="7">
        <v>0</v>
      </c>
      <c r="K175" s="98" t="str">
        <f t="shared" si="83"/>
        <v>4011/4012</v>
      </c>
      <c r="L175" s="21" t="str">
        <f>VLOOKUP(A175,'Trips&amp;Operators'!$C$1:$G$99999,5,FALSE)</f>
        <v>ROCHA YAOTL</v>
      </c>
      <c r="M175" s="6">
        <f t="shared" si="84"/>
        <v>1.081018518016208E-2</v>
      </c>
      <c r="N175" s="7">
        <f t="shared" si="93"/>
        <v>15.566666659433395</v>
      </c>
      <c r="O175" s="7"/>
      <c r="P175" s="7"/>
      <c r="Q175" s="22"/>
      <c r="R175" s="22"/>
      <c r="S175" s="31">
        <f t="shared" si="85"/>
        <v>1</v>
      </c>
      <c r="T175" s="46" t="str">
        <f t="shared" si="86"/>
        <v>Southbound</v>
      </c>
      <c r="U175" s="186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7" t="str">
        <f t="shared" si="75"/>
        <v>https://d0f6bd738d7f1b3e5a7ca70fe4ff75f0.us-east-1.aws.found.io/app/kibana#/discover/Steve-Slow-Train-Analysis-(2080s-and-2083s)?_g=(refreshInterval:(display:Off,pause:!f,section:0,value:0),time:(from:'2017-02-20T08:39:08-0700',mode:absolute,to:'2017-02-20T10:56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5" s="188" t="str">
        <f t="shared" si="87"/>
        <v>N</v>
      </c>
      <c r="X175" s="188">
        <f t="shared" si="82"/>
        <v>1</v>
      </c>
      <c r="Y175" s="62">
        <f t="shared" si="88"/>
        <v>5.8653000000000004</v>
      </c>
      <c r="Z175" s="62">
        <f t="shared" si="89"/>
        <v>7.5200000000000003E-2</v>
      </c>
      <c r="AA175" s="62">
        <f t="shared" si="90"/>
        <v>5.7901000000000007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 t="shared" si="91"/>
        <v>0814-20</v>
      </c>
      <c r="AE175" s="85" t="str">
        <f t="shared" si="76"/>
        <v>aws s3 cp s3://rtdc.mdm.uploadarchive.raw/RTDC4012/ "%USERPROFILE%\AppData\Local\Temp\OnboardLogs"\RTDC4012\2017-02-20 --exclude "*" --recursive --include "*20170220*" &amp; "%USERPROFILE%\Documents\GitHub\mrs-test-scripts\Headless Mode &amp; Sideloading\WalkAndUnGZ.bat" "%USERPROFILE%\AppData\Local\Temp\OnboardLogs"\RTDC4012\2017-02-20 &amp; aws s3 cp s3://rtdc.mdm.uploadarchive.raw/RTDC4012/ "%USERPROFILE%\AppData\Local\Temp\OnboardLogs"\RTDC4012\2017-02-21 --exclude "*" --recursive --include "*20170221*" &amp; "%USERPROFILE%\Documents\GitHub\mrs-test-scripts\Headless Mode &amp; Sideloading\WalkAndUnGZ.bat" "%USERPROFILE%\AppData\Local\Temp\OnboardLogs"\RTDC4012\2017-02-21</v>
      </c>
      <c r="AF175" s="82" t="str">
        <f t="shared" si="77"/>
        <v>"C:\Program Files (x86)\AstroGrep\AstroGrep.exe" /spath="%USERPROFILE%\AppData\Local\Temp\OnboardLogs" /stypes="app*4012*20170220*" /stext=" 16:.+((SYSTEM_STATE.+slice.+state.+changed )|(ment ac)|(multiple cpu faults)|(system.+state.+changed )|(\[timeout)|(PRM\|1\|D)|(kpr)|(kdp)|(\|lc)|(penalty))" /e /r /s</v>
      </c>
      <c r="AG175" s="1" t="str">
        <f t="shared" si="92"/>
        <v>NW</v>
      </c>
      <c r="AH175" s="86" t="str">
        <f t="shared" si="78"/>
        <v>"%USERPROFILE%\Documents\GitHub\eaglep3\Utilities\RefineRTDCRunTimes.py" --tripid 814-20 --locoid 4012 --swversion DE.1.0.9.0 --startMP 300:58653 --initTime 2017-02-20T09:39:08 --startdatetime 2017-02-20T09:41:04 --delay 1 --endMP 204:752 --enddatetime 2017-02-20T09:56:38 --enforcementcount 0 &gt;&gt;C:\Users\stu\Documents\GitHub\eaglep3-reporting\EC\2017-02-20-refined-times.txt</v>
      </c>
      <c r="AI175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{"issue":{"subject":"","project_id":79,"tracker_id":40,"status_id":1,"priority_id":2,"assigned_to_id":23,"start_date":"2017-02-20","description":"","custom_fields":[{"id":1,"name":"Subdivision","value":"NW"},{"id":4,"name":"Milepost","value":"0.0752"},{"id":17,"name":"Train ID","value":"814-20"},{"id":16,"name":"Locomotive ID","value":"4012"},{"id":130,"name":"Impact","value":""},{"id":150,"name":"Time of Event (Mountain Time)","value":"09:56:38"},{"id":151,"name":"Denver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48"/>
      <c r="AK175" s="48"/>
      <c r="AL175" s="48"/>
      <c r="AM175" s="154" t="str">
        <f t="shared" si="80"/>
        <v>start /low /b %USERPROFILE%\Documents\GitHub\eaglep3\Utilities\DownloadLogsFromS3.py --loco 4012 --day 2017-02-20</v>
      </c>
      <c r="AN175" s="163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"%USERPROFILE%\AppData\Local\Temp\OnboardLogs"\RTDC4012\*4012*20170220* | grep -SE "(Enforcement Action)|(\[TIMEOUT)|(CHR.+\|PRM\|1\|D.+(SWITCH|SIGNAL).+UNKNOWN)" - &gt;&gt; 2017-02-20-UncaughtWiMAX.txt</v>
      </c>
    </row>
    <row r="176" spans="1:91" s="20" customFormat="1" x14ac:dyDescent="0.25">
      <c r="A176" s="33" t="s">
        <v>559</v>
      </c>
      <c r="B176" s="7">
        <v>4011</v>
      </c>
      <c r="C176" s="21" t="s">
        <v>408</v>
      </c>
      <c r="D176" s="21" t="s">
        <v>816</v>
      </c>
      <c r="E176" s="13">
        <v>42786.429976851854</v>
      </c>
      <c r="F176" s="13">
        <v>42786.432152777779</v>
      </c>
      <c r="G176" s="7">
        <v>1</v>
      </c>
      <c r="H176" s="21" t="s">
        <v>342</v>
      </c>
      <c r="I176" s="13">
        <v>42786.441388888888</v>
      </c>
      <c r="J176" s="7">
        <v>0</v>
      </c>
      <c r="K176" s="98" t="str">
        <f t="shared" si="83"/>
        <v>4011/4012</v>
      </c>
      <c r="L176" s="21" t="str">
        <f>VLOOKUP(A176,'Trips&amp;Operators'!$C$1:$G$99999,5,FALSE)</f>
        <v>ROCHA YAOTL</v>
      </c>
      <c r="M176" s="6">
        <f t="shared" si="84"/>
        <v>9.2361111092031933E-3</v>
      </c>
      <c r="N176" s="7">
        <f t="shared" si="93"/>
        <v>13.299999997252598</v>
      </c>
      <c r="O176" s="7"/>
      <c r="P176" s="7"/>
      <c r="Q176" s="22"/>
      <c r="R176" s="22"/>
      <c r="S176" s="31">
        <f t="shared" si="85"/>
        <v>1</v>
      </c>
      <c r="T176" s="46" t="str">
        <f t="shared" si="86"/>
        <v>NorthBound</v>
      </c>
      <c r="U176" s="186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7" t="str">
        <f t="shared" si="75"/>
        <v>https://d0f6bd738d7f1b3e5a7ca70fe4ff75f0.us-east-1.aws.found.io/app/kibana#/discover/Steve-Slow-Train-Analysis-(2080s-and-2083s)?_g=(refreshInterval:(display:Off,pause:!f,section:0,value:0),time:(from:'2017-02-20T09:19:10-0700',mode:absolute,to:'2017-02-20T11:35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6" s="188" t="str">
        <f t="shared" si="87"/>
        <v>N</v>
      </c>
      <c r="X176" s="188">
        <f t="shared" si="82"/>
        <v>1</v>
      </c>
      <c r="Y176" s="62">
        <f t="shared" si="88"/>
        <v>0.1042</v>
      </c>
      <c r="Z176" s="62">
        <f t="shared" si="89"/>
        <v>5.8967000000000001</v>
      </c>
      <c r="AA176" s="62">
        <f t="shared" si="90"/>
        <v>5.7925000000000004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 t="shared" si="91"/>
        <v>0815-20</v>
      </c>
      <c r="AE176" s="85" t="str">
        <f t="shared" si="76"/>
        <v>aws s3 cp s3://rtdc.mdm.uploadarchive.raw/RTDC4011/ "%USERPROFILE%\AppData\Local\Temp\OnboardLogs"\RTDC4011\2017-02-20 --exclude "*" --recursive --include "*20170220*" &amp; "%USERPROFILE%\Documents\GitHub\mrs-test-scripts\Headless Mode &amp; Sideloading\WalkAndUnGZ.bat" "%USERPROFILE%\AppData\Local\Temp\OnboardLogs"\RTDC4011\2017-02-20 &amp; aws s3 cp s3://rtdc.mdm.uploadarchive.raw/RTDC4011/ "%USERPROFILE%\AppData\Local\Temp\OnboardLogs"\RTDC4011\2017-02-21 --exclude "*" --recursive --include "*20170221*" &amp; "%USERPROFILE%\Documents\GitHub\mrs-test-scripts\Headless Mode &amp; Sideloading\WalkAndUnGZ.bat" "%USERPROFILE%\AppData\Local\Temp\OnboardLogs"\RTDC4011\2017-02-21</v>
      </c>
      <c r="AF176" s="82" t="str">
        <f t="shared" si="77"/>
        <v>"C:\Program Files (x86)\AstroGrep\AstroGrep.exe" /spath="%USERPROFILE%\AppData\Local\Temp\OnboardLogs" /stypes="app*4011*20170220*" /stext=" 17:.+((SYSTEM_STATE.+slice.+state.+changed )|(ment ac)|(multiple cpu faults)|(system.+state.+changed )|(\[timeout)|(PRM\|1\|D)|(kpr)|(kdp)|(\|lc)|(penalty))" /e /r /s</v>
      </c>
      <c r="AG176" s="1" t="str">
        <f t="shared" si="92"/>
        <v>NW</v>
      </c>
      <c r="AH176" s="86" t="str">
        <f t="shared" si="78"/>
        <v>"%USERPROFILE%\Documents\GitHub\eaglep3\Utilities\RefineRTDCRunTimes.py" --tripid 815-20 --locoid 4011 --swversion DE.1.0.9.0 --startMP 204:1042 --initTime 2017-02-20T10:19:10 --startdatetime 2017-02-20T10:22:18 --delay 1 --endMP 300:58967 --enddatetime 2017-02-20T10:35:36 --enforcementcount 0 &gt;&gt;C:\Users\stu\Documents\GitHub\eaglep3-reporting\EC\2017-02-20-refined-times.txt</v>
      </c>
      <c r="AI176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{"issue":{"subject":"","project_id":79,"tracker_id":40,"status_id":1,"priority_id":2,"assigned_to_id":23,"start_date":"2017-02-20","description":"","custom_fields":[{"id":1,"name":"Subdivision","value":"NW"},{"id":4,"name":"Milepost","value":"5.8967"},{"id":17,"name":"Train ID","value":"815-20"},{"id":16,"name":"Locomotive ID","value":"4011"},{"id":130,"name":"Impact","value":""},{"id":150,"name":"Time of Event (Mountain Time)","value":"10:35:36"},{"id":151,"name":"Denver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48"/>
      <c r="AK176" s="48"/>
      <c r="AL176" s="48"/>
      <c r="AM176" s="154" t="str">
        <f t="shared" si="80"/>
        <v>start /low /b %USERPROFILE%\Documents\GitHub\eaglep3\Utilities\DownloadLogsFromS3.py --loco 4011 --day 2017-02-20</v>
      </c>
      <c r="AN176" s="163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"%USERPROFILE%\AppData\Local\Temp\OnboardLogs"\RTDC4011\*4011*20170220* | grep -SE "(Enforcement Action)|(\[TIMEOUT)|(CHR.+\|PRM\|1\|D.+(SWITCH|SIGNAL).+UNKNOWN)" - &gt;&gt; 2017-02-20-UncaughtWiMAX.txt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3" t="s">
        <v>562</v>
      </c>
      <c r="B177" s="7">
        <v>4012</v>
      </c>
      <c r="C177" s="21" t="s">
        <v>408</v>
      </c>
      <c r="D177" s="21" t="s">
        <v>374</v>
      </c>
      <c r="E177" s="13">
        <v>42786.44253472222</v>
      </c>
      <c r="F177" s="13">
        <v>42786.443761574075</v>
      </c>
      <c r="G177" s="7">
        <v>0</v>
      </c>
      <c r="H177" s="21" t="s">
        <v>817</v>
      </c>
      <c r="I177" s="13">
        <v>42786.454768518517</v>
      </c>
      <c r="J177" s="7">
        <v>0</v>
      </c>
      <c r="K177" s="98" t="str">
        <f t="shared" si="83"/>
        <v>4011/4012</v>
      </c>
      <c r="L177" s="21" t="str">
        <f>VLOOKUP(A177,'Trips&amp;Operators'!$C$1:$G$99999,5,FALSE)</f>
        <v>ROCHA YAOTL</v>
      </c>
      <c r="M177" s="6">
        <f t="shared" si="84"/>
        <v>1.1006944441760425E-2</v>
      </c>
      <c r="N177" s="7">
        <f t="shared" si="93"/>
        <v>15.849999996135011</v>
      </c>
      <c r="O177" s="7"/>
      <c r="P177" s="7"/>
      <c r="Q177" s="22"/>
      <c r="R177" s="22"/>
      <c r="S177" s="31">
        <f t="shared" si="85"/>
        <v>1</v>
      </c>
      <c r="T177" s="46" t="str">
        <f t="shared" si="86"/>
        <v>Southbound</v>
      </c>
      <c r="U177" s="186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7" t="str">
        <f t="shared" si="75"/>
        <v>https://d0f6bd738d7f1b3e5a7ca70fe4ff75f0.us-east-1.aws.found.io/app/kibana#/discover/Steve-Slow-Train-Analysis-(2080s-and-2083s)?_g=(refreshInterval:(display:Off,pause:!f,section:0,value:0),time:(from:'2017-02-20T09:37:15-0700',mode:absolute,to:'2017-02-20T11:54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7" s="188" t="str">
        <f t="shared" si="87"/>
        <v>N</v>
      </c>
      <c r="X177" s="188">
        <f t="shared" si="82"/>
        <v>1</v>
      </c>
      <c r="Y177" s="62">
        <f t="shared" si="88"/>
        <v>5.8647</v>
      </c>
      <c r="Z177" s="62">
        <f t="shared" si="89"/>
        <v>6.7500000000000004E-2</v>
      </c>
      <c r="AA177" s="62">
        <f t="shared" si="90"/>
        <v>5.7972000000000001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 t="shared" si="91"/>
        <v>0816-20</v>
      </c>
      <c r="AE177" s="85" t="str">
        <f t="shared" si="76"/>
        <v>aws s3 cp s3://rtdc.mdm.uploadarchive.raw/RTDC4012/ "%USERPROFILE%\AppData\Local\Temp\OnboardLogs"\RTDC4012\2017-02-20 --exclude "*" --recursive --include "*20170220*" &amp; "%USERPROFILE%\Documents\GitHub\mrs-test-scripts\Headless Mode &amp; Sideloading\WalkAndUnGZ.bat" "%USERPROFILE%\AppData\Local\Temp\OnboardLogs"\RTDC4012\2017-02-20 &amp; aws s3 cp s3://rtdc.mdm.uploadarchive.raw/RTDC4012/ "%USERPROFILE%\AppData\Local\Temp\OnboardLogs"\RTDC4012\2017-02-21 --exclude "*" --recursive --include "*20170221*" &amp; "%USERPROFILE%\Documents\GitHub\mrs-test-scripts\Headless Mode &amp; Sideloading\WalkAndUnGZ.bat" "%USERPROFILE%\AppData\Local\Temp\OnboardLogs"\RTDC4012\2017-02-21</v>
      </c>
      <c r="AF177" s="82" t="str">
        <f t="shared" si="77"/>
        <v>"C:\Program Files (x86)\AstroGrep\AstroGrep.exe" /spath="%USERPROFILE%\AppData\Local\Temp\OnboardLogs" /stypes="app*4012*20170220*" /stext=" 17:.+((SYSTEM_STATE.+slice.+state.+changed )|(ment ac)|(multiple cpu faults)|(system.+state.+changed )|(\[timeout)|(PRM\|1\|D)|(kpr)|(kdp)|(\|lc)|(penalty))" /e /r /s</v>
      </c>
      <c r="AG177" s="1" t="str">
        <f t="shared" si="92"/>
        <v>NW</v>
      </c>
      <c r="AH177" s="86" t="str">
        <f t="shared" si="78"/>
        <v>"%USERPROFILE%\Documents\GitHub\eaglep3\Utilities\RefineRTDCRunTimes.py" --tripid 816-20 --locoid 4012 --swversion DE.1.0.9.0 --startMP 300:58647 --initTime 2017-02-20T10:37:15 --startdatetime 2017-02-20T10:39:01 --delay 0 --endMP 204:675 --enddatetime 2017-02-20T10:54:52 --enforcementcount 0 &gt;&gt;C:\Users\stu\Documents\GitHub\eaglep3-reporting\EC\2017-02-20-refined-times.txt</v>
      </c>
      <c r="AI177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{"issue":{"subject":"","project_id":79,"tracker_id":40,"status_id":1,"priority_id":2,"assigned_to_id":23,"start_date":"2017-02-20","description":"","custom_fields":[{"id":1,"name":"Subdivision","value":"NW"},{"id":4,"name":"Milepost","value":"0.0675"},{"id":17,"name":"Train ID","value":"816-20"},{"id":16,"name":"Locomotive ID","value":"4012"},{"id":130,"name":"Impact","value":""},{"id":150,"name":"Time of Event (Mountain Time)","value":"10:54:52"},{"id":151,"name":"Denver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48"/>
      <c r="AK177" s="48"/>
      <c r="AL177" s="48"/>
      <c r="AM177" s="154" t="str">
        <f t="shared" si="80"/>
        <v>start /low /b %USERPROFILE%\Documents\GitHub\eaglep3\Utilities\DownloadLogsFromS3.py --loco 4012 --day 2017-02-20</v>
      </c>
      <c r="AN177" s="163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"%USERPROFILE%\AppData\Local\Temp\OnboardLogs"\RTDC4012\*4012*20170220* | grep -SE "(Enforcement Action)|(\[TIMEOUT)|(CHR.+\|PRM\|1\|D.+(SWITCH|SIGNAL).+UNKNOWN)" - &gt;&gt; 2017-02-20-UncaughtWiMAX.txt</v>
      </c>
    </row>
    <row r="178" spans="1:91" s="20" customFormat="1" x14ac:dyDescent="0.25">
      <c r="A178" s="33" t="s">
        <v>571</v>
      </c>
      <c r="B178" s="7">
        <v>4011</v>
      </c>
      <c r="C178" s="21" t="s">
        <v>408</v>
      </c>
      <c r="D178" s="21" t="s">
        <v>818</v>
      </c>
      <c r="E178" s="13">
        <v>42786.468460648146</v>
      </c>
      <c r="F178" s="13">
        <v>42786.473136574074</v>
      </c>
      <c r="G178" s="7">
        <v>7</v>
      </c>
      <c r="H178" s="21" t="s">
        <v>427</v>
      </c>
      <c r="I178" s="13">
        <v>42786.482314814813</v>
      </c>
      <c r="J178" s="7">
        <v>0</v>
      </c>
      <c r="K178" s="98" t="str">
        <f t="shared" si="83"/>
        <v>4011/4012</v>
      </c>
      <c r="L178" s="21" t="str">
        <f>VLOOKUP(A178,'Trips&amp;Operators'!$C$1:$G$99999,5,FALSE)</f>
        <v>ROCHA YAOTL</v>
      </c>
      <c r="M178" s="6">
        <f t="shared" si="84"/>
        <v>9.1782407398568466E-3</v>
      </c>
      <c r="N178" s="7">
        <f t="shared" si="93"/>
        <v>13.216666665393859</v>
      </c>
      <c r="O178" s="7"/>
      <c r="P178" s="7"/>
      <c r="Q178" s="22"/>
      <c r="R178" s="22"/>
      <c r="S178" s="31">
        <f t="shared" si="85"/>
        <v>1</v>
      </c>
      <c r="T178" s="46" t="str">
        <f t="shared" si="86"/>
        <v>NorthBound</v>
      </c>
      <c r="U178" s="186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7" t="str">
        <f t="shared" si="75"/>
        <v>https://d0f6bd738d7f1b3e5a7ca70fe4ff75f0.us-east-1.aws.found.io/app/kibana#/discover/Steve-Slow-Train-Analysis-(2080s-and-2083s)?_g=(refreshInterval:(display:Off,pause:!f,section:0,value:0),time:(from:'2017-02-20T10:14:35-0700',mode:absolute,to:'2017-02-20T12:34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8" s="188" t="str">
        <f t="shared" si="87"/>
        <v>N</v>
      </c>
      <c r="X178" s="188">
        <f t="shared" si="82"/>
        <v>1</v>
      </c>
      <c r="Y178" s="62">
        <f t="shared" si="88"/>
        <v>0.21959999999999999</v>
      </c>
      <c r="Z178" s="62">
        <f t="shared" si="89"/>
        <v>5.8956</v>
      </c>
      <c r="AA178" s="62">
        <f t="shared" si="90"/>
        <v>5.6760000000000002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 t="shared" si="91"/>
        <v>0817-20</v>
      </c>
      <c r="AE178" s="85" t="str">
        <f t="shared" si="76"/>
        <v>aws s3 cp s3://rtdc.mdm.uploadarchive.raw/RTDC4011/ "%USERPROFILE%\AppData\Local\Temp\OnboardLogs"\RTDC4011\2017-02-20 --exclude "*" --recursive --include "*20170220*" &amp; "%USERPROFILE%\Documents\GitHub\mrs-test-scripts\Headless Mode &amp; Sideloading\WalkAndUnGZ.bat" "%USERPROFILE%\AppData\Local\Temp\OnboardLogs"\RTDC4011\2017-02-20 &amp; aws s3 cp s3://rtdc.mdm.uploadarchive.raw/RTDC4011/ "%USERPROFILE%\AppData\Local\Temp\OnboardLogs"\RTDC4011\2017-02-21 --exclude "*" --recursive --include "*20170221*" &amp; "%USERPROFILE%\Documents\GitHub\mrs-test-scripts\Headless Mode &amp; Sideloading\WalkAndUnGZ.bat" "%USERPROFILE%\AppData\Local\Temp\OnboardLogs"\RTDC4011\2017-02-21</v>
      </c>
      <c r="AF178" s="82" t="str">
        <f t="shared" si="77"/>
        <v>"C:\Program Files (x86)\AstroGrep\AstroGrep.exe" /spath="%USERPROFILE%\AppData\Local\Temp\OnboardLogs" /stypes="app*4011*20170220*" /stext=" 18:.+((SYSTEM_STATE.+slice.+state.+changed )|(ment ac)|(multiple cpu faults)|(system.+state.+changed )|(\[timeout)|(PRM\|1\|D)|(kpr)|(kdp)|(\|lc)|(penalty))" /e /r /s</v>
      </c>
      <c r="AG178" s="1" t="str">
        <f t="shared" si="92"/>
        <v>NW</v>
      </c>
      <c r="AH178" s="86" t="str">
        <f t="shared" si="78"/>
        <v>"%USERPROFILE%\Documents\GitHub\eaglep3\Utilities\RefineRTDCRunTimes.py" --tripid 817-20 --locoid 4011 --swversion DE.1.0.9.0 --startMP 204:2196 --initTime 2017-02-20T11:14:35 --startdatetime 2017-02-20T11:21:19 --delay 7 --endMP 300:58956 --enddatetime 2017-02-20T11:34:32 --enforcementcount 0 &gt;&gt;C:\Users\stu\Documents\GitHub\eaglep3-reporting\EC\2017-02-20-refined-times.txt</v>
      </c>
      <c r="AI178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{"issue":{"subject":"","project_id":79,"tracker_id":40,"status_id":1,"priority_id":2,"assigned_to_id":23,"start_date":"2017-02-20","description":"","custom_fields":[{"id":1,"name":"Subdivision","value":"NW"},{"id":4,"name":"Milepost","value":"5.8956"},{"id":17,"name":"Train ID","value":"817-20"},{"id":16,"name":"Locomotive ID","value":"4011"},{"id":130,"name":"Impact","value":""},{"id":150,"name":"Time of Event (Mountain Time)","value":"11:34:32"},{"id":151,"name":"Denver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48"/>
      <c r="AK178" s="48"/>
      <c r="AL178" s="48"/>
      <c r="AM178" s="154" t="str">
        <f t="shared" si="80"/>
        <v>start /low /b %USERPROFILE%\Documents\GitHub\eaglep3\Utilities\DownloadLogsFromS3.py --loco 4011 --day 2017-02-20</v>
      </c>
      <c r="AN178" s="163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"%USERPROFILE%\AppData\Local\Temp\OnboardLogs"\RTDC4011\*4011*20170220* | grep -SE "(Enforcement Action)|(\[TIMEOUT)|(CHR.+\|PRM\|1\|D.+(SWITCH|SIGNAL).+UNKNOWN)" - &gt;&gt; 2017-02-20-UncaughtWiMAX.txt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3" t="s">
        <v>575</v>
      </c>
      <c r="B179" s="7">
        <v>4012</v>
      </c>
      <c r="C179" s="21" t="s">
        <v>408</v>
      </c>
      <c r="D179" s="21" t="s">
        <v>812</v>
      </c>
      <c r="E179" s="13">
        <v>42786.483541666668</v>
      </c>
      <c r="F179" s="13">
        <v>42786.485312500001</v>
      </c>
      <c r="G179" s="7">
        <v>1</v>
      </c>
      <c r="H179" s="21" t="s">
        <v>803</v>
      </c>
      <c r="I179" s="13">
        <v>42786.49858796296</v>
      </c>
      <c r="J179" s="7">
        <v>0</v>
      </c>
      <c r="K179" s="98" t="str">
        <f t="shared" si="83"/>
        <v>4011/4012</v>
      </c>
      <c r="L179" s="21" t="str">
        <f>VLOOKUP(A179,'Trips&amp;Operators'!$C$1:$G$99999,5,FALSE)</f>
        <v>ROCHA YAOTL</v>
      </c>
      <c r="M179" s="6">
        <f t="shared" si="84"/>
        <v>1.3275462959427387E-2</v>
      </c>
      <c r="N179" s="7">
        <f t="shared" si="93"/>
        <v>19.116666661575437</v>
      </c>
      <c r="O179" s="7"/>
      <c r="P179" s="7"/>
      <c r="Q179" s="22"/>
      <c r="R179" s="22"/>
      <c r="S179" s="31">
        <f t="shared" si="85"/>
        <v>1</v>
      </c>
      <c r="T179" s="46" t="str">
        <f t="shared" si="86"/>
        <v>Southbound</v>
      </c>
      <c r="U179" s="186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7" t="str">
        <f t="shared" si="75"/>
        <v>https://d0f6bd738d7f1b3e5a7ca70fe4ff75f0.us-east-1.aws.found.io/app/kibana#/discover/Steve-Slow-Train-Analysis-(2080s-and-2083s)?_g=(refreshInterval:(display:Off,pause:!f,section:0,value:0),time:(from:'2017-02-20T10:36:18-0700',mode:absolute,to:'2017-02-20T12:57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9" s="188" t="str">
        <f t="shared" si="87"/>
        <v>N</v>
      </c>
      <c r="X179" s="188">
        <f t="shared" ref="X179:X182" si="94">VALUE(LEFT(AD179,4))-VALUE(LEFT(AD178,4))</f>
        <v>1</v>
      </c>
      <c r="Y179" s="62">
        <f t="shared" si="88"/>
        <v>5.8644999999999996</v>
      </c>
      <c r="Z179" s="62">
        <f t="shared" si="89"/>
        <v>6.7100000000000007E-2</v>
      </c>
      <c r="AA179" s="62">
        <f t="shared" si="90"/>
        <v>5.7973999999999997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 t="shared" si="91"/>
        <v>0818-20</v>
      </c>
      <c r="AE179" s="85" t="str">
        <f t="shared" si="76"/>
        <v>aws s3 cp s3://rtdc.mdm.uploadarchive.raw/RTDC4012/ "%USERPROFILE%\AppData\Local\Temp\OnboardLogs"\RTDC4012\2017-02-20 --exclude "*" --recursive --include "*20170220*" &amp; "%USERPROFILE%\Documents\GitHub\mrs-test-scripts\Headless Mode &amp; Sideloading\WalkAndUnGZ.bat" "%USERPROFILE%\AppData\Local\Temp\OnboardLogs"\RTDC4012\2017-02-20 &amp; aws s3 cp s3://rtdc.mdm.uploadarchive.raw/RTDC4012/ "%USERPROFILE%\AppData\Local\Temp\OnboardLogs"\RTDC4012\2017-02-21 --exclude "*" --recursive --include "*20170221*" &amp; "%USERPROFILE%\Documents\GitHub\mrs-test-scripts\Headless Mode &amp; Sideloading\WalkAndUnGZ.bat" "%USERPROFILE%\AppData\Local\Temp\OnboardLogs"\RTDC4012\2017-02-21</v>
      </c>
      <c r="AF179" s="82" t="str">
        <f t="shared" si="77"/>
        <v>"C:\Program Files (x86)\AstroGrep\AstroGrep.exe" /spath="%USERPROFILE%\AppData\Local\Temp\OnboardLogs" /stypes="app*4012*20170220*" /stext=" 18:.+((SYSTEM_STATE.+slice.+state.+changed )|(ment ac)|(multiple cpu faults)|(system.+state.+changed )|(\[timeout)|(PRM\|1\|D)|(kpr)|(kdp)|(\|lc)|(penalty))" /e /r /s</v>
      </c>
      <c r="AG179" s="1" t="str">
        <f t="shared" si="92"/>
        <v>NW</v>
      </c>
      <c r="AH179" s="86" t="str">
        <f t="shared" si="78"/>
        <v>"%USERPROFILE%\Documents\GitHub\eaglep3\Utilities\RefineRTDCRunTimes.py" --tripid 818-20 --locoid 4012 --swversion DE.1.0.9.0 --startMP 300:58645 --initTime 2017-02-20T11:36:18 --startdatetime 2017-02-20T11:38:51 --delay 1 --endMP 204:671 --enddatetime 2017-02-20T11:57:58 --enforcementcount 0 &gt;&gt;C:\Users\stu\Documents\GitHub\eaglep3-reporting\EC\2017-02-20-refined-times.txt</v>
      </c>
      <c r="AI179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{"issue":{"subject":"","project_id":79,"tracker_id":40,"status_id":1,"priority_id":2,"assigned_to_id":23,"start_date":"2017-02-20","description":"","custom_fields":[{"id":1,"name":"Subdivision","value":"NW"},{"id":4,"name":"Milepost","value":"0.0671"},{"id":17,"name":"Train ID","value":"818-20"},{"id":16,"name":"Locomotive ID","value":"4012"},{"id":130,"name":"Impact","value":""},{"id":150,"name":"Time of Event (Mountain Time)","value":"11:57:58"},{"id":151,"name":"Denver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48"/>
      <c r="AK179" s="48"/>
      <c r="AL179" s="48"/>
      <c r="AM179" s="154" t="str">
        <f t="shared" si="80"/>
        <v>start /low /b %USERPROFILE%\Documents\GitHub\eaglep3\Utilities\DownloadLogsFromS3.py --loco 4012 --day 2017-02-20</v>
      </c>
      <c r="AN179" s="163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"%USERPROFILE%\AppData\Local\Temp\OnboardLogs"\RTDC4012\*4012*20170220* | grep -SE "(Enforcement Action)|(\[TIMEOUT)|(CHR.+\|PRM\|1\|D.+(SWITCH|SIGNAL).+UNKNOWN)" - &gt;&gt; 2017-02-20-UncaughtWiMAX.txt</v>
      </c>
    </row>
    <row r="180" spans="1:91" x14ac:dyDescent="0.25">
      <c r="A180" s="33" t="s">
        <v>584</v>
      </c>
      <c r="B180" s="7">
        <v>4011</v>
      </c>
      <c r="C180" s="21" t="s">
        <v>408</v>
      </c>
      <c r="D180" s="21" t="s">
        <v>820</v>
      </c>
      <c r="E180" s="13">
        <v>42786.508703703701</v>
      </c>
      <c r="F180" s="13">
        <v>42786.515416666669</v>
      </c>
      <c r="G180" s="7">
        <v>1</v>
      </c>
      <c r="H180" s="21" t="s">
        <v>342</v>
      </c>
      <c r="I180" s="13">
        <v>42786.524837962963</v>
      </c>
      <c r="J180" s="7">
        <v>0</v>
      </c>
      <c r="K180" s="98" t="str">
        <f t="shared" si="83"/>
        <v>4011/4012</v>
      </c>
      <c r="L180" s="21" t="str">
        <f>VLOOKUP(A180,'Trips&amp;Operators'!$C$1:$G$99999,5,FALSE)</f>
        <v>ROCHA YAOTL</v>
      </c>
      <c r="M180" s="6">
        <f t="shared" si="84"/>
        <v>9.4212962940218858E-3</v>
      </c>
      <c r="N180" s="7">
        <f t="shared" si="93"/>
        <v>13.566666663391516</v>
      </c>
      <c r="O180" s="7"/>
      <c r="P180" s="7"/>
      <c r="Q180" s="22"/>
      <c r="R180" s="22"/>
      <c r="S180" s="31">
        <f t="shared" si="85"/>
        <v>1</v>
      </c>
      <c r="T180" s="46" t="str">
        <f t="shared" si="86"/>
        <v>NorthBound</v>
      </c>
      <c r="U180" s="186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7" t="str">
        <f t="shared" si="75"/>
        <v>https://d0f6bd738d7f1b3e5a7ca70fe4ff75f0.us-east-1.aws.found.io/app/kibana#/discover/Steve-Slow-Train-Analysis-(2080s-and-2083s)?_g=(refreshInterval:(display:Off,pause:!f,section:0,value:0),time:(from:'2017-02-20T11:12:32-0700',mode:absolute,to:'2017-02-20T13:35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0" s="188" t="str">
        <f t="shared" si="87"/>
        <v>N</v>
      </c>
      <c r="X180" s="188">
        <f t="shared" si="94"/>
        <v>1</v>
      </c>
      <c r="Y180" s="62">
        <f t="shared" si="88"/>
        <v>9.69E-2</v>
      </c>
      <c r="Z180" s="62">
        <f t="shared" si="89"/>
        <v>5.8967000000000001</v>
      </c>
      <c r="AA180" s="62">
        <f t="shared" si="90"/>
        <v>5.7998000000000003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 t="shared" si="91"/>
        <v>0819-20</v>
      </c>
      <c r="AE180" s="85" t="str">
        <f t="shared" si="76"/>
        <v>aws s3 cp s3://rtdc.mdm.uploadarchive.raw/RTDC4011/ "%USERPROFILE%\AppData\Local\Temp\OnboardLogs"\RTDC4011\2017-02-20 --exclude "*" --recursive --include "*20170220*" &amp; "%USERPROFILE%\Documents\GitHub\mrs-test-scripts\Headless Mode &amp; Sideloading\WalkAndUnGZ.bat" "%USERPROFILE%\AppData\Local\Temp\OnboardLogs"\RTDC4011\2017-02-20 &amp; aws s3 cp s3://rtdc.mdm.uploadarchive.raw/RTDC4011/ "%USERPROFILE%\AppData\Local\Temp\OnboardLogs"\RTDC4011\2017-02-21 --exclude "*" --recursive --include "*20170221*" &amp; "%USERPROFILE%\Documents\GitHub\mrs-test-scripts\Headless Mode &amp; Sideloading\WalkAndUnGZ.bat" "%USERPROFILE%\AppData\Local\Temp\OnboardLogs"\RTDC4011\2017-02-21</v>
      </c>
      <c r="AF180" s="82" t="str">
        <f t="shared" si="77"/>
        <v>"C:\Program Files (x86)\AstroGrep\AstroGrep.exe" /spath="%USERPROFILE%\AppData\Local\Temp\OnboardLogs" /stypes="app*4011*20170220*" /stext=" 19:.+((SYSTEM_STATE.+slice.+state.+changed )|(ment ac)|(multiple cpu faults)|(system.+state.+changed )|(\[timeout)|(PRM\|1\|D)|(kpr)|(kdp)|(\|lc)|(penalty))" /e /r /s</v>
      </c>
      <c r="AG180" s="1" t="str">
        <f t="shared" si="92"/>
        <v>NW</v>
      </c>
      <c r="AH180" s="86" t="str">
        <f t="shared" si="78"/>
        <v>"%USERPROFILE%\Documents\GitHub\eaglep3\Utilities\RefineRTDCRunTimes.py" --tripid 819-20 --locoid 4011 --swversion DE.1.0.9.0 --startMP 204:969 --initTime 2017-02-20T12:12:32 --startdatetime 2017-02-20T12:22:12 --delay 1 --endMP 300:58967 --enddatetime 2017-02-20T12:35:46 --enforcementcount 0 &gt;&gt;C:\Users\stu\Documents\GitHub\eaglep3-reporting\EC\2017-02-20-refined-times.txt</v>
      </c>
      <c r="AI180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{"issue":{"subject":"","project_id":79,"tracker_id":40,"status_id":1,"priority_id":2,"assigned_to_id":23,"start_date":"2017-02-20","description":"","custom_fields":[{"id":1,"name":"Subdivision","value":"NW"},{"id":4,"name":"Milepost","value":"5.8967"},{"id":17,"name":"Train ID","value":"819-20"},{"id":16,"name":"Locomotive ID","value":"4011"},{"id":130,"name":"Impact","value":""},{"id":150,"name":"Time of Event (Mountain Time)","value":"12:35:46"},{"id":151,"name":"Denver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48"/>
      <c r="AK180" s="48"/>
      <c r="AL180" s="48"/>
      <c r="AM180" s="154" t="str">
        <f t="shared" si="80"/>
        <v>start /low /b %USERPROFILE%\Documents\GitHub\eaglep3\Utilities\DownloadLogsFromS3.py --loco 4011 --day 2017-02-20</v>
      </c>
      <c r="AN180" s="163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"%USERPROFILE%\AppData\Local\Temp\OnboardLogs"\RTDC4011\*4011*20170220* | grep -SE "(Enforcement Action)|(\[TIMEOUT)|(CHR.+\|PRM\|1\|D.+(SWITCH|SIGNAL).+UNKNOWN)" - &gt;&gt; 2017-02-20-UncaughtWiMAX.txt</v>
      </c>
    </row>
    <row r="181" spans="1:91" x14ac:dyDescent="0.25">
      <c r="A181" s="33" t="s">
        <v>588</v>
      </c>
      <c r="B181" s="7">
        <v>4012</v>
      </c>
      <c r="C181" s="21" t="s">
        <v>408</v>
      </c>
      <c r="D181" s="21" t="s">
        <v>821</v>
      </c>
      <c r="E181" s="13">
        <v>42786.526250000003</v>
      </c>
      <c r="F181" s="13">
        <v>42786.527465277781</v>
      </c>
      <c r="G181" s="7">
        <v>0</v>
      </c>
      <c r="H181" s="21" t="s">
        <v>822</v>
      </c>
      <c r="I181" s="13">
        <v>42786.538784722223</v>
      </c>
      <c r="J181" s="7">
        <v>0</v>
      </c>
      <c r="K181" s="98" t="str">
        <f t="shared" si="83"/>
        <v>4011/4012</v>
      </c>
      <c r="L181" s="21" t="str">
        <f>VLOOKUP(A181,'Trips&amp;Operators'!$C$1:$G$99999,5,FALSE)</f>
        <v>ROCHA YAOTL</v>
      </c>
      <c r="M181" s="6">
        <f t="shared" si="84"/>
        <v>1.1319444442051463E-2</v>
      </c>
      <c r="N181" s="7">
        <f t="shared" si="93"/>
        <v>16.299999996554106</v>
      </c>
      <c r="O181" s="7"/>
      <c r="P181" s="7"/>
      <c r="Q181" s="22"/>
      <c r="R181" s="22"/>
      <c r="S181" s="31">
        <f t="shared" si="85"/>
        <v>1</v>
      </c>
      <c r="T181" s="46" t="str">
        <f t="shared" si="86"/>
        <v>Southbound</v>
      </c>
      <c r="U181" s="186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7" t="str">
        <f t="shared" si="75"/>
        <v>https://d0f6bd738d7f1b3e5a7ca70fe4ff75f0.us-east-1.aws.found.io/app/kibana#/discover/Steve-Slow-Train-Analysis-(2080s-and-2083s)?_g=(refreshInterval:(display:Off,pause:!f,section:0,value:0),time:(from:'2017-02-20T11:37:48-0700',mode:absolute,to:'2017-02-20T13:55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1" s="188" t="str">
        <f t="shared" si="87"/>
        <v>N</v>
      </c>
      <c r="X181" s="188">
        <f t="shared" si="94"/>
        <v>1</v>
      </c>
      <c r="Y181" s="62">
        <f t="shared" si="88"/>
        <v>5.8663999999999996</v>
      </c>
      <c r="Z181" s="62">
        <f t="shared" si="89"/>
        <v>6.9599999999999995E-2</v>
      </c>
      <c r="AA181" s="62">
        <f t="shared" si="90"/>
        <v>5.7967999999999993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 t="shared" si="91"/>
        <v>0820-20</v>
      </c>
      <c r="AE181" s="85" t="str">
        <f t="shared" si="76"/>
        <v>aws s3 cp s3://rtdc.mdm.uploadarchive.raw/RTDC4012/ "%USERPROFILE%\AppData\Local\Temp\OnboardLogs"\RTDC4012\2017-02-20 --exclude "*" --recursive --include "*20170220*" &amp; "%USERPROFILE%\Documents\GitHub\mrs-test-scripts\Headless Mode &amp; Sideloading\WalkAndUnGZ.bat" "%USERPROFILE%\AppData\Local\Temp\OnboardLogs"\RTDC4012\2017-02-20 &amp; aws s3 cp s3://rtdc.mdm.uploadarchive.raw/RTDC4012/ "%USERPROFILE%\AppData\Local\Temp\OnboardLogs"\RTDC4012\2017-02-21 --exclude "*" --recursive --include "*20170221*" &amp; "%USERPROFILE%\Documents\GitHub\mrs-test-scripts\Headless Mode &amp; Sideloading\WalkAndUnGZ.bat" "%USERPROFILE%\AppData\Local\Temp\OnboardLogs"\RTDC4012\2017-02-21</v>
      </c>
      <c r="AF181" s="82" t="str">
        <f t="shared" si="77"/>
        <v>"C:\Program Files (x86)\AstroGrep\AstroGrep.exe" /spath="%USERPROFILE%\AppData\Local\Temp\OnboardLogs" /stypes="app*4012*20170220*" /stext=" 19:.+((SYSTEM_STATE.+slice.+state.+changed )|(ment ac)|(multiple cpu faults)|(system.+state.+changed )|(\[timeout)|(PRM\|1\|D)|(kpr)|(kdp)|(\|lc)|(penalty))" /e /r /s</v>
      </c>
      <c r="AG181" s="1" t="str">
        <f t="shared" si="92"/>
        <v>NW</v>
      </c>
      <c r="AH181" s="86" t="str">
        <f t="shared" si="78"/>
        <v>"%USERPROFILE%\Documents\GitHub\eaglep3\Utilities\RefineRTDCRunTimes.py" --tripid 820-20 --locoid 4012 --swversion DE.1.0.9.0 --startMP 300:58664 --initTime 2017-02-20T12:37:48 --startdatetime 2017-02-20T12:39:33 --delay 0 --endMP 204:696 --enddatetime 2017-02-20T12:55:51 --enforcementcount 0 &gt;&gt;C:\Users\stu\Documents\GitHub\eaglep3-reporting\EC\2017-02-20-refined-times.txt</v>
      </c>
      <c r="AI181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{"issue":{"subject":"","project_id":79,"tracker_id":40,"status_id":1,"priority_id":2,"assigned_to_id":23,"start_date":"2017-02-20","description":"","custom_fields":[{"id":1,"name":"Subdivision","value":"NW"},{"id":4,"name":"Milepost","value":"0.0696"},{"id":17,"name":"Train ID","value":"820-20"},{"id":16,"name":"Locomotive ID","value":"4012"},{"id":130,"name":"Impact","value":""},{"id":150,"name":"Time of Event (Mountain Time)","value":"12:55:51"},{"id":151,"name":"Denver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48"/>
      <c r="AK181" s="48"/>
      <c r="AL181" s="48"/>
      <c r="AM181" s="154" t="str">
        <f t="shared" si="80"/>
        <v>start /low /b %USERPROFILE%\Documents\GitHub\eaglep3\Utilities\DownloadLogsFromS3.py --loco 4012 --day 2017-02-20</v>
      </c>
      <c r="AN181" s="163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"%USERPROFILE%\AppData\Local\Temp\OnboardLogs"\RTDC4012\*4012*20170220* | grep -SE "(Enforcement Action)|(\[TIMEOUT)|(CHR.+\|PRM\|1\|D.+(SWITCH|SIGNAL).+UNKNOWN)" - &gt;&gt; 2017-02-20-UncaughtWiMAX.txt</v>
      </c>
    </row>
    <row r="182" spans="1:91" x14ac:dyDescent="0.25">
      <c r="A182" s="33" t="s">
        <v>475</v>
      </c>
      <c r="B182" s="7">
        <v>4011</v>
      </c>
      <c r="C182" s="21" t="s">
        <v>408</v>
      </c>
      <c r="D182" s="21" t="s">
        <v>823</v>
      </c>
      <c r="E182" s="13">
        <v>42786.55159722222</v>
      </c>
      <c r="F182" s="13">
        <v>42786.556585648148</v>
      </c>
      <c r="G182" s="7">
        <v>1</v>
      </c>
      <c r="H182" s="21" t="s">
        <v>297</v>
      </c>
      <c r="I182" s="13">
        <v>42786.565474537034</v>
      </c>
      <c r="J182" s="7">
        <v>0</v>
      </c>
      <c r="K182" s="98" t="str">
        <f t="shared" si="83"/>
        <v>4011/4012</v>
      </c>
      <c r="L182" s="21" t="str">
        <f>VLOOKUP(A182,'Trips&amp;Operators'!$C$1:$G$99999,5,FALSE)</f>
        <v>LEVIN SCOTT</v>
      </c>
      <c r="M182" s="6">
        <f t="shared" si="84"/>
        <v>8.8888888858491555E-3</v>
      </c>
      <c r="N182" s="7">
        <f t="shared" si="93"/>
        <v>12.799999995622784</v>
      </c>
      <c r="O182" s="7"/>
      <c r="P182" s="7"/>
      <c r="Q182" s="22"/>
      <c r="R182" s="22"/>
      <c r="S182" s="31">
        <f t="shared" si="85"/>
        <v>1</v>
      </c>
      <c r="T182" s="46" t="str">
        <f t="shared" si="86"/>
        <v>NorthBound</v>
      </c>
      <c r="U182" s="186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7" t="str">
        <f t="shared" si="75"/>
        <v>https://d0f6bd738d7f1b3e5a7ca70fe4ff75f0.us-east-1.aws.found.io/app/kibana#/discover/Steve-Slow-Train-Analysis-(2080s-and-2083s)?_g=(refreshInterval:(display:Off,pause:!f,section:0,value:0),time:(from:'2017-02-20T12:14:18-0700',mode:absolute,to:'2017-02-20T14:34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2" s="188" t="str">
        <f t="shared" si="87"/>
        <v>N</v>
      </c>
      <c r="X182" s="188">
        <f t="shared" si="94"/>
        <v>1</v>
      </c>
      <c r="Y182" s="62">
        <f t="shared" si="88"/>
        <v>9.8599999999999993E-2</v>
      </c>
      <c r="Z182" s="62">
        <f t="shared" si="89"/>
        <v>5.8936999999999999</v>
      </c>
      <c r="AA182" s="62">
        <f t="shared" si="90"/>
        <v>5.7950999999999997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 t="shared" si="91"/>
        <v>0821-20</v>
      </c>
      <c r="AE182" s="85" t="str">
        <f t="shared" si="76"/>
        <v>aws s3 cp s3://rtdc.mdm.uploadarchive.raw/RTDC4011/ "%USERPROFILE%\AppData\Local\Temp\OnboardLogs"\RTDC4011\2017-02-20 --exclude "*" --recursive --include "*20170220*" &amp; "%USERPROFILE%\Documents\GitHub\mrs-test-scripts\Headless Mode &amp; Sideloading\WalkAndUnGZ.bat" "%USERPROFILE%\AppData\Local\Temp\OnboardLogs"\RTDC4011\2017-02-20 &amp; aws s3 cp s3://rtdc.mdm.uploadarchive.raw/RTDC4011/ "%USERPROFILE%\AppData\Local\Temp\OnboardLogs"\RTDC4011\2017-02-21 --exclude "*" --recursive --include "*20170221*" &amp; "%USERPROFILE%\Documents\GitHub\mrs-test-scripts\Headless Mode &amp; Sideloading\WalkAndUnGZ.bat" "%USERPROFILE%\AppData\Local\Temp\OnboardLogs"\RTDC4011\2017-02-21</v>
      </c>
      <c r="AF182" s="82" t="str">
        <f t="shared" si="77"/>
        <v>"C:\Program Files (x86)\AstroGrep\AstroGrep.exe" /spath="%USERPROFILE%\AppData\Local\Temp\OnboardLogs" /stypes="app*4011*20170220*" /stext=" 20:.+((SYSTEM_STATE.+slice.+state.+changed )|(ment ac)|(multiple cpu faults)|(system.+state.+changed )|(\[timeout)|(PRM\|1\|D)|(kpr)|(kdp)|(\|lc)|(penalty))" /e /r /s</v>
      </c>
      <c r="AG182" s="1" t="str">
        <f t="shared" si="92"/>
        <v>NW</v>
      </c>
      <c r="AH182" s="86" t="str">
        <f t="shared" si="78"/>
        <v>"%USERPROFILE%\Documents\GitHub\eaglep3\Utilities\RefineRTDCRunTimes.py" --tripid 821-20 --locoid 4011 --swversion DE.1.0.9.0 --startMP 204:986 --initTime 2017-02-20T13:14:18 --startdatetime 2017-02-20T13:21:29 --delay 1 --endMP 300:58937 --enddatetime 2017-02-20T13:34:17 --enforcementcount 0 &gt;&gt;C:\Users\stu\Documents\GitHub\eaglep3-reporting\EC\2017-02-20-refined-times.txt</v>
      </c>
      <c r="AI182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{"issue":{"subject":"","project_id":79,"tracker_id":40,"status_id":1,"priority_id":2,"assigned_to_id":23,"start_date":"2017-02-20","description":"","custom_fields":[{"id":1,"name":"Subdivision","value":"NW"},{"id":4,"name":"Milepost","value":"5.8937"},{"id":17,"name":"Train ID","value":"821-20"},{"id":16,"name":"Locomotive ID","value":"4011"},{"id":130,"name":"Impact","value":""},{"id":150,"name":"Time of Event (Mountain Time)","value":"13:34:17"},{"id":151,"name":"Denver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48"/>
      <c r="AK182" s="48"/>
      <c r="AL182" s="48"/>
      <c r="AM182" s="154" t="str">
        <f t="shared" si="80"/>
        <v>start /low /b %USERPROFILE%\Documents\GitHub\eaglep3\Utilities\DownloadLogsFromS3.py --loco 4011 --day 2017-02-20</v>
      </c>
      <c r="AN182" s="163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"%USERPROFILE%\AppData\Local\Temp\OnboardLogs"\RTDC4011\*4011*20170220* | grep -SE "(Enforcement Action)|(\[TIMEOUT)|(CHR.+\|PRM\|1\|D.+(SWITCH|SIGNAL).+UNKNOWN)" - &gt;&gt; 2017-02-20-UncaughtWiMAX.txt</v>
      </c>
    </row>
    <row r="183" spans="1:91" x14ac:dyDescent="0.25">
      <c r="A183" s="33" t="s">
        <v>595</v>
      </c>
      <c r="B183" s="7">
        <v>4012</v>
      </c>
      <c r="C183" s="21" t="s">
        <v>408</v>
      </c>
      <c r="D183" s="21" t="s">
        <v>824</v>
      </c>
      <c r="E183" s="13">
        <v>42786.566388888888</v>
      </c>
      <c r="F183" s="13">
        <v>42786.567777777775</v>
      </c>
      <c r="G183" s="7">
        <v>1</v>
      </c>
      <c r="H183" s="21" t="s">
        <v>825</v>
      </c>
      <c r="I183" s="13">
        <v>42786.579652777778</v>
      </c>
      <c r="J183" s="7">
        <v>0</v>
      </c>
      <c r="K183" s="98" t="str">
        <f t="shared" si="83"/>
        <v>4011/4012</v>
      </c>
      <c r="L183" s="21" t="str">
        <f>VLOOKUP(A183,'Trips&amp;Operators'!$C$1:$G$99999,5,FALSE)</f>
        <v>LEVIN SCOTT</v>
      </c>
      <c r="M183" s="6">
        <f t="shared" si="84"/>
        <v>1.1875000003783498E-2</v>
      </c>
      <c r="N183" s="7">
        <f t="shared" si="93"/>
        <v>17.100000005448237</v>
      </c>
      <c r="O183" s="7"/>
      <c r="P183" s="7"/>
      <c r="Q183" s="22"/>
      <c r="R183" s="22"/>
      <c r="S183" s="31">
        <f t="shared" si="85"/>
        <v>1</v>
      </c>
      <c r="T183" s="46" t="str">
        <f t="shared" si="86"/>
        <v>Southbound</v>
      </c>
      <c r="U183" s="186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7" t="str">
        <f t="shared" si="75"/>
        <v>https://d0f6bd738d7f1b3e5a7ca70fe4ff75f0.us-east-1.aws.found.io/app/kibana#/discover/Steve-Slow-Train-Analysis-(2080s-and-2083s)?_g=(refreshInterval:(display:Off,pause:!f,section:0,value:0),time:(from:'2017-02-20T12:35:36-0700',mode:absolute,to:'2017-02-20T14:54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3" s="188" t="str">
        <f t="shared" si="87"/>
        <v>N</v>
      </c>
      <c r="X183" s="188">
        <f t="shared" ref="X183:X214" si="95">VALUE(LEFT(AD183,4))-VALUE(LEFT(AD182,4))</f>
        <v>1</v>
      </c>
      <c r="Y183" s="62">
        <f t="shared" si="88"/>
        <v>5.8628</v>
      </c>
      <c r="Z183" s="62">
        <f t="shared" si="89"/>
        <v>6.4299999999999996E-2</v>
      </c>
      <c r="AA183" s="62">
        <f t="shared" si="90"/>
        <v>5.7984999999999998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 t="shared" si="91"/>
        <v>0822-20</v>
      </c>
      <c r="AE183" s="85" t="str">
        <f t="shared" si="76"/>
        <v>aws s3 cp s3://rtdc.mdm.uploadarchive.raw/RTDC4012/ "%USERPROFILE%\AppData\Local\Temp\OnboardLogs"\RTDC4012\2017-02-20 --exclude "*" --recursive --include "*20170220*" &amp; "%USERPROFILE%\Documents\GitHub\mrs-test-scripts\Headless Mode &amp; Sideloading\WalkAndUnGZ.bat" "%USERPROFILE%\AppData\Local\Temp\OnboardLogs"\RTDC4012\2017-02-20 &amp; aws s3 cp s3://rtdc.mdm.uploadarchive.raw/RTDC4012/ "%USERPROFILE%\AppData\Local\Temp\OnboardLogs"\RTDC4012\2017-02-21 --exclude "*" --recursive --include "*20170221*" &amp; "%USERPROFILE%\Documents\GitHub\mrs-test-scripts\Headless Mode &amp; Sideloading\WalkAndUnGZ.bat" "%USERPROFILE%\AppData\Local\Temp\OnboardLogs"\RTDC4012\2017-02-21</v>
      </c>
      <c r="AF183" s="82" t="str">
        <f t="shared" si="77"/>
        <v>"C:\Program Files (x86)\AstroGrep\AstroGrep.exe" /spath="%USERPROFILE%\AppData\Local\Temp\OnboardLogs" /stypes="app*4012*20170220*" /stext=" 20:.+((SYSTEM_STATE.+slice.+state.+changed )|(ment ac)|(multiple cpu faults)|(system.+state.+changed )|(\[timeout)|(PRM\|1\|D)|(kpr)|(kdp)|(\|lc)|(penalty))" /e /r /s</v>
      </c>
      <c r="AG183" s="1" t="str">
        <f t="shared" si="92"/>
        <v>NW</v>
      </c>
      <c r="AH183" s="86" t="str">
        <f t="shared" si="78"/>
        <v>"%USERPROFILE%\Documents\GitHub\eaglep3\Utilities\RefineRTDCRunTimes.py" --tripid 822-20 --locoid 4012 --swversion DE.1.0.9.0 --startMP 300:58628 --initTime 2017-02-20T13:35:36 --startdatetime 2017-02-20T13:37:36 --delay 1 --endMP 204:643 --enddatetime 2017-02-20T13:54:42 --enforcementcount 0 &gt;&gt;C:\Users\stu\Documents\GitHub\eaglep3-reporting\EC\2017-02-20-refined-times.txt</v>
      </c>
      <c r="AI183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{"issue":{"subject":"","project_id":79,"tracker_id":40,"status_id":1,"priority_id":2,"assigned_to_id":23,"start_date":"2017-02-20","description":"","custom_fields":[{"id":1,"name":"Subdivision","value":"NW"},{"id":4,"name":"Milepost","value":"0.0643"},{"id":17,"name":"Train ID","value":"822-20"},{"id":16,"name":"Locomotive ID","value":"4012"},{"id":130,"name":"Impact","value":""},{"id":150,"name":"Time of Event (Mountain Time)","value":"13:54:42"},{"id":151,"name":"Denver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48"/>
      <c r="AK183" s="48"/>
      <c r="AL183" s="48"/>
      <c r="AM183" s="154" t="str">
        <f t="shared" si="80"/>
        <v>start /low /b %USERPROFILE%\Documents\GitHub\eaglep3\Utilities\DownloadLogsFromS3.py --loco 4012 --day 2017-02-20</v>
      </c>
      <c r="AN183" s="163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"%USERPROFILE%\AppData\Local\Temp\OnboardLogs"\RTDC4012\*4012*20170220* | grep -SE "(Enforcement Action)|(\[TIMEOUT)|(CHR.+\|PRM\|1\|D.+(SWITCH|SIGNAL).+UNKNOWN)" - &gt;&gt; 2017-02-20-UncaughtWiMAX.txt</v>
      </c>
    </row>
    <row r="184" spans="1:91" x14ac:dyDescent="0.25">
      <c r="A184" s="33" t="s">
        <v>602</v>
      </c>
      <c r="B184" s="7">
        <v>4011</v>
      </c>
      <c r="C184" s="21" t="s">
        <v>408</v>
      </c>
      <c r="D184" s="21" t="s">
        <v>826</v>
      </c>
      <c r="E184" s="13">
        <v>42786.595509259256</v>
      </c>
      <c r="F184" s="13">
        <v>42786.598090277781</v>
      </c>
      <c r="G184" s="7">
        <v>1</v>
      </c>
      <c r="H184" s="21" t="s">
        <v>432</v>
      </c>
      <c r="I184" s="13">
        <v>42786.607256944444</v>
      </c>
      <c r="J184" s="7">
        <v>0</v>
      </c>
      <c r="K184" s="98" t="str">
        <f t="shared" si="83"/>
        <v>4011/4012</v>
      </c>
      <c r="L184" s="21" t="str">
        <f>VLOOKUP(A184,'Trips&amp;Operators'!$C$1:$G$99999,5,FALSE)</f>
        <v>LEVIN SCOTT</v>
      </c>
      <c r="M184" s="6">
        <f t="shared" si="84"/>
        <v>9.1666666630771942E-3</v>
      </c>
      <c r="N184" s="7">
        <f t="shared" si="93"/>
        <v>13.19999999483116</v>
      </c>
      <c r="O184" s="7"/>
      <c r="P184" s="7"/>
      <c r="Q184" s="22"/>
      <c r="R184" s="22"/>
      <c r="S184" s="31">
        <f t="shared" si="85"/>
        <v>1</v>
      </c>
      <c r="T184" s="46" t="str">
        <f t="shared" si="86"/>
        <v>NorthBound</v>
      </c>
      <c r="U184" s="186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7" t="str">
        <f t="shared" si="75"/>
        <v>https://d0f6bd738d7f1b3e5a7ca70fe4ff75f0.us-east-1.aws.found.io/app/kibana#/discover/Steve-Slow-Train-Analysis-(2080s-and-2083s)?_g=(refreshInterval:(display:Off,pause:!f,section:0,value:0),time:(from:'2017-02-20T13:17:32-0700',mode:absolute,to:'2017-02-20T15:34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4" s="188" t="str">
        <f t="shared" si="87"/>
        <v>N</v>
      </c>
      <c r="X184" s="188">
        <f t="shared" si="95"/>
        <v>1</v>
      </c>
      <c r="Y184" s="62">
        <f t="shared" si="88"/>
        <v>9.2999999999999999E-2</v>
      </c>
      <c r="Z184" s="62">
        <f t="shared" si="89"/>
        <v>5.8940999999999999</v>
      </c>
      <c r="AA184" s="62">
        <f t="shared" si="90"/>
        <v>5.8010999999999999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 t="shared" si="91"/>
        <v>0823-20</v>
      </c>
      <c r="AE184" s="85" t="str">
        <f t="shared" si="76"/>
        <v>aws s3 cp s3://rtdc.mdm.uploadarchive.raw/RTDC4011/ "%USERPROFILE%\AppData\Local\Temp\OnboardLogs"\RTDC4011\2017-02-20 --exclude "*" --recursive --include "*20170220*" &amp; "%USERPROFILE%\Documents\GitHub\mrs-test-scripts\Headless Mode &amp; Sideloading\WalkAndUnGZ.bat" "%USERPROFILE%\AppData\Local\Temp\OnboardLogs"\RTDC4011\2017-02-20 &amp; aws s3 cp s3://rtdc.mdm.uploadarchive.raw/RTDC4011/ "%USERPROFILE%\AppData\Local\Temp\OnboardLogs"\RTDC4011\2017-02-21 --exclude "*" --recursive --include "*20170221*" &amp; "%USERPROFILE%\Documents\GitHub\mrs-test-scripts\Headless Mode &amp; Sideloading\WalkAndUnGZ.bat" "%USERPROFILE%\AppData\Local\Temp\OnboardLogs"\RTDC4011\2017-02-21</v>
      </c>
      <c r="AF184" s="82" t="str">
        <f t="shared" si="77"/>
        <v>"C:\Program Files (x86)\AstroGrep\AstroGrep.exe" /spath="%USERPROFILE%\AppData\Local\Temp\OnboardLogs" /stypes="app*4011*20170220*" /stext=" 21:.+((SYSTEM_STATE.+slice.+state.+changed )|(ment ac)|(multiple cpu faults)|(system.+state.+changed )|(\[timeout)|(PRM\|1\|D)|(kpr)|(kdp)|(\|lc)|(penalty))" /e /r /s</v>
      </c>
      <c r="AG184" s="1" t="str">
        <f t="shared" si="92"/>
        <v>NW</v>
      </c>
      <c r="AH184" s="86" t="str">
        <f t="shared" si="78"/>
        <v>"%USERPROFILE%\Documents\GitHub\eaglep3\Utilities\RefineRTDCRunTimes.py" --tripid 823-20 --locoid 4011 --swversion DE.1.0.9.0 --startMP 204:930 --initTime 2017-02-20T14:17:32 --startdatetime 2017-02-20T14:21:15 --delay 1 --endMP 300:58941 --enddatetime 2017-02-20T14:34:27 --enforcementcount 0 &gt;&gt;C:\Users\stu\Documents\GitHub\eaglep3-reporting\EC\2017-02-20-refined-times.txt</v>
      </c>
      <c r="AI184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{"issue":{"subject":"","project_id":79,"tracker_id":40,"status_id":1,"priority_id":2,"assigned_to_id":23,"start_date":"2017-02-20","description":"","custom_fields":[{"id":1,"name":"Subdivision","value":"NW"},{"id":4,"name":"Milepost","value":"5.8941"},{"id":17,"name":"Train ID","value":"823-20"},{"id":16,"name":"Locomotive ID","value":"4011"},{"id":130,"name":"Impact","value":""},{"id":150,"name":"Time of Event (Mountain Time)","value":"14:34:27"},{"id":151,"name":"Denver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48"/>
      <c r="AK184" s="48"/>
      <c r="AL184" s="48"/>
      <c r="AM184" s="154" t="str">
        <f t="shared" si="80"/>
        <v>start /low /b %USERPROFILE%\Documents\GitHub\eaglep3\Utilities\DownloadLogsFromS3.py --loco 4011 --day 2017-02-20</v>
      </c>
      <c r="AN184" s="163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"%USERPROFILE%\AppData\Local\Temp\OnboardLogs"\RTDC4011\*4011*20170220* | grep -SE "(Enforcement Action)|(\[TIMEOUT)|(CHR.+\|PRM\|1\|D.+(SWITCH|SIGNAL).+UNKNOWN)" - &gt;&gt; 2017-02-20-UncaughtWiMAX.txt</v>
      </c>
    </row>
    <row r="185" spans="1:91" x14ac:dyDescent="0.25">
      <c r="A185" s="33" t="s">
        <v>605</v>
      </c>
      <c r="B185" s="7">
        <v>4012</v>
      </c>
      <c r="C185" s="21" t="s">
        <v>408</v>
      </c>
      <c r="D185" s="21" t="s">
        <v>296</v>
      </c>
      <c r="E185" s="13">
        <v>42786.608715277776</v>
      </c>
      <c r="F185" s="13">
        <v>42786.61</v>
      </c>
      <c r="G185" s="7">
        <v>0</v>
      </c>
      <c r="H185" s="21" t="s">
        <v>825</v>
      </c>
      <c r="I185" s="13">
        <v>42786.621331018519</v>
      </c>
      <c r="J185" s="7">
        <v>0</v>
      </c>
      <c r="K185" s="98" t="str">
        <f t="shared" si="83"/>
        <v>4011/4012</v>
      </c>
      <c r="L185" s="21" t="str">
        <f>VLOOKUP(A185,'Trips&amp;Operators'!$C$1:$G$99999,5,FALSE)</f>
        <v>LEVIN SCOTT</v>
      </c>
      <c r="M185" s="6">
        <f t="shared" si="84"/>
        <v>1.1331018518831115E-2</v>
      </c>
      <c r="N185" s="7">
        <f t="shared" si="93"/>
        <v>16.316666667116806</v>
      </c>
      <c r="O185" s="7"/>
      <c r="P185" s="7"/>
      <c r="Q185" s="22"/>
      <c r="R185" s="22"/>
      <c r="S185" s="31">
        <f t="shared" si="85"/>
        <v>1</v>
      </c>
      <c r="T185" s="46" t="str">
        <f t="shared" si="86"/>
        <v>Southbound</v>
      </c>
      <c r="U185" s="186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7" t="str">
        <f t="shared" si="75"/>
        <v>https://d0f6bd738d7f1b3e5a7ca70fe4ff75f0.us-east-1.aws.found.io/app/kibana#/discover/Steve-Slow-Train-Analysis-(2080s-and-2083s)?_g=(refreshInterval:(display:Off,pause:!f,section:0,value:0),time:(from:'2017-02-20T13:36:33-0700',mode:absolute,to:'2017-02-20T15:54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5" s="188" t="str">
        <f t="shared" si="87"/>
        <v>N</v>
      </c>
      <c r="X185" s="188">
        <f t="shared" si="95"/>
        <v>1</v>
      </c>
      <c r="Y185" s="62">
        <f t="shared" si="88"/>
        <v>5.8623000000000003</v>
      </c>
      <c r="Z185" s="62">
        <f t="shared" si="89"/>
        <v>6.4299999999999996E-2</v>
      </c>
      <c r="AA185" s="62">
        <f t="shared" si="90"/>
        <v>5.798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 t="shared" si="91"/>
        <v>0824-20</v>
      </c>
      <c r="AE185" s="85" t="str">
        <f t="shared" si="76"/>
        <v>aws s3 cp s3://rtdc.mdm.uploadarchive.raw/RTDC4012/ "%USERPROFILE%\AppData\Local\Temp\OnboardLogs"\RTDC4012\2017-02-20 --exclude "*" --recursive --include "*20170220*" &amp; "%USERPROFILE%\Documents\GitHub\mrs-test-scripts\Headless Mode &amp; Sideloading\WalkAndUnGZ.bat" "%USERPROFILE%\AppData\Local\Temp\OnboardLogs"\RTDC4012\2017-02-20 &amp; aws s3 cp s3://rtdc.mdm.uploadarchive.raw/RTDC4012/ "%USERPROFILE%\AppData\Local\Temp\OnboardLogs"\RTDC4012\2017-02-21 --exclude "*" --recursive --include "*20170221*" &amp; "%USERPROFILE%\Documents\GitHub\mrs-test-scripts\Headless Mode &amp; Sideloading\WalkAndUnGZ.bat" "%USERPROFILE%\AppData\Local\Temp\OnboardLogs"\RTDC4012\2017-02-21</v>
      </c>
      <c r="AF185" s="82" t="str">
        <f t="shared" si="77"/>
        <v>"C:\Program Files (x86)\AstroGrep\AstroGrep.exe" /spath="%USERPROFILE%\AppData\Local\Temp\OnboardLogs" /stypes="app*4012*20170220*" /stext=" 21:.+((SYSTEM_STATE.+slice.+state.+changed )|(ment ac)|(multiple cpu faults)|(system.+state.+changed )|(\[timeout)|(PRM\|1\|D)|(kpr)|(kdp)|(\|lc)|(penalty))" /e /r /s</v>
      </c>
      <c r="AG185" s="1" t="str">
        <f t="shared" si="92"/>
        <v>NW</v>
      </c>
      <c r="AH185" s="86" t="str">
        <f t="shared" si="78"/>
        <v>"%USERPROFILE%\Documents\GitHub\eaglep3\Utilities\RefineRTDCRunTimes.py" --tripid 824-20 --locoid 4012 --swversion DE.1.0.9.0 --startMP 300:58623 --initTime 2017-02-20T14:36:33 --startdatetime 2017-02-20T14:38:24 --delay 0 --endMP 204:643 --enddatetime 2017-02-20T14:54:43 --enforcementcount 0 &gt;&gt;C:\Users\stu\Documents\GitHub\eaglep3-reporting\EC\2017-02-20-refined-times.txt</v>
      </c>
      <c r="AI185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{"issue":{"subject":"","project_id":79,"tracker_id":40,"status_id":1,"priority_id":2,"assigned_to_id":23,"start_date":"2017-02-20","description":"","custom_fields":[{"id":1,"name":"Subdivision","value":"NW"},{"id":4,"name":"Milepost","value":"0.0643"},{"id":17,"name":"Train ID","value":"824-20"},{"id":16,"name":"Locomotive ID","value":"4012"},{"id":130,"name":"Impact","value":""},{"id":150,"name":"Time of Event (Mountain Time)","value":"14:54:43"},{"id":151,"name":"Denver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48"/>
      <c r="AK185" s="48"/>
      <c r="AL185" s="48"/>
      <c r="AM185" s="154" t="str">
        <f t="shared" si="80"/>
        <v>start /low /b %USERPROFILE%\Documents\GitHub\eaglep3\Utilities\DownloadLogsFromS3.py --loco 4012 --day 2017-02-20</v>
      </c>
      <c r="AN185" s="163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"%USERPROFILE%\AppData\Local\Temp\OnboardLogs"\RTDC4012\*4012*20170220* | grep -SE "(Enforcement Action)|(\[TIMEOUT)|(CHR.+\|PRM\|1\|D.+(SWITCH|SIGNAL).+UNKNOWN)" - &gt;&gt; 2017-02-20-UncaughtWiMAX.txt</v>
      </c>
    </row>
    <row r="186" spans="1:91" x14ac:dyDescent="0.25">
      <c r="A186" s="33" t="s">
        <v>610</v>
      </c>
      <c r="B186" s="7">
        <v>4011</v>
      </c>
      <c r="C186" s="21" t="s">
        <v>408</v>
      </c>
      <c r="D186" s="21" t="s">
        <v>826</v>
      </c>
      <c r="E186" s="13">
        <v>42786.636481481481</v>
      </c>
      <c r="F186" s="13">
        <v>42786.639791666668</v>
      </c>
      <c r="G186" s="7">
        <v>1</v>
      </c>
      <c r="H186" s="21" t="s">
        <v>799</v>
      </c>
      <c r="I186" s="13">
        <v>42786.649108796293</v>
      </c>
      <c r="J186" s="7">
        <v>0</v>
      </c>
      <c r="K186" s="98" t="str">
        <f t="shared" si="83"/>
        <v>4011/4012</v>
      </c>
      <c r="L186" s="21" t="str">
        <f>VLOOKUP(A186,'Trips&amp;Operators'!$C$1:$G$99999,5,FALSE)</f>
        <v>LEVIN SCOTT</v>
      </c>
      <c r="M186" s="6">
        <f t="shared" si="84"/>
        <v>9.3171296248328872E-3</v>
      </c>
      <c r="N186" s="7">
        <f t="shared" si="93"/>
        <v>13.416666659759358</v>
      </c>
      <c r="O186" s="7"/>
      <c r="P186" s="7"/>
      <c r="Q186" s="22"/>
      <c r="R186" s="22"/>
      <c r="S186" s="31">
        <f t="shared" si="85"/>
        <v>1</v>
      </c>
      <c r="T186" s="46" t="str">
        <f t="shared" si="86"/>
        <v>NorthBound</v>
      </c>
      <c r="U186" s="186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7" t="str">
        <f t="shared" si="75"/>
        <v>https://d0f6bd738d7f1b3e5a7ca70fe4ff75f0.us-east-1.aws.found.io/app/kibana#/discover/Steve-Slow-Train-Analysis-(2080s-and-2083s)?_g=(refreshInterval:(display:Off,pause:!f,section:0,value:0),time:(from:'2017-02-20T14:16:32-0700',mode:absolute,to:'2017-02-20T16:34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6" s="188" t="str">
        <f t="shared" si="87"/>
        <v>N</v>
      </c>
      <c r="X186" s="188">
        <f t="shared" si="95"/>
        <v>1</v>
      </c>
      <c r="Y186" s="62">
        <f t="shared" si="88"/>
        <v>9.2999999999999999E-2</v>
      </c>
      <c r="Z186" s="62">
        <f t="shared" si="89"/>
        <v>5.8930999999999996</v>
      </c>
      <c r="AA186" s="62">
        <f t="shared" si="90"/>
        <v>5.8000999999999996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 t="shared" si="91"/>
        <v>0825-20</v>
      </c>
      <c r="AE186" s="85" t="str">
        <f t="shared" si="76"/>
        <v>aws s3 cp s3://rtdc.mdm.uploadarchive.raw/RTDC4011/ "%USERPROFILE%\AppData\Local\Temp\OnboardLogs"\RTDC4011\2017-02-20 --exclude "*" --recursive --include "*20170220*" &amp; "%USERPROFILE%\Documents\GitHub\mrs-test-scripts\Headless Mode &amp; Sideloading\WalkAndUnGZ.bat" "%USERPROFILE%\AppData\Local\Temp\OnboardLogs"\RTDC4011\2017-02-20 &amp; aws s3 cp s3://rtdc.mdm.uploadarchive.raw/RTDC4011/ "%USERPROFILE%\AppData\Local\Temp\OnboardLogs"\RTDC4011\2017-02-21 --exclude "*" --recursive --include "*20170221*" &amp; "%USERPROFILE%\Documents\GitHub\mrs-test-scripts\Headless Mode &amp; Sideloading\WalkAndUnGZ.bat" "%USERPROFILE%\AppData\Local\Temp\OnboardLogs"\RTDC4011\2017-02-21</v>
      </c>
      <c r="AF186" s="82" t="str">
        <f t="shared" si="77"/>
        <v>"C:\Program Files (x86)\AstroGrep\AstroGrep.exe" /spath="%USERPROFILE%\AppData\Local\Temp\OnboardLogs" /stypes="app*4011*20170220*" /stext=" 22:.+((SYSTEM_STATE.+slice.+state.+changed )|(ment ac)|(multiple cpu faults)|(system.+state.+changed )|(\[timeout)|(PRM\|1\|D)|(kpr)|(kdp)|(\|lc)|(penalty))" /e /r /s</v>
      </c>
      <c r="AG186" s="1" t="str">
        <f t="shared" si="92"/>
        <v>NW</v>
      </c>
      <c r="AH186" s="86" t="str">
        <f t="shared" si="78"/>
        <v>"%USERPROFILE%\Documents\GitHub\eaglep3\Utilities\RefineRTDCRunTimes.py" --tripid 825-20 --locoid 4011 --swversion DE.1.0.9.0 --startMP 204:930 --initTime 2017-02-20T15:16:32 --startdatetime 2017-02-20T15:21:18 --delay 1 --endMP 300:58931 --enddatetime 2017-02-20T15:34:43 --enforcementcount 0 &gt;&gt;C:\Users\stu\Documents\GitHub\eaglep3-reporting\EC\2017-02-20-refined-times.txt</v>
      </c>
      <c r="AI186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{"issue":{"subject":"","project_id":79,"tracker_id":40,"status_id":1,"priority_id":2,"assigned_to_id":23,"start_date":"2017-02-20","description":"","custom_fields":[{"id":1,"name":"Subdivision","value":"NW"},{"id":4,"name":"Milepost","value":"5.8931"},{"id":17,"name":"Train ID","value":"825-20"},{"id":16,"name":"Locomotive ID","value":"4011"},{"id":130,"name":"Impact","value":""},{"id":150,"name":"Time of Event (Mountain Time)","value":"15:34:43"},{"id":151,"name":"Denver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48"/>
      <c r="AK186" s="48"/>
      <c r="AL186" s="48"/>
      <c r="AM186" s="154" t="str">
        <f t="shared" si="80"/>
        <v>start /low /b %USERPROFILE%\Documents\GitHub\eaglep3\Utilities\DownloadLogsFromS3.py --loco 4011 --day 2017-02-20</v>
      </c>
      <c r="AN186" s="163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"%USERPROFILE%\AppData\Local\Temp\OnboardLogs"\RTDC4011\*4011*20170220* | grep -SE "(Enforcement Action)|(\[TIMEOUT)|(CHR.+\|PRM\|1\|D.+(SWITCH|SIGNAL).+UNKNOWN)" - &gt;&gt; 2017-02-20-UncaughtWiMAX.txt</v>
      </c>
    </row>
    <row r="187" spans="1:91" x14ac:dyDescent="0.25">
      <c r="A187" s="33" t="s">
        <v>615</v>
      </c>
      <c r="B187" s="7">
        <v>4012</v>
      </c>
      <c r="C187" s="21" t="s">
        <v>408</v>
      </c>
      <c r="D187" s="21" t="s">
        <v>827</v>
      </c>
      <c r="E187" s="13">
        <v>42786.65016203704</v>
      </c>
      <c r="F187" s="13">
        <v>42786.651828703703</v>
      </c>
      <c r="G187" s="7">
        <v>2</v>
      </c>
      <c r="H187" s="21" t="s">
        <v>430</v>
      </c>
      <c r="I187" s="13">
        <v>42786.663402777776</v>
      </c>
      <c r="J187" s="7">
        <v>0</v>
      </c>
      <c r="K187" s="98" t="str">
        <f t="shared" si="83"/>
        <v>4011/4012</v>
      </c>
      <c r="L187" s="21" t="str">
        <f>VLOOKUP(A187,'Trips&amp;Operators'!$C$1:$G$99999,5,FALSE)</f>
        <v>LEVIN SCOTT</v>
      </c>
      <c r="M187" s="6">
        <f t="shared" si="84"/>
        <v>1.1574074072996154E-2</v>
      </c>
      <c r="N187" s="7">
        <f t="shared" si="93"/>
        <v>16.666666665114462</v>
      </c>
      <c r="O187" s="7"/>
      <c r="P187" s="7"/>
      <c r="Q187" s="22"/>
      <c r="R187" s="22"/>
      <c r="S187" s="31">
        <f t="shared" si="85"/>
        <v>1</v>
      </c>
      <c r="T187" s="46" t="str">
        <f t="shared" si="86"/>
        <v>Southbound</v>
      </c>
      <c r="U187" s="186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7" t="str">
        <f t="shared" si="75"/>
        <v>https://d0f6bd738d7f1b3e5a7ca70fe4ff75f0.us-east-1.aws.found.io/app/kibana#/discover/Steve-Slow-Train-Analysis-(2080s-and-2083s)?_g=(refreshInterval:(display:Off,pause:!f,section:0,value:0),time:(from:'2017-02-20T14:36:14-0700',mode:absolute,to:'2017-02-20T16:55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7" s="188" t="str">
        <f t="shared" si="87"/>
        <v>N</v>
      </c>
      <c r="X187" s="188">
        <f t="shared" si="95"/>
        <v>1</v>
      </c>
      <c r="Y187" s="62">
        <f t="shared" si="88"/>
        <v>5.7313999999999998</v>
      </c>
      <c r="Z187" s="62">
        <f t="shared" si="89"/>
        <v>6.8199999999999997E-2</v>
      </c>
      <c r="AA187" s="62">
        <f t="shared" si="90"/>
        <v>5.6631999999999998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 t="shared" si="91"/>
        <v>0826-20</v>
      </c>
      <c r="AE187" s="85" t="str">
        <f t="shared" si="76"/>
        <v>aws s3 cp s3://rtdc.mdm.uploadarchive.raw/RTDC4012/ "%USERPROFILE%\AppData\Local\Temp\OnboardLogs"\RTDC4012\2017-02-20 --exclude "*" --recursive --include "*20170220*" &amp; "%USERPROFILE%\Documents\GitHub\mrs-test-scripts\Headless Mode &amp; Sideloading\WalkAndUnGZ.bat" "%USERPROFILE%\AppData\Local\Temp\OnboardLogs"\RTDC4012\2017-02-20 &amp; aws s3 cp s3://rtdc.mdm.uploadarchive.raw/RTDC4012/ "%USERPROFILE%\AppData\Local\Temp\OnboardLogs"\RTDC4012\2017-02-21 --exclude "*" --recursive --include "*20170221*" &amp; "%USERPROFILE%\Documents\GitHub\mrs-test-scripts\Headless Mode &amp; Sideloading\WalkAndUnGZ.bat" "%USERPROFILE%\AppData\Local\Temp\OnboardLogs"\RTDC4012\2017-02-21</v>
      </c>
      <c r="AF187" s="82" t="str">
        <f t="shared" si="77"/>
        <v>"C:\Program Files (x86)\AstroGrep\AstroGrep.exe" /spath="%USERPROFILE%\AppData\Local\Temp\OnboardLogs" /stypes="app*4012*20170220*" /stext=" 22:.+((SYSTEM_STATE.+slice.+state.+changed )|(ment ac)|(multiple cpu faults)|(system.+state.+changed )|(\[timeout)|(PRM\|1\|D)|(kpr)|(kdp)|(\|lc)|(penalty))" /e /r /s</v>
      </c>
      <c r="AG187" s="1" t="str">
        <f t="shared" si="92"/>
        <v>NW</v>
      </c>
      <c r="AH187" s="86" t="str">
        <f t="shared" si="78"/>
        <v>"%USERPROFILE%\Documents\GitHub\eaglep3\Utilities\RefineRTDCRunTimes.py" --tripid 826-20 --locoid 4012 --swversion DE.1.0.9.0 --startMP 300:57314 --initTime 2017-02-20T15:36:14 --startdatetime 2017-02-20T15:38:38 --delay 2 --endMP 204:682 --enddatetime 2017-02-20T15:55:18 --enforcementcount 0 &gt;&gt;C:\Users\stu\Documents\GitHub\eaglep3-reporting\EC\2017-02-20-refined-times.txt</v>
      </c>
      <c r="AI187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{"issue":{"subject":"","project_id":79,"tracker_id":40,"status_id":1,"priority_id":2,"assigned_to_id":23,"start_date":"2017-02-20","description":"","custom_fields":[{"id":1,"name":"Subdivision","value":"NW"},{"id":4,"name":"Milepost","value":"0.0682"},{"id":17,"name":"Train ID","value":"826-20"},{"id":16,"name":"Locomotive ID","value":"4012"},{"id":130,"name":"Impact","value":""},{"id":150,"name":"Time of Event (Mountain Time)","value":"15:55:18"},{"id":151,"name":"Denver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48"/>
      <c r="AK187" s="48"/>
      <c r="AL187" s="48"/>
      <c r="AM187" s="154" t="str">
        <f t="shared" si="80"/>
        <v>start /low /b %USERPROFILE%\Documents\GitHub\eaglep3\Utilities\DownloadLogsFromS3.py --loco 4012 --day 2017-02-20</v>
      </c>
      <c r="AN187" s="163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"%USERPROFILE%\AppData\Local\Temp\OnboardLogs"\RTDC4012\*4012*20170220* | grep -SE "(Enforcement Action)|(\[TIMEOUT)|(CHR.+\|PRM\|1\|D.+(SWITCH|SIGNAL).+UNKNOWN)" - &gt;&gt; 2017-02-20-UncaughtWiMAX.txt</v>
      </c>
    </row>
    <row r="188" spans="1:91" x14ac:dyDescent="0.25">
      <c r="A188" s="33" t="s">
        <v>618</v>
      </c>
      <c r="B188" s="7">
        <v>4022</v>
      </c>
      <c r="C188" s="21" t="s">
        <v>408</v>
      </c>
      <c r="D188" s="21" t="s">
        <v>828</v>
      </c>
      <c r="E188" s="13">
        <v>42786.655694444446</v>
      </c>
      <c r="F188" s="13">
        <v>42786.660578703704</v>
      </c>
      <c r="G188" s="7">
        <v>1</v>
      </c>
      <c r="H188" s="21" t="s">
        <v>432</v>
      </c>
      <c r="I188" s="13">
        <v>42786.670532407406</v>
      </c>
      <c r="J188" s="7">
        <v>0</v>
      </c>
      <c r="K188" s="98" t="str">
        <f t="shared" si="83"/>
        <v>4021/4022</v>
      </c>
      <c r="L188" s="21" t="str">
        <f>VLOOKUP(A188,'Trips&amp;Operators'!$C$1:$G$99999,5,FALSE)</f>
        <v>LALONDE GREGORY</v>
      </c>
      <c r="M188" s="6">
        <f t="shared" si="84"/>
        <v>9.9537037021946162E-3</v>
      </c>
      <c r="N188" s="7">
        <f t="shared" si="93"/>
        <v>14.333333331160247</v>
      </c>
      <c r="O188" s="7"/>
      <c r="P188" s="7"/>
      <c r="Q188" s="22"/>
      <c r="R188" s="22"/>
      <c r="S188" s="31">
        <f t="shared" si="85"/>
        <v>1</v>
      </c>
      <c r="T188" s="46" t="str">
        <f t="shared" si="86"/>
        <v>NorthBound</v>
      </c>
      <c r="U188" s="186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7" t="str">
        <f t="shared" si="75"/>
        <v>https://d0f6bd738d7f1b3e5a7ca70fe4ff75f0.us-east-1.aws.found.io/app/kibana#/discover/Steve-Slow-Train-Analysis-(2080s-and-2083s)?_g=(refreshInterval:(display:Off,pause:!f,section:0,value:0),time:(from:'2017-02-20T14:44:12-0700',mode:absolute,to:'2017-02-20T17:05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88" s="188" t="str">
        <f t="shared" si="87"/>
        <v>N</v>
      </c>
      <c r="X188" s="188">
        <f t="shared" si="95"/>
        <v>1</v>
      </c>
      <c r="Y188" s="62">
        <f t="shared" si="88"/>
        <v>0.10299999999999999</v>
      </c>
      <c r="Z188" s="62">
        <f t="shared" si="89"/>
        <v>5.8940999999999999</v>
      </c>
      <c r="AA188" s="62">
        <f t="shared" si="90"/>
        <v>5.7911000000000001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 t="shared" si="91"/>
        <v>0827-20</v>
      </c>
      <c r="AE188" s="85" t="str">
        <f t="shared" si="76"/>
        <v>aws s3 cp s3://rtdc.mdm.uploadarchive.raw/RTDC4022/ "%USERPROFILE%\AppData\Local\Temp\OnboardLogs"\RTDC4022\2017-02-20 --exclude "*" --recursive --include "*20170220*" &amp; "%USERPROFILE%\Documents\GitHub\mrs-test-scripts\Headless Mode &amp; Sideloading\WalkAndUnGZ.bat" "%USERPROFILE%\AppData\Local\Temp\OnboardLogs"\RTDC4022\2017-02-20 &amp; aws s3 cp s3://rtdc.mdm.uploadarchive.raw/RTDC4022/ "%USERPROFILE%\AppData\Local\Temp\OnboardLogs"\RTDC4022\2017-02-21 --exclude "*" --recursive --include "*20170221*" &amp; "%USERPROFILE%\Documents\GitHub\mrs-test-scripts\Headless Mode &amp; Sideloading\WalkAndUnGZ.bat" "%USERPROFILE%\AppData\Local\Temp\OnboardLogs"\RTDC4022\2017-02-21</v>
      </c>
      <c r="AF188" s="82" t="str">
        <f t="shared" si="77"/>
        <v>"C:\Program Files (x86)\AstroGrep\AstroGrep.exe" /spath="%USERPROFILE%\AppData\Local\Temp\OnboardLogs" /stypes="app*4022*20170220*" /stext=" 23:.+((SYSTEM_STATE.+slice.+state.+changed )|(ment ac)|(multiple cpu faults)|(system.+state.+changed )|(\[timeout)|(PRM\|1\|D)|(kpr)|(kdp)|(\|lc)|(penalty))" /e /r /s</v>
      </c>
      <c r="AG188" s="1" t="str">
        <f t="shared" si="92"/>
        <v>NW</v>
      </c>
      <c r="AH188" s="86" t="str">
        <f t="shared" si="78"/>
        <v>"%USERPROFILE%\Documents\GitHub\eaglep3\Utilities\RefineRTDCRunTimes.py" --tripid 827-20 --locoid 4022 --swversion DE.1.0.9.0 --startMP 204:1030 --initTime 2017-02-20T15:44:12 --startdatetime 2017-02-20T15:51:14 --delay 1 --endMP 300:58941 --enddatetime 2017-02-20T16:05:34 --enforcementcount 0 &gt;&gt;C:\Users\stu\Documents\GitHub\eaglep3-reporting\EC\2017-02-20-refined-times.txt</v>
      </c>
      <c r="AI188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{"issue":{"subject":"","project_id":79,"tracker_id":40,"status_id":1,"priority_id":2,"assigned_to_id":23,"start_date":"2017-02-20","description":"","custom_fields":[{"id":1,"name":"Subdivision","value":"NW"},{"id":4,"name":"Milepost","value":"5.8941"},{"id":17,"name":"Train ID","value":"827-20"},{"id":16,"name":"Locomotive ID","value":"4022"},{"id":130,"name":"Impact","value":""},{"id":150,"name":"Time of Event (Mountain Time)","value":"16:05:34"},{"id":151,"name":"Denver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48"/>
      <c r="AK188" s="48"/>
      <c r="AL188" s="48"/>
      <c r="AM188" s="154" t="str">
        <f t="shared" si="80"/>
        <v>start /low /b %USERPROFILE%\Documents\GitHub\eaglep3\Utilities\DownloadLogsFromS3.py --loco 4022 --day 2017-02-20</v>
      </c>
      <c r="AN188" s="163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"%USERPROFILE%\AppData\Local\Temp\OnboardLogs"\RTDC4022\*4022*20170220* | grep -SE "(Enforcement Action)|(\[TIMEOUT)|(CHR.+\|PRM\|1\|D.+(SWITCH|SIGNAL).+UNKNOWN)" - &gt;&gt; 2017-02-20-UncaughtWiMAX.txt</v>
      </c>
    </row>
    <row r="189" spans="1:91" x14ac:dyDescent="0.25">
      <c r="A189" s="33" t="s">
        <v>622</v>
      </c>
      <c r="B189" s="7">
        <v>4021</v>
      </c>
      <c r="C189" s="21" t="s">
        <v>408</v>
      </c>
      <c r="D189" s="21" t="s">
        <v>824</v>
      </c>
      <c r="E189" s="13">
        <v>42786.671412037038</v>
      </c>
      <c r="F189" s="13">
        <v>42786.673020833332</v>
      </c>
      <c r="G189" s="7">
        <v>1</v>
      </c>
      <c r="H189" s="21" t="s">
        <v>829</v>
      </c>
      <c r="I189" s="13">
        <v>42786.684594907405</v>
      </c>
      <c r="J189" s="7">
        <v>0</v>
      </c>
      <c r="K189" s="98" t="str">
        <f t="shared" si="83"/>
        <v>4021/4022</v>
      </c>
      <c r="L189" s="21" t="str">
        <f>VLOOKUP(A189,'Trips&amp;Operators'!$C$1:$G$99999,5,FALSE)</f>
        <v>LALONDE GREGORY</v>
      </c>
      <c r="M189" s="6">
        <f t="shared" si="84"/>
        <v>1.1574074072996154E-2</v>
      </c>
      <c r="N189" s="7">
        <f t="shared" si="93"/>
        <v>16.666666665114462</v>
      </c>
      <c r="O189" s="7"/>
      <c r="P189" s="7"/>
      <c r="Q189" s="22"/>
      <c r="R189" s="22"/>
      <c r="S189" s="31">
        <f t="shared" si="85"/>
        <v>1</v>
      </c>
      <c r="T189" s="46" t="str">
        <f t="shared" si="86"/>
        <v>Southbound</v>
      </c>
      <c r="U189" s="186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7" t="str">
        <f t="shared" si="75"/>
        <v>https://d0f6bd738d7f1b3e5a7ca70fe4ff75f0.us-east-1.aws.found.io/app/kibana#/discover/Steve-Slow-Train-Analysis-(2080s-and-2083s)?_g=(refreshInterval:(display:Off,pause:!f,section:0,value:0),time:(from:'2017-02-20T15:06:50-0700',mode:absolute,to:'2017-02-20T17:25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89" s="188" t="str">
        <f t="shared" si="87"/>
        <v>N</v>
      </c>
      <c r="X189" s="188">
        <f t="shared" si="95"/>
        <v>1</v>
      </c>
      <c r="Y189" s="62">
        <f t="shared" si="88"/>
        <v>5.8628</v>
      </c>
      <c r="Z189" s="62">
        <f t="shared" si="89"/>
        <v>6.8900000000000003E-2</v>
      </c>
      <c r="AA189" s="62">
        <f t="shared" si="90"/>
        <v>5.7938999999999998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 t="shared" si="91"/>
        <v>0828-20</v>
      </c>
      <c r="AE189" s="85" t="str">
        <f t="shared" si="76"/>
        <v>aws s3 cp s3://rtdc.mdm.uploadarchive.raw/RTDC4021/ "%USERPROFILE%\AppData\Local\Temp\OnboardLogs"\RTDC4021\2017-02-20 --exclude "*" --recursive --include "*20170220*" &amp; "%USERPROFILE%\Documents\GitHub\mrs-test-scripts\Headless Mode &amp; Sideloading\WalkAndUnGZ.bat" "%USERPROFILE%\AppData\Local\Temp\OnboardLogs"\RTDC4021\2017-02-20 &amp; aws s3 cp s3://rtdc.mdm.uploadarchive.raw/RTDC4021/ "%USERPROFILE%\AppData\Local\Temp\OnboardLogs"\RTDC4021\2017-02-21 --exclude "*" --recursive --include "*20170221*" &amp; "%USERPROFILE%\Documents\GitHub\mrs-test-scripts\Headless Mode &amp; Sideloading\WalkAndUnGZ.bat" "%USERPROFILE%\AppData\Local\Temp\OnboardLogs"\RTDC4021\2017-02-21</v>
      </c>
      <c r="AF189" s="82" t="str">
        <f t="shared" si="77"/>
        <v>"C:\Program Files (x86)\AstroGrep\AstroGrep.exe" /spath="%USERPROFILE%\AppData\Local\Temp\OnboardLogs" /stypes="app*4021*20170220*" /stext=" 23:.+((SYSTEM_STATE.+slice.+state.+changed )|(ment ac)|(multiple cpu faults)|(system.+state.+changed )|(\[timeout)|(PRM\|1\|D)|(kpr)|(kdp)|(\|lc)|(penalty))" /e /r /s</v>
      </c>
      <c r="AG189" s="1" t="str">
        <f t="shared" si="92"/>
        <v>NW</v>
      </c>
      <c r="AH189" s="86" t="str">
        <f t="shared" si="78"/>
        <v>"%USERPROFILE%\Documents\GitHub\eaglep3\Utilities\RefineRTDCRunTimes.py" --tripid 828-20 --locoid 4021 --swversion DE.1.0.9.0 --startMP 300:58628 --initTime 2017-02-20T16:06:50 --startdatetime 2017-02-20T16:09:09 --delay 1 --endMP 204:689 --enddatetime 2017-02-20T16:25:49 --enforcementcount 0 &gt;&gt;C:\Users\stu\Documents\GitHub\eaglep3-reporting\EC\2017-02-20-refined-times.txt</v>
      </c>
      <c r="AI189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{"issue":{"subject":"","project_id":79,"tracker_id":40,"status_id":1,"priority_id":2,"assigned_to_id":23,"start_date":"2017-02-20","description":"","custom_fields":[{"id":1,"name":"Subdivision","value":"NW"},{"id":4,"name":"Milepost","value":"0.0689"},{"id":17,"name":"Train ID","value":"828-20"},{"id":16,"name":"Locomotive ID","value":"4021"},{"id":130,"name":"Impact","value":""},{"id":150,"name":"Time of Event (Mountain Time)","value":"16:25:49"},{"id":151,"name":"Denver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48"/>
      <c r="AK189" s="48"/>
      <c r="AL189" s="48"/>
      <c r="AM189" s="154" t="str">
        <f t="shared" si="80"/>
        <v>start /low /b %USERPROFILE%\Documents\GitHub\eaglep3\Utilities\DownloadLogsFromS3.py --loco 4021 --day 2017-02-20</v>
      </c>
      <c r="AN189" s="163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"%USERPROFILE%\AppData\Local\Temp\OnboardLogs"\RTDC4021\*4021*20170220* | grep -SE "(Enforcement Action)|(\[TIMEOUT)|(CHR.+\|PRM\|1\|D.+(SWITCH|SIGNAL).+UNKNOWN)" - &gt;&gt; 2017-02-20-UncaughtWiMAX.txt</v>
      </c>
    </row>
    <row r="190" spans="1:91" x14ac:dyDescent="0.25">
      <c r="A190" s="33" t="s">
        <v>625</v>
      </c>
      <c r="B190" s="7">
        <v>4011</v>
      </c>
      <c r="C190" s="21" t="s">
        <v>408</v>
      </c>
      <c r="D190" s="21" t="s">
        <v>805</v>
      </c>
      <c r="E190" s="13">
        <v>42786.674745370372</v>
      </c>
      <c r="F190" s="13">
        <v>42786.681458333333</v>
      </c>
      <c r="G190" s="7">
        <v>2</v>
      </c>
      <c r="H190" s="21" t="s">
        <v>297</v>
      </c>
      <c r="I190" s="13">
        <v>42786.692048611112</v>
      </c>
      <c r="J190" s="7">
        <v>0</v>
      </c>
      <c r="K190" s="98" t="str">
        <f t="shared" si="83"/>
        <v>4011/4012</v>
      </c>
      <c r="L190" s="21" t="str">
        <f>VLOOKUP(A190,'Trips&amp;Operators'!$C$1:$G$99999,5,FALSE)</f>
        <v>BRANDNER MELINDA</v>
      </c>
      <c r="M190" s="6">
        <f t="shared" si="84"/>
        <v>1.0590277779556345E-2</v>
      </c>
      <c r="N190" s="7">
        <f t="shared" si="93"/>
        <v>15.250000002561137</v>
      </c>
      <c r="O190" s="7"/>
      <c r="P190" s="7"/>
      <c r="Q190" s="22"/>
      <c r="R190" s="22"/>
      <c r="S190" s="31">
        <f t="shared" si="85"/>
        <v>1</v>
      </c>
      <c r="T190" s="46" t="str">
        <f t="shared" si="86"/>
        <v>NorthBound</v>
      </c>
      <c r="U190" s="186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7" t="str">
        <f t="shared" si="75"/>
        <v>https://d0f6bd738d7f1b3e5a7ca70fe4ff75f0.us-east-1.aws.found.io/app/kibana#/discover/Steve-Slow-Train-Analysis-(2080s-and-2083s)?_g=(refreshInterval:(display:Off,pause:!f,section:0,value:0),time:(from:'2017-02-20T15:11:38-0700',mode:absolute,to:'2017-02-20T17:36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0" s="188" t="str">
        <f t="shared" si="87"/>
        <v>N</v>
      </c>
      <c r="X190" s="188">
        <f t="shared" si="95"/>
        <v>1</v>
      </c>
      <c r="Y190" s="62">
        <f t="shared" si="88"/>
        <v>9.5799999999999996E-2</v>
      </c>
      <c r="Z190" s="62">
        <f t="shared" si="89"/>
        <v>5.8936999999999999</v>
      </c>
      <c r="AA190" s="62">
        <f t="shared" si="90"/>
        <v>5.7979000000000003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 t="shared" si="91"/>
        <v>0829-20</v>
      </c>
      <c r="AE190" s="85" t="str">
        <f t="shared" si="76"/>
        <v>aws s3 cp s3://rtdc.mdm.uploadarchive.raw/RTDC4011/ "%USERPROFILE%\AppData\Local\Temp\OnboardLogs"\RTDC4011\2017-02-20 --exclude "*" --recursive --include "*20170220*" &amp; "%USERPROFILE%\Documents\GitHub\mrs-test-scripts\Headless Mode &amp; Sideloading\WalkAndUnGZ.bat" "%USERPROFILE%\AppData\Local\Temp\OnboardLogs"\RTDC4011\2017-02-20 &amp; aws s3 cp s3://rtdc.mdm.uploadarchive.raw/RTDC4011/ "%USERPROFILE%\AppData\Local\Temp\OnboardLogs"\RTDC4011\2017-02-21 --exclude "*" --recursive --include "*20170221*" &amp; "%USERPROFILE%\Documents\GitHub\mrs-test-scripts\Headless Mode &amp; Sideloading\WalkAndUnGZ.bat" "%USERPROFILE%\AppData\Local\Temp\OnboardLogs"\RTDC4011\2017-02-21</v>
      </c>
      <c r="AF190" s="82" t="str">
        <f t="shared" si="77"/>
        <v>"C:\Program Files (x86)\AstroGrep\AstroGrep.exe" /spath="%USERPROFILE%\AppData\Local\Temp\OnboardLogs" /stypes="app*4011*20170220*" /stext=" 23:.+((SYSTEM_STATE.+slice.+state.+changed )|(ment ac)|(multiple cpu faults)|(system.+state.+changed )|(\[timeout)|(PRM\|1\|D)|(kpr)|(kdp)|(\|lc)|(penalty))" /e /r /s</v>
      </c>
      <c r="AG190" s="1" t="str">
        <f t="shared" si="92"/>
        <v>NW</v>
      </c>
      <c r="AH190" s="86" t="str">
        <f t="shared" si="78"/>
        <v>"%USERPROFILE%\Documents\GitHub\eaglep3\Utilities\RefineRTDCRunTimes.py" --tripid 829-20 --locoid 4011 --swversion DE.1.0.9.0 --startMP 204:958 --initTime 2017-02-20T16:11:38 --startdatetime 2017-02-20T16:21:18 --delay 2 --endMP 300:58937 --enddatetime 2017-02-20T16:36:33 --enforcementcount 0 &gt;&gt;C:\Users\stu\Documents\GitHub\eaglep3-reporting\EC\2017-02-20-refined-times.txt</v>
      </c>
      <c r="AI190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{"issue":{"subject":"","project_id":79,"tracker_id":40,"status_id":1,"priority_id":2,"assigned_to_id":23,"start_date":"2017-02-20","description":"","custom_fields":[{"id":1,"name":"Subdivision","value":"NW"},{"id":4,"name":"Milepost","value":"5.8937"},{"id":17,"name":"Train ID","value":"829-20"},{"id":16,"name":"Locomotive ID","value":"4011"},{"id":130,"name":"Impact","value":""},{"id":150,"name":"Time of Event (Mountain Time)","value":"16:36:33"},{"id":151,"name":"Denver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48"/>
      <c r="AK190" s="48"/>
      <c r="AL190" s="48"/>
      <c r="AM190" s="154" t="str">
        <f t="shared" si="80"/>
        <v>start /low /b %USERPROFILE%\Documents\GitHub\eaglep3\Utilities\DownloadLogsFromS3.py --loco 4011 --day 2017-02-20</v>
      </c>
      <c r="AN190" s="163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"%USERPROFILE%\AppData\Local\Temp\OnboardLogs"\RTDC4011\*4011*20170220* | grep -SE "(Enforcement Action)|(\[TIMEOUT)|(CHR.+\|PRM\|1\|D.+(SWITCH|SIGNAL).+UNKNOWN)" - &gt;&gt; 2017-02-20-UncaughtWiMAX.txt</v>
      </c>
    </row>
    <row r="191" spans="1:91" x14ac:dyDescent="0.25">
      <c r="A191" s="33" t="s">
        <v>481</v>
      </c>
      <c r="B191" s="7">
        <v>4012</v>
      </c>
      <c r="C191" s="21" t="s">
        <v>408</v>
      </c>
      <c r="D191" s="21" t="s">
        <v>425</v>
      </c>
      <c r="E191" s="13">
        <v>42786.693148148152</v>
      </c>
      <c r="F191" s="13">
        <v>42786.694895833331</v>
      </c>
      <c r="G191" s="7">
        <v>1</v>
      </c>
      <c r="H191" s="21" t="s">
        <v>830</v>
      </c>
      <c r="I191" s="13">
        <v>42786.705428240741</v>
      </c>
      <c r="J191" s="7">
        <v>0</v>
      </c>
      <c r="K191" s="98" t="str">
        <f t="shared" si="83"/>
        <v>4011/4012</v>
      </c>
      <c r="L191" s="21" t="str">
        <f>VLOOKUP(A191,'Trips&amp;Operators'!$C$1:$G$99999,5,FALSE)</f>
        <v>BRANDNER MELINDA</v>
      </c>
      <c r="M191" s="6">
        <f t="shared" si="84"/>
        <v>1.0532407410209998E-2</v>
      </c>
      <c r="N191" s="7">
        <f t="shared" si="93"/>
        <v>15.166666670702398</v>
      </c>
      <c r="O191" s="7"/>
      <c r="P191" s="7"/>
      <c r="Q191" s="22"/>
      <c r="R191" s="22"/>
      <c r="S191" s="31">
        <f t="shared" si="85"/>
        <v>1</v>
      </c>
      <c r="T191" s="46" t="str">
        <f t="shared" si="86"/>
        <v>Southbound</v>
      </c>
      <c r="U191" s="186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7" t="str">
        <f t="shared" si="75"/>
        <v>https://d0f6bd738d7f1b3e5a7ca70fe4ff75f0.us-east-1.aws.found.io/app/kibana#/discover/Steve-Slow-Train-Analysis-(2080s-and-2083s)?_g=(refreshInterval:(display:Off,pause:!f,section:0,value:0),time:(from:'2017-02-20T15:38:08-0700',mode:absolute,to:'2017-02-20T17:55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1" s="188" t="str">
        <f t="shared" si="87"/>
        <v>N</v>
      </c>
      <c r="X191" s="188">
        <f t="shared" si="95"/>
        <v>1</v>
      </c>
      <c r="Y191" s="62">
        <f t="shared" si="88"/>
        <v>5.8615000000000004</v>
      </c>
      <c r="Z191" s="62">
        <f t="shared" si="89"/>
        <v>7.7799999999999994E-2</v>
      </c>
      <c r="AA191" s="62">
        <f t="shared" si="90"/>
        <v>5.7837000000000005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 t="shared" si="91"/>
        <v>0830-20</v>
      </c>
      <c r="AE191" s="85" t="str">
        <f t="shared" si="76"/>
        <v>aws s3 cp s3://rtdc.mdm.uploadarchive.raw/RTDC4012/ "%USERPROFILE%\AppData\Local\Temp\OnboardLogs"\RTDC4012\2017-02-20 --exclude "*" --recursive --include "*20170220*" &amp; "%USERPROFILE%\Documents\GitHub\mrs-test-scripts\Headless Mode &amp; Sideloading\WalkAndUnGZ.bat" "%USERPROFILE%\AppData\Local\Temp\OnboardLogs"\RTDC4012\2017-02-20 &amp; aws s3 cp s3://rtdc.mdm.uploadarchive.raw/RTDC4012/ "%USERPROFILE%\AppData\Local\Temp\OnboardLogs"\RTDC4012\2017-02-21 --exclude "*" --recursive --include "*20170221*" &amp; "%USERPROFILE%\Documents\GitHub\mrs-test-scripts\Headless Mode &amp; Sideloading\WalkAndUnGZ.bat" "%USERPROFILE%\AppData\Local\Temp\OnboardLogs"\RTDC4012\2017-02-21</v>
      </c>
      <c r="AF191" s="82" t="str">
        <f t="shared" si="77"/>
        <v>"C:\Program Files (x86)\AstroGrep\AstroGrep.exe" /spath="%USERPROFILE%\AppData\Local\Temp\OnboardLogs" /stypes="app*4012*20170220*" /stext=" 23:.+((SYSTEM_STATE.+slice.+state.+changed )|(ment ac)|(multiple cpu faults)|(system.+state.+changed )|(\[timeout)|(PRM\|1\|D)|(kpr)|(kdp)|(\|lc)|(penalty))" /e /r /s</v>
      </c>
      <c r="AG191" s="1" t="str">
        <f t="shared" si="92"/>
        <v>NW</v>
      </c>
      <c r="AH191" s="86" t="str">
        <f t="shared" si="78"/>
        <v>"%USERPROFILE%\Documents\GitHub\eaglep3\Utilities\RefineRTDCRunTimes.py" --tripid 830-20 --locoid 4012 --swversion DE.1.0.9.0 --startMP 300:58615 --initTime 2017-02-20T16:38:08 --startdatetime 2017-02-20T16:40:39 --delay 1 --endMP 204:778 --enddatetime 2017-02-20T16:55:49 --enforcementcount 0 &gt;&gt;C:\Users\stu\Documents\GitHub\eaglep3-reporting\EC\2017-02-20-refined-times.txt</v>
      </c>
      <c r="AI191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{"issue":{"subject":"","project_id":79,"tracker_id":40,"status_id":1,"priority_id":2,"assigned_to_id":23,"start_date":"2017-02-20","description":"","custom_fields":[{"id":1,"name":"Subdivision","value":"NW"},{"id":4,"name":"Milepost","value":"0.0778"},{"id":17,"name":"Train ID","value":"830-20"},{"id":16,"name":"Locomotive ID","value":"4012"},{"id":130,"name":"Impact","value":""},{"id":150,"name":"Time of Event (Mountain Time)","value":"16:55:49"},{"id":151,"name":"Denver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48"/>
      <c r="AK191" s="48"/>
      <c r="AL191" s="48"/>
      <c r="AM191" s="154" t="str">
        <f t="shared" si="80"/>
        <v>start /low /b %USERPROFILE%\Documents\GitHub\eaglep3\Utilities\DownloadLogsFromS3.py --loco 4012 --day 2017-02-20</v>
      </c>
      <c r="AN191" s="163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"%USERPROFILE%\AppData\Local\Temp\OnboardLogs"\RTDC4012\*4012*20170220* | grep -SE "(Enforcement Action)|(\[TIMEOUT)|(CHR.+\|PRM\|1\|D.+(SWITCH|SIGNAL).+UNKNOWN)" - &gt;&gt; 2017-02-20-UncaughtWiMAX.txt</v>
      </c>
    </row>
    <row r="192" spans="1:91" x14ac:dyDescent="0.25">
      <c r="A192" s="33" t="s">
        <v>629</v>
      </c>
      <c r="B192" s="7">
        <v>4022</v>
      </c>
      <c r="C192" s="21" t="s">
        <v>408</v>
      </c>
      <c r="D192" s="21" t="s">
        <v>831</v>
      </c>
      <c r="E192" s="13">
        <v>42786.686331018522</v>
      </c>
      <c r="F192" s="13">
        <v>42786.702291666668</v>
      </c>
      <c r="G192" s="7">
        <v>1</v>
      </c>
      <c r="H192" s="21" t="s">
        <v>832</v>
      </c>
      <c r="I192" s="13">
        <v>42786.712048611109</v>
      </c>
      <c r="J192" s="7">
        <v>0</v>
      </c>
      <c r="K192" s="98" t="str">
        <f t="shared" si="83"/>
        <v>4021/4022</v>
      </c>
      <c r="L192" s="21" t="str">
        <f>VLOOKUP(A192,'Trips&amp;Operators'!$C$1:$G$99999,5,FALSE)</f>
        <v>LALONDE GREGORY</v>
      </c>
      <c r="M192" s="6">
        <f t="shared" si="84"/>
        <v>9.7569444405962713E-3</v>
      </c>
      <c r="N192" s="7">
        <f t="shared" si="93"/>
        <v>14.049999994458631</v>
      </c>
      <c r="O192" s="7"/>
      <c r="P192" s="7"/>
      <c r="Q192" s="22"/>
      <c r="R192" s="22"/>
      <c r="S192" s="31">
        <f t="shared" si="85"/>
        <v>1</v>
      </c>
      <c r="T192" s="46" t="str">
        <f t="shared" si="86"/>
        <v>NorthBound</v>
      </c>
      <c r="U192" s="186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7" t="str">
        <f t="shared" si="75"/>
        <v>https://d0f6bd738d7f1b3e5a7ca70fe4ff75f0.us-east-1.aws.found.io/app/kibana#/discover/Steve-Slow-Train-Analysis-(2080s-and-2083s)?_g=(refreshInterval:(display:Off,pause:!f,section:0,value:0),time:(from:'2017-02-20T15:28:19-0700',mode:absolute,to:'2017-02-20T18:05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2" s="188" t="str">
        <f t="shared" si="87"/>
        <v>N</v>
      </c>
      <c r="X192" s="188">
        <f t="shared" si="95"/>
        <v>1</v>
      </c>
      <c r="Y192" s="62">
        <f t="shared" si="88"/>
        <v>9.7600000000000006E-2</v>
      </c>
      <c r="Z192" s="62">
        <f t="shared" si="89"/>
        <v>5.8975</v>
      </c>
      <c r="AA192" s="62">
        <f t="shared" si="90"/>
        <v>5.7999000000000001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 t="shared" si="91"/>
        <v>0831-20</v>
      </c>
      <c r="AE192" s="85" t="str">
        <f t="shared" si="76"/>
        <v>aws s3 cp s3://rtdc.mdm.uploadarchive.raw/RTDC4022/ "%USERPROFILE%\AppData\Local\Temp\OnboardLogs"\RTDC4022\2017-02-20 --exclude "*" --recursive --include "*20170220*" &amp; "%USERPROFILE%\Documents\GitHub\mrs-test-scripts\Headless Mode &amp; Sideloading\WalkAndUnGZ.bat" "%USERPROFILE%\AppData\Local\Temp\OnboardLogs"\RTDC4022\2017-02-20 &amp; aws s3 cp s3://rtdc.mdm.uploadarchive.raw/RTDC4022/ "%USERPROFILE%\AppData\Local\Temp\OnboardLogs"\RTDC4022\2017-02-21 --exclude "*" --recursive --include "*20170221*" &amp; "%USERPROFILE%\Documents\GitHub\mrs-test-scripts\Headless Mode &amp; Sideloading\WalkAndUnGZ.bat" "%USERPROFILE%\AppData\Local\Temp\OnboardLogs"\RTDC4022\2017-02-21</v>
      </c>
      <c r="AF192" s="82" t="str">
        <f t="shared" si="77"/>
        <v>"C:\Program Files (x86)\AstroGrep\AstroGrep.exe" /spath="%USERPROFILE%\AppData\Local\Temp\OnboardLogs" /stypes="app*4022*20170221*" /stext=" 00:.+((SYSTEM_STATE.+slice.+state.+changed )|(ment ac)|(multiple cpu faults)|(system.+state.+changed )|(\[timeout)|(PRM\|1\|D)|(kpr)|(kdp)|(\|lc)|(penalty))" /e /r /s</v>
      </c>
      <c r="AG192" s="1" t="str">
        <f t="shared" si="92"/>
        <v>NW</v>
      </c>
      <c r="AH192" s="86" t="str">
        <f t="shared" si="78"/>
        <v>"%USERPROFILE%\Documents\GitHub\eaglep3\Utilities\RefineRTDCRunTimes.py" --tripid 831-20 --locoid 4022 --swversion DE.1.0.9.0 --startMP 204:976 --initTime 2017-02-20T16:28:19 --startdatetime 2017-02-20T16:51:18 --delay 1 --endMP 300:58975 --enddatetime 2017-02-20T17:05:21 --enforcementcount 0 &gt;&gt;C:\Users\stu\Documents\GitHub\eaglep3-reporting\EC\2017-02-20-refined-times.txt</v>
      </c>
      <c r="AI192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{"issue":{"subject":"","project_id":79,"tracker_id":40,"status_id":1,"priority_id":2,"assigned_to_id":23,"start_date":"2017-02-20","description":"","custom_fields":[{"id":1,"name":"Subdivision","value":"NW"},{"id":4,"name":"Milepost","value":"5.8975"},{"id":17,"name":"Train ID","value":"831-20"},{"id":16,"name":"Locomotive ID","value":"4022"},{"id":130,"name":"Impact","value":""},{"id":150,"name":"Time of Event (Mountain Time)","value":"17:05:21"},{"id":151,"name":"Denver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48"/>
      <c r="AK192" s="48"/>
      <c r="AL192" s="48"/>
      <c r="AM192" s="154" t="str">
        <f t="shared" si="80"/>
        <v>start /low /b %USERPROFILE%\Documents\GitHub\eaglep3\Utilities\DownloadLogsFromS3.py --loco 4022 --day 2017-02-20</v>
      </c>
      <c r="AN192" s="163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"%USERPROFILE%\AppData\Local\Temp\OnboardLogs"\RTDC4022\*4022*20170220* | grep -SE "(Enforcement Action)|(\[TIMEOUT)|(CHR.+\|PRM\|1\|D.+(SWITCH|SIGNAL).+UNKNOWN)" - &gt;&gt; 2017-02-20-UncaughtWiMAX.txt</v>
      </c>
    </row>
    <row r="193" spans="1:40" x14ac:dyDescent="0.25">
      <c r="A193" s="33" t="s">
        <v>634</v>
      </c>
      <c r="B193" s="7">
        <v>4021</v>
      </c>
      <c r="C193" s="21" t="s">
        <v>408</v>
      </c>
      <c r="D193" s="21" t="s">
        <v>833</v>
      </c>
      <c r="E193" s="13">
        <v>42786.712881944448</v>
      </c>
      <c r="F193" s="13">
        <v>42786.71429398148</v>
      </c>
      <c r="G193" s="7">
        <v>1</v>
      </c>
      <c r="H193" s="21" t="s">
        <v>834</v>
      </c>
      <c r="I193" s="13">
        <v>42786.725682870368</v>
      </c>
      <c r="J193" s="7">
        <v>0</v>
      </c>
      <c r="K193" s="98" t="str">
        <f t="shared" si="83"/>
        <v>4021/4022</v>
      </c>
      <c r="L193" s="21" t="str">
        <f>VLOOKUP(A193,'Trips&amp;Operators'!$C$1:$G$99999,5,FALSE)</f>
        <v>LALONDE GREGORY</v>
      </c>
      <c r="M193" s="6">
        <f t="shared" si="84"/>
        <v>1.1388888888177462E-2</v>
      </c>
      <c r="N193" s="7">
        <f t="shared" si="93"/>
        <v>16.399999998975545</v>
      </c>
      <c r="O193" s="7"/>
      <c r="P193" s="7"/>
      <c r="Q193" s="22"/>
      <c r="R193" s="22"/>
      <c r="S193" s="31">
        <f t="shared" si="85"/>
        <v>1</v>
      </c>
      <c r="T193" s="46" t="str">
        <f t="shared" si="86"/>
        <v>Southbound</v>
      </c>
      <c r="U193" s="186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7" t="str">
        <f t="shared" si="75"/>
        <v>https://d0f6bd738d7f1b3e5a7ca70fe4ff75f0.us-east-1.aws.found.io/app/kibana#/discover/Steve-Slow-Train-Analysis-(2080s-and-2083s)?_g=(refreshInterval:(display:Off,pause:!f,section:0,value:0),time:(from:'2017-02-20T16:06:33-0700',mode:absolute,to:'2017-02-20T18:24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93" s="188" t="str">
        <f t="shared" si="87"/>
        <v>N</v>
      </c>
      <c r="X193" s="188">
        <f t="shared" si="95"/>
        <v>1</v>
      </c>
      <c r="Y193" s="62">
        <f t="shared" si="88"/>
        <v>5.8655999999999997</v>
      </c>
      <c r="Z193" s="62">
        <f t="shared" si="89"/>
        <v>6.8400000000000002E-2</v>
      </c>
      <c r="AA193" s="62">
        <f t="shared" si="90"/>
        <v>5.7972000000000001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 t="shared" si="91"/>
        <v>0832-20</v>
      </c>
      <c r="AE193" s="85" t="str">
        <f t="shared" si="76"/>
        <v>aws s3 cp s3://rtdc.mdm.uploadarchive.raw/RTDC4021/ "%USERPROFILE%\AppData\Local\Temp\OnboardLogs"\RTDC4021\2017-02-20 --exclude "*" --recursive --include "*20170220*" &amp; "%USERPROFILE%\Documents\GitHub\mrs-test-scripts\Headless Mode &amp; Sideloading\WalkAndUnGZ.bat" "%USERPROFILE%\AppData\Local\Temp\OnboardLogs"\RTDC4021\2017-02-20 &amp; aws s3 cp s3://rtdc.mdm.uploadarchive.raw/RTDC4021/ "%USERPROFILE%\AppData\Local\Temp\OnboardLogs"\RTDC4021\2017-02-21 --exclude "*" --recursive --include "*20170221*" &amp; "%USERPROFILE%\Documents\GitHub\mrs-test-scripts\Headless Mode &amp; Sideloading\WalkAndUnGZ.bat" "%USERPROFILE%\AppData\Local\Temp\OnboardLogs"\RTDC4021\2017-02-21</v>
      </c>
      <c r="AF193" s="82" t="str">
        <f t="shared" si="77"/>
        <v>"C:\Program Files (x86)\AstroGrep\AstroGrep.exe" /spath="%USERPROFILE%\AppData\Local\Temp\OnboardLogs" /stypes="app*4021*20170221*" /stext=" 00:.+((SYSTEM_STATE.+slice.+state.+changed )|(ment ac)|(multiple cpu faults)|(system.+state.+changed )|(\[timeout)|(PRM\|1\|D)|(kpr)|(kdp)|(\|lc)|(penalty))" /e /r /s</v>
      </c>
      <c r="AG193" s="1" t="str">
        <f t="shared" si="92"/>
        <v>NW</v>
      </c>
      <c r="AH193" s="86" t="str">
        <f t="shared" si="78"/>
        <v>"%USERPROFILE%\Documents\GitHub\eaglep3\Utilities\RefineRTDCRunTimes.py" --tripid 832-20 --locoid 4021 --swversion DE.1.0.9.0 --startMP 300:58656 --initTime 2017-02-20T17:06:33 --startdatetime 2017-02-20T17:08:35 --delay 1 --endMP 204:684 --enddatetime 2017-02-20T17:24:59 --enforcementcount 0 &gt;&gt;C:\Users\stu\Documents\GitHub\eaglep3-reporting\EC\2017-02-20-refined-times.txt</v>
      </c>
      <c r="AI193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{"issue":{"subject":"","project_id":79,"tracker_id":40,"status_id":1,"priority_id":2,"assigned_to_id":23,"start_date":"2017-02-20","description":"","custom_fields":[{"id":1,"name":"Subdivision","value":"NW"},{"id":4,"name":"Milepost","value":"0.0684"},{"id":17,"name":"Train ID","value":"832-20"},{"id":16,"name":"Locomotive ID","value":"4021"},{"id":130,"name":"Impact","value":""},{"id":150,"name":"Time of Event (Mountain Time)","value":"17:24:59"},{"id":151,"name":"Denver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48"/>
      <c r="AK193" s="48"/>
      <c r="AL193" s="48"/>
      <c r="AM193" s="154" t="str">
        <f t="shared" si="80"/>
        <v>start /low /b %USERPROFILE%\Documents\GitHub\eaglep3\Utilities\DownloadLogsFromS3.py --loco 4021 --day 2017-02-20</v>
      </c>
      <c r="AN193" s="163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"%USERPROFILE%\AppData\Local\Temp\OnboardLogs"\RTDC4021\*4021*20170221* | grep -SE "(Enforcement Action)|(\[TIMEOUT)|(CHR.+\|PRM\|1\|D.+(SWITCH|SIGNAL).+UNKNOWN)" - &gt;&gt; 2017-02-20-UncaughtWiMAX.txt</v>
      </c>
    </row>
    <row r="194" spans="1:40" x14ac:dyDescent="0.25">
      <c r="A194" s="33" t="s">
        <v>637</v>
      </c>
      <c r="B194" s="7">
        <v>4011</v>
      </c>
      <c r="C194" s="21" t="s">
        <v>408</v>
      </c>
      <c r="D194" s="21" t="s">
        <v>835</v>
      </c>
      <c r="E194" s="13">
        <v>42786.71634259259</v>
      </c>
      <c r="F194" s="13">
        <v>42786.72314814815</v>
      </c>
      <c r="G194" s="7">
        <v>2</v>
      </c>
      <c r="H194" s="21" t="s">
        <v>808</v>
      </c>
      <c r="I194" s="13">
        <v>42786.732534722221</v>
      </c>
      <c r="J194" s="7">
        <v>0</v>
      </c>
      <c r="K194" s="98" t="str">
        <f t="shared" si="83"/>
        <v>4011/4012</v>
      </c>
      <c r="L194" s="21" t="str">
        <f>VLOOKUP(A194,'Trips&amp;Operators'!$C$1:$G$99999,5,FALSE)</f>
        <v>LEVIN SCOTT</v>
      </c>
      <c r="M194" s="6">
        <f t="shared" si="84"/>
        <v>9.3865740709588863E-3</v>
      </c>
      <c r="N194" s="7">
        <f t="shared" si="93"/>
        <v>13.516666662180796</v>
      </c>
      <c r="O194" s="7"/>
      <c r="P194" s="7"/>
      <c r="Q194" s="22"/>
      <c r="R194" s="22"/>
      <c r="S194" s="31">
        <f t="shared" si="85"/>
        <v>1</v>
      </c>
      <c r="T194" s="46" t="str">
        <f t="shared" si="86"/>
        <v>NorthBound</v>
      </c>
      <c r="U194" s="186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7" t="str">
        <f t="shared" si="75"/>
        <v>https://d0f6bd738d7f1b3e5a7ca70fe4ff75f0.us-east-1.aws.found.io/app/kibana#/discover/Steve-Slow-Train-Analysis-(2080s-and-2083s)?_g=(refreshInterval:(display:Off,pause:!f,section:0,value:0),time:(from:'2017-02-20T16:11:32-0700',mode:absolute,to:'2017-02-20T18:34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4" s="188" t="str">
        <f t="shared" si="87"/>
        <v>N</v>
      </c>
      <c r="X194" s="188">
        <f t="shared" si="95"/>
        <v>1</v>
      </c>
      <c r="Y194" s="62">
        <f t="shared" si="88"/>
        <v>0.10829999999999999</v>
      </c>
      <c r="Z194" s="62">
        <f t="shared" si="89"/>
        <v>5.8929</v>
      </c>
      <c r="AA194" s="62">
        <f t="shared" si="90"/>
        <v>5.7846000000000002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 t="shared" si="91"/>
        <v>0833-20</v>
      </c>
      <c r="AE194" s="85" t="str">
        <f t="shared" si="76"/>
        <v>aws s3 cp s3://rtdc.mdm.uploadarchive.raw/RTDC4011/ "%USERPROFILE%\AppData\Local\Temp\OnboardLogs"\RTDC4011\2017-02-20 --exclude "*" --recursive --include "*20170220*" &amp; "%USERPROFILE%\Documents\GitHub\mrs-test-scripts\Headless Mode &amp; Sideloading\WalkAndUnGZ.bat" "%USERPROFILE%\AppData\Local\Temp\OnboardLogs"\RTDC4011\2017-02-20 &amp; aws s3 cp s3://rtdc.mdm.uploadarchive.raw/RTDC4011/ "%USERPROFILE%\AppData\Local\Temp\OnboardLogs"\RTDC4011\2017-02-21 --exclude "*" --recursive --include "*20170221*" &amp; "%USERPROFILE%\Documents\GitHub\mrs-test-scripts\Headless Mode &amp; Sideloading\WalkAndUnGZ.bat" "%USERPROFILE%\AppData\Local\Temp\OnboardLogs"\RTDC4011\2017-02-21</v>
      </c>
      <c r="AF194" s="82" t="str">
        <f t="shared" si="77"/>
        <v>"C:\Program Files (x86)\AstroGrep\AstroGrep.exe" /spath="%USERPROFILE%\AppData\Local\Temp\OnboardLogs" /stypes="app*4011*20170221*" /stext=" 00:.+((SYSTEM_STATE.+slice.+state.+changed )|(ment ac)|(multiple cpu faults)|(system.+state.+changed )|(\[timeout)|(PRM\|1\|D)|(kpr)|(kdp)|(\|lc)|(penalty))" /e /r /s</v>
      </c>
      <c r="AG194" s="1" t="str">
        <f t="shared" si="92"/>
        <v>NW</v>
      </c>
      <c r="AH194" s="86" t="str">
        <f t="shared" si="78"/>
        <v>"%USERPROFILE%\Documents\GitHub\eaglep3\Utilities\RefineRTDCRunTimes.py" --tripid 833-20 --locoid 4011 --swversion DE.1.0.9.0 --startMP 204:1083 --initTime 2017-02-20T17:11:32 --startdatetime 2017-02-20T17:21:20 --delay 2 --endMP 300:58929 --enddatetime 2017-02-20T17:34:51 --enforcementcount 0 &gt;&gt;C:\Users\stu\Documents\GitHub\eaglep3-reporting\EC\2017-02-20-refined-times.txt</v>
      </c>
      <c r="AI194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{"issue":{"subject":"","project_id":79,"tracker_id":40,"status_id":1,"priority_id":2,"assigned_to_id":23,"start_date":"2017-02-20","description":"","custom_fields":[{"id":1,"name":"Subdivision","value":"NW"},{"id":4,"name":"Milepost","value":"5.8929"},{"id":17,"name":"Train ID","value":"833-20"},{"id":16,"name":"Locomotive ID","value":"4011"},{"id":130,"name":"Impact","value":""},{"id":150,"name":"Time of Event (Mountain Time)","value":"17:34:51"},{"id":151,"name":"Denver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48"/>
      <c r="AK194" s="48"/>
      <c r="AL194" s="48"/>
      <c r="AM194" s="154" t="str">
        <f t="shared" si="80"/>
        <v>start /low /b %USERPROFILE%\Documents\GitHub\eaglep3\Utilities\DownloadLogsFromS3.py --loco 4011 --day 2017-02-20</v>
      </c>
      <c r="AN194" s="163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"%USERPROFILE%\AppData\Local\Temp\OnboardLogs"\RTDC4011\*4011*20170221* | grep -SE "(Enforcement Action)|(\[TIMEOUT)|(CHR.+\|PRM\|1\|D.+(SWITCH|SIGNAL).+UNKNOWN)" - &gt;&gt; 2017-02-20-UncaughtWiMAX.txt</v>
      </c>
    </row>
    <row r="195" spans="1:40" x14ac:dyDescent="0.25">
      <c r="A195" s="33" t="s">
        <v>643</v>
      </c>
      <c r="B195" s="7">
        <v>4012</v>
      </c>
      <c r="C195" s="21" t="s">
        <v>408</v>
      </c>
      <c r="D195" s="21" t="s">
        <v>836</v>
      </c>
      <c r="E195" s="13">
        <v>42786.733912037038</v>
      </c>
      <c r="F195" s="13">
        <v>42786.764756944445</v>
      </c>
      <c r="G195" s="7">
        <v>1</v>
      </c>
      <c r="H195" s="21" t="s">
        <v>797</v>
      </c>
      <c r="I195" s="13">
        <v>42786.774652777778</v>
      </c>
      <c r="J195" s="7">
        <v>0</v>
      </c>
      <c r="K195" s="98" t="str">
        <f t="shared" si="83"/>
        <v>4011/4012</v>
      </c>
      <c r="L195" s="21" t="str">
        <f>VLOOKUP(A195,'Trips&amp;Operators'!$C$1:$G$99999,5,FALSE)</f>
        <v>LEVIN SCOTT</v>
      </c>
      <c r="M195" s="6">
        <f t="shared" si="84"/>
        <v>9.8958333328482695E-3</v>
      </c>
      <c r="N195" s="7">
        <f t="shared" si="93"/>
        <v>14.249999999301508</v>
      </c>
      <c r="O195" s="7"/>
      <c r="P195" s="7"/>
      <c r="Q195" s="22"/>
      <c r="R195" s="22"/>
      <c r="S195" s="31">
        <f t="shared" ref="S195:S203" si="96">SUM(U195:U195)/IF(AG195="EC",12,1)</f>
        <v>1</v>
      </c>
      <c r="T195" s="46" t="str">
        <f t="shared" si="86"/>
        <v>Southbound</v>
      </c>
      <c r="U195" s="186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7" t="str">
        <f t="shared" si="75"/>
        <v>https://d0f6bd738d7f1b3e5a7ca70fe4ff75f0.us-east-1.aws.found.io/app/kibana#/discover/Steve-Slow-Train-Analysis-(2080s-and-2083s)?_g=(refreshInterval:(display:Off,pause:!f,section:0,value:0),time:(from:'2017-02-20T16:36:50-0700',mode:absolute,to:'2017-02-20T19:35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5" s="188" t="str">
        <f t="shared" si="87"/>
        <v>N</v>
      </c>
      <c r="X195" s="188">
        <f t="shared" si="95"/>
        <v>1</v>
      </c>
      <c r="Y195" s="62">
        <f t="shared" si="88"/>
        <v>5.8611000000000004</v>
      </c>
      <c r="Z195" s="62">
        <f t="shared" si="89"/>
        <v>6.6799999999999998E-2</v>
      </c>
      <c r="AA195" s="62">
        <f t="shared" si="90"/>
        <v>5.7943000000000007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 t="shared" si="91"/>
        <v>0834-20</v>
      </c>
      <c r="AE195" s="85" t="str">
        <f t="shared" si="76"/>
        <v>aws s3 cp s3://rtdc.mdm.uploadarchive.raw/RTDC4012/ "%USERPROFILE%\AppData\Local\Temp\OnboardLogs"\RTDC4012\2017-02-20 --exclude "*" --recursive --include "*20170220*" &amp; "%USERPROFILE%\Documents\GitHub\mrs-test-scripts\Headless Mode &amp; Sideloading\WalkAndUnGZ.bat" "%USERPROFILE%\AppData\Local\Temp\OnboardLogs"\RTDC4012\2017-02-20 &amp; aws s3 cp s3://rtdc.mdm.uploadarchive.raw/RTDC4012/ "%USERPROFILE%\AppData\Local\Temp\OnboardLogs"\RTDC4012\2017-02-21 --exclude "*" --recursive --include "*20170221*" &amp; "%USERPROFILE%\Documents\GitHub\mrs-test-scripts\Headless Mode &amp; Sideloading\WalkAndUnGZ.bat" "%USERPROFILE%\AppData\Local\Temp\OnboardLogs"\RTDC4012\2017-02-21</v>
      </c>
      <c r="AF195" s="82" t="str">
        <f t="shared" si="77"/>
        <v>"C:\Program Files (x86)\AstroGrep\AstroGrep.exe" /spath="%USERPROFILE%\AppData\Local\Temp\OnboardLogs" /stypes="app*4012*20170221*" /stext=" 01:.+((SYSTEM_STATE.+slice.+state.+changed )|(ment ac)|(multiple cpu faults)|(system.+state.+changed )|(\[timeout)|(PRM\|1\|D)|(kpr)|(kdp)|(\|lc)|(penalty))" /e /r /s</v>
      </c>
      <c r="AG195" s="1" t="str">
        <f t="shared" si="92"/>
        <v>NW</v>
      </c>
      <c r="AH195" s="86" t="str">
        <f t="shared" si="78"/>
        <v>"%USERPROFILE%\Documents\GitHub\eaglep3\Utilities\RefineRTDCRunTimes.py" --tripid 834-20 --locoid 4012 --swversion DE.1.0.9.0 --startMP 300:58611 --initTime 2017-02-20T17:36:50 --startdatetime 2017-02-20T18:21:15 --delay 1 --endMP 204:668 --enddatetime 2017-02-20T18:35:30 --enforcementcount 0 &gt;&gt;C:\Users\stu\Documents\GitHub\eaglep3-reporting\EC\2017-02-20-refined-times.txt</v>
      </c>
      <c r="AI195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{"issue":{"subject":"","project_id":79,"tracker_id":40,"status_id":1,"priority_id":2,"assigned_to_id":23,"start_date":"2017-02-20","description":"","custom_fields":[{"id":1,"name":"Subdivision","value":"NW"},{"id":4,"name":"Milepost","value":"0.0668"},{"id":17,"name":"Train ID","value":"834-20"},{"id":16,"name":"Locomotive ID","value":"4012"},{"id":130,"name":"Impact","value":""},{"id":150,"name":"Time of Event (Mountain Time)","value":"18:35:30"},{"id":151,"name":"Denver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48"/>
      <c r="AK195" s="48"/>
      <c r="AL195" s="48"/>
      <c r="AM195" s="154" t="str">
        <f t="shared" si="80"/>
        <v>start /low /b %USERPROFILE%\Documents\GitHub\eaglep3\Utilities\DownloadLogsFromS3.py --loco 4012 --day 2017-02-20</v>
      </c>
      <c r="AN195" s="163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"%USERPROFILE%\AppData\Local\Temp\OnboardLogs"\RTDC4012\*4012*20170221* | grep -SE "(Enforcement Action)|(\[TIMEOUT)|(CHR.+\|PRM\|1\|D.+(SWITCH|SIGNAL).+UNKNOWN)" - &gt;&gt; 2017-02-20-UncaughtWiMAX.txt</v>
      </c>
    </row>
    <row r="196" spans="1:40" x14ac:dyDescent="0.25">
      <c r="A196" s="33" t="s">
        <v>641</v>
      </c>
      <c r="B196" s="7">
        <v>4022</v>
      </c>
      <c r="C196" s="21" t="s">
        <v>408</v>
      </c>
      <c r="D196" s="21" t="s">
        <v>837</v>
      </c>
      <c r="E196" s="13">
        <v>42786.732141203705</v>
      </c>
      <c r="F196" s="13">
        <v>42786.744050925925</v>
      </c>
      <c r="G196" s="7">
        <v>1</v>
      </c>
      <c r="H196" s="21" t="s">
        <v>838</v>
      </c>
      <c r="I196" s="13">
        <v>42786.754606481481</v>
      </c>
      <c r="J196" s="7">
        <v>0</v>
      </c>
      <c r="K196" s="98" t="str">
        <f t="shared" si="83"/>
        <v>4021/4022</v>
      </c>
      <c r="L196" s="21" t="str">
        <f>VLOOKUP(A196,'Trips&amp;Operators'!$C$1:$G$99999,5,FALSE)</f>
        <v>MACDONALD THOMAS</v>
      </c>
      <c r="M196" s="6">
        <f t="shared" si="84"/>
        <v>1.0555555556493346E-2</v>
      </c>
      <c r="N196" s="7">
        <f t="shared" si="93"/>
        <v>15.200000001350418</v>
      </c>
      <c r="O196" s="7"/>
      <c r="P196" s="7"/>
      <c r="Q196" s="22"/>
      <c r="R196" s="22"/>
      <c r="S196" s="31">
        <f t="shared" si="96"/>
        <v>1</v>
      </c>
      <c r="T196" s="46" t="str">
        <f t="shared" si="86"/>
        <v>NorthBound</v>
      </c>
      <c r="U196" s="186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7" t="str">
        <f t="shared" si="75"/>
        <v>https://d0f6bd738d7f1b3e5a7ca70fe4ff75f0.us-east-1.aws.found.io/app/kibana#/discover/Steve-Slow-Train-Analysis-(2080s-and-2083s)?_g=(refreshInterval:(display:Off,pause:!f,section:0,value:0),time:(from:'2017-02-20T16:34:17-0700',mode:absolute,to:'2017-02-20T19:06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6" s="188" t="str">
        <f t="shared" si="87"/>
        <v>N</v>
      </c>
      <c r="X196" s="188">
        <f t="shared" si="95"/>
        <v>1</v>
      </c>
      <c r="Y196" s="62">
        <f t="shared" si="88"/>
        <v>9.6699999999999994E-2</v>
      </c>
      <c r="Z196" s="62">
        <f t="shared" si="89"/>
        <v>5.8920000000000003</v>
      </c>
      <c r="AA196" s="62">
        <f t="shared" si="90"/>
        <v>5.7953000000000001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 t="shared" si="91"/>
        <v>0835-20</v>
      </c>
      <c r="AE196" s="85" t="str">
        <f t="shared" si="76"/>
        <v>aws s3 cp s3://rtdc.mdm.uploadarchive.raw/RTDC4022/ "%USERPROFILE%\AppData\Local\Temp\OnboardLogs"\RTDC4022\2017-02-20 --exclude "*" --recursive --include "*20170220*" &amp; "%USERPROFILE%\Documents\GitHub\mrs-test-scripts\Headless Mode &amp; Sideloading\WalkAndUnGZ.bat" "%USERPROFILE%\AppData\Local\Temp\OnboardLogs"\RTDC4022\2017-02-20 &amp; aws s3 cp s3://rtdc.mdm.uploadarchive.raw/RTDC4022/ "%USERPROFILE%\AppData\Local\Temp\OnboardLogs"\RTDC4022\2017-02-21 --exclude "*" --recursive --include "*20170221*" &amp; "%USERPROFILE%\Documents\GitHub\mrs-test-scripts\Headless Mode &amp; Sideloading\WalkAndUnGZ.bat" "%USERPROFILE%\AppData\Local\Temp\OnboardLogs"\RTDC4022\2017-02-21</v>
      </c>
      <c r="AF196" s="82" t="str">
        <f t="shared" si="77"/>
        <v>"C:\Program Files (x86)\AstroGrep\AstroGrep.exe" /spath="%USERPROFILE%\AppData\Local\Temp\OnboardLogs" /stypes="app*4022*20170221*" /stext=" 01:.+((SYSTEM_STATE.+slice.+state.+changed )|(ment ac)|(multiple cpu faults)|(system.+state.+changed )|(\[timeout)|(PRM\|1\|D)|(kpr)|(kdp)|(\|lc)|(penalty))" /e /r /s</v>
      </c>
      <c r="AG196" s="1" t="str">
        <f t="shared" si="92"/>
        <v>NW</v>
      </c>
      <c r="AH196" s="86" t="str">
        <f t="shared" si="78"/>
        <v>"%USERPROFILE%\Documents\GitHub\eaglep3\Utilities\RefineRTDCRunTimes.py" --tripid 835-20 --locoid 4022 --swversion DE.1.0.9.0 --startMP 204:967 --initTime 2017-02-20T17:34:17 --startdatetime 2017-02-20T17:51:26 --delay 1 --endMP 300:58920 --enddatetime 2017-02-20T18:06:38 --enforcementcount 0 &gt;&gt;C:\Users\stu\Documents\GitHub\eaglep3-reporting\EC\2017-02-20-refined-times.txt</v>
      </c>
      <c r="AI196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{"issue":{"subject":"","project_id":79,"tracker_id":40,"status_id":1,"priority_id":2,"assigned_to_id":23,"start_date":"2017-02-20","description":"","custom_fields":[{"id":1,"name":"Subdivision","value":"NW"},{"id":4,"name":"Milepost","value":"5.892"},{"id":17,"name":"Train ID","value":"835-20"},{"id":16,"name":"Locomotive ID","value":"4022"},{"id":130,"name":"Impact","value":""},{"id":150,"name":"Time of Event (Mountain Time)","value":"18:06:38"},{"id":151,"name":"Denver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48"/>
      <c r="AK196" s="48"/>
      <c r="AL196" s="48"/>
      <c r="AM196" s="154" t="str">
        <f t="shared" si="80"/>
        <v>start /low /b %USERPROFILE%\Documents\GitHub\eaglep3\Utilities\DownloadLogsFromS3.py --loco 4022 --day 2017-02-20</v>
      </c>
      <c r="AN196" s="163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"%USERPROFILE%\AppData\Local\Temp\OnboardLogs"\RTDC4022\*4022*20170221* | grep -SE "(Enforcement Action)|(\[TIMEOUT)|(CHR.+\|PRM\|1\|D.+(SWITCH|SIGNAL).+UNKNOWN)" - &gt;&gt; 2017-02-20-UncaughtWiMAX.txt</v>
      </c>
    </row>
    <row r="197" spans="1:40" x14ac:dyDescent="0.25">
      <c r="A197" s="33" t="s">
        <v>483</v>
      </c>
      <c r="B197" s="7">
        <v>4021</v>
      </c>
      <c r="C197" s="21" t="s">
        <v>408</v>
      </c>
      <c r="D197" s="21" t="s">
        <v>839</v>
      </c>
      <c r="E197" s="13">
        <v>42786.755474537036</v>
      </c>
      <c r="F197" s="13">
        <v>42786.756805555553</v>
      </c>
      <c r="G197" s="7">
        <v>1</v>
      </c>
      <c r="H197" s="21" t="s">
        <v>840</v>
      </c>
      <c r="I197" s="13">
        <v>42786.768680555557</v>
      </c>
      <c r="J197" s="7">
        <v>0</v>
      </c>
      <c r="K197" s="98" t="str">
        <f t="shared" si="83"/>
        <v>4021/4022</v>
      </c>
      <c r="L197" s="21" t="str">
        <f>VLOOKUP(A197,'Trips&amp;Operators'!$C$1:$G$99999,5,FALSE)</f>
        <v>MACDONALD THOMAS</v>
      </c>
      <c r="M197" s="6">
        <f t="shared" si="84"/>
        <v>1.1875000003783498E-2</v>
      </c>
      <c r="N197" s="7">
        <f t="shared" si="93"/>
        <v>17.100000005448237</v>
      </c>
      <c r="O197" s="7"/>
      <c r="P197" s="7"/>
      <c r="Q197" s="22"/>
      <c r="R197" s="22"/>
      <c r="S197" s="31">
        <f t="shared" si="96"/>
        <v>1</v>
      </c>
      <c r="T197" s="46" t="str">
        <f t="shared" si="86"/>
        <v>Southbound</v>
      </c>
      <c r="U197" s="186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7" t="str">
        <f t="shared" si="75"/>
        <v>https://d0f6bd738d7f1b3e5a7ca70fe4ff75f0.us-east-1.aws.found.io/app/kibana#/discover/Steve-Slow-Train-Analysis-(2080s-and-2083s)?_g=(refreshInterval:(display:Off,pause:!f,section:0,value:0),time:(from:'2017-02-20T17:07:53-0700',mode:absolute,to:'2017-02-20T19:26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97" s="188" t="str">
        <f t="shared" si="87"/>
        <v>N</v>
      </c>
      <c r="X197" s="188">
        <f t="shared" si="95"/>
        <v>1</v>
      </c>
      <c r="Y197" s="62">
        <f t="shared" si="88"/>
        <v>5.8604000000000003</v>
      </c>
      <c r="Z197" s="62">
        <f t="shared" si="89"/>
        <v>7.0999999999999994E-2</v>
      </c>
      <c r="AA197" s="62">
        <f t="shared" si="90"/>
        <v>5.7894000000000005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 t="shared" si="91"/>
        <v>0836-20</v>
      </c>
      <c r="AE197" s="85" t="str">
        <f t="shared" si="76"/>
        <v>aws s3 cp s3://rtdc.mdm.uploadarchive.raw/RTDC4021/ "%USERPROFILE%\AppData\Local\Temp\OnboardLogs"\RTDC4021\2017-02-20 --exclude "*" --recursive --include "*20170220*" &amp; "%USERPROFILE%\Documents\GitHub\mrs-test-scripts\Headless Mode &amp; Sideloading\WalkAndUnGZ.bat" "%USERPROFILE%\AppData\Local\Temp\OnboardLogs"\RTDC4021\2017-02-20 &amp; aws s3 cp s3://rtdc.mdm.uploadarchive.raw/RTDC4021/ "%USERPROFILE%\AppData\Local\Temp\OnboardLogs"\RTDC4021\2017-02-21 --exclude "*" --recursive --include "*20170221*" &amp; "%USERPROFILE%\Documents\GitHub\mrs-test-scripts\Headless Mode &amp; Sideloading\WalkAndUnGZ.bat" "%USERPROFILE%\AppData\Local\Temp\OnboardLogs"\RTDC4021\2017-02-21</v>
      </c>
      <c r="AF197" s="82" t="str">
        <f t="shared" si="77"/>
        <v>"C:\Program Files (x86)\AstroGrep\AstroGrep.exe" /spath="%USERPROFILE%\AppData\Local\Temp\OnboardLogs" /stypes="app*4021*20170221*" /stext=" 01:.+((SYSTEM_STATE.+slice.+state.+changed )|(ment ac)|(multiple cpu faults)|(system.+state.+changed )|(\[timeout)|(PRM\|1\|D)|(kpr)|(kdp)|(\|lc)|(penalty))" /e /r /s</v>
      </c>
      <c r="AG197" s="1" t="str">
        <f t="shared" si="92"/>
        <v>NW</v>
      </c>
      <c r="AH197" s="86" t="str">
        <f t="shared" si="78"/>
        <v>"%USERPROFILE%\Documents\GitHub\eaglep3\Utilities\RefineRTDCRunTimes.py" --tripid 836-20 --locoid 4021 --swversion DE.1.0.9.0 --startMP 300:58604 --initTime 2017-02-20T18:07:53 --startdatetime 2017-02-20T18:09:48 --delay 1 --endMP 204:710 --enddatetime 2017-02-20T18:26:54 --enforcementcount 0 &gt;&gt;C:\Users\stu\Documents\GitHub\eaglep3-reporting\EC\2017-02-20-refined-times.txt</v>
      </c>
      <c r="AI197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{"issue":{"subject":"","project_id":79,"tracker_id":40,"status_id":1,"priority_id":2,"assigned_to_id":23,"start_date":"2017-02-20","description":"","custom_fields":[{"id":1,"name":"Subdivision","value":"NW"},{"id":4,"name":"Milepost","value":"0.071"},{"id":17,"name":"Train ID","value":"836-20"},{"id":16,"name":"Locomotive ID","value":"4021"},{"id":130,"name":"Impact","value":""},{"id":150,"name":"Time of Event (Mountain Time)","value":"18:26:54"},{"id":151,"name":"Denver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48"/>
      <c r="AK197" s="48"/>
      <c r="AL197" s="48"/>
      <c r="AM197" s="154" t="str">
        <f t="shared" si="80"/>
        <v>start /low /b %USERPROFILE%\Documents\GitHub\eaglep3\Utilities\DownloadLogsFromS3.py --loco 4021 --day 2017-02-20</v>
      </c>
      <c r="AN197" s="163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"%USERPROFILE%\AppData\Local\Temp\OnboardLogs"\RTDC4021\*4021*20170221* | grep -SE "(Enforcement Action)|(\[TIMEOUT)|(CHR.+\|PRM\|1\|D.+(SWITCH|SIGNAL).+UNKNOWN)" - &gt;&gt; 2017-02-20-UncaughtWiMAX.txt</v>
      </c>
    </row>
    <row r="198" spans="1:40" x14ac:dyDescent="0.25">
      <c r="A198" s="33" t="s">
        <v>651</v>
      </c>
      <c r="B198" s="7">
        <v>4011</v>
      </c>
      <c r="C198" s="21" t="s">
        <v>408</v>
      </c>
      <c r="D198" s="21" t="s">
        <v>810</v>
      </c>
      <c r="E198" s="13">
        <v>42786.761435185188</v>
      </c>
      <c r="F198" s="13">
        <v>42786.764756944445</v>
      </c>
      <c r="G198" s="7">
        <v>1</v>
      </c>
      <c r="H198" s="21" t="s">
        <v>841</v>
      </c>
      <c r="I198" s="13">
        <v>42786.774652777778</v>
      </c>
      <c r="J198" s="7">
        <v>0</v>
      </c>
      <c r="K198" s="98" t="str">
        <f t="shared" si="83"/>
        <v>4011/4012</v>
      </c>
      <c r="L198" s="21" t="str">
        <f>VLOOKUP(A198,'Trips&amp;Operators'!$C$1:$G$99999,5,FALSE)</f>
        <v>LEVIN SCOTT</v>
      </c>
      <c r="M198" s="6">
        <f t="shared" si="84"/>
        <v>9.8958333328482695E-3</v>
      </c>
      <c r="N198" s="7">
        <f t="shared" si="93"/>
        <v>14.249999999301508</v>
      </c>
      <c r="O198" s="7"/>
      <c r="P198" s="7"/>
      <c r="Q198" s="22"/>
      <c r="R198" s="22"/>
      <c r="S198" s="31">
        <f t="shared" si="96"/>
        <v>1</v>
      </c>
      <c r="T198" s="46" t="str">
        <f t="shared" si="86"/>
        <v>NorthBound</v>
      </c>
      <c r="U198" s="186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7" t="str">
        <f t="shared" si="75"/>
        <v>https://d0f6bd738d7f1b3e5a7ca70fe4ff75f0.us-east-1.aws.found.io/app/kibana#/discover/Steve-Slow-Train-Analysis-(2080s-and-2083s)?_g=(refreshInterval:(display:Off,pause:!f,section:0,value:0),time:(from:'2017-02-20T17:16:28-0700',mode:absolute,to:'2017-02-20T19:35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8" s="188" t="str">
        <f t="shared" si="87"/>
        <v>N</v>
      </c>
      <c r="X198" s="188">
        <f t="shared" si="95"/>
        <v>1</v>
      </c>
      <c r="Y198" s="62">
        <f t="shared" si="88"/>
        <v>9.6000000000000002E-2</v>
      </c>
      <c r="Z198" s="62">
        <f t="shared" si="89"/>
        <v>5.8925999999999998</v>
      </c>
      <c r="AA198" s="62">
        <f t="shared" si="90"/>
        <v>5.7965999999999998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 t="shared" si="91"/>
        <v>0837-20</v>
      </c>
      <c r="AE198" s="85" t="str">
        <f t="shared" si="76"/>
        <v>aws s3 cp s3://rtdc.mdm.uploadarchive.raw/RTDC4011/ "%USERPROFILE%\AppData\Local\Temp\OnboardLogs"\RTDC4011\2017-02-20 --exclude "*" --recursive --include "*20170220*" &amp; "%USERPROFILE%\Documents\GitHub\mrs-test-scripts\Headless Mode &amp; Sideloading\WalkAndUnGZ.bat" "%USERPROFILE%\AppData\Local\Temp\OnboardLogs"\RTDC4011\2017-02-20 &amp; aws s3 cp s3://rtdc.mdm.uploadarchive.raw/RTDC4011/ "%USERPROFILE%\AppData\Local\Temp\OnboardLogs"\RTDC4011\2017-02-21 --exclude "*" --recursive --include "*20170221*" &amp; "%USERPROFILE%\Documents\GitHub\mrs-test-scripts\Headless Mode &amp; Sideloading\WalkAndUnGZ.bat" "%USERPROFILE%\AppData\Local\Temp\OnboardLogs"\RTDC4011\2017-02-21</v>
      </c>
      <c r="AF198" s="82" t="str">
        <f t="shared" si="77"/>
        <v>"C:\Program Files (x86)\AstroGrep\AstroGrep.exe" /spath="%USERPROFILE%\AppData\Local\Temp\OnboardLogs" /stypes="app*4011*20170221*" /stext=" 01:.+((SYSTEM_STATE.+slice.+state.+changed )|(ment ac)|(multiple cpu faults)|(system.+state.+changed )|(\[timeout)|(PRM\|1\|D)|(kpr)|(kdp)|(\|lc)|(penalty))" /e /r /s</v>
      </c>
      <c r="AG198" s="1" t="str">
        <f t="shared" si="92"/>
        <v>NW</v>
      </c>
      <c r="AH198" s="86" t="str">
        <f t="shared" si="78"/>
        <v>"%USERPROFILE%\Documents\GitHub\eaglep3\Utilities\RefineRTDCRunTimes.py" --tripid 837-20 --locoid 4011 --swversion DE.1.0.9.0 --startMP 204:960 --initTime 2017-02-20T18:16:28 --startdatetime 2017-02-20T18:21:15 --delay 1 --endMP 300:58926 --enddatetime 2017-02-20T18:35:30 --enforcementcount 0 &gt;&gt;C:\Users\stu\Documents\GitHub\eaglep3-reporting\EC\2017-02-20-refined-times.txt</v>
      </c>
      <c r="AI198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{"issue":{"subject":"","project_id":79,"tracker_id":40,"status_id":1,"priority_id":2,"assigned_to_id":23,"start_date":"2017-02-20","description":"","custom_fields":[{"id":1,"name":"Subdivision","value":"NW"},{"id":4,"name":"Milepost","value":"5.8926"},{"id":17,"name":"Train ID","value":"837-20"},{"id":16,"name":"Locomotive ID","value":"4011"},{"id":130,"name":"Impact","value":""},{"id":150,"name":"Time of Event (Mountain Time)","value":"18:35:30"},{"id":151,"name":"Denver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48"/>
      <c r="AK198" s="48"/>
      <c r="AL198" s="48"/>
      <c r="AM198" s="154" t="str">
        <f t="shared" si="80"/>
        <v>start /low /b %USERPROFILE%\Documents\GitHub\eaglep3\Utilities\DownloadLogsFromS3.py --loco 4011 --day 2017-02-20</v>
      </c>
      <c r="AN198" s="163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"%USERPROFILE%\AppData\Local\Temp\OnboardLogs"\RTDC4011\*4011*20170221* | grep -SE "(Enforcement Action)|(\[TIMEOUT)|(CHR.+\|PRM\|1\|D.+(SWITCH|SIGNAL).+UNKNOWN)" - &gt;&gt; 2017-02-20-UncaughtWiMAX.txt</v>
      </c>
    </row>
    <row r="199" spans="1:40" x14ac:dyDescent="0.25">
      <c r="A199" s="33" t="s">
        <v>654</v>
      </c>
      <c r="B199" s="7">
        <v>4012</v>
      </c>
      <c r="C199" s="21" t="s">
        <v>408</v>
      </c>
      <c r="D199" s="21" t="s">
        <v>842</v>
      </c>
      <c r="E199" s="13">
        <v>42786.776550925926</v>
      </c>
      <c r="F199" s="13">
        <v>42786.777673611112</v>
      </c>
      <c r="G199" s="7">
        <v>1</v>
      </c>
      <c r="H199" s="21" t="s">
        <v>803</v>
      </c>
      <c r="I199" s="13">
        <v>42786.788425925923</v>
      </c>
      <c r="J199" s="7">
        <v>0</v>
      </c>
      <c r="K199" s="98" t="str">
        <f t="shared" si="83"/>
        <v>4011/4012</v>
      </c>
      <c r="L199" s="21" t="str">
        <f>VLOOKUP(A199,'Trips&amp;Operators'!$C$1:$G$99999,5,FALSE)</f>
        <v>LEVIN SCOTT</v>
      </c>
      <c r="M199" s="6">
        <f t="shared" si="84"/>
        <v>1.0752314810815733E-2</v>
      </c>
      <c r="N199" s="7">
        <f t="shared" si="93"/>
        <v>15.483333327574655</v>
      </c>
      <c r="O199" s="7"/>
      <c r="P199" s="7"/>
      <c r="Q199" s="22"/>
      <c r="R199" s="22"/>
      <c r="S199" s="31">
        <f t="shared" si="96"/>
        <v>1</v>
      </c>
      <c r="T199" s="46" t="str">
        <f t="shared" si="86"/>
        <v>Southbound</v>
      </c>
      <c r="U199" s="186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7" t="str">
        <f t="shared" si="75"/>
        <v>https://d0f6bd738d7f1b3e5a7ca70fe4ff75f0.us-east-1.aws.found.io/app/kibana#/discover/Steve-Slow-Train-Analysis-(2080s-and-2083s)?_g=(refreshInterval:(display:Off,pause:!f,section:0,value:0),time:(from:'2017-02-20T17:38:14-0700',mode:absolute,to:'2017-02-20T19:55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9" s="188" t="str">
        <f t="shared" si="87"/>
        <v>N</v>
      </c>
      <c r="X199" s="188">
        <f t="shared" si="95"/>
        <v>1</v>
      </c>
      <c r="Y199" s="62">
        <f t="shared" si="88"/>
        <v>5.8608000000000002</v>
      </c>
      <c r="Z199" s="62">
        <f t="shared" si="89"/>
        <v>6.7100000000000007E-2</v>
      </c>
      <c r="AA199" s="62">
        <f t="shared" si="90"/>
        <v>5.7937000000000003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 t="shared" si="91"/>
        <v>0838-20</v>
      </c>
      <c r="AE199" s="85" t="str">
        <f t="shared" si="76"/>
        <v>aws s3 cp s3://rtdc.mdm.uploadarchive.raw/RTDC4012/ "%USERPROFILE%\AppData\Local\Temp\OnboardLogs"\RTDC4012\2017-02-20 --exclude "*" --recursive --include "*20170220*" &amp; "%USERPROFILE%\Documents\GitHub\mrs-test-scripts\Headless Mode &amp; Sideloading\WalkAndUnGZ.bat" "%USERPROFILE%\AppData\Local\Temp\OnboardLogs"\RTDC4012\2017-02-20 &amp; aws s3 cp s3://rtdc.mdm.uploadarchive.raw/RTDC4012/ "%USERPROFILE%\AppData\Local\Temp\OnboardLogs"\RTDC4012\2017-02-21 --exclude "*" --recursive --include "*20170221*" &amp; "%USERPROFILE%\Documents\GitHub\mrs-test-scripts\Headless Mode &amp; Sideloading\WalkAndUnGZ.bat" "%USERPROFILE%\AppData\Local\Temp\OnboardLogs"\RTDC4012\2017-02-21</v>
      </c>
      <c r="AF199" s="82" t="str">
        <f t="shared" si="77"/>
        <v>"C:\Program Files (x86)\AstroGrep\AstroGrep.exe" /spath="%USERPROFILE%\AppData\Local\Temp\OnboardLogs" /stypes="app*4012*20170221*" /stext=" 01:.+((SYSTEM_STATE.+slice.+state.+changed )|(ment ac)|(multiple cpu faults)|(system.+state.+changed )|(\[timeout)|(PRM\|1\|D)|(kpr)|(kdp)|(\|lc)|(penalty))" /e /r /s</v>
      </c>
      <c r="AG199" s="1" t="str">
        <f t="shared" si="92"/>
        <v>NW</v>
      </c>
      <c r="AH199" s="86" t="str">
        <f t="shared" si="78"/>
        <v>"%USERPROFILE%\Documents\GitHub\eaglep3\Utilities\RefineRTDCRunTimes.py" --tripid 838-20 --locoid 4012 --swversion DE.1.0.9.0 --startMP 300:58608 --initTime 2017-02-20T18:38:14 --startdatetime 2017-02-20T18:39:51 --delay 1 --endMP 204:671 --enddatetime 2017-02-20T18:55:20 --enforcementcount 0 &gt;&gt;C:\Users\stu\Documents\GitHub\eaglep3-reporting\EC\2017-02-20-refined-times.txt</v>
      </c>
      <c r="AI199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{"issue":{"subject":"","project_id":79,"tracker_id":40,"status_id":1,"priority_id":2,"assigned_to_id":23,"start_date":"2017-02-20","description":"","custom_fields":[{"id":1,"name":"Subdivision","value":"NW"},{"id":4,"name":"Milepost","value":"0.0671"},{"id":17,"name":"Train ID","value":"838-20"},{"id":16,"name":"Locomotive ID","value":"4012"},{"id":130,"name":"Impact","value":""},{"id":150,"name":"Time of Event (Mountain Time)","value":"18:55:20"},{"id":151,"name":"Denver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48"/>
      <c r="AK199" s="48"/>
      <c r="AL199" s="48"/>
      <c r="AM199" s="154" t="str">
        <f t="shared" si="80"/>
        <v>start /low /b %USERPROFILE%\Documents\GitHub\eaglep3\Utilities\DownloadLogsFromS3.py --loco 4012 --day 2017-02-20</v>
      </c>
      <c r="AN199" s="163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"%USERPROFILE%\AppData\Local\Temp\OnboardLogs"\RTDC4012\*4012*20170221* | grep -SE "(Enforcement Action)|(\[TIMEOUT)|(CHR.+\|PRM\|1\|D.+(SWITCH|SIGNAL).+UNKNOWN)" - &gt;&gt; 2017-02-20-UncaughtWiMAX.txt</v>
      </c>
    </row>
    <row r="200" spans="1:40" x14ac:dyDescent="0.25">
      <c r="A200" s="33" t="s">
        <v>485</v>
      </c>
      <c r="B200" s="7">
        <v>4022</v>
      </c>
      <c r="C200" s="21" t="s">
        <v>408</v>
      </c>
      <c r="D200" s="21" t="s">
        <v>843</v>
      </c>
      <c r="E200" s="13">
        <v>42786.769641203704</v>
      </c>
      <c r="F200" s="13">
        <v>42786.785694444443</v>
      </c>
      <c r="G200" s="7">
        <v>1</v>
      </c>
      <c r="H200" s="21" t="s">
        <v>423</v>
      </c>
      <c r="I200" s="13">
        <v>42786.796111111114</v>
      </c>
      <c r="J200" s="7">
        <v>0</v>
      </c>
      <c r="K200" s="98" t="str">
        <f t="shared" si="83"/>
        <v>4021/4022</v>
      </c>
      <c r="L200" s="21" t="str">
        <f>VLOOKUP(A200,'Trips&amp;Operators'!$C$1:$G$99999,5,FALSE)</f>
        <v>MACDONALD THOMAS</v>
      </c>
      <c r="M200" s="6">
        <f t="shared" si="84"/>
        <v>1.0416666671517305E-2</v>
      </c>
      <c r="N200" s="7">
        <f t="shared" si="93"/>
        <v>15.000000006984919</v>
      </c>
      <c r="O200" s="7"/>
      <c r="P200" s="7"/>
      <c r="Q200" s="22"/>
      <c r="R200" s="22"/>
      <c r="S200" s="31">
        <f t="shared" si="96"/>
        <v>1</v>
      </c>
      <c r="T200" s="46" t="str">
        <f t="shared" si="86"/>
        <v>NorthBound</v>
      </c>
      <c r="U200" s="186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7" t="str">
        <f t="shared" si="75"/>
        <v>https://d0f6bd738d7f1b3e5a7ca70fe4ff75f0.us-east-1.aws.found.io/app/kibana#/discover/Steve-Slow-Train-Analysis-(2080s-and-2083s)?_g=(refreshInterval:(display:Off,pause:!f,section:0,value:0),time:(from:'2017-02-20T17:28:17-0700',mode:absolute,to:'2017-02-20T20:06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00" s="188" t="str">
        <f t="shared" si="87"/>
        <v>N</v>
      </c>
      <c r="X200" s="188">
        <f t="shared" si="95"/>
        <v>1</v>
      </c>
      <c r="Y200" s="62">
        <f t="shared" si="88"/>
        <v>9.7799999999999998E-2</v>
      </c>
      <c r="Z200" s="62">
        <f t="shared" si="89"/>
        <v>5.8939000000000004</v>
      </c>
      <c r="AA200" s="62">
        <f t="shared" si="90"/>
        <v>5.7961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 t="shared" si="91"/>
        <v>0839-20</v>
      </c>
      <c r="AE200" s="85" t="str">
        <f t="shared" si="76"/>
        <v>aws s3 cp s3://rtdc.mdm.uploadarchive.raw/RTDC4022/ "%USERPROFILE%\AppData\Local\Temp\OnboardLogs"\RTDC4022\2017-02-20 --exclude "*" --recursive --include "*20170220*" &amp; "%USERPROFILE%\Documents\GitHub\mrs-test-scripts\Headless Mode &amp; Sideloading\WalkAndUnGZ.bat" "%USERPROFILE%\AppData\Local\Temp\OnboardLogs"\RTDC4022\2017-02-20 &amp; aws s3 cp s3://rtdc.mdm.uploadarchive.raw/RTDC4022/ "%USERPROFILE%\AppData\Local\Temp\OnboardLogs"\RTDC4022\2017-02-21 --exclude "*" --recursive --include "*20170221*" &amp; "%USERPROFILE%\Documents\GitHub\mrs-test-scripts\Headless Mode &amp; Sideloading\WalkAndUnGZ.bat" "%USERPROFILE%\AppData\Local\Temp\OnboardLogs"\RTDC4022\2017-02-21</v>
      </c>
      <c r="AF200" s="82" t="str">
        <f t="shared" si="77"/>
        <v>"C:\Program Files (x86)\AstroGrep\AstroGrep.exe" /spath="%USERPROFILE%\AppData\Local\Temp\OnboardLogs" /stypes="app*4022*20170221*" /stext=" 02:.+((SYSTEM_STATE.+slice.+state.+changed )|(ment ac)|(multiple cpu faults)|(system.+state.+changed )|(\[timeout)|(PRM\|1\|D)|(kpr)|(kdp)|(\|lc)|(penalty))" /e /r /s</v>
      </c>
      <c r="AG200" s="1" t="str">
        <f t="shared" si="92"/>
        <v>NW</v>
      </c>
      <c r="AH200" s="86" t="str">
        <f t="shared" si="78"/>
        <v>"%USERPROFILE%\Documents\GitHub\eaglep3\Utilities\RefineRTDCRunTimes.py" --tripid 839-20 --locoid 4022 --swversion DE.1.0.9.0 --startMP 204:978 --initTime 2017-02-20T18:28:17 --startdatetime 2017-02-20T18:51:24 --delay 1 --endMP 300:58939 --enddatetime 2017-02-20T19:06:24 --enforcementcount 0 &gt;&gt;C:\Users\stu\Documents\GitHub\eaglep3-reporting\EC\2017-02-20-refined-times.txt</v>
      </c>
      <c r="AI200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{"issue":{"subject":"","project_id":79,"tracker_id":40,"status_id":1,"priority_id":2,"assigned_to_id":23,"start_date":"2017-02-20","description":"","custom_fields":[{"id":1,"name":"Subdivision","value":"NW"},{"id":4,"name":"Milepost","value":"5.8939"},{"id":17,"name":"Train ID","value":"839-20"},{"id":16,"name":"Locomotive ID","value":"4022"},{"id":130,"name":"Impact","value":""},{"id":150,"name":"Time of Event (Mountain Time)","value":"19:06:24"},{"id":151,"name":"Denver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48"/>
      <c r="AK200" s="48"/>
      <c r="AL200" s="48"/>
      <c r="AM200" s="154" t="str">
        <f t="shared" si="80"/>
        <v>start /low /b %USERPROFILE%\Documents\GitHub\eaglep3\Utilities\DownloadLogsFromS3.py --loco 4022 --day 2017-02-20</v>
      </c>
      <c r="AN200" s="163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"%USERPROFILE%\AppData\Local\Temp\OnboardLogs"\RTDC4022\*4022*20170221* | grep -SE "(Enforcement Action)|(\[TIMEOUT)|(CHR.+\|PRM\|1\|D.+(SWITCH|SIGNAL).+UNKNOWN)" - &gt;&gt; 2017-02-20-UncaughtWiMAX.txt</v>
      </c>
    </row>
    <row r="201" spans="1:40" x14ac:dyDescent="0.25">
      <c r="A201" s="33" t="s">
        <v>664</v>
      </c>
      <c r="B201" s="7">
        <v>4012</v>
      </c>
      <c r="C201" s="21" t="s">
        <v>408</v>
      </c>
      <c r="D201" s="21" t="s">
        <v>426</v>
      </c>
      <c r="E201" s="13">
        <v>42786.817731481482</v>
      </c>
      <c r="F201" s="13">
        <v>42786.818912037037</v>
      </c>
      <c r="G201" s="7">
        <v>1</v>
      </c>
      <c r="H201" s="21" t="s">
        <v>844</v>
      </c>
      <c r="I201" s="13">
        <v>42786.829756944448</v>
      </c>
      <c r="J201" s="7">
        <v>0</v>
      </c>
      <c r="K201" s="98" t="str">
        <f t="shared" si="83"/>
        <v>4011/4012</v>
      </c>
      <c r="L201" s="21" t="str">
        <f>VLOOKUP(A201,'Trips&amp;Operators'!$C$1:$G$99999,5,FALSE)</f>
        <v>LEVIN SCOTT</v>
      </c>
      <c r="M201" s="6">
        <f t="shared" si="84"/>
        <v>1.0844907410501037E-2</v>
      </c>
      <c r="N201" s="7">
        <f t="shared" si="93"/>
        <v>15.616666671121493</v>
      </c>
      <c r="O201" s="7"/>
      <c r="P201" s="7"/>
      <c r="Q201" s="22"/>
      <c r="R201" s="22"/>
      <c r="S201" s="31">
        <f t="shared" si="96"/>
        <v>1</v>
      </c>
      <c r="T201" s="46" t="str">
        <f t="shared" si="86"/>
        <v>Southbound</v>
      </c>
      <c r="U201" s="186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7" t="str">
        <f t="shared" si="75"/>
        <v>https://d0f6bd738d7f1b3e5a7ca70fe4ff75f0.us-east-1.aws.found.io/app/kibana#/discover/Steve-Slow-Train-Analysis-(2080s-and-2083s)?_g=(refreshInterval:(display:Off,pause:!f,section:0,value:0),time:(from:'2017-02-20T18:37:32-0700',mode:absolute,to:'2017-02-20T20:54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1" s="188" t="str">
        <f t="shared" si="87"/>
        <v>N</v>
      </c>
      <c r="X201" s="188">
        <f t="shared" si="95"/>
        <v>1</v>
      </c>
      <c r="Y201" s="62">
        <f t="shared" si="88"/>
        <v>5.8616999999999999</v>
      </c>
      <c r="Z201" s="62">
        <f t="shared" si="89"/>
        <v>6.6600000000000006E-2</v>
      </c>
      <c r="AA201" s="62">
        <f t="shared" si="90"/>
        <v>5.7950999999999997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 t="shared" si="91"/>
        <v>0840-20</v>
      </c>
      <c r="AE201" s="85" t="str">
        <f t="shared" si="76"/>
        <v>aws s3 cp s3://rtdc.mdm.uploadarchive.raw/RTDC4012/ "%USERPROFILE%\AppData\Local\Temp\OnboardLogs"\RTDC4012\2017-02-20 --exclude "*" --recursive --include "*20170220*" &amp; "%USERPROFILE%\Documents\GitHub\mrs-test-scripts\Headless Mode &amp; Sideloading\WalkAndUnGZ.bat" "%USERPROFILE%\AppData\Local\Temp\OnboardLogs"\RTDC4012\2017-02-20 &amp; aws s3 cp s3://rtdc.mdm.uploadarchive.raw/RTDC4012/ "%USERPROFILE%\AppData\Local\Temp\OnboardLogs"\RTDC4012\2017-02-21 --exclude "*" --recursive --include "*20170221*" &amp; "%USERPROFILE%\Documents\GitHub\mrs-test-scripts\Headless Mode &amp; Sideloading\WalkAndUnGZ.bat" "%USERPROFILE%\AppData\Local\Temp\OnboardLogs"\RTDC4012\2017-02-21</v>
      </c>
      <c r="AF201" s="82" t="str">
        <f t="shared" si="77"/>
        <v>"C:\Program Files (x86)\AstroGrep\AstroGrep.exe" /spath="%USERPROFILE%\AppData\Local\Temp\OnboardLogs" /stypes="app*4012*20170221*" /stext=" 02:.+((SYSTEM_STATE.+slice.+state.+changed )|(ment ac)|(multiple cpu faults)|(system.+state.+changed )|(\[timeout)|(PRM\|1\|D)|(kpr)|(kdp)|(\|lc)|(penalty))" /e /r /s</v>
      </c>
      <c r="AG201" s="1" t="str">
        <f t="shared" si="92"/>
        <v>NW</v>
      </c>
      <c r="AH201" s="86" t="str">
        <f t="shared" si="78"/>
        <v>"%USERPROFILE%\Documents\GitHub\eaglep3\Utilities\RefineRTDCRunTimes.py" --tripid 840-20 --locoid 4012 --swversion DE.1.0.9.0 --startMP 300:58617 --initTime 2017-02-20T19:37:32 --startdatetime 2017-02-20T19:39:14 --delay 1 --endMP 204:666 --enddatetime 2017-02-20T19:54:51 --enforcementcount 0 &gt;&gt;C:\Users\stu\Documents\GitHub\eaglep3-reporting\EC\2017-02-20-refined-times.txt</v>
      </c>
      <c r="AI201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{"issue":{"subject":"","project_id":79,"tracker_id":40,"status_id":1,"priority_id":2,"assigned_to_id":23,"start_date":"2017-02-20","description":"","custom_fields":[{"id":1,"name":"Subdivision","value":"NW"},{"id":4,"name":"Milepost","value":"0.0666"},{"id":17,"name":"Train ID","value":"840-20"},{"id":16,"name":"Locomotive ID","value":"4012"},{"id":130,"name":"Impact","value":""},{"id":150,"name":"Time of Event (Mountain Time)","value":"19:54:51"},{"id":151,"name":"Denver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48"/>
      <c r="AK201" s="48"/>
      <c r="AL201" s="48"/>
      <c r="AM201" s="154" t="str">
        <f t="shared" si="80"/>
        <v>start /low /b %USERPROFILE%\Documents\GitHub\eaglep3\Utilities\DownloadLogsFromS3.py --loco 4012 --day 2017-02-20</v>
      </c>
      <c r="AN201" s="163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"%USERPROFILE%\AppData\Local\Temp\OnboardLogs"\RTDC4012\*4012*20170221* | grep -SE "(Enforcement Action)|(\[TIMEOUT)|(CHR.+\|PRM\|1\|D.+(SWITCH|SIGNAL).+UNKNOWN)" - &gt;&gt; 2017-02-20-UncaughtWiMAX.txt</v>
      </c>
    </row>
    <row r="202" spans="1:40" x14ac:dyDescent="0.25">
      <c r="A202" s="33" t="s">
        <v>660</v>
      </c>
      <c r="B202" s="7">
        <v>4011</v>
      </c>
      <c r="C202" s="21" t="s">
        <v>408</v>
      </c>
      <c r="D202" s="21" t="s">
        <v>805</v>
      </c>
      <c r="E202" s="13">
        <v>42786.801759259259</v>
      </c>
      <c r="F202" s="13">
        <v>42786.806423611109</v>
      </c>
      <c r="G202" s="7">
        <v>0</v>
      </c>
      <c r="H202" s="21" t="s">
        <v>297</v>
      </c>
      <c r="I202" s="13">
        <v>42786.815474537034</v>
      </c>
      <c r="J202" s="7">
        <v>0</v>
      </c>
      <c r="K202" s="98" t="str">
        <f t="shared" si="83"/>
        <v>4011/4012</v>
      </c>
      <c r="L202" s="21" t="str">
        <f>VLOOKUP(A202,'Trips&amp;Operators'!$C$1:$G$99999,5,FALSE)</f>
        <v>LEVIN SCOTT</v>
      </c>
      <c r="M202" s="6">
        <f t="shared" si="84"/>
        <v>9.0509259243845008E-3</v>
      </c>
      <c r="N202" s="7">
        <f t="shared" si="93"/>
        <v>13.033333331113681</v>
      </c>
      <c r="O202" s="7"/>
      <c r="P202" s="7"/>
      <c r="Q202" s="22"/>
      <c r="R202" s="22"/>
      <c r="S202" s="31">
        <f t="shared" si="96"/>
        <v>1</v>
      </c>
      <c r="T202" s="46" t="str">
        <f t="shared" si="86"/>
        <v>NorthBound</v>
      </c>
      <c r="U202" s="186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7" t="str">
        <f t="shared" si="75"/>
        <v>https://d0f6bd738d7f1b3e5a7ca70fe4ff75f0.us-east-1.aws.found.io/app/kibana#/discover/Steve-Slow-Train-Analysis-(2080s-and-2083s)?_g=(refreshInterval:(display:Off,pause:!f,section:0,value:0),time:(from:'2017-02-20T18:14:32-0700',mode:absolute,to:'2017-02-20T20:34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2" s="188" t="str">
        <f t="shared" si="87"/>
        <v>N</v>
      </c>
      <c r="X202" s="188">
        <f t="shared" si="95"/>
        <v>1</v>
      </c>
      <c r="Y202" s="62">
        <f t="shared" si="88"/>
        <v>9.5799999999999996E-2</v>
      </c>
      <c r="Z202" s="62">
        <f t="shared" si="89"/>
        <v>5.8936999999999999</v>
      </c>
      <c r="AA202" s="62">
        <f t="shared" si="90"/>
        <v>5.7979000000000003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 t="shared" si="91"/>
        <v>0841-20</v>
      </c>
      <c r="AE202" s="85" t="str">
        <f t="shared" si="76"/>
        <v>aws s3 cp s3://rtdc.mdm.uploadarchive.raw/RTDC4011/ "%USERPROFILE%\AppData\Local\Temp\OnboardLogs"\RTDC4011\2017-02-20 --exclude "*" --recursive --include "*20170220*" &amp; "%USERPROFILE%\Documents\GitHub\mrs-test-scripts\Headless Mode &amp; Sideloading\WalkAndUnGZ.bat" "%USERPROFILE%\AppData\Local\Temp\OnboardLogs"\RTDC4011\2017-02-20 &amp; aws s3 cp s3://rtdc.mdm.uploadarchive.raw/RTDC4011/ "%USERPROFILE%\AppData\Local\Temp\OnboardLogs"\RTDC4011\2017-02-21 --exclude "*" --recursive --include "*20170221*" &amp; "%USERPROFILE%\Documents\GitHub\mrs-test-scripts\Headless Mode &amp; Sideloading\WalkAndUnGZ.bat" "%USERPROFILE%\AppData\Local\Temp\OnboardLogs"\RTDC4011\2017-02-21</v>
      </c>
      <c r="AF202" s="82" t="str">
        <f t="shared" si="77"/>
        <v>"C:\Program Files (x86)\AstroGrep\AstroGrep.exe" /spath="%USERPROFILE%\AppData\Local\Temp\OnboardLogs" /stypes="app*4011*20170221*" /stext=" 02:.+((SYSTEM_STATE.+slice.+state.+changed )|(ment ac)|(multiple cpu faults)|(system.+state.+changed )|(\[timeout)|(PRM\|1\|D)|(kpr)|(kdp)|(\|lc)|(penalty))" /e /r /s</v>
      </c>
      <c r="AG202" s="1" t="str">
        <f t="shared" si="92"/>
        <v>NW</v>
      </c>
      <c r="AH202" s="86" t="str">
        <f t="shared" si="78"/>
        <v>"%USERPROFILE%\Documents\GitHub\eaglep3\Utilities\RefineRTDCRunTimes.py" --tripid 841-20 --locoid 4011 --swversion DE.1.0.9.0 --startMP 204:958 --initTime 2017-02-20T19:14:32 --startdatetime 2017-02-20T19:21:15 --delay 0 --endMP 300:58937 --enddatetime 2017-02-20T19:34:17 --enforcementcount 0 &gt;&gt;C:\Users\stu\Documents\GitHub\eaglep3-reporting\EC\2017-02-20-refined-times.txt</v>
      </c>
      <c r="AI202" s="108" t="str">
        <f t="shared" si="79"/>
        <v>echo {"issue":{"subject":"","project_id":79,"tracker_id":40,"status_id":1,"priority_id":2,"assigned_to_id":23,"start_date":"2017-02-20","description":"","custom_fields":[{"id":1,"name":"Subdivision","value":"NW"},{"id":4,"name":"Milepost","value":"5.8937"},{"id":17,"name":"Train ID","value":"841-20"},{"id":16,"name":"Locomotive ID","value":"4011"},{"id":130,"name":"Impact","value":""},{"id":150,"name":"Time of Event (Mountain Time)","value":"19:34:17"},{"id":151,"name":"Denver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48"/>
      <c r="AK202" s="48"/>
      <c r="AL202" s="48"/>
      <c r="AM202" s="154" t="str">
        <f t="shared" si="80"/>
        <v>start /low /b %USERPROFILE%\Documents\GitHub\eaglep3\Utilities\DownloadLogsFromS3.py --loco 4011 --day 2017-02-20</v>
      </c>
      <c r="AN202" s="163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"%USERPROFILE%\AppData\Local\Temp\OnboardLogs"\RTDC4011\*4011*20170221* | grep -SE "(Enforcement Action)|(\[TIMEOUT)|(CHR.+\|PRM\|1\|D.+(SWITCH|SIGNAL).+UNKNOWN)" - &gt;&gt; 2017-02-20-UncaughtWiMAX.txt</v>
      </c>
    </row>
    <row r="203" spans="1:40" x14ac:dyDescent="0.25">
      <c r="A203" s="33" t="s">
        <v>486</v>
      </c>
      <c r="B203" s="7">
        <v>4012</v>
      </c>
      <c r="C203" s="21" t="s">
        <v>408</v>
      </c>
      <c r="D203" s="21" t="s">
        <v>845</v>
      </c>
      <c r="E203" s="13">
        <v>42786.862303240741</v>
      </c>
      <c r="F203" s="13">
        <v>42786.863865740743</v>
      </c>
      <c r="G203" s="7">
        <v>0</v>
      </c>
      <c r="H203" s="21" t="s">
        <v>825</v>
      </c>
      <c r="I203" s="13">
        <v>42786.872939814813</v>
      </c>
      <c r="J203" s="7">
        <v>0</v>
      </c>
      <c r="K203" s="98" t="str">
        <f t="shared" si="83"/>
        <v>4011/4012</v>
      </c>
      <c r="L203" s="21" t="str">
        <f>VLOOKUP(A203,'Trips&amp;Operators'!$C$1:$G$99999,5,FALSE)</f>
        <v>LEVIN SCOTT</v>
      </c>
      <c r="M203" s="6">
        <f t="shared" si="84"/>
        <v>9.074074070667848E-3</v>
      </c>
      <c r="N203" s="7">
        <f t="shared" si="93"/>
        <v>13.066666661761701</v>
      </c>
      <c r="O203" s="7"/>
      <c r="P203" s="7"/>
      <c r="Q203" s="22"/>
      <c r="R203" s="22" t="s">
        <v>886</v>
      </c>
      <c r="S203" s="31">
        <f t="shared" si="96"/>
        <v>1</v>
      </c>
      <c r="T203" s="46" t="str">
        <f t="shared" si="86"/>
        <v>Southbound</v>
      </c>
      <c r="U203" s="186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7" t="str">
        <f t="shared" si="75"/>
        <v>https://d0f6bd738d7f1b3e5a7ca70fe4ff75f0.us-east-1.aws.found.io/app/kibana#/discover/Steve-Slow-Train-Analysis-(2080s-and-2083s)?_g=(refreshInterval:(display:Off,pause:!f,section:0,value:0),time:(from:'2017-02-20T19:41:43-0700',mode:absolute,to:'2017-02-20T21:57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3" s="188" t="str">
        <f t="shared" si="87"/>
        <v>N</v>
      </c>
      <c r="X203" s="188">
        <f t="shared" si="95"/>
        <v>1</v>
      </c>
      <c r="Y203" s="62">
        <f t="shared" si="88"/>
        <v>5.7346000000000004</v>
      </c>
      <c r="Z203" s="62">
        <f t="shared" si="89"/>
        <v>6.4299999999999996E-2</v>
      </c>
      <c r="AA203" s="62">
        <f t="shared" si="90"/>
        <v>5.6703000000000001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 t="shared" si="91"/>
        <v>0842-20</v>
      </c>
      <c r="AE203" s="85" t="str">
        <f t="shared" si="76"/>
        <v>aws s3 cp s3://rtdc.mdm.uploadarchive.raw/RTDC4012/ "%USERPROFILE%\AppData\Local\Temp\OnboardLogs"\RTDC4012\2017-02-20 --exclude "*" --recursive --include "*20170220*" &amp; "%USERPROFILE%\Documents\GitHub\mrs-test-scripts\Headless Mode &amp; Sideloading\WalkAndUnGZ.bat" "%USERPROFILE%\AppData\Local\Temp\OnboardLogs"\RTDC4012\2017-02-20 &amp; aws s3 cp s3://rtdc.mdm.uploadarchive.raw/RTDC4012/ "%USERPROFILE%\AppData\Local\Temp\OnboardLogs"\RTDC4012\2017-02-21 --exclude "*" --recursive --include "*20170221*" &amp; "%USERPROFILE%\Documents\GitHub\mrs-test-scripts\Headless Mode &amp; Sideloading\WalkAndUnGZ.bat" "%USERPROFILE%\AppData\Local\Temp\OnboardLogs"\RTDC4012\2017-02-21</v>
      </c>
      <c r="AF203" s="82" t="str">
        <f t="shared" si="77"/>
        <v>"C:\Program Files (x86)\AstroGrep\AstroGrep.exe" /spath="%USERPROFILE%\AppData\Local\Temp\OnboardLogs" /stypes="app*4012*20170221*" /stext=" 03:.+((SYSTEM_STATE.+slice.+state.+changed )|(ment ac)|(multiple cpu faults)|(system.+state.+changed )|(\[timeout)|(PRM\|1\|D)|(kpr)|(kdp)|(\|lc)|(penalty))" /e /r /s</v>
      </c>
      <c r="AG203" s="1" t="str">
        <f t="shared" si="92"/>
        <v>NW</v>
      </c>
      <c r="AH203" s="86" t="str">
        <f t="shared" si="78"/>
        <v>"%USERPROFILE%\Documents\GitHub\eaglep3\Utilities\RefineRTDCRunTimes.py" --tripid 842-20 --locoid 4012 --swversion DE.1.0.9.0 --startMP 300:57346 --initTime 2017-02-20T20:41:43 --startdatetime 2017-02-20T20:43:58 --delay 0 --endMP 204:643 --enddatetime 2017-02-20T20:57:02 --enforcementcount 0 &gt;&gt;C:\Users\stu\Documents\GitHub\eaglep3-reporting\EC\2017-02-20-refined-times.txt</v>
      </c>
      <c r="AI203" s="108" t="str">
        <f t="shared" si="79"/>
        <v>echo {"issue":{"subject":"Departure delayed by Onboard in-route failure","project_id":79,"tracker_id":40,"status_id":1,"priority_id":2,"assigned_to_id":23,"start_date":"2017-02-20","description":"","custom_fields":[{"id":1,"name":"Subdivision","value":"NW"},{"id":4,"name":"Milepost","value":"0.0643"},{"id":17,"name":"Train ID","value":"842-20"},{"id":16,"name":"Locomotive ID","value":"4012"},{"id":130,"name":"Impact","value":""},{"id":150,"name":"Time of Event (Mountain Time)","value":"20:57:02"},{"id":151,"name":"Denver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48"/>
      <c r="AK203" s="48"/>
      <c r="AL203" s="48"/>
      <c r="AM203" s="154" t="str">
        <f t="shared" si="80"/>
        <v>start /low /b %USERPROFILE%\Documents\GitHub\eaglep3\Utilities\DownloadLogsFromS3.py --loco 4012 --day 2017-02-20</v>
      </c>
      <c r="AN203" s="163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"%USERPROFILE%\AppData\Local\Temp\OnboardLogs"\RTDC4012\*4012*20170221* | grep -SE "(Enforcement Action)|(\[TIMEOUT)|(CHR.+\|PRM\|1\|D.+(SWITCH|SIGNAL).+UNKNOWN)" - &gt;&gt; 2017-02-20-UncaughtWiMAX.txt</v>
      </c>
    </row>
    <row r="204" spans="1:40" x14ac:dyDescent="0.25">
      <c r="A204" s="33" t="s">
        <v>486</v>
      </c>
      <c r="B204" s="7">
        <v>4012</v>
      </c>
      <c r="C204" s="21" t="s">
        <v>408</v>
      </c>
      <c r="D204" s="21" t="s">
        <v>846</v>
      </c>
      <c r="E204" s="13">
        <v>42786.859247685185</v>
      </c>
      <c r="F204" s="13">
        <v>42786.863865740743</v>
      </c>
      <c r="G204" s="7">
        <v>1</v>
      </c>
      <c r="H204" s="21" t="s">
        <v>847</v>
      </c>
      <c r="I204" s="13">
        <v>42786.872939814813</v>
      </c>
      <c r="J204" s="7">
        <v>0</v>
      </c>
      <c r="K204" s="98" t="str">
        <f t="shared" si="83"/>
        <v>4011/4012</v>
      </c>
      <c r="L204" s="21" t="str">
        <f>VLOOKUP(A204,'Trips&amp;Operators'!$C$1:$G$99999,5,FALSE)</f>
        <v>LEVIN SCOTT</v>
      </c>
      <c r="M204" s="6">
        <f t="shared" si="84"/>
        <v>9.074074070667848E-3</v>
      </c>
      <c r="N204" s="7"/>
      <c r="O204" s="7"/>
      <c r="P204" s="7"/>
      <c r="Q204" s="22"/>
      <c r="R204" s="22"/>
      <c r="S204" s="31"/>
      <c r="T204" s="46" t="str">
        <f t="shared" si="86"/>
        <v>Southbound</v>
      </c>
      <c r="U204" s="186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0</v>
      </c>
      <c r="V204" s="187" t="str">
        <f t="shared" si="75"/>
        <v>https://d0f6bd738d7f1b3e5a7ca70fe4ff75f0.us-east-1.aws.found.io/app/kibana#/discover/Steve-Slow-Train-Analysis-(2080s-and-2083s)?_g=(refreshInterval:(display:Off,pause:!f,section:0,value:0),time:(from:'2017-02-20T19:37:19-0700',mode:absolute,to:'2017-02-20T21:57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4" s="188" t="str">
        <f t="shared" si="87"/>
        <v>Y</v>
      </c>
      <c r="X204" s="188">
        <f t="shared" si="95"/>
        <v>0</v>
      </c>
      <c r="Y204" s="62">
        <f t="shared" si="88"/>
        <v>5.8609</v>
      </c>
      <c r="Z204" s="62">
        <f t="shared" si="89"/>
        <v>5.8235999999999999</v>
      </c>
      <c r="AA204" s="62">
        <f t="shared" si="90"/>
        <v>3.7300000000000111E-2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 t="shared" si="91"/>
        <v>0842-20</v>
      </c>
      <c r="AE204" s="85" t="str">
        <f t="shared" si="76"/>
        <v>aws s3 cp s3://rtdc.mdm.uploadarchive.raw/RTDC4012/ "%USERPROFILE%\AppData\Local\Temp\OnboardLogs"\RTDC4012\2017-02-20 --exclude "*" --recursive --include "*20170220*" &amp; "%USERPROFILE%\Documents\GitHub\mrs-test-scripts\Headless Mode &amp; Sideloading\WalkAndUnGZ.bat" "%USERPROFILE%\AppData\Local\Temp\OnboardLogs"\RTDC4012\2017-02-20 &amp; aws s3 cp s3://rtdc.mdm.uploadarchive.raw/RTDC4012/ "%USERPROFILE%\AppData\Local\Temp\OnboardLogs"\RTDC4012\2017-02-21 --exclude "*" --recursive --include "*20170221*" &amp; "%USERPROFILE%\Documents\GitHub\mrs-test-scripts\Headless Mode &amp; Sideloading\WalkAndUnGZ.bat" "%USERPROFILE%\AppData\Local\Temp\OnboardLogs"\RTDC4012\2017-02-21</v>
      </c>
      <c r="AF204" s="82" t="str">
        <f t="shared" si="77"/>
        <v>"C:\Program Files (x86)\AstroGrep\AstroGrep.exe" /spath="%USERPROFILE%\AppData\Local\Temp\OnboardLogs" /stypes="app*4012*20170221*" /stext=" 03:.+((SYSTEM_STATE.+slice.+state.+changed )|(ment ac)|(multiple cpu faults)|(system.+state.+changed )|(\[timeout)|(PRM\|1\|D)|(kpr)|(kdp)|(\|lc)|(penalty))" /e /r /s</v>
      </c>
      <c r="AG204" s="1" t="str">
        <f t="shared" si="92"/>
        <v>NW</v>
      </c>
      <c r="AH204" s="86" t="str">
        <f t="shared" ref="AH204:AH242" si="97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842-20 --locoid 4012 --swversion DE.1.0.9.0 --startMP 300:58609 --initTime 2017-02-20T20:37:19 --startdatetime 2017-02-20T20:43:58 --delay 1 --endMP 300:58236 --enddatetime 2017-02-20T20:57:02 --enforcementcount 0 &gt;&gt;C:\Users\stu\Documents\GitHub\eaglep3-reporting\EC\2017-02-20-refined-times.txt</v>
      </c>
      <c r="AI204" s="108" t="str">
        <f t="shared" ref="AI204:AI242" si="98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{"issue":{"subject":"","project_id":79,"tracker_id":40,"status_id":1,"priority_id":2,"assigned_to_id":23,"start_date":"2017-02-20","description":"","custom_fields":[{"id":1,"name":"Subdivision","value":"NW"},{"id":4,"name":"Milepost","value":"5.8236"},{"id":17,"name":"Train ID","value":"842-20"},{"id":16,"name":"Locomotive ID","value":"4012"},{"id":130,"name":"Impact","value":""},{"id":150,"name":"Time of Event (Mountain Time)","value":"20:57:02"},{"id":151,"name":"Denver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48"/>
      <c r="AK204" s="48"/>
      <c r="AL204" s="48"/>
      <c r="AM204" s="154" t="str">
        <f t="shared" ref="AM204:AM242" si="99">"start /low /b "&amp;dls3logs&amp;" --loco "&amp;B204&amp;" --day "&amp;TEXT(F204,"YYYY-MM-DD")</f>
        <v>start /low /b %USERPROFILE%\Documents\GitHub\eaglep3\Utilities\DownloadLogsFromS3.py --loco 4012 --day 2017-02-20</v>
      </c>
      <c r="AN204" s="163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"%USERPROFILE%\AppData\Local\Temp\OnboardLogs"\RTDC4012\*4012*20170221* | grep -SE "(Enforcement Action)|(\[TIMEOUT)|(CHR.+\|PRM\|1\|D.+(SWITCH|SIGNAL).+UNKNOWN)" - &gt;&gt; 2017-02-20-UncaughtWiMAX.txt</v>
      </c>
    </row>
    <row r="205" spans="1:40" x14ac:dyDescent="0.25">
      <c r="A205" s="33" t="s">
        <v>669</v>
      </c>
      <c r="B205" s="7">
        <v>4011</v>
      </c>
      <c r="C205" s="21" t="s">
        <v>408</v>
      </c>
      <c r="D205" s="21" t="s">
        <v>848</v>
      </c>
      <c r="E205" s="13">
        <v>42786.842453703706</v>
      </c>
      <c r="F205" s="13">
        <v>42786.848101851851</v>
      </c>
      <c r="G205" s="7">
        <v>1</v>
      </c>
      <c r="H205" s="21" t="s">
        <v>849</v>
      </c>
      <c r="I205" s="13">
        <v>42786.857615740744</v>
      </c>
      <c r="J205" s="7">
        <v>0</v>
      </c>
      <c r="K205" s="98" t="str">
        <f t="shared" si="83"/>
        <v>4011/4012</v>
      </c>
      <c r="L205" s="21" t="str">
        <f>VLOOKUP(A205,'Trips&amp;Operators'!$C$1:$G$99999,5,FALSE)</f>
        <v>LEVIN SCOTT</v>
      </c>
      <c r="M205" s="6">
        <f t="shared" si="84"/>
        <v>9.5138888937071897E-3</v>
      </c>
      <c r="N205" s="7">
        <f t="shared" ref="N205:N242" si="100">24*60*SUM($M205:$M205)</f>
        <v>13.700000006938353</v>
      </c>
      <c r="O205" s="7"/>
      <c r="P205" s="7"/>
      <c r="Q205" s="22"/>
      <c r="R205" s="22"/>
      <c r="S205" s="31">
        <f t="shared" ref="S205:S242" si="101">SUM(U205:U205)/IF(AG205="EC",12,1)</f>
        <v>1</v>
      </c>
      <c r="T205" s="46" t="str">
        <f t="shared" si="86"/>
        <v>NorthBound</v>
      </c>
      <c r="U205" s="186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87" t="str">
        <f t="shared" ref="V205:V242" si="102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-02-20T19:13:08-0700',mode:absolute,to:'2017-02-20T21:34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5" s="188" t="str">
        <f t="shared" si="87"/>
        <v>N</v>
      </c>
      <c r="X205" s="188">
        <f t="shared" si="95"/>
        <v>1</v>
      </c>
      <c r="Y205" s="62">
        <f t="shared" si="88"/>
        <v>9.3899999999999997E-2</v>
      </c>
      <c r="Z205" s="62">
        <f t="shared" si="89"/>
        <v>5.8928000000000003</v>
      </c>
      <c r="AA205" s="62">
        <f t="shared" si="90"/>
        <v>5.7989000000000006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 t="shared" si="91"/>
        <v>0843-20</v>
      </c>
      <c r="AE205" s="85" t="str">
        <f t="shared" ref="AE205:AE242" si="103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s3://rtdc.mdm.uploadarchive.raw/RTDC4011/ "%USERPROFILE%\AppData\Local\Temp\OnboardLogs"\RTDC4011\2017-02-20 --exclude "*" --recursive --include "*20170220*" &amp; "%USERPROFILE%\Documents\GitHub\mrs-test-scripts\Headless Mode &amp; Sideloading\WalkAndUnGZ.bat" "%USERPROFILE%\AppData\Local\Temp\OnboardLogs"\RTDC4011\2017-02-20 &amp; aws s3 cp s3://rtdc.mdm.uploadarchive.raw/RTDC4011/ "%USERPROFILE%\AppData\Local\Temp\OnboardLogs"\RTDC4011\2017-02-21 --exclude "*" --recursive --include "*20170221*" &amp; "%USERPROFILE%\Documents\GitHub\mrs-test-scripts\Headless Mode &amp; Sideloading\WalkAndUnGZ.bat" "%USERPROFILE%\AppData\Local\Temp\OnboardLogs"\RTDC4011\2017-02-21</v>
      </c>
      <c r="AF205" s="82" t="str">
        <f t="shared" ref="AF205:AF242" si="104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/stypes="app*4011*20170221*" /stext=" 03:.+((SYSTEM_STATE.+slice.+state.+changed )|(ment ac)|(multiple cpu faults)|(system.+state.+changed )|(\[timeout)|(PRM\|1\|D)|(kpr)|(kdp)|(\|lc)|(penalty))" /e /r /s</v>
      </c>
      <c r="AG205" s="1" t="str">
        <f t="shared" si="92"/>
        <v>NW</v>
      </c>
      <c r="AH205" s="86" t="str">
        <f t="shared" si="97"/>
        <v>"%USERPROFILE%\Documents\GitHub\eaglep3\Utilities\RefineRTDCRunTimes.py" --tripid 843-20 --locoid 4011 --swversion DE.1.0.9.0 --startMP 204:939 --initTime 2017-02-20T20:13:08 --startdatetime 2017-02-20T20:21:16 --delay 1 --endMP 300:58928 --enddatetime 2017-02-20T20:34:58 --enforcementcount 0 &gt;&gt;C:\Users\stu\Documents\GitHub\eaglep3-reporting\EC\2017-02-20-refined-times.txt</v>
      </c>
      <c r="AI205" s="108" t="str">
        <f t="shared" si="98"/>
        <v>echo {"issue":{"subject":"","project_id":79,"tracker_id":40,"status_id":1,"priority_id":2,"assigned_to_id":23,"start_date":"2017-02-20","description":"","custom_fields":[{"id":1,"name":"Subdivision","value":"NW"},{"id":4,"name":"Milepost","value":"5.8928"},{"id":17,"name":"Train ID","value":"843-20"},{"id":16,"name":"Locomotive ID","value":"4011"},{"id":130,"name":"Impact","value":""},{"id":150,"name":"Time of Event (Mountain Time)","value":"20:34:58"},{"id":151,"name":"Denver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48"/>
      <c r="AK205" s="48"/>
      <c r="AL205" s="48"/>
      <c r="AM205" s="154" t="str">
        <f t="shared" si="99"/>
        <v>start /low /b %USERPROFILE%\Documents\GitHub\eaglep3\Utilities\DownloadLogsFromS3.py --loco 4011 --day 2017-02-20</v>
      </c>
      <c r="AN205" s="163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"%USERPROFILE%\AppData\Local\Temp\OnboardLogs"\RTDC4011\*4011*20170221* | grep -SE "(Enforcement Action)|(\[TIMEOUT)|(CHR.+\|PRM\|1\|D.+(SWITCH|SIGNAL).+UNKNOWN)" - &gt;&gt; 2017-02-20-UncaughtWiMAX.txt</v>
      </c>
    </row>
    <row r="206" spans="1:40" x14ac:dyDescent="0.25">
      <c r="A206" s="33" t="s">
        <v>679</v>
      </c>
      <c r="B206" s="7">
        <v>4012</v>
      </c>
      <c r="C206" s="21" t="s">
        <v>408</v>
      </c>
      <c r="D206" s="21" t="s">
        <v>807</v>
      </c>
      <c r="E206" s="13">
        <v>42786.904421296298</v>
      </c>
      <c r="F206" s="13">
        <v>42786.907407407409</v>
      </c>
      <c r="G206" s="7">
        <v>2</v>
      </c>
      <c r="H206" s="21" t="s">
        <v>850</v>
      </c>
      <c r="I206" s="13">
        <v>42786.917025462964</v>
      </c>
      <c r="J206" s="7">
        <v>0</v>
      </c>
      <c r="K206" s="98" t="str">
        <f t="shared" si="83"/>
        <v>4011/4012</v>
      </c>
      <c r="L206" s="21" t="str">
        <f>VLOOKUP(A206,'Trips&amp;Operators'!$C$1:$G$99999,5,FALSE)</f>
        <v>MACDONALD THOMAS</v>
      </c>
      <c r="M206" s="6">
        <f t="shared" si="84"/>
        <v>9.6180555556202307E-3</v>
      </c>
      <c r="N206" s="7">
        <f t="shared" si="100"/>
        <v>13.850000000093132</v>
      </c>
      <c r="O206" s="7"/>
      <c r="P206" s="7"/>
      <c r="Q206" s="22"/>
      <c r="R206" s="22"/>
      <c r="S206" s="31">
        <f t="shared" si="101"/>
        <v>1</v>
      </c>
      <c r="T206" s="46" t="str">
        <f t="shared" si="86"/>
        <v>Southbound</v>
      </c>
      <c r="U206" s="186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87" t="str">
        <f t="shared" si="102"/>
        <v>https://d0f6bd738d7f1b3e5a7ca70fe4ff75f0.us-east-1.aws.found.io/app/kibana#/discover/Steve-Slow-Train-Analysis-(2080s-and-2083s)?_g=(refreshInterval:(display:Off,pause:!f,section:0,value:0),time:(from:'2017-02-20T20:42:22-0700',mode:absolute,to:'2017-02-20T23:00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6" s="188" t="str">
        <f t="shared" si="87"/>
        <v>N</v>
      </c>
      <c r="X206" s="188">
        <f t="shared" si="95"/>
        <v>1</v>
      </c>
      <c r="Y206" s="62">
        <f t="shared" si="88"/>
        <v>5.8651</v>
      </c>
      <c r="Z206" s="62">
        <f t="shared" si="89"/>
        <v>6.8699999999999997E-2</v>
      </c>
      <c r="AA206" s="62">
        <f t="shared" si="90"/>
        <v>5.7964000000000002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 t="shared" si="91"/>
        <v>0844-20</v>
      </c>
      <c r="AE206" s="85" t="str">
        <f t="shared" si="103"/>
        <v>aws s3 cp s3://rtdc.mdm.uploadarchive.raw/RTDC4012/ "%USERPROFILE%\AppData\Local\Temp\OnboardLogs"\RTDC4012\2017-02-20 --exclude "*" --recursive --include "*20170220*" &amp; "%USERPROFILE%\Documents\GitHub\mrs-test-scripts\Headless Mode &amp; Sideloading\WalkAndUnGZ.bat" "%USERPROFILE%\AppData\Local\Temp\OnboardLogs"\RTDC4012\2017-02-20 &amp; aws s3 cp s3://rtdc.mdm.uploadarchive.raw/RTDC4012/ "%USERPROFILE%\AppData\Local\Temp\OnboardLogs"\RTDC4012\2017-02-21 --exclude "*" --recursive --include "*20170221*" &amp; "%USERPROFILE%\Documents\GitHub\mrs-test-scripts\Headless Mode &amp; Sideloading\WalkAndUnGZ.bat" "%USERPROFILE%\AppData\Local\Temp\OnboardLogs"\RTDC4012\2017-02-21</v>
      </c>
      <c r="AF206" s="82" t="str">
        <f t="shared" si="104"/>
        <v>"C:\Program Files (x86)\AstroGrep\AstroGrep.exe" /spath="%USERPROFILE%\AppData\Local\Temp\OnboardLogs" /stypes="app*4012*20170221*" /stext=" 05:.+((SYSTEM_STATE.+slice.+state.+changed )|(ment ac)|(multiple cpu faults)|(system.+state.+changed )|(\[timeout)|(PRM\|1\|D)|(kpr)|(kdp)|(\|lc)|(penalty))" /e /r /s</v>
      </c>
      <c r="AG206" s="1" t="str">
        <f t="shared" si="92"/>
        <v>NW</v>
      </c>
      <c r="AH206" s="86" t="str">
        <f t="shared" si="97"/>
        <v>"%USERPROFILE%\Documents\GitHub\eaglep3\Utilities\RefineRTDCRunTimes.py" --tripid 844-20 --locoid 4012 --swversion DE.1.0.9.0 --startMP 300:58651 --initTime 2017-02-20T21:42:22 --startdatetime 2017-02-20T21:46:40 --delay 2 --endMP 204:687 --enddatetime 2017-02-20T22:00:31 --enforcementcount 0 &gt;&gt;C:\Users\stu\Documents\GitHub\eaglep3-reporting\EC\2017-02-20-refined-times.txt</v>
      </c>
      <c r="AI206" s="108" t="str">
        <f t="shared" si="98"/>
        <v>echo {"issue":{"subject":"","project_id":79,"tracker_id":40,"status_id":1,"priority_id":2,"assigned_to_id":23,"start_date":"2017-02-20","description":"","custom_fields":[{"id":1,"name":"Subdivision","value":"NW"},{"id":4,"name":"Milepost","value":"0.0687"},{"id":17,"name":"Train ID","value":"844-20"},{"id":16,"name":"Locomotive ID","value":"4012"},{"id":130,"name":"Impact","value":""},{"id":150,"name":"Time of Event (Mountain Time)","value":"22:00:31"},{"id":151,"name":"Denver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48"/>
      <c r="AK206" s="48"/>
      <c r="AL206" s="48"/>
      <c r="AM206" s="154" t="str">
        <f t="shared" si="99"/>
        <v>start /low /b %USERPROFILE%\Documents\GitHub\eaglep3\Utilities\DownloadLogsFromS3.py --loco 4012 --day 2017-02-20</v>
      </c>
      <c r="AN206" s="163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"%USERPROFILE%\AppData\Local\Temp\OnboardLogs"\RTDC4012\*4012*20170221* | grep -SE "(Enforcement Action)|(\[TIMEOUT)|(CHR.+\|PRM\|1\|D.+(SWITCH|SIGNAL).+UNKNOWN)" - &gt;&gt; 2017-02-20-UncaughtWiMAX.txt</v>
      </c>
    </row>
    <row r="207" spans="1:40" x14ac:dyDescent="0.25">
      <c r="A207" s="33" t="s">
        <v>676</v>
      </c>
      <c r="B207" s="7">
        <v>4011</v>
      </c>
      <c r="C207" s="21" t="s">
        <v>408</v>
      </c>
      <c r="D207" s="21" t="s">
        <v>851</v>
      </c>
      <c r="E207" s="13">
        <v>42786.877199074072</v>
      </c>
      <c r="F207" s="13">
        <v>42786.88989583333</v>
      </c>
      <c r="G207" s="7">
        <v>1</v>
      </c>
      <c r="H207" s="21" t="s">
        <v>852</v>
      </c>
      <c r="I207" s="13">
        <v>42786.903344907405</v>
      </c>
      <c r="J207" s="7">
        <v>0</v>
      </c>
      <c r="K207" s="98" t="str">
        <f t="shared" si="83"/>
        <v>4011/4012</v>
      </c>
      <c r="L207" s="21" t="str">
        <f>VLOOKUP(A207,'Trips&amp;Operators'!$C$1:$G$99999,5,FALSE)</f>
        <v>MACDONALD THOMAS</v>
      </c>
      <c r="M207" s="6">
        <f t="shared" si="84"/>
        <v>1.3449074074742384E-2</v>
      </c>
      <c r="N207" s="7">
        <f t="shared" si="100"/>
        <v>19.366666667629033</v>
      </c>
      <c r="O207" s="7"/>
      <c r="P207" s="7"/>
      <c r="Q207" s="22"/>
      <c r="R207" s="22"/>
      <c r="S207" s="31">
        <f t="shared" si="101"/>
        <v>1</v>
      </c>
      <c r="T207" s="46" t="str">
        <f t="shared" si="86"/>
        <v>NorthBound</v>
      </c>
      <c r="U207" s="186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87" t="str">
        <f t="shared" si="102"/>
        <v>https://d0f6bd738d7f1b3e5a7ca70fe4ff75f0.us-east-1.aws.found.io/app/kibana#/discover/Steve-Slow-Train-Analysis-(2080s-and-2083s)?_g=(refreshInterval:(display:Off,pause:!f,section:0,value:0),time:(from:'2017-02-20T20:03:10-0700',mode:absolute,to:'2017-02-20T22:40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7" s="188" t="str">
        <f t="shared" si="87"/>
        <v>N</v>
      </c>
      <c r="X207" s="188">
        <f t="shared" si="95"/>
        <v>1</v>
      </c>
      <c r="Y207" s="62">
        <f t="shared" si="88"/>
        <v>9.3399999999999997E-2</v>
      </c>
      <c r="Z207" s="62">
        <f t="shared" si="89"/>
        <v>5.8963000000000001</v>
      </c>
      <c r="AA207" s="62">
        <f t="shared" si="90"/>
        <v>5.8029000000000002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 t="shared" si="91"/>
        <v>0845-20</v>
      </c>
      <c r="AE207" s="85" t="str">
        <f t="shared" si="103"/>
        <v>aws s3 cp s3://rtdc.mdm.uploadarchive.raw/RTDC4011/ "%USERPROFILE%\AppData\Local\Temp\OnboardLogs"\RTDC4011\2017-02-20 --exclude "*" --recursive --include "*20170220*" &amp; "%USERPROFILE%\Documents\GitHub\mrs-test-scripts\Headless Mode &amp; Sideloading\WalkAndUnGZ.bat" "%USERPROFILE%\AppData\Local\Temp\OnboardLogs"\RTDC4011\2017-02-20 &amp; aws s3 cp s3://rtdc.mdm.uploadarchive.raw/RTDC4011/ "%USERPROFILE%\AppData\Local\Temp\OnboardLogs"\RTDC4011\2017-02-21 --exclude "*" --recursive --include "*20170221*" &amp; "%USERPROFILE%\Documents\GitHub\mrs-test-scripts\Headless Mode &amp; Sideloading\WalkAndUnGZ.bat" "%USERPROFILE%\AppData\Local\Temp\OnboardLogs"\RTDC4011\2017-02-21</v>
      </c>
      <c r="AF207" s="82" t="str">
        <f t="shared" si="104"/>
        <v>"C:\Program Files (x86)\AstroGrep\AstroGrep.exe" /spath="%USERPROFILE%\AppData\Local\Temp\OnboardLogs" /stypes="app*4011*20170221*" /stext=" 04:.+((SYSTEM_STATE.+slice.+state.+changed )|(ment ac)|(multiple cpu faults)|(system.+state.+changed )|(\[timeout)|(PRM\|1\|D)|(kpr)|(kdp)|(\|lc)|(penalty))" /e /r /s</v>
      </c>
      <c r="AG207" s="1" t="str">
        <f t="shared" si="92"/>
        <v>NW</v>
      </c>
      <c r="AH207" s="86" t="str">
        <f t="shared" si="97"/>
        <v>"%USERPROFILE%\Documents\GitHub\eaglep3\Utilities\RefineRTDCRunTimes.py" --tripid 845-20 --locoid 4011 --swversion DE.1.0.9.0 --startMP 204:934 --initTime 2017-02-20T21:03:10 --startdatetime 2017-02-20T21:21:27 --delay 1 --endMP 300:58963 --enddatetime 2017-02-20T21:40:49 --enforcementcount 0 &gt;&gt;C:\Users\stu\Documents\GitHub\eaglep3-reporting\EC\2017-02-20-refined-times.txt</v>
      </c>
      <c r="AI207" s="108" t="str">
        <f t="shared" si="98"/>
        <v>echo {"issue":{"subject":"","project_id":79,"tracker_id":40,"status_id":1,"priority_id":2,"assigned_to_id":23,"start_date":"2017-02-20","description":"","custom_fields":[{"id":1,"name":"Subdivision","value":"NW"},{"id":4,"name":"Milepost","value":"5.8963"},{"id":17,"name":"Train ID","value":"845-20"},{"id":16,"name":"Locomotive ID","value":"4011"},{"id":130,"name":"Impact","value":""},{"id":150,"name":"Time of Event (Mountain Time)","value":"21:40:49"},{"id":151,"name":"Denver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48"/>
      <c r="AK207" s="48"/>
      <c r="AL207" s="48"/>
      <c r="AM207" s="154" t="str">
        <f t="shared" si="99"/>
        <v>start /low /b %USERPROFILE%\Documents\GitHub\eaglep3\Utilities\DownloadLogsFromS3.py --loco 4011 --day 2017-02-20</v>
      </c>
      <c r="AN207" s="163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"%USERPROFILE%\AppData\Local\Temp\OnboardLogs"\RTDC4011\*4011*20170221* | grep -SE "(Enforcement Action)|(\[TIMEOUT)|(CHR.+\|PRM\|1\|D.+(SWITCH|SIGNAL).+UNKNOWN)" - &gt;&gt; 2017-02-20-UncaughtWiMAX.txt</v>
      </c>
    </row>
    <row r="208" spans="1:40" x14ac:dyDescent="0.25">
      <c r="A208" s="33" t="s">
        <v>682</v>
      </c>
      <c r="B208" s="7">
        <v>4011</v>
      </c>
      <c r="C208" s="21" t="s">
        <v>408</v>
      </c>
      <c r="D208" s="21" t="s">
        <v>853</v>
      </c>
      <c r="E208" s="13">
        <v>42786.928252314814</v>
      </c>
      <c r="F208" s="13">
        <v>42786.931493055556</v>
      </c>
      <c r="G208" s="7">
        <v>1</v>
      </c>
      <c r="H208" s="21" t="s">
        <v>428</v>
      </c>
      <c r="I208" s="13">
        <v>42786.941006944442</v>
      </c>
      <c r="J208" s="7">
        <v>0</v>
      </c>
      <c r="K208" s="98" t="str">
        <f t="shared" si="83"/>
        <v>4011/4012</v>
      </c>
      <c r="L208" s="21" t="str">
        <f>VLOOKUP(A208,'Trips&amp;Operators'!$C$1:$G$99999,5,FALSE)</f>
        <v>MACDONALD THOMAS</v>
      </c>
      <c r="M208" s="6">
        <f t="shared" si="84"/>
        <v>9.5138888864312321E-3</v>
      </c>
      <c r="N208" s="7">
        <f t="shared" si="100"/>
        <v>13.699999996460974</v>
      </c>
      <c r="O208" s="7"/>
      <c r="P208" s="7"/>
      <c r="Q208" s="22"/>
      <c r="R208" s="22"/>
      <c r="S208" s="31">
        <f t="shared" si="101"/>
        <v>1</v>
      </c>
      <c r="T208" s="46" t="str">
        <f t="shared" si="86"/>
        <v>NorthBound</v>
      </c>
      <c r="U208" s="186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87" t="str">
        <f t="shared" si="102"/>
        <v>https://d0f6bd738d7f1b3e5a7ca70fe4ff75f0.us-east-1.aws.found.io/app/kibana#/discover/Steve-Slow-Train-Analysis-(2080s-and-2083s)?_g=(refreshInterval:(display:Off,pause:!f,section:0,value:0),time:(from:'2017-02-20T21:16:41-0700',mode:absolute,to:'2017-02-20T23:35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8" s="188" t="str">
        <f t="shared" si="87"/>
        <v>N</v>
      </c>
      <c r="X208" s="188">
        <f t="shared" si="95"/>
        <v>2</v>
      </c>
      <c r="Y208" s="62">
        <f t="shared" si="88"/>
        <v>9.7199999999999995E-2</v>
      </c>
      <c r="Z208" s="62">
        <f t="shared" si="89"/>
        <v>5.8945999999999996</v>
      </c>
      <c r="AA208" s="62">
        <f t="shared" si="90"/>
        <v>5.7973999999999997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 t="shared" si="91"/>
        <v>0847-20</v>
      </c>
      <c r="AE208" s="85" t="str">
        <f t="shared" si="103"/>
        <v>aws s3 cp s3://rtdc.mdm.uploadarchive.raw/RTDC4011/ "%USERPROFILE%\AppData\Local\Temp\OnboardLogs"\RTDC4011\2017-02-20 --exclude "*" --recursive --include "*20170220*" &amp; "%USERPROFILE%\Documents\GitHub\mrs-test-scripts\Headless Mode &amp; Sideloading\WalkAndUnGZ.bat" "%USERPROFILE%\AppData\Local\Temp\OnboardLogs"\RTDC4011\2017-02-20 &amp; aws s3 cp s3://rtdc.mdm.uploadarchive.raw/RTDC4011/ "%USERPROFILE%\AppData\Local\Temp\OnboardLogs"\RTDC4011\2017-02-21 --exclude "*" --recursive --include "*20170221*" &amp; "%USERPROFILE%\Documents\GitHub\mrs-test-scripts\Headless Mode &amp; Sideloading\WalkAndUnGZ.bat" "%USERPROFILE%\AppData\Local\Temp\OnboardLogs"\RTDC4011\2017-02-21</v>
      </c>
      <c r="AF208" s="82" t="str">
        <f t="shared" si="104"/>
        <v>"C:\Program Files (x86)\AstroGrep\AstroGrep.exe" /spath="%USERPROFILE%\AppData\Local\Temp\OnboardLogs" /stypes="app*4011*20170221*" /stext=" 05:.+((SYSTEM_STATE.+slice.+state.+changed )|(ment ac)|(multiple cpu faults)|(system.+state.+changed )|(\[timeout)|(PRM\|1\|D)|(kpr)|(kdp)|(\|lc)|(penalty))" /e /r /s</v>
      </c>
      <c r="AG208" s="1" t="str">
        <f t="shared" si="92"/>
        <v>NW</v>
      </c>
      <c r="AH208" s="86" t="str">
        <f t="shared" si="97"/>
        <v>"%USERPROFILE%\Documents\GitHub\eaglep3\Utilities\RefineRTDCRunTimes.py" --tripid 847-20 --locoid 4011 --swversion DE.1.0.9.0 --startMP 204:972 --initTime 2017-02-20T22:16:41 --startdatetime 2017-02-20T22:21:21 --delay 1 --endMP 300:58946 --enddatetime 2017-02-20T22:35:03 --enforcementcount 0 &gt;&gt;C:\Users\stu\Documents\GitHub\eaglep3-reporting\EC\2017-02-20-refined-times.txt</v>
      </c>
      <c r="AI208" s="108" t="str">
        <f t="shared" si="98"/>
        <v>echo {"issue":{"subject":"","project_id":79,"tracker_id":40,"status_id":1,"priority_id":2,"assigned_to_id":23,"start_date":"2017-02-20","description":"","custom_fields":[{"id":1,"name":"Subdivision","value":"NW"},{"id":4,"name":"Milepost","value":"5.8946"},{"id":17,"name":"Train ID","value":"847-20"},{"id":16,"name":"Locomotive ID","value":"4011"},{"id":130,"name":"Impact","value":""},{"id":150,"name":"Time of Event (Mountain Time)","value":"22:35:03"},{"id":151,"name":"Denver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48"/>
      <c r="AK208" s="48"/>
      <c r="AL208" s="48"/>
      <c r="AM208" s="154" t="str">
        <f t="shared" si="99"/>
        <v>start /low /b %USERPROFILE%\Documents\GitHub\eaglep3\Utilities\DownloadLogsFromS3.py --loco 4011 --day 2017-02-20</v>
      </c>
      <c r="AN208" s="163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"%USERPROFILE%\AppData\Local\Temp\OnboardLogs"\RTDC4011\*4011*20170221* | grep -SE "(Enforcement Action)|(\[TIMEOUT)|(CHR.+\|PRM\|1\|D.+(SWITCH|SIGNAL).+UNKNOWN)" - &gt;&gt; 2017-02-20-UncaughtWiMAX.txt</v>
      </c>
    </row>
    <row r="209" spans="1:40" x14ac:dyDescent="0.25">
      <c r="A209" s="33" t="s">
        <v>450</v>
      </c>
      <c r="B209" s="7">
        <v>4015</v>
      </c>
      <c r="C209" s="21" t="s">
        <v>408</v>
      </c>
      <c r="D209" s="21" t="s">
        <v>769</v>
      </c>
      <c r="E209" s="13">
        <v>42786.116111111114</v>
      </c>
      <c r="F209" s="13">
        <v>42786.119328703702</v>
      </c>
      <c r="G209" s="7">
        <v>4</v>
      </c>
      <c r="H209" s="21" t="s">
        <v>742</v>
      </c>
      <c r="I209" s="13">
        <v>42786.123877314814</v>
      </c>
      <c r="J209" s="7">
        <v>0</v>
      </c>
      <c r="K209" s="98" t="str">
        <f t="shared" si="83"/>
        <v>4015/4016</v>
      </c>
      <c r="L209" s="21" t="str">
        <f>VLOOKUP(A209,'Trips&amp;Operators'!$C$1:$G$99999,5,FALSE)</f>
        <v>SANTIZO D. EDY</v>
      </c>
      <c r="M209" s="6">
        <f t="shared" si="84"/>
        <v>4.5486111121135764E-3</v>
      </c>
      <c r="N209" s="7">
        <f t="shared" si="100"/>
        <v>6.55000000144355</v>
      </c>
      <c r="O209" s="7"/>
      <c r="P209" s="7"/>
      <c r="Q209" s="22"/>
      <c r="R209" s="22"/>
      <c r="S209" s="31">
        <f t="shared" si="101"/>
        <v>1</v>
      </c>
      <c r="T209" s="46" t="str">
        <f t="shared" si="86"/>
        <v>Southbound</v>
      </c>
      <c r="U209" s="186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87" t="str">
        <f t="shared" si="102"/>
        <v>https://d0f6bd738d7f1b3e5a7ca70fe4ff75f0.us-east-1.aws.found.io/app/kibana#/discover/Steve-Slow-Train-Analysis-(2080s-and-2083s)?_g=(refreshInterval:(display:Off,pause:!f,section:0,value:0),time:(from:'2017-02-20T01:47:12-0700',mode:absolute,to:'2017-02-20T03:58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9" s="188" t="str">
        <f t="shared" si="87"/>
        <v>Y</v>
      </c>
      <c r="X209" s="188">
        <f t="shared" si="95"/>
        <v>-545</v>
      </c>
      <c r="Y209" s="62">
        <f t="shared" si="88"/>
        <v>1.9752000000000001</v>
      </c>
      <c r="Z209" s="62">
        <f t="shared" si="89"/>
        <v>1.72E-2</v>
      </c>
      <c r="AA209" s="62">
        <f t="shared" si="90"/>
        <v>1.958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 t="shared" si="91"/>
        <v>0302-20</v>
      </c>
      <c r="AE209" s="85" t="str">
        <f t="shared" si="103"/>
        <v>aws s3 cp s3://rtdc.mdm.uploadarchive.raw/RTDC4015/ "%USERPROFILE%\AppData\Local\Temp\OnboardLogs"\RTDC4015\2017-02-20 --exclude "*" --recursive --include "*20170220*" &amp; "%USERPROFILE%\Documents\GitHub\mrs-test-scripts\Headless Mode &amp; Sideloading\WalkAndUnGZ.bat" "%USERPROFILE%\AppData\Local\Temp\OnboardLogs"\RTDC4015\2017-02-20 &amp; aws s3 cp s3://rtdc.mdm.uploadarchive.raw/RTDC4015/ "%USERPROFILE%\AppData\Local\Temp\OnboardLogs"\RTDC4015\2017-02-21 --exclude "*" --recursive --include "*20170221*" &amp; "%USERPROFILE%\Documents\GitHub\mrs-test-scripts\Headless Mode &amp; Sideloading\WalkAndUnGZ.bat" "%USERPROFILE%\AppData\Local\Temp\OnboardLogs"\RTDC4015\2017-02-21</v>
      </c>
      <c r="AF209" s="82" t="str">
        <f t="shared" si="104"/>
        <v>"C:\Program Files (x86)\AstroGrep\AstroGrep.exe" /spath="%USERPROFILE%\AppData\Local\Temp\OnboardLogs" /stypes="app*4015*20170220*" /stext=" 09:.+((SYSTEM_STATE.+slice.+state.+changed )|(ment ac)|(multiple cpu faults)|(system.+state.+changed )|(\[timeout)|(PRM\|1\|D)|(kpr)|(kdp)|(\|lc)|(penalty))" /e /r /s</v>
      </c>
      <c r="AG209" s="1" t="str">
        <f t="shared" si="92"/>
        <v>Other</v>
      </c>
      <c r="AH209" s="86" t="str">
        <f t="shared" si="97"/>
        <v>"%USERPROFILE%\Documents\GitHub\eaglep3\Utilities\RefineRTDCRunTimes.py" --tripid 302-20 --locoid 4015 --swversion DE.1.0.9.0 --startMP 300:19752 --initTime 2017-02-20T02:47:12 --startdatetime 2017-02-20T02:51:50 --delay 4 --endMP 204:172 --enddatetime 2017-02-20T02:58:23 --enforcementcount 0 &gt;&gt;C:\Users\stu\Documents\GitHub\eaglep3-reporting\EC\2017-02-20-refined-times.txt</v>
      </c>
      <c r="AI209" s="108" t="str">
        <f t="shared" si="98"/>
        <v>echo {"issue":{"subject":"","project_id":79,"tracker_id":40,"status_id":1,"priority_id":2,"assigned_to_id":23,"start_date":"2017-02-20","description":"","custom_fields":[{"id":1,"name":"Subdivision","value":"Other"},{"id":4,"name":"Milepost","value":"0.0172"},{"id":17,"name":"Train ID","value":"302-20"},{"id":16,"name":"Locomotive ID","value":"4015"},{"id":130,"name":"Impact","value":""},{"id":150,"name":"Time of Event (Mountain Time)","value":"02:58:23"},{"id":151,"name":"Denver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48"/>
      <c r="AK209" s="48"/>
      <c r="AL209" s="48"/>
      <c r="AM209" s="154" t="str">
        <f t="shared" si="99"/>
        <v>start /low /b %USERPROFILE%\Documents\GitHub\eaglep3\Utilities\DownloadLogsFromS3.py --loco 4015 --day 2017-02-20</v>
      </c>
      <c r="AN209" s="163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"%USERPROFILE%\AppData\Local\Temp\OnboardLogs"\RTDC4015\*4015*20170220* | grep -SE "(Enforcement Action)|(\[TIMEOUT)|(CHR.+\|PRM\|1\|D.+(SWITCH|SIGNAL).+UNKNOWN)" - &gt;&gt; 2017-02-20-UncaughtWiMAX.txt</v>
      </c>
    </row>
    <row r="210" spans="1:40" x14ac:dyDescent="0.25">
      <c r="A210" s="33" t="s">
        <v>492</v>
      </c>
      <c r="B210" s="7">
        <v>4019</v>
      </c>
      <c r="C210" s="21" t="s">
        <v>408</v>
      </c>
      <c r="D210" s="21" t="s">
        <v>770</v>
      </c>
      <c r="E210" s="13">
        <v>42786.139398148145</v>
      </c>
      <c r="F210" s="13">
        <v>42786.141122685185</v>
      </c>
      <c r="G210" s="7">
        <v>1</v>
      </c>
      <c r="H210" s="21" t="s">
        <v>274</v>
      </c>
      <c r="I210" s="13">
        <v>42786.147245370368</v>
      </c>
      <c r="J210" s="7">
        <v>0</v>
      </c>
      <c r="K210" s="98" t="str">
        <f t="shared" si="83"/>
        <v>4019/4020</v>
      </c>
      <c r="L210" s="21" t="str">
        <f>VLOOKUP(A210,'Trips&amp;Operators'!$C$1:$G$99999,5,FALSE)</f>
        <v>CUSHING HARRY</v>
      </c>
      <c r="M210" s="6">
        <f t="shared" si="84"/>
        <v>6.1226851830724627E-3</v>
      </c>
      <c r="N210" s="7">
        <f t="shared" si="100"/>
        <v>8.8166666636243463</v>
      </c>
      <c r="O210" s="7"/>
      <c r="P210" s="7"/>
      <c r="Q210" s="22"/>
      <c r="R210" s="22"/>
      <c r="S210" s="31">
        <f t="shared" si="101"/>
        <v>1</v>
      </c>
      <c r="T210" s="46" t="str">
        <f t="shared" si="86"/>
        <v>Southbound</v>
      </c>
      <c r="U210" s="186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87" t="str">
        <f t="shared" si="102"/>
        <v>https://d0f6bd738d7f1b3e5a7ca70fe4ff75f0.us-east-1.aws.found.io/app/kibana#/discover/Steve-Slow-Train-Analysis-(2080s-and-2083s)?_g=(refreshInterval:(display:Off,pause:!f,section:0,value:0),time:(from:'2017-02-20T02:20:44-0700',mode:absolute,to:'2017-02-20T04:32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10" s="188" t="str">
        <f t="shared" si="87"/>
        <v>Y</v>
      </c>
      <c r="X210" s="188">
        <f t="shared" si="95"/>
        <v>2</v>
      </c>
      <c r="Y210" s="62">
        <f t="shared" si="88"/>
        <v>2.1966999999999999</v>
      </c>
      <c r="Z210" s="62">
        <f t="shared" si="89"/>
        <v>1.41E-2</v>
      </c>
      <c r="AA210" s="62">
        <f t="shared" si="90"/>
        <v>2.1825999999999999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 t="shared" si="91"/>
        <v>0304-20</v>
      </c>
      <c r="AE210" s="85" t="str">
        <f t="shared" si="103"/>
        <v>aws s3 cp s3://rtdc.mdm.uploadarchive.raw/RTDC4019/ "%USERPROFILE%\AppData\Local\Temp\OnboardLogs"\RTDC4019\2017-02-20 --exclude "*" --recursive --include "*20170220*" &amp; "%USERPROFILE%\Documents\GitHub\mrs-test-scripts\Headless Mode &amp; Sideloading\WalkAndUnGZ.bat" "%USERPROFILE%\AppData\Local\Temp\OnboardLogs"\RTDC4019\2017-02-20 &amp; aws s3 cp s3://rtdc.mdm.uploadarchive.raw/RTDC4019/ "%USERPROFILE%\AppData\Local\Temp\OnboardLogs"\RTDC4019\2017-02-21 --exclude "*" --recursive --include "*20170221*" &amp; "%USERPROFILE%\Documents\GitHub\mrs-test-scripts\Headless Mode &amp; Sideloading\WalkAndUnGZ.bat" "%USERPROFILE%\AppData\Local\Temp\OnboardLogs"\RTDC4019\2017-02-21</v>
      </c>
      <c r="AF210" s="82" t="str">
        <f t="shared" si="104"/>
        <v>"C:\Program Files (x86)\AstroGrep\AstroGrep.exe" /spath="%USERPROFILE%\AppData\Local\Temp\OnboardLogs" /stypes="app*4019*20170220*" /stext=" 10:.+((SYSTEM_STATE.+slice.+state.+changed )|(ment ac)|(multiple cpu faults)|(system.+state.+changed )|(\[timeout)|(PRM\|1\|D)|(kpr)|(kdp)|(\|lc)|(penalty))" /e /r /s</v>
      </c>
      <c r="AG210" s="1" t="str">
        <f t="shared" si="92"/>
        <v>Other</v>
      </c>
      <c r="AH210" s="86" t="str">
        <f t="shared" si="97"/>
        <v>"%USERPROFILE%\Documents\GitHub\eaglep3\Utilities\RefineRTDCRunTimes.py" --tripid 304-20 --locoid 4019 --swversion DE.1.0.9.0 --startMP 300:21967 --initTime 2017-02-20T03:20:44 --startdatetime 2017-02-20T03:23:13 --delay 1 --endMP 204:141 --enddatetime 2017-02-20T03:32:02 --enforcementcount 0 &gt;&gt;C:\Users\stu\Documents\GitHub\eaglep3-reporting\EC\2017-02-20-refined-times.txt</v>
      </c>
      <c r="AI210" s="108" t="str">
        <f t="shared" si="98"/>
        <v>echo {"issue":{"subject":"","project_id":79,"tracker_id":40,"status_id":1,"priority_id":2,"assigned_to_id":23,"start_date":"2017-02-20","description":"","custom_fields":[{"id":1,"name":"Subdivision","value":"Other"},{"id":4,"name":"Milepost","value":"0.0141"},{"id":17,"name":"Train ID","value":"304-20"},{"id":16,"name":"Locomotive ID","value":"4019"},{"id":130,"name":"Impact","value":""},{"id":150,"name":"Time of Event (Mountain Time)","value":"03:32:02"},{"id":151,"name":"Denver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48"/>
      <c r="AK210" s="48"/>
      <c r="AL210" s="48"/>
      <c r="AM210" s="154" t="str">
        <f t="shared" si="99"/>
        <v>start /low /b %USERPROFILE%\Documents\GitHub\eaglep3\Utilities\DownloadLogsFromS3.py --loco 4019 --day 2017-02-20</v>
      </c>
      <c r="AN210" s="163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"%USERPROFILE%\AppData\Local\Temp\OnboardLogs"\RTDC4019\*4019*20170220* | grep -SE "(Enforcement Action)|(\[TIMEOUT)|(CHR.+\|PRM\|1\|D.+(SWITCH|SIGNAL).+UNKNOWN)" - &gt;&gt; 2017-02-20-UncaughtWiMAX.txt</v>
      </c>
    </row>
    <row r="211" spans="1:40" x14ac:dyDescent="0.25">
      <c r="A211" s="33" t="s">
        <v>658</v>
      </c>
      <c r="B211" s="7">
        <v>4003</v>
      </c>
      <c r="C211" s="21" t="s">
        <v>408</v>
      </c>
      <c r="D211" s="21" t="s">
        <v>227</v>
      </c>
      <c r="E211" s="13">
        <v>42786.797060185185</v>
      </c>
      <c r="F211" s="13">
        <v>25568.708333333332</v>
      </c>
      <c r="G211" s="7">
        <v>1</v>
      </c>
      <c r="H211" s="21" t="s">
        <v>771</v>
      </c>
      <c r="I211" s="13">
        <v>25568.708333333332</v>
      </c>
      <c r="J211" s="7">
        <v>0</v>
      </c>
      <c r="K211" s="98" t="str">
        <f t="shared" si="83"/>
        <v>4003/4004</v>
      </c>
      <c r="L211" s="21" t="str">
        <f>VLOOKUP(A211,'Trips&amp;Operators'!$C$1:$G$99999,5,FALSE)</f>
        <v>CRAYTON QUNTRELL</v>
      </c>
      <c r="M211" s="6">
        <f t="shared" si="84"/>
        <v>0</v>
      </c>
      <c r="N211" s="7">
        <f t="shared" si="100"/>
        <v>0</v>
      </c>
      <c r="O211" s="7"/>
      <c r="P211" s="7"/>
      <c r="Q211" s="22"/>
      <c r="R211" s="22"/>
      <c r="S211" s="31">
        <f t="shared" si="101"/>
        <v>1</v>
      </c>
      <c r="T211" s="46" t="str">
        <f t="shared" si="86"/>
        <v>NorthBound</v>
      </c>
      <c r="U211" s="186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87" t="str">
        <f t="shared" si="102"/>
        <v>https://d0f6bd738d7f1b3e5a7ca70fe4ff75f0.us-east-1.aws.found.io/app/kibana#/discover/Steve-Slow-Train-Analysis-(2080s-and-2083s)?_g=(refreshInterval:(display:Off,pause:!f,section:0,value:0),time:(from:'2017-02-20T18:07:46-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11" s="188" t="str">
        <f t="shared" si="87"/>
        <v>Y</v>
      </c>
      <c r="X211" s="188">
        <f t="shared" si="95"/>
        <v>1</v>
      </c>
      <c r="Y211" s="62">
        <f t="shared" si="88"/>
        <v>4.5699999999999998E-2</v>
      </c>
      <c r="Z211" s="62">
        <f t="shared" si="89"/>
        <v>2.3298999999999999</v>
      </c>
      <c r="AA211" s="62">
        <f t="shared" si="90"/>
        <v>2.2841999999999998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 t="shared" si="91"/>
        <v>0305-20</v>
      </c>
      <c r="AE211" s="85" t="str">
        <f t="shared" si="103"/>
        <v>aws s3 cp s3://rtdc.mdm.uploadarchive.raw/RTDC4003/ "%USERPROFILE%\AppData\Local\Temp\OnboardLogs"\RTDC4003\1969-12-31 --exclude "*" --recursive --include "*19691231*" &amp; "%USERPROFILE%\Documents\GitHub\mrs-test-scripts\Headless Mode &amp; Sideloading\WalkAndUnGZ.bat" "%USERPROFILE%\AppData\Local\Temp\OnboardLogs"\RTDC4003\1969-12-31 &amp; aws s3 cp s3://rtdc.mdm.uploadarchive.raw/RTDC4003/ "%USERPROFILE%\AppData\Local\Temp\OnboardLogs"\RTDC4003\1970-01-01 --exclude "*" --recursive --include "*19700101*" &amp; "%USERPROFILE%\Documents\GitHub\mrs-test-scripts\Headless Mode &amp; Sideloading\WalkAndUnGZ.bat" "%USERPROFILE%\AppData\Local\Temp\OnboardLogs"\RTDC4003\1970-01-01</v>
      </c>
      <c r="AF211" s="82" t="str">
        <f t="shared" si="104"/>
        <v>"C:\Program Files (x86)\AstroGrep\AstroGrep.exe" /spath="%USERPROFILE%\AppData\Local\Temp\OnboardLogs" /stypes="app*4003*19700101*" /stext=" 00:.+((SYSTEM_STATE.+slice.+state.+changed )|(ment ac)|(multiple cpu faults)|(system.+state.+changed )|(\[timeout)|(PRM\|1\|D)|(kpr)|(kdp)|(\|lc)|(penalty))" /e /r /s</v>
      </c>
      <c r="AG211" s="1" t="str">
        <f t="shared" si="92"/>
        <v>Other</v>
      </c>
      <c r="AH211" s="86" t="str">
        <f t="shared" si="97"/>
        <v>"%USERPROFILE%\Documents\GitHub\eaglep3\Utilities\RefineRTDCRunTimes.py" --tripid 305-20 --locoid 4003 --swversion DE.1.0.9.0 --startMP 204:457 --initTime 2017-02-20T19:07:46 --startdatetime 1969-12-31T17:00:00 --delay 1 --endMP 300:23299 --enddatetime 1969-12-31T17:00:00 --enforcementcount 0 &gt;&gt;C:\Users\stu\Documents\GitHub\eaglep3-reporting\EC\2017-02-20-refined-times.txt</v>
      </c>
      <c r="AI211" s="108" t="str">
        <f t="shared" si="98"/>
        <v>echo {"issue":{"subject":"","project_id":79,"tracker_id":40,"status_id":1,"priority_id":2,"assigned_to_id":23,"start_date":"1969-12-31","description":"","custom_fields":[{"id":1,"name":"Subdivision","value":"Other"},{"id":4,"name":"Milepost","value":"2.3299"},{"id":17,"name":"Train ID","value":"305-20"},{"id":16,"name":"Locomotive ID","value":"4003"},{"id":130,"name":"Impact","value":""},{"id":150,"name":"Time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48"/>
      <c r="AK211" s="48"/>
      <c r="AL211" s="48"/>
      <c r="AM211" s="154" t="str">
        <f t="shared" si="99"/>
        <v>start /low /b %USERPROFILE%\Documents\GitHub\eaglep3\Utilities\DownloadLogsFromS3.py --loco 4003 --day 1969-12-31</v>
      </c>
      <c r="AN211" s="163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"%USERPROFILE%\AppData\Local\Temp\OnboardLogs"\RTDC4003\*4003*19700101* | grep -SE "(Enforcement Action)|(\[TIMEOUT)|(CHR.+\|PRM\|1\|D.+(SWITCH|SIGNAL).+UNKNOWN)" - &gt;&gt; 2017-02-20-UncaughtWiMAX.txt</v>
      </c>
    </row>
    <row r="212" spans="1:40" x14ac:dyDescent="0.25">
      <c r="A212" s="33" t="s">
        <v>663</v>
      </c>
      <c r="B212" s="7">
        <v>4027</v>
      </c>
      <c r="C212" s="21" t="s">
        <v>408</v>
      </c>
      <c r="D212" s="21" t="s">
        <v>226</v>
      </c>
      <c r="E212" s="13">
        <v>42786.817719907405</v>
      </c>
      <c r="F212" s="13">
        <v>25568.708333333332</v>
      </c>
      <c r="G212" s="7">
        <v>1</v>
      </c>
      <c r="H212" s="21" t="s">
        <v>292</v>
      </c>
      <c r="I212" s="13">
        <v>25568.708333333332</v>
      </c>
      <c r="J212" s="7">
        <v>0</v>
      </c>
      <c r="K212" s="98" t="str">
        <f t="shared" si="83"/>
        <v>4027/4028</v>
      </c>
      <c r="L212" s="21" t="str">
        <f>VLOOKUP(A212,'Trips&amp;Operators'!$C$1:$G$99999,5,FALSE)</f>
        <v>KILLION DAVID</v>
      </c>
      <c r="M212" s="6">
        <f t="shared" si="84"/>
        <v>0</v>
      </c>
      <c r="N212" s="7">
        <f t="shared" si="100"/>
        <v>0</v>
      </c>
      <c r="O212" s="7"/>
      <c r="P212" s="7"/>
      <c r="Q212" s="22"/>
      <c r="R212" s="22"/>
      <c r="S212" s="31">
        <f t="shared" si="101"/>
        <v>1</v>
      </c>
      <c r="T212" s="46" t="str">
        <f t="shared" si="86"/>
        <v>NorthBound</v>
      </c>
      <c r="U212" s="186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87" t="str">
        <f t="shared" si="102"/>
        <v>https://d0f6bd738d7f1b3e5a7ca70fe4ff75f0.us-east-1.aws.found.io/app/kibana#/discover/Steve-Slow-Train-Analysis-(2080s-and-2083s)?_g=(refreshInterval:(display:Off,pause:!f,section:0,value:0),time:(from:'2017-02-20T18:37:31-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2" s="188" t="str">
        <f t="shared" si="87"/>
        <v>Y</v>
      </c>
      <c r="X212" s="188">
        <f t="shared" si="95"/>
        <v>2</v>
      </c>
      <c r="Y212" s="62">
        <f t="shared" si="88"/>
        <v>4.5100000000000001E-2</v>
      </c>
      <c r="Z212" s="62">
        <f t="shared" si="89"/>
        <v>2.3346</v>
      </c>
      <c r="AA212" s="62">
        <f t="shared" si="90"/>
        <v>2.2894999999999999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 t="shared" si="91"/>
        <v>0307-20</v>
      </c>
      <c r="AE212" s="85" t="str">
        <f t="shared" si="103"/>
        <v>aws s3 cp s3://rtdc.mdm.uploadarchive.raw/RTDC4027/ "%USERPROFILE%\AppData\Local\Temp\OnboardLogs"\RTDC4027\1969-12-31 --exclude "*" --recursive --include "*19691231*" &amp; "%USERPROFILE%\Documents\GitHub\mrs-test-scripts\Headless Mode &amp; Sideloading\WalkAndUnGZ.bat" "%USERPROFILE%\AppData\Local\Temp\OnboardLogs"\RTDC4027\1969-12-31 &amp; aws s3 cp s3://rtdc.mdm.uploadarchive.raw/RTDC4027/ "%USERPROFILE%\AppData\Local\Temp\OnboardLogs"\RTDC4027\1970-01-01 --exclude "*" --recursive --include "*19700101*" &amp; "%USERPROFILE%\Documents\GitHub\mrs-test-scripts\Headless Mode &amp; Sideloading\WalkAndUnGZ.bat" "%USERPROFILE%\AppData\Local\Temp\OnboardLogs"\RTDC4027\1970-01-01</v>
      </c>
      <c r="AF212" s="82" t="str">
        <f t="shared" si="104"/>
        <v>"C:\Program Files (x86)\AstroGrep\AstroGrep.exe" /spath="%USERPROFILE%\AppData\Local\Temp\OnboardLogs" /stypes="app*4027*19700101*" /stext=" 00:.+((SYSTEM_STATE.+slice.+state.+changed )|(ment ac)|(multiple cpu faults)|(system.+state.+changed )|(\[timeout)|(PRM\|1\|D)|(kpr)|(kdp)|(\|lc)|(penalty))" /e /r /s</v>
      </c>
      <c r="AG212" s="1" t="str">
        <f t="shared" si="92"/>
        <v>Other</v>
      </c>
      <c r="AH212" s="86" t="str">
        <f t="shared" si="97"/>
        <v>"%USERPROFILE%\Documents\GitHub\eaglep3\Utilities\RefineRTDCRunTimes.py" --tripid 307-20 --locoid 4027 --swversion DE.1.0.9.0 --startMP 204:451 --initTime 2017-02-20T19:37:31 --startdatetime 1969-12-31T17:00:00 --delay 1 --endMP 300:23346 --enddatetime 1969-12-31T17:00:00 --enforcementcount 0 &gt;&gt;C:\Users\stu\Documents\GitHub\eaglep3-reporting\EC\2017-02-20-refined-times.txt</v>
      </c>
      <c r="AI212" s="108" t="str">
        <f t="shared" si="98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ID","value":"307-20"},{"id":16,"name":"Locomotive ID","value":"4027"},{"id":130,"name":"Impact","value":""},{"id":150,"name":"Time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48"/>
      <c r="AK212" s="48"/>
      <c r="AL212" s="48"/>
      <c r="AM212" s="154" t="str">
        <f t="shared" si="99"/>
        <v>start /low /b %USERPROFILE%\Documents\GitHub\eaglep3\Utilities\DownloadLogsFromS3.py --loco 4027 --day 1969-12-31</v>
      </c>
      <c r="AN212" s="163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"%USERPROFILE%\AppData\Local\Temp\OnboardLogs"\RTDC4027\*4027*19700101* | grep -SE "(Enforcement Action)|(\[TIMEOUT)|(CHR.+\|PRM\|1\|D.+(SWITCH|SIGNAL).+UNKNOWN)" - &gt;&gt; 2017-02-20-UncaughtWiMAX.txt</v>
      </c>
    </row>
    <row r="213" spans="1:40" x14ac:dyDescent="0.25">
      <c r="A213" s="33" t="s">
        <v>499</v>
      </c>
      <c r="B213" s="7">
        <v>4045</v>
      </c>
      <c r="C213" s="21" t="s">
        <v>408</v>
      </c>
      <c r="D213" s="21" t="s">
        <v>772</v>
      </c>
      <c r="E213" s="13">
        <v>42786.173576388886</v>
      </c>
      <c r="F213" s="13">
        <v>42786.175335648149</v>
      </c>
      <c r="G213" s="7">
        <v>1</v>
      </c>
      <c r="H213" s="21" t="s">
        <v>742</v>
      </c>
      <c r="I213" s="13">
        <v>42786.180578703701</v>
      </c>
      <c r="J213" s="7">
        <v>0</v>
      </c>
      <c r="K213" s="98" t="str">
        <f t="shared" si="83"/>
        <v>4045/4046</v>
      </c>
      <c r="L213" s="21" t="str">
        <f>VLOOKUP(A213,'Trips&amp;Operators'!$C$1:$G$99999,5,FALSE)</f>
        <v>BONDS REYNALDO</v>
      </c>
      <c r="M213" s="6">
        <f t="shared" si="84"/>
        <v>5.2430555515456945E-3</v>
      </c>
      <c r="N213" s="7">
        <f t="shared" si="100"/>
        <v>7.5499999942258</v>
      </c>
      <c r="O213" s="7"/>
      <c r="P213" s="7"/>
      <c r="Q213" s="22"/>
      <c r="R213" s="22"/>
      <c r="S213" s="31">
        <f t="shared" si="101"/>
        <v>1</v>
      </c>
      <c r="T213" s="46" t="str">
        <f t="shared" si="86"/>
        <v>Southbound</v>
      </c>
      <c r="U213" s="186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87" t="str">
        <f t="shared" si="102"/>
        <v>https://d0f6bd738d7f1b3e5a7ca70fe4ff75f0.us-east-1.aws.found.io/app/kibana#/discover/Steve-Slow-Train-Analysis-(2080s-and-2083s)?_g=(refreshInterval:(display:Off,pause:!f,section:0,value:0),time:(from:'2017-02-20T03:09:57-0700',mode:absolute,to:'2017-02-20T05:20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13" s="188" t="str">
        <f t="shared" si="87"/>
        <v>Y</v>
      </c>
      <c r="X213" s="188">
        <f t="shared" si="95"/>
        <v>1</v>
      </c>
      <c r="Y213" s="62">
        <f t="shared" si="88"/>
        <v>2.2176</v>
      </c>
      <c r="Z213" s="62">
        <f t="shared" si="89"/>
        <v>1.72E-2</v>
      </c>
      <c r="AA213" s="62">
        <f t="shared" si="90"/>
        <v>2.2004000000000001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 t="shared" si="91"/>
        <v>0308-20</v>
      </c>
      <c r="AE213" s="85" t="str">
        <f t="shared" si="103"/>
        <v>aws s3 cp s3://rtdc.mdm.uploadarchive.raw/RTDC4045/ "%USERPROFILE%\AppData\Local\Temp\OnboardLogs"\RTDC4045\2017-02-20 --exclude "*" --recursive --include "*20170220*" &amp; "%USERPROFILE%\Documents\GitHub\mrs-test-scripts\Headless Mode &amp; Sideloading\WalkAndUnGZ.bat" "%USERPROFILE%\AppData\Local\Temp\OnboardLogs"\RTDC4045\2017-02-20 &amp; aws s3 cp s3://rtdc.mdm.uploadarchive.raw/RTDC4045/ "%USERPROFILE%\AppData\Local\Temp\OnboardLogs"\RTDC4045\2017-02-21 --exclude "*" --recursive --include "*20170221*" &amp; "%USERPROFILE%\Documents\GitHub\mrs-test-scripts\Headless Mode &amp; Sideloading\WalkAndUnGZ.bat" "%USERPROFILE%\AppData\Local\Temp\OnboardLogs"\RTDC4045\2017-02-21</v>
      </c>
      <c r="AF213" s="82" t="str">
        <f t="shared" si="104"/>
        <v>"C:\Program Files (x86)\AstroGrep\AstroGrep.exe" /spath="%USERPROFILE%\AppData\Local\Temp\OnboardLogs" /stypes="app*4045*20170220*" /stext=" 11:.+((SYSTEM_STATE.+slice.+state.+changed )|(ment ac)|(multiple cpu faults)|(system.+state.+changed )|(\[timeout)|(PRM\|1\|D)|(kpr)|(kdp)|(\|lc)|(penalty))" /e /r /s</v>
      </c>
      <c r="AG213" s="1" t="str">
        <f t="shared" si="92"/>
        <v>Other</v>
      </c>
      <c r="AH213" s="86" t="str">
        <f t="shared" si="97"/>
        <v>"%USERPROFILE%\Documents\GitHub\eaglep3\Utilities\RefineRTDCRunTimes.py" --tripid 308-20 --locoid 4045 --swversion DE.1.0.9.0 --startMP 300:22176 --initTime 2017-02-20T04:09:57 --startdatetime 2017-02-20T04:12:29 --delay 1 --endMP 204:172 --enddatetime 2017-02-20T04:20:02 --enforcementcount 0 &gt;&gt;C:\Users\stu\Documents\GitHub\eaglep3-reporting\EC\2017-02-20-refined-times.txt</v>
      </c>
      <c r="AI213" s="108" t="str">
        <f t="shared" si="98"/>
        <v>echo {"issue":{"subject":"","project_id":79,"tracker_id":40,"status_id":1,"priority_id":2,"assigned_to_id":23,"start_date":"2017-02-20","description":"","custom_fields":[{"id":1,"name":"Subdivision","value":"Other"},{"id":4,"name":"Milepost","value":"0.0172"},{"id":17,"name":"Train ID","value":"308-20"},{"id":16,"name":"Locomotive ID","value":"4045"},{"id":130,"name":"Impact","value":""},{"id":150,"name":"Time of Event (Mountain Time)","value":"04:20:02"},{"id":151,"name":"Denver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48"/>
      <c r="AK213" s="48"/>
      <c r="AL213" s="48"/>
      <c r="AM213" s="154" t="str">
        <f t="shared" si="99"/>
        <v>start /low /b %USERPROFILE%\Documents\GitHub\eaglep3\Utilities\DownloadLogsFromS3.py --loco 4045 --day 2017-02-20</v>
      </c>
      <c r="AN213" s="163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"%USERPROFILE%\AppData\Local\Temp\OnboardLogs"\RTDC4045\*4045*20170220* | grep -SE "(Enforcement Action)|(\[TIMEOUT)|(CHR.+\|PRM\|1\|D.+(SWITCH|SIGNAL).+UNKNOWN)" - &gt;&gt; 2017-02-20-UncaughtWiMAX.txt</v>
      </c>
    </row>
    <row r="214" spans="1:40" x14ac:dyDescent="0.25">
      <c r="A214" s="33" t="s">
        <v>694</v>
      </c>
      <c r="B214" s="7">
        <v>4016</v>
      </c>
      <c r="C214" s="21" t="s">
        <v>408</v>
      </c>
      <c r="D214" s="21" t="s">
        <v>258</v>
      </c>
      <c r="E214" s="13">
        <v>42787.04892361111</v>
      </c>
      <c r="F214" s="13">
        <v>42787.050335648149</v>
      </c>
      <c r="G214" s="7">
        <v>1</v>
      </c>
      <c r="H214" s="21" t="s">
        <v>372</v>
      </c>
      <c r="I214" s="13">
        <v>42787.055324074077</v>
      </c>
      <c r="J214" s="7">
        <v>0</v>
      </c>
      <c r="K214" s="98" t="str">
        <f t="shared" si="83"/>
        <v>4015/4016</v>
      </c>
      <c r="L214" s="21" t="str">
        <f>VLOOKUP(A214,'Trips&amp;Operators'!$C$1:$G$99999,5,FALSE)</f>
        <v>SMITH MICHAEL</v>
      </c>
      <c r="M214" s="6">
        <f t="shared" si="84"/>
        <v>4.9884259278769605E-3</v>
      </c>
      <c r="N214" s="7">
        <f t="shared" si="100"/>
        <v>7.1833333361428231</v>
      </c>
      <c r="O214" s="7"/>
      <c r="P214" s="7"/>
      <c r="Q214" s="22"/>
      <c r="R214" s="22"/>
      <c r="S214" s="31">
        <f t="shared" si="101"/>
        <v>1</v>
      </c>
      <c r="T214" s="46" t="str">
        <f t="shared" si="86"/>
        <v>NorthBound</v>
      </c>
      <c r="U214" s="186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87" t="str">
        <f t="shared" si="102"/>
        <v>https://d0f6bd738d7f1b3e5a7ca70fe4ff75f0.us-east-1.aws.found.io/app/kibana#/discover/Steve-Slow-Train-Analysis-(2080s-and-2083s)?_g=(refreshInterval:(display:Off,pause:!f,section:0,value:0),time:(from:'2017-02-21T00:10:27-0700',mode:absolute,to:'2017-02-21T02:19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4" s="188" t="str">
        <f t="shared" si="87"/>
        <v>Y</v>
      </c>
      <c r="X214" s="188">
        <f t="shared" si="95"/>
        <v>1</v>
      </c>
      <c r="Y214" s="62">
        <f t="shared" si="88"/>
        <v>4.5499999999999999E-2</v>
      </c>
      <c r="Z214" s="62">
        <f t="shared" si="89"/>
        <v>2.3306</v>
      </c>
      <c r="AA214" s="62">
        <f t="shared" si="90"/>
        <v>2.2850999999999999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 t="shared" si="91"/>
        <v>0309-20</v>
      </c>
      <c r="AE214" s="85" t="str">
        <f t="shared" si="103"/>
        <v>aws s3 cp s3://rtdc.mdm.uploadarchive.raw/RTDC4016/ "%USERPROFILE%\AppData\Local\Temp\OnboardLogs"\RTDC4016\2017-02-21 --exclude "*" --recursive --include "*20170221*" &amp; "%USERPROFILE%\Documents\GitHub\mrs-test-scripts\Headless Mode &amp; Sideloading\WalkAndUnGZ.bat" "%USERPROFILE%\AppData\Local\Temp\OnboardLogs"\RTDC4016\2017-02-21 &amp; aws s3 cp s3://rtdc.mdm.uploadarchive.raw/RTDC4016/ "%USERPROFILE%\AppData\Local\Temp\OnboardLogs"\RTDC4016\2017-02-22 --exclude "*" --recursive --include "*20170222*" &amp; "%USERPROFILE%\Documents\GitHub\mrs-test-scripts\Headless Mode &amp; Sideloading\WalkAndUnGZ.bat" "%USERPROFILE%\AppData\Local\Temp\OnboardLogs"\RTDC4016\2017-02-22</v>
      </c>
      <c r="AF214" s="82" t="str">
        <f t="shared" si="104"/>
        <v>"C:\Program Files (x86)\AstroGrep\AstroGrep.exe" /spath="%USERPROFILE%\AppData\Local\Temp\OnboardLogs" /stypes="app*4016*20170221*" /stext=" 08:.+((SYSTEM_STATE.+slice.+state.+changed )|(ment ac)|(multiple cpu faults)|(system.+state.+changed )|(\[timeout)|(PRM\|1\|D)|(kpr)|(kdp)|(\|lc)|(penalty))" /e /r /s</v>
      </c>
      <c r="AG214" s="1" t="str">
        <f t="shared" si="92"/>
        <v>Other</v>
      </c>
      <c r="AH214" s="86" t="str">
        <f t="shared" si="97"/>
        <v>"%USERPROFILE%\Documents\GitHub\eaglep3\Utilities\RefineRTDCRunTimes.py" --tripid 309-20 --locoid 4016 --swversion DE.1.0.9.0 --startMP 204:455 --initTime 2017-02-21T01:10:27 --startdatetime 2017-02-21T01:12:29 --delay 1 --endMP 300:23306 --enddatetime 2017-02-21T01:19:40 --enforcementcount 0 &gt;&gt;C:\Users\stu\Documents\GitHub\eaglep3-reporting\EC\2017-02-20-refined-times.txt</v>
      </c>
      <c r="AI214" s="108" t="str">
        <f t="shared" si="98"/>
        <v>echo {"issue":{"subject":"","project_id":79,"tracker_id":40,"status_id":1,"priority_id":2,"assigned_to_id":23,"start_date":"2017-02-21","description":"","custom_fields":[{"id":1,"name":"Subdivision","value":"Other"},{"id":4,"name":"Milepost","value":"2.3306"},{"id":17,"name":"Train ID","value":"309-20"},{"id":16,"name":"Locomotive ID","value":"4016"},{"id":130,"name":"Impact","value":""},{"id":150,"name":"Time of Event (Mountain Time)","value":"01:19:40"},{"id":151,"name":"Denver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48"/>
      <c r="AK214" s="48"/>
      <c r="AL214" s="48"/>
      <c r="AM214" s="154" t="str">
        <f t="shared" si="99"/>
        <v>start /low /b %USERPROFILE%\Documents\GitHub\eaglep3\Utilities\DownloadLogsFromS3.py --loco 4016 --day 2017-02-21</v>
      </c>
      <c r="AN214" s="163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"%USERPROFILE%\AppData\Local\Temp\OnboardLogs"\RTDC4016\*4016*20170221* | grep -SE "(Enforcement Action)|(\[TIMEOUT)|(CHR.+\|PRM\|1\|D.+(SWITCH|SIGNAL).+UNKNOWN)" - &gt;&gt; 2017-02-20-UncaughtWiMAX.txt</v>
      </c>
    </row>
    <row r="215" spans="1:40" x14ac:dyDescent="0.25">
      <c r="A215" s="33" t="s">
        <v>505</v>
      </c>
      <c r="B215" s="7">
        <v>4008</v>
      </c>
      <c r="C215" s="21" t="s">
        <v>408</v>
      </c>
      <c r="D215" s="21" t="s">
        <v>773</v>
      </c>
      <c r="E215" s="13">
        <v>42786.184583333335</v>
      </c>
      <c r="F215" s="13">
        <v>42786.185706018521</v>
      </c>
      <c r="G215" s="7">
        <v>1</v>
      </c>
      <c r="H215" s="21" t="s">
        <v>207</v>
      </c>
      <c r="I215" s="13">
        <v>42786.194560185184</v>
      </c>
      <c r="J215" s="7">
        <v>0</v>
      </c>
      <c r="K215" s="98" t="str">
        <f t="shared" si="83"/>
        <v>4007/4008</v>
      </c>
      <c r="L215" s="21" t="str">
        <f>VLOOKUP(A215,'Trips&amp;Operators'!$C$1:$G$99999,5,FALSE)</f>
        <v>SHOOK JOHN</v>
      </c>
      <c r="M215" s="6">
        <f t="shared" si="84"/>
        <v>8.8541666627861559E-3</v>
      </c>
      <c r="N215" s="7">
        <f t="shared" si="100"/>
        <v>12.749999994412065</v>
      </c>
      <c r="O215" s="7"/>
      <c r="P215" s="7"/>
      <c r="Q215" s="22"/>
      <c r="R215" s="22"/>
      <c r="S215" s="31">
        <f t="shared" si="101"/>
        <v>1</v>
      </c>
      <c r="T215" s="46" t="str">
        <f t="shared" si="86"/>
        <v>Southbound</v>
      </c>
      <c r="U215" s="186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87" t="str">
        <f t="shared" si="102"/>
        <v>https://d0f6bd738d7f1b3e5a7ca70fe4ff75f0.us-east-1.aws.found.io/app/kibana#/discover/Steve-Slow-Train-Analysis-(2080s-and-2083s)?_g=(refreshInterval:(display:Off,pause:!f,section:0,value:0),time:(from:'2017-02-20T03:25:48-0700',mode:absolute,to:'2017-02-20T05:40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5" s="188" t="str">
        <f t="shared" si="87"/>
        <v>Y</v>
      </c>
      <c r="X215" s="188">
        <f t="shared" ref="X215:X242" si="105">VALUE(LEFT(AD215,4))-VALUE(LEFT(AD214,4))</f>
        <v>1</v>
      </c>
      <c r="Y215" s="62">
        <f t="shared" si="88"/>
        <v>2.2787999999999999</v>
      </c>
      <c r="Z215" s="62">
        <f t="shared" si="89"/>
        <v>1.5800000000000002E-2</v>
      </c>
      <c r="AA215" s="62">
        <f t="shared" si="90"/>
        <v>2.2629999999999999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 t="shared" si="91"/>
        <v>0310-20</v>
      </c>
      <c r="AE215" s="85" t="str">
        <f t="shared" si="103"/>
        <v>aws s3 cp s3://rtdc.mdm.uploadarchive.raw/RTDC4008/ "%USERPROFILE%\AppData\Local\Temp\OnboardLogs"\RTDC4008\2017-02-20 --exclude "*" --recursive --include "*20170220*" &amp; "%USERPROFILE%\Documents\GitHub\mrs-test-scripts\Headless Mode &amp; Sideloading\WalkAndUnGZ.bat" "%USERPROFILE%\AppData\Local\Temp\OnboardLogs"\RTDC4008\2017-02-20 &amp; aws s3 cp s3://rtdc.mdm.uploadarchive.raw/RTDC4008/ "%USERPROFILE%\AppData\Local\Temp\OnboardLogs"\RTDC4008\2017-02-21 --exclude "*" --recursive --include "*20170221*" &amp; "%USERPROFILE%\Documents\GitHub\mrs-test-scripts\Headless Mode &amp; Sideloading\WalkAndUnGZ.bat" "%USERPROFILE%\AppData\Local\Temp\OnboardLogs"\RTDC4008\2017-02-21</v>
      </c>
      <c r="AF215" s="82" t="str">
        <f t="shared" si="104"/>
        <v>"C:\Program Files (x86)\AstroGrep\AstroGrep.exe" /spath="%USERPROFILE%\AppData\Local\Temp\OnboardLogs" /stypes="app*4008*20170220*" /stext=" 11:.+((SYSTEM_STATE.+slice.+state.+changed )|(ment ac)|(multiple cpu faults)|(system.+state.+changed )|(\[timeout)|(PRM\|1\|D)|(kpr)|(kdp)|(\|lc)|(penalty))" /e /r /s</v>
      </c>
      <c r="AG215" s="1" t="str">
        <f t="shared" si="92"/>
        <v>Other</v>
      </c>
      <c r="AH215" s="86" t="str">
        <f t="shared" si="97"/>
        <v>"%USERPROFILE%\Documents\GitHub\eaglep3\Utilities\RefineRTDCRunTimes.py" --tripid 310-20 --locoid 4008 --swversion DE.1.0.9.0 --startMP 300:22788 --initTime 2017-02-20T04:25:48 --startdatetime 2017-02-20T04:27:25 --delay 1 --endMP 204:158 --enddatetime 2017-02-20T04:40:10 --enforcementcount 0 &gt;&gt;C:\Users\stu\Documents\GitHub\eaglep3-reporting\EC\2017-02-20-refined-times.txt</v>
      </c>
      <c r="AI215" s="108" t="str">
        <f t="shared" si="98"/>
        <v>echo {"issue":{"subject":"","project_id":79,"tracker_id":40,"status_id":1,"priority_id":2,"assigned_to_id":23,"start_date":"2017-02-20","description":"","custom_fields":[{"id":1,"name":"Subdivision","value":"Other"},{"id":4,"name":"Milepost","value":"0.0158"},{"id":17,"name":"Train ID","value":"310-20"},{"id":16,"name":"Locomotive ID","value":"4008"},{"id":130,"name":"Impact","value":""},{"id":150,"name":"Time of Event (Mountain Time)","value":"04:40:10"},{"id":151,"name":"Denver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48"/>
      <c r="AK215" s="48"/>
      <c r="AL215" s="48"/>
      <c r="AM215" s="154" t="str">
        <f t="shared" si="99"/>
        <v>start /low /b %USERPROFILE%\Documents\GitHub\eaglep3\Utilities\DownloadLogsFromS3.py --loco 4008 --day 2017-02-20</v>
      </c>
      <c r="AN215" s="163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"%USERPROFILE%\AppData\Local\Temp\OnboardLogs"\RTDC4008\*4008*20170220* | grep -SE "(Enforcement Action)|(\[TIMEOUT)|(CHR.+\|PRM\|1\|D.+(SWITCH|SIGNAL).+UNKNOWN)" - &gt;&gt; 2017-02-20-UncaughtWiMAX.txt</v>
      </c>
    </row>
    <row r="216" spans="1:40" x14ac:dyDescent="0.25">
      <c r="A216" s="33" t="s">
        <v>696</v>
      </c>
      <c r="B216" s="7">
        <v>4020</v>
      </c>
      <c r="C216" s="21" t="s">
        <v>408</v>
      </c>
      <c r="D216" s="21" t="s">
        <v>774</v>
      </c>
      <c r="E216" s="13">
        <v>42787.069398148145</v>
      </c>
      <c r="F216" s="13">
        <v>25568.708333333332</v>
      </c>
      <c r="G216" s="7">
        <v>1</v>
      </c>
      <c r="H216" s="21" t="s">
        <v>775</v>
      </c>
      <c r="I216" s="13">
        <v>25568.708333333332</v>
      </c>
      <c r="J216" s="7">
        <v>0</v>
      </c>
      <c r="K216" s="98" t="str">
        <f t="shared" si="83"/>
        <v>4019/4020</v>
      </c>
      <c r="L216" s="21" t="str">
        <f>VLOOKUP(A216,'Trips&amp;Operators'!$C$1:$G$99999,5,FALSE)</f>
        <v>STAMBAUGH JAMES</v>
      </c>
      <c r="M216" s="6">
        <f t="shared" si="84"/>
        <v>0</v>
      </c>
      <c r="N216" s="7">
        <f t="shared" si="100"/>
        <v>0</v>
      </c>
      <c r="O216" s="7"/>
      <c r="P216" s="7"/>
      <c r="Q216" s="22"/>
      <c r="R216" s="22"/>
      <c r="S216" s="31">
        <f t="shared" si="101"/>
        <v>1</v>
      </c>
      <c r="T216" s="46" t="str">
        <f t="shared" si="86"/>
        <v>NorthBound</v>
      </c>
      <c r="U216" s="186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87" t="str">
        <f t="shared" si="102"/>
        <v>https://d0f6bd738d7f1b3e5a7ca70fe4ff75f0.us-east-1.aws.found.io/app/kibana#/discover/Steve-Slow-Train-Analysis-(2080s-and-2083s)?_g=(refreshInterval:(display:Off,pause:!f,section:0,value:0),time:(from:'2017-02-21T00:39:56-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6" s="188" t="str">
        <f t="shared" si="87"/>
        <v>Y</v>
      </c>
      <c r="X216" s="188">
        <f t="shared" si="105"/>
        <v>1</v>
      </c>
      <c r="Y216" s="62">
        <f t="shared" si="88"/>
        <v>7.0599999999999996E-2</v>
      </c>
      <c r="Z216" s="62">
        <f t="shared" si="89"/>
        <v>2.3311999999999999</v>
      </c>
      <c r="AA216" s="62">
        <f t="shared" si="90"/>
        <v>2.2606000000000002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 t="shared" si="91"/>
        <v>0311-20</v>
      </c>
      <c r="AE216" s="85" t="str">
        <f t="shared" si="103"/>
        <v>aws s3 cp s3://rtdc.mdm.uploadarchive.raw/RTDC4020/ "%USERPROFILE%\AppData\Local\Temp\OnboardLogs"\RTDC4020\1969-12-31 --exclude "*" --recursive --include "*19691231*" &amp; "%USERPROFILE%\Documents\GitHub\mrs-test-scripts\Headless Mode &amp; Sideloading\WalkAndUnGZ.bat" "%USERPROFILE%\AppData\Local\Temp\OnboardLogs"\RTDC4020\1969-12-31 &amp; aws s3 cp s3://rtdc.mdm.uploadarchive.raw/RTDC4020/ "%USERPROFILE%\AppData\Local\Temp\OnboardLogs"\RTDC4020\1970-01-01 --exclude "*" --recursive --include "*19700101*" &amp; "%USERPROFILE%\Documents\GitHub\mrs-test-scripts\Headless Mode &amp; Sideloading\WalkAndUnGZ.bat" "%USERPROFILE%\AppData\Local\Temp\OnboardLogs"\RTDC4020\1970-01-01</v>
      </c>
      <c r="AF216" s="82" t="str">
        <f t="shared" si="104"/>
        <v>"C:\Program Files (x86)\AstroGrep\AstroGrep.exe" /spath="%USERPROFILE%\AppData\Local\Temp\OnboardLogs" /stypes="app*4020*19700101*" /stext=" 00:.+((SYSTEM_STATE.+slice.+state.+changed )|(ment ac)|(multiple cpu faults)|(system.+state.+changed )|(\[timeout)|(PRM\|1\|D)|(kpr)|(kdp)|(\|lc)|(penalty))" /e /r /s</v>
      </c>
      <c r="AG216" s="1" t="str">
        <f t="shared" si="92"/>
        <v>Other</v>
      </c>
      <c r="AH216" s="86" t="str">
        <f t="shared" si="97"/>
        <v>"%USERPROFILE%\Documents\GitHub\eaglep3\Utilities\RefineRTDCRunTimes.py" --tripid 311-20 --locoid 4020 --swversion DE.1.0.9.0 --startMP 204:706 --initTime 2017-02-21T01:39:56 --startdatetime 1969-12-31T17:00:00 --delay 1 --endMP 300:23312 --enddatetime 1969-12-31T17:00:00 --enforcementcount 0 &gt;&gt;C:\Users\stu\Documents\GitHub\eaglep3-reporting\EC\2017-02-20-refined-times.txt</v>
      </c>
      <c r="AI216" s="108" t="str">
        <f t="shared" si="98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ID","value":"311-20"},{"id":16,"name":"Locomotive ID","value":"4020"},{"id":130,"name":"Impact","value":""},{"id":150,"name":"Time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48"/>
      <c r="AK216" s="48"/>
      <c r="AL216" s="48"/>
      <c r="AM216" s="154" t="str">
        <f t="shared" si="99"/>
        <v>start /low /b %USERPROFILE%\Documents\GitHub\eaglep3\Utilities\DownloadLogsFromS3.py --loco 4020 --day 1969-12-31</v>
      </c>
      <c r="AN216" s="163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"%USERPROFILE%\AppData\Local\Temp\OnboardLogs"\RTDC4020\*4020*19700101* | grep -SE "(Enforcement Action)|(\[TIMEOUT)|(CHR.+\|PRM\|1\|D.+(SWITCH|SIGNAL).+UNKNOWN)" - &gt;&gt; 2017-02-20-UncaughtWiMAX.txt</v>
      </c>
    </row>
    <row r="217" spans="1:40" x14ac:dyDescent="0.25">
      <c r="A217" s="33" t="s">
        <v>697</v>
      </c>
      <c r="B217" s="7">
        <v>4046</v>
      </c>
      <c r="C217" s="21" t="s">
        <v>408</v>
      </c>
      <c r="D217" s="21" t="s">
        <v>743</v>
      </c>
      <c r="E217" s="13">
        <v>42787.088252314818</v>
      </c>
      <c r="F217" s="13">
        <v>25568.708333333332</v>
      </c>
      <c r="G217" s="7">
        <v>1</v>
      </c>
      <c r="H217" s="21" t="s">
        <v>775</v>
      </c>
      <c r="I217" s="13">
        <v>25568.708333333332</v>
      </c>
      <c r="J217" s="7">
        <v>0</v>
      </c>
      <c r="K217" s="98" t="str">
        <f t="shared" si="83"/>
        <v>4045/4046</v>
      </c>
      <c r="L217" s="21" t="str">
        <f>VLOOKUP(A217,'Trips&amp;Operators'!$C$1:$G$99999,5,FALSE)</f>
        <v>STORY SAMANTHA</v>
      </c>
      <c r="M217" s="6">
        <f t="shared" si="84"/>
        <v>0</v>
      </c>
      <c r="N217" s="7">
        <f t="shared" si="100"/>
        <v>0</v>
      </c>
      <c r="O217" s="7"/>
      <c r="P217" s="7"/>
      <c r="Q217" s="22"/>
      <c r="R217" s="22"/>
      <c r="S217" s="31">
        <f t="shared" si="101"/>
        <v>1</v>
      </c>
      <c r="T217" s="46" t="str">
        <f t="shared" si="86"/>
        <v>NorthBound</v>
      </c>
      <c r="U217" s="186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87" t="str">
        <f t="shared" si="102"/>
        <v>https://d0f6bd738d7f1b3e5a7ca70fe4ff75f0.us-east-1.aws.found.io/app/kibana#/discover/Steve-Slow-Train-Analysis-(2080s-and-2083s)?_g=(refreshInterval:(display:Off,pause:!f,section:0,value:0),time:(from:'2017-02-21T01:07:05-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7" s="188" t="str">
        <f t="shared" si="87"/>
        <v>Y</v>
      </c>
      <c r="X217" s="188">
        <f t="shared" si="105"/>
        <v>2</v>
      </c>
      <c r="Y217" s="62">
        <f t="shared" si="88"/>
        <v>4.6899999999999997E-2</v>
      </c>
      <c r="Z217" s="62">
        <f t="shared" si="89"/>
        <v>2.3311999999999999</v>
      </c>
      <c r="AA217" s="62">
        <f t="shared" si="90"/>
        <v>2.2843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 t="shared" si="91"/>
        <v>0313-20</v>
      </c>
      <c r="AE217" s="85" t="str">
        <f t="shared" si="103"/>
        <v>aws s3 cp s3://rtdc.mdm.uploadarchive.raw/RTDC4046/ "%USERPROFILE%\AppData\Local\Temp\OnboardLogs"\RTDC4046\1969-12-31 --exclude "*" --recursive --include "*19691231*" &amp; "%USERPROFILE%\Documents\GitHub\mrs-test-scripts\Headless Mode &amp; Sideloading\WalkAndUnGZ.bat" "%USERPROFILE%\AppData\Local\Temp\OnboardLogs"\RTDC4046\1969-12-31 &amp; aws s3 cp s3://rtdc.mdm.uploadarchive.raw/RTDC4046/ "%USERPROFILE%\AppData\Local\Temp\OnboardLogs"\RTDC4046\1970-01-01 --exclude "*" --recursive --include "*19700101*" &amp; "%USERPROFILE%\Documents\GitHub\mrs-test-scripts\Headless Mode &amp; Sideloading\WalkAndUnGZ.bat" "%USERPROFILE%\AppData\Local\Temp\OnboardLogs"\RTDC4046\1970-01-01</v>
      </c>
      <c r="AF217" s="82" t="str">
        <f t="shared" si="104"/>
        <v>"C:\Program Files (x86)\AstroGrep\AstroGrep.exe" /spath="%USERPROFILE%\AppData\Local\Temp\OnboardLogs" /stypes="app*4046*19700101*" /stext=" 00:.+((SYSTEM_STATE.+slice.+state.+changed )|(ment ac)|(multiple cpu faults)|(system.+state.+changed )|(\[timeout)|(PRM\|1\|D)|(kpr)|(kdp)|(\|lc)|(penalty))" /e /r /s</v>
      </c>
      <c r="AG217" s="1" t="str">
        <f t="shared" si="92"/>
        <v>Other</v>
      </c>
      <c r="AH217" s="86" t="str">
        <f t="shared" si="97"/>
        <v>"%USERPROFILE%\Documents\GitHub\eaglep3\Utilities\RefineRTDCRunTimes.py" --tripid 313-20 --locoid 4046 --swversion DE.1.0.9.0 --startMP 204:469 --initTime 2017-02-21T02:07:05 --startdatetime 1969-12-31T17:00:00 --delay 1 --endMP 300:23312 --enddatetime 1969-12-31T17:00:00 --enforcementcount 0 &gt;&gt;C:\Users\stu\Documents\GitHub\eaglep3-reporting\EC\2017-02-20-refined-times.txt</v>
      </c>
      <c r="AI217" s="108" t="str">
        <f t="shared" si="98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ID","value":"313-20"},{"id":16,"name":"Locomotive ID","value":"4046"},{"id":130,"name":"Impact","value":""},{"id":150,"name":"Time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48"/>
      <c r="AK217" s="48"/>
      <c r="AL217" s="48"/>
      <c r="AM217" s="154" t="str">
        <f t="shared" si="99"/>
        <v>start /low /b %USERPROFILE%\Documents\GitHub\eaglep3\Utilities\DownloadLogsFromS3.py --loco 4046 --day 1969-12-31</v>
      </c>
      <c r="AN217" s="163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"%USERPROFILE%\AppData\Local\Temp\OnboardLogs"\RTDC4046\*4046*19700101* | grep -SE "(Enforcement Action)|(\[TIMEOUT)|(CHR.+\|PRM\|1\|D.+(SWITCH|SIGNAL).+UNKNOWN)" - &gt;&gt; 2017-02-20-UncaughtWiMAX.txt</v>
      </c>
    </row>
    <row r="218" spans="1:40" x14ac:dyDescent="0.25">
      <c r="A218" s="33" t="s">
        <v>692</v>
      </c>
      <c r="B218" s="7">
        <v>4044</v>
      </c>
      <c r="C218" s="21" t="s">
        <v>408</v>
      </c>
      <c r="D218" s="21" t="s">
        <v>227</v>
      </c>
      <c r="E218" s="13">
        <v>42787.027488425927</v>
      </c>
      <c r="F218" s="13">
        <v>25568.708333333332</v>
      </c>
      <c r="G218" s="7">
        <v>1</v>
      </c>
      <c r="H218" s="21" t="s">
        <v>771</v>
      </c>
      <c r="I218" s="13">
        <v>25568.708333333332</v>
      </c>
      <c r="J218" s="7">
        <v>0</v>
      </c>
      <c r="K218" s="98" t="str">
        <f t="shared" si="83"/>
        <v>4043/4044</v>
      </c>
      <c r="L218" s="21" t="str">
        <f>VLOOKUP(A218,'Trips&amp;Operators'!$C$1:$G$99999,5,FALSE)</f>
        <v>CHANDLER KELVIN</v>
      </c>
      <c r="M218" s="6">
        <f t="shared" si="84"/>
        <v>0</v>
      </c>
      <c r="N218" s="7">
        <f t="shared" si="100"/>
        <v>0</v>
      </c>
      <c r="O218" s="7"/>
      <c r="P218" s="7"/>
      <c r="Q218" s="22"/>
      <c r="R218" s="22"/>
      <c r="S218" s="31">
        <f t="shared" si="101"/>
        <v>1</v>
      </c>
      <c r="T218" s="46" t="str">
        <f t="shared" si="86"/>
        <v>NorthBound</v>
      </c>
      <c r="U218" s="186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87" t="str">
        <f t="shared" si="102"/>
        <v>https://d0f6bd738d7f1b3e5a7ca70fe4ff75f0.us-east-1.aws.found.io/app/kibana#/discover/Steve-Slow-Train-Analysis-(2080s-and-2083s)?_g=(refreshInterval:(display:Off,pause:!f,section:0,value:0),time:(from:'2017-02-20T23:39:35-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8" s="188" t="str">
        <f t="shared" si="87"/>
        <v>Y</v>
      </c>
      <c r="X218" s="188">
        <f t="shared" si="105"/>
        <v>2</v>
      </c>
      <c r="Y218" s="62">
        <f t="shared" si="88"/>
        <v>4.5699999999999998E-2</v>
      </c>
      <c r="Z218" s="62">
        <f t="shared" si="89"/>
        <v>2.3298999999999999</v>
      </c>
      <c r="AA218" s="62">
        <f t="shared" si="90"/>
        <v>2.2841999999999998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 t="shared" si="91"/>
        <v>0315-20</v>
      </c>
      <c r="AE218" s="85" t="str">
        <f t="shared" si="103"/>
        <v>aws s3 cp s3://rtdc.mdm.uploadarchive.raw/RTDC4044/ "%USERPROFILE%\AppData\Local\Temp\OnboardLogs"\RTDC4044\1969-12-31 --exclude "*" --recursive --include "*19691231*" &amp; "%USERPROFILE%\Documents\GitHub\mrs-test-scripts\Headless Mode &amp; Sideloading\WalkAndUnGZ.bat" "%USERPROFILE%\AppData\Local\Temp\OnboardLogs"\RTDC4044\1969-12-31 &amp; aws s3 cp s3://rtdc.mdm.uploadarchive.raw/RTDC4044/ "%USERPROFILE%\AppData\Local\Temp\OnboardLogs"\RTDC4044\1970-01-01 --exclude "*" --recursive --include "*19700101*" &amp; "%USERPROFILE%\Documents\GitHub\mrs-test-scripts\Headless Mode &amp; Sideloading\WalkAndUnGZ.bat" "%USERPROFILE%\AppData\Local\Temp\OnboardLogs"\RTDC4044\1970-01-01</v>
      </c>
      <c r="AF218" s="82" t="str">
        <f t="shared" si="104"/>
        <v>"C:\Program Files (x86)\AstroGrep\AstroGrep.exe" /spath="%USERPROFILE%\AppData\Local\Temp\OnboardLogs" /stypes="app*4044*19700101*" /stext=" 00:.+((SYSTEM_STATE.+slice.+state.+changed )|(ment ac)|(multiple cpu faults)|(system.+state.+changed )|(\[timeout)|(PRM\|1\|D)|(kpr)|(kdp)|(\|lc)|(penalty))" /e /r /s</v>
      </c>
      <c r="AG218" s="1" t="str">
        <f t="shared" si="92"/>
        <v>Other</v>
      </c>
      <c r="AH218" s="86" t="str">
        <f t="shared" si="97"/>
        <v>"%USERPROFILE%\Documents\GitHub\eaglep3\Utilities\RefineRTDCRunTimes.py" --tripid 315-20 --locoid 4044 --swversion DE.1.0.9.0 --startMP 204:457 --initTime 2017-02-21T00:39:35 --startdatetime 1969-12-31T17:00:00 --delay 1 --endMP 300:23299 --enddatetime 1969-12-31T17:00:00 --enforcementcount 0 &gt;&gt;C:\Users\stu\Documents\GitHub\eaglep3-reporting\EC\2017-02-20-refined-times.txt</v>
      </c>
      <c r="AI218" s="108" t="str">
        <f t="shared" si="98"/>
        <v>echo {"issue":{"subject":"","project_id":79,"tracker_id":40,"status_id":1,"priority_id":2,"assigned_to_id":23,"start_date":"1969-12-31","description":"","custom_fields":[{"id":1,"name":"Subdivision","value":"Other"},{"id":4,"name":"Milepost","value":"2.3299"},{"id":17,"name":"Train ID","value":"315-20"},{"id":16,"name":"Locomotive ID","value":"4044"},{"id":130,"name":"Impact","value":""},{"id":150,"name":"Time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48"/>
      <c r="AK218" s="48"/>
      <c r="AL218" s="48"/>
      <c r="AM218" s="154" t="str">
        <f t="shared" si="99"/>
        <v>start /low /b %USERPROFILE%\Documents\GitHub\eaglep3\Utilities\DownloadLogsFromS3.py --loco 4044 --day 1969-12-31</v>
      </c>
      <c r="AN218" s="163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"%USERPROFILE%\AppData\Local\Temp\OnboardLogs"\RTDC4044\*4044*19700101* | grep -SE "(Enforcement Action)|(\[TIMEOUT)|(CHR.+\|PRM\|1\|D.+(SWITCH|SIGNAL).+UNKNOWN)" - &gt;&gt; 2017-02-20-UncaughtWiMAX.txt</v>
      </c>
    </row>
    <row r="219" spans="1:40" x14ac:dyDescent="0.25">
      <c r="A219" s="33" t="s">
        <v>507</v>
      </c>
      <c r="B219" s="7">
        <v>4022</v>
      </c>
      <c r="C219" s="21" t="s">
        <v>408</v>
      </c>
      <c r="D219" s="21" t="s">
        <v>854</v>
      </c>
      <c r="E219" s="13">
        <v>42786.201863425929</v>
      </c>
      <c r="F219" s="13">
        <v>42786.205590277779</v>
      </c>
      <c r="G219" s="7">
        <v>4</v>
      </c>
      <c r="H219" s="21" t="s">
        <v>424</v>
      </c>
      <c r="I219" s="13">
        <v>42786.210821759261</v>
      </c>
      <c r="J219" s="7">
        <v>0</v>
      </c>
      <c r="K219" s="98" t="str">
        <f t="shared" si="83"/>
        <v>4021/4022</v>
      </c>
      <c r="L219" s="21" t="str">
        <f>VLOOKUP(A219,'Trips&amp;Operators'!$C$1:$G$99999,5,FALSE)</f>
        <v>SWANSON BRYCE</v>
      </c>
      <c r="M219" s="6">
        <f t="shared" si="84"/>
        <v>5.2314814820419997E-3</v>
      </c>
      <c r="N219" s="7">
        <f t="shared" si="100"/>
        <v>7.5333333341404796</v>
      </c>
      <c r="O219" s="7"/>
      <c r="P219" s="7"/>
      <c r="Q219" s="22"/>
      <c r="R219" s="22"/>
      <c r="S219" s="31">
        <f t="shared" si="101"/>
        <v>0</v>
      </c>
      <c r="T219" s="46" t="str">
        <f t="shared" si="86"/>
        <v>NorthBound</v>
      </c>
      <c r="U219" s="186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87" t="str">
        <f t="shared" si="102"/>
        <v>https://d0f6bd738d7f1b3e5a7ca70fe4ff75f0.us-east-1.aws.found.io/app/kibana#/discover/Steve-Slow-Train-Analysis-(2080s-and-2083s)?_g=(refreshInterval:(display:Off,pause:!f,section:0,value:0),time:(from:'2017-02-20T03:50:41-0700',mode:absolute,to:'2017-02-20T06:03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9" s="188" t="str">
        <f t="shared" si="87"/>
        <v>Y</v>
      </c>
      <c r="X219" s="188">
        <f t="shared" si="105"/>
        <v>586</v>
      </c>
      <c r="Y219" s="62">
        <f t="shared" si="88"/>
        <v>3.0445000000000002</v>
      </c>
      <c r="Z219" s="62">
        <f t="shared" si="89"/>
        <v>5.8933</v>
      </c>
      <c r="AA219" s="62">
        <f t="shared" si="90"/>
        <v>2.8487999999999998</v>
      </c>
      <c r="AB219" s="59" t="e">
        <f>VLOOKUP(A219,Enforcements!$C$7:$K$13,8,0)</f>
        <v>#N/A</v>
      </c>
      <c r="AC219" s="55" t="e">
        <f>VLOOKUP(A219,Enforcements!$C$7:$E$13,3,0)</f>
        <v>#N/A</v>
      </c>
      <c r="AD219" s="56" t="str">
        <f t="shared" si="91"/>
        <v>0901-20</v>
      </c>
      <c r="AE219" s="85" t="str">
        <f t="shared" si="103"/>
        <v>aws s3 cp s3://rtdc.mdm.uploadarchive.raw/RTDC4022/ "%USERPROFILE%\AppData\Local\Temp\OnboardLogs"\RTDC4022\2017-02-20 --exclude "*" --recursive --include "*20170220*" &amp; "%USERPROFILE%\Documents\GitHub\mrs-test-scripts\Headless Mode &amp; Sideloading\WalkAndUnGZ.bat" "%USERPROFILE%\AppData\Local\Temp\OnboardLogs"\RTDC4022\2017-02-20 &amp; aws s3 cp s3://rtdc.mdm.uploadarchive.raw/RTDC4022/ "%USERPROFILE%\AppData\Local\Temp\OnboardLogs"\RTDC4022\2017-02-21 --exclude "*" --recursive --include "*20170221*" &amp; "%USERPROFILE%\Documents\GitHub\mrs-test-scripts\Headless Mode &amp; Sideloading\WalkAndUnGZ.bat" "%USERPROFILE%\AppData\Local\Temp\OnboardLogs"\RTDC4022\2017-02-21</v>
      </c>
      <c r="AF219" s="82" t="str">
        <f t="shared" si="104"/>
        <v>"C:\Program Files (x86)\AstroGrep\AstroGrep.exe" /spath="%USERPROFILE%\AppData\Local\Temp\OnboardLogs" /stypes="app*4022*20170220*" /stext=" 12:.+((SYSTEM_STATE.+slice.+state.+changed )|(ment ac)|(multiple cpu faults)|(system.+state.+changed )|(\[timeout)|(PRM\|1\|D)|(kpr)|(kdp)|(\|lc)|(penalty))" /e /r /s</v>
      </c>
      <c r="AG219" s="1" t="str">
        <f t="shared" si="92"/>
        <v>Other</v>
      </c>
      <c r="AH219" s="86" t="str">
        <f t="shared" si="97"/>
        <v>"%USERPROFILE%\Documents\GitHub\eaglep3\Utilities\RefineRTDCRunTimes.py" --tripid 901-20 --locoid 4022 --swversion DE.1.0.9.0 --startMP 300:30445 --initTime 2017-02-20T04:50:41 --startdatetime 2017-02-20T04:56:03 --delay 4 --endMP 300:58933 --enddatetime 2017-02-20T05:03:35 --enforcementcount 0 &gt;&gt;C:\Users\stu\Documents\GitHub\eaglep3-reporting\EC\2017-02-20-refined-times.txt</v>
      </c>
      <c r="AI219" s="108" t="str">
        <f t="shared" si="98"/>
        <v>echo {"issue":{"subject":"","project_id":79,"tracker_id":40,"status_id":1,"priority_id":2,"assigned_to_id":23,"start_date":"2017-02-20","description":"","custom_fields":[{"id":1,"name":"Subdivision","value":"Other"},{"id":4,"name":"Milepost","value":"5.8933"},{"id":17,"name":"Train ID","value":"901-20"},{"id":16,"name":"Locomotive ID","value":"4022"},{"id":130,"name":"Impact","value":""},{"id":150,"name":"Time of Event (Mountain Time)","value":"05:03:35"},{"id":151,"name":"Denver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48"/>
      <c r="AK219" s="48"/>
      <c r="AL219" s="48"/>
      <c r="AM219" s="154" t="str">
        <f t="shared" si="99"/>
        <v>start /low /b %USERPROFILE%\Documents\GitHub\eaglep3\Utilities\DownloadLogsFromS3.py --loco 4022 --day 2017-02-20</v>
      </c>
      <c r="AN219" s="163" t="str">
        <f>"grep -SE -B400 ""CHR.+\|PRM\|1\|D.+(SWITCH|SIGNAL).+UNKNOWN"" "&amp;search_path&amp;"\RTDC"&amp;B219&amp;"\*"&amp;B219&amp;"*"&amp;TEXT(AVERAGE(F219,I219)-utc_offset/24,"YYYYMMDD")&amp;"*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"%USERPROFILE%\AppData\Local\Temp\OnboardLogs"\RTDC4022\*4022*20170220* | grep -SE "(Enforcement Action)|(\[TIMEOUT)|(CHR.+\|PRM\|1\|D.+(SWITCH|SIGNAL).+UNKNOWN)" - &gt;&gt; 2017-02-20-UncaughtWiMAX.txt</v>
      </c>
    </row>
    <row r="220" spans="1:40" x14ac:dyDescent="0.25">
      <c r="A220" s="33" t="s">
        <v>543</v>
      </c>
      <c r="B220" s="7">
        <v>4022</v>
      </c>
      <c r="C220" s="21" t="s">
        <v>408</v>
      </c>
      <c r="D220" s="21" t="s">
        <v>819</v>
      </c>
      <c r="E220" s="13">
        <v>42786.35260416667</v>
      </c>
      <c r="F220" s="13">
        <v>42786.354247685187</v>
      </c>
      <c r="G220" s="7">
        <v>1</v>
      </c>
      <c r="H220" s="21" t="s">
        <v>855</v>
      </c>
      <c r="I220" s="13">
        <v>42786.359236111108</v>
      </c>
      <c r="J220" s="7">
        <v>0</v>
      </c>
      <c r="K220" s="98" t="str">
        <f t="shared" si="83"/>
        <v>4021/4022</v>
      </c>
      <c r="L220" s="21" t="str">
        <f>VLOOKUP(A220,'Trips&amp;Operators'!$C$1:$G$99999,5,FALSE)</f>
        <v>SWANSON BRYCE</v>
      </c>
      <c r="M220" s="6">
        <f t="shared" si="84"/>
        <v>4.9884259206010029E-3</v>
      </c>
      <c r="N220" s="7">
        <f t="shared" si="100"/>
        <v>7.1833333256654441</v>
      </c>
      <c r="O220" s="7"/>
      <c r="P220" s="7"/>
      <c r="Q220" s="22"/>
      <c r="R220" s="22"/>
      <c r="S220" s="31">
        <f t="shared" si="101"/>
        <v>1</v>
      </c>
      <c r="T220" s="46" t="str">
        <f t="shared" si="86"/>
        <v>NorthBound</v>
      </c>
      <c r="U220" s="186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87" t="str">
        <f t="shared" si="102"/>
        <v>https://d0f6bd738d7f1b3e5a7ca70fe4ff75f0.us-east-1.aws.found.io/app/kibana#/discover/Steve-Slow-Train-Analysis-(2080s-and-2083s)?_g=(refreshInterval:(display:Off,pause:!f,section:0,value:0),time:(from:'2017-02-20T07:27:45-0700',mode:absolute,to:'2017-02-20T09:37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20" s="188" t="str">
        <f t="shared" si="87"/>
        <v>Y</v>
      </c>
      <c r="X220" s="188">
        <f t="shared" si="105"/>
        <v>2</v>
      </c>
      <c r="Y220" s="62">
        <f t="shared" si="88"/>
        <v>9.74E-2</v>
      </c>
      <c r="Z220" s="62">
        <f t="shared" si="89"/>
        <v>2.4235000000000002</v>
      </c>
      <c r="AA220" s="62">
        <f t="shared" si="90"/>
        <v>2.3261000000000003</v>
      </c>
      <c r="AB220" s="59" t="e">
        <f>VLOOKUP(A220,Enforcements!$C$7:$K$13,8,0)</f>
        <v>#N/A</v>
      </c>
      <c r="AC220" s="55" t="e">
        <f>VLOOKUP(A220,Enforcements!$C$7:$E$13,3,0)</f>
        <v>#N/A</v>
      </c>
      <c r="AD220" s="56" t="str">
        <f t="shared" si="91"/>
        <v>0903-20</v>
      </c>
      <c r="AE220" s="85" t="str">
        <f t="shared" si="103"/>
        <v>aws s3 cp s3://rtdc.mdm.uploadarchive.raw/RTDC4022/ "%USERPROFILE%\AppData\Local\Temp\OnboardLogs"\RTDC4022\2017-02-20 --exclude "*" --recursive --include "*20170220*" &amp; "%USERPROFILE%\Documents\GitHub\mrs-test-scripts\Headless Mode &amp; Sideloading\WalkAndUnGZ.bat" "%USERPROFILE%\AppData\Local\Temp\OnboardLogs"\RTDC4022\2017-02-20 &amp; aws s3 cp s3://rtdc.mdm.uploadarchive.raw/RTDC4022/ "%USERPROFILE%\AppData\Local\Temp\OnboardLogs"\RTDC4022\2017-02-21 --exclude "*" --recursive --include "*20170221*" &amp; "%USERPROFILE%\Documents\GitHub\mrs-test-scripts\Headless Mode &amp; Sideloading\WalkAndUnGZ.bat" "%USERPROFILE%\AppData\Local\Temp\OnboardLogs"\RTDC4022\2017-02-21</v>
      </c>
      <c r="AF220" s="82" t="str">
        <f t="shared" si="104"/>
        <v>"C:\Program Files (x86)\AstroGrep\AstroGrep.exe" /spath="%USERPROFILE%\AppData\Local\Temp\OnboardLogs" /stypes="app*4022*20170220*" /stext=" 15:.+((SYSTEM_STATE.+slice.+state.+changed )|(ment ac)|(multiple cpu faults)|(system.+state.+changed )|(\[timeout)|(PRM\|1\|D)|(kpr)|(kdp)|(\|lc)|(penalty))" /e /r /s</v>
      </c>
      <c r="AG220" s="1" t="str">
        <f t="shared" si="92"/>
        <v>Other</v>
      </c>
      <c r="AH220" s="86" t="str">
        <f t="shared" si="97"/>
        <v>"%USERPROFILE%\Documents\GitHub\eaglep3\Utilities\RefineRTDCRunTimes.py" --tripid 903-20 --locoid 4022 --swversion DE.1.0.9.0 --startMP 204:974 --initTime 2017-02-20T08:27:45 --startdatetime 2017-02-20T08:30:07 --delay 1 --endMP 300:24235 --enddatetime 2017-02-20T08:37:18 --enforcementcount 0 &gt;&gt;C:\Users\stu\Documents\GitHub\eaglep3-reporting\EC\2017-02-20-refined-times.txt</v>
      </c>
      <c r="AI220" s="108" t="str">
        <f t="shared" si="98"/>
        <v>echo {"issue":{"subject":"","project_id":79,"tracker_id":40,"status_id":1,"priority_id":2,"assigned_to_id":23,"start_date":"2017-02-20","description":"","custom_fields":[{"id":1,"name":"Subdivision","value":"Other"},{"id":4,"name":"Milepost","value":"2.4235"},{"id":17,"name":"Train ID","value":"903-20"},{"id":16,"name":"Locomotive ID","value":"4022"},{"id":130,"name":"Impact","value":""},{"id":150,"name":"Time of Event (Mountain Time)","value":"08:37:18"},{"id":151,"name":"Denver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48"/>
      <c r="AK220" s="48"/>
      <c r="AL220" s="48"/>
      <c r="AM220" s="154" t="str">
        <f t="shared" si="99"/>
        <v>start /low /b %USERPROFILE%\Documents\GitHub\eaglep3\Utilities\DownloadLogsFromS3.py --loco 4022 --day 2017-02-20</v>
      </c>
      <c r="AN220" s="163" t="str">
        <f>"grep -SE -B400 ""CHR.+\|PRM\|1\|D.+(SWITCH|SIGNAL).+UNKNOWN"" "&amp;search_path&amp;"\RTDC"&amp;B220&amp;"\*"&amp;B220&amp;"*"&amp;TEXT(AVERAGE(F220,I220)-utc_offset/24,"YYYYMMDD")&amp;"*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"%USERPROFILE%\AppData\Local\Temp\OnboardLogs"\RTDC4022\*4022*20170220* | grep -SE "(Enforcement Action)|(\[TIMEOUT)|(CHR.+\|PRM\|1\|D.+(SWITCH|SIGNAL).+UNKNOWN)" - &gt;&gt; 2017-02-20-UncaughtWiMAX.txt</v>
      </c>
    </row>
    <row r="221" spans="1:40" x14ac:dyDescent="0.25">
      <c r="A221" s="33" t="s">
        <v>479</v>
      </c>
      <c r="B221" s="7">
        <v>4021</v>
      </c>
      <c r="C221" s="21" t="s">
        <v>408</v>
      </c>
      <c r="D221" s="21" t="s">
        <v>373</v>
      </c>
      <c r="E221" s="13">
        <v>42786.637291666666</v>
      </c>
      <c r="F221" s="13">
        <v>42786.638726851852</v>
      </c>
      <c r="G221" s="7">
        <v>1</v>
      </c>
      <c r="H221" s="21" t="s">
        <v>856</v>
      </c>
      <c r="I221" s="13">
        <v>42786.644826388889</v>
      </c>
      <c r="J221" s="7">
        <v>0</v>
      </c>
      <c r="K221" s="98" t="str">
        <f t="shared" si="83"/>
        <v>4021/4022</v>
      </c>
      <c r="L221" s="21" t="str">
        <f>VLOOKUP(A221,'Trips&amp;Operators'!$C$1:$G$99999,5,FALSE)</f>
        <v>MACDONALD THOMAS</v>
      </c>
      <c r="M221" s="6">
        <f t="shared" si="84"/>
        <v>6.0995370367891155E-3</v>
      </c>
      <c r="N221" s="7">
        <f t="shared" si="100"/>
        <v>8.7833333329763263</v>
      </c>
      <c r="O221" s="7"/>
      <c r="P221" s="7"/>
      <c r="Q221" s="22"/>
      <c r="R221" s="22"/>
      <c r="S221" s="31">
        <f t="shared" si="101"/>
        <v>1</v>
      </c>
      <c r="T221" s="46" t="str">
        <f t="shared" si="86"/>
        <v>Southbound</v>
      </c>
      <c r="U221" s="186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87" t="str">
        <f t="shared" si="102"/>
        <v>https://d0f6bd738d7f1b3e5a7ca70fe4ff75f0.us-east-1.aws.found.io/app/kibana#/discover/Steve-Slow-Train-Analysis-(2080s-and-2083s)?_g=(refreshInterval:(display:Off,pause:!f,section:0,value:0),time:(from:'2017-02-20T14:17:42-0700',mode:absolute,to:'2017-02-20T16:28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21" s="188" t="str">
        <f t="shared" si="87"/>
        <v>Y</v>
      </c>
      <c r="X221" s="188">
        <f t="shared" si="105"/>
        <v>1</v>
      </c>
      <c r="Y221" s="62">
        <f t="shared" si="88"/>
        <v>2.3155999999999999</v>
      </c>
      <c r="Z221" s="62">
        <f t="shared" si="89"/>
        <v>7.4300000000000005E-2</v>
      </c>
      <c r="AA221" s="62">
        <f t="shared" si="90"/>
        <v>2.2412999999999998</v>
      </c>
      <c r="AB221" s="59" t="e">
        <f>VLOOKUP(A221,Enforcements!$C$7:$K$13,8,0)</f>
        <v>#N/A</v>
      </c>
      <c r="AC221" s="55" t="e">
        <f>VLOOKUP(A221,Enforcements!$C$7:$E$13,3,0)</f>
        <v>#N/A</v>
      </c>
      <c r="AD221" s="56" t="str">
        <f t="shared" si="91"/>
        <v>0904-20</v>
      </c>
      <c r="AE221" s="85" t="str">
        <f t="shared" si="103"/>
        <v>aws s3 cp s3://rtdc.mdm.uploadarchive.raw/RTDC4021/ "%USERPROFILE%\AppData\Local\Temp\OnboardLogs"\RTDC4021\2017-02-20 --exclude "*" --recursive --include "*20170220*" &amp; "%USERPROFILE%\Documents\GitHub\mrs-test-scripts\Headless Mode &amp; Sideloading\WalkAndUnGZ.bat" "%USERPROFILE%\AppData\Local\Temp\OnboardLogs"\RTDC4021\2017-02-20 &amp; aws s3 cp s3://rtdc.mdm.uploadarchive.raw/RTDC4021/ "%USERPROFILE%\AppData\Local\Temp\OnboardLogs"\RTDC4021\2017-02-21 --exclude "*" --recursive --include "*20170221*" &amp; "%USERPROFILE%\Documents\GitHub\mrs-test-scripts\Headless Mode &amp; Sideloading\WalkAndUnGZ.bat" "%USERPROFILE%\AppData\Local\Temp\OnboardLogs"\RTDC4021\2017-02-21</v>
      </c>
      <c r="AF221" s="82" t="str">
        <f t="shared" si="104"/>
        <v>"C:\Program Files (x86)\AstroGrep\AstroGrep.exe" /spath="%USERPROFILE%\AppData\Local\Temp\OnboardLogs" /stypes="app*4021*20170220*" /stext=" 22:.+((SYSTEM_STATE.+slice.+state.+changed )|(ment ac)|(multiple cpu faults)|(system.+state.+changed )|(\[timeout)|(PRM\|1\|D)|(kpr)|(kdp)|(\|lc)|(penalty))" /e /r /s</v>
      </c>
      <c r="AG221" s="1" t="str">
        <f t="shared" si="92"/>
        <v>Other</v>
      </c>
      <c r="AH221" s="86" t="str">
        <f t="shared" si="97"/>
        <v>"%USERPROFILE%\Documents\GitHub\eaglep3\Utilities\RefineRTDCRunTimes.py" --tripid 904-20 --locoid 4021 --swversion DE.1.0.9.0 --startMP 300:23156 --initTime 2017-02-20T15:17:42 --startdatetime 2017-02-20T15:19:46 --delay 1 --endMP 204:743 --enddatetime 2017-02-20T15:28:33 --enforcementcount 0 &gt;&gt;C:\Users\stu\Documents\GitHub\eaglep3-reporting\EC\2017-02-20-refined-times.txt</v>
      </c>
      <c r="AI221" s="108" t="str">
        <f t="shared" si="98"/>
        <v>echo {"issue":{"subject":"","project_id":79,"tracker_id":40,"status_id":1,"priority_id":2,"assigned_to_id":23,"start_date":"2017-02-20","description":"","custom_fields":[{"id":1,"name":"Subdivision","value":"Other"},{"id":4,"name":"Milepost","value":"0.0743"},{"id":17,"name":"Train ID","value":"904-20"},{"id":16,"name":"Locomotive ID","value":"4021"},{"id":130,"name":"Impact","value":""},{"id":150,"name":"Time of Event (Mountain Time)","value":"15:28:33"},{"id":151,"name":"Denver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48"/>
      <c r="AK221" s="48"/>
      <c r="AL221" s="48"/>
      <c r="AM221" s="154" t="str">
        <f t="shared" si="99"/>
        <v>start /low /b %USERPROFILE%\Documents\GitHub\eaglep3\Utilities\DownloadLogsFromS3.py --loco 4021 --day 2017-02-20</v>
      </c>
      <c r="AN221" s="163" t="str">
        <f>"grep -SE -B400 ""CHR.+\|PRM\|1\|D.+(SWITCH|SIGNAL).+UNKNOWN"" "&amp;search_path&amp;"\RTDC"&amp;B221&amp;"\*"&amp;B221&amp;"*"&amp;TEXT(AVERAGE(F221,I221)-utc_offset/24,"YYYYMMDD")&amp;"*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"%USERPROFILE%\AppData\Local\Temp\OnboardLogs"\RTDC4021\*4021*20170220* | grep -SE "(Enforcement Action)|(\[TIMEOUT)|(CHR.+\|PRM\|1\|D.+(SWITCH|SIGNAL).+UNKNOWN)" - &gt;&gt; 2017-02-20-UncaughtWiMAX.txt</v>
      </c>
    </row>
    <row r="222" spans="1:40" x14ac:dyDescent="0.25">
      <c r="A222" s="33" t="s">
        <v>659</v>
      </c>
      <c r="B222" s="7">
        <v>4021</v>
      </c>
      <c r="C222" s="21" t="s">
        <v>408</v>
      </c>
      <c r="D222" s="21" t="s">
        <v>375</v>
      </c>
      <c r="E222" s="13">
        <v>42786.797500000001</v>
      </c>
      <c r="F222" s="13">
        <v>25568.708333333332</v>
      </c>
      <c r="G222" s="7">
        <v>1</v>
      </c>
      <c r="H222" s="21" t="s">
        <v>857</v>
      </c>
      <c r="I222" s="13">
        <v>25568.708333333332</v>
      </c>
      <c r="J222" s="7">
        <v>0</v>
      </c>
      <c r="K222" s="98" t="str">
        <f t="shared" si="83"/>
        <v>4021/4022</v>
      </c>
      <c r="L222" s="21" t="str">
        <f>VLOOKUP(A222,'Trips&amp;Operators'!$C$1:$G$99999,5,FALSE)</f>
        <v>MACDONALD THOMAS</v>
      </c>
      <c r="M222" s="6">
        <f t="shared" si="84"/>
        <v>0</v>
      </c>
      <c r="N222" s="7">
        <f t="shared" si="100"/>
        <v>0</v>
      </c>
      <c r="O222" s="7"/>
      <c r="P222" s="7"/>
      <c r="Q222" s="22"/>
      <c r="R222" s="22"/>
      <c r="S222" s="31">
        <f t="shared" si="101"/>
        <v>0</v>
      </c>
      <c r="T222" s="46" t="str">
        <f t="shared" si="86"/>
        <v>Southbound</v>
      </c>
      <c r="U222" s="186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87" t="str">
        <f t="shared" si="102"/>
        <v>https://d0f6bd738d7f1b3e5a7ca70fe4ff75f0.us-east-1.aws.found.io/app/kibana#/discover/Steve-Slow-Train-Analysis-(2080s-and-2083s)?_g=(refreshInterval:(display:Off,pause:!f,section:0,value:0),time:(from:'2017-02-20T18:08:24-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22" s="188" t="str">
        <f t="shared" si="87"/>
        <v>Y</v>
      </c>
      <c r="X222" s="188">
        <f t="shared" si="105"/>
        <v>2</v>
      </c>
      <c r="Y222" s="62">
        <f t="shared" si="88"/>
        <v>5.8619000000000003</v>
      </c>
      <c r="Z222" s="62">
        <f t="shared" si="89"/>
        <v>2.8761000000000001</v>
      </c>
      <c r="AA222" s="62">
        <f t="shared" si="90"/>
        <v>2.9858000000000002</v>
      </c>
      <c r="AB222" s="59" t="e">
        <f>VLOOKUP(A222,Enforcements!$C$7:$K$13,8,0)</f>
        <v>#N/A</v>
      </c>
      <c r="AC222" s="55" t="e">
        <f>VLOOKUP(A222,Enforcements!$C$7:$E$13,3,0)</f>
        <v>#N/A</v>
      </c>
      <c r="AD222" s="56" t="str">
        <f t="shared" si="91"/>
        <v>0906-20</v>
      </c>
      <c r="AE222" s="85" t="str">
        <f t="shared" si="103"/>
        <v>aws s3 cp s3://rtdc.mdm.uploadarchive.raw/RTDC4021/ "%USERPROFILE%\AppData\Local\Temp\OnboardLogs"\RTDC4021\1969-12-31 --exclude "*" --recursive --include "*19691231*" &amp; "%USERPROFILE%\Documents\GitHub\mrs-test-scripts\Headless Mode &amp; Sideloading\WalkAndUnGZ.bat" "%USERPROFILE%\AppData\Local\Temp\OnboardLogs"\RTDC4021\1969-12-31 &amp; aws s3 cp s3://rtdc.mdm.uploadarchive.raw/RTDC4021/ "%USERPROFILE%\AppData\Local\Temp\OnboardLogs"\RTDC4021\1970-01-01 --exclude "*" --recursive --include "*19700101*" &amp; "%USERPROFILE%\Documents\GitHub\mrs-test-scripts\Headless Mode &amp; Sideloading\WalkAndUnGZ.bat" "%USERPROFILE%\AppData\Local\Temp\OnboardLogs"\RTDC4021\1970-01-01</v>
      </c>
      <c r="AF222" s="82" t="str">
        <f t="shared" si="104"/>
        <v>"C:\Program Files (x86)\AstroGrep\AstroGrep.exe" /spath="%USERPROFILE%\AppData\Local\Temp\OnboardLogs" /stypes="app*4021*19700101*" /stext=" 00:.+((SYSTEM_STATE.+slice.+state.+changed )|(ment ac)|(multiple cpu faults)|(system.+state.+changed )|(\[timeout)|(PRM\|1\|D)|(kpr)|(kdp)|(\|lc)|(penalty))" /e /r /s</v>
      </c>
      <c r="AG222" s="1" t="str">
        <f t="shared" si="92"/>
        <v>Other</v>
      </c>
      <c r="AH222" s="86" t="str">
        <f t="shared" si="97"/>
        <v>"%USERPROFILE%\Documents\GitHub\eaglep3\Utilities\RefineRTDCRunTimes.py" --tripid 906-20 --locoid 4021 --swversion DE.1.0.9.0 --startMP 300:58619 --initTime 2017-02-20T19:08:24 --startdatetime 1969-12-31T17:00:00 --delay 1 --endMP 300:28761 --enddatetime 1969-12-31T17:00:00 --enforcementcount 0 &gt;&gt;C:\Users\stu\Documents\GitHub\eaglep3-reporting\EC\2017-02-20-refined-times.txt</v>
      </c>
      <c r="AI222" s="108" t="str">
        <f t="shared" si="98"/>
        <v>echo {"issue":{"subject":"","project_id":79,"tracker_id":40,"status_id":1,"priority_id":2,"assigned_to_id":23,"start_date":"1969-12-31","description":"","custom_fields":[{"id":1,"name":"Subdivision","value":"Other"},{"id":4,"name":"Milepost","value":"2.8761"},{"id":17,"name":"Train ID","value":"906-20"},{"id":16,"name":"Locomotive ID","value":"4021"},{"id":130,"name":"Impact","value":""},{"id":150,"name":"Time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48"/>
      <c r="AK222" s="48"/>
      <c r="AL222" s="48"/>
      <c r="AM222" s="154" t="str">
        <f t="shared" si="99"/>
        <v>start /low /b %USERPROFILE%\Documents\GitHub\eaglep3\Utilities\DownloadLogsFromS3.py --loco 4021 --day 1969-12-31</v>
      </c>
      <c r="AN222" s="163" t="str">
        <f>"grep -SE -B400 ""CHR.+\|PRM\|1\|D.+(SWITCH|SIGNAL).+UNKNOWN"" "&amp;search_path&amp;"\RTDC"&amp;B222&amp;"\*"&amp;B222&amp;"*"&amp;TEXT(AVERAGE(F222,I222)-utc_offset/24,"YYYYMMDD")&amp;"*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"%USERPROFILE%\AppData\Local\Temp\OnboardLogs"\RTDC4021\*4021*19700101* | grep -SE "(Enforcement Action)|(\[TIMEOUT)|(CHR.+\|PRM\|1\|D.+(SWITCH|SIGNAL).+UNKNOWN)" - &gt;&gt; 2017-02-20-UncaughtWiMAX.txt</v>
      </c>
    </row>
    <row r="223" spans="1:40" x14ac:dyDescent="0.25">
      <c r="A223" s="33" t="s">
        <v>683</v>
      </c>
      <c r="B223" s="7">
        <v>4012</v>
      </c>
      <c r="C223" s="21" t="s">
        <v>408</v>
      </c>
      <c r="D223" s="21" t="s">
        <v>422</v>
      </c>
      <c r="E223" s="13">
        <v>42786.942106481481</v>
      </c>
      <c r="F223" s="13">
        <v>42786.943252314813</v>
      </c>
      <c r="G223" s="7">
        <v>1</v>
      </c>
      <c r="H223" s="21" t="s">
        <v>858</v>
      </c>
      <c r="I223" s="13">
        <v>42786.947928240741</v>
      </c>
      <c r="J223" s="7">
        <v>0</v>
      </c>
      <c r="K223" s="98" t="str">
        <f t="shared" si="83"/>
        <v>4011/4012</v>
      </c>
      <c r="L223" s="21" t="str">
        <f>VLOOKUP(A223,'Trips&amp;Operators'!$C$1:$G$99999,5,FALSE)</f>
        <v>MACDONALD THOMAS</v>
      </c>
      <c r="M223" s="6">
        <f t="shared" si="84"/>
        <v>4.6759259275859222E-3</v>
      </c>
      <c r="N223" s="7">
        <f t="shared" si="100"/>
        <v>6.7333333357237279</v>
      </c>
      <c r="O223" s="7"/>
      <c r="P223" s="7"/>
      <c r="Q223" s="22"/>
      <c r="R223" s="22"/>
      <c r="S223" s="31">
        <f t="shared" si="101"/>
        <v>0</v>
      </c>
      <c r="T223" s="46" t="str">
        <f t="shared" si="86"/>
        <v>Southbound</v>
      </c>
      <c r="U223" s="186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87" t="str">
        <f t="shared" si="102"/>
        <v>https://d0f6bd738d7f1b3e5a7ca70fe4ff75f0.us-east-1.aws.found.io/app/kibana#/discover/Steve-Slow-Train-Analysis-(2080s-and-2083s)?_g=(refreshInterval:(display:Off,pause:!f,section:0,value:0),time:(from:'2017-02-20T21:36:38-0700',mode:absolute,to:'2017-02-20T23:45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23" s="188" t="str">
        <f t="shared" si="87"/>
        <v>Y</v>
      </c>
      <c r="X223" s="188">
        <f t="shared" si="105"/>
        <v>2</v>
      </c>
      <c r="Y223" s="62">
        <f t="shared" si="88"/>
        <v>5.8630000000000004</v>
      </c>
      <c r="Z223" s="62">
        <f t="shared" si="89"/>
        <v>2.1625000000000001</v>
      </c>
      <c r="AA223" s="62">
        <f t="shared" si="90"/>
        <v>3.7005000000000003</v>
      </c>
      <c r="AB223" s="59" t="e">
        <f>VLOOKUP(A223,Enforcements!$C$7:$K$13,8,0)</f>
        <v>#N/A</v>
      </c>
      <c r="AC223" s="55" t="e">
        <f>VLOOKUP(A223,Enforcements!$C$7:$E$13,3,0)</f>
        <v>#N/A</v>
      </c>
      <c r="AD223" s="56" t="str">
        <f t="shared" si="91"/>
        <v>0908-20</v>
      </c>
      <c r="AE223" s="85" t="str">
        <f t="shared" si="103"/>
        <v>aws s3 cp s3://rtdc.mdm.uploadarchive.raw/RTDC4012/ "%USERPROFILE%\AppData\Local\Temp\OnboardLogs"\RTDC4012\2017-02-20 --exclude "*" --recursive --include "*20170220*" &amp; "%USERPROFILE%\Documents\GitHub\mrs-test-scripts\Headless Mode &amp; Sideloading\WalkAndUnGZ.bat" "%USERPROFILE%\AppData\Local\Temp\OnboardLogs"\RTDC4012\2017-02-20 &amp; aws s3 cp s3://rtdc.mdm.uploadarchive.raw/RTDC4012/ "%USERPROFILE%\AppData\Local\Temp\OnboardLogs"\RTDC4012\2017-02-21 --exclude "*" --recursive --include "*20170221*" &amp; "%USERPROFILE%\Documents\GitHub\mrs-test-scripts\Headless Mode &amp; Sideloading\WalkAndUnGZ.bat" "%USERPROFILE%\AppData\Local\Temp\OnboardLogs"\RTDC4012\2017-02-21</v>
      </c>
      <c r="AF223" s="82" t="str">
        <f t="shared" si="104"/>
        <v>"C:\Program Files (x86)\AstroGrep\AstroGrep.exe" /spath="%USERPROFILE%\AppData\Local\Temp\OnboardLogs" /stypes="app*4012*20170221*" /stext=" 05:.+((SYSTEM_STATE.+slice.+state.+changed )|(ment ac)|(multiple cpu faults)|(system.+state.+changed )|(\[timeout)|(PRM\|1\|D)|(kpr)|(kdp)|(\|lc)|(penalty))" /e /r /s</v>
      </c>
      <c r="AG223" s="1" t="str">
        <f t="shared" si="92"/>
        <v>Other</v>
      </c>
      <c r="AH223" s="86" t="str">
        <f t="shared" si="97"/>
        <v>"%USERPROFILE%\Documents\GitHub\eaglep3\Utilities\RefineRTDCRunTimes.py" --tripid 908-20 --locoid 4012 --swversion DE.1.0.9.0 --startMP 300:58630 --initTime 2017-02-20T22:36:38 --startdatetime 2017-02-20T22:38:17 --delay 1 --endMP 300:21625 --enddatetime 2017-02-20T22:45:01 --enforcementcount 0 &gt;&gt;C:\Users\stu\Documents\GitHub\eaglep3-reporting\EC\2017-02-20-refined-times.txt</v>
      </c>
      <c r="AI223" s="108" t="str">
        <f t="shared" si="98"/>
        <v>echo {"issue":{"subject":"","project_id":79,"tracker_id":40,"status_id":1,"priority_id":2,"assigned_to_id":23,"start_date":"2017-02-20","description":"","custom_fields":[{"id":1,"name":"Subdivision","value":"Other"},{"id":4,"name":"Milepost","value":"2.1625"},{"id":17,"name":"Train ID","value":"908-20"},{"id":16,"name":"Locomotive ID","value":"4012"},{"id":130,"name":"Impact","value":""},{"id":150,"name":"Time of Event (Mountain Time)","value":"22:45:01"},{"id":151,"name":"Denver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48"/>
      <c r="AK223" s="48"/>
      <c r="AL223" s="48"/>
      <c r="AM223" s="154" t="str">
        <f t="shared" si="99"/>
        <v>start /low /b %USERPROFILE%\Documents\GitHub\eaglep3\Utilities\DownloadLogsFromS3.py --loco 4012 --day 2017-02-20</v>
      </c>
      <c r="AN223" s="163" t="str">
        <f>"grep -SE -B400 ""CHR.+\|PRM\|1\|D.+(SWITCH|SIGNAL).+UNKNOWN"" "&amp;search_path&amp;"\RTDC"&amp;B223&amp;"\*"&amp;B223&amp;"*"&amp;TEXT(AVERAGE(F223,I223)-utc_offset/24,"YYYYMMDD")&amp;"*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"%USERPROFILE%\AppData\Local\Temp\OnboardLogs"\RTDC4012\*4012*20170221* | grep -SE "(Enforcement Action)|(\[TIMEOUT)|(CHR.+\|PRM\|1\|D.+(SWITCH|SIGNAL).+UNKNOWN)" - &gt;&gt; 2017-02-20-UncaughtWiMAX.txt</v>
      </c>
    </row>
    <row r="224" spans="1:40" x14ac:dyDescent="0.25">
      <c r="A224" s="33" t="s">
        <v>647</v>
      </c>
      <c r="B224" s="7">
        <v>4013</v>
      </c>
      <c r="C224" s="21" t="s">
        <v>408</v>
      </c>
      <c r="D224" s="21" t="s">
        <v>776</v>
      </c>
      <c r="E224" s="13">
        <v>42786.755150462966</v>
      </c>
      <c r="F224" s="13">
        <v>42786.756793981483</v>
      </c>
      <c r="G224" s="7">
        <v>1</v>
      </c>
      <c r="H224" s="21" t="s">
        <v>777</v>
      </c>
      <c r="I224" s="13">
        <v>42786.764606481483</v>
      </c>
      <c r="J224" s="7">
        <v>0</v>
      </c>
      <c r="K224" s="98" t="str">
        <f t="shared" si="83"/>
        <v>4013/4014</v>
      </c>
      <c r="L224" s="21" t="str">
        <f>VLOOKUP(A224,'Trips&amp;Operators'!$C$1:$G$99999,5,FALSE)</f>
        <v>DUNCAN SHEILA</v>
      </c>
      <c r="M224" s="6">
        <f t="shared" si="84"/>
        <v>7.8125E-3</v>
      </c>
      <c r="N224" s="7">
        <f t="shared" si="100"/>
        <v>11.25</v>
      </c>
      <c r="O224" s="7"/>
      <c r="P224" s="7"/>
      <c r="Q224" s="22"/>
      <c r="R224" s="22"/>
      <c r="S224" s="31">
        <f t="shared" si="101"/>
        <v>0</v>
      </c>
      <c r="T224" s="46" t="e">
        <f t="shared" si="86"/>
        <v>#VALUE!</v>
      </c>
      <c r="U224" s="186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87" t="str">
        <f t="shared" si="102"/>
        <v>https://d0f6bd738d7f1b3e5a7ca70fe4ff75f0.us-east-1.aws.found.io/app/kibana#/discover/Steve-Slow-Train-Analysis-(2080s-and-2083s)?_g=(refreshInterval:(display:Off,pause:!f,section:0,value:0),time:(from:'2017-02-20T17:07:25-0700',mode:absolute,to:'2017-02-20T19:21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24" s="188" t="str">
        <f t="shared" si="87"/>
        <v>Y</v>
      </c>
      <c r="X224" s="188" t="e">
        <f t="shared" si="105"/>
        <v>#VALUE!</v>
      </c>
      <c r="Y224" s="62">
        <f t="shared" si="88"/>
        <v>2.1764999999999999</v>
      </c>
      <c r="Z224" s="62">
        <f t="shared" si="89"/>
        <v>0.15840000000000001</v>
      </c>
      <c r="AA224" s="62">
        <f t="shared" si="90"/>
        <v>2.0181</v>
      </c>
      <c r="AB224" s="59" t="e">
        <f>VLOOKUP(A224,Enforcements!$C$7:$K$13,8,0)</f>
        <v>#N/A</v>
      </c>
      <c r="AC224" s="55" t="e">
        <f>VLOOKUP(A224,Enforcements!$C$7:$E$13,3,0)</f>
        <v>#N/A</v>
      </c>
      <c r="AD224" s="56" t="str">
        <f t="shared" si="91"/>
        <v>50-20</v>
      </c>
      <c r="AE224" s="85" t="str">
        <f t="shared" si="103"/>
        <v>aws s3 cp s3://rtdc.mdm.uploadarchive.raw/RTDC4013/ "%USERPROFILE%\AppData\Local\Temp\OnboardLogs"\RTDC4013\2017-02-20 --exclude "*" --recursive --include "*20170220*" &amp; "%USERPROFILE%\Documents\GitHub\mrs-test-scripts\Headless Mode &amp; Sideloading\WalkAndUnGZ.bat" "%USERPROFILE%\AppData\Local\Temp\OnboardLogs"\RTDC4013\2017-02-20 &amp; aws s3 cp s3://rtdc.mdm.uploadarchive.raw/RTDC4013/ "%USERPROFILE%\AppData\Local\Temp\OnboardLogs"\RTDC4013\2017-02-21 --exclude "*" --recursive --include "*20170221*" &amp; "%USERPROFILE%\Documents\GitHub\mrs-test-scripts\Headless Mode &amp; Sideloading\WalkAndUnGZ.bat" "%USERPROFILE%\AppData\Local\Temp\OnboardLogs"\RTDC4013\2017-02-21</v>
      </c>
      <c r="AF224" s="82" t="str">
        <f t="shared" si="104"/>
        <v>"C:\Program Files (x86)\AstroGrep\AstroGrep.exe" /spath="%USERPROFILE%\AppData\Local\Temp\OnboardLogs" /stypes="app*4013*20170221*" /stext=" 01:.+((SYSTEM_STATE.+slice.+state.+changed )|(ment ac)|(multiple cpu faults)|(system.+state.+changed )|(\[timeout)|(PRM\|1\|D)|(kpr)|(kdp)|(\|lc)|(penalty))" /e /r /s</v>
      </c>
      <c r="AG224" s="1" t="str">
        <f t="shared" si="92"/>
        <v>Other</v>
      </c>
      <c r="AH224" s="86" t="str">
        <f t="shared" si="97"/>
        <v>"%USERPROFILE%\Documents\GitHub\eaglep3\Utilities\RefineRTDCRunTimes.py" --tripid 50-20 --locoid 4013 --swversion DE.1.0.9.0 --startMP 300:21765 --initTime 2017-02-20T18:07:25 --startdatetime 2017-02-20T18:09:47 --delay 1 --endMP 204:1584 --enddatetime 2017-02-20T18:21:02 --enforcementcount 0 &gt;&gt;C:\Users\stu\Documents\GitHub\eaglep3-reporting\EC\2017-02-20-refined-times.txt</v>
      </c>
      <c r="AI224" s="108" t="str">
        <f t="shared" si="98"/>
        <v>echo {"issue":{"subject":"","project_id":79,"tracker_id":40,"status_id":1,"priority_id":2,"assigned_to_id":23,"start_date":"2017-02-20","description":"","custom_fields":[{"id":1,"name":"Subdivision","value":"Other"},{"id":4,"name":"Milepost","value":"0.1584"},{"id":17,"name":"Train ID","value":"50-20"},{"id":16,"name":"Locomotive ID","value":"4013"},{"id":130,"name":"Impact","value":""},{"id":150,"name":"Time of Event (Mountain Time)","value":"18:21:02"},{"id":151,"name":"Denver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48"/>
      <c r="AK224" s="48"/>
      <c r="AL224" s="48"/>
      <c r="AM224" s="154" t="str">
        <f t="shared" si="99"/>
        <v>start /low /b %USERPROFILE%\Documents\GitHub\eaglep3\Utilities\DownloadLogsFromS3.py --loco 4013 --day 2017-02-20</v>
      </c>
      <c r="AN224" s="163" t="str">
        <f>"grep -SE -B400 ""CHR.+\|PRM\|1\|D.+(SWITCH|SIGNAL).+UNKNOWN"" "&amp;search_path&amp;"\RTDC"&amp;B224&amp;"\*"&amp;B224&amp;"*"&amp;TEXT(AVERAGE(F224,I224)-utc_offset/24,"YYYYMMDD")&amp;"*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"%USERPROFILE%\AppData\Local\Temp\OnboardLogs"\RTDC4013\*4013*20170221* | grep -SE "(Enforcement Action)|(\[TIMEOUT)|(CHR.+\|PRM\|1\|D.+(SWITCH|SIGNAL).+UNKNOWN)" - &gt;&gt; 2017-02-20-UncaughtWiMAX.txt</v>
      </c>
    </row>
    <row r="225" spans="1:40" x14ac:dyDescent="0.25">
      <c r="A225" s="33" t="s">
        <v>496</v>
      </c>
      <c r="B225" s="7">
        <v>4029</v>
      </c>
      <c r="C225" s="21" t="s">
        <v>408</v>
      </c>
      <c r="D225" s="21" t="s">
        <v>778</v>
      </c>
      <c r="E225" s="13">
        <v>42786.152604166666</v>
      </c>
      <c r="F225" s="13">
        <v>42786.247615740744</v>
      </c>
      <c r="G225" s="7">
        <v>2</v>
      </c>
      <c r="H225" s="21" t="s">
        <v>779</v>
      </c>
      <c r="I225" s="13">
        <v>42786.274236111109</v>
      </c>
      <c r="J225" s="7">
        <v>0</v>
      </c>
      <c r="K225" s="98" t="str">
        <f t="shared" si="83"/>
        <v>4029/4030</v>
      </c>
      <c r="L225" s="21" t="str">
        <f>VLOOKUP(A225,'Trips&amp;Operators'!$C$1:$G$99999,5,FALSE)</f>
        <v>SPECTOR MICHAEL</v>
      </c>
      <c r="M225" s="6">
        <f t="shared" si="84"/>
        <v>2.6620370364980772E-2</v>
      </c>
      <c r="N225" s="7">
        <f t="shared" si="100"/>
        <v>38.333333325572312</v>
      </c>
      <c r="O225" s="7"/>
      <c r="P225" s="7"/>
      <c r="Q225" s="22"/>
      <c r="R225" s="22"/>
      <c r="S225" s="31">
        <f t="shared" si="101"/>
        <v>0</v>
      </c>
      <c r="T225" s="46" t="e">
        <f t="shared" si="86"/>
        <v>#VALUE!</v>
      </c>
      <c r="U225" s="186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87" t="str">
        <f t="shared" si="102"/>
        <v>https://d0f6bd738d7f1b3e5a7ca70fe4ff75f0.us-east-1.aws.found.io/app/kibana#/discover/Steve-Slow-Train-Analysis-(2080s-and-2083s)?_g=(refreshInterval:(display:Off,pause:!f,section:0,value:0),time:(from:'2017-02-20T02:39:45-0700',mode:absolute,to:'2017-02-20T07:34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5" s="188" t="str">
        <f t="shared" si="87"/>
        <v>N</v>
      </c>
      <c r="X225" s="188" t="e">
        <f t="shared" si="105"/>
        <v>#VALUE!</v>
      </c>
      <c r="Y225" s="62">
        <f t="shared" si="88"/>
        <v>0.1152</v>
      </c>
      <c r="Z225" s="62">
        <f t="shared" si="89"/>
        <v>12.824400000000001</v>
      </c>
      <c r="AA225" s="62">
        <f t="shared" si="90"/>
        <v>12.709200000000001</v>
      </c>
      <c r="AB225" s="59" t="e">
        <f>VLOOKUP(A225,Enforcements!$C$7:$K$13,8,0)</f>
        <v>#N/A</v>
      </c>
      <c r="AC225" s="55" t="e">
        <f>VLOOKUP(A225,Enforcements!$C$7:$E$13,3,0)</f>
        <v>#N/A</v>
      </c>
      <c r="AD225" s="56" t="str">
        <f t="shared" si="91"/>
        <v>51-20</v>
      </c>
      <c r="AE225" s="85" t="str">
        <f t="shared" si="103"/>
        <v>aws s3 cp s3://rtdc.mdm.uploadarchive.raw/RTDC4029/ "%USERPROFILE%\AppData\Local\Temp\OnboardLogs"\RTDC4029\2017-02-20 --exclude "*" --recursive --include "*20170220*" &amp; "%USERPROFILE%\Documents\GitHub\mrs-test-scripts\Headless Mode &amp; Sideloading\WalkAndUnGZ.bat" "%USERPROFILE%\AppData\Local\Temp\OnboardLogs"\RTDC4029\2017-02-20 &amp; aws s3 cp s3://rtdc.mdm.uploadarchive.raw/RTDC4029/ "%USERPROFILE%\AppData\Local\Temp\OnboardLogs"\RTDC4029\2017-02-21 --exclude "*" --recursive --include "*20170221*" &amp; "%USERPROFILE%\Documents\GitHub\mrs-test-scripts\Headless Mode &amp; Sideloading\WalkAndUnGZ.bat" "%USERPROFILE%\AppData\Local\Temp\OnboardLogs"\RTDC4029\2017-02-21</v>
      </c>
      <c r="AF225" s="82" t="str">
        <f t="shared" si="104"/>
        <v>"C:\Program Files (x86)\AstroGrep\AstroGrep.exe" /spath="%USERPROFILE%\AppData\Local\Temp\OnboardLogs" /stypes="app*4029*20170220*" /stext=" 13:.+((SYSTEM_STATE.+slice.+state.+changed )|(ment ac)|(multiple cpu faults)|(system.+state.+changed )|(\[timeout)|(PRM\|1\|D)|(kpr)|(kdp)|(\|lc)|(penalty))" /e /r /s</v>
      </c>
      <c r="AG225" s="1" t="str">
        <f t="shared" si="92"/>
        <v>Other</v>
      </c>
      <c r="AH225" s="86" t="str">
        <f t="shared" si="97"/>
        <v>"%USERPROFILE%\Documents\GitHub\eaglep3\Utilities\RefineRTDCRunTimes.py" --tripid 51-20 --locoid 4029 --swversion DE.1.0.9.0 --startMP 204:1152 --initTime 2017-02-20T03:39:45 --startdatetime 2017-02-20T05:56:34 --delay 2 --endMP 204:128244 --enddatetime 2017-02-20T06:34:54 --enforcementcount 0 &gt;&gt;C:\Users\stu\Documents\GitHub\eaglep3-reporting\EC\2017-02-20-refined-times.txt</v>
      </c>
      <c r="AI225" s="108" t="str">
        <f t="shared" si="98"/>
        <v>echo {"issue":{"subject":"","project_id":79,"tracker_id":40,"status_id":1,"priority_id":2,"assigned_to_id":23,"start_date":"2017-02-20","description":"","custom_fields":[{"id":1,"name":"Subdivision","value":"Other"},{"id":4,"name":"Milepost","value":"12.8244"},{"id":17,"name":"Train ID","value":"51-20"},{"id":16,"name":"Locomotive ID","value":"4029"},{"id":130,"name":"Impact","value":""},{"id":150,"name":"Time of Event (Mountain Time)","value":"06:34:54"},{"id":151,"name":"Denver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48"/>
      <c r="AK225" s="48"/>
      <c r="AL225" s="48"/>
      <c r="AM225" s="154" t="str">
        <f t="shared" si="99"/>
        <v>start /low /b %USERPROFILE%\Documents\GitHub\eaglep3\Utilities\DownloadLogsFromS3.py --loco 4029 --day 2017-02-20</v>
      </c>
      <c r="AN225" s="163" t="str">
        <f>"grep -SE -B400 ""CHR.+\|PRM\|1\|D.+(SWITCH|SIGNAL).+UNKNOWN"" "&amp;search_path&amp;"\RTDC"&amp;B225&amp;"\*"&amp;B225&amp;"*"&amp;TEXT(AVERAGE(F225,I225)-utc_offset/24,"YYYYMMDD")&amp;"*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"%USERPROFILE%\AppData\Local\Temp\OnboardLogs"\RTDC4029\*4029*20170220* | grep -SE "(Enforcement Action)|(\[TIMEOUT)|(CHR.+\|PRM\|1\|D.+(SWITCH|SIGNAL).+UNKNOWN)" - &gt;&gt; 2017-02-20-UncaughtWiMAX.txt</v>
      </c>
    </row>
    <row r="226" spans="1:40" x14ac:dyDescent="0.25">
      <c r="A226" s="33" t="s">
        <v>496</v>
      </c>
      <c r="B226" s="7">
        <v>4044</v>
      </c>
      <c r="C226" s="21" t="s">
        <v>408</v>
      </c>
      <c r="D226" s="21" t="s">
        <v>780</v>
      </c>
      <c r="E226" s="13">
        <v>42786.342962962961</v>
      </c>
      <c r="F226" s="13">
        <v>25568.708333333332</v>
      </c>
      <c r="G226" s="7">
        <v>1</v>
      </c>
      <c r="H226" s="21" t="s">
        <v>781</v>
      </c>
      <c r="I226" s="13">
        <v>25568.708333333332</v>
      </c>
      <c r="J226" s="7">
        <v>0</v>
      </c>
      <c r="K226" s="98" t="str">
        <f t="shared" si="83"/>
        <v>4043/4044</v>
      </c>
      <c r="L226" s="21" t="str">
        <f>VLOOKUP(A226,'Trips&amp;Operators'!$C$1:$G$99999,5,FALSE)</f>
        <v>SPECTOR MICHAEL</v>
      </c>
      <c r="M226" s="6">
        <f t="shared" si="84"/>
        <v>0</v>
      </c>
      <c r="N226" s="7">
        <f t="shared" si="100"/>
        <v>0</v>
      </c>
      <c r="O226" s="7"/>
      <c r="P226" s="7"/>
      <c r="Q226" s="22"/>
      <c r="R226" s="22"/>
      <c r="S226" s="31">
        <f t="shared" si="101"/>
        <v>0</v>
      </c>
      <c r="T226" s="46" t="e">
        <f t="shared" si="86"/>
        <v>#VALUE!</v>
      </c>
      <c r="U226" s="186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87" t="str">
        <f t="shared" si="102"/>
        <v>https://d0f6bd738d7f1b3e5a7ca70fe4ff75f0.us-east-1.aws.found.io/app/kibana#/discover/Steve-Slow-Train-Analysis-(2080s-and-2083s)?_g=(refreshInterval:(display:Off,pause:!f,section:0,value:0),time:(from:'2017-02-20T07:13:52-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26" s="188" t="str">
        <f t="shared" si="87"/>
        <v>Y</v>
      </c>
      <c r="X226" s="188" t="e">
        <f t="shared" si="105"/>
        <v>#VALUE!</v>
      </c>
      <c r="Y226" s="62">
        <f t="shared" si="88"/>
        <v>0.14879999999999999</v>
      </c>
      <c r="Z226" s="62">
        <f t="shared" si="89"/>
        <v>0.1492</v>
      </c>
      <c r="AA226" s="62">
        <f t="shared" si="90"/>
        <v>4.0000000000001146E-4</v>
      </c>
      <c r="AB226" s="59" t="e">
        <f>VLOOKUP(A226,Enforcements!$C$7:$K$13,8,0)</f>
        <v>#N/A</v>
      </c>
      <c r="AC226" s="55" t="e">
        <f>VLOOKUP(A226,Enforcements!$C$7:$E$13,3,0)</f>
        <v>#N/A</v>
      </c>
      <c r="AD226" s="56" t="str">
        <f t="shared" si="91"/>
        <v>51-20</v>
      </c>
      <c r="AE226" s="85" t="str">
        <f t="shared" si="103"/>
        <v>aws s3 cp s3://rtdc.mdm.uploadarchive.raw/RTDC4044/ "%USERPROFILE%\AppData\Local\Temp\OnboardLogs"\RTDC4044\1969-12-31 --exclude "*" --recursive --include "*19691231*" &amp; "%USERPROFILE%\Documents\GitHub\mrs-test-scripts\Headless Mode &amp; Sideloading\WalkAndUnGZ.bat" "%USERPROFILE%\AppData\Local\Temp\OnboardLogs"\RTDC4044\1969-12-31 &amp; aws s3 cp s3://rtdc.mdm.uploadarchive.raw/RTDC4044/ "%USERPROFILE%\AppData\Local\Temp\OnboardLogs"\RTDC4044\1970-01-01 --exclude "*" --recursive --include "*19700101*" &amp; "%USERPROFILE%\Documents\GitHub\mrs-test-scripts\Headless Mode &amp; Sideloading\WalkAndUnGZ.bat" "%USERPROFILE%\AppData\Local\Temp\OnboardLogs"\RTDC4044\1970-01-01</v>
      </c>
      <c r="AF226" s="82" t="str">
        <f t="shared" si="104"/>
        <v>"C:\Program Files (x86)\AstroGrep\AstroGrep.exe" /spath="%USERPROFILE%\AppData\Local\Temp\OnboardLogs" /stypes="app*4044*19700101*" /stext=" 00:.+((SYSTEM_STATE.+slice.+state.+changed )|(ment ac)|(multiple cpu faults)|(system.+state.+changed )|(\[timeout)|(PRM\|1\|D)|(kpr)|(kdp)|(\|lc)|(penalty))" /e /r /s</v>
      </c>
      <c r="AG226" s="1" t="str">
        <f t="shared" si="92"/>
        <v>Other</v>
      </c>
      <c r="AH226" s="86" t="str">
        <f t="shared" si="97"/>
        <v>"%USERPROFILE%\Documents\GitHub\eaglep3\Utilities\RefineRTDCRunTimes.py" --tripid 51-20 --locoid 4044 --swversion DE.1.0.9.0 --startMP 204:1488 --initTime 2017-02-20T08:13:52 --startdatetime 1969-12-31T17:00:00 --delay 1 --endMP 204:1492 --enddatetime 1969-12-31T17:00:00 --enforcementcount 0 &gt;&gt;C:\Users\stu\Documents\GitHub\eaglep3-reporting\EC\2017-02-20-refined-times.txt</v>
      </c>
      <c r="AI226" s="108" t="str">
        <f t="shared" si="98"/>
        <v>echo {"issue":{"subject":"","project_id":79,"tracker_id":40,"status_id":1,"priority_id":2,"assigned_to_id":23,"start_date":"1969-12-31","description":"","custom_fields":[{"id":1,"name":"Subdivision","value":"Other"},{"id":4,"name":"Milepost","value":"0.1492"},{"id":17,"name":"Train ID","value":"51-20"},{"id":16,"name":"Locomotive ID","value":"4044"},{"id":130,"name":"Impact","value":""},{"id":150,"name":"Time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48"/>
      <c r="AK226" s="48"/>
      <c r="AL226" s="48"/>
      <c r="AM226" s="154" t="str">
        <f t="shared" si="99"/>
        <v>start /low /b %USERPROFILE%\Documents\GitHub\eaglep3\Utilities\DownloadLogsFromS3.py --loco 4044 --day 1969-12-31</v>
      </c>
      <c r="AN226" s="163" t="str">
        <f>"grep -SE -B400 ""CHR.+\|PRM\|1\|D.+(SWITCH|SIGNAL).+UNKNOWN"" "&amp;search_path&amp;"\RTDC"&amp;B226&amp;"\*"&amp;B226&amp;"*"&amp;TEXT(AVERAGE(F226,I226)-utc_offset/24,"YYYYMMDD")&amp;"*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"%USERPROFILE%\AppData\Local\Temp\OnboardLogs"\RTDC4044\*4044*19700101* | grep -SE "(Enforcement Action)|(\[TIMEOUT)|(CHR.+\|PRM\|1\|D.+(SWITCH|SIGNAL).+UNKNOWN)" - &gt;&gt; 2017-02-20-UncaughtWiMAX.txt</v>
      </c>
    </row>
    <row r="227" spans="1:40" x14ac:dyDescent="0.25">
      <c r="A227" s="33" t="s">
        <v>542</v>
      </c>
      <c r="B227" s="7">
        <v>4018</v>
      </c>
      <c r="C227" s="21" t="s">
        <v>408</v>
      </c>
      <c r="D227" s="21" t="s">
        <v>782</v>
      </c>
      <c r="E227" s="13">
        <v>42786.759722222225</v>
      </c>
      <c r="F227" s="13">
        <v>25568.708333333332</v>
      </c>
      <c r="G227" s="7">
        <v>1</v>
      </c>
      <c r="H227" s="21" t="s">
        <v>292</v>
      </c>
      <c r="I227" s="13">
        <v>25568.708333333332</v>
      </c>
      <c r="J227" s="7">
        <v>0</v>
      </c>
      <c r="K227" s="98" t="str">
        <f t="shared" ref="K227:K242" si="106">IF(ISEVEN(B227),(B227-1)&amp;"/"&amp;B227,B227&amp;"/"&amp;(B227+1))</f>
        <v>4017/4018</v>
      </c>
      <c r="L227" s="21" t="str">
        <f>VLOOKUP(A227,'Trips&amp;Operators'!$C$1:$G$99999,5,FALSE)</f>
        <v>SPECTOR MICHAEL</v>
      </c>
      <c r="M227" s="6">
        <f t="shared" ref="M227:M242" si="107">I227-F227</f>
        <v>0</v>
      </c>
      <c r="N227" s="7">
        <f t="shared" si="100"/>
        <v>0</v>
      </c>
      <c r="O227" s="7"/>
      <c r="P227" s="7"/>
      <c r="Q227" s="22"/>
      <c r="R227" s="22"/>
      <c r="S227" s="31">
        <f t="shared" si="101"/>
        <v>0</v>
      </c>
      <c r="T227" s="46" t="e">
        <f t="shared" ref="T227:T242" si="108">IF(ISEVEN(LEFT(AD227,4)),"Southbound","NorthBound")</f>
        <v>#VALUE!</v>
      </c>
      <c r="U227" s="186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87" t="str">
        <f t="shared" si="102"/>
        <v>https://d0f6bd738d7f1b3e5a7ca70fe4ff75f0.us-east-1.aws.found.io/app/kibana#/discover/Steve-Slow-Train-Analysis-(2080s-and-2083s)?_g=(refreshInterval:(display:Off,pause:!f,section:0,value:0),time:(from:'2017-02-20T17:14:00-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27" s="188" t="str">
        <f t="shared" ref="W227:W242" si="109">IF(AA227&lt;IF(AG227="EC",23,5.65),"Y","N")</f>
        <v>Y</v>
      </c>
      <c r="X227" s="188" t="e">
        <f t="shared" si="105"/>
        <v>#VALUE!</v>
      </c>
      <c r="Y227" s="62">
        <f t="shared" ref="Y227:Y242" si="110">RIGHT(D227,LEN(D227)-4)/10000</f>
        <v>4.1300000000000003E-2</v>
      </c>
      <c r="Z227" s="62">
        <f t="shared" ref="Z227:Z242" si="111">RIGHT(H227,LEN(H227)-4)/10000</f>
        <v>2.3346</v>
      </c>
      <c r="AA227" s="62">
        <f t="shared" ref="AA227:AA242" si="112">ABS(Z227-Y227)</f>
        <v>2.2932999999999999</v>
      </c>
      <c r="AB227" s="59" t="e">
        <f>VLOOKUP(A227,Enforcements!$C$7:$K$13,8,0)</f>
        <v>#N/A</v>
      </c>
      <c r="AC227" s="55" t="e">
        <f>VLOOKUP(A227,Enforcements!$C$7:$E$13,3,0)</f>
        <v>#N/A</v>
      </c>
      <c r="AD227" s="56" t="str">
        <f t="shared" ref="AD227:AD242" si="113">IF(LEN(A227)=6,"0"&amp;A227,A227)</f>
        <v>53-20</v>
      </c>
      <c r="AE227" s="85" t="str">
        <f t="shared" si="103"/>
        <v>aws s3 cp s3://rtdc.mdm.uploadarchive.raw/RTDC4018/ "%USERPROFILE%\AppData\Local\Temp\OnboardLogs"\RTDC4018\1969-12-31 --exclude "*" --recursive --include "*19691231*" &amp; "%USERPROFILE%\Documents\GitHub\mrs-test-scripts\Headless Mode &amp; Sideloading\WalkAndUnGZ.bat" "%USERPROFILE%\AppData\Local\Temp\OnboardLogs"\RTDC4018\1969-12-31 &amp; aws s3 cp s3://rtdc.mdm.uploadarchive.raw/RTDC4018/ "%USERPROFILE%\AppData\Local\Temp\OnboardLogs"\RTDC4018\1970-01-01 --exclude "*" --recursive --include "*19700101*" &amp; "%USERPROFILE%\Documents\GitHub\mrs-test-scripts\Headless Mode &amp; Sideloading\WalkAndUnGZ.bat" "%USERPROFILE%\AppData\Local\Temp\OnboardLogs"\RTDC4018\1970-01-01</v>
      </c>
      <c r="AF227" s="82" t="str">
        <f t="shared" si="104"/>
        <v>"C:\Program Files (x86)\AstroGrep\AstroGrep.exe" /spath="%USERPROFILE%\AppData\Local\Temp\OnboardLogs" /stypes="app*4018*19700101*" /stext=" 00:.+((SYSTEM_STATE.+slice.+state.+changed )|(ment ac)|(multiple cpu faults)|(system.+state.+changed )|(\[timeout)|(PRM\|1\|D)|(kpr)|(kdp)|(\|lc)|(penalty))" /e /r /s</v>
      </c>
      <c r="AG227" s="1" t="str">
        <f t="shared" ref="AG227:AG242" si="114">IFERROR(IF(VALUE(LEFT(AD227,2))&lt;=2,"EC",IF(OR(VALUE(LEFT(AD227,2))=8,VALUE(LEFT(AD227,2))=18),"NW","Other")),"Other")</f>
        <v>Other</v>
      </c>
      <c r="AH227" s="86" t="str">
        <f t="shared" si="97"/>
        <v>"%USERPROFILE%\Documents\GitHub\eaglep3\Utilities\RefineRTDCRunTimes.py" --tripid 53-20 --locoid 4018 --swversion DE.1.0.9.0 --startMP 204:413 --initTime 2017-02-20T18:14:00 --startdatetime 1969-12-31T17:00:00 --delay 1 --endMP 300:23346 --enddatetime 1969-12-31T17:00:00 --enforcementcount 0 &gt;&gt;C:\Users\stu\Documents\GitHub\eaglep3-reporting\EC\2017-02-20-refined-times.txt</v>
      </c>
      <c r="AI227" s="108" t="str">
        <f t="shared" si="98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ID","value":"53-20"},{"id":16,"name":"Locomotive ID","value":"4018"},{"id":130,"name":"Impact","value":""},{"id":150,"name":"Time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48"/>
      <c r="AK227" s="48"/>
      <c r="AL227" s="48"/>
      <c r="AM227" s="154" t="str">
        <f t="shared" si="99"/>
        <v>start /low /b %USERPROFILE%\Documents\GitHub\eaglep3\Utilities\DownloadLogsFromS3.py --loco 4018 --day 1969-12-31</v>
      </c>
      <c r="AN227" s="163" t="str">
        <f>"grep -SE -B400 ""CHR.+\|PRM\|1\|D.+(SWITCH|SIGNAL).+UNKNOWN"" "&amp;search_path&amp;"\RTDC"&amp;B227&amp;"\*"&amp;B227&amp;"*"&amp;TEXT(AVERAGE(F227,I227)-utc_offset/24,"YYYYMMDD")&amp;"*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"%USERPROFILE%\AppData\Local\Temp\OnboardLogs"\RTDC4018\*4018*19700101* | grep -SE "(Enforcement Action)|(\[TIMEOUT)|(CHR.+\|PRM\|1\|D.+(SWITCH|SIGNAL).+UNKNOWN)" - &gt;&gt; 2017-02-20-UncaughtWiMAX.txt</v>
      </c>
    </row>
    <row r="228" spans="1:40" x14ac:dyDescent="0.25">
      <c r="A228" s="33" t="s">
        <v>542</v>
      </c>
      <c r="B228" s="7">
        <v>4018</v>
      </c>
      <c r="C228" s="21" t="s">
        <v>408</v>
      </c>
      <c r="D228" s="21" t="s">
        <v>292</v>
      </c>
      <c r="E228" s="13">
        <v>42786.759722222225</v>
      </c>
      <c r="F228" s="13">
        <v>25568.708333333332</v>
      </c>
      <c r="G228" s="7">
        <v>25</v>
      </c>
      <c r="H228" s="21" t="s">
        <v>292</v>
      </c>
      <c r="I228" s="13">
        <v>25568.708333333332</v>
      </c>
      <c r="J228" s="7">
        <v>0</v>
      </c>
      <c r="K228" s="98" t="str">
        <f t="shared" si="106"/>
        <v>4017/4018</v>
      </c>
      <c r="L228" s="21" t="str">
        <f>VLOOKUP(A228,'Trips&amp;Operators'!$C$1:$G$99999,5,FALSE)</f>
        <v>SPECTOR MICHAEL</v>
      </c>
      <c r="M228" s="6">
        <f t="shared" si="107"/>
        <v>0</v>
      </c>
      <c r="N228" s="7">
        <f t="shared" si="100"/>
        <v>0</v>
      </c>
      <c r="O228" s="7"/>
      <c r="P228" s="7"/>
      <c r="Q228" s="22"/>
      <c r="R228" s="22"/>
      <c r="S228" s="31">
        <f t="shared" si="101"/>
        <v>0</v>
      </c>
      <c r="T228" s="46" t="e">
        <f t="shared" si="108"/>
        <v>#VALUE!</v>
      </c>
      <c r="U228" s="186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87" t="str">
        <f t="shared" si="102"/>
        <v>https://d0f6bd738d7f1b3e5a7ca70fe4ff75f0.us-east-1.aws.found.io/app/kibana#/discover/Steve-Slow-Train-Analysis-(2080s-and-2083s)?_g=(refreshInterval:(display:Off,pause:!f,section:0,value:0),time:(from:'2017-02-20T17:14:00-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28" s="188" t="str">
        <f t="shared" si="109"/>
        <v>Y</v>
      </c>
      <c r="X228" s="188" t="e">
        <f t="shared" si="105"/>
        <v>#VALUE!</v>
      </c>
      <c r="Y228" s="62">
        <f t="shared" si="110"/>
        <v>2.3346</v>
      </c>
      <c r="Z228" s="62">
        <f t="shared" si="111"/>
        <v>2.3346</v>
      </c>
      <c r="AA228" s="62">
        <f t="shared" si="112"/>
        <v>0</v>
      </c>
      <c r="AB228" s="59" t="e">
        <f>VLOOKUP(A228,Enforcements!$C$7:$K$13,8,0)</f>
        <v>#N/A</v>
      </c>
      <c r="AC228" s="55" t="e">
        <f>VLOOKUP(A228,Enforcements!$C$7:$E$13,3,0)</f>
        <v>#N/A</v>
      </c>
      <c r="AD228" s="56" t="str">
        <f t="shared" si="113"/>
        <v>53-20</v>
      </c>
      <c r="AE228" s="85" t="str">
        <f t="shared" si="103"/>
        <v>aws s3 cp s3://rtdc.mdm.uploadarchive.raw/RTDC4018/ "%USERPROFILE%\AppData\Local\Temp\OnboardLogs"\RTDC4018\1969-12-31 --exclude "*" --recursive --include "*19691231*" &amp; "%USERPROFILE%\Documents\GitHub\mrs-test-scripts\Headless Mode &amp; Sideloading\WalkAndUnGZ.bat" "%USERPROFILE%\AppData\Local\Temp\OnboardLogs"\RTDC4018\1969-12-31 &amp; aws s3 cp s3://rtdc.mdm.uploadarchive.raw/RTDC4018/ "%USERPROFILE%\AppData\Local\Temp\OnboardLogs"\RTDC4018\1970-01-01 --exclude "*" --recursive --include "*19700101*" &amp; "%USERPROFILE%\Documents\GitHub\mrs-test-scripts\Headless Mode &amp; Sideloading\WalkAndUnGZ.bat" "%USERPROFILE%\AppData\Local\Temp\OnboardLogs"\RTDC4018\1970-01-01</v>
      </c>
      <c r="AF228" s="82" t="str">
        <f t="shared" si="104"/>
        <v>"C:\Program Files (x86)\AstroGrep\AstroGrep.exe" /spath="%USERPROFILE%\AppData\Local\Temp\OnboardLogs" /stypes="app*4018*19700101*" /stext=" 00:.+((SYSTEM_STATE.+slice.+state.+changed )|(ment ac)|(multiple cpu faults)|(system.+state.+changed )|(\[timeout)|(PRM\|1\|D)|(kpr)|(kdp)|(\|lc)|(penalty))" /e /r /s</v>
      </c>
      <c r="AG228" s="1" t="str">
        <f t="shared" si="114"/>
        <v>Other</v>
      </c>
      <c r="AH228" s="86" t="str">
        <f t="shared" si="97"/>
        <v>"%USERPROFILE%\Documents\GitHub\eaglep3\Utilities\RefineRTDCRunTimes.py" --tripid 53-20 --locoid 4018 --swversion DE.1.0.9.0 --startMP 300:23346 --initTime 2017-02-20T18:14:00 --startdatetime 1969-12-31T17:00:00 --delay 25 --endMP 300:23346 --enddatetime 1969-12-31T17:00:00 --enforcementcount 0 &gt;&gt;C:\Users\stu\Documents\GitHub\eaglep3-reporting\EC\2017-02-20-refined-times.txt</v>
      </c>
      <c r="AI228" s="108" t="str">
        <f t="shared" si="98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ID","value":"53-20"},{"id":16,"name":"Locomotive ID","value":"4018"},{"id":130,"name":"Impact","value":""},{"id":150,"name":"Time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48"/>
      <c r="AK228" s="48"/>
      <c r="AL228" s="48"/>
      <c r="AM228" s="154" t="str">
        <f t="shared" si="99"/>
        <v>start /low /b %USERPROFILE%\Documents\GitHub\eaglep3\Utilities\DownloadLogsFromS3.py --loco 4018 --day 1969-12-31</v>
      </c>
      <c r="AN228" s="163" t="str">
        <f>"grep -SE -B400 ""CHR.+\|PRM\|1\|D.+(SWITCH|SIGNAL).+UNKNOWN"" "&amp;search_path&amp;"\RTDC"&amp;B228&amp;"\*"&amp;B228&amp;"*"&amp;TEXT(AVERAGE(F228,I228)-utc_offset/24,"YYYYMMDD")&amp;"*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"%USERPROFILE%\AppData\Local\Temp\OnboardLogs"\RTDC4018\*4018*19700101* | grep -SE "(Enforcement Action)|(\[TIMEOUT)|(CHR.+\|PRM\|1\|D.+(SWITCH|SIGNAL).+UNKNOWN)" - &gt;&gt; 2017-02-20-UncaughtWiMAX.txt</v>
      </c>
    </row>
    <row r="229" spans="1:40" x14ac:dyDescent="0.25">
      <c r="A229" s="33" t="s">
        <v>542</v>
      </c>
      <c r="B229" s="7">
        <v>4043</v>
      </c>
      <c r="C229" s="21" t="s">
        <v>408</v>
      </c>
      <c r="D229" s="21" t="s">
        <v>783</v>
      </c>
      <c r="E229" s="13">
        <v>42786.347037037034</v>
      </c>
      <c r="F229" s="13">
        <v>25568.708333333332</v>
      </c>
      <c r="G229" s="7">
        <v>1</v>
      </c>
      <c r="H229" s="21" t="s">
        <v>784</v>
      </c>
      <c r="I229" s="13">
        <v>25568.708333333332</v>
      </c>
      <c r="J229" s="7">
        <v>0</v>
      </c>
      <c r="K229" s="98" t="str">
        <f t="shared" si="106"/>
        <v>4043/4044</v>
      </c>
      <c r="L229" s="21" t="str">
        <f>VLOOKUP(A229,'Trips&amp;Operators'!$C$1:$G$99999,5,FALSE)</f>
        <v>SPECTOR MICHAEL</v>
      </c>
      <c r="M229" s="6">
        <f t="shared" si="107"/>
        <v>0</v>
      </c>
      <c r="N229" s="7">
        <f t="shared" si="100"/>
        <v>0</v>
      </c>
      <c r="O229" s="7"/>
      <c r="P229" s="7"/>
      <c r="Q229" s="22"/>
      <c r="R229" s="22"/>
      <c r="S229" s="31">
        <f t="shared" si="101"/>
        <v>0</v>
      </c>
      <c r="T229" s="46" t="e">
        <f t="shared" si="108"/>
        <v>#VALUE!</v>
      </c>
      <c r="U229" s="186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87" t="str">
        <f t="shared" si="102"/>
        <v>https://d0f6bd738d7f1b3e5a7ca70fe4ff75f0.us-east-1.aws.found.io/app/kibana#/discover/Steve-Slow-Train-Analysis-(2080s-and-2083s)?_g=(refreshInterval:(display:Off,pause:!f,section:0,value:0),time:(from:'2017-02-20T07:19:44-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9" s="188" t="str">
        <f t="shared" si="109"/>
        <v>Y</v>
      </c>
      <c r="X229" s="188" t="e">
        <f t="shared" si="105"/>
        <v>#VALUE!</v>
      </c>
      <c r="Y229" s="62">
        <f t="shared" si="110"/>
        <v>0.11749999999999999</v>
      </c>
      <c r="Z229" s="62">
        <f t="shared" si="111"/>
        <v>0.1181</v>
      </c>
      <c r="AA229" s="62">
        <f t="shared" si="112"/>
        <v>6.0000000000000331E-4</v>
      </c>
      <c r="AB229" s="59" t="e">
        <f>VLOOKUP(A229,Enforcements!$C$7:$K$13,8,0)</f>
        <v>#N/A</v>
      </c>
      <c r="AC229" s="55" t="e">
        <f>VLOOKUP(A229,Enforcements!$C$7:$E$13,3,0)</f>
        <v>#N/A</v>
      </c>
      <c r="AD229" s="56" t="str">
        <f t="shared" si="113"/>
        <v>53-20</v>
      </c>
      <c r="AE229" s="85" t="str">
        <f t="shared" si="103"/>
        <v>aws s3 cp s3://rtdc.mdm.uploadarchive.raw/RTDC4043/ "%USERPROFILE%\AppData\Local\Temp\OnboardLogs"\RTDC4043\1969-12-31 --exclude "*" --recursive --include "*19691231*" &amp; "%USERPROFILE%\Documents\GitHub\mrs-test-scripts\Headless Mode &amp; Sideloading\WalkAndUnGZ.bat" "%USERPROFILE%\AppData\Local\Temp\OnboardLogs"\RTDC4043\1969-12-31 &amp; aws s3 cp s3://rtdc.mdm.uploadarchive.raw/RTDC4043/ "%USERPROFILE%\AppData\Local\Temp\OnboardLogs"\RTDC4043\1970-01-01 --exclude "*" --recursive --include "*19700101*" &amp; "%USERPROFILE%\Documents\GitHub\mrs-test-scripts\Headless Mode &amp; Sideloading\WalkAndUnGZ.bat" "%USERPROFILE%\AppData\Local\Temp\OnboardLogs"\RTDC4043\1970-01-01</v>
      </c>
      <c r="AF229" s="82" t="str">
        <f t="shared" si="104"/>
        <v>"C:\Program Files (x86)\AstroGrep\AstroGrep.exe" /spath="%USERPROFILE%\AppData\Local\Temp\OnboardLogs" /stypes="app*4043*19700101*" /stext=" 00:.+((SYSTEM_STATE.+slice.+state.+changed )|(ment ac)|(multiple cpu faults)|(system.+state.+changed )|(\[timeout)|(PRM\|1\|D)|(kpr)|(kdp)|(\|lc)|(penalty))" /e /r /s</v>
      </c>
      <c r="AG229" s="1" t="str">
        <f t="shared" si="114"/>
        <v>Other</v>
      </c>
      <c r="AH229" s="86" t="str">
        <f t="shared" si="97"/>
        <v>"%USERPROFILE%\Documents\GitHub\eaglep3\Utilities\RefineRTDCRunTimes.py" --tripid 53-20 --locoid 4043 --swversion DE.1.0.9.0 --startMP 204:1175 --initTime 2017-02-20T08:19:44 --startdatetime 1969-12-31T17:00:00 --delay 1 --endMP 204:1181 --enddatetime 1969-12-31T17:00:00 --enforcementcount 0 &gt;&gt;C:\Users\stu\Documents\GitHub\eaglep3-reporting\EC\2017-02-20-refined-times.txt</v>
      </c>
      <c r="AI229" s="108" t="str">
        <f t="shared" si="98"/>
        <v>echo {"issue":{"subject":"","project_id":79,"tracker_id":40,"status_id":1,"priority_id":2,"assigned_to_id":23,"start_date":"1969-12-31","description":"","custom_fields":[{"id":1,"name":"Subdivision","value":"Other"},{"id":4,"name":"Milepost","value":"0.1181"},{"id":17,"name":"Train ID","value":"53-20"},{"id":16,"name":"Locomotive ID","value":"4043"},{"id":130,"name":"Impact","value":""},{"id":150,"name":"Time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48"/>
      <c r="AK229" s="48"/>
      <c r="AL229" s="48"/>
      <c r="AM229" s="154" t="str">
        <f t="shared" si="99"/>
        <v>start /low /b %USERPROFILE%\Documents\GitHub\eaglep3\Utilities\DownloadLogsFromS3.py --loco 4043 --day 1969-12-31</v>
      </c>
      <c r="AN229" s="163" t="str">
        <f>"grep -SE -B400 ""CHR.+\|PRM\|1\|D.+(SWITCH|SIGNAL).+UNKNOWN"" "&amp;search_path&amp;"\RTDC"&amp;B229&amp;"\*"&amp;B229&amp;"*"&amp;TEXT(AVERAGE(F229,I229)-utc_offset/24,"YYYYMMDD")&amp;"*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"%USERPROFILE%\AppData\Local\Temp\OnboardLogs"\RTDC4043\*4043*19700101* | grep -SE "(Enforcement Action)|(\[TIMEOUT)|(CHR.+\|PRM\|1\|D.+(SWITCH|SIGNAL).+UNKNOWN)" - &gt;&gt; 2017-02-20-UncaughtWiMAX.txt</v>
      </c>
    </row>
    <row r="230" spans="1:40" x14ac:dyDescent="0.25">
      <c r="A230" s="33" t="s">
        <v>468</v>
      </c>
      <c r="B230" s="7">
        <v>4026</v>
      </c>
      <c r="C230" s="21" t="s">
        <v>408</v>
      </c>
      <c r="D230" s="21" t="s">
        <v>785</v>
      </c>
      <c r="E230" s="13">
        <v>42786.429120370369</v>
      </c>
      <c r="F230" s="13">
        <v>42786.433009259257</v>
      </c>
      <c r="G230" s="7">
        <v>5</v>
      </c>
      <c r="H230" s="21" t="s">
        <v>786</v>
      </c>
      <c r="I230" s="13">
        <v>42786.435995370368</v>
      </c>
      <c r="J230" s="7">
        <v>0</v>
      </c>
      <c r="K230" s="98" t="str">
        <f t="shared" si="106"/>
        <v>4025/4026</v>
      </c>
      <c r="L230" s="21" t="str">
        <f>VLOOKUP(A230,'Trips&amp;Operators'!$C$1:$G$99999,5,FALSE)</f>
        <v>BERLING GARY</v>
      </c>
      <c r="M230" s="6">
        <f t="shared" si="107"/>
        <v>2.9861111106583849E-3</v>
      </c>
      <c r="N230" s="7">
        <f t="shared" si="100"/>
        <v>4.2999999993480742</v>
      </c>
      <c r="O230" s="7"/>
      <c r="P230" s="7"/>
      <c r="Q230" s="22"/>
      <c r="R230" s="22"/>
      <c r="S230" s="31">
        <f t="shared" si="101"/>
        <v>0</v>
      </c>
      <c r="T230" s="46" t="e">
        <f t="shared" si="108"/>
        <v>#VALUE!</v>
      </c>
      <c r="U230" s="186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87" t="str">
        <f t="shared" si="102"/>
        <v>https://d0f6bd738d7f1b3e5a7ca70fe4ff75f0.us-east-1.aws.found.io/app/kibana#/discover/Steve-Slow-Train-Analysis-(2080s-and-2083s)?_g=(refreshInterval:(display:Off,pause:!f,section:0,value:0),time:(from:'2017-02-20T09:17:56-0700',mode:absolute,to:'2017-02-20T11:27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30" s="188" t="str">
        <f t="shared" si="109"/>
        <v>Y</v>
      </c>
      <c r="X230" s="188" t="e">
        <f t="shared" si="105"/>
        <v>#VALUE!</v>
      </c>
      <c r="Y230" s="62">
        <f t="shared" si="110"/>
        <v>2.2858999999999998</v>
      </c>
      <c r="Z230" s="62">
        <f t="shared" si="111"/>
        <v>1.9192</v>
      </c>
      <c r="AA230" s="62">
        <f t="shared" si="112"/>
        <v>0.3666999999999998</v>
      </c>
      <c r="AB230" s="59" t="e">
        <f>VLOOKUP(A230,Enforcements!$C$7:$K$13,8,0)</f>
        <v>#N/A</v>
      </c>
      <c r="AC230" s="55" t="e">
        <f>VLOOKUP(A230,Enforcements!$C$7:$E$13,3,0)</f>
        <v>#N/A</v>
      </c>
      <c r="AD230" s="56" t="str">
        <f t="shared" si="113"/>
        <v>54-20</v>
      </c>
      <c r="AE230" s="85" t="str">
        <f t="shared" si="103"/>
        <v>aws s3 cp s3://rtdc.mdm.uploadarchive.raw/RTDC4026/ "%USERPROFILE%\AppData\Local\Temp\OnboardLogs"\RTDC4026\2017-02-20 --exclude "*" --recursive --include "*20170220*" &amp; "%USERPROFILE%\Documents\GitHub\mrs-test-scripts\Headless Mode &amp; Sideloading\WalkAndUnGZ.bat" "%USERPROFILE%\AppData\Local\Temp\OnboardLogs"\RTDC4026\2017-02-20 &amp; aws s3 cp s3://rtdc.mdm.uploadarchive.raw/RTDC4026/ "%USERPROFILE%\AppData\Local\Temp\OnboardLogs"\RTDC4026\2017-02-21 --exclude "*" --recursive --include "*20170221*" &amp; "%USERPROFILE%\Documents\GitHub\mrs-test-scripts\Headless Mode &amp; Sideloading\WalkAndUnGZ.bat" "%USERPROFILE%\AppData\Local\Temp\OnboardLogs"\RTDC4026\2017-02-21</v>
      </c>
      <c r="AF230" s="82" t="str">
        <f t="shared" si="104"/>
        <v>"C:\Program Files (x86)\AstroGrep\AstroGrep.exe" /spath="%USERPROFILE%\AppData\Local\Temp\OnboardLogs" /stypes="app*4026*20170220*" /stext=" 17:.+((SYSTEM_STATE.+slice.+state.+changed )|(ment ac)|(multiple cpu faults)|(system.+state.+changed )|(\[timeout)|(PRM\|1\|D)|(kpr)|(kdp)|(\|lc)|(penalty))" /e /r /s</v>
      </c>
      <c r="AG230" s="1" t="str">
        <f t="shared" si="114"/>
        <v>Other</v>
      </c>
      <c r="AH230" s="86" t="str">
        <f t="shared" si="97"/>
        <v>"%USERPROFILE%\Documents\GitHub\eaglep3\Utilities\RefineRTDCRunTimes.py" --tripid 54-20 --locoid 4026 --swversion DE.1.0.9.0 --startMP 300:22859 --initTime 2017-02-20T10:17:56 --startdatetime 2017-02-20T10:23:32 --delay 5 --endMP 300:19192 --enddatetime 2017-02-20T10:27:50 --enforcementcount 0 &gt;&gt;C:\Users\stu\Documents\GitHub\eaglep3-reporting\EC\2017-02-20-refined-times.txt</v>
      </c>
      <c r="AI230" s="108" t="str">
        <f t="shared" si="98"/>
        <v>echo {"issue":{"subject":"","project_id":79,"tracker_id":40,"status_id":1,"priority_id":2,"assigned_to_id":23,"start_date":"2017-02-20","description":"","custom_fields":[{"id":1,"name":"Subdivision","value":"Other"},{"id":4,"name":"Milepost","value":"1.9192"},{"id":17,"name":"Train ID","value":"54-20"},{"id":16,"name":"Locomotive ID","value":"4026"},{"id":130,"name":"Impact","value":""},{"id":150,"name":"Time of Event (Mountain Time)","value":"10:27:50"},{"id":151,"name":"Denver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48"/>
      <c r="AK230" s="48"/>
      <c r="AL230" s="48"/>
      <c r="AM230" s="154" t="str">
        <f t="shared" si="99"/>
        <v>start /low /b %USERPROFILE%\Documents\GitHub\eaglep3\Utilities\DownloadLogsFromS3.py --loco 4026 --day 2017-02-20</v>
      </c>
      <c r="AN230" s="163" t="str">
        <f>"grep -SE -B400 ""CHR.+\|PRM\|1\|D.+(SWITCH|SIGNAL).+UNKNOWN"" "&amp;search_path&amp;"\RTDC"&amp;B230&amp;"\*"&amp;B230&amp;"*"&amp;TEXT(AVERAGE(F230,I230)-utc_offset/24,"YYYYMMDD")&amp;"*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"%USERPROFILE%\AppData\Local\Temp\OnboardLogs"\RTDC4026\*4026*20170220* | grep -SE "(Enforcement Action)|(\[TIMEOUT)|(CHR.+\|PRM\|1\|D.+(SWITCH|SIGNAL).+UNKNOWN)" - &gt;&gt; 2017-02-20-UncaughtWiMAX.txt</v>
      </c>
    </row>
    <row r="231" spans="1:40" x14ac:dyDescent="0.25">
      <c r="A231" s="33" t="s">
        <v>472</v>
      </c>
      <c r="B231" s="7">
        <v>4025</v>
      </c>
      <c r="C231" s="21" t="s">
        <v>408</v>
      </c>
      <c r="D231" s="21" t="s">
        <v>787</v>
      </c>
      <c r="E231" s="13">
        <v>42786.460972222223</v>
      </c>
      <c r="F231" s="13">
        <v>25568.708333333332</v>
      </c>
      <c r="G231" s="7">
        <v>1</v>
      </c>
      <c r="H231" s="21" t="s">
        <v>788</v>
      </c>
      <c r="I231" s="13">
        <v>25568.708333333332</v>
      </c>
      <c r="J231" s="7">
        <v>0</v>
      </c>
      <c r="K231" s="98" t="str">
        <f t="shared" si="106"/>
        <v>4025/4026</v>
      </c>
      <c r="L231" s="21" t="str">
        <f>VLOOKUP(A231,'Trips&amp;Operators'!$C$1:$G$99999,5,FALSE)</f>
        <v>ACKERMAN JARED</v>
      </c>
      <c r="M231" s="6">
        <f t="shared" si="107"/>
        <v>0</v>
      </c>
      <c r="N231" s="7">
        <f t="shared" si="100"/>
        <v>0</v>
      </c>
      <c r="O231" s="7"/>
      <c r="P231" s="7"/>
      <c r="Q231" s="22"/>
      <c r="R231" s="22"/>
      <c r="S231" s="31">
        <f t="shared" si="101"/>
        <v>0</v>
      </c>
      <c r="T231" s="46" t="e">
        <f t="shared" si="108"/>
        <v>#VALUE!</v>
      </c>
      <c r="U231" s="186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87" t="str">
        <f t="shared" si="102"/>
        <v>https://d0f6bd738d7f1b3e5a7ca70fe4ff75f0.us-east-1.aws.found.io/app/kibana#/discover/Steve-Slow-Train-Analysis-(2080s-and-2083s)?_g=(refreshInterval:(display:Off,pause:!f,section:0,value:0),time:(from:'2017-02-20T10:03:48-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31" s="188" t="str">
        <f t="shared" si="109"/>
        <v>Y</v>
      </c>
      <c r="X231" s="188" t="e">
        <f t="shared" si="105"/>
        <v>#VALUE!</v>
      </c>
      <c r="Y231" s="62">
        <f t="shared" si="110"/>
        <v>3.1899999999999998E-2</v>
      </c>
      <c r="Z231" s="62">
        <f t="shared" si="111"/>
        <v>2.4207000000000001</v>
      </c>
      <c r="AA231" s="62">
        <f t="shared" si="112"/>
        <v>2.3888000000000003</v>
      </c>
      <c r="AB231" s="59" t="e">
        <f>VLOOKUP(A231,Enforcements!$C$7:$K$13,8,0)</f>
        <v>#N/A</v>
      </c>
      <c r="AC231" s="55" t="e">
        <f>VLOOKUP(A231,Enforcements!$C$7:$E$13,3,0)</f>
        <v>#N/A</v>
      </c>
      <c r="AD231" s="56" t="str">
        <f t="shared" si="113"/>
        <v>55-20</v>
      </c>
      <c r="AE231" s="85" t="str">
        <f t="shared" si="103"/>
        <v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v>
      </c>
      <c r="AF231" s="82" t="str">
        <f t="shared" si="104"/>
        <v>"C:\Program Files (x86)\AstroGrep\AstroGrep.exe" /spath="%USERPROFILE%\AppData\Local\Temp\OnboardLogs" /stypes="app*4025*19700101*" /stext=" 00:.+((SYSTEM_STATE.+slice.+state.+changed )|(ment ac)|(multiple cpu faults)|(system.+state.+changed )|(\[timeout)|(PRM\|1\|D)|(kpr)|(kdp)|(\|lc)|(penalty))" /e /r /s</v>
      </c>
      <c r="AG231" s="1" t="str">
        <f t="shared" si="114"/>
        <v>Other</v>
      </c>
      <c r="AH231" s="86" t="str">
        <f t="shared" si="97"/>
        <v>"%USERPROFILE%\Documents\GitHub\eaglep3\Utilities\RefineRTDCRunTimes.py" --tripid 55-20 --locoid 4025 --swversion DE.1.0.9.0 --startMP 204:319 --initTime 2017-02-20T11:03:48 --startdatetime 1969-12-31T17:00:00 --delay 1 --endMP 300:24207 --enddatetime 1969-12-31T17:00:00 --enforcementcount 0 &gt;&gt;C:\Users\stu\Documents\GitHub\eaglep3-reporting\EC\2017-02-20-refined-times.txt</v>
      </c>
      <c r="AI231" s="108" t="str">
        <f t="shared" si="98"/>
        <v>echo {"issue":{"subject":"","project_id":79,"tracker_id":40,"status_id":1,"priority_id":2,"assigned_to_id":23,"start_date":"1969-12-31","description":"","custom_fields":[{"id":1,"name":"Subdivision","value":"Other"},{"id":4,"name":"Milepost","value":"2.4207"},{"id":17,"name":"Train ID","value":"55-20"},{"id":16,"name":"Locomotive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48"/>
      <c r="AK231" s="48"/>
      <c r="AL231" s="48"/>
      <c r="AM231" s="154" t="str">
        <f t="shared" si="99"/>
        <v>start /low /b %USERPROFILE%\Documents\GitHub\eaglep3\Utilities\DownloadLogsFromS3.py --loco 4025 --day 1969-12-31</v>
      </c>
      <c r="AN231" s="163" t="str">
        <f>"grep -SE -B400 ""CHR.+\|PRM\|1\|D.+(SWITCH|SIGNAL).+UNKNOWN"" "&amp;search_path&amp;"\RTDC"&amp;B231&amp;"\*"&amp;B231&amp;"*"&amp;TEXT(AVERAGE(F231,I231)-utc_offset/24,"YYYYMMDD")&amp;"*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"%USERPROFILE%\AppData\Local\Temp\OnboardLogs"\RTDC4025\*4025*19700101* | grep -SE "(Enforcement Action)|(\[TIMEOUT)|(CHR.+\|PRM\|1\|D.+(SWITCH|SIGNAL).+UNKNOWN)" - &gt;&gt; 2017-02-20-UncaughtWiMAX.txt</v>
      </c>
    </row>
    <row r="232" spans="1:40" x14ac:dyDescent="0.25">
      <c r="A232" s="33" t="s">
        <v>565</v>
      </c>
      <c r="B232" s="7">
        <v>4017</v>
      </c>
      <c r="C232" s="21" t="s">
        <v>408</v>
      </c>
      <c r="D232" s="21" t="s">
        <v>789</v>
      </c>
      <c r="E232" s="13">
        <v>42786.452777777777</v>
      </c>
      <c r="F232" s="13">
        <v>42786.458414351851</v>
      </c>
      <c r="G232" s="7">
        <v>7</v>
      </c>
      <c r="H232" s="21" t="s">
        <v>790</v>
      </c>
      <c r="I232" s="13">
        <v>42786.463449074072</v>
      </c>
      <c r="J232" s="7">
        <v>0</v>
      </c>
      <c r="K232" s="98" t="str">
        <f t="shared" si="106"/>
        <v>4017/4018</v>
      </c>
      <c r="L232" s="21" t="str">
        <f>VLOOKUP(A232,'Trips&amp;Operators'!$C$1:$G$99999,5,FALSE)</f>
        <v>ROMERO CHAD</v>
      </c>
      <c r="M232" s="6">
        <f t="shared" si="107"/>
        <v>5.0347222204436548E-3</v>
      </c>
      <c r="N232" s="7">
        <f t="shared" si="100"/>
        <v>7.2499999974388629</v>
      </c>
      <c r="O232" s="7"/>
      <c r="P232" s="7"/>
      <c r="Q232" s="22"/>
      <c r="R232" s="22"/>
      <c r="S232" s="31">
        <f t="shared" si="101"/>
        <v>0</v>
      </c>
      <c r="T232" s="46" t="e">
        <f t="shared" si="108"/>
        <v>#VALUE!</v>
      </c>
      <c r="U232" s="186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87" t="str">
        <f t="shared" si="102"/>
        <v>https://d0f6bd738d7f1b3e5a7ca70fe4ff75f0.us-east-1.aws.found.io/app/kibana#/discover/Steve-Slow-Train-Analysis-(2080s-and-2083s)?_g=(refreshInterval:(display:Off,pause:!f,section:0,value:0),time:(from:'2017-02-20T09:52:00-0700',mode:absolute,to:'2017-02-20T12:07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32" s="188" t="str">
        <f t="shared" si="109"/>
        <v>Y</v>
      </c>
      <c r="X232" s="188" t="e">
        <f t="shared" si="105"/>
        <v>#VALUE!</v>
      </c>
      <c r="Y232" s="62">
        <f t="shared" si="110"/>
        <v>2.1968999999999999</v>
      </c>
      <c r="Z232" s="62">
        <f t="shared" si="111"/>
        <v>8.5900000000000004E-2</v>
      </c>
      <c r="AA232" s="62">
        <f t="shared" si="112"/>
        <v>2.1109999999999998</v>
      </c>
      <c r="AB232" s="59" t="e">
        <f>VLOOKUP(A232,Enforcements!$C$7:$K$13,8,0)</f>
        <v>#N/A</v>
      </c>
      <c r="AC232" s="55" t="e">
        <f>VLOOKUP(A232,Enforcements!$C$7:$E$13,3,0)</f>
        <v>#N/A</v>
      </c>
      <c r="AD232" s="56" t="str">
        <f t="shared" si="113"/>
        <v>56-20</v>
      </c>
      <c r="AE232" s="85" t="str">
        <f t="shared" si="103"/>
        <v>aws s3 cp s3://rtdc.mdm.uploadarchive.raw/RTDC4017/ "%USERPROFILE%\AppData\Local\Temp\OnboardLogs"\RTDC4017\2017-02-20 --exclude "*" --recursive --include "*20170220*" &amp; "%USERPROFILE%\Documents\GitHub\mrs-test-scripts\Headless Mode &amp; Sideloading\WalkAndUnGZ.bat" "%USERPROFILE%\AppData\Local\Temp\OnboardLogs"\RTDC4017\2017-02-20 &amp; aws s3 cp s3://rtdc.mdm.uploadarchive.raw/RTDC4017/ "%USERPROFILE%\AppData\Local\Temp\OnboardLogs"\RTDC4017\2017-02-21 --exclude "*" --recursive --include "*20170221*" &amp; "%USERPROFILE%\Documents\GitHub\mrs-test-scripts\Headless Mode &amp; Sideloading\WalkAndUnGZ.bat" "%USERPROFILE%\AppData\Local\Temp\OnboardLogs"\RTDC4017\2017-02-21</v>
      </c>
      <c r="AF232" s="82" t="str">
        <f t="shared" si="104"/>
        <v>"C:\Program Files (x86)\AstroGrep\AstroGrep.exe" /spath="%USERPROFILE%\AppData\Local\Temp\OnboardLogs" /stypes="app*4017*20170220*" /stext=" 18:.+((SYSTEM_STATE.+slice.+state.+changed )|(ment ac)|(multiple cpu faults)|(system.+state.+changed )|(\[timeout)|(PRM\|1\|D)|(kpr)|(kdp)|(\|lc)|(penalty))" /e /r /s</v>
      </c>
      <c r="AG232" s="1" t="str">
        <f t="shared" si="114"/>
        <v>Other</v>
      </c>
      <c r="AH232" s="86" t="str">
        <f t="shared" si="97"/>
        <v>"%USERPROFILE%\Documents\GitHub\eaglep3\Utilities\RefineRTDCRunTimes.py" --tripid 56-20 --locoid 4017 --swversion DE.1.0.9.0 --startMP 300:21969 --initTime 2017-02-20T10:52:00 --startdatetime 2017-02-20T11:00:07 --delay 7 --endMP 204:859 --enddatetime 2017-02-20T11:07:22 --enforcementcount 0 &gt;&gt;C:\Users\stu\Documents\GitHub\eaglep3-reporting\EC\2017-02-20-refined-times.txt</v>
      </c>
      <c r="AI232" s="108" t="str">
        <f t="shared" si="98"/>
        <v>echo {"issue":{"subject":"","project_id":79,"tracker_id":40,"status_id":1,"priority_id":2,"assigned_to_id":23,"start_date":"2017-02-20","description":"","custom_fields":[{"id":1,"name":"Subdivision","value":"Other"},{"id":4,"name":"Milepost","value":"0.0859"},{"id":17,"name":"Train ID","value":"56-20"},{"id":16,"name":"Locomotive ID","value":"4017"},{"id":130,"name":"Impact","value":""},{"id":150,"name":"Time of Event (Mountain Time)","value":"11:07:22"},{"id":151,"name":"Denver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48"/>
      <c r="AK232" s="48"/>
      <c r="AL232" s="48"/>
      <c r="AM232" s="154" t="str">
        <f t="shared" si="99"/>
        <v>start /low /b %USERPROFILE%\Documents\GitHub\eaglep3\Utilities\DownloadLogsFromS3.py --loco 4017 --day 2017-02-20</v>
      </c>
      <c r="AN232" s="163" t="str">
        <f>"grep -SE -B400 ""CHR.+\|PRM\|1\|D.+(SWITCH|SIGNAL).+UNKNOWN"" "&amp;search_path&amp;"\RTDC"&amp;B232&amp;"\*"&amp;B232&amp;"*"&amp;TEXT(AVERAGE(F232,I232)-utc_offset/24,"YYYYMMDD")&amp;"*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"%USERPROFILE%\AppData\Local\Temp\OnboardLogs"\RTDC4017\*4017*20170220* | grep -SE "(Enforcement Action)|(\[TIMEOUT)|(CHR.+\|PRM\|1\|D.+(SWITCH|SIGNAL).+UNKNOWN)" - &gt;&gt; 2017-02-20-UncaughtWiMAX.txt</v>
      </c>
    </row>
    <row r="233" spans="1:40" x14ac:dyDescent="0.25">
      <c r="A233" s="33" t="s">
        <v>576</v>
      </c>
      <c r="B233" s="7">
        <v>4018</v>
      </c>
      <c r="C233" s="21" t="s">
        <v>408</v>
      </c>
      <c r="D233" s="21" t="s">
        <v>783</v>
      </c>
      <c r="E233" s="13">
        <v>42786.483877314815</v>
      </c>
      <c r="F233" s="13">
        <v>42786.490034722221</v>
      </c>
      <c r="G233" s="7">
        <v>1</v>
      </c>
      <c r="H233" s="21" t="s">
        <v>791</v>
      </c>
      <c r="I233" s="13">
        <v>42786.495925925927</v>
      </c>
      <c r="J233" s="7">
        <v>0</v>
      </c>
      <c r="K233" s="98" t="str">
        <f t="shared" si="106"/>
        <v>4017/4018</v>
      </c>
      <c r="L233" s="21" t="str">
        <f>VLOOKUP(A233,'Trips&amp;Operators'!$C$1:$G$99999,5,FALSE)</f>
        <v>BONDS REYNALDO</v>
      </c>
      <c r="M233" s="6">
        <f t="shared" si="107"/>
        <v>5.8912037056870759E-3</v>
      </c>
      <c r="N233" s="7">
        <f t="shared" si="100"/>
        <v>8.4833333361893892</v>
      </c>
      <c r="O233" s="7"/>
      <c r="P233" s="7"/>
      <c r="Q233" s="22"/>
      <c r="R233" s="22"/>
      <c r="S233" s="31">
        <f t="shared" si="101"/>
        <v>0</v>
      </c>
      <c r="T233" s="46" t="e">
        <f t="shared" si="108"/>
        <v>#VALUE!</v>
      </c>
      <c r="U233" s="186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87" t="str">
        <f t="shared" si="102"/>
        <v>https://d0f6bd738d7f1b3e5a7ca70fe4ff75f0.us-east-1.aws.found.io/app/kibana#/discover/Steve-Slow-Train-Analysis-(2080s-and-2083s)?_g=(refreshInterval:(display:Off,pause:!f,section:0,value:0),time:(from:'2017-02-20T10:36:47-0700',mode:absolute,to:'2017-02-20T12:54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33" s="188" t="str">
        <f t="shared" si="109"/>
        <v>Y</v>
      </c>
      <c r="X233" s="188" t="e">
        <f t="shared" si="105"/>
        <v>#VALUE!</v>
      </c>
      <c r="Y233" s="62">
        <f t="shared" si="110"/>
        <v>0.11749999999999999</v>
      </c>
      <c r="Z233" s="62">
        <f t="shared" si="111"/>
        <v>2.4239000000000002</v>
      </c>
      <c r="AA233" s="62">
        <f t="shared" si="112"/>
        <v>2.3064</v>
      </c>
      <c r="AB233" s="59" t="e">
        <f>VLOOKUP(A233,Enforcements!$C$7:$K$13,8,0)</f>
        <v>#N/A</v>
      </c>
      <c r="AC233" s="55" t="e">
        <f>VLOOKUP(A233,Enforcements!$C$7:$E$13,3,0)</f>
        <v>#N/A</v>
      </c>
      <c r="AD233" s="56" t="str">
        <f t="shared" si="113"/>
        <v>57-20</v>
      </c>
      <c r="AE233" s="85" t="str">
        <f t="shared" si="103"/>
        <v>aws s3 cp s3://rtdc.mdm.uploadarchive.raw/RTDC4018/ "%USERPROFILE%\AppData\Local\Temp\OnboardLogs"\RTDC4018\2017-02-20 --exclude "*" --recursive --include "*20170220*" &amp; "%USERPROFILE%\Documents\GitHub\mrs-test-scripts\Headless Mode &amp; Sideloading\WalkAndUnGZ.bat" "%USERPROFILE%\AppData\Local\Temp\OnboardLogs"\RTDC4018\2017-02-20 &amp; aws s3 cp s3://rtdc.mdm.uploadarchive.raw/RTDC4018/ "%USERPROFILE%\AppData\Local\Temp\OnboardLogs"\RTDC4018\2017-02-21 --exclude "*" --recursive --include "*20170221*" &amp; "%USERPROFILE%\Documents\GitHub\mrs-test-scripts\Headless Mode &amp; Sideloading\WalkAndUnGZ.bat" "%USERPROFILE%\AppData\Local\Temp\OnboardLogs"\RTDC4018\2017-02-21</v>
      </c>
      <c r="AF233" s="82" t="str">
        <f t="shared" si="104"/>
        <v>"C:\Program Files (x86)\AstroGrep\AstroGrep.exe" /spath="%USERPROFILE%\AppData\Local\Temp\OnboardLogs" /stypes="app*4018*20170220*" /stext=" 18:.+((SYSTEM_STATE.+slice.+state.+changed )|(ment ac)|(multiple cpu faults)|(system.+state.+changed )|(\[timeout)|(PRM\|1\|D)|(kpr)|(kdp)|(\|lc)|(penalty))" /e /r /s</v>
      </c>
      <c r="AG233" s="1" t="str">
        <f t="shared" si="114"/>
        <v>Other</v>
      </c>
      <c r="AH233" s="86" t="str">
        <f t="shared" si="97"/>
        <v>"%USERPROFILE%\Documents\GitHub\eaglep3\Utilities\RefineRTDCRunTimes.py" --tripid 57-20 --locoid 4018 --swversion DE.1.0.9.0 --startMP 204:1175 --initTime 2017-02-20T11:36:47 --startdatetime 2017-02-20T11:45:39 --delay 1 --endMP 300:24239 --enddatetime 2017-02-20T11:54:08 --enforcementcount 0 &gt;&gt;C:\Users\stu\Documents\GitHub\eaglep3-reporting\EC\2017-02-20-refined-times.txt</v>
      </c>
      <c r="AI233" s="108" t="str">
        <f t="shared" si="98"/>
        <v>echo {"issue":{"subject":"","project_id":79,"tracker_id":40,"status_id":1,"priority_id":2,"assigned_to_id":23,"start_date":"2017-02-20","description":"","custom_fields":[{"id":1,"name":"Subdivision","value":"Other"},{"id":4,"name":"Milepost","value":"2.4239"},{"id":17,"name":"Train ID","value":"57-20"},{"id":16,"name":"Locomotive ID","value":"4018"},{"id":130,"name":"Impact","value":""},{"id":150,"name":"Time of Event (Mountain Time)","value":"11:54:08"},{"id":151,"name":"Denver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48"/>
      <c r="AK233" s="48"/>
      <c r="AL233" s="48"/>
      <c r="AM233" s="154" t="str">
        <f t="shared" si="99"/>
        <v>start /low /b %USERPROFILE%\Documents\GitHub\eaglep3\Utilities\DownloadLogsFromS3.py --loco 4018 --day 2017-02-20</v>
      </c>
      <c r="AN233" s="163" t="str">
        <f>"grep -SE -B400 ""CHR.+\|PRM\|1\|D.+(SWITCH|SIGNAL).+UNKNOWN"" "&amp;search_path&amp;"\RTDC"&amp;B233&amp;"\*"&amp;B233&amp;"*"&amp;TEXT(AVERAGE(F233,I233)-utc_offset/24,"YYYYMMDD")&amp;"*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"%USERPROFILE%\AppData\Local\Temp\OnboardLogs"\RTDC4018\*4018*20170220* | grep -SE "(Enforcement Action)|(\[TIMEOUT)|(CHR.+\|PRM\|1\|D.+(SWITCH|SIGNAL).+UNKNOWN)" - &gt;&gt; 2017-02-20-UncaughtWiMAX.txt</v>
      </c>
    </row>
    <row r="234" spans="1:40" x14ac:dyDescent="0.25">
      <c r="A234" s="33" t="s">
        <v>668</v>
      </c>
      <c r="B234" s="7">
        <v>4050</v>
      </c>
      <c r="C234" s="21" t="s">
        <v>408</v>
      </c>
      <c r="D234" s="21" t="s">
        <v>339</v>
      </c>
      <c r="E234" s="13">
        <v>42786.899560185186</v>
      </c>
      <c r="F234" s="13">
        <v>42786.901817129627</v>
      </c>
      <c r="G234" s="7">
        <v>1</v>
      </c>
      <c r="H234" s="21" t="s">
        <v>269</v>
      </c>
      <c r="I234" s="13">
        <v>42786.930231481485</v>
      </c>
      <c r="J234" s="7">
        <v>0</v>
      </c>
      <c r="K234" s="98" t="str">
        <f t="shared" si="106"/>
        <v>4049/4050</v>
      </c>
      <c r="L234" s="21" t="str">
        <f>VLOOKUP(A234,'Trips&amp;Operators'!$C$1:$G$99999,5,FALSE)</f>
        <v>YANG JAN</v>
      </c>
      <c r="M234" s="6">
        <f t="shared" si="107"/>
        <v>2.8414351858373266E-2</v>
      </c>
      <c r="N234" s="7">
        <f t="shared" si="100"/>
        <v>40.916666676057503</v>
      </c>
      <c r="O234" s="7"/>
      <c r="P234" s="7"/>
      <c r="Q234" s="22"/>
      <c r="R234" s="22"/>
      <c r="S234" s="31">
        <f t="shared" si="101"/>
        <v>0</v>
      </c>
      <c r="T234" s="46" t="e">
        <f t="shared" si="108"/>
        <v>#VALUE!</v>
      </c>
      <c r="U234" s="186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87" t="str">
        <f t="shared" si="102"/>
        <v>https://d0f6bd738d7f1b3e5a7ca70fe4ff75f0.us-east-1.aws.found.io/app/kibana#/discover/Steve-Slow-Train-Analysis-(2080s-and-2083s)?_g=(refreshInterval:(display:Off,pause:!f,section:0,value:0),time:(from:'2017-02-20T20:35:22-0700',mode:absolute,to:'2017-02-20T23:19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4" s="188" t="str">
        <f t="shared" si="109"/>
        <v>N</v>
      </c>
      <c r="X234" s="188" t="e">
        <f t="shared" si="105"/>
        <v>#VALUE!</v>
      </c>
      <c r="Y234" s="62">
        <f t="shared" si="110"/>
        <v>23.2973</v>
      </c>
      <c r="Z234" s="62">
        <f t="shared" si="111"/>
        <v>1.61E-2</v>
      </c>
      <c r="AA234" s="62">
        <f t="shared" si="112"/>
        <v>23.281199999999998</v>
      </c>
      <c r="AB234" s="59" t="e">
        <f>VLOOKUP(A234,Enforcements!$C$7:$K$13,8,0)</f>
        <v>#N/A</v>
      </c>
      <c r="AC234" s="55" t="e">
        <f>VLOOKUP(A234,Enforcements!$C$7:$E$13,3,0)</f>
        <v>#N/A</v>
      </c>
      <c r="AD234" s="56" t="str">
        <f t="shared" si="113"/>
        <v>62-20</v>
      </c>
      <c r="AE234" s="85" t="str">
        <f t="shared" si="103"/>
        <v>aws s3 cp s3://rtdc.mdm.uploadarchive.raw/RTDC4050/ "%USERPROFILE%\AppData\Local\Temp\OnboardLogs"\RTDC4050\2017-02-20 --exclude "*" --recursive --include "*20170220*" &amp; "%USERPROFILE%\Documents\GitHub\mrs-test-scripts\Headless Mode &amp; Sideloading\WalkAndUnGZ.bat" "%USERPROFILE%\AppData\Local\Temp\OnboardLogs"\RTDC4050\2017-02-20 &amp; aws s3 cp s3://rtdc.mdm.uploadarchive.raw/RTDC4050/ "%USERPROFILE%\AppData\Local\Temp\OnboardLogs"\RTDC4050\2017-02-21 --exclude "*" --recursive --include "*20170221*" &amp; "%USERPROFILE%\Documents\GitHub\mrs-test-scripts\Headless Mode &amp; Sideloading\WalkAndUnGZ.bat" "%USERPROFILE%\AppData\Local\Temp\OnboardLogs"\RTDC4050\2017-02-21</v>
      </c>
      <c r="AF234" s="82" t="str">
        <f t="shared" si="104"/>
        <v>"C:\Program Files (x86)\AstroGrep\AstroGrep.exe" /spath="%USERPROFILE%\AppData\Local\Temp\OnboardLogs" /stypes="app*4050*20170221*" /stext=" 05:.+((SYSTEM_STATE.+slice.+state.+changed )|(ment ac)|(multiple cpu faults)|(system.+state.+changed )|(\[timeout)|(PRM\|1\|D)|(kpr)|(kdp)|(\|lc)|(penalty))" /e /r /s</v>
      </c>
      <c r="AG234" s="1" t="str">
        <f t="shared" si="114"/>
        <v>Other</v>
      </c>
      <c r="AH234" s="86" t="str">
        <f t="shared" si="97"/>
        <v>"%USERPROFILE%\Documents\GitHub\eaglep3\Utilities\RefineRTDCRunTimes.py" --tripid 62-20 --locoid 4050 --swversion DE.1.0.9.0 --startMP 204:232973 --initTime 2017-02-20T21:35:22 --startdatetime 2017-02-20T21:38:37 --delay 1 --endMP 204:161 --enddatetime 2017-02-20T22:19:32 --enforcementcount 0 &gt;&gt;C:\Users\stu\Documents\GitHub\eaglep3-reporting\EC\2017-02-20-refined-times.txt</v>
      </c>
      <c r="AI234" s="108" t="str">
        <f t="shared" si="98"/>
        <v>echo {"issue":{"subject":"","project_id":79,"tracker_id":40,"status_id":1,"priority_id":2,"assigned_to_id":23,"start_date":"2017-02-20","description":"","custom_fields":[{"id":1,"name":"Subdivision","value":"Other"},{"id":4,"name":"Milepost","value":"0.0161"},{"id":17,"name":"Train ID","value":"62-20"},{"id":16,"name":"Locomotive ID","value":"4050"},{"id":130,"name":"Impact","value":""},{"id":150,"name":"Time of Event (Mountain Time)","value":"22:19:32"},{"id":151,"name":"Denver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48"/>
      <c r="AK234" s="48"/>
      <c r="AL234" s="48"/>
      <c r="AM234" s="154" t="str">
        <f t="shared" si="99"/>
        <v>start /low /b %USERPROFILE%\Documents\GitHub\eaglep3\Utilities\DownloadLogsFromS3.py --loco 4050 --day 2017-02-20</v>
      </c>
      <c r="AN234" s="163" t="str">
        <f>"grep -SE -B400 ""CHR.+\|PRM\|1\|D.+(SWITCH|SIGNAL).+UNKNOWN"" "&amp;search_path&amp;"\RTDC"&amp;B234&amp;"\*"&amp;B234&amp;"*"&amp;TEXT(AVERAGE(F234,I234)-utc_offset/24,"YYYYMMDD")&amp;"*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"%USERPROFILE%\AppData\Local\Temp\OnboardLogs"\RTDC4050\*4050*20170221* | grep -SE "(Enforcement Action)|(\[TIMEOUT)|(CHR.+\|PRM\|1\|D.+(SWITCH|SIGNAL).+UNKNOWN)" - &gt;&gt; 2017-02-20-UncaughtWiMAX.txt</v>
      </c>
    </row>
    <row r="235" spans="1:40" x14ac:dyDescent="0.25">
      <c r="A235" s="33" t="s">
        <v>668</v>
      </c>
      <c r="B235" s="7">
        <v>4050</v>
      </c>
      <c r="C235" s="21" t="s">
        <v>408</v>
      </c>
      <c r="D235" s="21" t="s">
        <v>339</v>
      </c>
      <c r="E235" s="13">
        <v>42786.9609837963</v>
      </c>
      <c r="F235" s="13">
        <v>42786.968217592592</v>
      </c>
      <c r="G235" s="7">
        <v>2</v>
      </c>
      <c r="H235" s="21" t="s">
        <v>206</v>
      </c>
      <c r="I235" s="13">
        <v>42786.995856481481</v>
      </c>
      <c r="J235" s="7">
        <v>0</v>
      </c>
      <c r="K235" s="98" t="str">
        <f t="shared" si="106"/>
        <v>4049/4050</v>
      </c>
      <c r="L235" s="21" t="str">
        <f>VLOOKUP(A235,'Trips&amp;Operators'!$C$1:$G$99999,5,FALSE)</f>
        <v>YANG JAN</v>
      </c>
      <c r="M235" s="6">
        <f t="shared" si="107"/>
        <v>2.7638888888759539E-2</v>
      </c>
      <c r="N235" s="7">
        <f t="shared" si="100"/>
        <v>39.799999999813735</v>
      </c>
      <c r="O235" s="7"/>
      <c r="P235" s="7"/>
      <c r="Q235" s="22"/>
      <c r="R235" s="22"/>
      <c r="S235" s="31">
        <f t="shared" si="101"/>
        <v>0</v>
      </c>
      <c r="T235" s="46" t="e">
        <f t="shared" si="108"/>
        <v>#VALUE!</v>
      </c>
      <c r="U235" s="186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87" t="str">
        <f t="shared" si="102"/>
        <v>https://d0f6bd738d7f1b3e5a7ca70fe4ff75f0.us-east-1.aws.found.io/app/kibana#/discover/Steve-Slow-Train-Analysis-(2080s-and-2083s)?_g=(refreshInterval:(display:Off,pause:!f,section:0,value:0),time:(from:'2017-02-20T22:03:49-0700',mode:absolute,to:'2017-02-21T00:54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5" s="188" t="str">
        <f t="shared" si="109"/>
        <v>N</v>
      </c>
      <c r="X235" s="188" t="e">
        <f t="shared" si="105"/>
        <v>#VALUE!</v>
      </c>
      <c r="Y235" s="62">
        <f t="shared" si="110"/>
        <v>23.2973</v>
      </c>
      <c r="Z235" s="62">
        <f t="shared" si="111"/>
        <v>1.52E-2</v>
      </c>
      <c r="AA235" s="62">
        <f t="shared" si="112"/>
        <v>23.2821</v>
      </c>
      <c r="AB235" s="59" t="e">
        <f>VLOOKUP(A235,Enforcements!$C$7:$K$13,8,0)</f>
        <v>#N/A</v>
      </c>
      <c r="AC235" s="55" t="e">
        <f>VLOOKUP(A235,Enforcements!$C$7:$E$13,3,0)</f>
        <v>#N/A</v>
      </c>
      <c r="AD235" s="56" t="str">
        <f t="shared" si="113"/>
        <v>62-20</v>
      </c>
      <c r="AE235" s="85" t="str">
        <f t="shared" si="103"/>
        <v>aws s3 cp s3://rtdc.mdm.uploadarchive.raw/RTDC4050/ "%USERPROFILE%\AppData\Local\Temp\OnboardLogs"\RTDC4050\2017-02-20 --exclude "*" --recursive --include "*20170220*" &amp; "%USERPROFILE%\Documents\GitHub\mrs-test-scripts\Headless Mode &amp; Sideloading\WalkAndUnGZ.bat" "%USERPROFILE%\AppData\Local\Temp\OnboardLogs"\RTDC4050\2017-02-20 &amp; aws s3 cp s3://rtdc.mdm.uploadarchive.raw/RTDC4050/ "%USERPROFILE%\AppData\Local\Temp\OnboardLogs"\RTDC4050\2017-02-21 --exclude "*" --recursive --include "*20170221*" &amp; "%USERPROFILE%\Documents\GitHub\mrs-test-scripts\Headless Mode &amp; Sideloading\WalkAndUnGZ.bat" "%USERPROFILE%\AppData\Local\Temp\OnboardLogs"\RTDC4050\2017-02-21</v>
      </c>
      <c r="AF235" s="82" t="str">
        <f t="shared" si="104"/>
        <v>"C:\Program Files (x86)\AstroGrep\AstroGrep.exe" /spath="%USERPROFILE%\AppData\Local\Temp\OnboardLogs" /stypes="app*4050*20170221*" /stext=" 06:.+((SYSTEM_STATE.+slice.+state.+changed )|(ment ac)|(multiple cpu faults)|(system.+state.+changed )|(\[timeout)|(PRM\|1\|D)|(kpr)|(kdp)|(\|lc)|(penalty))" /e /r /s</v>
      </c>
      <c r="AG235" s="1" t="str">
        <f t="shared" si="114"/>
        <v>Other</v>
      </c>
      <c r="AH235" s="86" t="str">
        <f t="shared" si="97"/>
        <v>"%USERPROFILE%\Documents\GitHub\eaglep3\Utilities\RefineRTDCRunTimes.py" --tripid 62-20 --locoid 4050 --swversion DE.1.0.9.0 --startMP 204:232973 --initTime 2017-02-20T23:03:49 --startdatetime 2017-02-20T23:14:14 --delay 2 --endMP 204:152 --enddatetime 2017-02-20T23:54:02 --enforcementcount 0 &gt;&gt;C:\Users\stu\Documents\GitHub\eaglep3-reporting\EC\2017-02-20-refined-times.txt</v>
      </c>
      <c r="AI235" s="108" t="str">
        <f t="shared" si="98"/>
        <v>echo {"issue":{"subject":"","project_id":79,"tracker_id":40,"status_id":1,"priority_id":2,"assigned_to_id":23,"start_date":"2017-02-20","description":"","custom_fields":[{"id":1,"name":"Subdivision","value":"Other"},{"id":4,"name":"Milepost","value":"0.0152"},{"id":17,"name":"Train ID","value":"62-20"},{"id":16,"name":"Locomotive ID","value":"4050"},{"id":130,"name":"Impact","value":""},{"id":150,"name":"Time of Event (Mountain Time)","value":"23:54:02"},{"id":151,"name":"Denver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48"/>
      <c r="AK235" s="48"/>
      <c r="AL235" s="48"/>
      <c r="AM235" s="154" t="str">
        <f t="shared" si="99"/>
        <v>start /low /b %USERPROFILE%\Documents\GitHub\eaglep3\Utilities\DownloadLogsFromS3.py --loco 4050 --day 2017-02-20</v>
      </c>
      <c r="AN235" s="163" t="str">
        <f>"grep -SE -B400 ""CHR.+\|PRM\|1\|D.+(SWITCH|SIGNAL).+UNKNOWN"" "&amp;search_path&amp;"\RTDC"&amp;B235&amp;"\*"&amp;B235&amp;"*"&amp;TEXT(AVERAGE(F235,I235)-utc_offset/24,"YYYYMMDD")&amp;"*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"%USERPROFILE%\AppData\Local\Temp\OnboardLogs"\RTDC4050\*4050*20170221* | grep -SE "(Enforcement Action)|(\[TIMEOUT)|(CHR.+\|PRM\|1\|D.+(SWITCH|SIGNAL).+UNKNOWN)" - &gt;&gt; 2017-02-20-UncaughtWiMAX.txt</v>
      </c>
    </row>
    <row r="236" spans="1:40" x14ac:dyDescent="0.25">
      <c r="A236" s="33" t="s">
        <v>668</v>
      </c>
      <c r="B236" s="7">
        <v>4050</v>
      </c>
      <c r="C236" s="21" t="s">
        <v>408</v>
      </c>
      <c r="D236" s="21" t="s">
        <v>744</v>
      </c>
      <c r="E236" s="13">
        <v>42787.035300925927</v>
      </c>
      <c r="F236" s="13">
        <v>42787.03702546296</v>
      </c>
      <c r="G236" s="7">
        <v>2</v>
      </c>
      <c r="H236" s="21" t="s">
        <v>291</v>
      </c>
      <c r="I236" s="13">
        <v>42787.065023148149</v>
      </c>
      <c r="J236" s="7">
        <v>0</v>
      </c>
      <c r="K236" s="98" t="str">
        <f t="shared" si="106"/>
        <v>4049/4050</v>
      </c>
      <c r="L236" s="21" t="str">
        <f>VLOOKUP(A236,'Trips&amp;Operators'!$C$1:$G$99999,5,FALSE)</f>
        <v>YANG JAN</v>
      </c>
      <c r="M236" s="6">
        <f t="shared" si="107"/>
        <v>2.7997685188893229E-2</v>
      </c>
      <c r="N236" s="7">
        <f t="shared" si="100"/>
        <v>40.316666672006249</v>
      </c>
      <c r="O236" s="7"/>
      <c r="P236" s="7"/>
      <c r="Q236" s="22"/>
      <c r="R236" s="22"/>
      <c r="S236" s="31">
        <f t="shared" si="101"/>
        <v>0</v>
      </c>
      <c r="T236" s="46" t="e">
        <f t="shared" si="108"/>
        <v>#VALUE!</v>
      </c>
      <c r="U236" s="186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87" t="str">
        <f t="shared" si="102"/>
        <v>https://d0f6bd738d7f1b3e5a7ca70fe4ff75f0.us-east-1.aws.found.io/app/kibana#/discover/Steve-Slow-Train-Analysis-(2080s-and-2083s)?_g=(refreshInterval:(display:Off,pause:!f,section:0,value:0),time:(from:'2017-02-20T23:50:50-0700',mode:absolute,to:'2017-02-21T02:33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6" s="188" t="str">
        <f t="shared" si="109"/>
        <v>N</v>
      </c>
      <c r="X236" s="188" t="e">
        <f t="shared" si="105"/>
        <v>#VALUE!</v>
      </c>
      <c r="Y236" s="62">
        <f t="shared" si="110"/>
        <v>23.297899999999998</v>
      </c>
      <c r="Z236" s="62">
        <f t="shared" si="111"/>
        <v>1.47E-2</v>
      </c>
      <c r="AA236" s="62">
        <f t="shared" si="112"/>
        <v>23.283199999999997</v>
      </c>
      <c r="AB236" s="59" t="e">
        <f>VLOOKUP(A236,Enforcements!$C$7:$K$13,8,0)</f>
        <v>#N/A</v>
      </c>
      <c r="AC236" s="55" t="e">
        <f>VLOOKUP(A236,Enforcements!$C$7:$E$13,3,0)</f>
        <v>#N/A</v>
      </c>
      <c r="AD236" s="56" t="str">
        <f t="shared" si="113"/>
        <v>62-20</v>
      </c>
      <c r="AE236" s="85" t="str">
        <f t="shared" si="103"/>
        <v>aws s3 cp s3://rtdc.mdm.uploadarchive.raw/RTDC4050/ "%USERPROFILE%\AppData\Local\Temp\OnboardLogs"\RTDC4050\2017-02-21 --exclude "*" --recursive --include "*20170221*" &amp; "%USERPROFILE%\Documents\GitHub\mrs-test-scripts\Headless Mode &amp; Sideloading\WalkAndUnGZ.bat" "%USERPROFILE%\AppData\Local\Temp\OnboardLogs"\RTDC4050\2017-02-21 &amp; aws s3 cp s3://rtdc.mdm.uploadarchive.raw/RTDC4050/ "%USERPROFILE%\AppData\Local\Temp\OnboardLogs"\RTDC4050\2017-02-22 --exclude "*" --recursive --include "*20170222*" &amp; "%USERPROFILE%\Documents\GitHub\mrs-test-scripts\Headless Mode &amp; Sideloading\WalkAndUnGZ.bat" "%USERPROFILE%\AppData\Local\Temp\OnboardLogs"\RTDC4050\2017-02-22</v>
      </c>
      <c r="AF236" s="82" t="str">
        <f t="shared" si="104"/>
        <v>"C:\Program Files (x86)\AstroGrep\AstroGrep.exe" /spath="%USERPROFILE%\AppData\Local\Temp\OnboardLogs" /stypes="app*4050*20170221*" /stext=" 08:.+((SYSTEM_STATE.+slice.+state.+changed )|(ment ac)|(multiple cpu faults)|(system.+state.+changed )|(\[timeout)|(PRM\|1\|D)|(kpr)|(kdp)|(\|lc)|(penalty))" /e /r /s</v>
      </c>
      <c r="AG236" s="1" t="str">
        <f t="shared" si="114"/>
        <v>Other</v>
      </c>
      <c r="AH236" s="86" t="str">
        <f t="shared" si="97"/>
        <v>"%USERPROFILE%\Documents\GitHub\eaglep3\Utilities\RefineRTDCRunTimes.py" --tripid 62-20 --locoid 4050 --swversion DE.1.0.9.0 --startMP 204:232979 --initTime 2017-02-21T00:50:50 --startdatetime 2017-02-21T00:53:19 --delay 2 --endMP 204:147 --enddatetime 2017-02-21T01:33:38 --enforcementcount 0 &gt;&gt;C:\Users\stu\Documents\GitHub\eaglep3-reporting\EC\2017-02-20-refined-times.txt</v>
      </c>
      <c r="AI236" s="108" t="str">
        <f t="shared" si="98"/>
        <v>echo {"issue":{"subject":"","project_id":79,"tracker_id":40,"status_id":1,"priority_id":2,"assigned_to_id":23,"start_date":"2017-02-21","description":"","custom_fields":[{"id":1,"name":"Subdivision","value":"Other"},{"id":4,"name":"Milepost","value":"0.0147"},{"id":17,"name":"Train ID","value":"62-20"},{"id":16,"name":"Locomotive ID","value":"4050"},{"id":130,"name":"Impact","value":""},{"id":150,"name":"Time of Event (Mountain Time)","value":"01:33:38"},{"id":151,"name":"Denver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48"/>
      <c r="AK236" s="48"/>
      <c r="AL236" s="48"/>
      <c r="AM236" s="154" t="str">
        <f t="shared" si="99"/>
        <v>start /low /b %USERPROFILE%\Documents\GitHub\eaglep3\Utilities\DownloadLogsFromS3.py --loco 4050 --day 2017-02-21</v>
      </c>
      <c r="AN236" s="163" t="str">
        <f>"grep -SE -B400 ""CHR.+\|PRM\|1\|D.+(SWITCH|SIGNAL).+UNKNOWN"" "&amp;search_path&amp;"\RTDC"&amp;B236&amp;"\*"&amp;B236&amp;"*"&amp;TEXT(AVERAGE(F236,I236)-utc_offset/24,"YYYYMMDD")&amp;"*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"%USERPROFILE%\AppData\Local\Temp\OnboardLogs"\RTDC4050\*4050*20170221* | grep -SE "(Enforcement Action)|(\[TIMEOUT)|(CHR.+\|PRM\|1\|D.+(SWITCH|SIGNAL).+UNKNOWN)" - &gt;&gt; 2017-02-20-UncaughtWiMAX.txt</v>
      </c>
    </row>
    <row r="237" spans="1:40" x14ac:dyDescent="0.25">
      <c r="A237" s="33" t="s">
        <v>668</v>
      </c>
      <c r="B237" s="7">
        <v>4050</v>
      </c>
      <c r="C237" s="21" t="s">
        <v>408</v>
      </c>
      <c r="D237" s="21" t="s">
        <v>444</v>
      </c>
      <c r="E237" s="13">
        <v>42786.83898148148</v>
      </c>
      <c r="F237" s="13">
        <v>42786.840509259258</v>
      </c>
      <c r="G237" s="7">
        <v>1</v>
      </c>
      <c r="H237" s="21" t="s">
        <v>792</v>
      </c>
      <c r="I237" s="13">
        <v>42786.846817129626</v>
      </c>
      <c r="J237" s="7">
        <v>0</v>
      </c>
      <c r="K237" s="98" t="str">
        <f t="shared" si="106"/>
        <v>4049/4050</v>
      </c>
      <c r="L237" s="21" t="str">
        <f>VLOOKUP(A237,'Trips&amp;Operators'!$C$1:$G$99999,5,FALSE)</f>
        <v>YANG JAN</v>
      </c>
      <c r="M237" s="6">
        <f t="shared" si="107"/>
        <v>6.3078703678911552E-3</v>
      </c>
      <c r="N237" s="7">
        <f t="shared" si="100"/>
        <v>9.0833333297632635</v>
      </c>
      <c r="O237" s="7"/>
      <c r="P237" s="7"/>
      <c r="Q237" s="22"/>
      <c r="R237" s="22"/>
      <c r="S237" s="31">
        <f t="shared" si="101"/>
        <v>0</v>
      </c>
      <c r="T237" s="46" t="e">
        <f t="shared" si="108"/>
        <v>#VALUE!</v>
      </c>
      <c r="U237" s="186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87" t="str">
        <f t="shared" si="102"/>
        <v>https://d0f6bd738d7f1b3e5a7ca70fe4ff75f0.us-east-1.aws.found.io/app/kibana#/discover/Steve-Slow-Train-Analysis-(2080s-and-2083s)?_g=(refreshInterval:(display:Off,pause:!f,section:0,value:0),time:(from:'2017-02-20T19:08:08-0700',mode:absolute,to:'2017-02-20T21:19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7" s="188" t="str">
        <f t="shared" si="109"/>
        <v>Y</v>
      </c>
      <c r="X237" s="188" t="e">
        <f t="shared" si="105"/>
        <v>#VALUE!</v>
      </c>
      <c r="Y237" s="62">
        <f t="shared" si="110"/>
        <v>2.3174999999999999</v>
      </c>
      <c r="Z237" s="62">
        <f t="shared" si="111"/>
        <v>9.4100000000000003E-2</v>
      </c>
      <c r="AA237" s="62">
        <f t="shared" si="112"/>
        <v>2.2233999999999998</v>
      </c>
      <c r="AB237" s="59" t="e">
        <f>VLOOKUP(A237,Enforcements!$C$7:$K$13,8,0)</f>
        <v>#N/A</v>
      </c>
      <c r="AC237" s="55" t="e">
        <f>VLOOKUP(A237,Enforcements!$C$7:$E$13,3,0)</f>
        <v>#N/A</v>
      </c>
      <c r="AD237" s="56" t="str">
        <f t="shared" si="113"/>
        <v>62-20</v>
      </c>
      <c r="AE237" s="85" t="str">
        <f t="shared" si="103"/>
        <v>aws s3 cp s3://rtdc.mdm.uploadarchive.raw/RTDC4050/ "%USERPROFILE%\AppData\Local\Temp\OnboardLogs"\RTDC4050\2017-02-20 --exclude "*" --recursive --include "*20170220*" &amp; "%USERPROFILE%\Documents\GitHub\mrs-test-scripts\Headless Mode &amp; Sideloading\WalkAndUnGZ.bat" "%USERPROFILE%\AppData\Local\Temp\OnboardLogs"\RTDC4050\2017-02-20 &amp; aws s3 cp s3://rtdc.mdm.uploadarchive.raw/RTDC4050/ "%USERPROFILE%\AppData\Local\Temp\OnboardLogs"\RTDC4050\2017-02-21 --exclude "*" --recursive --include "*20170221*" &amp; "%USERPROFILE%\Documents\GitHub\mrs-test-scripts\Headless Mode &amp; Sideloading\WalkAndUnGZ.bat" "%USERPROFILE%\AppData\Local\Temp\OnboardLogs"\RTDC4050\2017-02-21</v>
      </c>
      <c r="AF237" s="82" t="str">
        <f t="shared" si="104"/>
        <v>"C:\Program Files (x86)\AstroGrep\AstroGrep.exe" /spath="%USERPROFILE%\AppData\Local\Temp\OnboardLogs" /stypes="app*4050*20170221*" /stext=" 03:.+((SYSTEM_STATE.+slice.+state.+changed )|(ment ac)|(multiple cpu faults)|(system.+state.+changed )|(\[timeout)|(PRM\|1\|D)|(kpr)|(kdp)|(\|lc)|(penalty))" /e /r /s</v>
      </c>
      <c r="AG237" s="1" t="str">
        <f t="shared" si="114"/>
        <v>Other</v>
      </c>
      <c r="AH237" s="86" t="str">
        <f t="shared" si="97"/>
        <v>"%USERPROFILE%\Documents\GitHub\eaglep3\Utilities\RefineRTDCRunTimes.py" --tripid 62-20 --locoid 4050 --swversion DE.1.0.9.0 --startMP 300:23175 --initTime 2017-02-20T20:08:08 --startdatetime 2017-02-20T20:10:20 --delay 1 --endMP 204:941 --enddatetime 2017-02-20T20:19:25 --enforcementcount 0 &gt;&gt;C:\Users\stu\Documents\GitHub\eaglep3-reporting\EC\2017-02-20-refined-times.txt</v>
      </c>
      <c r="AI237" s="108" t="str">
        <f t="shared" si="98"/>
        <v>echo {"issue":{"subject":"","project_id":79,"tracker_id":40,"status_id":1,"priority_id":2,"assigned_to_id":23,"start_date":"2017-02-20","description":"","custom_fields":[{"id":1,"name":"Subdivision","value":"Other"},{"id":4,"name":"Milepost","value":"0.0941"},{"id":17,"name":"Train ID","value":"62-20"},{"id":16,"name":"Locomotive ID","value":"4050"},{"id":130,"name":"Impact","value":""},{"id":150,"name":"Time of Event (Mountain Time)","value":"20:19:25"},{"id":151,"name":"Denver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48"/>
      <c r="AK237" s="48"/>
      <c r="AL237" s="48"/>
      <c r="AM237" s="154" t="str">
        <f t="shared" si="99"/>
        <v>start /low /b %USERPROFILE%\Documents\GitHub\eaglep3\Utilities\DownloadLogsFromS3.py --loco 4050 --day 2017-02-20</v>
      </c>
      <c r="AN237" s="163" t="str">
        <f>"grep -SE -B400 ""CHR.+\|PRM\|1\|D.+(SWITCH|SIGNAL).+UNKNOWN"" "&amp;search_path&amp;"\RTDC"&amp;B237&amp;"\*"&amp;B237&amp;"*"&amp;TEXT(AVERAGE(F237,I237)-utc_offset/24,"YYYYMMDD")&amp;"*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"%USERPROFILE%\AppData\Local\Temp\OnboardLogs"\RTDC4050\*4050*20170221* | grep -SE "(Enforcement Action)|(\[TIMEOUT)|(CHR.+\|PRM\|1\|D.+(SWITCH|SIGNAL).+UNKNOWN)" - &gt;&gt; 2017-02-20-UncaughtWiMAX.txt</v>
      </c>
    </row>
    <row r="238" spans="1:40" x14ac:dyDescent="0.25">
      <c r="A238" s="33" t="s">
        <v>673</v>
      </c>
      <c r="B238" s="7">
        <v>4049</v>
      </c>
      <c r="C238" s="21" t="s">
        <v>408</v>
      </c>
      <c r="D238" s="21" t="s">
        <v>793</v>
      </c>
      <c r="E238" s="13">
        <v>42786.861932870372</v>
      </c>
      <c r="F238" s="13">
        <v>42786.864976851852</v>
      </c>
      <c r="G238" s="7">
        <v>1</v>
      </c>
      <c r="H238" s="21" t="s">
        <v>735</v>
      </c>
      <c r="I238" s="13">
        <v>42786.897094907406</v>
      </c>
      <c r="J238" s="7">
        <v>0</v>
      </c>
      <c r="K238" s="98" t="str">
        <f t="shared" si="106"/>
        <v>4049/4050</v>
      </c>
      <c r="L238" s="21" t="str">
        <f>VLOOKUP(A238,'Trips&amp;Operators'!$C$1:$G$99999,5,FALSE)</f>
        <v>YANG JAN</v>
      </c>
      <c r="M238" s="6">
        <f t="shared" si="107"/>
        <v>3.2118055554747116E-2</v>
      </c>
      <c r="N238" s="7">
        <f t="shared" si="100"/>
        <v>46.249999998835847</v>
      </c>
      <c r="O238" s="7"/>
      <c r="P238" s="7"/>
      <c r="Q238" s="22"/>
      <c r="R238" s="22"/>
      <c r="S238" s="31">
        <f t="shared" si="101"/>
        <v>0</v>
      </c>
      <c r="T238" s="46" t="e">
        <f t="shared" si="108"/>
        <v>#VALUE!</v>
      </c>
      <c r="U238" s="186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87" t="str">
        <f t="shared" si="102"/>
        <v>https://d0f6bd738d7f1b3e5a7ca70fe4ff75f0.us-east-1.aws.found.io/app/kibana#/discover/Steve-Slow-Train-Analysis-(2080s-and-2083s)?_g=(refreshInterval:(display:Off,pause:!f,section:0,value:0),time:(from:'2017-02-20T19:41:11-0700',mode:absolute,to:'2017-02-20T22:31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38" s="188" t="str">
        <f t="shared" si="109"/>
        <v>N</v>
      </c>
      <c r="X238" s="188" t="e">
        <f t="shared" si="105"/>
        <v>#VALUE!</v>
      </c>
      <c r="Y238" s="62">
        <f t="shared" si="110"/>
        <v>0.12570000000000001</v>
      </c>
      <c r="Z238" s="62">
        <f t="shared" si="111"/>
        <v>23.328199999999999</v>
      </c>
      <c r="AA238" s="62">
        <f t="shared" si="112"/>
        <v>23.202500000000001</v>
      </c>
      <c r="AB238" s="59" t="e">
        <f>VLOOKUP(A238,Enforcements!$C$7:$K$13,8,0)</f>
        <v>#N/A</v>
      </c>
      <c r="AC238" s="55" t="e">
        <f>VLOOKUP(A238,Enforcements!$C$7:$E$13,3,0)</f>
        <v>#N/A</v>
      </c>
      <c r="AD238" s="56" t="str">
        <f t="shared" si="113"/>
        <v>63-20</v>
      </c>
      <c r="AE238" s="85" t="str">
        <f t="shared" si="103"/>
        <v>aws s3 cp s3://rtdc.mdm.uploadarchive.raw/RTDC4049/ "%USERPROFILE%\AppData\Local\Temp\OnboardLogs"\RTDC4049\2017-02-20 --exclude "*" --recursive --include "*20170220*" &amp; "%USERPROFILE%\Documents\GitHub\mrs-test-scripts\Headless Mode &amp; Sideloading\WalkAndUnGZ.bat" "%USERPROFILE%\AppData\Local\Temp\OnboardLogs"\RTDC4049\2017-02-20 &amp; aws s3 cp s3://rtdc.mdm.uploadarchive.raw/RTDC4049/ "%USERPROFILE%\AppData\Local\Temp\OnboardLogs"\RTDC4049\2017-02-21 --exclude "*" --recursive --include "*20170221*" &amp; "%USERPROFILE%\Documents\GitHub\mrs-test-scripts\Headless Mode &amp; Sideloading\WalkAndUnGZ.bat" "%USERPROFILE%\AppData\Local\Temp\OnboardLogs"\RTDC4049\2017-02-21</v>
      </c>
      <c r="AF238" s="82" t="str">
        <f t="shared" si="104"/>
        <v>"C:\Program Files (x86)\AstroGrep\AstroGrep.exe" /spath="%USERPROFILE%\AppData\Local\Temp\OnboardLogs" /stypes="app*4049*20170221*" /stext=" 04:.+((SYSTEM_STATE.+slice.+state.+changed )|(ment ac)|(multiple cpu faults)|(system.+state.+changed )|(\[timeout)|(PRM\|1\|D)|(kpr)|(kdp)|(\|lc)|(penalty))" /e /r /s</v>
      </c>
      <c r="AG238" s="1" t="str">
        <f t="shared" si="114"/>
        <v>Other</v>
      </c>
      <c r="AH238" s="86" t="str">
        <f t="shared" si="97"/>
        <v>"%USERPROFILE%\Documents\GitHub\eaglep3\Utilities\RefineRTDCRunTimes.py" --tripid 63-20 --locoid 4049 --swversion DE.1.0.9.0 --startMP 204:1257 --initTime 2017-02-20T20:41:11 --startdatetime 2017-02-20T20:45:34 --delay 1 --endMP 204:233282 --enddatetime 2017-02-20T21:31:49 --enforcementcount 0 &gt;&gt;C:\Users\stu\Documents\GitHub\eaglep3-reporting\EC\2017-02-20-refined-times.txt</v>
      </c>
      <c r="AI238" s="108" t="str">
        <f t="shared" si="98"/>
        <v>echo {"issue":{"subject":"","project_id":79,"tracker_id":40,"status_id":1,"priority_id":2,"assigned_to_id":23,"start_date":"2017-02-20","description":"","custom_fields":[{"id":1,"name":"Subdivision","value":"Other"},{"id":4,"name":"Milepost","value":"23.3282"},{"id":17,"name":"Train ID","value":"63-20"},{"id":16,"name":"Locomotive ID","value":"4049"},{"id":130,"name":"Impact","value":""},{"id":150,"name":"Time of Event (Mountain Time)","value":"21:31:49"},{"id":151,"name":"Denver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48"/>
      <c r="AK238" s="48"/>
      <c r="AL238" s="48"/>
      <c r="AM238" s="154" t="str">
        <f t="shared" si="99"/>
        <v>start /low /b %USERPROFILE%\Documents\GitHub\eaglep3\Utilities\DownloadLogsFromS3.py --loco 4049 --day 2017-02-20</v>
      </c>
      <c r="AN238" s="163" t="str">
        <f>"grep -SE -B400 ""CHR.+\|PRM\|1\|D.+(SWITCH|SIGNAL).+UNKNOWN"" "&amp;search_path&amp;"\RTDC"&amp;B238&amp;"\*"&amp;B238&amp;"*"&amp;TEXT(AVERAGE(F238,I238)-utc_offset/24,"YYYYMMDD")&amp;"*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"%USERPROFILE%\AppData\Local\Temp\OnboardLogs"\RTDC4049\*4049*20170221* | grep -SE "(Enforcement Action)|(\[TIMEOUT)|(CHR.+\|PRM\|1\|D.+(SWITCH|SIGNAL).+UNKNOWN)" - &gt;&gt; 2017-02-20-UncaughtWiMAX.txt</v>
      </c>
    </row>
    <row r="239" spans="1:40" x14ac:dyDescent="0.25">
      <c r="A239" s="33" t="s">
        <v>673</v>
      </c>
      <c r="B239" s="7">
        <v>4049</v>
      </c>
      <c r="C239" s="21" t="s">
        <v>408</v>
      </c>
      <c r="D239" s="21" t="s">
        <v>414</v>
      </c>
      <c r="E239" s="13">
        <v>42787.06653935185</v>
      </c>
      <c r="F239" s="13">
        <v>42787.068530092591</v>
      </c>
      <c r="G239" s="7">
        <v>1</v>
      </c>
      <c r="H239" s="21" t="s">
        <v>794</v>
      </c>
      <c r="I239" s="13">
        <v>42787.084594907406</v>
      </c>
      <c r="J239" s="7">
        <v>0</v>
      </c>
      <c r="K239" s="98" t="str">
        <f t="shared" si="106"/>
        <v>4049/4050</v>
      </c>
      <c r="L239" s="21" t="str">
        <f>VLOOKUP(A239,'Trips&amp;Operators'!$C$1:$G$99999,5,FALSE)</f>
        <v>YANG JAN</v>
      </c>
      <c r="M239" s="6">
        <f t="shared" si="107"/>
        <v>1.6064814815763384E-2</v>
      </c>
      <c r="N239" s="7">
        <f t="shared" si="100"/>
        <v>23.133333334699273</v>
      </c>
      <c r="O239" s="7"/>
      <c r="P239" s="7"/>
      <c r="Q239" s="22"/>
      <c r="R239" s="22"/>
      <c r="S239" s="31">
        <f t="shared" si="101"/>
        <v>0</v>
      </c>
      <c r="T239" s="46" t="e">
        <f t="shared" si="108"/>
        <v>#VALUE!</v>
      </c>
      <c r="U239" s="186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87" t="str">
        <f t="shared" si="102"/>
        <v>https://d0f6bd738d7f1b3e5a7ca70fe4ff75f0.us-east-1.aws.found.io/app/kibana#/discover/Steve-Slow-Train-Analysis-(2080s-and-2083s)?_g=(refreshInterval:(display:Off,pause:!f,section:0,value:0),time:(from:'2017-02-21T00:35:49-0700',mode:absolute,to:'2017-02-21T03:01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39" s="188" t="str">
        <f t="shared" si="109"/>
        <v>N</v>
      </c>
      <c r="X239" s="188" t="e">
        <f t="shared" si="105"/>
        <v>#VALUE!</v>
      </c>
      <c r="Y239" s="62">
        <f t="shared" si="110"/>
        <v>4.3499999999999997E-2</v>
      </c>
      <c r="Z239" s="62">
        <f t="shared" si="111"/>
        <v>12.828099999999999</v>
      </c>
      <c r="AA239" s="62">
        <f t="shared" si="112"/>
        <v>12.784599999999999</v>
      </c>
      <c r="AB239" s="59" t="e">
        <f>VLOOKUP(A239,Enforcements!$C$7:$K$13,8,0)</f>
        <v>#N/A</v>
      </c>
      <c r="AC239" s="55" t="e">
        <f>VLOOKUP(A239,Enforcements!$C$7:$E$13,3,0)</f>
        <v>#N/A</v>
      </c>
      <c r="AD239" s="56" t="str">
        <f t="shared" si="113"/>
        <v>63-20</v>
      </c>
      <c r="AE239" s="85" t="str">
        <f t="shared" si="103"/>
        <v>aws s3 cp s3://rtdc.mdm.uploadarchive.raw/RTDC4049/ "%USERPROFILE%\AppData\Local\Temp\OnboardLogs"\RTDC4049\2017-02-21 --exclude "*" --recursive --include "*20170221*" &amp; "%USERPROFILE%\Documents\GitHub\mrs-test-scripts\Headless Mode &amp; Sideloading\WalkAndUnGZ.bat" "%USERPROFILE%\AppData\Local\Temp\OnboardLogs"\RTDC4049\2017-02-21 &amp; aws s3 cp s3://rtdc.mdm.uploadarchive.raw/RTDC4049/ "%USERPROFILE%\AppData\Local\Temp\OnboardLogs"\RTDC4049\2017-02-22 --exclude "*" --recursive --include "*20170222*" &amp; "%USERPROFILE%\Documents\GitHub\mrs-test-scripts\Headless Mode &amp; Sideloading\WalkAndUnGZ.bat" "%USERPROFILE%\AppData\Local\Temp\OnboardLogs"\RTDC4049\2017-02-22</v>
      </c>
      <c r="AF239" s="82" t="str">
        <f t="shared" si="104"/>
        <v>"C:\Program Files (x86)\AstroGrep\AstroGrep.exe" /spath="%USERPROFILE%\AppData\Local\Temp\OnboardLogs" /stypes="app*4049*20170221*" /stext=" 09:.+((SYSTEM_STATE.+slice.+state.+changed )|(ment ac)|(multiple cpu faults)|(system.+state.+changed )|(\[timeout)|(PRM\|1\|D)|(kpr)|(kdp)|(\|lc)|(penalty))" /e /r /s</v>
      </c>
      <c r="AG239" s="1" t="str">
        <f t="shared" si="114"/>
        <v>Other</v>
      </c>
      <c r="AH239" s="86" t="str">
        <f t="shared" si="97"/>
        <v>"%USERPROFILE%\Documents\GitHub\eaglep3\Utilities\RefineRTDCRunTimes.py" --tripid 63-20 --locoid 4049 --swversion DE.1.0.9.0 --startMP 204:435 --initTime 2017-02-21T01:35:49 --startdatetime 2017-02-21T01:38:41 --delay 1 --endMP 204:128281 --enddatetime 2017-02-21T02:01:49 --enforcementcount 0 &gt;&gt;C:\Users\stu\Documents\GitHub\eaglep3-reporting\EC\2017-02-20-refined-times.txt</v>
      </c>
      <c r="AI239" s="108" t="str">
        <f t="shared" si="98"/>
        <v>echo {"issue":{"subject":"","project_id":79,"tracker_id":40,"status_id":1,"priority_id":2,"assigned_to_id":23,"start_date":"2017-02-21","description":"","custom_fields":[{"id":1,"name":"Subdivision","value":"Other"},{"id":4,"name":"Milepost","value":"12.8281"},{"id":17,"name":"Train ID","value":"63-20"},{"id":16,"name":"Locomotive ID","value":"4049"},{"id":130,"name":"Impact","value":""},{"id":150,"name":"Time of Event (Mountain Time)","value":"02:01:49"},{"id":151,"name":"Denver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48"/>
      <c r="AK239" s="48"/>
      <c r="AL239" s="48"/>
      <c r="AM239" s="154" t="str">
        <f t="shared" si="99"/>
        <v>start /low /b %USERPROFILE%\Documents\GitHub\eaglep3\Utilities\DownloadLogsFromS3.py --loco 4049 --day 2017-02-21</v>
      </c>
      <c r="AN239" s="163" t="str">
        <f>"grep -SE -B400 ""CHR.+\|PRM\|1\|D.+(SWITCH|SIGNAL).+UNKNOWN"" "&amp;search_path&amp;"\RTDC"&amp;B239&amp;"\*"&amp;B239&amp;"*"&amp;TEXT(AVERAGE(F239,I239)-utc_offset/24,"YYYYMMDD")&amp;"*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"%USERPROFILE%\AppData\Local\Temp\OnboardLogs"\RTDC4049\*4049*20170221* | grep -SE "(Enforcement Action)|(\[TIMEOUT)|(CHR.+\|PRM\|1\|D.+(SWITCH|SIGNAL).+UNKNOWN)" - &gt;&gt; 2017-02-20-UncaughtWiMAX.txt</v>
      </c>
    </row>
    <row r="240" spans="1:40" x14ac:dyDescent="0.25">
      <c r="A240" s="33" t="s">
        <v>673</v>
      </c>
      <c r="B240" s="7">
        <v>4049</v>
      </c>
      <c r="C240" s="21" t="s">
        <v>408</v>
      </c>
      <c r="D240" s="21" t="s">
        <v>410</v>
      </c>
      <c r="E240" s="13">
        <v>42787.007175925923</v>
      </c>
      <c r="F240" s="13">
        <v>42787.008796296293</v>
      </c>
      <c r="G240" s="7">
        <v>2</v>
      </c>
      <c r="H240" s="21" t="s">
        <v>795</v>
      </c>
      <c r="I240" s="13">
        <v>42787.034328703703</v>
      </c>
      <c r="J240" s="7">
        <v>0</v>
      </c>
      <c r="K240" s="98" t="str">
        <f t="shared" si="106"/>
        <v>4049/4050</v>
      </c>
      <c r="L240" s="21" t="str">
        <f>VLOOKUP(A240,'Trips&amp;Operators'!$C$1:$G$99999,5,FALSE)</f>
        <v>YANG JAN</v>
      </c>
      <c r="M240" s="6">
        <f t="shared" si="107"/>
        <v>2.5532407409627922E-2</v>
      </c>
      <c r="N240" s="7">
        <f t="shared" si="100"/>
        <v>36.766666669864208</v>
      </c>
      <c r="O240" s="7"/>
      <c r="P240" s="7"/>
      <c r="Q240" s="22"/>
      <c r="R240" s="22"/>
      <c r="S240" s="31">
        <f t="shared" si="101"/>
        <v>0</v>
      </c>
      <c r="T240" s="46" t="e">
        <f t="shared" si="108"/>
        <v>#VALUE!</v>
      </c>
      <c r="U240" s="186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87" t="str">
        <f t="shared" si="102"/>
        <v>https://d0f6bd738d7f1b3e5a7ca70fe4ff75f0.us-east-1.aws.found.io/app/kibana#/discover/Steve-Slow-Train-Analysis-(2080s-and-2083s)?_g=(refreshInterval:(display:Off,pause:!f,section:0,value:0),time:(from:'2017-02-20T23:10:20-0700',mode:absolute,to:'2017-02-21T01:49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40" s="188" t="str">
        <f t="shared" si="109"/>
        <v>N</v>
      </c>
      <c r="X240" s="188" t="e">
        <f t="shared" si="105"/>
        <v>#VALUE!</v>
      </c>
      <c r="Y240" s="62">
        <f t="shared" si="110"/>
        <v>4.58E-2</v>
      </c>
      <c r="Z240" s="62">
        <f t="shared" si="111"/>
        <v>23.331499999999998</v>
      </c>
      <c r="AA240" s="62">
        <f t="shared" si="112"/>
        <v>23.285699999999999</v>
      </c>
      <c r="AB240" s="59" t="e">
        <f>VLOOKUP(A240,Enforcements!$C$7:$K$13,8,0)</f>
        <v>#N/A</v>
      </c>
      <c r="AC240" s="55" t="e">
        <f>VLOOKUP(A240,Enforcements!$C$7:$E$13,3,0)</f>
        <v>#N/A</v>
      </c>
      <c r="AD240" s="56" t="str">
        <f t="shared" si="113"/>
        <v>63-20</v>
      </c>
      <c r="AE240" s="85" t="str">
        <f t="shared" si="103"/>
        <v>aws s3 cp s3://rtdc.mdm.uploadarchive.raw/RTDC4049/ "%USERPROFILE%\AppData\Local\Temp\OnboardLogs"\RTDC4049\2017-02-21 --exclude "*" --recursive --include "*20170221*" &amp; "%USERPROFILE%\Documents\GitHub\mrs-test-scripts\Headless Mode &amp; Sideloading\WalkAndUnGZ.bat" "%USERPROFILE%\AppData\Local\Temp\OnboardLogs"\RTDC4049\2017-02-21 &amp; aws s3 cp s3://rtdc.mdm.uploadarchive.raw/RTDC4049/ "%USERPROFILE%\AppData\Local\Temp\OnboardLogs"\RTDC4049\2017-02-22 --exclude "*" --recursive --include "*20170222*" &amp; "%USERPROFILE%\Documents\GitHub\mrs-test-scripts\Headless Mode &amp; Sideloading\WalkAndUnGZ.bat" "%USERPROFILE%\AppData\Local\Temp\OnboardLogs"\RTDC4049\2017-02-22</v>
      </c>
      <c r="AF240" s="82" t="str">
        <f t="shared" si="104"/>
        <v>"C:\Program Files (x86)\AstroGrep\AstroGrep.exe" /spath="%USERPROFILE%\AppData\Local\Temp\OnboardLogs" /stypes="app*4049*20170221*" /stext=" 07:.+((SYSTEM_STATE.+slice.+state.+changed )|(ment ac)|(multiple cpu faults)|(system.+state.+changed )|(\[timeout)|(PRM\|1\|D)|(kpr)|(kdp)|(\|lc)|(penalty))" /e /r /s</v>
      </c>
      <c r="AG240" s="1" t="str">
        <f t="shared" si="114"/>
        <v>Other</v>
      </c>
      <c r="AH240" s="86" t="str">
        <f t="shared" si="97"/>
        <v>"%USERPROFILE%\Documents\GitHub\eaglep3\Utilities\RefineRTDCRunTimes.py" --tripid 63-20 --locoid 4049 --swversion DE.1.0.9.0 --startMP 204:458 --initTime 2017-02-21T00:10:20 --startdatetime 2017-02-21T00:12:40 --delay 2 --endMP 204:233315 --enddatetime 2017-02-21T00:49:26 --enforcementcount 0 &gt;&gt;C:\Users\stu\Documents\GitHub\eaglep3-reporting\EC\2017-02-20-refined-times.txt</v>
      </c>
      <c r="AI240" s="108" t="str">
        <f t="shared" si="98"/>
        <v>echo {"issue":{"subject":"","project_id":79,"tracker_id":40,"status_id":1,"priority_id":2,"assigned_to_id":23,"start_date":"2017-02-21","description":"","custom_fields":[{"id":1,"name":"Subdivision","value":"Other"},{"id":4,"name":"Milepost","value":"23.3315"},{"id":17,"name":"Train ID","value":"63-20"},{"id":16,"name":"Locomotive ID","value":"4049"},{"id":130,"name":"Impact","value":""},{"id":150,"name":"Time of Event (Mountain Time)","value":"00:49:26"},{"id":151,"name":"Denver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48"/>
      <c r="AK240" s="48"/>
      <c r="AL240" s="48"/>
      <c r="AM240" s="154" t="str">
        <f t="shared" si="99"/>
        <v>start /low /b %USERPROFILE%\Documents\GitHub\eaglep3\Utilities\DownloadLogsFromS3.py --loco 4049 --day 2017-02-21</v>
      </c>
      <c r="AN240" s="163" t="str">
        <f>"grep -SE -B400 ""CHR.+\|PRM\|1\|D.+(SWITCH|SIGNAL).+UNKNOWN"" "&amp;search_path&amp;"\RTDC"&amp;B240&amp;"\*"&amp;B240&amp;"*"&amp;TEXT(AVERAGE(F240,I240)-utc_offset/24,"YYYYMMDD")&amp;"*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"%USERPROFILE%\AppData\Local\Temp\OnboardLogs"\RTDC4049\*4049*20170221* | grep -SE "(Enforcement Action)|(\[TIMEOUT)|(CHR.+\|PRM\|1\|D.+(SWITCH|SIGNAL).+UNKNOWN)" - &gt;&gt; 2017-02-20-UncaughtWiMAX.txt</v>
      </c>
    </row>
    <row r="241" spans="1:40" x14ac:dyDescent="0.25">
      <c r="A241" s="33" t="s">
        <v>673</v>
      </c>
      <c r="B241" s="7">
        <v>4049</v>
      </c>
      <c r="C241" s="21" t="s">
        <v>408</v>
      </c>
      <c r="D241" s="21" t="s">
        <v>230</v>
      </c>
      <c r="E241" s="13">
        <v>42786.931168981479</v>
      </c>
      <c r="F241" s="13">
        <v>42786.932743055557</v>
      </c>
      <c r="G241" s="7">
        <v>1</v>
      </c>
      <c r="H241" s="21" t="s">
        <v>337</v>
      </c>
      <c r="I241" s="13">
        <v>42786.95957175926</v>
      </c>
      <c r="J241" s="7">
        <v>0</v>
      </c>
      <c r="K241" s="98" t="str">
        <f t="shared" si="106"/>
        <v>4049/4050</v>
      </c>
      <c r="L241" s="21" t="str">
        <f>VLOOKUP(A241,'Trips&amp;Operators'!$C$1:$G$99999,5,FALSE)</f>
        <v>YANG JAN</v>
      </c>
      <c r="M241" s="6">
        <f t="shared" si="107"/>
        <v>2.6828703703358769E-2</v>
      </c>
      <c r="N241" s="7">
        <f t="shared" si="100"/>
        <v>38.633333332836628</v>
      </c>
      <c r="O241" s="7"/>
      <c r="P241" s="7"/>
      <c r="Q241" s="22"/>
      <c r="R241" s="22"/>
      <c r="S241" s="31">
        <f t="shared" si="101"/>
        <v>0</v>
      </c>
      <c r="T241" s="46" t="e">
        <f t="shared" si="108"/>
        <v>#VALUE!</v>
      </c>
      <c r="U241" s="186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87" t="str">
        <f t="shared" si="102"/>
        <v>https://d0f6bd738d7f1b3e5a7ca70fe4ff75f0.us-east-1.aws.found.io/app/kibana#/discover/Steve-Slow-Train-Analysis-(2080s-and-2083s)?_g=(refreshInterval:(display:Off,pause:!f,section:0,value:0),time:(from:'2017-02-20T21:20:53-0700',mode:absolute,to:'2017-02-21T00:01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41" s="188" t="str">
        <f t="shared" si="109"/>
        <v>N</v>
      </c>
      <c r="X241" s="188" t="e">
        <f t="shared" si="105"/>
        <v>#VALUE!</v>
      </c>
      <c r="Y241" s="62">
        <f t="shared" si="110"/>
        <v>4.5999999999999999E-2</v>
      </c>
      <c r="Z241" s="62">
        <f t="shared" si="111"/>
        <v>23.3307</v>
      </c>
      <c r="AA241" s="62">
        <f t="shared" si="112"/>
        <v>23.284700000000001</v>
      </c>
      <c r="AB241" s="59" t="e">
        <f>VLOOKUP(A241,Enforcements!$C$7:$K$13,8,0)</f>
        <v>#N/A</v>
      </c>
      <c r="AC241" s="55" t="e">
        <f>VLOOKUP(A241,Enforcements!$C$7:$E$13,3,0)</f>
        <v>#N/A</v>
      </c>
      <c r="AD241" s="56" t="str">
        <f t="shared" si="113"/>
        <v>63-20</v>
      </c>
      <c r="AE241" s="85" t="str">
        <f t="shared" si="103"/>
        <v>aws s3 cp s3://rtdc.mdm.uploadarchive.raw/RTDC4049/ "%USERPROFILE%\AppData\Local\Temp\OnboardLogs"\RTDC4049\2017-02-20 --exclude "*" --recursive --include "*20170220*" &amp; "%USERPROFILE%\Documents\GitHub\mrs-test-scripts\Headless Mode &amp; Sideloading\WalkAndUnGZ.bat" "%USERPROFILE%\AppData\Local\Temp\OnboardLogs"\RTDC4049\2017-02-20 &amp; aws s3 cp s3://rtdc.mdm.uploadarchive.raw/RTDC4049/ "%USERPROFILE%\AppData\Local\Temp\OnboardLogs"\RTDC4049\2017-02-21 --exclude "*" --recursive --include "*20170221*" &amp; "%USERPROFILE%\Documents\GitHub\mrs-test-scripts\Headless Mode &amp; Sideloading\WalkAndUnGZ.bat" "%USERPROFILE%\AppData\Local\Temp\OnboardLogs"\RTDC4049\2017-02-21</v>
      </c>
      <c r="AF241" s="82" t="str">
        <f t="shared" si="104"/>
        <v>"C:\Program Files (x86)\AstroGrep\AstroGrep.exe" /spath="%USERPROFILE%\AppData\Local\Temp\OnboardLogs" /stypes="app*4049*20170221*" /stext=" 06:.+((SYSTEM_STATE.+slice.+state.+changed )|(ment ac)|(multiple cpu faults)|(system.+state.+changed )|(\[timeout)|(PRM\|1\|D)|(kpr)|(kdp)|(\|lc)|(penalty))" /e /r /s</v>
      </c>
      <c r="AG241" s="1" t="str">
        <f t="shared" si="114"/>
        <v>Other</v>
      </c>
      <c r="AH241" s="86" t="str">
        <f t="shared" si="97"/>
        <v>"%USERPROFILE%\Documents\GitHub\eaglep3\Utilities\RefineRTDCRunTimes.py" --tripid 63-20 --locoid 4049 --swversion DE.1.0.9.0 --startMP 204:460 --initTime 2017-02-20T22:20:53 --startdatetime 2017-02-20T22:23:09 --delay 1 --endMP 204:233307 --enddatetime 2017-02-20T23:01:47 --enforcementcount 0 &gt;&gt;C:\Users\stu\Documents\GitHub\eaglep3-reporting\EC\2017-02-20-refined-times.txt</v>
      </c>
      <c r="AI241" s="108" t="str">
        <f t="shared" si="98"/>
        <v>echo {"issue":{"subject":"","project_id":79,"tracker_id":40,"status_id":1,"priority_id":2,"assigned_to_id":23,"start_date":"2017-02-20","description":"","custom_fields":[{"id":1,"name":"Subdivision","value":"Other"},{"id":4,"name":"Milepost","value":"23.3307"},{"id":17,"name":"Train ID","value":"63-20"},{"id":16,"name":"Locomotive ID","value":"4049"},{"id":130,"name":"Impact","value":""},{"id":150,"name":"Time of Event (Mountain Time)","value":"23:01:47"},{"id":151,"name":"Denver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48"/>
      <c r="AK241" s="48"/>
      <c r="AL241" s="48"/>
      <c r="AM241" s="154" t="str">
        <f t="shared" si="99"/>
        <v>start /low /b %USERPROFILE%\Documents\GitHub\eaglep3\Utilities\DownloadLogsFromS3.py --loco 4049 --day 2017-02-20</v>
      </c>
      <c r="AN241" s="163" t="str">
        <f>"grep -SE -B400 ""CHR.+\|PRM\|1\|D.+(SWITCH|SIGNAL).+UNKNOWN"" "&amp;search_path&amp;"\RTDC"&amp;B241&amp;"\*"&amp;B241&amp;"*"&amp;TEXT(AVERAGE(F241,I241)-utc_offset/24,"YYYYMMDD")&amp;"*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"%USERPROFILE%\AppData\Local\Temp\OnboardLogs"\RTDC4049\*4049*20170221* | grep -SE "(Enforcement Action)|(\[TIMEOUT)|(CHR.+\|PRM\|1\|D.+(SWITCH|SIGNAL).+UNKNOWN)" - &gt;&gt; 2017-02-20-UncaughtWiMAX.txt</v>
      </c>
    </row>
    <row r="242" spans="1:40" x14ac:dyDescent="0.25">
      <c r="A242" s="33" t="s">
        <v>635</v>
      </c>
      <c r="B242" s="7">
        <v>4029</v>
      </c>
      <c r="C242" s="21" t="s">
        <v>408</v>
      </c>
      <c r="D242" s="21" t="s">
        <v>796</v>
      </c>
      <c r="E242" s="13">
        <v>42786.712789351855</v>
      </c>
      <c r="F242" s="13">
        <v>25568.708333333332</v>
      </c>
      <c r="G242" s="7">
        <v>1</v>
      </c>
      <c r="H242" s="21" t="s">
        <v>771</v>
      </c>
      <c r="I242" s="13">
        <v>25568.708333333332</v>
      </c>
      <c r="J242" s="7">
        <v>0</v>
      </c>
      <c r="K242" s="98" t="str">
        <f t="shared" si="106"/>
        <v>4029/4030</v>
      </c>
      <c r="L242" s="21" t="str">
        <f>VLOOKUP(A242,'Trips&amp;Operators'!$C$1:$G$99999,5,FALSE)</f>
        <v>BERLING GARY</v>
      </c>
      <c r="M242" s="6">
        <f t="shared" si="107"/>
        <v>0</v>
      </c>
      <c r="N242" s="7">
        <f t="shared" si="100"/>
        <v>0</v>
      </c>
      <c r="O242" s="7"/>
      <c r="P242" s="7"/>
      <c r="Q242" s="22"/>
      <c r="R242" s="22"/>
      <c r="S242" s="31">
        <f t="shared" si="101"/>
        <v>0</v>
      </c>
      <c r="T242" s="46" t="e">
        <f t="shared" si="108"/>
        <v>#VALUE!</v>
      </c>
      <c r="U242" s="186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187" t="str">
        <f t="shared" si="102"/>
        <v>https://d0f6bd738d7f1b3e5a7ca70fe4ff75f0.us-east-1.aws.found.io/app/kibana#/discover/Steve-Slow-Train-Analysis-(2080s-and-2083s)?_g=(refreshInterval:(display:Off,pause:!f,section:0,value:0),time:(from:'2017-02-20T16:06:25-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42" s="188" t="str">
        <f t="shared" si="109"/>
        <v>Y</v>
      </c>
      <c r="X242" s="188" t="e">
        <f t="shared" si="105"/>
        <v>#VALUE!</v>
      </c>
      <c r="Y242" s="62">
        <f t="shared" si="110"/>
        <v>0.14729999999999999</v>
      </c>
      <c r="Z242" s="62">
        <f t="shared" si="111"/>
        <v>2.3298999999999999</v>
      </c>
      <c r="AA242" s="62">
        <f t="shared" si="112"/>
        <v>2.1825999999999999</v>
      </c>
      <c r="AB242" s="59" t="e">
        <f>VLOOKUP(A242,Enforcements!$C$7:$K$13,8,0)</f>
        <v>#N/A</v>
      </c>
      <c r="AC242" s="55" t="e">
        <f>VLOOKUP(A242,Enforcements!$C$7:$E$13,3,0)</f>
        <v>#N/A</v>
      </c>
      <c r="AD242" s="56" t="str">
        <f t="shared" si="113"/>
        <v>65-20</v>
      </c>
      <c r="AE242" s="85" t="str">
        <f t="shared" si="103"/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242" s="82" t="str">
        <f t="shared" si="104"/>
        <v>"C:\Program Files (x86)\AstroGrep\AstroGrep.exe" /spath="%USERPROFILE%\AppData\Local\Temp\OnboardLogs" /stypes="app*4029*19700101*" /stext=" 00:.+((SYSTEM_STATE.+slice.+state.+changed )|(ment ac)|(multiple cpu faults)|(system.+state.+changed )|(\[timeout)|(PRM\|1\|D)|(kpr)|(kdp)|(\|lc)|(penalty))" /e /r /s</v>
      </c>
      <c r="AG242" s="1" t="str">
        <f t="shared" si="114"/>
        <v>Other</v>
      </c>
      <c r="AH242" s="86" t="str">
        <f t="shared" si="97"/>
        <v>"%USERPROFILE%\Documents\GitHub\eaglep3\Utilities\RefineRTDCRunTimes.py" --tripid 65-20 --locoid 4029 --swversion DE.1.0.9.0 --startMP 204:1473 --initTime 2017-02-20T17:06:25 --startdatetime 1969-12-31T17:00:00 --delay 1 --endMP 300:23299 --enddatetime 1969-12-31T17:00:00 --enforcementcount 0 &gt;&gt;C:\Users\stu\Documents\GitHub\eaglep3-reporting\EC\2017-02-20-refined-times.txt</v>
      </c>
      <c r="AI242" s="108" t="str">
        <f t="shared" si="98"/>
        <v>echo {"issue":{"subject":"","project_id":79,"tracker_id":40,"status_id":1,"priority_id":2,"assigned_to_id":23,"start_date":"1969-12-31","description":"","custom_fields":[{"id":1,"name":"Subdivision","value":"Other"},{"id":4,"name":"Milepost","value":"2.3299"},{"id":17,"name":"Train ID","value":"65-20"},{"id":16,"name":"Locomotive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48"/>
      <c r="AK242" s="48"/>
      <c r="AL242" s="48"/>
      <c r="AM242" s="154" t="str">
        <f t="shared" si="99"/>
        <v>start /low /b %USERPROFILE%\Documents\GitHub\eaglep3\Utilities\DownloadLogsFromS3.py --loco 4029 --day 1969-12-31</v>
      </c>
      <c r="AN242" s="163" t="str">
        <f>"grep -SE -B400 ""CHR.+\|PRM\|1\|D.+(SWITCH|SIGNAL).+UNKNOWN"" "&amp;search_path&amp;"\RTDC"&amp;B242&amp;"\*"&amp;B242&amp;"*"&amp;TEXT(AVERAGE(F242,I242)-utc_offset/24,"YYYYMMDD")&amp;"*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"%USERPROFILE%\AppData\Local\Temp\OnboardLogs"\RTDC4029\*4029*19700101* | grep -SE "(Enforcement Action)|(\[TIMEOUT)|(CHR.+\|PRM\|1\|D.+(SWITCH|SIGNAL).+UNKNOWN)" - &gt;&gt; 2017-02-20-UncaughtWiMAX.txt</v>
      </c>
    </row>
  </sheetData>
  <autoFilter ref="A12:AG242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10" priority="356" operator="equal">
      <formula>"Y"</formula>
    </cfRule>
  </conditionalFormatting>
  <conditionalFormatting sqref="X13:X1048576">
    <cfRule type="cellIs" dxfId="9" priority="339" operator="greaterThan">
      <formula>1</formula>
    </cfRule>
  </conditionalFormatting>
  <conditionalFormatting sqref="X12:X1048576">
    <cfRule type="cellIs" dxfId="8" priority="336" operator="equal">
      <formula>0</formula>
    </cfRule>
  </conditionalFormatting>
  <conditionalFormatting sqref="A13:S242">
    <cfRule type="expression" dxfId="7" priority="330" stopIfTrue="1">
      <formula>$P13&gt;0</formula>
    </cfRule>
    <cfRule type="expression" dxfId="6" priority="331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3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A13:S242</xm:sqref>
        </x14:conditionalFormatting>
        <x14:conditionalFormatting xmlns:xm="http://schemas.microsoft.com/office/excel/2006/main">
          <x14:cfRule type="expression" priority="15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AK13:AK242</xm:sqref>
        </x14:dataValidation>
        <x14:dataValidation type="list" allowBlank="1" showInputMessage="1" showErrorMessage="1">
          <x14:formula1>
            <xm:f>'Redmine List Values'!$C$2:$C$15</xm:f>
          </x14:formula1>
          <xm:sqref>AL13:AL242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6"/>
  <sheetViews>
    <sheetView topLeftCell="A2" zoomScaleNormal="100" workbookViewId="0">
      <selection activeCell="T47" sqref="T47:T48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5" customWidth="1"/>
    <col min="5" max="5" width="14.85546875" style="125" customWidth="1"/>
    <col min="6" max="6" width="5.7109375" style="125" customWidth="1"/>
    <col min="7" max="7" width="5.85546875" style="125" customWidth="1"/>
    <col min="8" max="8" width="7.85546875" style="125" customWidth="1"/>
    <col min="9" max="9" width="9" style="125" customWidth="1"/>
    <col min="10" max="10" width="11.5703125" style="125" hidden="1" customWidth="1"/>
    <col min="11" max="11" width="9.140625" style="125" customWidth="1"/>
    <col min="12" max="12" width="7.85546875" style="125" customWidth="1"/>
    <col min="13" max="13" width="7.85546875" style="2" customWidth="1"/>
    <col min="14" max="14" width="14.28515625" style="124" customWidth="1"/>
    <col min="15" max="15" width="5.140625" style="167" customWidth="1"/>
    <col min="16" max="16" width="30.28515625" style="125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6" width="5" customWidth="1"/>
    <col min="27" max="27" width="5.28515625" customWidth="1"/>
    <col min="28" max="28" width="5.5703125" customWidth="1"/>
    <col min="29" max="29" width="5.28515625" style="127" customWidth="1"/>
    <col min="30" max="30" width="6.7109375" customWidth="1"/>
    <col min="31" max="31" width="9.140625" style="154"/>
  </cols>
  <sheetData>
    <row r="1" spans="1:32" s="20" customFormat="1" ht="15.75" hidden="1" thickBot="1" x14ac:dyDescent="0.3">
      <c r="A1" s="8"/>
      <c r="D1" s="125"/>
      <c r="E1" s="125"/>
      <c r="F1" s="125"/>
      <c r="G1" s="125"/>
      <c r="H1" s="125"/>
      <c r="I1" s="125"/>
      <c r="J1" s="125"/>
      <c r="K1" s="125"/>
      <c r="L1" s="125"/>
      <c r="M1" s="2"/>
      <c r="N1" s="124"/>
      <c r="O1" s="167"/>
      <c r="P1" s="125"/>
      <c r="R1" s="83"/>
      <c r="S1" s="90"/>
      <c r="T1" s="80"/>
      <c r="V1" s="44"/>
      <c r="AC1" s="127"/>
      <c r="AE1" s="154"/>
    </row>
    <row r="2" spans="1:32" s="20" customFormat="1" x14ac:dyDescent="0.25">
      <c r="A2" s="8"/>
      <c r="D2" s="125"/>
      <c r="E2" s="125"/>
      <c r="F2" s="125"/>
      <c r="G2" s="125"/>
      <c r="H2" s="125"/>
      <c r="I2" s="125"/>
      <c r="J2" s="125"/>
      <c r="K2" s="125"/>
      <c r="L2" s="136" t="s">
        <v>80</v>
      </c>
      <c r="M2" s="120"/>
      <c r="N2" s="137"/>
      <c r="O2" s="191">
        <f>COUNTIF($O$7:$O$315,"=Y")</f>
        <v>14</v>
      </c>
      <c r="P2" s="122"/>
      <c r="R2" s="83"/>
      <c r="S2" s="90"/>
      <c r="T2" s="80"/>
      <c r="V2" s="44"/>
      <c r="AC2" s="128"/>
      <c r="AE2" s="154"/>
    </row>
    <row r="3" spans="1:32" s="20" customFormat="1" ht="15.75" thickBot="1" x14ac:dyDescent="0.3">
      <c r="A3" s="8"/>
      <c r="D3" s="125"/>
      <c r="E3" s="125"/>
      <c r="F3" s="125"/>
      <c r="G3" s="125"/>
      <c r="H3" s="125"/>
      <c r="I3" s="125"/>
      <c r="J3" s="125"/>
      <c r="K3" s="125"/>
      <c r="L3" s="138" t="s">
        <v>81</v>
      </c>
      <c r="M3" s="121"/>
      <c r="N3" s="139"/>
      <c r="O3" s="192">
        <f>COUNTA($O$7:$O$315)-O2</f>
        <v>36</v>
      </c>
      <c r="P3" s="122"/>
      <c r="R3" s="83"/>
      <c r="S3" s="90"/>
      <c r="T3" s="80"/>
      <c r="V3" s="44"/>
      <c r="AC3" s="128"/>
      <c r="AE3" s="154"/>
    </row>
    <row r="4" spans="1:32" s="20" customFormat="1" x14ac:dyDescent="0.25">
      <c r="A4" s="8"/>
      <c r="D4" s="125"/>
      <c r="E4" s="125"/>
      <c r="F4" s="125"/>
      <c r="G4" s="125"/>
      <c r="H4" s="125"/>
      <c r="I4" s="125"/>
      <c r="J4" s="125"/>
      <c r="K4" s="125"/>
      <c r="L4" s="125"/>
      <c r="M4" s="2"/>
      <c r="N4" s="124"/>
      <c r="O4" s="167"/>
      <c r="P4" s="125"/>
      <c r="R4" s="83"/>
      <c r="S4" s="90"/>
      <c r="T4" s="80"/>
      <c r="V4" s="44"/>
      <c r="AC4" s="128"/>
      <c r="AE4" s="154"/>
    </row>
    <row r="5" spans="1:32" s="10" customFormat="1" ht="15" customHeight="1" x14ac:dyDescent="0.25">
      <c r="A5" s="196" t="str">
        <f>"Eagle P3 Braking Events - "&amp;TEXT(Variables!$A$2,"YYYY-mm-dd")</f>
        <v>Eagle P3 Braking Events - 2017-02-20</v>
      </c>
      <c r="B5" s="196"/>
      <c r="C5" s="196"/>
      <c r="D5" s="196"/>
      <c r="E5" s="196"/>
      <c r="F5" s="196"/>
      <c r="G5" s="196"/>
      <c r="H5" s="196"/>
      <c r="I5" s="196"/>
      <c r="J5" s="196"/>
      <c r="K5" s="196"/>
      <c r="L5" s="196"/>
      <c r="M5" s="196"/>
      <c r="N5" s="196"/>
      <c r="O5" s="196"/>
      <c r="P5" s="140"/>
      <c r="R5" s="88"/>
      <c r="S5" s="91"/>
      <c r="T5" s="93"/>
      <c r="V5" s="45"/>
      <c r="AC5" s="129"/>
      <c r="AE5" s="156"/>
    </row>
    <row r="6" spans="1:32" s="119" customFormat="1" ht="69.75" customHeight="1" x14ac:dyDescent="0.2">
      <c r="A6" s="109" t="s">
        <v>38</v>
      </c>
      <c r="B6" s="110" t="s">
        <v>37</v>
      </c>
      <c r="C6" s="110" t="s">
        <v>36</v>
      </c>
      <c r="D6" s="126" t="s">
        <v>35</v>
      </c>
      <c r="E6" s="126" t="s">
        <v>34</v>
      </c>
      <c r="F6" s="126" t="s">
        <v>33</v>
      </c>
      <c r="G6" s="126" t="s">
        <v>32</v>
      </c>
      <c r="H6" s="126" t="s">
        <v>31</v>
      </c>
      <c r="I6" s="126" t="s">
        <v>153</v>
      </c>
      <c r="J6" s="126" t="s">
        <v>30</v>
      </c>
      <c r="K6" s="126" t="s">
        <v>29</v>
      </c>
      <c r="L6" s="126" t="s">
        <v>28</v>
      </c>
      <c r="M6" s="111" t="s">
        <v>154</v>
      </c>
      <c r="N6" s="141" t="s">
        <v>47</v>
      </c>
      <c r="O6" s="193" t="s">
        <v>27</v>
      </c>
      <c r="P6" s="126" t="s">
        <v>24</v>
      </c>
      <c r="Q6" s="112"/>
      <c r="R6" s="113" t="s">
        <v>89</v>
      </c>
      <c r="S6" s="114" t="s">
        <v>55</v>
      </c>
      <c r="T6" s="115" t="s">
        <v>88</v>
      </c>
      <c r="U6" s="110" t="s">
        <v>83</v>
      </c>
      <c r="V6" s="116" t="s">
        <v>84</v>
      </c>
      <c r="W6" s="112" t="s">
        <v>96</v>
      </c>
      <c r="X6" s="112" t="s">
        <v>97</v>
      </c>
      <c r="Y6" s="117" t="s">
        <v>147</v>
      </c>
      <c r="Z6" s="118" t="s">
        <v>148</v>
      </c>
      <c r="AA6" s="118" t="s">
        <v>121</v>
      </c>
      <c r="AB6" s="118" t="s">
        <v>149</v>
      </c>
      <c r="AC6" s="130" t="s">
        <v>173</v>
      </c>
      <c r="AD6" s="119" t="s">
        <v>195</v>
      </c>
      <c r="AE6" s="155" t="s">
        <v>209</v>
      </c>
    </row>
    <row r="7" spans="1:32" s="1" customFormat="1" x14ac:dyDescent="0.25">
      <c r="A7" s="32">
        <v>42786.359039351853</v>
      </c>
      <c r="B7" s="30" t="s">
        <v>225</v>
      </c>
      <c r="C7" s="30" t="s">
        <v>464</v>
      </c>
      <c r="D7" s="30" t="s">
        <v>49</v>
      </c>
      <c r="E7" s="30" t="s">
        <v>197</v>
      </c>
      <c r="F7" s="43">
        <v>0</v>
      </c>
      <c r="G7" s="43">
        <v>195</v>
      </c>
      <c r="H7" s="43">
        <v>27008</v>
      </c>
      <c r="I7" s="43">
        <v>27301</v>
      </c>
      <c r="J7" s="30" t="s">
        <v>198</v>
      </c>
      <c r="K7" s="43">
        <v>27053</v>
      </c>
      <c r="L7" s="143" t="s">
        <v>50</v>
      </c>
      <c r="M7" s="144">
        <f t="shared" ref="M7:M38" si="0">CONVERT((I7-K7)/10000,"mi","ft")*IF(L7="Increasing Mileposts (1)",-1,1)</f>
        <v>-130.94399999999999</v>
      </c>
      <c r="N7" s="145" t="str">
        <f>VLOOKUP(C7,'Trips&amp;Operators'!$C$1:$G$99999,5,FALSE)</f>
        <v>YORK EDGAR</v>
      </c>
      <c r="O7" s="194" t="s">
        <v>185</v>
      </c>
      <c r="P7" s="146" t="s">
        <v>448</v>
      </c>
      <c r="Q7" s="30"/>
      <c r="R7" s="89" t="str">
        <f>VLOOKUP(C7,'Train Runs'!$A$13:$AE$9943,31,0)</f>
        <v>aws s3 cp s3://rtdc.mdm.uploadarchive.raw/RTDC4029/ "%USERPROFILE%\AppData\Local\Temp\OnboardLogs"\RTDC4029\2017-02-20 --exclude "*" --recursive --include "*20170220*" &amp; "%USERPROFILE%\Documents\GitHub\mrs-test-scripts\Headless Mode &amp; Sideloading\WalkAndUnGZ.bat" "%USERPROFILE%\AppData\Local\Temp\OnboardLogs"\RTDC4029\2017-02-20 &amp; aws s3 cp s3://rtdc.mdm.uploadarchive.raw/RTDC4029/ "%USERPROFILE%\AppData\Local\Temp\OnboardLogs"\RTDC4029\2017-02-21 --exclude "*" --recursive --include "*20170221*" &amp; "%USERPROFILE%\Documents\GitHub\mrs-test-scripts\Headless Mode &amp; Sideloading\WalkAndUnGZ.bat" "%USERPROFILE%\AppData\Local\Temp\OnboardLogs"\RTDC4029\2017-02-21</v>
      </c>
      <c r="S7" s="92" t="str">
        <f>VLOOKUP(C7,'Train Runs'!$A$13:$AE$9943,22,0)</f>
        <v>https://d0f6bd738d7f1b3e5a7ca70fe4ff75f0.us-east-1.aws.found.io/app/kibana#/discover/Steve-Slow-Train-Analysis-(2080s-and-2083s)?_g=(refreshInterval:(display:Off,pause:!f,section:0,value:0),time:(from:'2017-02-20T07:21:07-0700',mode:absolute,to:'2017-02-20T10:05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7" s="94" t="str">
        <f t="shared" ref="T7:T38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/stypes="*4029*201702201*" /stext=" 15:.+((SYSTEM_STATE.+slice.+state.+changed )|(ment ac)|(multiple cpu faults)|(system.+state.+changed )|(\[timeout)|(PRM\|1\|D)|(kpr)|(kdp)|(\|lc)|(penalty))" /e /r /s</v>
      </c>
      <c r="U7" s="9" t="str">
        <f t="shared" ref="U7:U38" si="2">MID(B7,13,4)</f>
        <v>4029</v>
      </c>
      <c r="V7" s="32">
        <f t="shared" ref="V7:V38" si="3">A7-utc_offset/24</f>
        <v>42786.650706018518</v>
      </c>
      <c r="W7" s="46" t="str">
        <f t="shared" ref="W7:W38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38" si="5">IF(AND(E7="TRACK WARRANT AUTHORITY",G7&lt;10),"OMIT","KEEP")</f>
        <v>KEEP</v>
      </c>
      <c r="Y7" s="108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arrival","project_id":79,"tracker_id":40,"status_id":1,"priority_id":2,"assigned_to_id":23,"start_date":"2017-02-20","description":"","custom_fields":[{"id":1,"name":"Subdivision","value":"EC"},{"id":4,"name":"Milepost","value":"2.7053"},{"id":17,"name":"Train ID","value":"139-20"},{"id":16,"name":"Locomotive ID","value":"4029"},{"id":130,"name":"Impact","value":""},{"id":150,"name":"Time of Event (Mountain Time)","value":"08:37:01"},{"id":151,"name":"Denver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48"/>
      <c r="AA7" s="48"/>
      <c r="AB7" s="48"/>
      <c r="AC7" s="127" t="str">
        <f t="shared" ref="AC7:AC38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"%USERPROFILE%\AppData\Local\Temp\OnboardLogs"\RTDC4029\*4029*201702201*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"%USERPROFILE%\AppData\Local\Temp\OnboardLogs"\RTDC4029\*4029*201702201* &gt;&gt; 2017-02-20-SliceDisagreementCheck.txt</v>
      </c>
      <c r="AE7" s="157" t="str">
        <f t="shared" ref="AE7:AE38" si="8">"start /low /b "&amp;dls3logs&amp;" --loco "&amp;U7&amp;" --day "&amp;TEXT(V7,"YYYY-MM-DD")</f>
        <v>start /low /b %USERPROFILE%\Documents\GitHub\eaglep3\Utilities\DownloadLogsFromS3.py --loco 4029 --day 2017-02-20</v>
      </c>
    </row>
    <row r="8" spans="1:32" s="1" customFormat="1" x14ac:dyDescent="0.25">
      <c r="A8" s="32">
        <v>42786.598425925928</v>
      </c>
      <c r="B8" s="30" t="s">
        <v>261</v>
      </c>
      <c r="C8" s="30" t="s">
        <v>477</v>
      </c>
      <c r="D8" s="30" t="s">
        <v>49</v>
      </c>
      <c r="E8" s="30" t="s">
        <v>197</v>
      </c>
      <c r="F8" s="43">
        <v>0</v>
      </c>
      <c r="G8" s="43">
        <v>229</v>
      </c>
      <c r="H8" s="43">
        <v>26868</v>
      </c>
      <c r="I8" s="43">
        <v>27144</v>
      </c>
      <c r="J8" s="30" t="s">
        <v>198</v>
      </c>
      <c r="K8" s="43">
        <v>27053</v>
      </c>
      <c r="L8" s="143" t="s">
        <v>50</v>
      </c>
      <c r="M8" s="144">
        <f t="shared" si="0"/>
        <v>-48.048000000000002</v>
      </c>
      <c r="N8" s="145" t="str">
        <f>VLOOKUP(C8,'Trips&amp;Operators'!$C$1:$G$99999,5,FALSE)</f>
        <v>KILLION DAVID</v>
      </c>
      <c r="O8" s="194" t="s">
        <v>185</v>
      </c>
      <c r="P8" s="146" t="s">
        <v>448</v>
      </c>
      <c r="Q8" s="30"/>
      <c r="R8" s="89" t="str">
        <f>VLOOKUP(C8,'Train Runs'!$A$13:$AE$9943,31,0)</f>
        <v>aws s3 cp s3://rtdc.mdm.uploadarchive.raw/RTDC4016/ "%USERPROFILE%\AppData\Local\Temp\OnboardLogs"\RTDC4016\2017-02-20 --exclude "*" --recursive --include "*20170220*" &amp; "%USERPROFILE%\Documents\GitHub\mrs-test-scripts\Headless Mode &amp; Sideloading\WalkAndUnGZ.bat" "%USERPROFILE%\AppData\Local\Temp\OnboardLogs"\RTDC4016\2017-02-20 &amp; aws s3 cp s3://rtdc.mdm.uploadarchive.raw/RTDC4016/ "%USERPROFILE%\AppData\Local\Temp\OnboardLogs"\RTDC4016\2017-02-21 --exclude "*" --recursive --include "*20170221*" &amp; "%USERPROFILE%\Documents\GitHub\mrs-test-scripts\Headless Mode &amp; Sideloading\WalkAndUnGZ.bat" "%USERPROFILE%\AppData\Local\Temp\OnboardLogs"\RTDC4016\2017-02-21</v>
      </c>
      <c r="S8" s="92" t="str">
        <f>VLOOKUP(C8,'Train Runs'!$A$13:$AE$9943,22,0)</f>
        <v>https://d0f6bd738d7f1b3e5a7ca70fe4ff75f0.us-east-1.aws.found.io/app/kibana#/discover/Steve-Slow-Train-Analysis-(2080s-and-2083s)?_g=(refreshInterval:(display:Off,pause:!f,section:0,value:0),time:(from:'2017-02-20T13:07:10-0700',mode:absolute,to:'2017-02-20T15:51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8" s="94" t="str">
        <f t="shared" si="1"/>
        <v>"C:\Program Files (x86)\AstroGrep\AstroGrep.exe" /spath="%USERPROFILE%\AppData\Local\Temp\OnboardLogs" /stypes="*4016*201702202*" /stext=" 21:.+((SYSTEM_STATE.+slice.+state.+changed )|(ment ac)|(multiple cpu faults)|(system.+state.+changed )|(\[timeout)|(PRM\|1\|D)|(kpr)|(kdp)|(\|lc)|(penalty))" /e /r /s</v>
      </c>
      <c r="U8" s="9" t="str">
        <f t="shared" si="2"/>
        <v>4016</v>
      </c>
      <c r="V8" s="32">
        <f t="shared" si="3"/>
        <v>42786.890092592592</v>
      </c>
      <c r="W8" s="46" t="str">
        <f t="shared" si="4"/>
        <v>EC</v>
      </c>
      <c r="X8" s="46" t="str">
        <f t="shared" si="5"/>
        <v>KEEP</v>
      </c>
      <c r="Y8" s="108" t="str">
        <f t="shared" si="6"/>
        <v>echo {"issue":{"subject":"Early arrival","project_id":79,"tracker_id":40,"status_id":1,"priority_id":2,"assigned_to_id":23,"start_date":"2017-02-20","description":"","custom_fields":[{"id":1,"name":"Subdivision","value":"EC"},{"id":4,"name":"Milepost","value":"2.7053"},{"id":17,"name":"Train ID","value":"185-20"},{"id":16,"name":"Locomotive ID","value":"4016"},{"id":130,"name":"Impact","value":""},{"id":150,"name":"Time of Event (Mountain Time)","value":"14:21:44"},{"id":151,"name":"Denver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48"/>
      <c r="AA8" s="48"/>
      <c r="AB8" s="48"/>
      <c r="AC8" s="127" t="str">
        <f t="shared" si="7"/>
        <v>grep -hSE -A400 "Enforcement Action" "%USERPROFILE%\AppData\Local\Temp\OnboardLogs"\RTDC4016\*4016*201702202*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"%USERPROFILE%\AppData\Local\Temp\OnboardLogs"\RTDC4016\*4016*201702202* &gt;&gt; 2017-02-20-SliceDisagreementCheck.txt</v>
      </c>
      <c r="AE8" s="157" t="str">
        <f t="shared" si="8"/>
        <v>start /low /b %USERPROFILE%\Documents\GitHub\eaglep3\Utilities\DownloadLogsFromS3.py --loco 4016 --day 2017-02-20</v>
      </c>
    </row>
    <row r="9" spans="1:32" s="1" customFormat="1" x14ac:dyDescent="0.25">
      <c r="A9" s="32">
        <v>42786.776701388888</v>
      </c>
      <c r="B9" s="30" t="s">
        <v>216</v>
      </c>
      <c r="C9" s="30" t="s">
        <v>484</v>
      </c>
      <c r="D9" s="30" t="s">
        <v>49</v>
      </c>
      <c r="E9" s="30" t="s">
        <v>197</v>
      </c>
      <c r="F9" s="43">
        <v>330</v>
      </c>
      <c r="G9" s="43">
        <v>382</v>
      </c>
      <c r="H9" s="43">
        <v>31995</v>
      </c>
      <c r="I9" s="43">
        <v>32987</v>
      </c>
      <c r="J9" s="30" t="s">
        <v>198</v>
      </c>
      <c r="K9" s="43">
        <v>33137</v>
      </c>
      <c r="L9" s="143" t="s">
        <v>50</v>
      </c>
      <c r="M9" s="144">
        <f t="shared" si="0"/>
        <v>79.2</v>
      </c>
      <c r="N9" s="145" t="str">
        <f>VLOOKUP(C9,'Trips&amp;Operators'!$C$1:$G$99999,5,FALSE)</f>
        <v>STORY SAMANTHA</v>
      </c>
      <c r="O9" s="194" t="s">
        <v>185</v>
      </c>
      <c r="P9" s="146" t="s">
        <v>448</v>
      </c>
      <c r="Q9" s="30"/>
      <c r="R9" s="89" t="str">
        <f>VLOOKUP(C9,'Train Runs'!$A$13:$AE$9943,31,0)</f>
        <v>aws s3 cp s3://rtdc.mdm.uploadarchive.raw/RTDC4046/ "%USERPROFILE%\AppData\Local\Temp\OnboardLogs"\RTDC4046\2017-02-20 --exclude "*" --recursive --include "*20170220*" &amp; "%USERPROFILE%\Documents\GitHub\mrs-test-scripts\Headless Mode &amp; Sideloading\WalkAndUnGZ.bat" "%USERPROFILE%\AppData\Local\Temp\OnboardLogs"\RTDC4046\2017-02-20 &amp; aws s3 cp s3://rtdc.mdm.uploadarchive.raw/RTDC4046/ "%USERPROFILE%\AppData\Local\Temp\OnboardLogs"\RTDC4046\2017-02-21 --exclude "*" --recursive --include "*20170221*" &amp; "%USERPROFILE%\Documents\GitHub\mrs-test-scripts\Headless Mode &amp; Sideloading\WalkAndUnGZ.bat" "%USERPROFILE%\AppData\Local\Temp\OnboardLogs"\RTDC4046\2017-02-21</v>
      </c>
      <c r="S9" s="92" t="str">
        <f>VLOOKUP(C9,'Train Runs'!$A$13:$AE$9943,22,0)</f>
        <v>https://d0f6bd738d7f1b3e5a7ca70fe4ff75f0.us-east-1.aws.found.io/app/kibana#/discover/Steve-Slow-Train-Analysis-(2080s-and-2083s)?_g=(refreshInterval:(display:Off,pause:!f,section:0,value:0),time:(from:'2017-02-20T17:26:26-0700',mode:absolute,to:'2017-02-20T20:07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9" s="94" t="str">
        <f t="shared" si="1"/>
        <v>"C:\Program Files (x86)\AstroGrep\AstroGrep.exe" /spath="%USERPROFILE%\AppData\Local\Temp\OnboardLogs" /stypes="*4046*201702210*" /stext=" 01:.+((SYSTEM_STATE.+slice.+state.+changed )|(ment ac)|(multiple cpu faults)|(system.+state.+changed )|(\[timeout)|(PRM\|1\|D)|(kpr)|(kdp)|(\|lc)|(penalty))" /e /r /s</v>
      </c>
      <c r="U9" s="9" t="str">
        <f t="shared" si="2"/>
        <v>4046</v>
      </c>
      <c r="V9" s="32">
        <f t="shared" si="3"/>
        <v>42787.068368055552</v>
      </c>
      <c r="W9" s="46" t="str">
        <f t="shared" si="4"/>
        <v>EC</v>
      </c>
      <c r="X9" s="46" t="str">
        <f t="shared" si="5"/>
        <v>KEEP</v>
      </c>
      <c r="Y9" s="108" t="str">
        <f t="shared" si="6"/>
        <v>echo {"issue":{"subject":"Early arrival","project_id":79,"tracker_id":40,"status_id":1,"priority_id":2,"assigned_to_id":23,"start_date":"2017-02-20","description":"","custom_fields":[{"id":1,"name":"Subdivision","value":"EC"},{"id":4,"name":"Milepost","value":"3.3137"},{"id":17,"name":"Train ID","value":"219-20"},{"id":16,"name":"Locomotive ID","value":"4046"},{"id":130,"name":"Impact","value":""},{"id":150,"name":"Time of Event (Mountain Time)","value":"18:38:27"},{"id":151,"name":"Denver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48"/>
      <c r="AA9" s="48"/>
      <c r="AB9" s="48"/>
      <c r="AC9" s="127" t="str">
        <f t="shared" si="7"/>
        <v>grep -hSE -A400 "Enforcement Action" "%USERPROFILE%\AppData\Local\Temp\OnboardLogs"\RTDC4046\*4046*201702210*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"%USERPROFILE%\AppData\Local\Temp\OnboardLogs"\RTDC4046\*4046*201702210* &gt;&gt; 2017-02-20-SliceDisagreementCheck.txt</v>
      </c>
      <c r="AE9" s="157" t="str">
        <f t="shared" si="8"/>
        <v>start /low /b %USERPROFILE%\Documents\GitHub\eaglep3\Utilities\DownloadLogsFromS3.py --loco 4046 --day 2017-02-21</v>
      </c>
    </row>
    <row r="10" spans="1:32" s="1" customFormat="1" x14ac:dyDescent="0.25">
      <c r="A10" s="32">
        <v>42786.339953703704</v>
      </c>
      <c r="B10" s="30" t="s">
        <v>208</v>
      </c>
      <c r="C10" s="30" t="s">
        <v>462</v>
      </c>
      <c r="D10" s="30" t="s">
        <v>49</v>
      </c>
      <c r="E10" s="30" t="s">
        <v>197</v>
      </c>
      <c r="F10" s="43">
        <v>250</v>
      </c>
      <c r="G10" s="43">
        <v>342</v>
      </c>
      <c r="H10" s="43">
        <v>35825</v>
      </c>
      <c r="I10" s="43">
        <v>34997</v>
      </c>
      <c r="J10" s="30" t="s">
        <v>198</v>
      </c>
      <c r="K10" s="43">
        <v>33257</v>
      </c>
      <c r="L10" s="143" t="s">
        <v>51</v>
      </c>
      <c r="M10" s="144">
        <f t="shared" si="0"/>
        <v>918.72</v>
      </c>
      <c r="N10" s="145" t="str">
        <f>VLOOKUP(C10,'Trips&amp;Operators'!$C$1:$G$99999,5,FALSE)</f>
        <v>YORK EDGAR</v>
      </c>
      <c r="O10" s="194" t="s">
        <v>185</v>
      </c>
      <c r="P10" s="146" t="s">
        <v>448</v>
      </c>
      <c r="Q10" s="30"/>
      <c r="R10" s="89" t="str">
        <f>VLOOKUP(C10,'Train Runs'!$A$13:$AE$9943,31,0)</f>
        <v>aws s3 cp s3://rtdc.mdm.uploadarchive.raw/RTDC4030/ "%USERPROFILE%\AppData\Local\Temp\OnboardLogs"\RTDC4030\2017-02-20 --exclude "*" --recursive --include "*20170220*" &amp; "%USERPROFILE%\Documents\GitHub\mrs-test-scripts\Headless Mode &amp; Sideloading\WalkAndUnGZ.bat" "%USERPROFILE%\AppData\Local\Temp\OnboardLogs"\RTDC4030\2017-02-20 &amp; aws s3 cp s3://rtdc.mdm.uploadarchive.raw/RTDC4030/ "%USERPROFILE%\AppData\Local\Temp\OnboardLogs"\RTDC4030\2017-02-21 --exclude "*" --recursive --include "*20170221*" &amp; "%USERPROFILE%\Documents\GitHub\mrs-test-scripts\Headless Mode &amp; Sideloading\WalkAndUnGZ.bat" "%USERPROFILE%\AppData\Local\Temp\OnboardLogs"\RTDC4030\2017-02-21</v>
      </c>
      <c r="S10" s="92" t="str">
        <f>VLOOKUP(C10,'Train Runs'!$A$13:$AE$9943,22,0)</f>
        <v>https://d0f6bd738d7f1b3e5a7ca70fe4ff75f0.us-east-1.aws.found.io/app/kibana#/discover/Steve-Slow-Train-Analysis-(2080s-and-2083s)?_g=(refreshInterval:(display:Off,pause:!f,section:0,value:0),time:(from:'2017-02-20T06:22:14-0700',mode:absolute,to:'2017-02-20T09:19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0" s="94" t="str">
        <f t="shared" si="1"/>
        <v>"C:\Program Files (x86)\AstroGrep\AstroGrep.exe" /spath="%USERPROFILE%\AppData\Local\Temp\OnboardLogs" /stypes="*4030*201702201*" /stext=" 15:.+((SYSTEM_STATE.+slice.+state.+changed )|(ment ac)|(multiple cpu faults)|(system.+state.+changed )|(\[timeout)|(PRM\|1\|D)|(kpr)|(kdp)|(\|lc)|(penalty))" /e /r /s</v>
      </c>
      <c r="U10" s="9" t="str">
        <f t="shared" si="2"/>
        <v>4030</v>
      </c>
      <c r="V10" s="32">
        <f t="shared" si="3"/>
        <v>42786.631620370368</v>
      </c>
      <c r="W10" s="46" t="str">
        <f t="shared" si="4"/>
        <v>EC</v>
      </c>
      <c r="X10" s="46" t="str">
        <f t="shared" si="5"/>
        <v>KEEP</v>
      </c>
      <c r="Y10" s="108" t="str">
        <f t="shared" si="6"/>
        <v>echo {"issue":{"subject":"Early arrival","project_id":79,"tracker_id":40,"status_id":1,"priority_id":2,"assigned_to_id":23,"start_date":"2017-02-20","description":"","custom_fields":[{"id":1,"name":"Subdivision","value":"EC"},{"id":4,"name":"Milepost","value":"3.3257"},{"id":17,"name":"Train ID","value":"126-20"},{"id":16,"name":"Locomotive ID","value":"4030"},{"id":130,"name":"Impact","value":""},{"id":150,"name":"Time of Event (Mountain Time)","value":"08:09:32"},{"id":151,"name":"Denver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48"/>
      <c r="AA10" s="48"/>
      <c r="AB10" s="48"/>
      <c r="AC10" s="127" t="str">
        <f t="shared" si="7"/>
        <v>grep -hSE -A400 "Enforcement Action" "%USERPROFILE%\AppData\Local\Temp\OnboardLogs"\RTDC4030\*4030*201702201*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"%USERPROFILE%\AppData\Local\Temp\OnboardLogs"\RTDC4030\*4030*201702201* &gt;&gt; 2017-02-20-SliceDisagreementCheck.txt</v>
      </c>
      <c r="AE10" s="157" t="str">
        <f t="shared" si="8"/>
        <v>start /low /b %USERPROFILE%\Documents\GitHub\eaglep3\Utilities\DownloadLogsFromS3.py --loco 4030 --day 2017-02-20</v>
      </c>
    </row>
    <row r="11" spans="1:32" s="1" customFormat="1" x14ac:dyDescent="0.25">
      <c r="A11" s="32">
        <v>42786.43545138889</v>
      </c>
      <c r="B11" s="30" t="s">
        <v>225</v>
      </c>
      <c r="C11" s="30" t="s">
        <v>470</v>
      </c>
      <c r="D11" s="30" t="s">
        <v>49</v>
      </c>
      <c r="E11" s="30" t="s">
        <v>197</v>
      </c>
      <c r="F11" s="43">
        <v>0</v>
      </c>
      <c r="G11" s="43">
        <v>332</v>
      </c>
      <c r="H11" s="43">
        <v>52741</v>
      </c>
      <c r="I11" s="43">
        <v>53227</v>
      </c>
      <c r="J11" s="30" t="s">
        <v>198</v>
      </c>
      <c r="K11" s="43">
        <v>53156</v>
      </c>
      <c r="L11" s="143" t="s">
        <v>50</v>
      </c>
      <c r="M11" s="144">
        <f t="shared" si="0"/>
        <v>-37.488</v>
      </c>
      <c r="N11" s="145" t="str">
        <f>VLOOKUP(C11,'Trips&amp;Operators'!$C$1:$G$99999,5,FALSE)</f>
        <v>YORK EDGAR</v>
      </c>
      <c r="O11" s="194" t="s">
        <v>185</v>
      </c>
      <c r="P11" s="146" t="s">
        <v>448</v>
      </c>
      <c r="Q11" s="30"/>
      <c r="R11" s="89" t="str">
        <f>VLOOKUP(C11,'Train Runs'!$A$13:$AE$9943,31,0)</f>
        <v>aws s3 cp s3://rtdc.mdm.uploadarchive.raw/RTDC4029/ "%USERPROFILE%\AppData\Local\Temp\OnboardLogs"\RTDC4029\2017-02-20 --exclude "*" --recursive --include "*20170220*" &amp; "%USERPROFILE%\Documents\GitHub\mrs-test-scripts\Headless Mode &amp; Sideloading\WalkAndUnGZ.bat" "%USERPROFILE%\AppData\Local\Temp\OnboardLogs"\RTDC4029\2017-02-20 &amp; aws s3 cp s3://rtdc.mdm.uploadarchive.raw/RTDC4029/ "%USERPROFILE%\AppData\Local\Temp\OnboardLogs"\RTDC4029\2017-02-21 --exclude "*" --recursive --include "*20170221*" &amp; "%USERPROFILE%\Documents\GitHub\mrs-test-scripts\Headless Mode &amp; Sideloading\WalkAndUnGZ.bat" "%USERPROFILE%\AppData\Local\Temp\OnboardLogs"\RTDC4029\2017-02-21</v>
      </c>
      <c r="S11" s="92" t="str">
        <f>VLOOKUP(C11,'Train Runs'!$A$13:$AE$9943,22,0)</f>
        <v>https://d0f6bd738d7f1b3e5a7ca70fe4ff75f0.us-east-1.aws.found.io/app/kibana#/discover/Steve-Slow-Train-Analysis-(2080s-and-2083s)?_g=(refreshInterval:(display:Off,pause:!f,section:0,value:0),time:(from:'2017-02-20T09:05:03-0700',mode:absolute,to:'2017-02-20T11:45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1" s="94" t="str">
        <f t="shared" si="1"/>
        <v>"C:\Program Files (x86)\AstroGrep\AstroGrep.exe" /spath="%USERPROFILE%\AppData\Local\Temp\OnboardLogs" /stypes="*4029*201702201*" /stext=" 17:.+((SYSTEM_STATE.+slice.+state.+changed )|(ment ac)|(multiple cpu faults)|(system.+state.+changed )|(\[timeout)|(PRM\|1\|D)|(kpr)|(kdp)|(\|lc)|(penalty))" /e /r /s</v>
      </c>
      <c r="U11" s="9" t="str">
        <f t="shared" si="2"/>
        <v>4029</v>
      </c>
      <c r="V11" s="32">
        <f t="shared" si="3"/>
        <v>42786.727118055554</v>
      </c>
      <c r="W11" s="46" t="str">
        <f t="shared" si="4"/>
        <v>EC</v>
      </c>
      <c r="X11" s="46" t="str">
        <f t="shared" si="5"/>
        <v>KEEP</v>
      </c>
      <c r="Y11" s="108" t="str">
        <f t="shared" si="6"/>
        <v>echo {"issue":{"subject":"Early arrival","project_id":79,"tracker_id":40,"status_id":1,"priority_id":2,"assigned_to_id":23,"start_date":"2017-02-20","description":"","custom_fields":[{"id":1,"name":"Subdivision","value":"EC"},{"id":4,"name":"Milepost","value":"5.3156"},{"id":17,"name":"Train ID","value":"153-20"},{"id":16,"name":"Locomotive ID","value":"4029"},{"id":130,"name":"Impact","value":""},{"id":150,"name":"Time of Event (Mountain Time)","value":"10:27:03"},{"id":151,"name":"Denver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48"/>
      <c r="AA11" s="48"/>
      <c r="AB11" s="48"/>
      <c r="AC11" s="127" t="str">
        <f t="shared" si="7"/>
        <v>grep -hSE -A400 "Enforcement Action" "%USERPROFILE%\AppData\Local\Temp\OnboardLogs"\RTDC4029\*4029*201702201*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"%USERPROFILE%\AppData\Local\Temp\OnboardLogs"\RTDC4029\*4029*201702201* &gt;&gt; 2017-02-20-SliceDisagreementCheck.txt</v>
      </c>
      <c r="AE11" s="157" t="str">
        <f t="shared" si="8"/>
        <v>start /low /b %USERPROFILE%\Documents\GitHub\eaglep3\Utilities\DownloadLogsFromS3.py --loco 4029 --day 2017-02-20</v>
      </c>
    </row>
    <row r="12" spans="1:32" s="1" customFormat="1" x14ac:dyDescent="0.25">
      <c r="A12" s="32">
        <v>42786.924768518518</v>
      </c>
      <c r="B12" s="30" t="s">
        <v>270</v>
      </c>
      <c r="C12" s="30" t="s">
        <v>487</v>
      </c>
      <c r="D12" s="30" t="s">
        <v>49</v>
      </c>
      <c r="E12" s="30" t="s">
        <v>197</v>
      </c>
      <c r="F12" s="43">
        <v>0</v>
      </c>
      <c r="G12" s="43">
        <v>442</v>
      </c>
      <c r="H12" s="43">
        <v>52699</v>
      </c>
      <c r="I12" s="43">
        <v>53510</v>
      </c>
      <c r="J12" s="30" t="s">
        <v>198</v>
      </c>
      <c r="K12" s="43">
        <v>53156</v>
      </c>
      <c r="L12" s="143" t="s">
        <v>50</v>
      </c>
      <c r="M12" s="144">
        <f t="shared" si="0"/>
        <v>-186.91200000000001</v>
      </c>
      <c r="N12" s="145" t="str">
        <f>VLOOKUP(C12,'Trips&amp;Operators'!$C$1:$G$99999,5,FALSE)</f>
        <v>STAMBAUGH JAMES</v>
      </c>
      <c r="O12" s="194" t="s">
        <v>185</v>
      </c>
      <c r="P12" s="146" t="s">
        <v>448</v>
      </c>
      <c r="Q12" s="30"/>
      <c r="R12" s="89" t="str">
        <f>VLOOKUP(C12,'Train Runs'!$A$13:$AE$9943,31,0)</f>
        <v>aws s3 cp s3://rtdc.mdm.uploadarchive.raw/RTDC4020/ "%USERPROFILE%\AppData\Local\Temp\OnboardLogs"\RTDC4020\2017-02-20 --exclude "*" --recursive --include "*20170220*" &amp; "%USERPROFILE%\Documents\GitHub\mrs-test-scripts\Headless Mode &amp; Sideloading\WalkAndUnGZ.bat" "%USERPROFILE%\AppData\Local\Temp\OnboardLogs"\RTDC4020\2017-02-20 &amp; aws s3 cp s3://rtdc.mdm.uploadarchive.raw/RTDC4020/ "%USERPROFILE%\AppData\Local\Temp\OnboardLogs"\RTDC4020\2017-02-21 --exclude "*" --recursive --include "*20170221*" &amp; "%USERPROFILE%\Documents\GitHub\mrs-test-scripts\Headless Mode &amp; Sideloading\WalkAndUnGZ.bat" "%USERPROFILE%\AppData\Local\Temp\OnboardLogs"\RTDC4020\2017-02-21</v>
      </c>
      <c r="S12" s="92" t="str">
        <f>VLOOKUP(C12,'Train Runs'!$A$13:$AE$9943,22,0)</f>
        <v>https://d0f6bd738d7f1b3e5a7ca70fe4ff75f0.us-east-1.aws.found.io/app/kibana#/discover/Steve-Slow-Train-Analysis-(2080s-and-2083s)?_g=(refreshInterval:(display:Off,pause:!f,section:0,value:0),time:(from:'2017-02-20T20:38:27-0700',mode:absolute,to:'2017-02-20T23:35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12" s="94" t="str">
        <f t="shared" si="1"/>
        <v>"C:\Program Files (x86)\AstroGrep\AstroGrep.exe" /spath="%USERPROFILE%\AppData\Local\Temp\OnboardLogs" /stypes="*4020*201702210*" /stext=" 05:.+((SYSTEM_STATE.+slice.+state.+changed )|(ment ac)|(multiple cpu faults)|(system.+state.+changed )|(\[timeout)|(PRM\|1\|D)|(kpr)|(kdp)|(\|lc)|(penalty))" /e /r /s</v>
      </c>
      <c r="U12" s="9" t="str">
        <f t="shared" si="2"/>
        <v>4020</v>
      </c>
      <c r="V12" s="32">
        <f t="shared" si="3"/>
        <v>42787.216435185182</v>
      </c>
      <c r="W12" s="46" t="str">
        <f t="shared" si="4"/>
        <v>EC</v>
      </c>
      <c r="X12" s="46" t="str">
        <f t="shared" si="5"/>
        <v>KEEP</v>
      </c>
      <c r="Y12" s="108" t="str">
        <f t="shared" si="6"/>
        <v>echo {"issue":{"subject":"Early arrival","project_id":79,"tracker_id":40,"status_id":1,"priority_id":2,"assigned_to_id":23,"start_date":"2017-02-20","description":"","custom_fields":[{"id":1,"name":"Subdivision","value":"EC"},{"id":4,"name":"Milepost","value":"5.3156"},{"id":17,"name":"Train ID","value":"233-20"},{"id":16,"name":"Locomotive ID","value":"4020"},{"id":130,"name":"Impact","value":""},{"id":150,"name":"Time of Event (Mountain Time)","value":"22:11:40"},{"id":151,"name":"Denver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48"/>
      <c r="AA12" s="48"/>
      <c r="AB12" s="48"/>
      <c r="AC12" s="127" t="str">
        <f t="shared" si="7"/>
        <v>grep -hSE -A400 "Enforcement Action" "%USERPROFILE%\AppData\Local\Temp\OnboardLogs"\RTDC4020\*4020*201702210*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"%USERPROFILE%\AppData\Local\Temp\OnboardLogs"\RTDC4020\*4020*201702210* &gt;&gt; 2017-02-20-SliceDisagreementCheck.txt</v>
      </c>
      <c r="AE12" s="157" t="str">
        <f t="shared" si="8"/>
        <v>start /low /b %USERPROFILE%\Documents\GitHub\eaglep3\Utilities\DownloadLogsFromS3.py --loco 4020 --day 2017-02-21</v>
      </c>
    </row>
    <row r="13" spans="1:32" s="1" customFormat="1" x14ac:dyDescent="0.25">
      <c r="A13" s="32">
        <v>42786.946736111109</v>
      </c>
      <c r="B13" s="30" t="s">
        <v>216</v>
      </c>
      <c r="C13" s="30" t="s">
        <v>488</v>
      </c>
      <c r="D13" s="30" t="s">
        <v>49</v>
      </c>
      <c r="E13" s="30" t="s">
        <v>197</v>
      </c>
      <c r="F13" s="43">
        <v>0</v>
      </c>
      <c r="G13" s="43">
        <v>419</v>
      </c>
      <c r="H13" s="43">
        <v>52337</v>
      </c>
      <c r="I13" s="43">
        <v>53266</v>
      </c>
      <c r="J13" s="30" t="s">
        <v>198</v>
      </c>
      <c r="K13" s="43">
        <v>53156</v>
      </c>
      <c r="L13" s="143" t="s">
        <v>50</v>
      </c>
      <c r="M13" s="144">
        <f t="shared" si="0"/>
        <v>-58.08</v>
      </c>
      <c r="N13" s="145" t="str">
        <f>VLOOKUP(C13,'Trips&amp;Operators'!$C$1:$G$99999,5,FALSE)</f>
        <v>STORY SAMANTHA</v>
      </c>
      <c r="O13" s="194" t="s">
        <v>185</v>
      </c>
      <c r="P13" s="146" t="s">
        <v>448</v>
      </c>
      <c r="Q13" s="30"/>
      <c r="R13" s="89" t="str">
        <f>VLOOKUP(C13,'Train Runs'!$A$13:$AE$9943,31,0)</f>
        <v>aws s3 cp s3://rtdc.mdm.uploadarchive.raw/RTDC4046/ "%USERPROFILE%\AppData\Local\Temp\OnboardLogs"\RTDC4046\2017-02-20 --exclude "*" --recursive --include "*20170220*" &amp; "%USERPROFILE%\Documents\GitHub\mrs-test-scripts\Headless Mode &amp; Sideloading\WalkAndUnGZ.bat" "%USERPROFILE%\AppData\Local\Temp\OnboardLogs"\RTDC4046\2017-02-20 &amp; aws s3 cp s3://rtdc.mdm.uploadarchive.raw/RTDC4046/ "%USERPROFILE%\AppData\Local\Temp\OnboardLogs"\RTDC4046\2017-02-21 --exclude "*" --recursive --include "*20170221*" &amp; "%USERPROFILE%\Documents\GitHub\mrs-test-scripts\Headless Mode &amp; Sideloading\WalkAndUnGZ.bat" "%USERPROFILE%\AppData\Local\Temp\OnboardLogs"\RTDC4046\2017-02-21</v>
      </c>
      <c r="S13" s="92" t="str">
        <f>VLOOKUP(C13,'Train Runs'!$A$13:$AE$9943,22,0)</f>
        <v>https://d0f6bd738d7f1b3e5a7ca70fe4ff75f0.us-east-1.aws.found.io/app/kibana#/discover/Steve-Slow-Train-Analysis-(2080s-and-2083s)?_g=(refreshInterval:(display:Off,pause:!f,section:0,value:0),time:(from:'2017-02-20T21:15:48-0700',mode:absolute,to:'2017-02-21T00:09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13" s="94" t="str">
        <f t="shared" si="1"/>
        <v>"C:\Program Files (x86)\AstroGrep\AstroGrep.exe" /spath="%USERPROFILE%\AppData\Local\Temp\OnboardLogs" /stypes="*4046*201702210*" /stext=" 05:.+((SYSTEM_STATE.+slice.+state.+changed )|(ment ac)|(multiple cpu faults)|(system.+state.+changed )|(\[timeout)|(PRM\|1\|D)|(kpr)|(kdp)|(\|lc)|(penalty))" /e /r /s</v>
      </c>
      <c r="U13" s="9" t="str">
        <f t="shared" si="2"/>
        <v>4046</v>
      </c>
      <c r="V13" s="32">
        <f t="shared" si="3"/>
        <v>42787.238402777773</v>
      </c>
      <c r="W13" s="46" t="str">
        <f t="shared" si="4"/>
        <v>EC</v>
      </c>
      <c r="X13" s="46" t="str">
        <f t="shared" si="5"/>
        <v>KEEP</v>
      </c>
      <c r="Y13" s="108" t="str">
        <f t="shared" si="6"/>
        <v>echo {"issue":{"subject":"Early arrival","project_id":79,"tracker_id":40,"status_id":1,"priority_id":2,"assigned_to_id":23,"start_date":"2017-02-20","description":"","custom_fields":[{"id":1,"name":"Subdivision","value":"EC"},{"id":4,"name":"Milepost","value":"5.3156"},{"id":17,"name":"Train ID","value":"235-20"},{"id":16,"name":"Locomotive ID","value":"4046"},{"id":130,"name":"Impact","value":""},{"id":150,"name":"Time of Event (Mountain Time)","value":"22:43:18"},{"id":151,"name":"Denver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48"/>
      <c r="AA13" s="48"/>
      <c r="AB13" s="48"/>
      <c r="AC13" s="127" t="str">
        <f t="shared" si="7"/>
        <v>grep -hSE -A400 "Enforcement Action" "%USERPROFILE%\AppData\Local\Temp\OnboardLogs"\RTDC4046\*4046*201702210*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"%USERPROFILE%\AppData\Local\Temp\OnboardLogs"\RTDC4046\*4046*201702210* &gt;&gt; 2017-02-20-SliceDisagreementCheck.txt</v>
      </c>
      <c r="AE13" s="157" t="str">
        <f t="shared" si="8"/>
        <v>start /low /b %USERPROFILE%\Documents\GitHub\eaglep3\Utilities\DownloadLogsFromS3.py --loco 4046 --day 2017-02-21</v>
      </c>
    </row>
    <row r="14" spans="1:32" x14ac:dyDescent="0.25">
      <c r="A14" s="32">
        <v>42786.503495370373</v>
      </c>
      <c r="B14" s="30" t="s">
        <v>224</v>
      </c>
      <c r="C14" s="30" t="s">
        <v>474</v>
      </c>
      <c r="D14" s="30" t="s">
        <v>49</v>
      </c>
      <c r="E14" s="30" t="s">
        <v>197</v>
      </c>
      <c r="F14" s="43">
        <v>190</v>
      </c>
      <c r="G14" s="43">
        <v>769</v>
      </c>
      <c r="H14" s="43">
        <v>69846</v>
      </c>
      <c r="I14" s="43">
        <v>66442</v>
      </c>
      <c r="J14" s="30" t="s">
        <v>198</v>
      </c>
      <c r="K14" s="43">
        <v>63309</v>
      </c>
      <c r="L14" s="143" t="s">
        <v>51</v>
      </c>
      <c r="M14" s="144">
        <f t="shared" si="0"/>
        <v>1654.2239999999999</v>
      </c>
      <c r="N14" s="145" t="str">
        <f>VLOOKUP(C14,'Trips&amp;Operators'!$C$1:$G$99999,5,FALSE)</f>
        <v>ROBINSON KADDIBA</v>
      </c>
      <c r="O14" s="194" t="s">
        <v>185</v>
      </c>
      <c r="P14" s="146" t="s">
        <v>448</v>
      </c>
      <c r="Q14" s="30"/>
      <c r="R14" s="89" t="str">
        <f>VLOOKUP(C14,'Train Runs'!$A$13:$AE$9943,31,0)</f>
        <v>aws s3 cp s3://rtdc.mdm.uploadarchive.raw/RTDC4015/ "%USERPROFILE%\AppData\Local\Temp\OnboardLogs"\RTDC4015\2017-02-20 --exclude "*" --recursive --include "*20170220*" &amp; "%USERPROFILE%\Documents\GitHub\mrs-test-scripts\Headless Mode &amp; Sideloading\WalkAndUnGZ.bat" "%USERPROFILE%\AppData\Local\Temp\OnboardLogs"\RTDC4015\2017-02-20 &amp; aws s3 cp s3://rtdc.mdm.uploadarchive.raw/RTDC4015/ "%USERPROFILE%\AppData\Local\Temp\OnboardLogs"\RTDC4015\2017-02-21 --exclude "*" --recursive --include "*20170221*" &amp; "%USERPROFILE%\Documents\GitHub\mrs-test-scripts\Headless Mode &amp; Sideloading\WalkAndUnGZ.bat" "%USERPROFILE%\AppData\Local\Temp\OnboardLogs"\RTDC4015\2017-02-21</v>
      </c>
      <c r="S14" s="92" t="str">
        <f>VLOOKUP(C14,'Train Runs'!$A$13:$AE$9943,22,0)</f>
        <v>https://d0f6bd738d7f1b3e5a7ca70fe4ff75f0.us-east-1.aws.found.io/app/kibana#/discover/Steve-Slow-Train-Analysis-(2080s-and-2083s)?_g=(refreshInterval:(display:Off,pause:!f,section:0,value:0),time:(from:'2017-02-20T10:37:29-0700',mode:absolute,to:'2017-02-20T13:21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4" s="94" t="str">
        <f t="shared" si="1"/>
        <v>"C:\Program Files (x86)\AstroGrep\AstroGrep.exe" /spath="%USERPROFILE%\AppData\Local\Temp\OnboardLogs" /stypes="*4015*201702201*" /stext=" 19:.+((SYSTEM_STATE.+slice.+state.+changed )|(ment ac)|(multiple cpu faults)|(system.+state.+changed )|(\[timeout)|(PRM\|1\|D)|(kpr)|(kdp)|(\|lc)|(penalty))" /e /r /s</v>
      </c>
      <c r="U14" s="9" t="str">
        <f t="shared" si="2"/>
        <v>4015</v>
      </c>
      <c r="V14" s="32">
        <f t="shared" si="3"/>
        <v>42786.795162037037</v>
      </c>
      <c r="W14" s="46" t="str">
        <f t="shared" si="4"/>
        <v>EC</v>
      </c>
      <c r="X14" s="46" t="str">
        <f t="shared" si="5"/>
        <v>KEEP</v>
      </c>
      <c r="Y14" s="108" t="str">
        <f t="shared" si="6"/>
        <v>echo {"issue":{"subject":"Early arrival","project_id":79,"tracker_id":40,"status_id":1,"priority_id":2,"assigned_to_id":23,"start_date":"2017-02-20","description":"","custom_fields":[{"id":1,"name":"Subdivision","value":"EC"},{"id":4,"name":"Milepost","value":"6.3309"},{"id":17,"name":"Train ID","value":"158-20"},{"id":16,"name":"Locomotive ID","value":"4015"},{"id":130,"name":"Impact","value":""},{"id":150,"name":"Time of Event (Mountain Time)","value":"12:05:02"},{"id":151,"name":"Denver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48"/>
      <c r="AA14" s="48"/>
      <c r="AB14" s="48"/>
      <c r="AC14" s="127" t="str">
        <f t="shared" si="7"/>
        <v>grep -hSE -A400 "Enforcement Action" "%USERPROFILE%\AppData\Local\Temp\OnboardLogs"\RTDC4015\*4015*201702201*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"%USERPROFILE%\AppData\Local\Temp\OnboardLogs"\RTDC4015\*4015*201702201* &gt;&gt; 2017-02-20-SliceDisagreementCheck.txt</v>
      </c>
      <c r="AE14" s="157" t="str">
        <f t="shared" si="8"/>
        <v>start /low /b %USERPROFILE%\Documents\GitHub\eaglep3\Utilities\DownloadLogsFromS3.py --loco 4015 --day 2017-02-20</v>
      </c>
      <c r="AF14" s="1"/>
    </row>
    <row r="15" spans="1:32" x14ac:dyDescent="0.25">
      <c r="A15" s="32">
        <v>42786.353298611109</v>
      </c>
      <c r="B15" s="30" t="s">
        <v>224</v>
      </c>
      <c r="C15" s="30" t="s">
        <v>463</v>
      </c>
      <c r="D15" s="30" t="s">
        <v>49</v>
      </c>
      <c r="E15" s="30" t="s">
        <v>197</v>
      </c>
      <c r="F15" s="43">
        <v>400</v>
      </c>
      <c r="G15" s="43">
        <v>450</v>
      </c>
      <c r="H15" s="43">
        <v>110272</v>
      </c>
      <c r="I15" s="43">
        <v>109063</v>
      </c>
      <c r="J15" s="30" t="s">
        <v>198</v>
      </c>
      <c r="K15" s="43">
        <v>109135</v>
      </c>
      <c r="L15" s="143" t="s">
        <v>51</v>
      </c>
      <c r="M15" s="144">
        <f t="shared" si="0"/>
        <v>-38.015999999999998</v>
      </c>
      <c r="N15" s="145" t="str">
        <f>VLOOKUP(C15,'Trips&amp;Operators'!$C$1:$G$99999,5,FALSE)</f>
        <v>ROBINSON KADDIBA</v>
      </c>
      <c r="O15" s="194" t="s">
        <v>185</v>
      </c>
      <c r="P15" s="146" t="s">
        <v>448</v>
      </c>
      <c r="Q15" s="30"/>
      <c r="R15" s="89" t="str">
        <f>VLOOKUP(C15,'Train Runs'!$A$13:$AE$9943,31,0)</f>
        <v>aws s3 cp s3://rtdc.mdm.uploadarchive.raw/RTDC4015/ "%USERPROFILE%\AppData\Local\Temp\OnboardLogs"\RTDC4015\2017-02-20 --exclude "*" --recursive --include "*20170220*" &amp; "%USERPROFILE%\Documents\GitHub\mrs-test-scripts\Headless Mode &amp; Sideloading\WalkAndUnGZ.bat" "%USERPROFILE%\AppData\Local\Temp\OnboardLogs"\RTDC4015\2017-02-20 &amp; aws s3 cp s3://rtdc.mdm.uploadarchive.raw/RTDC4015/ "%USERPROFILE%\AppData\Local\Temp\OnboardLogs"\RTDC4015\2017-02-21 --exclude "*" --recursive --include "*20170221*" &amp; "%USERPROFILE%\Documents\GitHub\mrs-test-scripts\Headless Mode &amp; Sideloading\WalkAndUnGZ.bat" "%USERPROFILE%\AppData\Local\Temp\OnboardLogs"\RTDC4015\2017-02-21</v>
      </c>
      <c r="S15" s="92" t="str">
        <f>VLOOKUP(C15,'Train Runs'!$A$13:$AE$9943,22,0)</f>
        <v>https://d0f6bd738d7f1b3e5a7ca70fe4ff75f0.us-east-1.aws.found.io/app/kibana#/discover/Steve-Slow-Train-Analysis-(2080s-and-2083s)?_g=(refreshInterval:(display:Off,pause:!f,section:0,value:0),time:(from:'2017-02-20T07:03:36-0700',mode:absolute,to:'2017-02-20T09:50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5" s="94" t="str">
        <f t="shared" si="1"/>
        <v>"C:\Program Files (x86)\AstroGrep\AstroGrep.exe" /spath="%USERPROFILE%\AppData\Local\Temp\OnboardLogs" /stypes="*4015*201702201*" /stext=" 15:.+((SYSTEM_STATE.+slice.+state.+changed )|(ment ac)|(multiple cpu faults)|(system.+state.+changed )|(\[timeout)|(PRM\|1\|D)|(kpr)|(kdp)|(\|lc)|(penalty))" /e /r /s</v>
      </c>
      <c r="U15" s="9" t="str">
        <f t="shared" si="2"/>
        <v>4015</v>
      </c>
      <c r="V15" s="32">
        <f t="shared" si="3"/>
        <v>42786.644965277774</v>
      </c>
      <c r="W15" s="46" t="str">
        <f t="shared" si="4"/>
        <v>EC</v>
      </c>
      <c r="X15" s="46" t="str">
        <f t="shared" si="5"/>
        <v>KEEP</v>
      </c>
      <c r="Y15" s="108" t="str">
        <f t="shared" si="6"/>
        <v>echo {"issue":{"subject":"Early arrival","project_id":79,"tracker_id":40,"status_id":1,"priority_id":2,"assigned_to_id":23,"start_date":"2017-02-20","description":"","custom_fields":[{"id":1,"name":"Subdivision","value":"EC"},{"id":4,"name":"Milepost","value":"10.9135"},{"id":17,"name":"Train ID","value":"130-20"},{"id":16,"name":"Locomotive ID","value":"4015"},{"id":130,"name":"Impact","value":""},{"id":150,"name":"Time of Event (Mountain Time)","value":"08:28:45"},{"id":151,"name":"Denver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48"/>
      <c r="AA15" s="48"/>
      <c r="AB15" s="48"/>
      <c r="AC15" s="127" t="str">
        <f t="shared" si="7"/>
        <v>grep -hSE -A400 "Enforcement Action" "%USERPROFILE%\AppData\Local\Temp\OnboardLogs"\RTDC4015\*4015*201702201*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"%USERPROFILE%\AppData\Local\Temp\OnboardLogs"\RTDC4015\*4015*201702201* &gt;&gt; 2017-02-20-SliceDisagreementCheck.txt</v>
      </c>
      <c r="AE15" s="157" t="str">
        <f t="shared" si="8"/>
        <v>start /low /b %USERPROFILE%\Documents\GitHub\eaglep3\Utilities\DownloadLogsFromS3.py --loco 4015 --day 2017-02-20</v>
      </c>
      <c r="AF15" s="1"/>
    </row>
    <row r="16" spans="1:32" x14ac:dyDescent="0.25">
      <c r="A16" s="32">
        <v>42786.435520833336</v>
      </c>
      <c r="B16" s="30" t="s">
        <v>219</v>
      </c>
      <c r="C16" s="30" t="s">
        <v>471</v>
      </c>
      <c r="D16" s="30" t="s">
        <v>49</v>
      </c>
      <c r="E16" s="30" t="s">
        <v>376</v>
      </c>
      <c r="F16" s="43">
        <v>400</v>
      </c>
      <c r="G16" s="43">
        <v>490</v>
      </c>
      <c r="H16" s="43">
        <v>121223</v>
      </c>
      <c r="I16" s="43">
        <v>119529</v>
      </c>
      <c r="J16" s="30" t="s">
        <v>377</v>
      </c>
      <c r="K16" s="43">
        <v>119716</v>
      </c>
      <c r="L16" s="143" t="s">
        <v>51</v>
      </c>
      <c r="M16" s="144">
        <f t="shared" si="0"/>
        <v>-98.736000000000004</v>
      </c>
      <c r="N16" s="145" t="str">
        <f>VLOOKUP(C16,'Trips&amp;Operators'!$C$1:$G$99999,5,FALSE)</f>
        <v>MOSES BRADLEY</v>
      </c>
      <c r="O16" s="194" t="s">
        <v>185</v>
      </c>
      <c r="P16" s="146"/>
      <c r="Q16" s="30"/>
      <c r="R16" s="89" t="str">
        <f>VLOOKUP(C16,'Train Runs'!$A$13:$AE$9943,31,0)</f>
        <v>aws s3 cp s3://rtdc.mdm.uploadarchive.raw/RTDC4028/ "%USERPROFILE%\AppData\Local\Temp\OnboardLogs"\RTDC4028\2017-02-20 --exclude "*" --recursive --include "*20170220*" &amp; "%USERPROFILE%\Documents\GitHub\mrs-test-scripts\Headless Mode &amp; Sideloading\WalkAndUnGZ.bat" "%USERPROFILE%\AppData\Local\Temp\OnboardLogs"\RTDC4028\2017-02-20 &amp; aws s3 cp s3://rtdc.mdm.uploadarchive.raw/RTDC4028/ "%USERPROFILE%\AppData\Local\Temp\OnboardLogs"\RTDC4028\2017-02-21 --exclude "*" --recursive --include "*20170221*" &amp; "%USERPROFILE%\Documents\GitHub\mrs-test-scripts\Headless Mode &amp; Sideloading\WalkAndUnGZ.bat" "%USERPROFILE%\AppData\Local\Temp\OnboardLogs"\RTDC4028\2017-02-21</v>
      </c>
      <c r="S16" s="92" t="str">
        <f>VLOOKUP(C16,'Train Runs'!$A$13:$AE$9943,22,0)</f>
        <v>https://d0f6bd738d7f1b3e5a7ca70fe4ff75f0.us-east-1.aws.found.io/app/kibana#/discover/Steve-Slow-Train-Analysis-(2080s-and-2083s)?_g=(refreshInterval:(display:Off,pause:!f,section:0,value:0),time:(from:'2017-02-20T09:05:15-0700',mode:absolute,to:'2017-02-20T11:53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6" s="94" t="str">
        <f t="shared" si="1"/>
        <v>"C:\Program Files (x86)\AstroGrep\AstroGrep.exe" /spath="%USERPROFILE%\AppData\Local\Temp\OnboardLogs" /stypes="*4028*201702201*" /stext=" 17:.+((SYSTEM_STATE.+slice.+state.+changed )|(ment ac)|(multiple cpu faults)|(system.+state.+changed )|(\[timeout)|(PRM\|1\|D)|(kpr)|(kdp)|(\|lc)|(penalty))" /e /r /s</v>
      </c>
      <c r="U16" s="9" t="str">
        <f t="shared" si="2"/>
        <v>4028</v>
      </c>
      <c r="V16" s="32">
        <f t="shared" si="3"/>
        <v>42786.727187500001</v>
      </c>
      <c r="W16" s="46" t="str">
        <f t="shared" si="4"/>
        <v>EC</v>
      </c>
      <c r="X16" s="46" t="str">
        <f t="shared" si="5"/>
        <v>KEEP</v>
      </c>
      <c r="Y16" s="108" t="str">
        <f t="shared" si="6"/>
        <v>echo {"issue":{"subject":"","project_id":79,"tracker_id":40,"status_id":1,"priority_id":2,"assigned_to_id":23,"start_date":"2017-02-20","description":"","custom_fields":[{"id":1,"name":"Subdivision","value":"EC"},{"id":4,"name":"Milepost","value":"11.9716"},{"id":17,"name":"Train ID","value":"146-20"},{"id":16,"name":"Locomotive ID","value":"4028"},{"id":130,"name":"Impact","value":""},{"id":150,"name":"Time of Event (Mountain Time)","value":"10:27:09"},{"id":151,"name":"Denver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48"/>
      <c r="AA16" s="48"/>
      <c r="AB16" s="48"/>
      <c r="AC16" s="127" t="str">
        <f t="shared" si="7"/>
        <v>grep -hSE -A400 "Enforcement Action" "%USERPROFILE%\AppData\Local\Temp\OnboardLogs"\RTDC4028\*4028*201702201*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"%USERPROFILE%\AppData\Local\Temp\OnboardLogs"\RTDC4028\*4028*201702201* &gt;&gt; 2017-02-20-SliceDisagreementCheck.txt</v>
      </c>
      <c r="AE16" s="157" t="str">
        <f t="shared" si="8"/>
        <v>start /low /b %USERPROFILE%\Documents\GitHub\eaglep3\Utilities\DownloadLogsFromS3.py --loco 4028 --day 2017-02-20</v>
      </c>
      <c r="AF16" s="1"/>
    </row>
    <row r="17" spans="1:32" x14ac:dyDescent="0.25">
      <c r="A17" s="32">
        <v>42786.268460648149</v>
      </c>
      <c r="B17" s="30" t="s">
        <v>224</v>
      </c>
      <c r="C17" s="30" t="s">
        <v>456</v>
      </c>
      <c r="D17" s="30" t="s">
        <v>98</v>
      </c>
      <c r="E17" s="30" t="s">
        <v>376</v>
      </c>
      <c r="F17" s="43">
        <v>150</v>
      </c>
      <c r="G17" s="43">
        <v>204</v>
      </c>
      <c r="H17" s="43">
        <v>232209</v>
      </c>
      <c r="I17" s="43">
        <v>231865</v>
      </c>
      <c r="J17" s="30" t="s">
        <v>377</v>
      </c>
      <c r="K17" s="43">
        <v>233492</v>
      </c>
      <c r="L17" s="143" t="s">
        <v>51</v>
      </c>
      <c r="M17" s="144">
        <f t="shared" si="0"/>
        <v>-859.05600000000004</v>
      </c>
      <c r="N17" s="145" t="str">
        <f>VLOOKUP(C17,'Trips&amp;Operators'!$C$1:$G$99999,5,FALSE)</f>
        <v>SANTIZO D. EDY</v>
      </c>
      <c r="O17" s="194" t="s">
        <v>185</v>
      </c>
      <c r="P17" s="146"/>
      <c r="Q17" s="30"/>
      <c r="R17" s="89" t="str">
        <f>VLOOKUP(C17,'Train Runs'!$A$13:$AE$9943,31,0)</f>
        <v>aws s3 cp s3://rtdc.mdm.uploadarchive.raw/RTDC4015/ "%USERPROFILE%\AppData\Local\Temp\OnboardLogs"\RTDC4015\2017-02-20 --exclude "*" --recursive --include "*20170220*" &amp; "%USERPROFILE%\Documents\GitHub\mrs-test-scripts\Headless Mode &amp; Sideloading\WalkAndUnGZ.bat" "%USERPROFILE%\AppData\Local\Temp\OnboardLogs"\RTDC4015\2017-02-20 &amp; aws s3 cp s3://rtdc.mdm.uploadarchive.raw/RTDC4015/ "%USERPROFILE%\AppData\Local\Temp\OnboardLogs"\RTDC4015\2017-02-21 --exclude "*" --recursive --include "*20170221*" &amp; "%USERPROFILE%\Documents\GitHub\mrs-test-scripts\Headless Mode &amp; Sideloading\WalkAndUnGZ.bat" "%USERPROFILE%\AppData\Local\Temp\OnboardLogs"\RTDC4015\2017-02-21</v>
      </c>
      <c r="S17" s="92" t="str">
        <f>VLOOKUP(C17,'Train Runs'!$A$13:$AE$9943,22,0)</f>
        <v>https://d0f6bd738d7f1b3e5a7ca70fe4ff75f0.us-east-1.aws.found.io/app/kibana#/discover/Steve-Slow-Train-Analysis-(2080s-and-2083s)?_g=(refreshInterval:(display:Off,pause:!f,section:0,value:0),time:(from:'2017-02-20T05:20:09-0700',mode:absolute,to:'2017-02-20T08:07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7" s="94" t="str">
        <f t="shared" si="1"/>
        <v>"C:\Program Files (x86)\AstroGrep\AstroGrep.exe" /spath="%USERPROFILE%\AppData\Local\Temp\OnboardLogs" /stypes="*4015*201702201*" /stext=" 13:.+((SYSTEM_STATE.+slice.+state.+changed )|(ment ac)|(multiple cpu faults)|(system.+state.+changed )|(\[timeout)|(PRM\|1\|D)|(kpr)|(kdp)|(\|lc)|(penalty))" /e /r /s</v>
      </c>
      <c r="U17" s="9" t="str">
        <f t="shared" si="2"/>
        <v>4015</v>
      </c>
      <c r="V17" s="32">
        <f t="shared" si="3"/>
        <v>42786.560127314813</v>
      </c>
      <c r="W17" s="46" t="str">
        <f t="shared" si="4"/>
        <v>EC</v>
      </c>
      <c r="X17" s="46" t="str">
        <f t="shared" si="5"/>
        <v>KEEP</v>
      </c>
      <c r="Y17" s="108" t="str">
        <f t="shared" si="6"/>
        <v>echo {"issue":{"subject":"","project_id":79,"tracker_id":40,"status_id":1,"priority_id":2,"assigned_to_id":23,"start_date":"2017-02-20","description":"","custom_fields":[{"id":1,"name":"Subdivision","value":"EC"},{"id":4,"name":"Milepost","value":"23.3492"},{"id":17,"name":"Train ID","value":"116-20"},{"id":16,"name":"Locomotive ID","value":"4015"},{"id":130,"name":"Impact","value":""},{"id":150,"name":"Time of Event (Mountain Time)","value":"06:26:35"},{"id":151,"name":"Denver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48"/>
      <c r="AA17" s="48"/>
      <c r="AB17" s="48"/>
      <c r="AC17" s="127" t="str">
        <f t="shared" si="7"/>
        <v>grep -hSE -A400 "Enforcement Action" "%USERPROFILE%\AppData\Local\Temp\OnboardLogs"\RTDC4015\*4015*201702201*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"%USERPROFILE%\AppData\Local\Temp\OnboardLogs"\RTDC4015\*4015*201702201* &gt;&gt; 2017-02-20-SliceDisagreementCheck.txt</v>
      </c>
      <c r="AE17" s="157" t="str">
        <f t="shared" si="8"/>
        <v>start /low /b %USERPROFILE%\Documents\GitHub\eaglep3\Utilities\DownloadLogsFromS3.py --loco 4015 --day 2017-02-20</v>
      </c>
      <c r="AF17" s="1"/>
    </row>
    <row r="18" spans="1:32" ht="15" customHeight="1" x14ac:dyDescent="0.25">
      <c r="A18" s="32">
        <v>42786.186307870368</v>
      </c>
      <c r="B18" s="30" t="s">
        <v>220</v>
      </c>
      <c r="C18" s="30" t="s">
        <v>451</v>
      </c>
      <c r="D18" s="30" t="s">
        <v>49</v>
      </c>
      <c r="E18" s="30" t="s">
        <v>186</v>
      </c>
      <c r="F18" s="43">
        <v>0</v>
      </c>
      <c r="G18" s="43">
        <v>305</v>
      </c>
      <c r="H18" s="43">
        <v>38283</v>
      </c>
      <c r="I18" s="43">
        <v>39224</v>
      </c>
      <c r="J18" s="30" t="s">
        <v>187</v>
      </c>
      <c r="K18" s="43">
        <v>38639</v>
      </c>
      <c r="L18" s="143" t="s">
        <v>50</v>
      </c>
      <c r="M18" s="144">
        <f t="shared" si="0"/>
        <v>-308.88</v>
      </c>
      <c r="N18" s="145" t="str">
        <f>VLOOKUP(C18,'Trips&amp;Operators'!$C$1:$G$99999,5,FALSE)</f>
        <v>STARKS ANGELINA</v>
      </c>
      <c r="O18" s="194" t="s">
        <v>379</v>
      </c>
      <c r="P18" s="146" t="s">
        <v>888</v>
      </c>
      <c r="Q18" s="30"/>
      <c r="R18" s="89" t="str">
        <f>VLOOKUP(C18,'Train Runs'!$A$13:$AE$9943,31,0)</f>
        <v>aws s3 cp s3://rtdc.mdm.uploadarchive.raw/RTDC4027/ "%USERPROFILE%\AppData\Local\Temp\OnboardLogs"\RTDC4027\2017-02-20 --exclude "*" --recursive --include "*20170220*" &amp; "%USERPROFILE%\Documents\GitHub\mrs-test-scripts\Headless Mode &amp; Sideloading\WalkAndUnGZ.bat" "%USERPROFILE%\AppData\Local\Temp\OnboardLogs"\RTDC4027\2017-02-20 &amp; aws s3 cp s3://rtdc.mdm.uploadarchive.raw/RTDC4027/ "%USERPROFILE%\AppData\Local\Temp\OnboardLogs"\RTDC4027\2017-02-21 --exclude "*" --recursive --include "*20170221*" &amp; "%USERPROFILE%\Documents\GitHub\mrs-test-scripts\Headless Mode &amp; Sideloading\WalkAndUnGZ.bat" "%USERPROFILE%\AppData\Local\Temp\OnboardLogs"\RTDC4027\2017-02-21</v>
      </c>
      <c r="S18" s="92" t="str">
        <f>VLOOKUP(C18,'Train Runs'!$A$13:$AE$9943,22,0)</f>
        <v>https://d0f6bd738d7f1b3e5a7ca70fe4ff75f0.us-east-1.aws.found.io/app/kibana#/discover/Steve-Slow-Train-Analysis-(2080s-and-2083s)?_g=(refreshInterval:(display:Off,pause:!f,section:0,value:0),time:(from:'2017-02-20T03:56:09-0700',mode:absolute,to:'2017-02-20T05:59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8" s="94" t="str">
        <f t="shared" si="1"/>
        <v>"C:\Program Files (x86)\AstroGrep\AstroGrep.exe" /spath="%USERPROFILE%\AppData\Local\Temp\OnboardLogs" /stypes="*4027*201702201*" /stext=" 11:.+((SYSTEM_STATE.+slice.+state.+changed )|(ment ac)|(multiple cpu faults)|(system.+state.+changed )|(\[timeout)|(PRM\|1\|D)|(kpr)|(kdp)|(\|lc)|(penalty))" /e /r /s</v>
      </c>
      <c r="U18" s="9" t="str">
        <f t="shared" si="2"/>
        <v>4027</v>
      </c>
      <c r="V18" s="32">
        <f t="shared" si="3"/>
        <v>42786.477974537032</v>
      </c>
      <c r="W18" s="46" t="str">
        <f t="shared" si="4"/>
        <v>EC</v>
      </c>
      <c r="X18" s="46" t="str">
        <f t="shared" si="5"/>
        <v>KEEP</v>
      </c>
      <c r="Y18" s="108" t="str">
        <f t="shared" si="6"/>
        <v>echo {"issue":{"subject":"Wi-MAX data drop (4027/4028/4051/4052 4-car consist)","project_id":79,"tracker_id":40,"status_id":1,"priority_id":2,"assigned_to_id":23,"start_date":"2017-02-20","description":"","custom_fields":[{"id":1,"name":"Subdivision","value":"EC"},{"id":4,"name":"Milepost","value":"3.8639"},{"id":17,"name":"Train ID","value":"105-20"},{"id":16,"name":"Locomotive ID","value":"4027"},{"id":130,"name":"Impact","value":""},{"id":150,"name":"Time of Event (Mountain Time)","value":"04:28:17"},{"id":151,"name":"Denver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48"/>
      <c r="AA18" s="48"/>
      <c r="AB18" s="48"/>
      <c r="AC18" s="127" t="str">
        <f t="shared" si="7"/>
        <v>grep -hSE -A400 "Enforcement Action" "%USERPROFILE%\AppData\Local\Temp\OnboardLogs"\RTDC4027\*4027*201702201*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"%USERPROFILE%\AppData\Local\Temp\OnboardLogs"\RTDC4027\*4027*201702201* &gt;&gt; 2017-02-20-SliceDisagreementCheck.txt</v>
      </c>
      <c r="AE18" s="157" t="str">
        <f t="shared" si="8"/>
        <v>start /low /b %USERPROFILE%\Documents\GitHub\eaglep3\Utilities\DownloadLogsFromS3.py --loco 4027 --day 2017-02-20</v>
      </c>
      <c r="AF18" s="1"/>
    </row>
    <row r="19" spans="1:32" x14ac:dyDescent="0.25">
      <c r="A19" s="32">
        <v>42786.194733796299</v>
      </c>
      <c r="B19" s="30" t="s">
        <v>220</v>
      </c>
      <c r="C19" s="30" t="s">
        <v>451</v>
      </c>
      <c r="D19" s="30" t="s">
        <v>98</v>
      </c>
      <c r="E19" s="30" t="s">
        <v>186</v>
      </c>
      <c r="F19" s="43">
        <v>200</v>
      </c>
      <c r="G19" s="43">
        <v>250</v>
      </c>
      <c r="H19" s="43">
        <v>66145</v>
      </c>
      <c r="I19" s="43">
        <v>66608</v>
      </c>
      <c r="J19" s="30" t="s">
        <v>187</v>
      </c>
      <c r="K19" s="43">
        <v>63995</v>
      </c>
      <c r="L19" s="143" t="s">
        <v>50</v>
      </c>
      <c r="M19" s="144">
        <f t="shared" si="0"/>
        <v>-1379.6639999999998</v>
      </c>
      <c r="N19" s="145" t="str">
        <f>VLOOKUP(C19,'Trips&amp;Operators'!$C$1:$G$99999,5,FALSE)</f>
        <v>STARKS ANGELINA</v>
      </c>
      <c r="O19" s="194" t="s">
        <v>185</v>
      </c>
      <c r="P19" s="146" t="s">
        <v>887</v>
      </c>
      <c r="Q19" s="30"/>
      <c r="R19" s="89" t="str">
        <f>VLOOKUP(C19,'Train Runs'!$A$13:$AE$9943,31,0)</f>
        <v>aws s3 cp s3://rtdc.mdm.uploadarchive.raw/RTDC4027/ "%USERPROFILE%\AppData\Local\Temp\OnboardLogs"\RTDC4027\2017-02-20 --exclude "*" --recursive --include "*20170220*" &amp; "%USERPROFILE%\Documents\GitHub\mrs-test-scripts\Headless Mode &amp; Sideloading\WalkAndUnGZ.bat" "%USERPROFILE%\AppData\Local\Temp\OnboardLogs"\RTDC4027\2017-02-20 &amp; aws s3 cp s3://rtdc.mdm.uploadarchive.raw/RTDC4027/ "%USERPROFILE%\AppData\Local\Temp\OnboardLogs"\RTDC4027\2017-02-21 --exclude "*" --recursive --include "*20170221*" &amp; "%USERPROFILE%\Documents\GitHub\mrs-test-scripts\Headless Mode &amp; Sideloading\WalkAndUnGZ.bat" "%USERPROFILE%\AppData\Local\Temp\OnboardLogs"\RTDC4027\2017-02-21</v>
      </c>
      <c r="S19" s="92" t="str">
        <f>VLOOKUP(C19,'Train Runs'!$A$13:$AE$9943,22,0)</f>
        <v>https://d0f6bd738d7f1b3e5a7ca70fe4ff75f0.us-east-1.aws.found.io/app/kibana#/discover/Steve-Slow-Train-Analysis-(2080s-and-2083s)?_g=(refreshInterval:(display:Off,pause:!f,section:0,value:0),time:(from:'2017-02-20T03:56:09-0700',mode:absolute,to:'2017-02-20T05:59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9" s="94" t="str">
        <f t="shared" si="1"/>
        <v>"C:\Program Files (x86)\AstroGrep\AstroGrep.exe" /spath="%USERPROFILE%\AppData\Local\Temp\OnboardLogs" /stypes="*4027*201702201*" /stext=" 11:.+((SYSTEM_STATE.+slice.+state.+changed )|(ment ac)|(multiple cpu faults)|(system.+state.+changed )|(\[timeout)|(PRM\|1\|D)|(kpr)|(kdp)|(\|lc)|(penalty))" /e /r /s</v>
      </c>
      <c r="U19" s="9" t="str">
        <f t="shared" si="2"/>
        <v>4027</v>
      </c>
      <c r="V19" s="32">
        <f t="shared" si="3"/>
        <v>42786.486400462964</v>
      </c>
      <c r="W19" s="46" t="str">
        <f t="shared" si="4"/>
        <v>EC</v>
      </c>
      <c r="X19" s="46" t="str">
        <f t="shared" si="5"/>
        <v>KEEP</v>
      </c>
      <c r="Y19" s="108" t="str">
        <f t="shared" si="6"/>
        <v>echo {"issue":{"subject":"Overspeed","project_id":79,"tracker_id":40,"status_id":1,"priority_id":2,"assigned_to_id":23,"start_date":"2017-02-20","description":"","custom_fields":[{"id":1,"name":"Subdivision","value":"EC"},{"id":4,"name":"Milepost","value":"6.3995"},{"id":17,"name":"Train ID","value":"105-20"},{"id":16,"name":"Locomotive ID","value":"4027"},{"id":130,"name":"Impact","value":""},{"id":150,"name":"Time of Event (Mountain Time)","value":"04:40:25"},{"id":151,"name":"Denver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48"/>
      <c r="AA19" s="48"/>
      <c r="AB19" s="48"/>
      <c r="AC19" s="127" t="str">
        <f t="shared" si="7"/>
        <v>grep -hSE -A400 "Enforcement Action" "%USERPROFILE%\AppData\Local\Temp\OnboardLogs"\RTDC4027\*4027*201702201*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"%USERPROFILE%\AppData\Local\Temp\OnboardLogs"\RTDC4027\*4027*201702201* &gt;&gt; 2017-02-20-SliceDisagreementCheck.txt</v>
      </c>
      <c r="AE19" s="157" t="str">
        <f t="shared" si="8"/>
        <v>start /low /b %USERPROFILE%\Documents\GitHub\eaglep3\Utilities\DownloadLogsFromS3.py --loco 4027 --day 2017-02-20</v>
      </c>
      <c r="AF19" s="1"/>
    </row>
    <row r="20" spans="1:32" x14ac:dyDescent="0.25">
      <c r="A20" s="32">
        <v>42786.240717592591</v>
      </c>
      <c r="B20" s="30" t="s">
        <v>343</v>
      </c>
      <c r="C20" s="30" t="s">
        <v>454</v>
      </c>
      <c r="D20" s="30" t="s">
        <v>49</v>
      </c>
      <c r="E20" s="30" t="s">
        <v>186</v>
      </c>
      <c r="F20" s="43">
        <v>0</v>
      </c>
      <c r="G20" s="43">
        <v>770</v>
      </c>
      <c r="H20" s="43">
        <v>94863</v>
      </c>
      <c r="I20" s="43">
        <v>91143</v>
      </c>
      <c r="J20" s="30" t="s">
        <v>187</v>
      </c>
      <c r="K20" s="43">
        <v>87902</v>
      </c>
      <c r="L20" s="143" t="s">
        <v>51</v>
      </c>
      <c r="M20" s="144">
        <f t="shared" si="0"/>
        <v>1711.248</v>
      </c>
      <c r="N20" s="145" t="str">
        <f>VLOOKUP(C20,'Trips&amp;Operators'!$C$1:$G$99999,5,FALSE)</f>
        <v>STARKS ANGELINA</v>
      </c>
      <c r="O20" s="194" t="s">
        <v>379</v>
      </c>
      <c r="P20" s="146" t="s">
        <v>888</v>
      </c>
      <c r="Q20" s="30"/>
      <c r="R20" s="89" t="str">
        <f>VLOOKUP(C20,'Train Runs'!$A$13:$AE$9943,31,0)</f>
        <v>aws s3 cp s3://rtdc.mdm.uploadarchive.raw/RTDC4052/ "%USERPROFILE%\AppData\Local\Temp\OnboardLogs"\RTDC4052\2017-02-20 --exclude "*" --recursive --include "*20170220*" &amp; "%USERPROFILE%\Documents\GitHub\mrs-test-scripts\Headless Mode &amp; Sideloading\WalkAndUnGZ.bat" "%USERPROFILE%\AppData\Local\Temp\OnboardLogs"\RTDC4052\2017-02-20 &amp; aws s3 cp s3://rtdc.mdm.uploadarchive.raw/RTDC4052/ "%USERPROFILE%\AppData\Local\Temp\OnboardLogs"\RTDC4052\2017-02-21 --exclude "*" --recursive --include "*20170221*" &amp; "%USERPROFILE%\Documents\GitHub\mrs-test-scripts\Headless Mode &amp; Sideloading\WalkAndUnGZ.bat" "%USERPROFILE%\AppData\Local\Temp\OnboardLogs"\RTDC4052\2017-02-21</v>
      </c>
      <c r="S20" s="92" t="str">
        <f>VLOOKUP(C20,'Train Runs'!$A$13:$AE$9943,22,0)</f>
        <v>https://d0f6bd738d7f1b3e5a7ca70fe4ff75f0.us-east-1.aws.found.io/app/kibana#/discover/Steve-Slow-Train-Analysis-(2080s-and-2083s)?_g=(refreshInterval:(display:Off,pause:!f,section:0,value:0),time:(from:'2017-02-20T04:39:55-0700',mode:absolute,to:'2017-02-20T06:47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20" s="94" t="str">
        <f t="shared" si="1"/>
        <v>"C:\Program Files (x86)\AstroGrep\AstroGrep.exe" /spath="%USERPROFILE%\AppData\Local\Temp\OnboardLogs" /stypes="*4052*201702201*" /stext=" 12:.+((SYSTEM_STATE.+slice.+state.+changed )|(ment ac)|(multiple cpu faults)|(system.+state.+changed )|(\[timeout)|(PRM\|1\|D)|(kpr)|(kdp)|(\|lc)|(penalty))" /e /r /s</v>
      </c>
      <c r="U20" s="9" t="str">
        <f t="shared" si="2"/>
        <v>4052</v>
      </c>
      <c r="V20" s="32">
        <f t="shared" si="3"/>
        <v>42786.532384259255</v>
      </c>
      <c r="W20" s="46" t="str">
        <f t="shared" si="4"/>
        <v>EC</v>
      </c>
      <c r="X20" s="46" t="str">
        <f t="shared" si="5"/>
        <v>KEEP</v>
      </c>
      <c r="Y20" s="108" t="str">
        <f t="shared" si="6"/>
        <v>echo {"issue":{"subject":"Wi-MAX data drop (4027/4028/4051/4052 4-car consist)","project_id":79,"tracker_id":40,"status_id":1,"priority_id":2,"assigned_to_id":23,"start_date":"2017-02-20","description":"","custom_fields":[{"id":1,"name":"Subdivision","value":"EC"},{"id":4,"name":"Milepost","value":"8.7902"},{"id":17,"name":"Train ID","value":"106-20"},{"id":16,"name":"Locomotive ID","value":"4052"},{"id":130,"name":"Impact","value":""},{"id":150,"name":"Time of Event (Mountain Time)","value":"05:46:38"},{"id":151,"name":"Denver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48"/>
      <c r="AA20" s="48"/>
      <c r="AB20" s="48"/>
      <c r="AC20" s="127" t="str">
        <f t="shared" si="7"/>
        <v>grep -hSE -A400 "Enforcement Action" "%USERPROFILE%\AppData\Local\Temp\OnboardLogs"\RTDC4052\*4052*201702201*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"%USERPROFILE%\AppData\Local\Temp\OnboardLogs"\RTDC4052\*4052*201702201* &gt;&gt; 2017-02-20-SliceDisagreementCheck.txt</v>
      </c>
      <c r="AE20" s="157" t="str">
        <f t="shared" si="8"/>
        <v>start /low /b %USERPROFILE%\Documents\GitHub\eaglep3\Utilities\DownloadLogsFromS3.py --loco 4052 --day 2017-02-20</v>
      </c>
      <c r="AF20" s="1"/>
    </row>
    <row r="21" spans="1:32" x14ac:dyDescent="0.25">
      <c r="A21" s="32">
        <v>42786.207395833335</v>
      </c>
      <c r="B21" s="30" t="s">
        <v>220</v>
      </c>
      <c r="C21" s="30" t="s">
        <v>451</v>
      </c>
      <c r="D21" s="30" t="s">
        <v>49</v>
      </c>
      <c r="E21" s="30" t="s">
        <v>186</v>
      </c>
      <c r="F21" s="43">
        <v>0</v>
      </c>
      <c r="G21" s="43">
        <v>506</v>
      </c>
      <c r="H21" s="43">
        <v>158537</v>
      </c>
      <c r="I21" s="43">
        <v>160111</v>
      </c>
      <c r="J21" s="30" t="s">
        <v>187</v>
      </c>
      <c r="K21" s="43">
        <v>162254</v>
      </c>
      <c r="L21" s="143" t="s">
        <v>50</v>
      </c>
      <c r="M21" s="144">
        <f t="shared" si="0"/>
        <v>1131.5039999999999</v>
      </c>
      <c r="N21" s="145" t="str">
        <f>VLOOKUP(C21,'Trips&amp;Operators'!$C$1:$G$99999,5,FALSE)</f>
        <v>STARKS ANGELINA</v>
      </c>
      <c r="O21" s="194" t="s">
        <v>379</v>
      </c>
      <c r="P21" s="146" t="s">
        <v>888</v>
      </c>
      <c r="Q21" s="30"/>
      <c r="R21" s="89" t="str">
        <f>VLOOKUP(C21,'Train Runs'!$A$13:$AE$9943,31,0)</f>
        <v>aws s3 cp s3://rtdc.mdm.uploadarchive.raw/RTDC4027/ "%USERPROFILE%\AppData\Local\Temp\OnboardLogs"\RTDC4027\2017-02-20 --exclude "*" --recursive --include "*20170220*" &amp; "%USERPROFILE%\Documents\GitHub\mrs-test-scripts\Headless Mode &amp; Sideloading\WalkAndUnGZ.bat" "%USERPROFILE%\AppData\Local\Temp\OnboardLogs"\RTDC4027\2017-02-20 &amp; aws s3 cp s3://rtdc.mdm.uploadarchive.raw/RTDC4027/ "%USERPROFILE%\AppData\Local\Temp\OnboardLogs"\RTDC4027\2017-02-21 --exclude "*" --recursive --include "*20170221*" &amp; "%USERPROFILE%\Documents\GitHub\mrs-test-scripts\Headless Mode &amp; Sideloading\WalkAndUnGZ.bat" "%USERPROFILE%\AppData\Local\Temp\OnboardLogs"\RTDC4027\2017-02-21</v>
      </c>
      <c r="S21" s="92" t="str">
        <f>VLOOKUP(C21,'Train Runs'!$A$13:$AE$9943,22,0)</f>
        <v>https://d0f6bd738d7f1b3e5a7ca70fe4ff75f0.us-east-1.aws.found.io/app/kibana#/discover/Steve-Slow-Train-Analysis-(2080s-and-2083s)?_g=(refreshInterval:(display:Off,pause:!f,section:0,value:0),time:(from:'2017-02-20T03:56:09-0700',mode:absolute,to:'2017-02-20T05:59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1" s="94" t="str">
        <f t="shared" si="1"/>
        <v>"C:\Program Files (x86)\AstroGrep\AstroGrep.exe" /spath="%USERPROFILE%\AppData\Local\Temp\OnboardLogs" /stypes="*4027*201702201*" /stext=" 11:.+((SYSTEM_STATE.+slice.+state.+changed )|(ment ac)|(multiple cpu faults)|(system.+state.+changed )|(\[timeout)|(PRM\|1\|D)|(kpr)|(kdp)|(\|lc)|(penalty))" /e /r /s</v>
      </c>
      <c r="U21" s="9" t="str">
        <f t="shared" si="2"/>
        <v>4027</v>
      </c>
      <c r="V21" s="32">
        <f t="shared" si="3"/>
        <v>42786.499062499999</v>
      </c>
      <c r="W21" s="46" t="str">
        <f t="shared" si="4"/>
        <v>EC</v>
      </c>
      <c r="X21" s="46" t="str">
        <f t="shared" si="5"/>
        <v>KEEP</v>
      </c>
      <c r="Y21" s="108" t="str">
        <f t="shared" si="6"/>
        <v>echo {"issue":{"subject":"Wi-MAX data drop (4027/4028/4051/4052 4-car consist)","project_id":79,"tracker_id":40,"status_id":1,"priority_id":2,"assigned_to_id":23,"start_date":"2017-02-20","description":"","custom_fields":[{"id":1,"name":"Subdivision","value":"EC"},{"id":4,"name":"Milepost","value":"16.2254"},{"id":17,"name":"Train ID","value":"105-20"},{"id":16,"name":"Locomotive ID","value":"4027"},{"id":130,"name":"Impact","value":""},{"id":150,"name":"Time of Event (Mountain Time)","value":"04:58:39"},{"id":151,"name":"Denver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48"/>
      <c r="AA21" s="48"/>
      <c r="AB21" s="48"/>
      <c r="AC21" s="127" t="str">
        <f t="shared" si="7"/>
        <v>grep -hSE -A400 "Enforcement Action" "%USERPROFILE%\AppData\Local\Temp\OnboardLogs"\RTDC4027\*4027*201702201*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"%USERPROFILE%\AppData\Local\Temp\OnboardLogs"\RTDC4027\*4027*201702201* &gt;&gt; 2017-02-20-SliceDisagreementCheck.txt</v>
      </c>
      <c r="AE21" s="157" t="str">
        <f t="shared" si="8"/>
        <v>start /low /b %USERPROFILE%\Documents\GitHub\eaglep3\Utilities\DownloadLogsFromS3.py --loco 4027 --day 2017-02-20</v>
      </c>
      <c r="AF21" s="1"/>
    </row>
    <row r="22" spans="1:32" x14ac:dyDescent="0.25">
      <c r="A22" s="32">
        <v>42786.448009259257</v>
      </c>
      <c r="B22" s="30" t="s">
        <v>225</v>
      </c>
      <c r="C22" s="30" t="s">
        <v>470</v>
      </c>
      <c r="D22" s="30" t="s">
        <v>49</v>
      </c>
      <c r="E22" s="30" t="s">
        <v>186</v>
      </c>
      <c r="F22" s="43">
        <v>0</v>
      </c>
      <c r="G22" s="43">
        <v>606</v>
      </c>
      <c r="H22" s="43">
        <v>190586</v>
      </c>
      <c r="I22" s="43">
        <v>193807</v>
      </c>
      <c r="J22" s="30" t="s">
        <v>187</v>
      </c>
      <c r="K22" s="43">
        <v>190738</v>
      </c>
      <c r="L22" s="143" t="s">
        <v>50</v>
      </c>
      <c r="M22" s="144">
        <f t="shared" si="0"/>
        <v>-1620.432</v>
      </c>
      <c r="N22" s="145" t="str">
        <f>VLOOKUP(C22,'Trips&amp;Operators'!$C$1:$G$99999,5,FALSE)</f>
        <v>YORK EDGAR</v>
      </c>
      <c r="O22" s="194" t="s">
        <v>379</v>
      </c>
      <c r="P22" s="146" t="s">
        <v>884</v>
      </c>
      <c r="Q22" s="30"/>
      <c r="R22" s="89" t="str">
        <f>VLOOKUP(C22,'Train Runs'!$A$13:$AE$9943,31,0)</f>
        <v>aws s3 cp s3://rtdc.mdm.uploadarchive.raw/RTDC4029/ "%USERPROFILE%\AppData\Local\Temp\OnboardLogs"\RTDC4029\2017-02-20 --exclude "*" --recursive --include "*20170220*" &amp; "%USERPROFILE%\Documents\GitHub\mrs-test-scripts\Headless Mode &amp; Sideloading\WalkAndUnGZ.bat" "%USERPROFILE%\AppData\Local\Temp\OnboardLogs"\RTDC4029\2017-02-20 &amp; aws s3 cp s3://rtdc.mdm.uploadarchive.raw/RTDC4029/ "%USERPROFILE%\AppData\Local\Temp\OnboardLogs"\RTDC4029\2017-02-21 --exclude "*" --recursive --include "*20170221*" &amp; "%USERPROFILE%\Documents\GitHub\mrs-test-scripts\Headless Mode &amp; Sideloading\WalkAndUnGZ.bat" "%USERPROFILE%\AppData\Local\Temp\OnboardLogs"\RTDC4029\2017-02-21</v>
      </c>
      <c r="S22" s="92" t="str">
        <f>VLOOKUP(C22,'Train Runs'!$A$13:$AE$9943,22,0)</f>
        <v>https://d0f6bd738d7f1b3e5a7ca70fe4ff75f0.us-east-1.aws.found.io/app/kibana#/discover/Steve-Slow-Train-Analysis-(2080s-and-2083s)?_g=(refreshInterval:(display:Off,pause:!f,section:0,value:0),time:(from:'2017-02-20T09:05:03-0700',mode:absolute,to:'2017-02-20T11:45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2" s="94" t="str">
        <f t="shared" si="1"/>
        <v>"C:\Program Files (x86)\AstroGrep\AstroGrep.exe" /spath="%USERPROFILE%\AppData\Local\Temp\OnboardLogs" /stypes="*4029*201702201*" /stext=" 17:.+((SYSTEM_STATE.+slice.+state.+changed )|(ment ac)|(multiple cpu faults)|(system.+state.+changed )|(\[timeout)|(PRM\|1\|D)|(kpr)|(kdp)|(\|lc)|(penalty))" /e /r /s</v>
      </c>
      <c r="U22" s="9" t="str">
        <f t="shared" si="2"/>
        <v>4029</v>
      </c>
      <c r="V22" s="32">
        <f t="shared" si="3"/>
        <v>42786.739675925921</v>
      </c>
      <c r="W22" s="46" t="str">
        <f t="shared" si="4"/>
        <v>EC</v>
      </c>
      <c r="X22" s="46" t="str">
        <f t="shared" si="5"/>
        <v>KEEP</v>
      </c>
      <c r="Y22" s="108" t="str">
        <f t="shared" si="6"/>
        <v>echo {"issue":{"subject":"Premature downgrade at Pena 2N","project_id":79,"tracker_id":40,"status_id":1,"priority_id":2,"assigned_to_id":23,"start_date":"2017-02-20","description":"","custom_fields":[{"id":1,"name":"Subdivision","value":"EC"},{"id":4,"name":"Milepost","value":"19.0738"},{"id":17,"name":"Train ID","value":"153-20"},{"id":16,"name":"Locomotive ID","value":"4029"},{"id":130,"name":"Impact","value":""},{"id":150,"name":"Time of Event (Mountain Time)","value":"10:45:08"},{"id":151,"name":"Denver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48"/>
      <c r="AA22" s="48"/>
      <c r="AB22" s="48"/>
      <c r="AC22" s="127" t="str">
        <f t="shared" si="7"/>
        <v>grep -hSE -A400 "Enforcement Action" "%USERPROFILE%\AppData\Local\Temp\OnboardLogs"\RTDC4029\*4029*201702201*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"%USERPROFILE%\AppData\Local\Temp\OnboardLogs"\RTDC4029\*4029*201702201* &gt;&gt; 2017-02-20-SliceDisagreementCheck.txt</v>
      </c>
      <c r="AE22" s="157" t="str">
        <f t="shared" si="8"/>
        <v>start /low /b %USERPROFILE%\Documents\GitHub\eaglep3\Utilities\DownloadLogsFromS3.py --loco 4029 --day 2017-02-20</v>
      </c>
      <c r="AF22" s="1"/>
    </row>
    <row r="23" spans="1:32" x14ac:dyDescent="0.25">
      <c r="A23" s="32">
        <v>42786.177789351852</v>
      </c>
      <c r="B23" s="30" t="s">
        <v>220</v>
      </c>
      <c r="C23" s="30" t="s">
        <v>451</v>
      </c>
      <c r="D23" s="30" t="s">
        <v>98</v>
      </c>
      <c r="E23" s="30" t="s">
        <v>452</v>
      </c>
      <c r="F23" s="43">
        <v>0</v>
      </c>
      <c r="G23" s="43">
        <v>124</v>
      </c>
      <c r="H23" s="43">
        <v>1989</v>
      </c>
      <c r="I23" s="43">
        <v>2185</v>
      </c>
      <c r="J23" s="30" t="s">
        <v>453</v>
      </c>
      <c r="K23" s="43">
        <v>1692</v>
      </c>
      <c r="L23" s="143" t="s">
        <v>50</v>
      </c>
      <c r="M23" s="144">
        <f t="shared" si="0"/>
        <v>-260.30399999999997</v>
      </c>
      <c r="N23" s="145" t="str">
        <f>VLOOKUP(C23,'Trips&amp;Operators'!$C$1:$G$99999,5,FALSE)</f>
        <v>STARKS ANGELINA</v>
      </c>
      <c r="O23" s="194" t="s">
        <v>379</v>
      </c>
      <c r="P23" s="146" t="s">
        <v>888</v>
      </c>
      <c r="Q23" s="30"/>
      <c r="R23" s="89" t="str">
        <f>VLOOKUP(C23,'Train Runs'!$A$13:$AE$9943,31,0)</f>
        <v>aws s3 cp s3://rtdc.mdm.uploadarchive.raw/RTDC4027/ "%USERPROFILE%\AppData\Local\Temp\OnboardLogs"\RTDC4027\2017-02-20 --exclude "*" --recursive --include "*20170220*" &amp; "%USERPROFILE%\Documents\GitHub\mrs-test-scripts\Headless Mode &amp; Sideloading\WalkAndUnGZ.bat" "%USERPROFILE%\AppData\Local\Temp\OnboardLogs"\RTDC4027\2017-02-20 &amp; aws s3 cp s3://rtdc.mdm.uploadarchive.raw/RTDC4027/ "%USERPROFILE%\AppData\Local\Temp\OnboardLogs"\RTDC4027\2017-02-21 --exclude "*" --recursive --include "*20170221*" &amp; "%USERPROFILE%\Documents\GitHub\mrs-test-scripts\Headless Mode &amp; Sideloading\WalkAndUnGZ.bat" "%USERPROFILE%\AppData\Local\Temp\OnboardLogs"\RTDC4027\2017-02-21</v>
      </c>
      <c r="S23" s="92" t="str">
        <f>VLOOKUP(C23,'Train Runs'!$A$13:$AE$9943,22,0)</f>
        <v>https://d0f6bd738d7f1b3e5a7ca70fe4ff75f0.us-east-1.aws.found.io/app/kibana#/discover/Steve-Slow-Train-Analysis-(2080s-and-2083s)?_g=(refreshInterval:(display:Off,pause:!f,section:0,value:0),time:(from:'2017-02-20T03:56:09-0700',mode:absolute,to:'2017-02-20T05:59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3" s="94" t="str">
        <f t="shared" si="1"/>
        <v>"C:\Program Files (x86)\AstroGrep\AstroGrep.exe" /spath="%USERPROFILE%\AppData\Local\Temp\OnboardLogs" /stypes="*4027*201702201*" /stext=" 11:.+((SYSTEM_STATE.+slice.+state.+changed )|(ment ac)|(multiple cpu faults)|(system.+state.+changed )|(\[timeout)|(PRM\|1\|D)|(kpr)|(kdp)|(\|lc)|(penalty))" /e /r /s</v>
      </c>
      <c r="U23" s="9" t="str">
        <f t="shared" si="2"/>
        <v>4027</v>
      </c>
      <c r="V23" s="32">
        <f t="shared" si="3"/>
        <v>42786.469456018516</v>
      </c>
      <c r="W23" s="46" t="str">
        <f t="shared" si="4"/>
        <v>EC</v>
      </c>
      <c r="X23" s="46" t="str">
        <f t="shared" si="5"/>
        <v>KEEP</v>
      </c>
      <c r="Y23" s="108" t="str">
        <f t="shared" si="6"/>
        <v>echo {"issue":{"subject":"Wi-MAX data drop (4027/4028/4051/4052 4-car consist)","project_id":79,"tracker_id":40,"status_id":1,"priority_id":2,"assigned_to_id":23,"start_date":"2017-02-20","description":"","custom_fields":[{"id":1,"name":"Subdivision","value":"EC"},{"id":4,"name":"Milepost","value":"0.1692"},{"id":17,"name":"Train ID","value":"105-20"},{"id":16,"name":"Locomotive ID","value":"4027"},{"id":130,"name":"Impact","value":""},{"id":150,"name":"Time of Event (Mountain Time)","value":"04:16:01"},{"id":151,"name":"Denver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48"/>
      <c r="AA23" s="48"/>
      <c r="AB23" s="48"/>
      <c r="AC23" s="127" t="str">
        <f t="shared" si="7"/>
        <v>grep -hSE -A400 "Enforcement Action" "%USERPROFILE%\AppData\Local\Temp\OnboardLogs"\RTDC4027\*4027*201702201*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"%USERPROFILE%\AppData\Local\Temp\OnboardLogs"\RTDC4027\*4027*201702201* &gt;&gt; 2017-02-20-SliceDisagreementCheck.txt</v>
      </c>
      <c r="AE23" s="157" t="str">
        <f t="shared" si="8"/>
        <v>start /low /b %USERPROFILE%\Documents\GitHub\eaglep3\Utilities\DownloadLogsFromS3.py --loco 4027 --day 2017-02-20</v>
      </c>
      <c r="AF23" s="1"/>
    </row>
    <row r="24" spans="1:32" x14ac:dyDescent="0.25">
      <c r="A24" s="32">
        <v>42786.178460648145</v>
      </c>
      <c r="B24" s="30" t="s">
        <v>220</v>
      </c>
      <c r="C24" s="30" t="s">
        <v>451</v>
      </c>
      <c r="D24" s="30" t="s">
        <v>98</v>
      </c>
      <c r="E24" s="30" t="s">
        <v>452</v>
      </c>
      <c r="F24" s="43">
        <v>0</v>
      </c>
      <c r="G24" s="43">
        <v>48</v>
      </c>
      <c r="H24" s="43">
        <v>2247</v>
      </c>
      <c r="I24" s="43">
        <v>2247</v>
      </c>
      <c r="J24" s="30" t="s">
        <v>453</v>
      </c>
      <c r="K24" s="43">
        <v>1692</v>
      </c>
      <c r="L24" s="143" t="s">
        <v>50</v>
      </c>
      <c r="M24" s="144">
        <f t="shared" si="0"/>
        <v>-293.04000000000002</v>
      </c>
      <c r="N24" s="145" t="str">
        <f>VLOOKUP(C24,'Trips&amp;Operators'!$C$1:$G$99999,5,FALSE)</f>
        <v>STARKS ANGELINA</v>
      </c>
      <c r="O24" s="194" t="s">
        <v>379</v>
      </c>
      <c r="P24" s="146" t="s">
        <v>888</v>
      </c>
      <c r="Q24" s="30"/>
      <c r="R24" s="89" t="str">
        <f>VLOOKUP(C24,'Train Runs'!$A$13:$AE$9943,31,0)</f>
        <v>aws s3 cp s3://rtdc.mdm.uploadarchive.raw/RTDC4027/ "%USERPROFILE%\AppData\Local\Temp\OnboardLogs"\RTDC4027\2017-02-20 --exclude "*" --recursive --include "*20170220*" &amp; "%USERPROFILE%\Documents\GitHub\mrs-test-scripts\Headless Mode &amp; Sideloading\WalkAndUnGZ.bat" "%USERPROFILE%\AppData\Local\Temp\OnboardLogs"\RTDC4027\2017-02-20 &amp; aws s3 cp s3://rtdc.mdm.uploadarchive.raw/RTDC4027/ "%USERPROFILE%\AppData\Local\Temp\OnboardLogs"\RTDC4027\2017-02-21 --exclude "*" --recursive --include "*20170221*" &amp; "%USERPROFILE%\Documents\GitHub\mrs-test-scripts\Headless Mode &amp; Sideloading\WalkAndUnGZ.bat" "%USERPROFILE%\AppData\Local\Temp\OnboardLogs"\RTDC4027\2017-02-21</v>
      </c>
      <c r="S24" s="92" t="str">
        <f>VLOOKUP(C24,'Train Runs'!$A$13:$AE$9943,22,0)</f>
        <v>https://d0f6bd738d7f1b3e5a7ca70fe4ff75f0.us-east-1.aws.found.io/app/kibana#/discover/Steve-Slow-Train-Analysis-(2080s-and-2083s)?_g=(refreshInterval:(display:Off,pause:!f,section:0,value:0),time:(from:'2017-02-20T03:56:09-0700',mode:absolute,to:'2017-02-20T05:59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4" s="94" t="str">
        <f t="shared" si="1"/>
        <v>"C:\Program Files (x86)\AstroGrep\AstroGrep.exe" /spath="%USERPROFILE%\AppData\Local\Temp\OnboardLogs" /stypes="*4027*201702201*" /stext=" 11:.+((SYSTEM_STATE.+slice.+state.+changed )|(ment ac)|(multiple cpu faults)|(system.+state.+changed )|(\[timeout)|(PRM\|1\|D)|(kpr)|(kdp)|(\|lc)|(penalty))" /e /r /s</v>
      </c>
      <c r="U24" s="9" t="str">
        <f t="shared" si="2"/>
        <v>4027</v>
      </c>
      <c r="V24" s="32">
        <f t="shared" si="3"/>
        <v>42786.470127314809</v>
      </c>
      <c r="W24" s="46" t="str">
        <f t="shared" si="4"/>
        <v>EC</v>
      </c>
      <c r="X24" s="46" t="str">
        <f t="shared" si="5"/>
        <v>KEEP</v>
      </c>
      <c r="Y24" s="108" t="str">
        <f t="shared" si="6"/>
        <v>echo {"issue":{"subject":"Wi-MAX data drop (4027/4028/4051/4052 4-car consist)","project_id":79,"tracker_id":40,"status_id":1,"priority_id":2,"assigned_to_id":23,"start_date":"2017-02-20","description":"","custom_fields":[{"id":1,"name":"Subdivision","value":"EC"},{"id":4,"name":"Milepost","value":"0.1692"},{"id":17,"name":"Train ID","value":"105-20"},{"id":16,"name":"Locomotive ID","value":"4027"},{"id":130,"name":"Impact","value":""},{"id":150,"name":"Time of Event (Mountain Time)","value":"04:16:59"},{"id":151,"name":"Denver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48"/>
      <c r="AA24" s="48"/>
      <c r="AB24" s="48"/>
      <c r="AC24" s="127" t="str">
        <f t="shared" si="7"/>
        <v>grep -hSE -A400 "Enforcement Action" "%USERPROFILE%\AppData\Local\Temp\OnboardLogs"\RTDC4027\*4027*201702201*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"%USERPROFILE%\AppData\Local\Temp\OnboardLogs"\RTDC4027\*4027*201702201* &gt;&gt; 2017-02-20-SliceDisagreementCheck.txt</v>
      </c>
      <c r="AE24" s="157" t="str">
        <f t="shared" si="8"/>
        <v>start /low /b %USERPROFILE%\Documents\GitHub\eaglep3\Utilities\DownloadLogsFromS3.py --loco 4027 --day 2017-02-20</v>
      </c>
      <c r="AF24" s="1"/>
    </row>
    <row r="25" spans="1:32" x14ac:dyDescent="0.25">
      <c r="A25" s="32">
        <v>42786.511030092595</v>
      </c>
      <c r="B25" s="30" t="s">
        <v>224</v>
      </c>
      <c r="C25" s="30" t="s">
        <v>474</v>
      </c>
      <c r="D25" s="30" t="s">
        <v>49</v>
      </c>
      <c r="E25" s="30" t="s">
        <v>452</v>
      </c>
      <c r="F25" s="43">
        <v>0</v>
      </c>
      <c r="G25" s="43">
        <v>269</v>
      </c>
      <c r="H25" s="43">
        <v>18421</v>
      </c>
      <c r="I25" s="43">
        <v>18063</v>
      </c>
      <c r="J25" s="30" t="s">
        <v>453</v>
      </c>
      <c r="K25" s="43">
        <v>15167</v>
      </c>
      <c r="L25" s="143" t="s">
        <v>51</v>
      </c>
      <c r="M25" s="144">
        <f t="shared" si="0"/>
        <v>1529.088</v>
      </c>
      <c r="N25" s="145" t="str">
        <f>VLOOKUP(C25,'Trips&amp;Operators'!$C$1:$G$99999,5,FALSE)</f>
        <v>ROBINSON KADDIBA</v>
      </c>
      <c r="O25" s="194" t="s">
        <v>379</v>
      </c>
      <c r="P25" s="146" t="s">
        <v>449</v>
      </c>
      <c r="Q25" s="30"/>
      <c r="R25" s="89" t="str">
        <f>VLOOKUP(C25,'Train Runs'!$A$13:$AE$9943,31,0)</f>
        <v>aws s3 cp s3://rtdc.mdm.uploadarchive.raw/RTDC4015/ "%USERPROFILE%\AppData\Local\Temp\OnboardLogs"\RTDC4015\2017-02-20 --exclude "*" --recursive --include "*20170220*" &amp; "%USERPROFILE%\Documents\GitHub\mrs-test-scripts\Headless Mode &amp; Sideloading\WalkAndUnGZ.bat" "%USERPROFILE%\AppData\Local\Temp\OnboardLogs"\RTDC4015\2017-02-20 &amp; aws s3 cp s3://rtdc.mdm.uploadarchive.raw/RTDC4015/ "%USERPROFILE%\AppData\Local\Temp\OnboardLogs"\RTDC4015\2017-02-21 --exclude "*" --recursive --include "*20170221*" &amp; "%USERPROFILE%\Documents\GitHub\mrs-test-scripts\Headless Mode &amp; Sideloading\WalkAndUnGZ.bat" "%USERPROFILE%\AppData\Local\Temp\OnboardLogs"\RTDC4015\2017-02-21</v>
      </c>
      <c r="S25" s="92" t="str">
        <f>VLOOKUP(C25,'Train Runs'!$A$13:$AE$9943,22,0)</f>
        <v>https://d0f6bd738d7f1b3e5a7ca70fe4ff75f0.us-east-1.aws.found.io/app/kibana#/discover/Steve-Slow-Train-Analysis-(2080s-and-2083s)?_g=(refreshInterval:(display:Off,pause:!f,section:0,value:0),time:(from:'2017-02-20T10:37:29-0700',mode:absolute,to:'2017-02-20T13:21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5" s="94" t="str">
        <f t="shared" si="1"/>
        <v>"C:\Program Files (x86)\AstroGrep\AstroGrep.exe" /spath="%USERPROFILE%\AppData\Local\Temp\OnboardLogs" /stypes="*4015*201702201*" /stext=" 19:.+((SYSTEM_STATE.+slice.+state.+changed )|(ment ac)|(multiple cpu faults)|(system.+state.+changed )|(\[timeout)|(PRM\|1\|D)|(kpr)|(kdp)|(\|lc)|(penalty))" /e /r /s</v>
      </c>
      <c r="U25" s="9" t="str">
        <f t="shared" si="2"/>
        <v>4015</v>
      </c>
      <c r="V25" s="32">
        <f t="shared" si="3"/>
        <v>42786.80269675926</v>
      </c>
      <c r="W25" s="46" t="str">
        <f t="shared" si="4"/>
        <v>EC</v>
      </c>
      <c r="X25" s="46" t="str">
        <f t="shared" si="5"/>
        <v>KEEP</v>
      </c>
      <c r="Y25" s="108" t="str">
        <f t="shared" si="6"/>
        <v>echo {"issue":{"subject":"Wi-MAX data drop","project_id":79,"tracker_id":40,"status_id":1,"priority_id":2,"assigned_to_id":23,"start_date":"2017-02-20","description":"http://stevetu21.github.io/eaglep3/load_kml.html?kml=http://rtdc.gmaps-snips.s3.amazonaws.com/6554320e-eba3-4646-a5ec-a46782c7a1ed.kml","custom_fields":[{"id":1,"name":"Subdivision","value":"EC"},{"id":4,"name":"Milepost","value":"1.5167"},{"id":17,"name":"Train ID","value":"158-20"},{"id":16,"name":"Locomotive ID","value":"4015"},{"id":130,"name":"Impact","value":"Enforcement"},{"id":150,"name":"Time of Event (Mountain Time)","value":"12:15:53"},{"id":151,"name":"Denver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5" s="20" t="s">
        <v>889</v>
      </c>
      <c r="AA25" s="48" t="s">
        <v>124</v>
      </c>
      <c r="AB25" s="48" t="s">
        <v>137</v>
      </c>
      <c r="AC25" s="127" t="str">
        <f t="shared" si="7"/>
        <v>grep -hSE -A400 "Enforcement Action" "%USERPROFILE%\AppData\Local\Temp\OnboardLogs"\RTDC4015\*4015*201702201*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"%USERPROFILE%\AppData\Local\Temp\OnboardLogs"\RTDC4015\*4015*201702201* &gt;&gt; 2017-02-20-SliceDisagreementCheck.txt</v>
      </c>
      <c r="AE25" s="157" t="str">
        <f t="shared" si="8"/>
        <v>start /low /b %USERPROFILE%\Documents\GitHub\eaglep3\Utilities\DownloadLogsFromS3.py --loco 4015 --day 2017-02-20</v>
      </c>
      <c r="AF25" s="1"/>
    </row>
    <row r="26" spans="1:32" x14ac:dyDescent="0.25">
      <c r="A26" s="32">
        <v>42786.225439814814</v>
      </c>
      <c r="B26" s="30" t="s">
        <v>343</v>
      </c>
      <c r="C26" s="30" t="s">
        <v>454</v>
      </c>
      <c r="D26" s="30" t="s">
        <v>49</v>
      </c>
      <c r="E26" s="30" t="s">
        <v>452</v>
      </c>
      <c r="F26" s="43">
        <v>0</v>
      </c>
      <c r="G26" s="43">
        <v>423</v>
      </c>
      <c r="H26" s="43">
        <v>221512</v>
      </c>
      <c r="I26" s="43">
        <v>219988</v>
      </c>
      <c r="J26" s="30" t="s">
        <v>453</v>
      </c>
      <c r="K26" s="43">
        <v>219875</v>
      </c>
      <c r="L26" s="143" t="s">
        <v>51</v>
      </c>
      <c r="M26" s="144">
        <f t="shared" si="0"/>
        <v>59.664000000000001</v>
      </c>
      <c r="N26" s="145" t="str">
        <f>VLOOKUP(C26,'Trips&amp;Operators'!$C$1:$G$99999,5,FALSE)</f>
        <v>STARKS ANGELINA</v>
      </c>
      <c r="O26" s="194" t="s">
        <v>379</v>
      </c>
      <c r="P26" s="146" t="s">
        <v>888</v>
      </c>
      <c r="Q26" s="30"/>
      <c r="R26" s="89" t="str">
        <f>VLOOKUP(C26,'Train Runs'!$A$13:$AE$9943,31,0)</f>
        <v>aws s3 cp s3://rtdc.mdm.uploadarchive.raw/RTDC4052/ "%USERPROFILE%\AppData\Local\Temp\OnboardLogs"\RTDC4052\2017-02-20 --exclude "*" --recursive --include "*20170220*" &amp; "%USERPROFILE%\Documents\GitHub\mrs-test-scripts\Headless Mode &amp; Sideloading\WalkAndUnGZ.bat" "%USERPROFILE%\AppData\Local\Temp\OnboardLogs"\RTDC4052\2017-02-20 &amp; aws s3 cp s3://rtdc.mdm.uploadarchive.raw/RTDC4052/ "%USERPROFILE%\AppData\Local\Temp\OnboardLogs"\RTDC4052\2017-02-21 --exclude "*" --recursive --include "*20170221*" &amp; "%USERPROFILE%\Documents\GitHub\mrs-test-scripts\Headless Mode &amp; Sideloading\WalkAndUnGZ.bat" "%USERPROFILE%\AppData\Local\Temp\OnboardLogs"\RTDC4052\2017-02-21</v>
      </c>
      <c r="S26" s="92" t="str">
        <f>VLOOKUP(C26,'Train Runs'!$A$13:$AE$9943,22,0)</f>
        <v>https://d0f6bd738d7f1b3e5a7ca70fe4ff75f0.us-east-1.aws.found.io/app/kibana#/discover/Steve-Slow-Train-Analysis-(2080s-and-2083s)?_g=(refreshInterval:(display:Off,pause:!f,section:0,value:0),time:(from:'2017-02-20T04:39:55-0700',mode:absolute,to:'2017-02-20T06:47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26" s="94" t="str">
        <f t="shared" si="1"/>
        <v>"C:\Program Files (x86)\AstroGrep\AstroGrep.exe" /spath="%USERPROFILE%\AppData\Local\Temp\OnboardLogs" /stypes="*4052*201702201*" /stext=" 12:.+((SYSTEM_STATE.+slice.+state.+changed )|(ment ac)|(multiple cpu faults)|(system.+state.+changed )|(\[timeout)|(PRM\|1\|D)|(kpr)|(kdp)|(\|lc)|(penalty))" /e /r /s</v>
      </c>
      <c r="U26" s="9" t="str">
        <f t="shared" si="2"/>
        <v>4052</v>
      </c>
      <c r="V26" s="32">
        <f t="shared" si="3"/>
        <v>42786.517106481479</v>
      </c>
      <c r="W26" s="46" t="str">
        <f t="shared" si="4"/>
        <v>EC</v>
      </c>
      <c r="X26" s="46" t="str">
        <f t="shared" si="5"/>
        <v>KEEP</v>
      </c>
      <c r="Y26" s="108" t="str">
        <f t="shared" si="6"/>
        <v>echo {"issue":{"subject":"Wi-MAX data drop (4027/4028/4051/4052 4-car consist)","project_id":79,"tracker_id":40,"status_id":1,"priority_id":2,"assigned_to_id":23,"start_date":"2017-02-20","description":"","custom_fields":[{"id":1,"name":"Subdivision","value":"EC"},{"id":4,"name":"Milepost","value":"21.9875"},{"id":17,"name":"Train ID","value":"106-20"},{"id":16,"name":"Locomotive ID","value":"4052"},{"id":130,"name":"Impact","value":""},{"id":150,"name":"Time of Event (Mountain Time)","value":"05:24:38"},{"id":151,"name":"Denver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48"/>
      <c r="AA26" s="48"/>
      <c r="AB26" s="48"/>
      <c r="AC26" s="127" t="str">
        <f t="shared" si="7"/>
        <v>grep -hSE -A400 "Enforcement Action" "%USERPROFILE%\AppData\Local\Temp\OnboardLogs"\RTDC4052\*4052*201702201*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"%USERPROFILE%\AppData\Local\Temp\OnboardLogs"\RTDC4052\*4052*201702201* &gt;&gt; 2017-02-20-SliceDisagreementCheck.txt</v>
      </c>
      <c r="AE26" s="157" t="str">
        <f t="shared" si="8"/>
        <v>start /low /b %USERPROFILE%\Documents\GitHub\eaglep3\Utilities\DownloadLogsFromS3.py --loco 4052 --day 2017-02-20</v>
      </c>
      <c r="AF26" s="1"/>
    </row>
    <row r="27" spans="1:32" x14ac:dyDescent="0.25">
      <c r="A27" s="32">
        <v>42786.222175925926</v>
      </c>
      <c r="B27" s="30" t="s">
        <v>343</v>
      </c>
      <c r="C27" s="30" t="s">
        <v>454</v>
      </c>
      <c r="D27" s="30" t="s">
        <v>49</v>
      </c>
      <c r="E27" s="30" t="s">
        <v>452</v>
      </c>
      <c r="F27" s="43">
        <v>0</v>
      </c>
      <c r="G27" s="43">
        <v>151</v>
      </c>
      <c r="H27" s="43">
        <v>229922</v>
      </c>
      <c r="I27" s="43">
        <v>229656</v>
      </c>
      <c r="J27" s="30" t="s">
        <v>453</v>
      </c>
      <c r="K27" s="43">
        <v>229055</v>
      </c>
      <c r="L27" s="143" t="s">
        <v>51</v>
      </c>
      <c r="M27" s="144">
        <f t="shared" si="0"/>
        <v>317.32799999999997</v>
      </c>
      <c r="N27" s="145" t="str">
        <f>VLOOKUP(C27,'Trips&amp;Operators'!$C$1:$G$99999,5,FALSE)</f>
        <v>STARKS ANGELINA</v>
      </c>
      <c r="O27" s="194" t="s">
        <v>379</v>
      </c>
      <c r="P27" s="146" t="s">
        <v>888</v>
      </c>
      <c r="Q27" s="30"/>
      <c r="R27" s="89" t="str">
        <f>VLOOKUP(C27,'Train Runs'!$A$13:$AE$9943,31,0)</f>
        <v>aws s3 cp s3://rtdc.mdm.uploadarchive.raw/RTDC4052/ "%USERPROFILE%\AppData\Local\Temp\OnboardLogs"\RTDC4052\2017-02-20 --exclude "*" --recursive --include "*20170220*" &amp; "%USERPROFILE%\Documents\GitHub\mrs-test-scripts\Headless Mode &amp; Sideloading\WalkAndUnGZ.bat" "%USERPROFILE%\AppData\Local\Temp\OnboardLogs"\RTDC4052\2017-02-20 &amp; aws s3 cp s3://rtdc.mdm.uploadarchive.raw/RTDC4052/ "%USERPROFILE%\AppData\Local\Temp\OnboardLogs"\RTDC4052\2017-02-21 --exclude "*" --recursive --include "*20170221*" &amp; "%USERPROFILE%\Documents\GitHub\mrs-test-scripts\Headless Mode &amp; Sideloading\WalkAndUnGZ.bat" "%USERPROFILE%\AppData\Local\Temp\OnboardLogs"\RTDC4052\2017-02-21</v>
      </c>
      <c r="S27" s="92" t="str">
        <f>VLOOKUP(C27,'Train Runs'!$A$13:$AE$9943,22,0)</f>
        <v>https://d0f6bd738d7f1b3e5a7ca70fe4ff75f0.us-east-1.aws.found.io/app/kibana#/discover/Steve-Slow-Train-Analysis-(2080s-and-2083s)?_g=(refreshInterval:(display:Off,pause:!f,section:0,value:0),time:(from:'2017-02-20T04:39:55-0700',mode:absolute,to:'2017-02-20T06:47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27" s="94" t="str">
        <f t="shared" si="1"/>
        <v>"C:\Program Files (x86)\AstroGrep\AstroGrep.exe" /spath="%USERPROFILE%\AppData\Local\Temp\OnboardLogs" /stypes="*4052*201702201*" /stext=" 12:.+((SYSTEM_STATE.+slice.+state.+changed )|(ment ac)|(multiple cpu faults)|(system.+state.+changed )|(\[timeout)|(PRM\|1\|D)|(kpr)|(kdp)|(\|lc)|(penalty))" /e /r /s</v>
      </c>
      <c r="U27" s="9" t="str">
        <f t="shared" si="2"/>
        <v>4052</v>
      </c>
      <c r="V27" s="32">
        <f t="shared" si="3"/>
        <v>42786.513842592591</v>
      </c>
      <c r="W27" s="46" t="str">
        <f t="shared" si="4"/>
        <v>EC</v>
      </c>
      <c r="X27" s="46" t="str">
        <f t="shared" si="5"/>
        <v>KEEP</v>
      </c>
      <c r="Y27" s="108" t="str">
        <f t="shared" si="6"/>
        <v>echo {"issue":{"subject":"Wi-MAX data drop (4027/4028/4051/4052 4-car consist)","project_id":79,"tracker_id":40,"status_id":1,"priority_id":2,"assigned_to_id":23,"start_date":"2017-02-20","description":"","custom_fields":[{"id":1,"name":"Subdivision","value":"EC"},{"id":4,"name":"Milepost","value":"22.9055"},{"id":17,"name":"Train ID","value":"106-20"},{"id":16,"name":"Locomotive ID","value":"4052"},{"id":130,"name":"Impact","value":""},{"id":150,"name":"Time of Event (Mountain Time)","value":"05:19:56"},{"id":151,"name":"Denver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48"/>
      <c r="AA27" s="48"/>
      <c r="AB27" s="48"/>
      <c r="AC27" s="127" t="str">
        <f t="shared" si="7"/>
        <v>grep -hSE -A400 "Enforcement Action" "%USERPROFILE%\AppData\Local\Temp\OnboardLogs"\RTDC4052\*4052*201702201*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"%USERPROFILE%\AppData\Local\Temp\OnboardLogs"\RTDC4052\*4052*201702201* &gt;&gt; 2017-02-20-SliceDisagreementCheck.txt</v>
      </c>
      <c r="AE27" s="157" t="str">
        <f t="shared" si="8"/>
        <v>start /low /b %USERPROFILE%\Documents\GitHub\eaglep3\Utilities\DownloadLogsFromS3.py --loco 4052 --day 2017-02-20</v>
      </c>
      <c r="AF27" s="1"/>
    </row>
    <row r="28" spans="1:32" x14ac:dyDescent="0.25">
      <c r="A28" s="32">
        <v>42786.222766203704</v>
      </c>
      <c r="B28" s="30" t="s">
        <v>343</v>
      </c>
      <c r="C28" s="30" t="s">
        <v>454</v>
      </c>
      <c r="D28" s="30" t="s">
        <v>49</v>
      </c>
      <c r="E28" s="30" t="s">
        <v>452</v>
      </c>
      <c r="F28" s="43">
        <v>0</v>
      </c>
      <c r="G28" s="43">
        <v>158</v>
      </c>
      <c r="H28" s="43">
        <v>229326</v>
      </c>
      <c r="I28" s="43">
        <v>0</v>
      </c>
      <c r="J28" s="30" t="s">
        <v>453</v>
      </c>
      <c r="K28" s="43">
        <v>229055</v>
      </c>
      <c r="L28" s="143" t="s">
        <v>51</v>
      </c>
      <c r="M28" s="144">
        <f t="shared" si="0"/>
        <v>-120941.04</v>
      </c>
      <c r="N28" s="145" t="str">
        <f>VLOOKUP(C28,'Trips&amp;Operators'!$C$1:$G$99999,5,FALSE)</f>
        <v>STARKS ANGELINA</v>
      </c>
      <c r="O28" s="194" t="s">
        <v>379</v>
      </c>
      <c r="P28" s="146" t="s">
        <v>888</v>
      </c>
      <c r="Q28" s="30"/>
      <c r="R28" s="89" t="str">
        <f>VLOOKUP(C28,'Train Runs'!$A$13:$AE$9943,31,0)</f>
        <v>aws s3 cp s3://rtdc.mdm.uploadarchive.raw/RTDC4052/ "%USERPROFILE%\AppData\Local\Temp\OnboardLogs"\RTDC4052\2017-02-20 --exclude "*" --recursive --include "*20170220*" &amp; "%USERPROFILE%\Documents\GitHub\mrs-test-scripts\Headless Mode &amp; Sideloading\WalkAndUnGZ.bat" "%USERPROFILE%\AppData\Local\Temp\OnboardLogs"\RTDC4052\2017-02-20 &amp; aws s3 cp s3://rtdc.mdm.uploadarchive.raw/RTDC4052/ "%USERPROFILE%\AppData\Local\Temp\OnboardLogs"\RTDC4052\2017-02-21 --exclude "*" --recursive --include "*20170221*" &amp; "%USERPROFILE%\Documents\GitHub\mrs-test-scripts\Headless Mode &amp; Sideloading\WalkAndUnGZ.bat" "%USERPROFILE%\AppData\Local\Temp\OnboardLogs"\RTDC4052\2017-02-21</v>
      </c>
      <c r="S28" s="92" t="str">
        <f>VLOOKUP(C28,'Train Runs'!$A$13:$AE$9943,22,0)</f>
        <v>https://d0f6bd738d7f1b3e5a7ca70fe4ff75f0.us-east-1.aws.found.io/app/kibana#/discover/Steve-Slow-Train-Analysis-(2080s-and-2083s)?_g=(refreshInterval:(display:Off,pause:!f,section:0,value:0),time:(from:'2017-02-20T04:39:55-0700',mode:absolute,to:'2017-02-20T06:47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28" s="94" t="str">
        <f t="shared" si="1"/>
        <v>"C:\Program Files (x86)\AstroGrep\AstroGrep.exe" /spath="%USERPROFILE%\AppData\Local\Temp\OnboardLogs" /stypes="*4052*201702201*" /stext=" 12:.+((SYSTEM_STATE.+slice.+state.+changed )|(ment ac)|(multiple cpu faults)|(system.+state.+changed )|(\[timeout)|(PRM\|1\|D)|(kpr)|(kdp)|(\|lc)|(penalty))" /e /r /s</v>
      </c>
      <c r="U28" s="9" t="str">
        <f t="shared" si="2"/>
        <v>4052</v>
      </c>
      <c r="V28" s="32">
        <f t="shared" si="3"/>
        <v>42786.514432870368</v>
      </c>
      <c r="W28" s="46" t="str">
        <f t="shared" si="4"/>
        <v>EC</v>
      </c>
      <c r="X28" s="46" t="str">
        <f t="shared" si="5"/>
        <v>KEEP</v>
      </c>
      <c r="Y28" s="108" t="str">
        <f t="shared" si="6"/>
        <v>echo {"issue":{"subject":"Wi-MAX data drop (4027/4028/4051/4052 4-car consist)","project_id":79,"tracker_id":40,"status_id":1,"priority_id":2,"assigned_to_id":23,"start_date":"2017-02-20","description":"","custom_fields":[{"id":1,"name":"Subdivision","value":"EC"},{"id":4,"name":"Milepost","value":"22.9055"},{"id":17,"name":"Train ID","value":"106-20"},{"id":16,"name":"Locomotive ID","value":"4052"},{"id":130,"name":"Impact","value":""},{"id":150,"name":"Time of Event (Mountain Time)","value":"05:20:47"},{"id":151,"name":"Denver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48"/>
      <c r="AA28" s="48"/>
      <c r="AB28" s="48"/>
      <c r="AC28" s="127" t="str">
        <f t="shared" si="7"/>
        <v>grep -hSE -A400 "Enforcement Action" "%USERPROFILE%\AppData\Local\Temp\OnboardLogs"\RTDC4052\*4052*201702201*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"%USERPROFILE%\AppData\Local\Temp\OnboardLogs"\RTDC4052\*4052*201702201* &gt;&gt; 2017-02-20-SliceDisagreementCheck.txt</v>
      </c>
      <c r="AE28" s="157" t="str">
        <f t="shared" si="8"/>
        <v>start /low /b %USERPROFILE%\Documents\GitHub\eaglep3\Utilities\DownloadLogsFromS3.py --loco 4052 --day 2017-02-20</v>
      </c>
      <c r="AF28" s="1"/>
    </row>
    <row r="29" spans="1:32" x14ac:dyDescent="0.25">
      <c r="A29" s="32">
        <v>42786.284085648149</v>
      </c>
      <c r="B29" s="30" t="s">
        <v>253</v>
      </c>
      <c r="C29" s="30" t="s">
        <v>458</v>
      </c>
      <c r="D29" s="30" t="s">
        <v>49</v>
      </c>
      <c r="E29" s="30" t="s">
        <v>188</v>
      </c>
      <c r="F29" s="43">
        <v>0</v>
      </c>
      <c r="G29" s="43">
        <v>47</v>
      </c>
      <c r="H29" s="43">
        <v>161</v>
      </c>
      <c r="I29" s="43">
        <v>127</v>
      </c>
      <c r="J29" s="30" t="s">
        <v>189</v>
      </c>
      <c r="K29" s="43">
        <v>1</v>
      </c>
      <c r="L29" s="143" t="s">
        <v>51</v>
      </c>
      <c r="M29" s="144">
        <f t="shared" si="0"/>
        <v>66.528000000000006</v>
      </c>
      <c r="N29" s="145" t="str">
        <f>VLOOKUP(C29,'Trips&amp;Operators'!$C$1:$G$99999,5,FALSE)</f>
        <v>SANTIZO D. EDY</v>
      </c>
      <c r="O29" s="194" t="s">
        <v>185</v>
      </c>
      <c r="P29" s="146"/>
      <c r="Q29" s="30"/>
      <c r="R29" s="89" t="str">
        <f>VLOOKUP(C29,'Train Runs'!$A$13:$AE$9943,31,0)</f>
        <v>aws s3 cp s3://rtdc.mdm.uploadarchive.raw/RTDC4004/ "%USERPROFILE%\AppData\Local\Temp\OnboardLogs"\RTDC4004\2017-02-20 --exclude "*" --recursive --include "*20170220*" &amp; "%USERPROFILE%\Documents\GitHub\mrs-test-scripts\Headless Mode &amp; Sideloading\WalkAndUnGZ.bat" "%USERPROFILE%\AppData\Local\Temp\OnboardLogs"\RTDC4004\2017-02-20 &amp; aws s3 cp s3://rtdc.mdm.uploadarchive.raw/RTDC4004/ "%USERPROFILE%\AppData\Local\Temp\OnboardLogs"\RTDC4004\2017-02-21 --exclude "*" --recursive --include "*20170221*" &amp; "%USERPROFILE%\Documents\GitHub\mrs-test-scripts\Headless Mode &amp; Sideloading\WalkAndUnGZ.bat" "%USERPROFILE%\AppData\Local\Temp\OnboardLogs"\RTDC4004\2017-02-21</v>
      </c>
      <c r="S29" s="92" t="str">
        <f>VLOOKUP(C29,'Train Runs'!$A$13:$AE$9943,22,0)</f>
        <v>https://d0f6bd738d7f1b3e5a7ca70fe4ff75f0.us-east-1.aws.found.io/app/kibana#/discover/Steve-Slow-Train-Analysis-(2080s-and-2083s)?_g=(refreshInterval:(display:Off,pause:!f,section:0,value:0),time:(from:'2017-02-20T04:54:40-0700',mode:absolute,to:'2017-02-20T07:49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9" s="94" t="str">
        <f t="shared" si="1"/>
        <v>"C:\Program Files (x86)\AstroGrep\AstroGrep.exe" /spath="%USERPROFILE%\AppData\Local\Temp\OnboardLogs" /stypes="*4004*201702201*" /stext=" 13:.+((SYSTEM_STATE.+slice.+state.+changed )|(ment ac)|(multiple cpu faults)|(system.+state.+changed )|(\[timeout)|(PRM\|1\|D)|(kpr)|(kdp)|(\|lc)|(penalty))" /e /r /s</v>
      </c>
      <c r="U29" s="9" t="str">
        <f t="shared" si="2"/>
        <v>4004</v>
      </c>
      <c r="V29" s="32">
        <f t="shared" si="3"/>
        <v>42786.575752314813</v>
      </c>
      <c r="W29" s="46" t="str">
        <f t="shared" si="4"/>
        <v>EC</v>
      </c>
      <c r="X29" s="46" t="str">
        <f t="shared" si="5"/>
        <v>KEEP</v>
      </c>
      <c r="Y29" s="108" t="str">
        <f t="shared" si="6"/>
        <v>echo {"issue":{"subject":"","project_id":79,"tracker_id":40,"status_id":1,"priority_id":2,"assigned_to_id":23,"start_date":"2017-02-20","description":"","custom_fields":[{"id":1,"name":"Subdivision","value":"EC"},{"id":4,"name":"Milepost","value":"0.0001"},{"id":17,"name":"Train ID","value":"114-20"},{"id":16,"name":"Locomotive ID","value":"4004"},{"id":130,"name":"Impact","value":""},{"id":150,"name":"Time of Event (Mountain Time)","value":"06:49:05"},{"id":151,"name":"Denver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48"/>
      <c r="AA29" s="48"/>
      <c r="AB29" s="48"/>
      <c r="AC29" s="127" t="str">
        <f t="shared" si="7"/>
        <v>grep -hSE -A400 "Enforcement Action" "%USERPROFILE%\AppData\Local\Temp\OnboardLogs"\RTDC4004\*4004*201702201*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"%USERPROFILE%\AppData\Local\Temp\OnboardLogs"\RTDC4004\*4004*201702201* &gt;&gt; 2017-02-20-SliceDisagreementCheck.txt</v>
      </c>
      <c r="AE29" s="157" t="str">
        <f t="shared" si="8"/>
        <v>start /low /b %USERPROFILE%\Documents\GitHub\eaglep3\Utilities\DownloadLogsFromS3.py --loco 4004 --day 2017-02-20</v>
      </c>
      <c r="AF29" s="1"/>
    </row>
    <row r="30" spans="1:32" x14ac:dyDescent="0.25">
      <c r="A30" s="32">
        <v>42786.317893518521</v>
      </c>
      <c r="B30" s="30" t="s">
        <v>267</v>
      </c>
      <c r="C30" s="30" t="s">
        <v>459</v>
      </c>
      <c r="D30" s="30" t="s">
        <v>49</v>
      </c>
      <c r="E30" s="30" t="s">
        <v>188</v>
      </c>
      <c r="F30" s="43">
        <v>0</v>
      </c>
      <c r="G30" s="43">
        <v>55</v>
      </c>
      <c r="H30" s="43">
        <v>172</v>
      </c>
      <c r="I30" s="43">
        <v>123</v>
      </c>
      <c r="J30" s="30" t="s">
        <v>189</v>
      </c>
      <c r="K30" s="43">
        <v>1</v>
      </c>
      <c r="L30" s="143" t="s">
        <v>51</v>
      </c>
      <c r="M30" s="144">
        <f t="shared" si="0"/>
        <v>64.415999999999997</v>
      </c>
      <c r="N30" s="145" t="str">
        <f>VLOOKUP(C30,'Trips&amp;Operators'!$C$1:$G$99999,5,FALSE)</f>
        <v>YOUNG ELIZABETH</v>
      </c>
      <c r="O30" s="194" t="s">
        <v>185</v>
      </c>
      <c r="P30" s="146"/>
      <c r="Q30" s="30"/>
      <c r="R30" s="89" t="str">
        <f>VLOOKUP(C30,'Train Runs'!$A$13:$AE$9943,31,0)</f>
        <v>aws s3 cp s3://rtdc.mdm.uploadarchive.raw/RTDC4019/ "%USERPROFILE%\AppData\Local\Temp\OnboardLogs"\RTDC4019\2017-02-20 --exclude "*" --recursive --include "*20170220*" &amp; "%USERPROFILE%\Documents\GitHub\mrs-test-scripts\Headless Mode &amp; Sideloading\WalkAndUnGZ.bat" "%USERPROFILE%\AppData\Local\Temp\OnboardLogs"\RTDC4019\2017-02-20 &amp; aws s3 cp s3://rtdc.mdm.uploadarchive.raw/RTDC4019/ "%USERPROFILE%\AppData\Local\Temp\OnboardLogs"\RTDC4019\2017-02-21 --exclude "*" --recursive --include "*20170221*" &amp; "%USERPROFILE%\Documents\GitHub\mrs-test-scripts\Headless Mode &amp; Sideloading\WalkAndUnGZ.bat" "%USERPROFILE%\AppData\Local\Temp\OnboardLogs"\RTDC4019\2017-02-21</v>
      </c>
      <c r="S30" s="92" t="str">
        <f>VLOOKUP(C30,'Train Runs'!$A$13:$AE$9943,22,0)</f>
        <v>https://d0f6bd738d7f1b3e5a7ca70fe4ff75f0.us-east-1.aws.found.io/app/kibana#/discover/Steve-Slow-Train-Analysis-(2080s-and-2083s)?_g=(refreshInterval:(display:Off,pause:!f,section:0,value:0),time:(from:'2017-02-20T05:43:28-0700',mode:absolute,to:'2017-02-20T08:37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30" s="94" t="str">
        <f t="shared" si="1"/>
        <v>"C:\Program Files (x86)\AstroGrep\AstroGrep.exe" /spath="%USERPROFILE%\AppData\Local\Temp\OnboardLogs" /stypes="*4019*201702201*" /stext=" 14:.+((SYSTEM_STATE.+slice.+state.+changed )|(ment ac)|(multiple cpu faults)|(system.+state.+changed )|(\[timeout)|(PRM\|1\|D)|(kpr)|(kdp)|(\|lc)|(penalty))" /e /r /s</v>
      </c>
      <c r="U30" s="9" t="str">
        <f t="shared" si="2"/>
        <v>4019</v>
      </c>
      <c r="V30" s="32">
        <f t="shared" si="3"/>
        <v>42786.609560185185</v>
      </c>
      <c r="W30" s="46" t="str">
        <f t="shared" si="4"/>
        <v>EC</v>
      </c>
      <c r="X30" s="46" t="str">
        <f t="shared" si="5"/>
        <v>KEEP</v>
      </c>
      <c r="Y30" s="108" t="str">
        <f t="shared" si="6"/>
        <v>echo {"issue":{"subject":"","project_id":79,"tracker_id":40,"status_id":1,"priority_id":2,"assigned_to_id":23,"start_date":"2017-02-20","description":"","custom_fields":[{"id":1,"name":"Subdivision","value":"EC"},{"id":4,"name":"Milepost","value":"0.0001"},{"id":17,"name":"Train ID","value":"120-20"},{"id":16,"name":"Locomotive ID","value":"4019"},{"id":130,"name":"Impact","value":""},{"id":150,"name":"Time of Event (Mountain Time)","value":"07:37:46"},{"id":151,"name":"Denver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48"/>
      <c r="AA30" s="48"/>
      <c r="AB30" s="48"/>
      <c r="AC30" s="127" t="str">
        <f t="shared" si="7"/>
        <v>grep -hSE -A400 "Enforcement Action" "%USERPROFILE%\AppData\Local\Temp\OnboardLogs"\RTDC4019\*4019*201702201*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"%USERPROFILE%\AppData\Local\Temp\OnboardLogs"\RTDC4019\*4019*201702201* &gt;&gt; 2017-02-20-SliceDisagreementCheck.txt</v>
      </c>
      <c r="AE30" s="157" t="str">
        <f t="shared" si="8"/>
        <v>start /low /b %USERPROFILE%\Documents\GitHub\eaglep3\Utilities\DownloadLogsFromS3.py --loco 4019 --day 2017-02-20</v>
      </c>
      <c r="AF30" s="1"/>
    </row>
    <row r="31" spans="1:32" x14ac:dyDescent="0.25">
      <c r="A31" s="32">
        <v>42786.326481481483</v>
      </c>
      <c r="B31" s="30" t="s">
        <v>217</v>
      </c>
      <c r="C31" s="30" t="s">
        <v>460</v>
      </c>
      <c r="D31" s="30" t="s">
        <v>49</v>
      </c>
      <c r="E31" s="30" t="s">
        <v>188</v>
      </c>
      <c r="F31" s="43">
        <v>0</v>
      </c>
      <c r="G31" s="43">
        <v>54</v>
      </c>
      <c r="H31" s="43">
        <v>178</v>
      </c>
      <c r="I31" s="43">
        <v>109</v>
      </c>
      <c r="J31" s="30" t="s">
        <v>189</v>
      </c>
      <c r="K31" s="43">
        <v>1</v>
      </c>
      <c r="L31" s="143" t="s">
        <v>51</v>
      </c>
      <c r="M31" s="144">
        <f t="shared" si="0"/>
        <v>57.024000000000001</v>
      </c>
      <c r="N31" s="145" t="str">
        <f>VLOOKUP(C31,'Trips&amp;Operators'!$C$1:$G$99999,5,FALSE)</f>
        <v>BONDS REYNALDO</v>
      </c>
      <c r="O31" s="194" t="s">
        <v>379</v>
      </c>
      <c r="P31" s="146" t="s">
        <v>1014</v>
      </c>
      <c r="Q31" s="30"/>
      <c r="R31" s="89" t="str">
        <f>VLOOKUP(C31,'Train Runs'!$A$13:$AE$9943,31,0)</f>
        <v>aws s3 cp s3://rtdc.mdm.uploadarchive.raw/RTDC4045/ "%USERPROFILE%\AppData\Local\Temp\OnboardLogs"\RTDC4045\2017-02-20 --exclude "*" --recursive --include "*20170220*" &amp; "%USERPROFILE%\Documents\GitHub\mrs-test-scripts\Headless Mode &amp; Sideloading\WalkAndUnGZ.bat" "%USERPROFILE%\AppData\Local\Temp\OnboardLogs"\RTDC4045\2017-02-20 &amp; aws s3 cp s3://rtdc.mdm.uploadarchive.raw/RTDC4045/ "%USERPROFILE%\AppData\Local\Temp\OnboardLogs"\RTDC4045\2017-02-21 --exclude "*" --recursive --include "*20170221*" &amp; "%USERPROFILE%\Documents\GitHub\mrs-test-scripts\Headless Mode &amp; Sideloading\WalkAndUnGZ.bat" "%USERPROFILE%\AppData\Local\Temp\OnboardLogs"\RTDC4045\2017-02-21</v>
      </c>
      <c r="S31" s="92" t="str">
        <f>VLOOKUP(C31,'Train Runs'!$A$13:$AE$9943,22,0)</f>
        <v>https://d0f6bd738d7f1b3e5a7ca70fe4ff75f0.us-east-1.aws.found.io/app/kibana#/discover/Steve-Slow-Train-Analysis-(2080s-and-2083s)?_g=(refreshInterval:(display:Off,pause:!f,section:0,value:0),time:(from:'2017-02-20T06:06:20-0700',mode:absolute,to:'2017-02-20T08:50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31" s="94" t="str">
        <f t="shared" si="1"/>
        <v>"C:\Program Files (x86)\AstroGrep\AstroGrep.exe" /spath="%USERPROFILE%\AppData\Local\Temp\OnboardLogs" /stypes="*4045*201702201*" /stext=" 14:.+((SYSTEM_STATE.+slice.+state.+changed )|(ment ac)|(multiple cpu faults)|(system.+state.+changed )|(\[timeout)|(PRM\|1\|D)|(kpr)|(kdp)|(\|lc)|(penalty))" /e /r /s</v>
      </c>
      <c r="U31" s="9" t="str">
        <f t="shared" si="2"/>
        <v>4045</v>
      </c>
      <c r="V31" s="32">
        <f t="shared" si="3"/>
        <v>42786.618148148147</v>
      </c>
      <c r="W31" s="46" t="str">
        <f t="shared" si="4"/>
        <v>EC</v>
      </c>
      <c r="X31" s="46" t="str">
        <f t="shared" si="5"/>
        <v>KEEP</v>
      </c>
      <c r="Y31" s="108" t="str">
        <f t="shared" si="6"/>
        <v>echo {"issue":{"subject":"Banner w/o braking","project_id":79,"tracker_id":40,"status_id":1,"priority_id":2,"assigned_to_id":23,"start_date":"2017-02-20","description":"RTDC4045\2017-02-20\CPU-2\disk\var\log\app.RTDC.4045.20170220151328.log contains a predictive enforcement for TRACK WARRANT AUTHORITY while the other 2 slices do not","custom_fields":[{"id":1,"name":"Subdivision","value":"EC"},{"id":4,"name":"Milepost","value":"0.0001"},{"id":17,"name":"Train ID","value":"122-20"},{"id":16,"name":"Locomotive ID","value":"4045"},{"id":130,"name":"Impact","value":"Enforcement"},{"id":150,"name":"Time of Event (Mountain Time)","value":"07:50:08"},{"id":151,"name":"Denver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Z31" s="195" t="s">
        <v>1015</v>
      </c>
      <c r="AA31" s="48" t="s">
        <v>124</v>
      </c>
      <c r="AB31" s="48" t="s">
        <v>171</v>
      </c>
      <c r="AC31" s="127" t="str">
        <f t="shared" si="7"/>
        <v>grep -hSE -A400 "Enforcement Action" "%USERPROFILE%\AppData\Local\Temp\OnboardLogs"\RTDC4045\*4045*201702201*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"%USERPROFILE%\AppData\Local\Temp\OnboardLogs"\RTDC4045\*4045*201702201* &gt;&gt; 2017-02-20-SliceDisagreementCheck.txt</v>
      </c>
      <c r="AE31" s="157" t="str">
        <f t="shared" si="8"/>
        <v>start /low /b %USERPROFILE%\Documents\GitHub\eaglep3\Utilities\DownloadLogsFromS3.py --loco 4045 --day 2017-02-20</v>
      </c>
      <c r="AF31" s="1"/>
    </row>
    <row r="32" spans="1:32" x14ac:dyDescent="0.25">
      <c r="A32" s="32">
        <v>42786.453842592593</v>
      </c>
      <c r="B32" s="30" t="s">
        <v>219</v>
      </c>
      <c r="C32" s="30" t="s">
        <v>471</v>
      </c>
      <c r="D32" s="30" t="s">
        <v>49</v>
      </c>
      <c r="E32" s="30" t="s">
        <v>188</v>
      </c>
      <c r="F32" s="43">
        <v>0</v>
      </c>
      <c r="G32" s="43">
        <v>51</v>
      </c>
      <c r="H32" s="43">
        <v>163</v>
      </c>
      <c r="I32" s="43">
        <v>129</v>
      </c>
      <c r="J32" s="30" t="s">
        <v>189</v>
      </c>
      <c r="K32" s="43">
        <v>1</v>
      </c>
      <c r="L32" s="143" t="s">
        <v>51</v>
      </c>
      <c r="M32" s="144">
        <f t="shared" si="0"/>
        <v>67.584000000000003</v>
      </c>
      <c r="N32" s="145" t="str">
        <f>VLOOKUP(C32,'Trips&amp;Operators'!$C$1:$G$99999,5,FALSE)</f>
        <v>MOSES BRADLEY</v>
      </c>
      <c r="O32" s="194" t="s">
        <v>185</v>
      </c>
      <c r="P32" s="146"/>
      <c r="Q32" s="30"/>
      <c r="R32" s="89" t="str">
        <f>VLOOKUP(C32,'Train Runs'!$A$13:$AE$9943,31,0)</f>
        <v>aws s3 cp s3://rtdc.mdm.uploadarchive.raw/RTDC4028/ "%USERPROFILE%\AppData\Local\Temp\OnboardLogs"\RTDC4028\2017-02-20 --exclude "*" --recursive --include "*20170220*" &amp; "%USERPROFILE%\Documents\GitHub\mrs-test-scripts\Headless Mode &amp; Sideloading\WalkAndUnGZ.bat" "%USERPROFILE%\AppData\Local\Temp\OnboardLogs"\RTDC4028\2017-02-20 &amp; aws s3 cp s3://rtdc.mdm.uploadarchive.raw/RTDC4028/ "%USERPROFILE%\AppData\Local\Temp\OnboardLogs"\RTDC4028\2017-02-21 --exclude "*" --recursive --include "*20170221*" &amp; "%USERPROFILE%\Documents\GitHub\mrs-test-scripts\Headless Mode &amp; Sideloading\WalkAndUnGZ.bat" "%USERPROFILE%\AppData\Local\Temp\OnboardLogs"\RTDC4028\2017-02-21</v>
      </c>
      <c r="S32" s="92" t="str">
        <f>VLOOKUP(C32,'Train Runs'!$A$13:$AE$9943,22,0)</f>
        <v>https://d0f6bd738d7f1b3e5a7ca70fe4ff75f0.us-east-1.aws.found.io/app/kibana#/discover/Steve-Slow-Train-Analysis-(2080s-and-2083s)?_g=(refreshInterval:(display:Off,pause:!f,section:0,value:0),time:(from:'2017-02-20T09:05:15-0700',mode:absolute,to:'2017-02-20T11:53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32" s="94" t="str">
        <f t="shared" si="1"/>
        <v>"C:\Program Files (x86)\AstroGrep\AstroGrep.exe" /spath="%USERPROFILE%\AppData\Local\Temp\OnboardLogs" /stypes="*4028*201702201*" /stext=" 17:.+((SYSTEM_STATE.+slice.+state.+changed )|(ment ac)|(multiple cpu faults)|(system.+state.+changed )|(\[timeout)|(PRM\|1\|D)|(kpr)|(kdp)|(\|lc)|(penalty))" /e /r /s</v>
      </c>
      <c r="U32" s="9" t="str">
        <f t="shared" si="2"/>
        <v>4028</v>
      </c>
      <c r="V32" s="32">
        <f t="shared" si="3"/>
        <v>42786.745509259257</v>
      </c>
      <c r="W32" s="46" t="str">
        <f t="shared" si="4"/>
        <v>EC</v>
      </c>
      <c r="X32" s="46" t="str">
        <f t="shared" si="5"/>
        <v>KEEP</v>
      </c>
      <c r="Y32" s="108" t="str">
        <f t="shared" si="6"/>
        <v>echo {"issue":{"subject":"","project_id":79,"tracker_id":40,"status_id":1,"priority_id":2,"assigned_to_id":23,"start_date":"2017-02-20","description":"","custom_fields":[{"id":1,"name":"Subdivision","value":"EC"},{"id":4,"name":"Milepost","value":"0.0001"},{"id":17,"name":"Train ID","value":"146-20"},{"id":16,"name":"Locomotive ID","value":"4028"},{"id":130,"name":"Impact","value":""},{"id":150,"name":"Time of Event (Mountain Time)","value":"10:53:32"},{"id":151,"name":"Denver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48"/>
      <c r="AA32" s="48"/>
      <c r="AB32" s="48"/>
      <c r="AC32" s="127" t="str">
        <f t="shared" si="7"/>
        <v>grep -hSE -A400 "Enforcement Action" "%USERPROFILE%\AppData\Local\Temp\OnboardLogs"\RTDC4028\*4028*201702201*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"%USERPROFILE%\AppData\Local\Temp\OnboardLogs"\RTDC4028\*4028*201702201* &gt;&gt; 2017-02-20-SliceDisagreementCheck.txt</v>
      </c>
      <c r="AE32" s="157" t="str">
        <f t="shared" si="8"/>
        <v>start /low /b %USERPROFILE%\Documents\GitHub\eaglep3\Utilities\DownloadLogsFromS3.py --loco 4028 --day 2017-02-20</v>
      </c>
      <c r="AF32" s="1"/>
    </row>
    <row r="33" spans="1:32" x14ac:dyDescent="0.25">
      <c r="A33" s="32">
        <v>42786.649618055555</v>
      </c>
      <c r="B33" s="30" t="s">
        <v>253</v>
      </c>
      <c r="C33" s="30" t="s">
        <v>480</v>
      </c>
      <c r="D33" s="30" t="s">
        <v>49</v>
      </c>
      <c r="E33" s="30" t="s">
        <v>188</v>
      </c>
      <c r="F33" s="43">
        <v>0</v>
      </c>
      <c r="G33" s="43">
        <v>39</v>
      </c>
      <c r="H33" s="43">
        <v>145</v>
      </c>
      <c r="I33" s="43">
        <v>119</v>
      </c>
      <c r="J33" s="30" t="s">
        <v>189</v>
      </c>
      <c r="K33" s="43">
        <v>1</v>
      </c>
      <c r="L33" s="143" t="s">
        <v>51</v>
      </c>
      <c r="M33" s="144">
        <f t="shared" si="0"/>
        <v>62.304000000000002</v>
      </c>
      <c r="N33" s="145" t="str">
        <f>VLOOKUP(C33,'Trips&amp;Operators'!$C$1:$G$99999,5,FALSE)</f>
        <v>LEVERE CRAIG</v>
      </c>
      <c r="O33" s="194" t="s">
        <v>185</v>
      </c>
      <c r="P33" s="146"/>
      <c r="Q33" s="30"/>
      <c r="R33" s="89" t="str">
        <f>VLOOKUP(C33,'Train Runs'!$A$13:$AE$9943,31,0)</f>
        <v>aws s3 cp s3://rtdc.mdm.uploadarchive.raw/RTDC4004/ "%USERPROFILE%\AppData\Local\Temp\OnboardLogs"\RTDC4004\2017-02-20 --exclude "*" --recursive --include "*20170220*" &amp; "%USERPROFILE%\Documents\GitHub\mrs-test-scripts\Headless Mode &amp; Sideloading\WalkAndUnGZ.bat" "%USERPROFILE%\AppData\Local\Temp\OnboardLogs"\RTDC4004\2017-02-20 &amp; aws s3 cp s3://rtdc.mdm.uploadarchive.raw/RTDC4004/ "%USERPROFILE%\AppData\Local\Temp\OnboardLogs"\RTDC4004\2017-02-21 --exclude "*" --recursive --include "*20170221*" &amp; "%USERPROFILE%\Documents\GitHub\mrs-test-scripts\Headless Mode &amp; Sideloading\WalkAndUnGZ.bat" "%USERPROFILE%\AppData\Local\Temp\OnboardLogs"\RTDC4004\2017-02-21</v>
      </c>
      <c r="S33" s="92" t="str">
        <f>VLOOKUP(C33,'Train Runs'!$A$13:$AE$9943,22,0)</f>
        <v>https://d0f6bd738d7f1b3e5a7ca70fe4ff75f0.us-east-1.aws.found.io/app/kibana#/discover/Steve-Slow-Train-Analysis-(2080s-and-2083s)?_g=(refreshInterval:(display:Off,pause:!f,section:0,value:0),time:(from:'2017-02-20T13:47:57-0700',mode:absolute,to:'2017-02-20T16:35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33" s="94" t="str">
        <f t="shared" si="1"/>
        <v>"C:\Program Files (x86)\AstroGrep\AstroGrep.exe" /spath="%USERPROFILE%\AppData\Local\Temp\OnboardLogs" /stypes="*4004*201702202*" /stext=" 22:.+((SYSTEM_STATE.+slice.+state.+changed )|(ment ac)|(multiple cpu faults)|(system.+state.+changed )|(\[timeout)|(PRM\|1\|D)|(kpr)|(kdp)|(\|lc)|(penalty))" /e /r /s</v>
      </c>
      <c r="U33" s="9" t="str">
        <f t="shared" si="2"/>
        <v>4004</v>
      </c>
      <c r="V33" s="32">
        <f t="shared" si="3"/>
        <v>42786.941284722219</v>
      </c>
      <c r="W33" s="46" t="str">
        <f t="shared" si="4"/>
        <v>EC</v>
      </c>
      <c r="X33" s="46" t="str">
        <f t="shared" si="5"/>
        <v>KEEP</v>
      </c>
      <c r="Y33" s="108" t="str">
        <f t="shared" si="6"/>
        <v>echo {"issue":{"subject":"","project_id":79,"tracker_id":40,"status_id":1,"priority_id":2,"assigned_to_id":23,"start_date":"2017-02-20","description":"","custom_fields":[{"id":1,"name":"Subdivision","value":"EC"},{"id":4,"name":"Milepost","value":"0.0001"},{"id":17,"name":"Train ID","value":"184-20"},{"id":16,"name":"Locomotive ID","value":"4004"},{"id":130,"name":"Impact","value":""},{"id":150,"name":"Time of Event (Mountain Time)","value":"15:35:27"},{"id":151,"name":"Denver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48"/>
      <c r="AA33" s="48"/>
      <c r="AB33" s="48"/>
      <c r="AC33" s="127" t="str">
        <f t="shared" si="7"/>
        <v>grep -hSE -A400 "Enforcement Action" "%USERPROFILE%\AppData\Local\Temp\OnboardLogs"\RTDC4004\*4004*201702202*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"%USERPROFILE%\AppData\Local\Temp\OnboardLogs"\RTDC4004\*4004*201702202* &gt;&gt; 2017-02-20-SliceDisagreementCheck.txt</v>
      </c>
      <c r="AE33" s="157" t="str">
        <f t="shared" si="8"/>
        <v>start /low /b %USERPROFILE%\Documents\GitHub\eaglep3\Utilities\DownloadLogsFromS3.py --loco 4004 --day 2017-02-20</v>
      </c>
      <c r="AF33" s="1"/>
    </row>
    <row r="34" spans="1:32" x14ac:dyDescent="0.25">
      <c r="A34" s="32">
        <v>42786.733796296299</v>
      </c>
      <c r="B34" s="30" t="s">
        <v>224</v>
      </c>
      <c r="C34" s="30" t="s">
        <v>482</v>
      </c>
      <c r="D34" s="30" t="s">
        <v>49</v>
      </c>
      <c r="E34" s="30" t="s">
        <v>188</v>
      </c>
      <c r="F34" s="43">
        <v>0</v>
      </c>
      <c r="G34" s="43">
        <v>39</v>
      </c>
      <c r="H34" s="43">
        <v>136</v>
      </c>
      <c r="I34" s="43">
        <v>118</v>
      </c>
      <c r="J34" s="30" t="s">
        <v>189</v>
      </c>
      <c r="K34" s="43">
        <v>1</v>
      </c>
      <c r="L34" s="143" t="s">
        <v>51</v>
      </c>
      <c r="M34" s="144">
        <f t="shared" si="0"/>
        <v>61.776000000000003</v>
      </c>
      <c r="N34" s="145" t="str">
        <f>VLOOKUP(C34,'Trips&amp;Operators'!$C$1:$G$99999,5,FALSE)</f>
        <v>KILLION DAVID</v>
      </c>
      <c r="O34" s="194" t="s">
        <v>185</v>
      </c>
      <c r="P34" s="146"/>
      <c r="Q34" s="30"/>
      <c r="R34" s="89" t="str">
        <f>VLOOKUP(C34,'Train Runs'!$A$13:$AE$9943,31,0)</f>
        <v>aws s3 cp s3://rtdc.mdm.uploadarchive.raw/RTDC4015/ "%USERPROFILE%\AppData\Local\Temp\OnboardLogs"\RTDC4015\2017-02-20 --exclude "*" --recursive --include "*20170220*" &amp; "%USERPROFILE%\Documents\GitHub\mrs-test-scripts\Headless Mode &amp; Sideloading\WalkAndUnGZ.bat" "%USERPROFILE%\AppData\Local\Temp\OnboardLogs"\RTDC4015\2017-02-20 &amp; aws s3 cp s3://rtdc.mdm.uploadarchive.raw/RTDC4015/ "%USERPROFILE%\AppData\Local\Temp\OnboardLogs"\RTDC4015\2017-02-21 --exclude "*" --recursive --include "*20170221*" &amp; "%USERPROFILE%\Documents\GitHub\mrs-test-scripts\Headless Mode &amp; Sideloading\WalkAndUnGZ.bat" "%USERPROFILE%\AppData\Local\Temp\OnboardLogs"\RTDC4015\2017-02-21</v>
      </c>
      <c r="S34" s="92" t="str">
        <f>VLOOKUP(C34,'Train Runs'!$A$13:$AE$9943,22,0)</f>
        <v>https://d0f6bd738d7f1b3e5a7ca70fe4ff75f0.us-east-1.aws.found.io/app/kibana#/discover/Steve-Slow-Train-Analysis-(2080s-and-2083s)?_g=(refreshInterval:(display:Off,pause:!f,section:0,value:0),time:(from:'2017-02-20T15:46:07-0700',mode:absolute,to:'2017-02-20T18:36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34" s="94" t="str">
        <f t="shared" si="1"/>
        <v>"C:\Program Files (x86)\AstroGrep\AstroGrep.exe" /spath="%USERPROFILE%\AppData\Local\Temp\OnboardLogs" /stypes="*4015*201702210*" /stext=" 00:.+((SYSTEM_STATE.+slice.+state.+changed )|(ment ac)|(multiple cpu faults)|(system.+state.+changed )|(\[timeout)|(PRM\|1\|D)|(kpr)|(kdp)|(\|lc)|(penalty))" /e /r /s</v>
      </c>
      <c r="U34" s="9" t="str">
        <f t="shared" si="2"/>
        <v>4015</v>
      </c>
      <c r="V34" s="32">
        <f t="shared" si="3"/>
        <v>42787.025462962964</v>
      </c>
      <c r="W34" s="46" t="str">
        <f t="shared" si="4"/>
        <v>EC</v>
      </c>
      <c r="X34" s="46" t="str">
        <f t="shared" si="5"/>
        <v>KEEP</v>
      </c>
      <c r="Y34" s="108" t="str">
        <f t="shared" si="6"/>
        <v>echo {"issue":{"subject":"","project_id":79,"tracker_id":40,"status_id":1,"priority_id":2,"assigned_to_id":23,"start_date":"2017-02-20","description":"","custom_fields":[{"id":1,"name":"Subdivision","value":"EC"},{"id":4,"name":"Milepost","value":"0.0001"},{"id":17,"name":"Train ID","value":"200-20"},{"id":16,"name":"Locomotive ID","value":"4015"},{"id":130,"name":"Impact","value":""},{"id":150,"name":"Time of Event (Mountain Time)","value":"17:36:40"},{"id":151,"name":"Denver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48"/>
      <c r="AA34" s="48"/>
      <c r="AB34" s="48"/>
      <c r="AC34" s="127" t="str">
        <f t="shared" si="7"/>
        <v>grep -hSE -A400 "Enforcement Action" "%USERPROFILE%\AppData\Local\Temp\OnboardLogs"\RTDC4015\*4015*201702210*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"%USERPROFILE%\AppData\Local\Temp\OnboardLogs"\RTDC4015\*4015*201702210* &gt;&gt; 2017-02-20-SliceDisagreementCheck.txt</v>
      </c>
      <c r="AE34" s="157" t="str">
        <f t="shared" si="8"/>
        <v>start /low /b %USERPROFILE%\Documents\GitHub\eaglep3\Utilities\DownloadLogsFromS3.py --loco 4015 --day 2017-02-21</v>
      </c>
      <c r="AF34" s="1"/>
    </row>
    <row r="35" spans="1:32" x14ac:dyDescent="0.25">
      <c r="A35" s="32">
        <v>42786.432233796295</v>
      </c>
      <c r="B35" s="30" t="s">
        <v>216</v>
      </c>
      <c r="C35" s="30" t="s">
        <v>467</v>
      </c>
      <c r="D35" s="30" t="s">
        <v>49</v>
      </c>
      <c r="E35" s="30" t="s">
        <v>188</v>
      </c>
      <c r="F35" s="43">
        <v>0</v>
      </c>
      <c r="G35" s="43">
        <v>57</v>
      </c>
      <c r="H35" s="43">
        <v>233281</v>
      </c>
      <c r="I35" s="43">
        <v>233340</v>
      </c>
      <c r="J35" s="30" t="s">
        <v>189</v>
      </c>
      <c r="K35" s="43">
        <v>233491</v>
      </c>
      <c r="L35" s="143" t="s">
        <v>50</v>
      </c>
      <c r="M35" s="144">
        <f t="shared" si="0"/>
        <v>79.727999999999994</v>
      </c>
      <c r="N35" s="145" t="str">
        <f>VLOOKUP(C35,'Trips&amp;Operators'!$C$1:$G$99999,5,FALSE)</f>
        <v>BONDS REYNALDO</v>
      </c>
      <c r="O35" s="194" t="s">
        <v>185</v>
      </c>
      <c r="P35" s="146"/>
      <c r="Q35" s="30"/>
      <c r="R35" s="89" t="str">
        <f>VLOOKUP(C35,'Train Runs'!$A$13:$AE$9943,31,0)</f>
        <v>aws s3 cp s3://rtdc.mdm.uploadarchive.raw/RTDC4046/ "%USERPROFILE%\AppData\Local\Temp\OnboardLogs"\RTDC4046\2017-02-20 --exclude "*" --recursive --include "*20170220*" &amp; "%USERPROFILE%\Documents\GitHub\mrs-test-scripts\Headless Mode &amp; Sideloading\WalkAndUnGZ.bat" "%USERPROFILE%\AppData\Local\Temp\OnboardLogs"\RTDC4046\2017-02-20 &amp; aws s3 cp s3://rtdc.mdm.uploadarchive.raw/RTDC4046/ "%USERPROFILE%\AppData\Local\Temp\OnboardLogs"\RTDC4046\2017-02-21 --exclude "*" --recursive --include "*20170221*" &amp; "%USERPROFILE%\Documents\GitHub\mrs-test-scripts\Headless Mode &amp; Sideloading\WalkAndUnGZ.bat" "%USERPROFILE%\AppData\Local\Temp\OnboardLogs"\RTDC4046\2017-02-21</v>
      </c>
      <c r="S35" s="92" t="str">
        <f>VLOOKUP(C35,'Train Runs'!$A$13:$AE$9943,22,0)</f>
        <v>https://d0f6bd738d7f1b3e5a7ca70fe4ff75f0.us-east-1.aws.found.io/app/kibana#/discover/Steve-Slow-Train-Analysis-(2080s-and-2083s)?_g=(refreshInterval:(display:Off,pause:!f,section:0,value:0),time:(from:'2017-02-20T08:38:51-0700',mode:absolute,to:'2017-02-20T11:22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35" s="94" t="str">
        <f t="shared" si="1"/>
        <v>"C:\Program Files (x86)\AstroGrep\AstroGrep.exe" /spath="%USERPROFILE%\AppData\Local\Temp\OnboardLogs" /stypes="*4046*201702201*" /stext=" 17:.+((SYSTEM_STATE.+slice.+state.+changed )|(ment ac)|(multiple cpu faults)|(system.+state.+changed )|(\[timeout)|(PRM\|1\|D)|(kpr)|(kdp)|(\|lc)|(penalty))" /e /r /s</v>
      </c>
      <c r="U35" s="9" t="str">
        <f t="shared" si="2"/>
        <v>4046</v>
      </c>
      <c r="V35" s="32">
        <f t="shared" si="3"/>
        <v>42786.723900462959</v>
      </c>
      <c r="W35" s="46" t="str">
        <f t="shared" si="4"/>
        <v>EC</v>
      </c>
      <c r="X35" s="46" t="str">
        <f t="shared" si="5"/>
        <v>KEEP</v>
      </c>
      <c r="Y35" s="108" t="str">
        <f t="shared" si="6"/>
        <v>echo {"issue":{"subject":"","project_id":79,"tracker_id":40,"status_id":1,"priority_id":2,"assigned_to_id":23,"start_date":"2017-02-20","description":"","custom_fields":[{"id":1,"name":"Subdivision","value":"EC"},{"id":4,"name":"Milepost","value":"23.3491"},{"id":17,"name":"Train ID","value":"149-20"},{"id":16,"name":"Locomotive ID","value":"4046"},{"id":130,"name":"Impact","value":""},{"id":150,"name":"Time of Event (Mountain Time)","value":"10:22:25"},{"id":151,"name":"Denver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48"/>
      <c r="AA35" s="48"/>
      <c r="AB35" s="48"/>
      <c r="AC35" s="127" t="str">
        <f t="shared" si="7"/>
        <v>grep -hSE -A400 "Enforcement Action" "%USERPROFILE%\AppData\Local\Temp\OnboardLogs"\RTDC4046\*4046*201702201*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"%USERPROFILE%\AppData\Local\Temp\OnboardLogs"\RTDC4046\*4046*201702201* &gt;&gt; 2017-02-20-SliceDisagreementCheck.txt</v>
      </c>
      <c r="AE35" s="157" t="str">
        <f t="shared" si="8"/>
        <v>start /low /b %USERPROFILE%\Documents\GitHub\eaglep3\Utilities\DownloadLogsFromS3.py --loco 4046 --day 2017-02-20</v>
      </c>
      <c r="AF35" s="1"/>
    </row>
    <row r="36" spans="1:32" x14ac:dyDescent="0.25">
      <c r="A36" s="32">
        <v>42786.496307870373</v>
      </c>
      <c r="B36" s="30" t="s">
        <v>270</v>
      </c>
      <c r="C36" s="30" t="s">
        <v>473</v>
      </c>
      <c r="D36" s="30" t="s">
        <v>49</v>
      </c>
      <c r="E36" s="30" t="s">
        <v>188</v>
      </c>
      <c r="F36" s="43">
        <v>0</v>
      </c>
      <c r="G36" s="43">
        <v>96</v>
      </c>
      <c r="H36" s="43">
        <v>233028</v>
      </c>
      <c r="I36" s="43">
        <v>233145</v>
      </c>
      <c r="J36" s="30" t="s">
        <v>189</v>
      </c>
      <c r="K36" s="43">
        <v>233491</v>
      </c>
      <c r="L36" s="143" t="s">
        <v>50</v>
      </c>
      <c r="M36" s="144">
        <f t="shared" si="0"/>
        <v>182.68799999999999</v>
      </c>
      <c r="N36" s="145" t="str">
        <f>VLOOKUP(C36,'Trips&amp;Operators'!$C$1:$G$99999,5,FALSE)</f>
        <v>DAVIS MICHAEL</v>
      </c>
      <c r="O36" s="194" t="s">
        <v>185</v>
      </c>
      <c r="P36" s="146"/>
      <c r="Q36" s="30"/>
      <c r="R36" s="89" t="str">
        <f>VLOOKUP(C36,'Train Runs'!$A$13:$AE$9943,31,0)</f>
        <v>aws s3 cp s3://rtdc.mdm.uploadarchive.raw/RTDC4020/ "%USERPROFILE%\AppData\Local\Temp\OnboardLogs"\RTDC4020\2017-02-20 --exclude "*" --recursive --include "*20170220*" &amp; "%USERPROFILE%\Documents\GitHub\mrs-test-scripts\Headless Mode &amp; Sideloading\WalkAndUnGZ.bat" "%USERPROFILE%\AppData\Local\Temp\OnboardLogs"\RTDC4020\2017-02-20 &amp; aws s3 cp s3://rtdc.mdm.uploadarchive.raw/RTDC4020/ "%USERPROFILE%\AppData\Local\Temp\OnboardLogs"\RTDC4020\2017-02-21 --exclude "*" --recursive --include "*20170221*" &amp; "%USERPROFILE%\Documents\GitHub\mrs-test-scripts\Headless Mode &amp; Sideloading\WalkAndUnGZ.bat" "%USERPROFILE%\AppData\Local\Temp\OnboardLogs"\RTDC4020\2017-02-21</v>
      </c>
      <c r="S36" s="92" t="str">
        <f>VLOOKUP(C36,'Train Runs'!$A$13:$AE$9943,22,0)</f>
        <v>https://d0f6bd738d7f1b3e5a7ca70fe4ff75f0.us-east-1.aws.found.io/app/kibana#/discover/Steve-Slow-Train-Analysis-(2080s-and-2083s)?_g=(refreshInterval:(display:Off,pause:!f,section:0,value:0),time:(from:'2017-02-20T10:10:23-0700',mode:absolute,to:'2017-02-20T12:55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36" s="94" t="str">
        <f t="shared" si="1"/>
        <v>"C:\Program Files (x86)\AstroGrep\AstroGrep.exe" /spath="%USERPROFILE%\AppData\Local\Temp\OnboardLogs" /stypes="*4020*201702201*" /stext=" 18:.+((SYSTEM_STATE.+slice.+state.+changed )|(ment ac)|(multiple cpu faults)|(system.+state.+changed )|(\[timeout)|(PRM\|1\|D)|(kpr)|(kdp)|(\|lc)|(penalty))" /e /r /s</v>
      </c>
      <c r="U36" s="9" t="str">
        <f t="shared" si="2"/>
        <v>4020</v>
      </c>
      <c r="V36" s="32">
        <f t="shared" si="3"/>
        <v>42786.787974537037</v>
      </c>
      <c r="W36" s="46" t="str">
        <f t="shared" si="4"/>
        <v>EC</v>
      </c>
      <c r="X36" s="46" t="str">
        <f t="shared" si="5"/>
        <v>KEEP</v>
      </c>
      <c r="Y36" s="108" t="str">
        <f t="shared" si="6"/>
        <v>echo {"issue":{"subject":"","project_id":79,"tracker_id":40,"status_id":1,"priority_id":2,"assigned_to_id":23,"start_date":"2017-02-20","description":"","custom_fields":[{"id":1,"name":"Subdivision","value":"EC"},{"id":4,"name":"Milepost","value":"23.3491"},{"id":17,"name":"Train ID","value":"161-20"},{"id":16,"name":"Locomotive ID","value":"4020"},{"id":130,"name":"Impact","value":""},{"id":150,"name":"Time of Event (Mountain Time)","value":"11:54:41"},{"id":151,"name":"Denver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48"/>
      <c r="AA36" s="48"/>
      <c r="AB36" s="48"/>
      <c r="AC36" s="127" t="str">
        <f t="shared" si="7"/>
        <v>grep -hSE -A400 "Enforcement Action" "%USERPROFILE%\AppData\Local\Temp\OnboardLogs"\RTDC4020\*4020*201702201*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"%USERPROFILE%\AppData\Local\Temp\OnboardLogs"\RTDC4020\*4020*201702201* &gt;&gt; 2017-02-20-SliceDisagreementCheck.txt</v>
      </c>
      <c r="AE36" s="157" t="str">
        <f t="shared" si="8"/>
        <v>start /low /b %USERPROFILE%\Documents\GitHub\eaglep3\Utilities\DownloadLogsFromS3.py --loco 4020 --day 2017-02-20</v>
      </c>
      <c r="AF36" s="1"/>
    </row>
    <row r="37" spans="1:32" x14ac:dyDescent="0.25">
      <c r="A37" s="32">
        <v>42786.496747685182</v>
      </c>
      <c r="B37" s="30" t="s">
        <v>270</v>
      </c>
      <c r="C37" s="30" t="s">
        <v>473</v>
      </c>
      <c r="D37" s="30" t="s">
        <v>49</v>
      </c>
      <c r="E37" s="30" t="s">
        <v>188</v>
      </c>
      <c r="F37" s="43">
        <v>0</v>
      </c>
      <c r="G37" s="43">
        <v>51</v>
      </c>
      <c r="H37" s="43">
        <v>233253</v>
      </c>
      <c r="I37" s="43">
        <v>233306</v>
      </c>
      <c r="J37" s="30" t="s">
        <v>189</v>
      </c>
      <c r="K37" s="43">
        <v>233491</v>
      </c>
      <c r="L37" s="143" t="s">
        <v>50</v>
      </c>
      <c r="M37" s="144">
        <f t="shared" si="0"/>
        <v>97.68</v>
      </c>
      <c r="N37" s="145" t="str">
        <f>VLOOKUP(C37,'Trips&amp;Operators'!$C$1:$G$99999,5,FALSE)</f>
        <v>DAVIS MICHAEL</v>
      </c>
      <c r="O37" s="194" t="s">
        <v>185</v>
      </c>
      <c r="P37" s="146"/>
      <c r="Q37" s="30"/>
      <c r="R37" s="89" t="str">
        <f>VLOOKUP(C37,'Train Runs'!$A$13:$AE$9943,31,0)</f>
        <v>aws s3 cp s3://rtdc.mdm.uploadarchive.raw/RTDC4020/ "%USERPROFILE%\AppData\Local\Temp\OnboardLogs"\RTDC4020\2017-02-20 --exclude "*" --recursive --include "*20170220*" &amp; "%USERPROFILE%\Documents\GitHub\mrs-test-scripts\Headless Mode &amp; Sideloading\WalkAndUnGZ.bat" "%USERPROFILE%\AppData\Local\Temp\OnboardLogs"\RTDC4020\2017-02-20 &amp; aws s3 cp s3://rtdc.mdm.uploadarchive.raw/RTDC4020/ "%USERPROFILE%\AppData\Local\Temp\OnboardLogs"\RTDC4020\2017-02-21 --exclude "*" --recursive --include "*20170221*" &amp; "%USERPROFILE%\Documents\GitHub\mrs-test-scripts\Headless Mode &amp; Sideloading\WalkAndUnGZ.bat" "%USERPROFILE%\AppData\Local\Temp\OnboardLogs"\RTDC4020\2017-02-21</v>
      </c>
      <c r="S37" s="92" t="str">
        <f>VLOOKUP(C37,'Train Runs'!$A$13:$AE$9943,22,0)</f>
        <v>https://d0f6bd738d7f1b3e5a7ca70fe4ff75f0.us-east-1.aws.found.io/app/kibana#/discover/Steve-Slow-Train-Analysis-(2080s-and-2083s)?_g=(refreshInterval:(display:Off,pause:!f,section:0,value:0),time:(from:'2017-02-20T10:10:23-0700',mode:absolute,to:'2017-02-20T12:55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37" s="94" t="str">
        <f t="shared" si="1"/>
        <v>"C:\Program Files (x86)\AstroGrep\AstroGrep.exe" /spath="%USERPROFILE%\AppData\Local\Temp\OnboardLogs" /stypes="*4020*201702201*" /stext=" 18:.+((SYSTEM_STATE.+slice.+state.+changed )|(ment ac)|(multiple cpu faults)|(system.+state.+changed )|(\[timeout)|(PRM\|1\|D)|(kpr)|(kdp)|(\|lc)|(penalty))" /e /r /s</v>
      </c>
      <c r="U37" s="9" t="str">
        <f t="shared" si="2"/>
        <v>4020</v>
      </c>
      <c r="V37" s="32">
        <f t="shared" si="3"/>
        <v>42786.788414351846</v>
      </c>
      <c r="W37" s="46" t="str">
        <f t="shared" si="4"/>
        <v>EC</v>
      </c>
      <c r="X37" s="46" t="str">
        <f t="shared" si="5"/>
        <v>KEEP</v>
      </c>
      <c r="Y37" s="108" t="str">
        <f t="shared" si="6"/>
        <v>echo {"issue":{"subject":"","project_id":79,"tracker_id":40,"status_id":1,"priority_id":2,"assigned_to_id":23,"start_date":"2017-02-20","description":"","custom_fields":[{"id":1,"name":"Subdivision","value":"EC"},{"id":4,"name":"Milepost","value":"23.3491"},{"id":17,"name":"Train ID","value":"161-20"},{"id":16,"name":"Locomotive ID","value":"4020"},{"id":130,"name":"Impact","value":""},{"id":150,"name":"Time of Event (Mountain Time)","value":"11:55:19"},{"id":151,"name":"Denver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48"/>
      <c r="AA37" s="48"/>
      <c r="AB37" s="48"/>
      <c r="AC37" s="127" t="str">
        <f t="shared" si="7"/>
        <v>grep -hSE -A400 "Enforcement Action" "%USERPROFILE%\AppData\Local\Temp\OnboardLogs"\RTDC4020\*4020*201702201*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"%USERPROFILE%\AppData\Local\Temp\OnboardLogs"\RTDC4020\*4020*201702201* &gt;&gt; 2017-02-20-SliceDisagreementCheck.txt</v>
      </c>
      <c r="AE37" s="157" t="str">
        <f t="shared" si="8"/>
        <v>start /low /b %USERPROFILE%\Documents\GitHub\eaglep3\Utilities\DownloadLogsFromS3.py --loco 4020 --day 2017-02-20</v>
      </c>
      <c r="AF37" s="1"/>
    </row>
    <row r="38" spans="1:32" x14ac:dyDescent="0.25">
      <c r="A38" s="32">
        <v>42786.586550925924</v>
      </c>
      <c r="B38" s="30" t="s">
        <v>231</v>
      </c>
      <c r="C38" s="30" t="s">
        <v>476</v>
      </c>
      <c r="D38" s="30" t="s">
        <v>49</v>
      </c>
      <c r="E38" s="30" t="s">
        <v>188</v>
      </c>
      <c r="F38" s="43">
        <v>0</v>
      </c>
      <c r="G38" s="43">
        <v>140</v>
      </c>
      <c r="H38" s="43">
        <v>232821</v>
      </c>
      <c r="I38" s="43">
        <v>233007</v>
      </c>
      <c r="J38" s="30" t="s">
        <v>189</v>
      </c>
      <c r="K38" s="43">
        <v>233491</v>
      </c>
      <c r="L38" s="143" t="s">
        <v>50</v>
      </c>
      <c r="M38" s="144">
        <f t="shared" si="0"/>
        <v>255.55199999999999</v>
      </c>
      <c r="N38" s="145" t="str">
        <f>VLOOKUP(C38,'Trips&amp;Operators'!$C$1:$G$99999,5,FALSE)</f>
        <v>ROMERO CHAD</v>
      </c>
      <c r="O38" s="194" t="s">
        <v>185</v>
      </c>
      <c r="P38" s="146"/>
      <c r="Q38" s="30"/>
      <c r="R38" s="89" t="str">
        <f>VLOOKUP(C38,'Train Runs'!$A$13:$AE$9943,31,0)</f>
        <v>aws s3 cp s3://rtdc.mdm.uploadarchive.raw/RTDC4007/ "%USERPROFILE%\AppData\Local\Temp\OnboardLogs"\RTDC4007\2017-02-20 --exclude "*" --recursive --include "*20170220*" &amp; "%USERPROFILE%\Documents\GitHub\mrs-test-scripts\Headless Mode &amp; Sideloading\WalkAndUnGZ.bat" "%USERPROFILE%\AppData\Local\Temp\OnboardLogs"\RTDC4007\2017-02-20 &amp; aws s3 cp s3://rtdc.mdm.uploadarchive.raw/RTDC4007/ "%USERPROFILE%\AppData\Local\Temp\OnboardLogs"\RTDC4007\2017-02-21 --exclude "*" --recursive --include "*20170221*" &amp; "%USERPROFILE%\Documents\GitHub\mrs-test-scripts\Headless Mode &amp; Sideloading\WalkAndUnGZ.bat" "%USERPROFILE%\AppData\Local\Temp\OnboardLogs"\RTDC4007\2017-02-21</v>
      </c>
      <c r="S38" s="92" t="str">
        <f>VLOOKUP(C38,'Train Runs'!$A$13:$AE$9943,22,0)</f>
        <v>https://d0f6bd738d7f1b3e5a7ca70fe4ff75f0.us-east-1.aws.found.io/app/kibana#/discover/Steve-Slow-Train-Analysis-(2080s-and-2083s)?_g=(refreshInterval:(display:Off,pause:!f,section:0,value:0),time:(from:'2017-02-20T12:21:38-0700',mode:absolute,to:'2017-02-20T15:04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38" s="94" t="str">
        <f t="shared" si="1"/>
        <v>"C:\Program Files (x86)\AstroGrep\AstroGrep.exe" /spath="%USERPROFILE%\AppData\Local\Temp\OnboardLogs" /stypes="*4007*201702202*" /stext=" 21:.+((SYSTEM_STATE.+slice.+state.+changed )|(ment ac)|(multiple cpu faults)|(system.+state.+changed )|(\[timeout)|(PRM\|1\|D)|(kpr)|(kdp)|(\|lc)|(penalty))" /e /r /s</v>
      </c>
      <c r="U38" s="9" t="str">
        <f t="shared" si="2"/>
        <v>4007</v>
      </c>
      <c r="V38" s="32">
        <f t="shared" si="3"/>
        <v>42786.878217592588</v>
      </c>
      <c r="W38" s="46" t="str">
        <f t="shared" si="4"/>
        <v>EC</v>
      </c>
      <c r="X38" s="46" t="str">
        <f t="shared" si="5"/>
        <v>KEEP</v>
      </c>
      <c r="Y38" s="108" t="str">
        <f t="shared" si="6"/>
        <v>echo {"issue":{"subject":"","project_id":79,"tracker_id":40,"status_id":1,"priority_id":2,"assigned_to_id":23,"start_date":"2017-02-20","description":"","custom_fields":[{"id":1,"name":"Subdivision","value":"EC"},{"id":4,"name":"Milepost","value":"23.3491"},{"id":17,"name":"Train ID","value":"179-20"},{"id":16,"name":"Locomotive ID","value":"4007"},{"id":130,"name":"Impact","value":""},{"id":150,"name":"Time of Event (Mountain Time)","value":"14:04:38"},{"id":151,"name":"Denver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48"/>
      <c r="AA38" s="48"/>
      <c r="AB38" s="48"/>
      <c r="AC38" s="127" t="str">
        <f t="shared" si="7"/>
        <v>grep -hSE -A400 "Enforcement Action" "%USERPROFILE%\AppData\Local\Temp\OnboardLogs"\RTDC4007\*4007*201702202*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"%USERPROFILE%\AppData\Local\Temp\OnboardLogs"\RTDC4007\*4007*201702202* &gt;&gt; 2017-02-20-SliceDisagreementCheck.txt</v>
      </c>
      <c r="AE38" s="157" t="str">
        <f t="shared" si="8"/>
        <v>start /low /b %USERPROFILE%\Documents\GitHub\eaglep3\Utilities\DownloadLogsFromS3.py --loco 4007 --day 2017-02-20</v>
      </c>
      <c r="AF38" s="1"/>
    </row>
    <row r="39" spans="1:32" x14ac:dyDescent="0.25">
      <c r="A39" s="32">
        <v>42786.587118055555</v>
      </c>
      <c r="B39" s="30" t="s">
        <v>231</v>
      </c>
      <c r="C39" s="30" t="s">
        <v>476</v>
      </c>
      <c r="D39" s="30" t="s">
        <v>49</v>
      </c>
      <c r="E39" s="30" t="s">
        <v>188</v>
      </c>
      <c r="F39" s="43">
        <v>0</v>
      </c>
      <c r="G39" s="43">
        <v>50</v>
      </c>
      <c r="H39" s="43">
        <v>233272</v>
      </c>
      <c r="I39" s="43">
        <v>233311</v>
      </c>
      <c r="J39" s="30" t="s">
        <v>189</v>
      </c>
      <c r="K39" s="43">
        <v>233491</v>
      </c>
      <c r="L39" s="143" t="s">
        <v>50</v>
      </c>
      <c r="M39" s="144">
        <f t="shared" ref="M39:M56" si="9">CONVERT((I39-K39)/10000,"mi","ft")*IF(L39="Increasing Mileposts (1)",-1,1)</f>
        <v>95.04</v>
      </c>
      <c r="N39" s="145" t="str">
        <f>VLOOKUP(C39,'Trips&amp;Operators'!$C$1:$G$99999,5,FALSE)</f>
        <v>ROMERO CHAD</v>
      </c>
      <c r="O39" s="194" t="s">
        <v>185</v>
      </c>
      <c r="P39" s="146"/>
      <c r="Q39" s="30"/>
      <c r="R39" s="89" t="str">
        <f>VLOOKUP(C39,'Train Runs'!$A$13:$AE$9943,31,0)</f>
        <v>aws s3 cp s3://rtdc.mdm.uploadarchive.raw/RTDC4007/ "%USERPROFILE%\AppData\Local\Temp\OnboardLogs"\RTDC4007\2017-02-20 --exclude "*" --recursive --include "*20170220*" &amp; "%USERPROFILE%\Documents\GitHub\mrs-test-scripts\Headless Mode &amp; Sideloading\WalkAndUnGZ.bat" "%USERPROFILE%\AppData\Local\Temp\OnboardLogs"\RTDC4007\2017-02-20 &amp; aws s3 cp s3://rtdc.mdm.uploadarchive.raw/RTDC4007/ "%USERPROFILE%\AppData\Local\Temp\OnboardLogs"\RTDC4007\2017-02-21 --exclude "*" --recursive --include "*20170221*" &amp; "%USERPROFILE%\Documents\GitHub\mrs-test-scripts\Headless Mode &amp; Sideloading\WalkAndUnGZ.bat" "%USERPROFILE%\AppData\Local\Temp\OnboardLogs"\RTDC4007\2017-02-21</v>
      </c>
      <c r="S39" s="92" t="str">
        <f>VLOOKUP(C39,'Train Runs'!$A$13:$AE$9943,22,0)</f>
        <v>https://d0f6bd738d7f1b3e5a7ca70fe4ff75f0.us-east-1.aws.found.io/app/kibana#/discover/Steve-Slow-Train-Analysis-(2080s-and-2083s)?_g=(refreshInterval:(display:Off,pause:!f,section:0,value:0),time:(from:'2017-02-20T12:21:38-0700',mode:absolute,to:'2017-02-20T15:04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39" s="94" t="str">
        <f t="shared" ref="T39:T56" si="10"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/stypes="*4007*201702202*" /stext=" 21:.+((SYSTEM_STATE.+slice.+state.+changed )|(ment ac)|(multiple cpu faults)|(system.+state.+changed )|(\[timeout)|(PRM\|1\|D)|(kpr)|(kdp)|(\|lc)|(penalty))" /e /r /s</v>
      </c>
      <c r="U39" s="9" t="str">
        <f t="shared" ref="U39:U56" si="11">MID(B39,13,4)</f>
        <v>4007</v>
      </c>
      <c r="V39" s="32">
        <f t="shared" ref="V39:V56" si="12">A39-utc_offset/24</f>
        <v>42786.878784722219</v>
      </c>
      <c r="W39" s="46" t="str">
        <f t="shared" ref="W39:W56" si="13">IFERROR(IF(VALUE(LEFT(IF(LEN(C39)=6,"0"&amp;C39,C39),2))&lt;=2,"EC",IF(OR(VALUE(LEFT(IF(LEN(C39)=6,"0"&amp;C39,C39),2))=8,VALUE(LEFT(IF(LEN(C39)=6,"0"&amp;C39,C39),2))=18),"NW","Other")),"Other")</f>
        <v>EC</v>
      </c>
      <c r="X39" s="46" t="str">
        <f t="shared" ref="X39:X56" si="14">IF(AND(E39="TRACK WARRANT AUTHORITY",G39&lt;10),"OMIT","KEEP")</f>
        <v>KEEP</v>
      </c>
      <c r="Y39" s="108" t="str">
        <f t="shared" ref="Y39:Y56" si="15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{"issue":{"subject":"","project_id":79,"tracker_id":40,"status_id":1,"priority_id":2,"assigned_to_id":23,"start_date":"2017-02-20","description":"","custom_fields":[{"id":1,"name":"Subdivision","value":"EC"},{"id":4,"name":"Milepost","value":"23.3491"},{"id":17,"name":"Train ID","value":"179-20"},{"id":16,"name":"Locomotive ID","value":"4007"},{"id":130,"name":"Impact","value":""},{"id":150,"name":"Time of Event (Mountain Time)","value":"14:05:27"},{"id":151,"name":"Denver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48"/>
      <c r="AA39" s="48"/>
      <c r="AB39" s="48"/>
      <c r="AC39" s="127" t="str">
        <f t="shared" ref="AC39:AC56" si="16">"grep -hSE -A400 ""Enforcement Action"" "&amp;search_path&amp;"\RTDC"&amp;U39&amp;"\*"&amp;U39&amp;"*"&amp;TEXT(A39-utc_offset/24,"YYYYMMDD")&amp;LEFT(TEXT(A39-utc_offset/24,"HH"),1)&amp;"* | grep -SE ""((Enforcement Ac)|(PRM))"" -"</f>
        <v>grep -hSE -A400 "Enforcement Action" "%USERPROFILE%\AppData\Local\Temp\OnboardLogs"\RTDC4007\*4007*201702202*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"%USERPROFILE%\AppData\Local\Temp\OnboardLogs"\RTDC4007\*4007*201702202* &gt;&gt; 2017-02-20-SliceDisagreementCheck.txt</v>
      </c>
      <c r="AE39" s="157" t="str">
        <f t="shared" ref="AE39:AE56" si="17">"start /low /b "&amp;dls3logs&amp;" --loco "&amp;U39&amp;" --day "&amp;TEXT(V39,"YYYY-MM-DD")</f>
        <v>start /low /b %USERPROFILE%\Documents\GitHub\eaglep3\Utilities\DownloadLogsFromS3.py --loco 4007 --day 2017-02-20</v>
      </c>
      <c r="AF39" s="1"/>
    </row>
    <row r="40" spans="1:32" x14ac:dyDescent="0.25">
      <c r="A40" s="32">
        <v>42786.267002314817</v>
      </c>
      <c r="B40" s="30" t="s">
        <v>192</v>
      </c>
      <c r="C40" s="30" t="s">
        <v>455</v>
      </c>
      <c r="D40" s="30" t="s">
        <v>49</v>
      </c>
      <c r="E40" s="30" t="s">
        <v>197</v>
      </c>
      <c r="F40" s="43">
        <v>340</v>
      </c>
      <c r="G40" s="43">
        <v>430</v>
      </c>
      <c r="H40" s="43">
        <v>8824</v>
      </c>
      <c r="I40" s="43">
        <v>10528</v>
      </c>
      <c r="J40" s="30" t="s">
        <v>198</v>
      </c>
      <c r="K40" s="43">
        <v>10714</v>
      </c>
      <c r="L40" s="143" t="s">
        <v>50</v>
      </c>
      <c r="M40" s="144">
        <f t="shared" si="9"/>
        <v>98.207999999999998</v>
      </c>
      <c r="N40" s="145" t="str">
        <f>VLOOKUP(C40,'Trips&amp;Operators'!$C$1:$G$99999,5,FALSE)</f>
        <v>ROCHA YAOTL</v>
      </c>
      <c r="O40" s="194" t="s">
        <v>185</v>
      </c>
      <c r="P40" s="146" t="s">
        <v>448</v>
      </c>
      <c r="Q40" s="30"/>
      <c r="R40" s="89" t="str">
        <f>VLOOKUP(C40,'Train Runs'!$A$13:$AE$9943,31,0)</f>
        <v>aws s3 cp s3://rtdc.mdm.uploadarchive.raw/RTDC4011/ "%USERPROFILE%\AppData\Local\Temp\OnboardLogs"\RTDC4011\2017-02-20 --exclude "*" --recursive --include "*20170220*" &amp; "%USERPROFILE%\Documents\GitHub\mrs-test-scripts\Headless Mode &amp; Sideloading\WalkAndUnGZ.bat" "%USERPROFILE%\AppData\Local\Temp\OnboardLogs"\RTDC4011\2017-02-20 &amp; aws s3 cp s3://rtdc.mdm.uploadarchive.raw/RTDC4011/ "%USERPROFILE%\AppData\Local\Temp\OnboardLogs"\RTDC4011\2017-02-21 --exclude "*" --recursive --include "*20170221*" &amp; "%USERPROFILE%\Documents\GitHub\mrs-test-scripts\Headless Mode &amp; Sideloading\WalkAndUnGZ.bat" "%USERPROFILE%\AppData\Local\Temp\OnboardLogs"\RTDC4011\2017-02-21</v>
      </c>
      <c r="S40" s="92" t="str">
        <f>VLOOKUP(C40,'Train Runs'!$A$13:$AE$9943,22,0)</f>
        <v>https://d0f6bd738d7f1b3e5a7ca70fe4ff75f0.us-east-1.aws.found.io/app/kibana#/discover/Steve-Slow-Train-Analysis-(2080s-and-2083s)?_g=(refreshInterval:(display:Off,pause:!f,section:0,value:0),time:(from:'2017-02-20T05:10:43-0700',mode:absolute,to:'2017-02-20T07:35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40" s="94" t="str">
        <f t="shared" si="10"/>
        <v>"C:\Program Files (x86)\AstroGrep\AstroGrep.exe" /spath="%USERPROFILE%\AppData\Local\Temp\OnboardLogs" /stypes="*4011*201702201*" /stext=" 13:.+((SYSTEM_STATE.+slice.+state.+changed )|(ment ac)|(multiple cpu faults)|(system.+state.+changed )|(\[timeout)|(PRM\|1\|D)|(kpr)|(kdp)|(\|lc)|(penalty))" /e /r /s</v>
      </c>
      <c r="U40" s="9" t="str">
        <f t="shared" si="11"/>
        <v>4011</v>
      </c>
      <c r="V40" s="32">
        <f t="shared" si="12"/>
        <v>42786.558668981481</v>
      </c>
      <c r="W40" s="46" t="str">
        <f t="shared" si="13"/>
        <v>NW</v>
      </c>
      <c r="X40" s="46" t="str">
        <f t="shared" si="14"/>
        <v>KEEP</v>
      </c>
      <c r="Y40" s="108" t="str">
        <f t="shared" si="15"/>
        <v>echo {"issue":{"subject":"Early arrival","project_id":79,"tracker_id":40,"status_id":1,"priority_id":2,"assigned_to_id":23,"start_date":"2017-02-20","description":"","custom_fields":[{"id":1,"name":"Subdivision","value":"NW"},{"id":4,"name":"Milepost","value":"1.0714"},{"id":17,"name":"Train ID","value":"803-20"},{"id":16,"name":"Locomotive ID","value":"4011"},{"id":130,"name":"Impact","value":""},{"id":150,"name":"Time of Event (Mountain Time)","value":"06:24:29"},{"id":151,"name":"Denver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48"/>
      <c r="AA40" s="48"/>
      <c r="AB40" s="48"/>
      <c r="AC40" s="127" t="str">
        <f t="shared" si="16"/>
        <v>grep -hSE -A400 "Enforcement Action" "%USERPROFILE%\AppData\Local\Temp\OnboardLogs"\RTDC4011\*4011*201702201*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"%USERPROFILE%\AppData\Local\Temp\OnboardLogs"\RTDC4011\*4011*201702201* &gt;&gt; 2017-02-20-SliceDisagreementCheck.txt</v>
      </c>
      <c r="AE40" s="157" t="str">
        <f t="shared" si="17"/>
        <v>start /low /b %USERPROFILE%\Documents\GitHub\eaglep3\Utilities\DownloadLogsFromS3.py --loco 4011 --day 2017-02-20</v>
      </c>
      <c r="AF40" s="1"/>
    </row>
    <row r="41" spans="1:32" x14ac:dyDescent="0.25">
      <c r="A41" s="32">
        <v>42786.392083333332</v>
      </c>
      <c r="B41" s="30" t="s">
        <v>192</v>
      </c>
      <c r="C41" s="30" t="s">
        <v>465</v>
      </c>
      <c r="D41" s="30" t="s">
        <v>49</v>
      </c>
      <c r="E41" s="30" t="s">
        <v>197</v>
      </c>
      <c r="F41" s="43">
        <v>350</v>
      </c>
      <c r="G41" s="43">
        <v>406</v>
      </c>
      <c r="H41" s="43">
        <v>9449</v>
      </c>
      <c r="I41" s="43">
        <v>10572</v>
      </c>
      <c r="J41" s="30" t="s">
        <v>198</v>
      </c>
      <c r="K41" s="43">
        <v>10714</v>
      </c>
      <c r="L41" s="143" t="s">
        <v>50</v>
      </c>
      <c r="M41" s="144">
        <f t="shared" si="9"/>
        <v>74.975999999999999</v>
      </c>
      <c r="N41" s="145" t="str">
        <f>VLOOKUP(C41,'Trips&amp;Operators'!$C$1:$G$99999,5,FALSE)</f>
        <v>ROCHA YAOTL</v>
      </c>
      <c r="O41" s="194" t="s">
        <v>185</v>
      </c>
      <c r="P41" s="146" t="s">
        <v>448</v>
      </c>
      <c r="Q41" s="30"/>
      <c r="R41" s="89" t="str">
        <f>VLOOKUP(C41,'Train Runs'!$A$13:$AE$9943,31,0)</f>
        <v>aws s3 cp s3://rtdc.mdm.uploadarchive.raw/RTDC4011/ "%USERPROFILE%\AppData\Local\Temp\OnboardLogs"\RTDC4011\2017-02-20 --exclude "*" --recursive --include "*20170220*" &amp; "%USERPROFILE%\Documents\GitHub\mrs-test-scripts\Headless Mode &amp; Sideloading\WalkAndUnGZ.bat" "%USERPROFILE%\AppData\Local\Temp\OnboardLogs"\RTDC4011\2017-02-20 &amp; aws s3 cp s3://rtdc.mdm.uploadarchive.raw/RTDC4011/ "%USERPROFILE%\AppData\Local\Temp\OnboardLogs"\RTDC4011\2017-02-21 --exclude "*" --recursive --include "*20170221*" &amp; "%USERPROFILE%\Documents\GitHub\mrs-test-scripts\Headless Mode &amp; Sideloading\WalkAndUnGZ.bat" "%USERPROFILE%\AppData\Local\Temp\OnboardLogs"\RTDC4011\2017-02-21</v>
      </c>
      <c r="S41" s="92" t="str">
        <f>VLOOKUP(C41,'Train Runs'!$A$13:$AE$9943,22,0)</f>
        <v>https://d0f6bd738d7f1b3e5a7ca70fe4ff75f0.us-east-1.aws.found.io/app/kibana#/discover/Steve-Slow-Train-Analysis-(2080s-and-2083s)?_g=(refreshInterval:(display:Off,pause:!f,section:0,value:0),time:(from:'2017-02-20T08:07:29-0700',mode:absolute,to:'2017-02-20T10:37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41" s="94" t="str">
        <f t="shared" si="10"/>
        <v>"C:\Program Files (x86)\AstroGrep\AstroGrep.exe" /spath="%USERPROFILE%\AppData\Local\Temp\OnboardLogs" /stypes="*4011*201702201*" /stext=" 16:.+((SYSTEM_STATE.+slice.+state.+changed )|(ment ac)|(multiple cpu faults)|(system.+state.+changed )|(\[timeout)|(PRM\|1\|D)|(kpr)|(kdp)|(\|lc)|(penalty))" /e /r /s</v>
      </c>
      <c r="U41" s="9" t="str">
        <f t="shared" si="11"/>
        <v>4011</v>
      </c>
      <c r="V41" s="32">
        <f t="shared" si="12"/>
        <v>42786.683749999997</v>
      </c>
      <c r="W41" s="46" t="str">
        <f t="shared" si="13"/>
        <v>NW</v>
      </c>
      <c r="X41" s="46" t="str">
        <f t="shared" si="14"/>
        <v>KEEP</v>
      </c>
      <c r="Y41" s="108" t="str">
        <f t="shared" si="15"/>
        <v>echo {"issue":{"subject":"Early arrival","project_id":79,"tracker_id":40,"status_id":1,"priority_id":2,"assigned_to_id":23,"start_date":"2017-02-20","description":"","custom_fields":[{"id":1,"name":"Subdivision","value":"NW"},{"id":4,"name":"Milepost","value":"1.0714"},{"id":17,"name":"Train ID","value":"813-20"},{"id":16,"name":"Locomotive ID","value":"4011"},{"id":130,"name":"Impact","value":""},{"id":150,"name":"Time of Event (Mountain Time)","value":"09:24:36"},{"id":151,"name":"Denver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48"/>
      <c r="AA41" s="48"/>
      <c r="AB41" s="48"/>
      <c r="AC41" s="127" t="str">
        <f t="shared" si="16"/>
        <v>grep -hSE -A400 "Enforcement Action" "%USERPROFILE%\AppData\Local\Temp\OnboardLogs"\RTDC4011\*4011*201702201*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"%USERPROFILE%\AppData\Local\Temp\OnboardLogs"\RTDC4011\*4011*201702201* &gt;&gt; 2017-02-20-SliceDisagreementCheck.txt</v>
      </c>
      <c r="AE41" s="157" t="str">
        <f t="shared" si="17"/>
        <v>start /low /b %USERPROFILE%\Documents\GitHub\eaglep3\Utilities\DownloadLogsFromS3.py --loco 4011 --day 2017-02-20</v>
      </c>
      <c r="AF41" s="1"/>
    </row>
    <row r="42" spans="1:32" x14ac:dyDescent="0.25">
      <c r="A42" s="32">
        <v>42786.787986111114</v>
      </c>
      <c r="B42" s="30" t="s">
        <v>382</v>
      </c>
      <c r="C42" s="30" t="s">
        <v>485</v>
      </c>
      <c r="D42" s="30" t="s">
        <v>49</v>
      </c>
      <c r="E42" s="30" t="s">
        <v>197</v>
      </c>
      <c r="F42" s="43">
        <v>0</v>
      </c>
      <c r="G42" s="43">
        <v>434</v>
      </c>
      <c r="H42" s="43">
        <v>10217</v>
      </c>
      <c r="I42" s="43">
        <v>11738</v>
      </c>
      <c r="J42" s="30" t="s">
        <v>198</v>
      </c>
      <c r="K42" s="43">
        <v>10714</v>
      </c>
      <c r="L42" s="143" t="s">
        <v>50</v>
      </c>
      <c r="M42" s="144">
        <f t="shared" si="9"/>
        <v>-540.67200000000003</v>
      </c>
      <c r="N42" s="145" t="str">
        <f>VLOOKUP(C42,'Trips&amp;Operators'!$C$1:$G$99999,5,FALSE)</f>
        <v>MACDONALD THOMAS</v>
      </c>
      <c r="O42" s="194" t="s">
        <v>185</v>
      </c>
      <c r="P42" s="146" t="s">
        <v>448</v>
      </c>
      <c r="Q42" s="30"/>
      <c r="R42" s="89" t="str">
        <f>VLOOKUP(C42,'Train Runs'!$A$13:$AE$9943,31,0)</f>
        <v>aws s3 cp s3://rtdc.mdm.uploadarchive.raw/RTDC4022/ "%USERPROFILE%\AppData\Local\Temp\OnboardLogs"\RTDC4022\2017-02-20 --exclude "*" --recursive --include "*20170220*" &amp; "%USERPROFILE%\Documents\GitHub\mrs-test-scripts\Headless Mode &amp; Sideloading\WalkAndUnGZ.bat" "%USERPROFILE%\AppData\Local\Temp\OnboardLogs"\RTDC4022\2017-02-20 &amp; aws s3 cp s3://rtdc.mdm.uploadarchive.raw/RTDC4022/ "%USERPROFILE%\AppData\Local\Temp\OnboardLogs"\RTDC4022\2017-02-21 --exclude "*" --recursive --include "*20170221*" &amp; "%USERPROFILE%\Documents\GitHub\mrs-test-scripts\Headless Mode &amp; Sideloading\WalkAndUnGZ.bat" "%USERPROFILE%\AppData\Local\Temp\OnboardLogs"\RTDC4022\2017-02-21</v>
      </c>
      <c r="S42" s="92" t="str">
        <f>VLOOKUP(C42,'Train Runs'!$A$13:$AE$9943,22,0)</f>
        <v>https://d0f6bd738d7f1b3e5a7ca70fe4ff75f0.us-east-1.aws.found.io/app/kibana#/discover/Steve-Slow-Train-Analysis-(2080s-and-2083s)?_g=(refreshInterval:(display:Off,pause:!f,section:0,value:0),time:(from:'2017-02-20T17:28:17-0700',mode:absolute,to:'2017-02-20T20:06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42" s="94" t="str">
        <f t="shared" si="10"/>
        <v>"C:\Program Files (x86)\AstroGrep\AstroGrep.exe" /spath="%USERPROFILE%\AppData\Local\Temp\OnboardLogs" /stypes="*4022*201702210*" /stext=" 01:.+((SYSTEM_STATE.+slice.+state.+changed )|(ment ac)|(multiple cpu faults)|(system.+state.+changed )|(\[timeout)|(PRM\|1\|D)|(kpr)|(kdp)|(\|lc)|(penalty))" /e /r /s</v>
      </c>
      <c r="U42" s="9" t="str">
        <f t="shared" si="11"/>
        <v>4022</v>
      </c>
      <c r="V42" s="32">
        <f t="shared" si="12"/>
        <v>42787.079652777778</v>
      </c>
      <c r="W42" s="46" t="str">
        <f t="shared" si="13"/>
        <v>NW</v>
      </c>
      <c r="X42" s="46" t="str">
        <f t="shared" si="14"/>
        <v>KEEP</v>
      </c>
      <c r="Y42" s="108" t="str">
        <f t="shared" si="15"/>
        <v>echo {"issue":{"subject":"Early arrival","project_id":79,"tracker_id":40,"status_id":1,"priority_id":2,"assigned_to_id":23,"start_date":"2017-02-20","description":"","custom_fields":[{"id":1,"name":"Subdivision","value":"NW"},{"id":4,"name":"Milepost","value":"1.0714"},{"id":17,"name":"Train ID","value":"839-20"},{"id":16,"name":"Locomotive ID","value":"4022"},{"id":130,"name":"Impact","value":""},{"id":150,"name":"Time of Event (Mountain Time)","value":"18:54:42"},{"id":151,"name":"Denver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48"/>
      <c r="AA42" s="48"/>
      <c r="AB42" s="48"/>
      <c r="AC42" s="127" t="str">
        <f t="shared" si="16"/>
        <v>grep -hSE -A400 "Enforcement Action" "%USERPROFILE%\AppData\Local\Temp\OnboardLogs"\RTDC4022\*4022*201702210*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"%USERPROFILE%\AppData\Local\Temp\OnboardLogs"\RTDC4022\*4022*201702210* &gt;&gt; 2017-02-20-SliceDisagreementCheck.txt</v>
      </c>
      <c r="AE42" s="157" t="str">
        <f t="shared" si="17"/>
        <v>start /low /b %USERPROFILE%\Documents\GitHub\eaglep3\Utilities\DownloadLogsFromS3.py --loco 4022 --day 2017-02-21</v>
      </c>
      <c r="AF42" s="1"/>
    </row>
    <row r="43" spans="1:32" x14ac:dyDescent="0.25">
      <c r="A43" s="32">
        <v>42786.282500000001</v>
      </c>
      <c r="B43" s="30" t="s">
        <v>282</v>
      </c>
      <c r="C43" s="30" t="s">
        <v>457</v>
      </c>
      <c r="D43" s="30" t="s">
        <v>98</v>
      </c>
      <c r="E43" s="30" t="s">
        <v>376</v>
      </c>
      <c r="F43" s="43">
        <v>400</v>
      </c>
      <c r="G43" s="43">
        <v>453</v>
      </c>
      <c r="H43" s="43">
        <v>38764</v>
      </c>
      <c r="I43" s="43">
        <v>37611</v>
      </c>
      <c r="J43" s="30" t="s">
        <v>377</v>
      </c>
      <c r="K43" s="43">
        <v>40977</v>
      </c>
      <c r="L43" s="143" t="s">
        <v>51</v>
      </c>
      <c r="M43" s="144">
        <f t="shared" si="9"/>
        <v>-1777.248</v>
      </c>
      <c r="N43" s="145" t="str">
        <f>VLOOKUP(C43,'Trips&amp;Operators'!$C$1:$G$99999,5,FALSE)</f>
        <v>ROCHA YAOTL</v>
      </c>
      <c r="O43" s="194" t="s">
        <v>185</v>
      </c>
      <c r="P43" s="146"/>
      <c r="Q43" s="30"/>
      <c r="R43" s="89" t="str">
        <f>VLOOKUP(C43,'Train Runs'!$A$13:$AE$9943,31,0)</f>
        <v>aws s3 cp s3://rtdc.mdm.uploadarchive.raw/RTDC4012/ "%USERPROFILE%\AppData\Local\Temp\OnboardLogs"\RTDC4012\2017-02-20 --exclude "*" --recursive --include "*20170220*" &amp; "%USERPROFILE%\Documents\GitHub\mrs-test-scripts\Headless Mode &amp; Sideloading\WalkAndUnGZ.bat" "%USERPROFILE%\AppData\Local\Temp\OnboardLogs"\RTDC4012\2017-02-20 &amp; aws s3 cp s3://rtdc.mdm.uploadarchive.raw/RTDC4012/ "%USERPROFILE%\AppData\Local\Temp\OnboardLogs"\RTDC4012\2017-02-21 --exclude "*" --recursive --include "*20170221*" &amp; "%USERPROFILE%\Documents\GitHub\mrs-test-scripts\Headless Mode &amp; Sideloading\WalkAndUnGZ.bat" "%USERPROFILE%\AppData\Local\Temp\OnboardLogs"\RTDC4012\2017-02-21</v>
      </c>
      <c r="S43" s="92" t="str">
        <f>VLOOKUP(C43,'Train Runs'!$A$13:$AE$9943,22,0)</f>
        <v>https://d0f6bd738d7f1b3e5a7ca70fe4ff75f0.us-east-1.aws.found.io/app/kibana#/discover/Steve-Slow-Train-Analysis-(2080s-and-2083s)?_g=(refreshInterval:(display:Off,pause:!f,section:0,value:0),time:(from:'2017-02-20T05:37:22-0700',mode:absolute,to:'2017-02-20T07:55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43" s="94" t="str">
        <f t="shared" si="10"/>
        <v>"C:\Program Files (x86)\AstroGrep\AstroGrep.exe" /spath="%USERPROFILE%\AppData\Local\Temp\OnboardLogs" /stypes="*4012*201702201*" /stext=" 13:.+((SYSTEM_STATE.+slice.+state.+changed )|(ment ac)|(multiple cpu faults)|(system.+state.+changed )|(\[timeout)|(PRM\|1\|D)|(kpr)|(kdp)|(\|lc)|(penalty))" /e /r /s</v>
      </c>
      <c r="U43" s="9" t="str">
        <f t="shared" si="11"/>
        <v>4012</v>
      </c>
      <c r="V43" s="32">
        <f t="shared" si="12"/>
        <v>42786.574166666665</v>
      </c>
      <c r="W43" s="46" t="str">
        <f t="shared" si="13"/>
        <v>NW</v>
      </c>
      <c r="X43" s="46" t="str">
        <f t="shared" si="14"/>
        <v>KEEP</v>
      </c>
      <c r="Y43" s="108" t="str">
        <f t="shared" si="15"/>
        <v>echo {"issue":{"subject":"","project_id":79,"tracker_id":40,"status_id":1,"priority_id":2,"assigned_to_id":23,"start_date":"2017-02-20","description":"","custom_fields":[{"id":1,"name":"Subdivision","value":"NW"},{"id":4,"name":"Milepost","value":"4.0977"},{"id":17,"name":"Train ID","value":"804-20"},{"id":16,"name":"Locomotive ID","value":"4012"},{"id":130,"name":"Impact","value":""},{"id":150,"name":"Time of Event (Mountain Time)","value":"06:46:48"},{"id":151,"name":"Denver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48"/>
      <c r="AA43" s="48"/>
      <c r="AB43" s="48"/>
      <c r="AC43" s="127" t="str">
        <f t="shared" si="16"/>
        <v>grep -hSE -A400 "Enforcement Action" "%USERPROFILE%\AppData\Local\Temp\OnboardLogs"\RTDC4012\*4012*201702201*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"%USERPROFILE%\AppData\Local\Temp\OnboardLogs"\RTDC4012\*4012*201702201* &gt;&gt; 2017-02-20-SliceDisagreementCheck.txt</v>
      </c>
      <c r="AE43" s="157" t="str">
        <f t="shared" si="17"/>
        <v>start /low /b %USERPROFILE%\Documents\GitHub\eaglep3\Utilities\DownloadLogsFromS3.py --loco 4012 --day 2017-02-20</v>
      </c>
      <c r="AF43" s="1"/>
    </row>
    <row r="44" spans="1:32" x14ac:dyDescent="0.25">
      <c r="A44" s="32">
        <v>42786.759629629632</v>
      </c>
      <c r="B44" s="30" t="s">
        <v>478</v>
      </c>
      <c r="C44" s="30" t="s">
        <v>483</v>
      </c>
      <c r="D44" s="30" t="s">
        <v>98</v>
      </c>
      <c r="E44" s="30" t="s">
        <v>376</v>
      </c>
      <c r="F44" s="43">
        <v>150</v>
      </c>
      <c r="G44" s="43">
        <v>214</v>
      </c>
      <c r="H44" s="43">
        <v>56617</v>
      </c>
      <c r="I44" s="43">
        <v>56205</v>
      </c>
      <c r="J44" s="30" t="s">
        <v>377</v>
      </c>
      <c r="K44" s="43">
        <v>59050</v>
      </c>
      <c r="L44" s="143" t="s">
        <v>51</v>
      </c>
      <c r="M44" s="144">
        <f t="shared" si="9"/>
        <v>-1502.16</v>
      </c>
      <c r="N44" s="145" t="str">
        <f>VLOOKUP(C44,'Trips&amp;Operators'!$C$1:$G$99999,5,FALSE)</f>
        <v>MACDONALD THOMAS</v>
      </c>
      <c r="O44" s="194" t="s">
        <v>185</v>
      </c>
      <c r="P44" s="146"/>
      <c r="Q44" s="30"/>
      <c r="R44" s="89" t="str">
        <f>VLOOKUP(C44,'Train Runs'!$A$13:$AE$9943,31,0)</f>
        <v>aws s3 cp s3://rtdc.mdm.uploadarchive.raw/RTDC4021/ "%USERPROFILE%\AppData\Local\Temp\OnboardLogs"\RTDC4021\2017-02-20 --exclude "*" --recursive --include "*20170220*" &amp; "%USERPROFILE%\Documents\GitHub\mrs-test-scripts\Headless Mode &amp; Sideloading\WalkAndUnGZ.bat" "%USERPROFILE%\AppData\Local\Temp\OnboardLogs"\RTDC4021\2017-02-20 &amp; aws s3 cp s3://rtdc.mdm.uploadarchive.raw/RTDC4021/ "%USERPROFILE%\AppData\Local\Temp\OnboardLogs"\RTDC4021\2017-02-21 --exclude "*" --recursive --include "*20170221*" &amp; "%USERPROFILE%\Documents\GitHub\mrs-test-scripts\Headless Mode &amp; Sideloading\WalkAndUnGZ.bat" "%USERPROFILE%\AppData\Local\Temp\OnboardLogs"\RTDC4021\2017-02-21</v>
      </c>
      <c r="S44" s="92" t="str">
        <f>VLOOKUP(C44,'Train Runs'!$A$13:$AE$9943,22,0)</f>
        <v>https://d0f6bd738d7f1b3e5a7ca70fe4ff75f0.us-east-1.aws.found.io/app/kibana#/discover/Steve-Slow-Train-Analysis-(2080s-and-2083s)?_g=(refreshInterval:(display:Off,pause:!f,section:0,value:0),time:(from:'2017-02-20T17:07:53-0700',mode:absolute,to:'2017-02-20T19:26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44" s="94" t="str">
        <f t="shared" si="10"/>
        <v>"C:\Program Files (x86)\AstroGrep\AstroGrep.exe" /spath="%USERPROFILE%\AppData\Local\Temp\OnboardLogs" /stypes="*4021*201702210*" /stext=" 01:.+((SYSTEM_STATE.+slice.+state.+changed )|(ment ac)|(multiple cpu faults)|(system.+state.+changed )|(\[timeout)|(PRM\|1\|D)|(kpr)|(kdp)|(\|lc)|(penalty))" /e /r /s</v>
      </c>
      <c r="U44" s="9" t="str">
        <f t="shared" si="11"/>
        <v>4021</v>
      </c>
      <c r="V44" s="32">
        <f t="shared" si="12"/>
        <v>42787.051296296297</v>
      </c>
      <c r="W44" s="46" t="str">
        <f t="shared" si="13"/>
        <v>NW</v>
      </c>
      <c r="X44" s="46" t="str">
        <f t="shared" si="14"/>
        <v>KEEP</v>
      </c>
      <c r="Y44" s="108" t="str">
        <f t="shared" si="15"/>
        <v>echo {"issue":{"subject":"","project_id":79,"tracker_id":40,"status_id":1,"priority_id":2,"assigned_to_id":23,"start_date":"2017-02-20","description":"","custom_fields":[{"id":1,"name":"Subdivision","value":"NW"},{"id":4,"name":"Milepost","value":"5.905"},{"id":17,"name":"Train ID","value":"836-20"},{"id":16,"name":"Locomotive ID","value":"4021"},{"id":130,"name":"Impact","value":""},{"id":150,"name":"Time of Event (Mountain Time)","value":"18:13:52"},{"id":151,"name":"Denver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48"/>
      <c r="AA44" s="48"/>
      <c r="AB44" s="48"/>
      <c r="AC44" s="127" t="str">
        <f t="shared" si="16"/>
        <v>grep -hSE -A400 "Enforcement Action" "%USERPROFILE%\AppData\Local\Temp\OnboardLogs"\RTDC4021\*4021*201702210*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"%USERPROFILE%\AppData\Local\Temp\OnboardLogs"\RTDC4021\*4021*201702210* &gt;&gt; 2017-02-20-SliceDisagreementCheck.txt</v>
      </c>
      <c r="AE44" s="157" t="str">
        <f t="shared" si="17"/>
        <v>start /low /b %USERPROFILE%\Documents\GitHub\eaglep3\Utilities\DownloadLogsFromS3.py --loco 4021 --day 2017-02-21</v>
      </c>
      <c r="AF44" s="1"/>
    </row>
    <row r="45" spans="1:32" x14ac:dyDescent="0.25">
      <c r="A45" s="32">
        <v>42786.860567129632</v>
      </c>
      <c r="B45" s="30" t="s">
        <v>282</v>
      </c>
      <c r="C45" s="30" t="s">
        <v>486</v>
      </c>
      <c r="D45" s="30" t="s">
        <v>98</v>
      </c>
      <c r="E45" s="30" t="s">
        <v>186</v>
      </c>
      <c r="F45" s="43">
        <v>0</v>
      </c>
      <c r="G45" s="43">
        <v>31</v>
      </c>
      <c r="H45" s="43">
        <v>58313</v>
      </c>
      <c r="I45" s="43">
        <v>58203</v>
      </c>
      <c r="J45" s="30" t="s">
        <v>187</v>
      </c>
      <c r="K45" s="43">
        <v>58472</v>
      </c>
      <c r="L45" s="143" t="s">
        <v>51</v>
      </c>
      <c r="M45" s="144">
        <f t="shared" si="9"/>
        <v>-142.03200000000001</v>
      </c>
      <c r="N45" s="145" t="str">
        <f>VLOOKUP(C45,'Trips&amp;Operators'!$C$1:$G$99999,5,FALSE)</f>
        <v>LEVIN SCOTT</v>
      </c>
      <c r="O45" s="194" t="s">
        <v>379</v>
      </c>
      <c r="P45" s="146" t="s">
        <v>446</v>
      </c>
      <c r="Q45" s="30"/>
      <c r="R45" s="89" t="str">
        <f>VLOOKUP(C45,'Train Runs'!$A$13:$AE$9943,31,0)</f>
        <v>aws s3 cp s3://rtdc.mdm.uploadarchive.raw/RTDC4012/ "%USERPROFILE%\AppData\Local\Temp\OnboardLogs"\RTDC4012\2017-02-20 --exclude "*" --recursive --include "*20170220*" &amp; "%USERPROFILE%\Documents\GitHub\mrs-test-scripts\Headless Mode &amp; Sideloading\WalkAndUnGZ.bat" "%USERPROFILE%\AppData\Local\Temp\OnboardLogs"\RTDC4012\2017-02-20 &amp; aws s3 cp s3://rtdc.mdm.uploadarchive.raw/RTDC4012/ "%USERPROFILE%\AppData\Local\Temp\OnboardLogs"\RTDC4012\2017-02-21 --exclude "*" --recursive --include "*20170221*" &amp; "%USERPROFILE%\Documents\GitHub\mrs-test-scripts\Headless Mode &amp; Sideloading\WalkAndUnGZ.bat" "%USERPROFILE%\AppData\Local\Temp\OnboardLogs"\RTDC4012\2017-02-21</v>
      </c>
      <c r="S45" s="92" t="str">
        <f>VLOOKUP(C45,'Train Runs'!$A$13:$AE$9943,22,0)</f>
        <v>https://d0f6bd738d7f1b3e5a7ca70fe4ff75f0.us-east-1.aws.found.io/app/kibana#/discover/Steve-Slow-Train-Analysis-(2080s-and-2083s)?_g=(refreshInterval:(display:Off,pause:!f,section:0,value:0),time:(from:'2017-02-20T19:41:43-0700',mode:absolute,to:'2017-02-20T21:57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45" s="94" t="str">
        <f t="shared" si="10"/>
        <v>"C:\Program Files (x86)\AstroGrep\AstroGrep.exe" /spath="%USERPROFILE%\AppData\Local\Temp\OnboardLogs" /stypes="*4012*201702210*" /stext=" 03:.+((SYSTEM_STATE.+slice.+state.+changed )|(ment ac)|(multiple cpu faults)|(system.+state.+changed )|(\[timeout)|(PRM\|1\|D)|(kpr)|(kdp)|(\|lc)|(penalty))" /e /r /s</v>
      </c>
      <c r="U45" s="9" t="str">
        <f t="shared" si="11"/>
        <v>4012</v>
      </c>
      <c r="V45" s="32">
        <f t="shared" si="12"/>
        <v>42787.152233796296</v>
      </c>
      <c r="W45" s="46" t="str">
        <f t="shared" si="13"/>
        <v>NW</v>
      </c>
      <c r="X45" s="46" t="str">
        <f t="shared" si="14"/>
        <v>KEEP</v>
      </c>
      <c r="Y45" s="108" t="str">
        <f t="shared" si="15"/>
        <v>echo {"issue":{"subject":"Onboard in-route failure","project_id":79,"tracker_id":40,"status_id":1,"priority_id":2,"assigned_to_id":23,"start_date":"2017-02-20","description":"","custom_fields":[{"id":1,"name":"Subdivision","value":"NW"},{"id":4,"name":"Milepost","value":"5.8472"},{"id":17,"name":"Train ID","value":"842-20"},{"id":16,"name":"Locomotive ID","value":"4012"},{"id":130,"name":"Impact","value":""},{"id":150,"name":"Time of Event (Mountain Time)","value":"20:39:13"},{"id":151,"name":"Denver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48"/>
      <c r="AA45" s="48"/>
      <c r="AB45" s="48"/>
      <c r="AC45" s="127" t="str">
        <f t="shared" si="16"/>
        <v>grep -hSE -A400 "Enforcement Action" "%USERPROFILE%\AppData\Local\Temp\OnboardLogs"\RTDC4012\*4012*201702210* | grep -SE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"%USERPROFILE%\AppData\Local\Temp\OnboardLogs"\RTDC4012\*4012*201702210* &gt;&gt; 2017-02-20-SliceDisagreementCheck.txt</v>
      </c>
      <c r="AE45" s="157" t="str">
        <f t="shared" si="17"/>
        <v>start /low /b %USERPROFILE%\Documents\GitHub\eaglep3\Utilities\DownloadLogsFromS3.py --loco 4012 --day 2017-02-21</v>
      </c>
      <c r="AF45" s="1"/>
    </row>
    <row r="46" spans="1:32" x14ac:dyDescent="0.25">
      <c r="A46" s="32">
        <v>42786.329780092594</v>
      </c>
      <c r="B46" s="30" t="s">
        <v>282</v>
      </c>
      <c r="C46" s="30" t="s">
        <v>461</v>
      </c>
      <c r="D46" s="30" t="s">
        <v>49</v>
      </c>
      <c r="E46" s="30" t="s">
        <v>188</v>
      </c>
      <c r="F46" s="43">
        <v>0</v>
      </c>
      <c r="G46" s="43">
        <v>35</v>
      </c>
      <c r="H46" s="43">
        <v>678</v>
      </c>
      <c r="I46" s="43">
        <v>652</v>
      </c>
      <c r="J46" s="30" t="s">
        <v>189</v>
      </c>
      <c r="K46" s="43">
        <v>575</v>
      </c>
      <c r="L46" s="143" t="s">
        <v>51</v>
      </c>
      <c r="M46" s="144">
        <f t="shared" si="9"/>
        <v>40.655999999999999</v>
      </c>
      <c r="N46" s="145" t="str">
        <f>VLOOKUP(C46,'Trips&amp;Operators'!$C$1:$G$99999,5,FALSE)</f>
        <v>ROCHA YAOTL</v>
      </c>
      <c r="O46" s="194" t="s">
        <v>185</v>
      </c>
      <c r="P46" s="146"/>
      <c r="Q46" s="30"/>
      <c r="R46" s="89" t="str">
        <f>VLOOKUP(C46,'Train Runs'!$A$13:$AE$9943,31,0)</f>
        <v>aws s3 cp s3://rtdc.mdm.uploadarchive.raw/RTDC4012/ "%USERPROFILE%\AppData\Local\Temp\OnboardLogs"\RTDC4012\2017-02-20 --exclude "*" --recursive --include "*20170220*" &amp; "%USERPROFILE%\Documents\GitHub\mrs-test-scripts\Headless Mode &amp; Sideloading\WalkAndUnGZ.bat" "%USERPROFILE%\AppData\Local\Temp\OnboardLogs"\RTDC4012\2017-02-20 &amp; aws s3 cp s3://rtdc.mdm.uploadarchive.raw/RTDC4012/ "%USERPROFILE%\AppData\Local\Temp\OnboardLogs"\RTDC4012\2017-02-21 --exclude "*" --recursive --include "*20170221*" &amp; "%USERPROFILE%\Documents\GitHub\mrs-test-scripts\Headless Mode &amp; Sideloading\WalkAndUnGZ.bat" "%USERPROFILE%\AppData\Local\Temp\OnboardLogs"\RTDC4012\2017-02-21</v>
      </c>
      <c r="S46" s="92" t="str">
        <f>VLOOKUP(C46,'Train Runs'!$A$13:$AE$9943,22,0)</f>
        <v>https://d0f6bd738d7f1b3e5a7ca70fe4ff75f0.us-east-1.aws.found.io/app/kibana#/discover/Steve-Slow-Train-Analysis-(2080s-and-2083s)?_g=(refreshInterval:(display:Off,pause:!f,section:0,value:0),time:(from:'2017-02-20T06:36:11-0700',mode:absolute,to:'2017-02-20T08:54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46" s="94" t="str">
        <f t="shared" si="10"/>
        <v>"C:\Program Files (x86)\AstroGrep\AstroGrep.exe" /spath="%USERPROFILE%\AppData\Local\Temp\OnboardLogs" /stypes="*4012*201702201*" /stext=" 14:.+((SYSTEM_STATE.+slice.+state.+changed )|(ment ac)|(multiple cpu faults)|(system.+state.+changed )|(\[timeout)|(PRM\|1\|D)|(kpr)|(kdp)|(\|lc)|(penalty))" /e /r /s</v>
      </c>
      <c r="U46" s="9" t="str">
        <f t="shared" si="11"/>
        <v>4012</v>
      </c>
      <c r="V46" s="32">
        <f t="shared" si="12"/>
        <v>42786.621446759258</v>
      </c>
      <c r="W46" s="46" t="str">
        <f t="shared" si="13"/>
        <v>NW</v>
      </c>
      <c r="X46" s="46" t="str">
        <f t="shared" si="14"/>
        <v>KEEP</v>
      </c>
      <c r="Y46" s="108" t="str">
        <f t="shared" si="15"/>
        <v>echo {"issue":{"subject":"","project_id":79,"tracker_id":40,"status_id":1,"priority_id":2,"assigned_to_id":23,"start_date":"2017-02-20","description":"","custom_fields":[{"id":1,"name":"Subdivision","value":"NW"},{"id":4,"name":"Milepost","value":"0.0575"},{"id":17,"name":"Train ID","value":"808-20"},{"id":16,"name":"Locomotive ID","value":"4012"},{"id":130,"name":"Impact","value":""},{"id":150,"name":"Time of Event (Mountain Time)","value":"07:54:53"},{"id":151,"name":"Denver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48"/>
      <c r="AA46" s="48"/>
      <c r="AB46" s="48"/>
      <c r="AC46" s="127" t="str">
        <f t="shared" si="16"/>
        <v>grep -hSE -A400 "Enforcement Action" "%USERPROFILE%\AppData\Local\Temp\OnboardLogs"\RTDC4012\*4012*201702201* | grep -SE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"%USERPROFILE%\AppData\Local\Temp\OnboardLogs"\RTDC4012\*4012*201702201* &gt;&gt; 2017-02-20-SliceDisagreementCheck.txt</v>
      </c>
      <c r="AE46" s="157" t="str">
        <f t="shared" si="17"/>
        <v>start /low /b %USERPROFILE%\Documents\GitHub\eaglep3\Utilities\DownloadLogsFromS3.py --loco 4012 --day 2017-02-20</v>
      </c>
      <c r="AF46" s="1"/>
    </row>
    <row r="47" spans="1:32" x14ac:dyDescent="0.25">
      <c r="A47" s="32">
        <v>42786.414340277777</v>
      </c>
      <c r="B47" s="30" t="s">
        <v>282</v>
      </c>
      <c r="C47" s="30" t="s">
        <v>466</v>
      </c>
      <c r="D47" s="30" t="s">
        <v>49</v>
      </c>
      <c r="E47" s="30" t="s">
        <v>188</v>
      </c>
      <c r="F47" s="43">
        <v>0</v>
      </c>
      <c r="G47" s="43">
        <v>50</v>
      </c>
      <c r="H47" s="43">
        <v>750</v>
      </c>
      <c r="I47" s="43">
        <v>720</v>
      </c>
      <c r="J47" s="30" t="s">
        <v>189</v>
      </c>
      <c r="K47" s="43">
        <v>575</v>
      </c>
      <c r="L47" s="143" t="s">
        <v>51</v>
      </c>
      <c r="M47" s="144">
        <f t="shared" si="9"/>
        <v>76.56</v>
      </c>
      <c r="N47" s="145" t="str">
        <f>VLOOKUP(C47,'Trips&amp;Operators'!$C$1:$G$99999,5,FALSE)</f>
        <v>ROCHA YAOTL</v>
      </c>
      <c r="O47" s="194" t="s">
        <v>379</v>
      </c>
      <c r="P47" s="146" t="s">
        <v>1014</v>
      </c>
      <c r="Q47" s="30"/>
      <c r="R47" s="89" t="str">
        <f>VLOOKUP(C47,'Train Runs'!$A$13:$AE$9943,31,0)</f>
        <v>aws s3 cp s3://rtdc.mdm.uploadarchive.raw/RTDC4012/ "%USERPROFILE%\AppData\Local\Temp\OnboardLogs"\RTDC4012\2017-02-20 --exclude "*" --recursive --include "*20170220*" &amp; "%USERPROFILE%\Documents\GitHub\mrs-test-scripts\Headless Mode &amp; Sideloading\WalkAndUnGZ.bat" "%USERPROFILE%\AppData\Local\Temp\OnboardLogs"\RTDC4012\2017-02-20 &amp; aws s3 cp s3://rtdc.mdm.uploadarchive.raw/RTDC4012/ "%USERPROFILE%\AppData\Local\Temp\OnboardLogs"\RTDC4012\2017-02-21 --exclude "*" --recursive --include "*20170221*" &amp; "%USERPROFILE%\Documents\GitHub\mrs-test-scripts\Headless Mode &amp; Sideloading\WalkAndUnGZ.bat" "%USERPROFILE%\AppData\Local\Temp\OnboardLogs"\RTDC4012\2017-02-21</v>
      </c>
      <c r="S47" s="92" t="str">
        <f>VLOOKUP(C47,'Train Runs'!$A$13:$AE$9943,22,0)</f>
        <v>https://d0f6bd738d7f1b3e5a7ca70fe4ff75f0.us-east-1.aws.found.io/app/kibana#/discover/Steve-Slow-Train-Analysis-(2080s-and-2083s)?_g=(refreshInterval:(display:Off,pause:!f,section:0,value:0),time:(from:'2017-02-20T08:39:08-0700',mode:absolute,to:'2017-02-20T10:56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47" s="94" t="str">
        <f t="shared" si="10"/>
        <v>"C:\Program Files (x86)\AstroGrep\AstroGrep.exe" /spath="%USERPROFILE%\AppData\Local\Temp\OnboardLogs" /stypes="*4012*201702201*" /stext=" 16:.+((SYSTEM_STATE.+slice.+state.+changed )|(ment ac)|(multiple cpu faults)|(system.+state.+changed )|(\[timeout)|(PRM\|1\|D)|(kpr)|(kdp)|(\|lc)|(penalty))" /e /r /s</v>
      </c>
      <c r="U47" s="9" t="str">
        <f t="shared" si="11"/>
        <v>4012</v>
      </c>
      <c r="V47" s="32">
        <f t="shared" si="12"/>
        <v>42786.706006944441</v>
      </c>
      <c r="W47" s="46" t="str">
        <f t="shared" si="13"/>
        <v>NW</v>
      </c>
      <c r="X47" s="46" t="str">
        <f t="shared" si="14"/>
        <v>KEEP</v>
      </c>
      <c r="Y47" s="108" t="str">
        <f t="shared" si="15"/>
        <v>echo {"issue":{"subject":"Banner w/o braking","project_id":79,"tracker_id":40,"status_id":1,"priority_id":2,"assigned_to_id":23,"start_date":"2017-02-20","description":"RTDC4012\2017-02-20\CPU-3\disk\var\log\app.RTDC.4012.20170220173710.log contains a predictive enforcement for TRACK WARRANT AUTHORITY while the other 2 slices do not","custom_fields":[{"id":1,"name":"Subdivision","value":"NW"},{"id":4,"name":"Milepost","value":"0.0575"},{"id":17,"name":"Train ID","value":"814-20"},{"id":16,"name":"Locomotive ID","value":"4012"},{"id":130,"name":"Impact","value":"Enforcement"},{"id":150,"name":"Time of Event (Mountain Time)","value":"09:56:39"},{"id":151,"name":"Denver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Z47" s="48" t="s">
        <v>1016</v>
      </c>
      <c r="AA47" s="48" t="s">
        <v>124</v>
      </c>
      <c r="AB47" s="48" t="s">
        <v>171</v>
      </c>
      <c r="AC47" s="127" t="str">
        <f t="shared" si="16"/>
        <v>grep -hSE -A400 "Enforcement Action" "%USERPROFILE%\AppData\Local\Temp\OnboardLogs"\RTDC4012\*4012*201702201* | grep -SE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"%USERPROFILE%\AppData\Local\Temp\OnboardLogs"\RTDC4012\*4012*201702201* &gt;&gt; 2017-02-20-SliceDisagreementCheck.txt</v>
      </c>
      <c r="AE47" s="157" t="str">
        <f t="shared" si="17"/>
        <v>start /low /b %USERPROFILE%\Documents\GitHub\eaglep3\Utilities\DownloadLogsFromS3.py --loco 4012 --day 2017-02-20</v>
      </c>
      <c r="AF47" s="1"/>
    </row>
    <row r="48" spans="1:32" x14ac:dyDescent="0.25">
      <c r="A48" s="32">
        <v>42786.705439814818</v>
      </c>
      <c r="B48" s="30" t="s">
        <v>282</v>
      </c>
      <c r="C48" s="30" t="s">
        <v>481</v>
      </c>
      <c r="D48" s="30" t="s">
        <v>49</v>
      </c>
      <c r="E48" s="30" t="s">
        <v>188</v>
      </c>
      <c r="F48" s="43">
        <v>0</v>
      </c>
      <c r="G48" s="43">
        <v>62</v>
      </c>
      <c r="H48" s="43">
        <v>808</v>
      </c>
      <c r="I48" s="43">
        <v>752</v>
      </c>
      <c r="J48" s="30" t="s">
        <v>189</v>
      </c>
      <c r="K48" s="43">
        <v>575</v>
      </c>
      <c r="L48" s="143" t="s">
        <v>51</v>
      </c>
      <c r="M48" s="144">
        <f t="shared" si="9"/>
        <v>93.456000000000003</v>
      </c>
      <c r="N48" s="145" t="str">
        <f>VLOOKUP(C48,'Trips&amp;Operators'!$C$1:$G$99999,5,FALSE)</f>
        <v>BRANDNER MELINDA</v>
      </c>
      <c r="O48" s="194" t="s">
        <v>379</v>
      </c>
      <c r="P48" s="146" t="s">
        <v>1014</v>
      </c>
      <c r="Q48" s="30"/>
      <c r="R48" s="89" t="str">
        <f>VLOOKUP(C48,'Train Runs'!$A$13:$AE$9943,31,0)</f>
        <v>aws s3 cp s3://rtdc.mdm.uploadarchive.raw/RTDC4012/ "%USERPROFILE%\AppData\Local\Temp\OnboardLogs"\RTDC4012\2017-02-20 --exclude "*" --recursive --include "*20170220*" &amp; "%USERPROFILE%\Documents\GitHub\mrs-test-scripts\Headless Mode &amp; Sideloading\WalkAndUnGZ.bat" "%USERPROFILE%\AppData\Local\Temp\OnboardLogs"\RTDC4012\2017-02-20 &amp; aws s3 cp s3://rtdc.mdm.uploadarchive.raw/RTDC4012/ "%USERPROFILE%\AppData\Local\Temp\OnboardLogs"\RTDC4012\2017-02-21 --exclude "*" --recursive --include "*20170221*" &amp; "%USERPROFILE%\Documents\GitHub\mrs-test-scripts\Headless Mode &amp; Sideloading\WalkAndUnGZ.bat" "%USERPROFILE%\AppData\Local\Temp\OnboardLogs"\RTDC4012\2017-02-21</v>
      </c>
      <c r="S48" s="92" t="str">
        <f>VLOOKUP(C48,'Train Runs'!$A$13:$AE$9943,22,0)</f>
        <v>https://d0f6bd738d7f1b3e5a7ca70fe4ff75f0.us-east-1.aws.found.io/app/kibana#/discover/Steve-Slow-Train-Analysis-(2080s-and-2083s)?_g=(refreshInterval:(display:Off,pause:!f,section:0,value:0),time:(from:'2017-02-20T15:38:08-0700',mode:absolute,to:'2017-02-20T17:55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48" s="94" t="str">
        <f t="shared" si="10"/>
        <v>"C:\Program Files (x86)\AstroGrep\AstroGrep.exe" /spath="%USERPROFILE%\AppData\Local\Temp\OnboardLogs" /stypes="*4012*201702202*" /stext=" 23:.+((SYSTEM_STATE.+slice.+state.+changed )|(ment ac)|(multiple cpu faults)|(system.+state.+changed )|(\[timeout)|(PRM\|1\|D)|(kpr)|(kdp)|(\|lc)|(penalty))" /e /r /s</v>
      </c>
      <c r="U48" s="9" t="str">
        <f t="shared" si="11"/>
        <v>4012</v>
      </c>
      <c r="V48" s="32">
        <f t="shared" si="12"/>
        <v>42786.997106481482</v>
      </c>
      <c r="W48" s="46" t="str">
        <f t="shared" si="13"/>
        <v>NW</v>
      </c>
      <c r="X48" s="46" t="str">
        <f t="shared" si="14"/>
        <v>KEEP</v>
      </c>
      <c r="Y48" s="108" t="str">
        <f t="shared" si="15"/>
        <v>echo {"issue":{"subject":"Banner w/o braking","project_id":79,"tracker_id":40,"status_id":1,"priority_id":2,"assigned_to_id":23,"start_date":"2017-02-20","description":"RTDC4012\2017-02-21\CPU-3\disk\var\log\app.RTDC.4012.20170221002250.log contains a predictive enforcement for TRACK WARRANT AUTHORITY while the other 2 slices do not","custom_fields":[{"id":1,"name":"Subdivision","value":"NW"},{"id":4,"name":"Milepost","value":"0.0575"},{"id":17,"name":"Train ID","value":"830-20"},{"id":16,"name":"Locomotive ID","value":"4012"},{"id":130,"name":"Impact","value":"Enforcement"},{"id":150,"name":"Time of Event (Mountain Time)","value":"16:55:50"},{"id":151,"name":"Denver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Z48" s="48" t="s">
        <v>1017</v>
      </c>
      <c r="AA48" s="48" t="s">
        <v>124</v>
      </c>
      <c r="AB48" s="48" t="s">
        <v>171</v>
      </c>
      <c r="AC48" s="127" t="str">
        <f t="shared" si="16"/>
        <v>grep -hSE -A400 "Enforcement Action" "%USERPROFILE%\AppData\Local\Temp\OnboardLogs"\RTDC4012\*4012*201702202* | grep -SE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"%USERPROFILE%\AppData\Local\Temp\OnboardLogs"\RTDC4012\*4012*201702202* &gt;&gt; 2017-02-20-SliceDisagreementCheck.txt</v>
      </c>
      <c r="AE48" s="157" t="str">
        <f t="shared" si="17"/>
        <v>start /low /b %USERPROFILE%\Documents\GitHub\eaglep3\Utilities\DownloadLogsFromS3.py --loco 4012 --day 2017-02-20</v>
      </c>
      <c r="AF48" s="1"/>
    </row>
    <row r="49" spans="1:32" x14ac:dyDescent="0.25">
      <c r="A49" s="32">
        <v>42786.565474537034</v>
      </c>
      <c r="B49" s="30" t="s">
        <v>192</v>
      </c>
      <c r="C49" s="30" t="s">
        <v>475</v>
      </c>
      <c r="D49" s="30" t="s">
        <v>49</v>
      </c>
      <c r="E49" s="30" t="s">
        <v>188</v>
      </c>
      <c r="F49" s="43">
        <v>0</v>
      </c>
      <c r="G49" s="43">
        <v>49</v>
      </c>
      <c r="H49" s="43">
        <v>58935</v>
      </c>
      <c r="I49" s="43">
        <v>58969</v>
      </c>
      <c r="J49" s="30" t="s">
        <v>189</v>
      </c>
      <c r="K49" s="43">
        <v>59048</v>
      </c>
      <c r="L49" s="143" t="s">
        <v>50</v>
      </c>
      <c r="M49" s="144">
        <f t="shared" si="9"/>
        <v>41.712000000000003</v>
      </c>
      <c r="N49" s="145" t="str">
        <f>VLOOKUP(C49,'Trips&amp;Operators'!$C$1:$G$99999,5,FALSE)</f>
        <v>LEVIN SCOTT</v>
      </c>
      <c r="O49" s="194" t="s">
        <v>185</v>
      </c>
      <c r="P49" s="146"/>
      <c r="Q49" s="30"/>
      <c r="R49" s="89" t="str">
        <f>VLOOKUP(C49,'Train Runs'!$A$13:$AE$9943,31,0)</f>
        <v>aws s3 cp s3://rtdc.mdm.uploadarchive.raw/RTDC4011/ "%USERPROFILE%\AppData\Local\Temp\OnboardLogs"\RTDC4011\2017-02-20 --exclude "*" --recursive --include "*20170220*" &amp; "%USERPROFILE%\Documents\GitHub\mrs-test-scripts\Headless Mode &amp; Sideloading\WalkAndUnGZ.bat" "%USERPROFILE%\AppData\Local\Temp\OnboardLogs"\RTDC4011\2017-02-20 &amp; aws s3 cp s3://rtdc.mdm.uploadarchive.raw/RTDC4011/ "%USERPROFILE%\AppData\Local\Temp\OnboardLogs"\RTDC4011\2017-02-21 --exclude "*" --recursive --include "*20170221*" &amp; "%USERPROFILE%\Documents\GitHub\mrs-test-scripts\Headless Mode &amp; Sideloading\WalkAndUnGZ.bat" "%USERPROFILE%\AppData\Local\Temp\OnboardLogs"\RTDC4011\2017-02-21</v>
      </c>
      <c r="S49" s="92" t="str">
        <f>VLOOKUP(C49,'Train Runs'!$A$13:$AE$9943,22,0)</f>
        <v>https://d0f6bd738d7f1b3e5a7ca70fe4ff75f0.us-east-1.aws.found.io/app/kibana#/discover/Steve-Slow-Train-Analysis-(2080s-and-2083s)?_g=(refreshInterval:(display:Off,pause:!f,section:0,value:0),time:(from:'2017-02-20T12:14:18-0700',mode:absolute,to:'2017-02-20T14:34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49" s="94" t="str">
        <f t="shared" si="10"/>
        <v>"C:\Program Files (x86)\AstroGrep\AstroGrep.exe" /spath="%USERPROFILE%\AppData\Local\Temp\OnboardLogs" /stypes="*4011*201702202*" /stext=" 20:.+((SYSTEM_STATE.+slice.+state.+changed )|(ment ac)|(multiple cpu faults)|(system.+state.+changed )|(\[timeout)|(PRM\|1\|D)|(kpr)|(kdp)|(\|lc)|(penalty))" /e /r /s</v>
      </c>
      <c r="U49" s="9" t="str">
        <f t="shared" si="11"/>
        <v>4011</v>
      </c>
      <c r="V49" s="32">
        <f t="shared" si="12"/>
        <v>42786.857141203698</v>
      </c>
      <c r="W49" s="46" t="str">
        <f t="shared" si="13"/>
        <v>NW</v>
      </c>
      <c r="X49" s="46" t="str">
        <f t="shared" si="14"/>
        <v>KEEP</v>
      </c>
      <c r="Y49" s="108" t="str">
        <f t="shared" si="15"/>
        <v>echo {"issue":{"subject":"","project_id":79,"tracker_id":40,"status_id":1,"priority_id":2,"assigned_to_id":23,"start_date":"2017-02-20","description":"","custom_fields":[{"id":1,"name":"Subdivision","value":"NW"},{"id":4,"name":"Milepost","value":"5.9048"},{"id":17,"name":"Train ID","value":"821-20"},{"id":16,"name":"Locomotive ID","value":"4011"},{"id":130,"name":"Impact","value":""},{"id":150,"name":"Time of Event (Mountain Time)","value":"13:34:17"},{"id":151,"name":"Denver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48"/>
      <c r="AA49" s="48"/>
      <c r="AB49" s="48"/>
      <c r="AC49" s="127" t="str">
        <f t="shared" si="16"/>
        <v>grep -hSE -A400 "Enforcement Action" "%USERPROFILE%\AppData\Local\Temp\OnboardLogs"\RTDC4011\*4011*201702202* | grep -SE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"%USERPROFILE%\AppData\Local\Temp\OnboardLogs"\RTDC4011\*4011*201702202* &gt;&gt; 2017-02-20-SliceDisagreementCheck.txt</v>
      </c>
      <c r="AE49" s="157" t="str">
        <f t="shared" si="17"/>
        <v>start /low /b %USERPROFILE%\Documents\GitHub\eaglep3\Utilities\DownloadLogsFromS3.py --loco 4011 --day 2017-02-20</v>
      </c>
      <c r="AF49" s="1"/>
    </row>
    <row r="50" spans="1:32" x14ac:dyDescent="0.25">
      <c r="A50" s="32">
        <v>42786.467673611114</v>
      </c>
      <c r="B50" s="30" t="s">
        <v>234</v>
      </c>
      <c r="C50" s="30" t="s">
        <v>472</v>
      </c>
      <c r="D50" s="30" t="s">
        <v>49</v>
      </c>
      <c r="E50" s="30" t="s">
        <v>197</v>
      </c>
      <c r="F50" s="43">
        <v>350</v>
      </c>
      <c r="G50" s="43">
        <v>429</v>
      </c>
      <c r="H50" s="43">
        <v>8196</v>
      </c>
      <c r="I50" s="43">
        <v>9744</v>
      </c>
      <c r="J50" s="30" t="s">
        <v>198</v>
      </c>
      <c r="K50" s="43">
        <v>10716</v>
      </c>
      <c r="L50" s="143" t="s">
        <v>50</v>
      </c>
      <c r="M50" s="144">
        <f t="shared" si="9"/>
        <v>513.21600000000001</v>
      </c>
      <c r="N50" s="145" t="str">
        <f>VLOOKUP(C50,'Trips&amp;Operators'!$C$1:$G$99999,5,FALSE)</f>
        <v>ACKERMAN JARED</v>
      </c>
      <c r="O50" s="194" t="s">
        <v>185</v>
      </c>
      <c r="P50" s="146"/>
      <c r="Q50" s="30"/>
      <c r="R50" s="89" t="str">
        <f>VLOOKUP(C50,'Train Runs'!$A$13:$AE$9943,31,0)</f>
        <v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v>
      </c>
      <c r="S50" s="92" t="str">
        <f>VLOOKUP(C50,'Train Runs'!$A$13:$AE$9943,22,0)</f>
        <v>https://d0f6bd738d7f1b3e5a7ca70fe4ff75f0.us-east-1.aws.found.io/app/kibana#/discover/Steve-Slow-Train-Analysis-(2080s-and-2083s)?_g=(refreshInterval:(display:Off,pause:!f,section:0,value:0),time:(from:'2017-02-20T10:03:48-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50" s="94" t="str">
        <f t="shared" si="10"/>
        <v>"C:\Program Files (x86)\AstroGrep\AstroGrep.exe" /spath="%USERPROFILE%\AppData\Local\Temp\OnboardLogs" /stypes="*4025*201702201*" /stext=" 18:.+((SYSTEM_STATE.+slice.+state.+changed )|(ment ac)|(multiple cpu faults)|(system.+state.+changed )|(\[timeout)|(PRM\|1\|D)|(kpr)|(kdp)|(\|lc)|(penalty))" /e /r /s</v>
      </c>
      <c r="U50" s="9" t="str">
        <f t="shared" si="11"/>
        <v>4025</v>
      </c>
      <c r="V50" s="32">
        <f t="shared" si="12"/>
        <v>42786.759340277778</v>
      </c>
      <c r="W50" s="46" t="str">
        <f t="shared" si="13"/>
        <v>Other</v>
      </c>
      <c r="X50" s="46" t="str">
        <f t="shared" si="14"/>
        <v>KEEP</v>
      </c>
      <c r="Y50" s="108" t="str">
        <f t="shared" si="15"/>
        <v>echo {"issue":{"subject":"","project_id":79,"tracker_id":40,"status_id":1,"priority_id":2,"assigned_to_id":23,"start_date":"2017-02-20","description":"","custom_fields":[{"id":1,"name":"Subdivision","value":"Other"},{"id":4,"name":"Milepost","value":"1.0716"},{"id":17,"name":"Train ID","value":"55-20"},{"id":16,"name":"Locomotive ID","value":"4025"},{"id":130,"name":"Impact","value":""},{"id":150,"name":"Time of Event (Mountain Time)","value":"11:13:27"},{"id":151,"name":"Denver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48"/>
      <c r="AA50" s="48"/>
      <c r="AB50" s="48"/>
      <c r="AC50" s="127" t="str">
        <f t="shared" si="16"/>
        <v>grep -hSE -A400 "Enforcement Action" "%USERPROFILE%\AppData\Local\Temp\OnboardLogs"\RTDC4025\*4025*201702201* | grep -SE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"%USERPROFILE%\AppData\Local\Temp\OnboardLogs"\RTDC4025\*4025*201702201* &gt;&gt; 2017-02-20-SliceDisagreementCheck.txt</v>
      </c>
      <c r="AE50" s="157" t="str">
        <f t="shared" si="17"/>
        <v>start /low /b %USERPROFILE%\Documents\GitHub\eaglep3\Utilities\DownloadLogsFromS3.py --loco 4025 --day 2017-02-20</v>
      </c>
      <c r="AF50" s="1"/>
    </row>
    <row r="51" spans="1:32" x14ac:dyDescent="0.25">
      <c r="A51" s="32">
        <v>42786.434363425928</v>
      </c>
      <c r="B51" s="30" t="s">
        <v>212</v>
      </c>
      <c r="C51" s="30" t="s">
        <v>468</v>
      </c>
      <c r="D51" s="30" t="s">
        <v>49</v>
      </c>
      <c r="E51" s="30" t="s">
        <v>186</v>
      </c>
      <c r="F51" s="43">
        <v>0</v>
      </c>
      <c r="G51" s="43">
        <v>139</v>
      </c>
      <c r="H51" s="43">
        <v>19476</v>
      </c>
      <c r="I51" s="43">
        <v>19344</v>
      </c>
      <c r="J51" s="30" t="s">
        <v>187</v>
      </c>
      <c r="K51" s="43">
        <v>19000</v>
      </c>
      <c r="L51" s="143" t="s">
        <v>51</v>
      </c>
      <c r="M51" s="144">
        <f t="shared" si="9"/>
        <v>181.63200000000001</v>
      </c>
      <c r="N51" s="145" t="str">
        <f>VLOOKUP(C51,'Trips&amp;Operators'!$C$1:$G$99999,5,FALSE)</f>
        <v>BERLING GARY</v>
      </c>
      <c r="O51" s="194" t="s">
        <v>185</v>
      </c>
      <c r="P51" s="146"/>
      <c r="Q51" s="30"/>
      <c r="R51" s="89" t="str">
        <f>VLOOKUP(C51,'Train Runs'!$A$13:$AE$9943,31,0)</f>
        <v>aws s3 cp s3://rtdc.mdm.uploadarchive.raw/RTDC4026/ "%USERPROFILE%\AppData\Local\Temp\OnboardLogs"\RTDC4026\2017-02-20 --exclude "*" --recursive --include "*20170220*" &amp; "%USERPROFILE%\Documents\GitHub\mrs-test-scripts\Headless Mode &amp; Sideloading\WalkAndUnGZ.bat" "%USERPROFILE%\AppData\Local\Temp\OnboardLogs"\RTDC4026\2017-02-20 &amp; aws s3 cp s3://rtdc.mdm.uploadarchive.raw/RTDC4026/ "%USERPROFILE%\AppData\Local\Temp\OnboardLogs"\RTDC4026\2017-02-21 --exclude "*" --recursive --include "*20170221*" &amp; "%USERPROFILE%\Documents\GitHub\mrs-test-scripts\Headless Mode &amp; Sideloading\WalkAndUnGZ.bat" "%USERPROFILE%\AppData\Local\Temp\OnboardLogs"\RTDC4026\2017-02-21</v>
      </c>
      <c r="S51" s="92" t="str">
        <f>VLOOKUP(C51,'Train Runs'!$A$13:$AE$9943,22,0)</f>
        <v>https://d0f6bd738d7f1b3e5a7ca70fe4ff75f0.us-east-1.aws.found.io/app/kibana#/discover/Steve-Slow-Train-Analysis-(2080s-and-2083s)?_g=(refreshInterval:(display:Off,pause:!f,section:0,value:0),time:(from:'2017-02-20T09:17:56-0700',mode:absolute,to:'2017-02-20T11:27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51" s="94" t="str">
        <f t="shared" si="10"/>
        <v>"C:\Program Files (x86)\AstroGrep\AstroGrep.exe" /spath="%USERPROFILE%\AppData\Local\Temp\OnboardLogs" /stypes="*4026*201702201*" /stext=" 17:.+((SYSTEM_STATE.+slice.+state.+changed )|(ment ac)|(multiple cpu faults)|(system.+state.+changed )|(\[timeout)|(PRM\|1\|D)|(kpr)|(kdp)|(\|lc)|(penalty))" /e /r /s</v>
      </c>
      <c r="U51" s="9" t="str">
        <f t="shared" si="11"/>
        <v>4026</v>
      </c>
      <c r="V51" s="32">
        <f t="shared" si="12"/>
        <v>42786.726030092592</v>
      </c>
      <c r="W51" s="46" t="str">
        <f t="shared" si="13"/>
        <v>Other</v>
      </c>
      <c r="X51" s="46" t="str">
        <f t="shared" si="14"/>
        <v>KEEP</v>
      </c>
      <c r="Y51" s="108" t="str">
        <f t="shared" si="15"/>
        <v>echo {"issue":{"subject":"","project_id":79,"tracker_id":40,"status_id":1,"priority_id":2,"assigned_to_id":23,"start_date":"2017-02-20","description":"","custom_fields":[{"id":1,"name":"Subdivision","value":"Other"},{"id":4,"name":"Milepost","value":"1.9"},{"id":17,"name":"Train ID","value":"54-20"},{"id":16,"name":"Locomotive ID","value":"4026"},{"id":130,"name":"Impact","value":""},{"id":150,"name":"Time of Event (Mountain Time)","value":"10:25:29"},{"id":151,"name":"Denver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48"/>
      <c r="AA51" s="48"/>
      <c r="AB51" s="48"/>
      <c r="AC51" s="127" t="str">
        <f t="shared" si="16"/>
        <v>grep -hSE -A400 "Enforcement Action" "%USERPROFILE%\AppData\Local\Temp\OnboardLogs"\RTDC4026\*4026*201702201* | grep -SE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"%USERPROFILE%\AppData\Local\Temp\OnboardLogs"\RTDC4026\*4026*201702201* &gt;&gt; 2017-02-20-SliceDisagreementCheck.txt</v>
      </c>
      <c r="AE51" s="157" t="str">
        <f t="shared" si="17"/>
        <v>start /low /b %USERPROFILE%\Documents\GitHub\eaglep3\Utilities\DownloadLogsFromS3.py --loco 4026 --day 2017-02-20</v>
      </c>
      <c r="AF51" s="1"/>
    </row>
    <row r="52" spans="1:32" x14ac:dyDescent="0.25">
      <c r="A52" s="32">
        <v>42786.434884259259</v>
      </c>
      <c r="B52" s="30" t="s">
        <v>212</v>
      </c>
      <c r="C52" s="30" t="s">
        <v>468</v>
      </c>
      <c r="D52" s="30" t="s">
        <v>49</v>
      </c>
      <c r="E52" s="30" t="s">
        <v>186</v>
      </c>
      <c r="F52" s="43">
        <v>0</v>
      </c>
      <c r="G52" s="43">
        <v>64</v>
      </c>
      <c r="H52" s="43">
        <v>19288</v>
      </c>
      <c r="I52" s="43">
        <v>19207</v>
      </c>
      <c r="J52" s="30" t="s">
        <v>187</v>
      </c>
      <c r="K52" s="43">
        <v>19000</v>
      </c>
      <c r="L52" s="143" t="s">
        <v>51</v>
      </c>
      <c r="M52" s="144">
        <f t="shared" si="9"/>
        <v>109.29600000000001</v>
      </c>
      <c r="N52" s="145" t="str">
        <f>VLOOKUP(C52,'Trips&amp;Operators'!$C$1:$G$99999,5,FALSE)</f>
        <v>BERLING GARY</v>
      </c>
      <c r="O52" s="194" t="s">
        <v>185</v>
      </c>
      <c r="P52" s="146"/>
      <c r="Q52" s="30"/>
      <c r="R52" s="89" t="str">
        <f>VLOOKUP(C52,'Train Runs'!$A$13:$AE$9943,31,0)</f>
        <v>aws s3 cp s3://rtdc.mdm.uploadarchive.raw/RTDC4026/ "%USERPROFILE%\AppData\Local\Temp\OnboardLogs"\RTDC4026\2017-02-20 --exclude "*" --recursive --include "*20170220*" &amp; "%USERPROFILE%\Documents\GitHub\mrs-test-scripts\Headless Mode &amp; Sideloading\WalkAndUnGZ.bat" "%USERPROFILE%\AppData\Local\Temp\OnboardLogs"\RTDC4026\2017-02-20 &amp; aws s3 cp s3://rtdc.mdm.uploadarchive.raw/RTDC4026/ "%USERPROFILE%\AppData\Local\Temp\OnboardLogs"\RTDC4026\2017-02-21 --exclude "*" --recursive --include "*20170221*" &amp; "%USERPROFILE%\Documents\GitHub\mrs-test-scripts\Headless Mode &amp; Sideloading\WalkAndUnGZ.bat" "%USERPROFILE%\AppData\Local\Temp\OnboardLogs"\RTDC4026\2017-02-21</v>
      </c>
      <c r="S52" s="92" t="str">
        <f>VLOOKUP(C52,'Train Runs'!$A$13:$AE$9943,22,0)</f>
        <v>https://d0f6bd738d7f1b3e5a7ca70fe4ff75f0.us-east-1.aws.found.io/app/kibana#/discover/Steve-Slow-Train-Analysis-(2080s-and-2083s)?_g=(refreshInterval:(display:Off,pause:!f,section:0,value:0),time:(from:'2017-02-20T09:17:56-0700',mode:absolute,to:'2017-02-20T11:27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52" s="94" t="str">
        <f t="shared" si="10"/>
        <v>"C:\Program Files (x86)\AstroGrep\AstroGrep.exe" /spath="%USERPROFILE%\AppData\Local\Temp\OnboardLogs" /stypes="*4026*201702201*" /stext=" 17:.+((SYSTEM_STATE.+slice.+state.+changed )|(ment ac)|(multiple cpu faults)|(system.+state.+changed )|(\[timeout)|(PRM\|1\|D)|(kpr)|(kdp)|(\|lc)|(penalty))" /e /r /s</v>
      </c>
      <c r="U52" s="9" t="str">
        <f t="shared" si="11"/>
        <v>4026</v>
      </c>
      <c r="V52" s="32">
        <f t="shared" si="12"/>
        <v>42786.726550925923</v>
      </c>
      <c r="W52" s="46" t="str">
        <f t="shared" si="13"/>
        <v>Other</v>
      </c>
      <c r="X52" s="46" t="str">
        <f t="shared" si="14"/>
        <v>KEEP</v>
      </c>
      <c r="Y52" s="108" t="str">
        <f t="shared" si="15"/>
        <v>echo {"issue":{"subject":"","project_id":79,"tracker_id":40,"status_id":1,"priority_id":2,"assigned_to_id":23,"start_date":"2017-02-20","description":"","custom_fields":[{"id":1,"name":"Subdivision","value":"Other"},{"id":4,"name":"Milepost","value":"1.9"},{"id":17,"name":"Train ID","value":"54-20"},{"id":16,"name":"Locomotive ID","value":"4026"},{"id":130,"name":"Impact","value":""},{"id":150,"name":"Time of Event (Mountain Time)","value":"10:26:14"},{"id":151,"name":"Denver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48"/>
      <c r="AA52" s="48"/>
      <c r="AB52" s="48"/>
      <c r="AC52" s="127" t="str">
        <f t="shared" si="16"/>
        <v>grep -hSE -A400 "Enforcement Action" "%USERPROFILE%\AppData\Local\Temp\OnboardLogs"\RTDC4026\*4026*201702201* | grep -SE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"%USERPROFILE%\AppData\Local\Temp\OnboardLogs"\RTDC4026\*4026*201702201* &gt;&gt; 2017-02-20-SliceDisagreementCheck.txt</v>
      </c>
      <c r="AE52" s="157" t="str">
        <f t="shared" si="17"/>
        <v>start /low /b %USERPROFILE%\Documents\GitHub\eaglep3\Utilities\DownloadLogsFromS3.py --loco 4026 --day 2017-02-20</v>
      </c>
      <c r="AF52" s="1"/>
    </row>
    <row r="53" spans="1:32" x14ac:dyDescent="0.25">
      <c r="A53" s="32">
        <v>42786.435995370368</v>
      </c>
      <c r="B53" s="30" t="s">
        <v>212</v>
      </c>
      <c r="C53" s="30" t="s">
        <v>468</v>
      </c>
      <c r="D53" s="30" t="s">
        <v>49</v>
      </c>
      <c r="E53" s="30" t="s">
        <v>186</v>
      </c>
      <c r="F53" s="43">
        <v>0</v>
      </c>
      <c r="G53" s="43">
        <v>23</v>
      </c>
      <c r="H53" s="43">
        <v>19192</v>
      </c>
      <c r="I53" s="43">
        <v>19152</v>
      </c>
      <c r="J53" s="30" t="s">
        <v>187</v>
      </c>
      <c r="K53" s="43">
        <v>19000</v>
      </c>
      <c r="L53" s="143" t="s">
        <v>51</v>
      </c>
      <c r="M53" s="144">
        <f t="shared" si="9"/>
        <v>80.256</v>
      </c>
      <c r="N53" s="145" t="str">
        <f>VLOOKUP(C53,'Trips&amp;Operators'!$C$1:$G$99999,5,FALSE)</f>
        <v>BERLING GARY</v>
      </c>
      <c r="O53" s="194" t="s">
        <v>185</v>
      </c>
      <c r="P53" s="146"/>
      <c r="Q53" s="30"/>
      <c r="R53" s="89" t="str">
        <f>VLOOKUP(C53,'Train Runs'!$A$13:$AE$9943,31,0)</f>
        <v>aws s3 cp s3://rtdc.mdm.uploadarchive.raw/RTDC4026/ "%USERPROFILE%\AppData\Local\Temp\OnboardLogs"\RTDC4026\2017-02-20 --exclude "*" --recursive --include "*20170220*" &amp; "%USERPROFILE%\Documents\GitHub\mrs-test-scripts\Headless Mode &amp; Sideloading\WalkAndUnGZ.bat" "%USERPROFILE%\AppData\Local\Temp\OnboardLogs"\RTDC4026\2017-02-20 &amp; aws s3 cp s3://rtdc.mdm.uploadarchive.raw/RTDC4026/ "%USERPROFILE%\AppData\Local\Temp\OnboardLogs"\RTDC4026\2017-02-21 --exclude "*" --recursive --include "*20170221*" &amp; "%USERPROFILE%\Documents\GitHub\mrs-test-scripts\Headless Mode &amp; Sideloading\WalkAndUnGZ.bat" "%USERPROFILE%\AppData\Local\Temp\OnboardLogs"\RTDC4026\2017-02-21</v>
      </c>
      <c r="S53" s="92" t="str">
        <f>VLOOKUP(C53,'Train Runs'!$A$13:$AE$9943,22,0)</f>
        <v>https://d0f6bd738d7f1b3e5a7ca70fe4ff75f0.us-east-1.aws.found.io/app/kibana#/discover/Steve-Slow-Train-Analysis-(2080s-and-2083s)?_g=(refreshInterval:(display:Off,pause:!f,section:0,value:0),time:(from:'2017-02-20T09:17:56-0700',mode:absolute,to:'2017-02-20T11:27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53" s="94" t="str">
        <f t="shared" si="10"/>
        <v>"C:\Program Files (x86)\AstroGrep\AstroGrep.exe" /spath="%USERPROFILE%\AppData\Local\Temp\OnboardLogs" /stypes="*4026*201702201*" /stext=" 17:.+((SYSTEM_STATE.+slice.+state.+changed )|(ment ac)|(multiple cpu faults)|(system.+state.+changed )|(\[timeout)|(PRM\|1\|D)|(kpr)|(kdp)|(\|lc)|(penalty))" /e /r /s</v>
      </c>
      <c r="U53" s="9" t="str">
        <f t="shared" si="11"/>
        <v>4026</v>
      </c>
      <c r="V53" s="32">
        <f t="shared" si="12"/>
        <v>42786.727662037032</v>
      </c>
      <c r="W53" s="46" t="str">
        <f t="shared" si="13"/>
        <v>Other</v>
      </c>
      <c r="X53" s="46" t="str">
        <f t="shared" si="14"/>
        <v>KEEP</v>
      </c>
      <c r="Y53" s="108" t="str">
        <f t="shared" si="15"/>
        <v>echo {"issue":{"subject":"","project_id":79,"tracker_id":40,"status_id":1,"priority_id":2,"assigned_to_id":23,"start_date":"2017-02-20","description":"","custom_fields":[{"id":1,"name":"Subdivision","value":"Other"},{"id":4,"name":"Milepost","value":"1.9"},{"id":17,"name":"Train ID","value":"54-20"},{"id":16,"name":"Locomotive ID","value":"4026"},{"id":130,"name":"Impact","value":""},{"id":150,"name":"Time of Event (Mountain Time)","value":"10:27:50"},{"id":151,"name":"Denver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48"/>
      <c r="AA53" s="48"/>
      <c r="AB53" s="48"/>
      <c r="AC53" s="127" t="str">
        <f t="shared" si="16"/>
        <v>grep -hSE -A400 "Enforcement Action" "%USERPROFILE%\AppData\Local\Temp\OnboardLogs"\RTDC4026\*4026*201702201* | grep -SE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"%USERPROFILE%\AppData\Local\Temp\OnboardLogs"\RTDC4026\*4026*201702201* &gt;&gt; 2017-02-20-SliceDisagreementCheck.txt</v>
      </c>
      <c r="AE53" s="157" t="str">
        <f t="shared" si="17"/>
        <v>start /low /b %USERPROFILE%\Documents\GitHub\eaglep3\Utilities\DownloadLogsFromS3.py --loco 4026 --day 2017-02-20</v>
      </c>
      <c r="AF53" s="1"/>
    </row>
    <row r="54" spans="1:32" x14ac:dyDescent="0.25">
      <c r="A54" s="32">
        <v>42786.433182870373</v>
      </c>
      <c r="B54" s="30" t="s">
        <v>212</v>
      </c>
      <c r="C54" s="30" t="s">
        <v>468</v>
      </c>
      <c r="D54" s="30" t="s">
        <v>98</v>
      </c>
      <c r="E54" s="30" t="s">
        <v>469</v>
      </c>
      <c r="F54" s="43">
        <v>0</v>
      </c>
      <c r="G54" s="43">
        <v>104</v>
      </c>
      <c r="H54" s="43">
        <v>22465</v>
      </c>
      <c r="I54" s="43">
        <v>22286</v>
      </c>
      <c r="J54" s="30" t="s">
        <v>453</v>
      </c>
      <c r="K54" s="43">
        <v>24235</v>
      </c>
      <c r="L54" s="143" t="s">
        <v>51</v>
      </c>
      <c r="M54" s="144">
        <f t="shared" si="9"/>
        <v>-1029.0719999999999</v>
      </c>
      <c r="N54" s="145" t="str">
        <f>VLOOKUP(C54,'Trips&amp;Operators'!$C$1:$G$99999,5,FALSE)</f>
        <v>BERLING GARY</v>
      </c>
      <c r="O54" s="194" t="s">
        <v>185</v>
      </c>
      <c r="P54" s="146"/>
      <c r="Q54" s="30"/>
      <c r="R54" s="89" t="str">
        <f>VLOOKUP(C54,'Train Runs'!$A$13:$AE$9943,31,0)</f>
        <v>aws s3 cp s3://rtdc.mdm.uploadarchive.raw/RTDC4026/ "%USERPROFILE%\AppData\Local\Temp\OnboardLogs"\RTDC4026\2017-02-20 --exclude "*" --recursive --include "*20170220*" &amp; "%USERPROFILE%\Documents\GitHub\mrs-test-scripts\Headless Mode &amp; Sideloading\WalkAndUnGZ.bat" "%USERPROFILE%\AppData\Local\Temp\OnboardLogs"\RTDC4026\2017-02-20 &amp; aws s3 cp s3://rtdc.mdm.uploadarchive.raw/RTDC4026/ "%USERPROFILE%\AppData\Local\Temp\OnboardLogs"\RTDC4026\2017-02-21 --exclude "*" --recursive --include "*20170221*" &amp; "%USERPROFILE%\Documents\GitHub\mrs-test-scripts\Headless Mode &amp; Sideloading\WalkAndUnGZ.bat" "%USERPROFILE%\AppData\Local\Temp\OnboardLogs"\RTDC4026\2017-02-21</v>
      </c>
      <c r="S54" s="92" t="str">
        <f>VLOOKUP(C54,'Train Runs'!$A$13:$AE$9943,22,0)</f>
        <v>https://d0f6bd738d7f1b3e5a7ca70fe4ff75f0.us-east-1.aws.found.io/app/kibana#/discover/Steve-Slow-Train-Analysis-(2080s-and-2083s)?_g=(refreshInterval:(display:Off,pause:!f,section:0,value:0),time:(from:'2017-02-20T09:17:56-0700',mode:absolute,to:'2017-02-20T11:27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54" s="94" t="str">
        <f t="shared" si="10"/>
        <v>"C:\Program Files (x86)\AstroGrep\AstroGrep.exe" /spath="%USERPROFILE%\AppData\Local\Temp\OnboardLogs" /stypes="*4026*201702201*" /stext=" 17:.+((SYSTEM_STATE.+slice.+state.+changed )|(ment ac)|(multiple cpu faults)|(system.+state.+changed )|(\[timeout)|(PRM\|1\|D)|(kpr)|(kdp)|(\|lc)|(penalty))" /e /r /s</v>
      </c>
      <c r="U54" s="9" t="str">
        <f t="shared" si="11"/>
        <v>4026</v>
      </c>
      <c r="V54" s="32">
        <f t="shared" si="12"/>
        <v>42786.724849537037</v>
      </c>
      <c r="W54" s="46" t="str">
        <f t="shared" si="13"/>
        <v>Other</v>
      </c>
      <c r="X54" s="46" t="str">
        <f t="shared" si="14"/>
        <v>KEEP</v>
      </c>
      <c r="Y54" s="108" t="str">
        <f t="shared" si="15"/>
        <v>echo {"issue":{"subject":"","project_id":79,"tracker_id":40,"status_id":1,"priority_id":2,"assigned_to_id":23,"start_date":"2017-02-20","description":"","custom_fields":[{"id":1,"name":"Subdivision","value":"Other"},{"id":4,"name":"Milepost","value":"2.4235"},{"id":17,"name":"Train ID","value":"54-20"},{"id":16,"name":"Locomotive ID","value":"4026"},{"id":130,"name":"Impact","value":""},{"id":150,"name":"Time of Event (Mountain Time)","value":"10:23:47"},{"id":151,"name":"Denver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48"/>
      <c r="AA54" s="48"/>
      <c r="AB54" s="48"/>
      <c r="AC54" s="127" t="str">
        <f t="shared" si="16"/>
        <v>grep -hSE -A400 "Enforcement Action" "%USERPROFILE%\AppData\Local\Temp\OnboardLogs"\RTDC4026\*4026*201702201* | grep -SE "((Enforcement Ac)|(PRM))" -</v>
      </c>
      <c r="AD54" s="1" t="str">
        <f>"grep -hSE ""Enforcement Action"" "&amp;search_path&amp;"\RTDC"&amp;U54&amp;"\*"&amp;U54&amp;"*"&amp;TEXT(A54-utc_offset/24,"YYYYMMDD")&amp;LEFT(TEXT(A54-utc_offset/24,"HH"),1)&amp;"* &gt;&gt; "&amp;TEXT(Variables!$A$2,"YYYY-MM-DD")&amp;"-SliceDisagreementCheck.txt"</f>
        <v>grep -hSE "Enforcement Action" "%USERPROFILE%\AppData\Local\Temp\OnboardLogs"\RTDC4026\*4026*201702201* &gt;&gt; 2017-02-20-SliceDisagreementCheck.txt</v>
      </c>
      <c r="AE54" s="157" t="str">
        <f t="shared" si="17"/>
        <v>start /low /b %USERPROFILE%\Documents\GitHub\eaglep3\Utilities\DownloadLogsFromS3.py --loco 4026 --day 2017-02-20</v>
      </c>
      <c r="AF54" s="1"/>
    </row>
    <row r="55" spans="1:32" x14ac:dyDescent="0.25">
      <c r="A55" s="32">
        <v>42786.123865740738</v>
      </c>
      <c r="B55" s="30" t="s">
        <v>224</v>
      </c>
      <c r="C55" s="30" t="s">
        <v>450</v>
      </c>
      <c r="D55" s="30" t="s">
        <v>49</v>
      </c>
      <c r="E55" s="30" t="s">
        <v>188</v>
      </c>
      <c r="F55" s="43">
        <v>0</v>
      </c>
      <c r="G55" s="43">
        <v>50</v>
      </c>
      <c r="H55" s="43">
        <v>180</v>
      </c>
      <c r="I55" s="43">
        <v>141</v>
      </c>
      <c r="J55" s="30" t="s">
        <v>189</v>
      </c>
      <c r="K55" s="43">
        <v>1</v>
      </c>
      <c r="L55" s="143" t="s">
        <v>51</v>
      </c>
      <c r="M55" s="144">
        <f t="shared" si="9"/>
        <v>73.92</v>
      </c>
      <c r="N55" s="145" t="str">
        <f>VLOOKUP(C55,'Trips&amp;Operators'!$C$1:$G$99999,5,FALSE)</f>
        <v>SANTIZO D. EDY</v>
      </c>
      <c r="O55" s="194" t="s">
        <v>185</v>
      </c>
      <c r="P55" s="146"/>
      <c r="Q55" s="30"/>
      <c r="R55" s="89" t="str">
        <f>VLOOKUP(C55,'Train Runs'!$A$13:$AE$9943,31,0)</f>
        <v>aws s3 cp s3://rtdc.mdm.uploadarchive.raw/RTDC4015/ "%USERPROFILE%\AppData\Local\Temp\OnboardLogs"\RTDC4015\2017-02-20 --exclude "*" --recursive --include "*20170220*" &amp; "%USERPROFILE%\Documents\GitHub\mrs-test-scripts\Headless Mode &amp; Sideloading\WalkAndUnGZ.bat" "%USERPROFILE%\AppData\Local\Temp\OnboardLogs"\RTDC4015\2017-02-20 &amp; aws s3 cp s3://rtdc.mdm.uploadarchive.raw/RTDC4015/ "%USERPROFILE%\AppData\Local\Temp\OnboardLogs"\RTDC4015\2017-02-21 --exclude "*" --recursive --include "*20170221*" &amp; "%USERPROFILE%\Documents\GitHub\mrs-test-scripts\Headless Mode &amp; Sideloading\WalkAndUnGZ.bat" "%USERPROFILE%\AppData\Local\Temp\OnboardLogs"\RTDC4015\2017-02-21</v>
      </c>
      <c r="S55" s="92" t="str">
        <f>VLOOKUP(C55,'Train Runs'!$A$13:$AE$9943,22,0)</f>
        <v>https://d0f6bd738d7f1b3e5a7ca70fe4ff75f0.us-east-1.aws.found.io/app/kibana#/discover/Steve-Slow-Train-Analysis-(2080s-and-2083s)?_g=(refreshInterval:(display:Off,pause:!f,section:0,value:0),time:(from:'2017-02-20T01:47:12-0700',mode:absolute,to:'2017-02-20T03:58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55" s="94" t="str">
        <f t="shared" si="10"/>
        <v>"C:\Program Files (x86)\AstroGrep\AstroGrep.exe" /spath="%USERPROFILE%\AppData\Local\Temp\OnboardLogs" /stypes="*4015*201702200*" /stext=" 09:.+((SYSTEM_STATE.+slice.+state.+changed )|(ment ac)|(multiple cpu faults)|(system.+state.+changed )|(\[timeout)|(PRM\|1\|D)|(kpr)|(kdp)|(\|lc)|(penalty))" /e /r /s</v>
      </c>
      <c r="U55" s="9" t="str">
        <f t="shared" si="11"/>
        <v>4015</v>
      </c>
      <c r="V55" s="32">
        <f t="shared" si="12"/>
        <v>42786.415532407402</v>
      </c>
      <c r="W55" s="46" t="str">
        <f t="shared" si="13"/>
        <v>Other</v>
      </c>
      <c r="X55" s="46" t="str">
        <f t="shared" si="14"/>
        <v>KEEP</v>
      </c>
      <c r="Y55" s="108" t="str">
        <f t="shared" si="15"/>
        <v>echo {"issue":{"subject":"","project_id":79,"tracker_id":40,"status_id":1,"priority_id":2,"assigned_to_id":23,"start_date":"2017-02-20","description":"","custom_fields":[{"id":1,"name":"Subdivision","value":"Other"},{"id":4,"name":"Milepost","value":"0.0001"},{"id":17,"name":"Train ID","value":"302-20"},{"id":16,"name":"Locomotive ID","value":"4015"},{"id":130,"name":"Impact","value":""},{"id":150,"name":"Time of Event (Mountain Time)","value":"02:58:22"},{"id":151,"name":"Denver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48"/>
      <c r="AA55" s="48"/>
      <c r="AB55" s="48"/>
      <c r="AC55" s="127" t="str">
        <f t="shared" si="16"/>
        <v>grep -hSE -A400 "Enforcement Action" "%USERPROFILE%\AppData\Local\Temp\OnboardLogs"\RTDC4015\*4015*201702200* | grep -SE "((Enforcement Ac)|(PRM))" -</v>
      </c>
      <c r="AD55" s="1" t="str">
        <f>"grep -hSE ""Enforcement Action"" "&amp;search_path&amp;"\RTDC"&amp;U55&amp;"\*"&amp;U55&amp;"*"&amp;TEXT(A55-utc_offset/24,"YYYYMMDD")&amp;LEFT(TEXT(A55-utc_offset/24,"HH"),1)&amp;"* &gt;&gt; "&amp;TEXT(Variables!$A$2,"YYYY-MM-DD")&amp;"-SliceDisagreementCheck.txt"</f>
        <v>grep -hSE "Enforcement Action" "%USERPROFILE%\AppData\Local\Temp\OnboardLogs"\RTDC4015\*4015*201702200* &gt;&gt; 2017-02-20-SliceDisagreementCheck.txt</v>
      </c>
      <c r="AE55" s="157" t="str">
        <f t="shared" si="17"/>
        <v>start /low /b %USERPROFILE%\Documents\GitHub\eaglep3\Utilities\DownloadLogsFromS3.py --loco 4015 --day 2017-02-20</v>
      </c>
      <c r="AF55" s="1"/>
    </row>
    <row r="56" spans="1:32" x14ac:dyDescent="0.25">
      <c r="A56" s="32">
        <v>42786.644826388889</v>
      </c>
      <c r="B56" s="30" t="s">
        <v>478</v>
      </c>
      <c r="C56" s="30" t="s">
        <v>479</v>
      </c>
      <c r="D56" s="30" t="s">
        <v>49</v>
      </c>
      <c r="E56" s="30" t="s">
        <v>188</v>
      </c>
      <c r="F56" s="43">
        <v>0</v>
      </c>
      <c r="G56" s="43">
        <v>58</v>
      </c>
      <c r="H56" s="43">
        <v>754</v>
      </c>
      <c r="I56" s="43">
        <v>708</v>
      </c>
      <c r="J56" s="30" t="s">
        <v>189</v>
      </c>
      <c r="K56" s="43">
        <v>575</v>
      </c>
      <c r="L56" s="143" t="s">
        <v>51</v>
      </c>
      <c r="M56" s="144">
        <f t="shared" si="9"/>
        <v>70.224000000000004</v>
      </c>
      <c r="N56" s="145" t="str">
        <f>VLOOKUP(C56,'Trips&amp;Operators'!$C$1:$G$99999,5,FALSE)</f>
        <v>MACDONALD THOMAS</v>
      </c>
      <c r="O56" s="194" t="s">
        <v>185</v>
      </c>
      <c r="P56" s="146"/>
      <c r="Q56" s="30"/>
      <c r="R56" s="89" t="str">
        <f>VLOOKUP(C56,'Train Runs'!$A$13:$AE$9943,31,0)</f>
        <v>aws s3 cp s3://rtdc.mdm.uploadarchive.raw/RTDC4021/ "%USERPROFILE%\AppData\Local\Temp\OnboardLogs"\RTDC4021\2017-02-20 --exclude "*" --recursive --include "*20170220*" &amp; "%USERPROFILE%\Documents\GitHub\mrs-test-scripts\Headless Mode &amp; Sideloading\WalkAndUnGZ.bat" "%USERPROFILE%\AppData\Local\Temp\OnboardLogs"\RTDC4021\2017-02-20 &amp; aws s3 cp s3://rtdc.mdm.uploadarchive.raw/RTDC4021/ "%USERPROFILE%\AppData\Local\Temp\OnboardLogs"\RTDC4021\2017-02-21 --exclude "*" --recursive --include "*20170221*" &amp; "%USERPROFILE%\Documents\GitHub\mrs-test-scripts\Headless Mode &amp; Sideloading\WalkAndUnGZ.bat" "%USERPROFILE%\AppData\Local\Temp\OnboardLogs"\RTDC4021\2017-02-21</v>
      </c>
      <c r="S56" s="92" t="str">
        <f>VLOOKUP(C56,'Train Runs'!$A$13:$AE$9943,22,0)</f>
        <v>https://d0f6bd738d7f1b3e5a7ca70fe4ff75f0.us-east-1.aws.found.io/app/kibana#/discover/Steve-Slow-Train-Analysis-(2080s-and-2083s)?_g=(refreshInterval:(display:Off,pause:!f,section:0,value:0),time:(from:'2017-02-20T14:17:42-0700',mode:absolute,to:'2017-02-20T16:28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56" s="94" t="str">
        <f t="shared" si="10"/>
        <v>"C:\Program Files (x86)\AstroGrep\AstroGrep.exe" /spath="%USERPROFILE%\AppData\Local\Temp\OnboardLogs" /stypes="*4021*201702202*" /stext=" 22:.+((SYSTEM_STATE.+slice.+state.+changed )|(ment ac)|(multiple cpu faults)|(system.+state.+changed )|(\[timeout)|(PRM\|1\|D)|(kpr)|(kdp)|(\|lc)|(penalty))" /e /r /s</v>
      </c>
      <c r="U56" s="9" t="str">
        <f t="shared" si="11"/>
        <v>4021</v>
      </c>
      <c r="V56" s="32">
        <f t="shared" si="12"/>
        <v>42786.936493055553</v>
      </c>
      <c r="W56" s="46" t="str">
        <f t="shared" si="13"/>
        <v>Other</v>
      </c>
      <c r="X56" s="46" t="str">
        <f t="shared" si="14"/>
        <v>KEEP</v>
      </c>
      <c r="Y56" s="108" t="str">
        <f t="shared" si="15"/>
        <v>echo {"issue":{"subject":"","project_id":79,"tracker_id":40,"status_id":1,"priority_id":2,"assigned_to_id":23,"start_date":"2017-02-20","description":"","custom_fields":[{"id":1,"name":"Subdivision","value":"Other"},{"id":4,"name":"Milepost","value":"0.0575"},{"id":17,"name":"Train ID","value":"904-20"},{"id":16,"name":"Locomotive ID","value":"4021"},{"id":130,"name":"Impact","value":""},{"id":150,"name":"Time of Event (Mountain Time)","value":"15:28:33"},{"id":151,"name":"Denver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48"/>
      <c r="AA56" s="48"/>
      <c r="AB56" s="48"/>
      <c r="AC56" s="127" t="str">
        <f t="shared" si="16"/>
        <v>grep -hSE -A400 "Enforcement Action" "%USERPROFILE%\AppData\Local\Temp\OnboardLogs"\RTDC4021\*4021*201702202* | grep -SE "((Enforcement Ac)|(PRM))" -</v>
      </c>
      <c r="AD56" s="1" t="str">
        <f>"grep -hSE ""Enforcement Action"" "&amp;search_path&amp;"\RTDC"&amp;U56&amp;"\*"&amp;U56&amp;"*"&amp;TEXT(A56-utc_offset/24,"YYYYMMDD")&amp;LEFT(TEXT(A56-utc_offset/24,"HH"),1)&amp;"* &gt;&gt; "&amp;TEXT(Variables!$A$2,"YYYY-MM-DD")&amp;"-SliceDisagreementCheck.txt"</f>
        <v>grep -hSE "Enforcement Action" "%USERPROFILE%\AppData\Local\Temp\OnboardLogs"\RTDC4021\*4021*201702202* &gt;&gt; 2017-02-20-SliceDisagreementCheck.txt</v>
      </c>
      <c r="AE56" s="157" t="str">
        <f t="shared" si="17"/>
        <v>start /low /b %USERPROFILE%\Documents\GitHub\eaglep3\Utilities\DownloadLogsFromS3.py --loco 4021 --day 2017-02-20</v>
      </c>
      <c r="AF56" s="1"/>
    </row>
  </sheetData>
  <autoFilter ref="A6:AC56">
    <sortState ref="A7:AC56">
      <sortCondition ref="V6:V56"/>
    </sortState>
  </autoFilter>
  <sortState ref="A7:AE56">
    <sortCondition ref="W7:W56"/>
    <sortCondition ref="E7:E56"/>
    <sortCondition ref="K7:K56"/>
    <sortCondition ref="C7:C56"/>
    <sortCondition ref="F7:F56"/>
  </sortState>
  <mergeCells count="1">
    <mergeCell ref="A5:O5"/>
  </mergeCells>
  <conditionalFormatting sqref="O6:P6 R6 O7:O1048576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56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AA7:AA56</xm:sqref>
        </x14:dataValidation>
        <x14:dataValidation type="list" allowBlank="1" showInputMessage="1" showErrorMessage="1">
          <x14:formula1>
            <xm:f>'Redmine List Values'!$C$2:$C$15</xm:f>
          </x14:formula1>
          <xm:sqref>AB7:AB56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18"/>
  <sheetViews>
    <sheetView workbookViewId="0"/>
  </sheetViews>
  <sheetFormatPr defaultRowHeight="15" x14ac:dyDescent="0.25"/>
  <cols>
    <col min="1" max="1" width="9.140625" style="167"/>
    <col min="2" max="2" width="9.140625" style="2" customWidth="1"/>
    <col min="3" max="3" width="8" style="97" bestFit="1" customWidth="1"/>
    <col min="4" max="4" width="9.85546875" style="15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7"/>
      <c r="B1" s="197" t="str">
        <f>"Trips that did not appear in PTC Data "&amp;TEXT(Variables!$A$2,"YYYY-mm-dd")</f>
        <v>Trips that did not appear in PTC Data 2017-02-20</v>
      </c>
      <c r="C1" s="197"/>
      <c r="D1" s="197"/>
      <c r="E1" s="197"/>
      <c r="F1" s="197"/>
    </row>
    <row r="2" spans="1:10" s="23" customFormat="1" ht="45" x14ac:dyDescent="0.25">
      <c r="A2" s="190" t="s">
        <v>152</v>
      </c>
      <c r="B2" s="99" t="s">
        <v>58</v>
      </c>
      <c r="C2" s="96" t="s">
        <v>59</v>
      </c>
      <c r="D2" s="164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6"/>
      <c r="B3" s="43" t="str">
        <f>A3&amp;"-"&amp;IF(DAY(Variables!$A$2)&lt;10,0,"")&amp;DAY(Variables!$A$2)</f>
        <v>-20</v>
      </c>
      <c r="C3" s="147"/>
      <c r="D3" s="165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32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" s="30" t="e">
        <f>VLOOKUP(B3,'Train Runs'!$A$13:$A$99940,1,FALSE)</f>
        <v>#N/A</v>
      </c>
    </row>
    <row r="4" spans="1:10" x14ac:dyDescent="0.25">
      <c r="A4" s="186"/>
      <c r="B4" s="43" t="str">
        <f>A4&amp;"-"&amp;IF(DAY(Variables!$A$2)&lt;10,0,"")&amp;DAY(Variables!$A$2)</f>
        <v>-20</v>
      </c>
      <c r="C4" s="147"/>
      <c r="D4" s="165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" s="30" t="e">
        <f>VLOOKUP(B4,'Train Runs'!$A$13:$A$99940,1,FALSE)</f>
        <v>#N/A</v>
      </c>
    </row>
    <row r="5" spans="1:10" x14ac:dyDescent="0.25">
      <c r="A5" s="186"/>
      <c r="B5" s="43" t="str">
        <f>A5&amp;"-"&amp;IF(DAY(Variables!$A$2)&lt;10,0,"")&amp;DAY(Variables!$A$2)</f>
        <v>-20</v>
      </c>
      <c r="C5" s="147"/>
      <c r="D5" s="165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" s="30" t="e">
        <f>VLOOKUP(B5,'Train Runs'!$A$13:$A$99940,1,FALSE)</f>
        <v>#N/A</v>
      </c>
    </row>
    <row r="6" spans="1:10" x14ac:dyDescent="0.25">
      <c r="A6" s="186"/>
      <c r="B6" s="43" t="str">
        <f>A6&amp;"-"&amp;IF(DAY(Variables!$A$2)&lt;10,0,"")&amp;DAY(Variables!$A$2)</f>
        <v>-20</v>
      </c>
      <c r="C6" s="147"/>
      <c r="D6" s="165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" s="30" t="e">
        <f>VLOOKUP(B6,'Train Runs'!$A$13:$A$99940,1,FALSE)</f>
        <v>#N/A</v>
      </c>
    </row>
    <row r="7" spans="1:10" x14ac:dyDescent="0.25">
      <c r="A7" s="186"/>
      <c r="B7" s="43" t="str">
        <f>A7&amp;"-"&amp;IF(DAY(Variables!$A$2)&lt;10,0,"")&amp;DAY(Variables!$A$2)</f>
        <v>-20</v>
      </c>
      <c r="C7" s="147"/>
      <c r="D7" s="165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" s="30" t="e">
        <f>VLOOKUP(B7,'Train Runs'!$A$13:$A$99940,1,FALSE)</f>
        <v>#N/A</v>
      </c>
    </row>
    <row r="8" spans="1:10" x14ac:dyDescent="0.25">
      <c r="A8" s="186"/>
      <c r="B8" s="43" t="str">
        <f>A8&amp;"-"&amp;IF(DAY(Variables!$A$2)&lt;10,0,"")&amp;DAY(Variables!$A$2)</f>
        <v>-20</v>
      </c>
      <c r="C8" s="147"/>
      <c r="D8" s="165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" s="30" t="e">
        <f>VLOOKUP(B8,'Train Runs'!$A$13:$A$99940,1,FALSE)</f>
        <v>#N/A</v>
      </c>
    </row>
    <row r="9" spans="1:10" x14ac:dyDescent="0.25">
      <c r="A9" s="186"/>
      <c r="B9" s="43" t="str">
        <f>A9&amp;"-"&amp;IF(DAY(Variables!$A$2)&lt;10,0,"")&amp;DAY(Variables!$A$2)</f>
        <v>-20</v>
      </c>
      <c r="C9" s="147"/>
      <c r="D9" s="165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9" s="30" t="e">
        <f>VLOOKUP(B9,'Train Runs'!$A$13:$A$99940,1,FALSE)</f>
        <v>#N/A</v>
      </c>
    </row>
    <row r="10" spans="1:10" x14ac:dyDescent="0.25">
      <c r="A10" s="186"/>
      <c r="B10" s="43" t="str">
        <f>A10&amp;"-"&amp;IF(DAY(Variables!$A$2)&lt;10,0,"")&amp;DAY(Variables!$A$2)</f>
        <v>-20</v>
      </c>
      <c r="C10" s="147"/>
      <c r="D10" s="165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0" s="30" t="e">
        <f>VLOOKUP(B10,'Train Runs'!$A$13:$A$99940,1,FALSE)</f>
        <v>#N/A</v>
      </c>
    </row>
    <row r="11" spans="1:10" x14ac:dyDescent="0.25">
      <c r="A11" s="186"/>
      <c r="B11" s="43" t="str">
        <f>A11&amp;"-"&amp;IF(DAY(Variables!$A$2)&lt;10,0,"")&amp;DAY(Variables!$A$2)</f>
        <v>-20</v>
      </c>
      <c r="C11" s="147"/>
      <c r="D11" s="165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1" s="30" t="e">
        <f>VLOOKUP(B11,'Train Runs'!$A$13:$A$99940,1,FALSE)</f>
        <v>#N/A</v>
      </c>
    </row>
    <row r="12" spans="1:10" x14ac:dyDescent="0.25">
      <c r="A12" s="186"/>
      <c r="B12" s="43" t="str">
        <f>A12&amp;"-"&amp;IF(DAY(Variables!$A$2)&lt;10,0,"")&amp;DAY(Variables!$A$2)</f>
        <v>-20</v>
      </c>
      <c r="C12" s="147"/>
      <c r="D12" s="165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2" s="30" t="e">
        <f>VLOOKUP(B12,'Train Runs'!$A$13:$A$99940,1,FALSE)</f>
        <v>#N/A</v>
      </c>
    </row>
    <row r="13" spans="1:10" x14ac:dyDescent="0.25">
      <c r="A13" s="186"/>
      <c r="B13" s="43" t="str">
        <f>A13&amp;"-"&amp;IF(DAY(Variables!$A$2)&lt;10,0,"")&amp;DAY(Variables!$A$2)</f>
        <v>-20</v>
      </c>
      <c r="C13" s="147"/>
      <c r="D13" s="165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3" s="30" t="e">
        <f>VLOOKUP(B13,'Train Runs'!$A$13:$A$99940,1,FALSE)</f>
        <v>#N/A</v>
      </c>
    </row>
    <row r="14" spans="1:10" x14ac:dyDescent="0.25">
      <c r="A14" s="186"/>
      <c r="B14" s="43" t="str">
        <f>A14&amp;"-"&amp;IF(DAY(Variables!$A$2)&lt;10,0,"")&amp;DAY(Variables!$A$2)</f>
        <v>-20</v>
      </c>
      <c r="C14" s="147"/>
      <c r="D14" s="165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4" s="30" t="e">
        <f>VLOOKUP(B14,'Train Runs'!$A$13:$A$99940,1,FALSE)</f>
        <v>#N/A</v>
      </c>
    </row>
    <row r="15" spans="1:10" x14ac:dyDescent="0.25">
      <c r="A15" s="186"/>
      <c r="B15" s="43" t="str">
        <f>A15&amp;"-"&amp;IF(DAY(Variables!$A$2)&lt;10,0,"")&amp;DAY(Variables!$A$2)</f>
        <v>-20</v>
      </c>
      <c r="C15" s="147"/>
      <c r="D15" s="165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5" s="30" t="e">
        <f>VLOOKUP(B15,'Train Runs'!$A$13:$A$99940,1,FALSE)</f>
        <v>#N/A</v>
      </c>
    </row>
    <row r="16" spans="1:10" x14ac:dyDescent="0.25">
      <c r="A16" s="186"/>
      <c r="B16" s="43" t="str">
        <f>A16&amp;"-"&amp;IF(DAY(Variables!$A$2)&lt;10,0,"")&amp;DAY(Variables!$A$2)</f>
        <v>-20</v>
      </c>
      <c r="C16" s="147"/>
      <c r="D16" s="165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6" s="30" t="e">
        <f>VLOOKUP(B16,'Train Runs'!$A$13:$A$99940,1,FALSE)</f>
        <v>#N/A</v>
      </c>
    </row>
    <row r="17" spans="1:10" x14ac:dyDescent="0.25">
      <c r="A17" s="186"/>
      <c r="B17" s="43" t="str">
        <f>A17&amp;"-"&amp;IF(DAY(Variables!$A$2)&lt;10,0,"")&amp;DAY(Variables!$A$2)</f>
        <v>-20</v>
      </c>
      <c r="C17" s="147"/>
      <c r="D17" s="165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7" s="30" t="e">
        <f>VLOOKUP(B17,'Train Runs'!$A$13:$A$99940,1,FALSE)</f>
        <v>#N/A</v>
      </c>
    </row>
    <row r="18" spans="1:10" x14ac:dyDescent="0.25">
      <c r="A18" s="186"/>
      <c r="B18" s="43" t="str">
        <f>A18&amp;"-"&amp;IF(DAY(Variables!$A$2)&lt;10,0,"")&amp;DAY(Variables!$A$2)</f>
        <v>-20</v>
      </c>
      <c r="C18" s="147"/>
      <c r="D18" s="165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8" s="30" t="e">
        <f>VLOOKUP(B18,'Train Runs'!$A$13:$A$99940,1,FALSE)</f>
        <v>#N/A</v>
      </c>
    </row>
    <row r="19" spans="1:10" x14ac:dyDescent="0.25">
      <c r="A19" s="186"/>
      <c r="B19" s="43" t="str">
        <f>A19&amp;"-"&amp;IF(DAY(Variables!$A$2)&lt;10,0,"")&amp;DAY(Variables!$A$2)</f>
        <v>-20</v>
      </c>
      <c r="C19" s="147"/>
      <c r="D19" s="165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9" s="30" t="e">
        <f>VLOOKUP(B19,'Train Runs'!$A$13:$A$99940,1,FALSE)</f>
        <v>#N/A</v>
      </c>
    </row>
    <row r="20" spans="1:10" x14ac:dyDescent="0.25">
      <c r="A20" s="186"/>
      <c r="B20" s="43" t="str">
        <f>A20&amp;"-"&amp;IF(DAY(Variables!$A$2)&lt;10,0,"")&amp;DAY(Variables!$A$2)</f>
        <v>-20</v>
      </c>
      <c r="C20" s="147"/>
      <c r="D20" s="165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0" s="30" t="e">
        <f>VLOOKUP(B20,'Train Runs'!$A$13:$A$99940,1,FALSE)</f>
        <v>#N/A</v>
      </c>
    </row>
    <row r="21" spans="1:10" x14ac:dyDescent="0.25">
      <c r="A21" s="186"/>
      <c r="B21" s="43" t="str">
        <f>A21&amp;"-"&amp;IF(DAY(Variables!$A$2)&lt;10,0,"")&amp;DAY(Variables!$A$2)</f>
        <v>-20</v>
      </c>
      <c r="C21" s="147"/>
      <c r="D21" s="165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1" s="30" t="e">
        <f>VLOOKUP(B21,'Train Runs'!$A$13:$A$99940,1,FALSE)</f>
        <v>#N/A</v>
      </c>
    </row>
    <row r="22" spans="1:10" x14ac:dyDescent="0.25">
      <c r="A22" s="186"/>
      <c r="B22" s="43" t="str">
        <f>A22&amp;"-"&amp;IF(DAY(Variables!$A$2)&lt;10,0,"")&amp;DAY(Variables!$A$2)</f>
        <v>-20</v>
      </c>
      <c r="C22" s="147"/>
      <c r="D22" s="165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2" s="30" t="e">
        <f>VLOOKUP(B22,'Train Runs'!$A$13:$A$99940,1,FALSE)</f>
        <v>#N/A</v>
      </c>
    </row>
    <row r="23" spans="1:10" x14ac:dyDescent="0.25">
      <c r="A23" s="186"/>
      <c r="B23" s="43" t="str">
        <f>A23&amp;"-"&amp;IF(DAY(Variables!$A$2)&lt;10,0,"")&amp;DAY(Variables!$A$2)</f>
        <v>-20</v>
      </c>
      <c r="C23" s="147"/>
      <c r="D23" s="165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3" s="30" t="e">
        <f>VLOOKUP(B23,'Train Runs'!$A$13:$A$99940,1,FALSE)</f>
        <v>#N/A</v>
      </c>
    </row>
    <row r="24" spans="1:10" x14ac:dyDescent="0.25">
      <c r="A24" s="186"/>
      <c r="B24" s="43" t="str">
        <f>A24&amp;"-"&amp;IF(DAY(Variables!$A$2)&lt;10,0,"")&amp;DAY(Variables!$A$2)</f>
        <v>-20</v>
      </c>
      <c r="C24" s="147"/>
      <c r="D24" s="165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4" s="30" t="e">
        <f>VLOOKUP(B24,'Train Runs'!$A$13:$A$99940,1,FALSE)</f>
        <v>#N/A</v>
      </c>
    </row>
    <row r="25" spans="1:10" x14ac:dyDescent="0.25">
      <c r="A25" s="186"/>
      <c r="B25" s="43" t="str">
        <f>A25&amp;"-"&amp;IF(DAY(Variables!$A$2)&lt;10,0,"")&amp;DAY(Variables!$A$2)</f>
        <v>-20</v>
      </c>
      <c r="C25" s="147"/>
      <c r="D25" s="165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5" s="30" t="e">
        <f>VLOOKUP(B25,'Train Runs'!$A$13:$A$99940,1,FALSE)</f>
        <v>#N/A</v>
      </c>
    </row>
    <row r="26" spans="1:10" x14ac:dyDescent="0.25">
      <c r="A26" s="186"/>
      <c r="B26" s="43" t="str">
        <f>A26&amp;"-"&amp;IF(DAY(Variables!$A$2)&lt;10,0,"")&amp;DAY(Variables!$A$2)</f>
        <v>-20</v>
      </c>
      <c r="C26" s="147"/>
      <c r="D26" s="165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6" s="30" t="e">
        <f>VLOOKUP(B26,'Train Runs'!$A$13:$A$99940,1,FALSE)</f>
        <v>#N/A</v>
      </c>
    </row>
    <row r="27" spans="1:10" x14ac:dyDescent="0.25">
      <c r="A27" s="186"/>
      <c r="B27" s="43" t="str">
        <f>A27&amp;"-"&amp;IF(DAY(Variables!$A$2)&lt;10,0,"")&amp;DAY(Variables!$A$2)</f>
        <v>-20</v>
      </c>
      <c r="C27" s="147"/>
      <c r="D27" s="165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7" s="30" t="e">
        <f>VLOOKUP(B27,'Train Runs'!$A$13:$A$99940,1,FALSE)</f>
        <v>#N/A</v>
      </c>
    </row>
    <row r="28" spans="1:10" x14ac:dyDescent="0.25">
      <c r="A28" s="186"/>
      <c r="B28" s="43" t="str">
        <f>A28&amp;"-"&amp;IF(DAY(Variables!$A$2)&lt;10,0,"")&amp;DAY(Variables!$A$2)</f>
        <v>-20</v>
      </c>
      <c r="C28" s="147"/>
      <c r="D28" s="165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8" s="30" t="e">
        <f>VLOOKUP(B28,'Train Runs'!$A$13:$A$99940,1,FALSE)</f>
        <v>#N/A</v>
      </c>
    </row>
    <row r="29" spans="1:10" x14ac:dyDescent="0.25">
      <c r="A29" s="186"/>
      <c r="B29" s="43" t="str">
        <f>A29&amp;"-"&amp;IF(DAY(Variables!$A$2)&lt;10,0,"")&amp;DAY(Variables!$A$2)</f>
        <v>-20</v>
      </c>
      <c r="C29" s="147"/>
      <c r="D29" s="165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29" s="30" t="e">
        <f>VLOOKUP(B29,'Train Runs'!$A$13:$A$99940,1,FALSE)</f>
        <v>#N/A</v>
      </c>
    </row>
    <row r="30" spans="1:10" x14ac:dyDescent="0.25">
      <c r="A30" s="186"/>
      <c r="B30" s="43" t="str">
        <f>A30&amp;"-"&amp;IF(DAY(Variables!$A$2)&lt;10,0,"")&amp;DAY(Variables!$A$2)</f>
        <v>-20</v>
      </c>
      <c r="C30" s="147"/>
      <c r="D30" s="165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0" s="30" t="e">
        <f>VLOOKUP(B30,'Train Runs'!$A$13:$A$99940,1,FALSE)</f>
        <v>#N/A</v>
      </c>
    </row>
    <row r="31" spans="1:10" x14ac:dyDescent="0.25">
      <c r="A31" s="186"/>
      <c r="B31" s="43" t="str">
        <f>A31&amp;"-"&amp;IF(DAY(Variables!$A$2)&lt;10,0,"")&amp;DAY(Variables!$A$2)</f>
        <v>-20</v>
      </c>
      <c r="C31" s="147"/>
      <c r="D31" s="165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1" s="30" t="e">
        <f>VLOOKUP(B31,'Train Runs'!$A$13:$A$99940,1,FALSE)</f>
        <v>#N/A</v>
      </c>
    </row>
    <row r="32" spans="1:10" x14ac:dyDescent="0.25">
      <c r="A32" s="186"/>
      <c r="B32" s="43" t="str">
        <f>A32&amp;"-"&amp;IF(DAY(Variables!$A$2)&lt;10,0,"")&amp;DAY(Variables!$A$2)</f>
        <v>-20</v>
      </c>
      <c r="C32" s="147"/>
      <c r="D32" s="165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2" s="30" t="e">
        <f>VLOOKUP(B32,'Train Runs'!$A$13:$A$99940,1,FALSE)</f>
        <v>#N/A</v>
      </c>
    </row>
    <row r="33" spans="1:10" x14ac:dyDescent="0.25">
      <c r="A33" s="186"/>
      <c r="B33" s="43" t="str">
        <f>A33&amp;"-"&amp;IF(DAY(Variables!$A$2)&lt;10,0,"")&amp;DAY(Variables!$A$2)</f>
        <v>-20</v>
      </c>
      <c r="C33" s="147"/>
      <c r="D33" s="165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ref="I33:I64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3" s="30" t="e">
        <f>VLOOKUP(B33,'Train Runs'!$A$13:$A$99940,1,FALSE)</f>
        <v>#N/A</v>
      </c>
    </row>
    <row r="34" spans="1:10" x14ac:dyDescent="0.25">
      <c r="A34" s="186"/>
      <c r="B34" s="43" t="str">
        <f>A34&amp;"-"&amp;IF(DAY(Variables!$A$2)&lt;10,0,"")&amp;DAY(Variables!$A$2)</f>
        <v>-20</v>
      </c>
      <c r="C34" s="147"/>
      <c r="D34" s="165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4" s="30" t="e">
        <f>VLOOKUP(B34,'Train Runs'!$A$13:$A$99940,1,FALSE)</f>
        <v>#N/A</v>
      </c>
    </row>
    <row r="35" spans="1:10" x14ac:dyDescent="0.25">
      <c r="A35" s="186"/>
      <c r="B35" s="43" t="str">
        <f>A35&amp;"-"&amp;IF(DAY(Variables!$A$2)&lt;10,0,"")&amp;DAY(Variables!$A$2)</f>
        <v>-20</v>
      </c>
      <c r="C35" s="147"/>
      <c r="D35" s="165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5" s="30" t="e">
        <f>VLOOKUP(B35,'Train Runs'!$A$13:$A$99940,1,FALSE)</f>
        <v>#N/A</v>
      </c>
    </row>
    <row r="36" spans="1:10" x14ac:dyDescent="0.25">
      <c r="A36" s="186"/>
      <c r="B36" s="43" t="str">
        <f>A36&amp;"-"&amp;IF(DAY(Variables!$A$2)&lt;10,0,"")&amp;DAY(Variables!$A$2)</f>
        <v>-20</v>
      </c>
      <c r="C36" s="147"/>
      <c r="D36" s="165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6" s="30" t="e">
        <f>VLOOKUP(B36,'Train Runs'!$A$13:$A$99940,1,FALSE)</f>
        <v>#N/A</v>
      </c>
    </row>
    <row r="37" spans="1:10" x14ac:dyDescent="0.25">
      <c r="A37" s="186"/>
      <c r="B37" s="43" t="str">
        <f>A37&amp;"-"&amp;IF(DAY(Variables!$A$2)&lt;10,0,"")&amp;DAY(Variables!$A$2)</f>
        <v>-20</v>
      </c>
      <c r="C37" s="147"/>
      <c r="D37" s="165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7" s="30" t="e">
        <f>VLOOKUP(B37,'Train Runs'!$A$13:$A$99940,1,FALSE)</f>
        <v>#N/A</v>
      </c>
    </row>
    <row r="38" spans="1:10" x14ac:dyDescent="0.25">
      <c r="A38" s="186"/>
      <c r="B38" s="43" t="str">
        <f>A38&amp;"-"&amp;IF(DAY(Variables!$A$2)&lt;10,0,"")&amp;DAY(Variables!$A$2)</f>
        <v>-20</v>
      </c>
      <c r="C38" s="147"/>
      <c r="D38" s="165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8" s="30" t="e">
        <f>VLOOKUP(B38,'Train Runs'!$A$13:$A$99940,1,FALSE)</f>
        <v>#N/A</v>
      </c>
    </row>
    <row r="39" spans="1:10" x14ac:dyDescent="0.25">
      <c r="A39" s="186"/>
      <c r="B39" s="43" t="str">
        <f>A39&amp;"-"&amp;IF(DAY(Variables!$A$2)&lt;10,0,"")&amp;DAY(Variables!$A$2)</f>
        <v>-20</v>
      </c>
      <c r="C39" s="147"/>
      <c r="D39" s="165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39" s="30" t="e">
        <f>VLOOKUP(B39,'Train Runs'!$A$13:$A$99940,1,FALSE)</f>
        <v>#N/A</v>
      </c>
    </row>
    <row r="40" spans="1:10" x14ac:dyDescent="0.25">
      <c r="A40" s="186"/>
      <c r="B40" s="43" t="str">
        <f>A40&amp;"-"&amp;IF(DAY(Variables!$A$2)&lt;10,0,"")&amp;DAY(Variables!$A$2)</f>
        <v>-20</v>
      </c>
      <c r="C40" s="147"/>
      <c r="D40" s="165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0" s="30" t="e">
        <f>VLOOKUP(B40,'Train Runs'!$A$13:$A$99940,1,FALSE)</f>
        <v>#N/A</v>
      </c>
    </row>
    <row r="41" spans="1:10" x14ac:dyDescent="0.25">
      <c r="A41" s="186"/>
      <c r="B41" s="43" t="str">
        <f>A41&amp;"-"&amp;IF(DAY(Variables!$A$2)&lt;10,0,"")&amp;DAY(Variables!$A$2)</f>
        <v>-20</v>
      </c>
      <c r="C41" s="147"/>
      <c r="D41" s="165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1" s="30" t="e">
        <f>VLOOKUP(B41,'Train Runs'!$A$13:$A$99940,1,FALSE)</f>
        <v>#N/A</v>
      </c>
    </row>
    <row r="42" spans="1:10" x14ac:dyDescent="0.25">
      <c r="A42" s="186"/>
      <c r="B42" s="43" t="str">
        <f>A42&amp;"-"&amp;IF(DAY(Variables!$A$2)&lt;10,0,"")&amp;DAY(Variables!$A$2)</f>
        <v>-20</v>
      </c>
      <c r="C42" s="147"/>
      <c r="D42" s="165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2" s="30" t="e">
        <f>VLOOKUP(B42,'Train Runs'!$A$13:$A$99940,1,FALSE)</f>
        <v>#N/A</v>
      </c>
    </row>
    <row r="43" spans="1:10" x14ac:dyDescent="0.25">
      <c r="A43" s="186"/>
      <c r="B43" s="43" t="str">
        <f>A43&amp;"-"&amp;IF(DAY(Variables!$A$2)&lt;10,0,"")&amp;DAY(Variables!$A$2)</f>
        <v>-20</v>
      </c>
      <c r="C43" s="147"/>
      <c r="D43" s="165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3" s="30" t="e">
        <f>VLOOKUP(B43,'Train Runs'!$A$13:$A$99940,1,FALSE)</f>
        <v>#N/A</v>
      </c>
    </row>
    <row r="44" spans="1:10" x14ac:dyDescent="0.25">
      <c r="A44" s="186"/>
      <c r="B44" s="43" t="str">
        <f>A44&amp;"-"&amp;IF(DAY(Variables!$A$2)&lt;10,0,"")&amp;DAY(Variables!$A$2)</f>
        <v>-20</v>
      </c>
      <c r="C44" s="147"/>
      <c r="D44" s="165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4" s="30" t="e">
        <f>VLOOKUP(B44,'Train Runs'!$A$13:$A$99940,1,FALSE)</f>
        <v>#N/A</v>
      </c>
    </row>
    <row r="45" spans="1:10" x14ac:dyDescent="0.25">
      <c r="A45" s="186"/>
      <c r="B45" s="43" t="str">
        <f>A45&amp;"-"&amp;IF(DAY(Variables!$A$2)&lt;10,0,"")&amp;DAY(Variables!$A$2)</f>
        <v>-20</v>
      </c>
      <c r="C45" s="147"/>
      <c r="D45" s="165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5" s="30" t="e">
        <f>VLOOKUP(B45,'Train Runs'!$A$13:$A$99940,1,FALSE)</f>
        <v>#N/A</v>
      </c>
    </row>
    <row r="46" spans="1:10" x14ac:dyDescent="0.25">
      <c r="A46" s="186"/>
      <c r="B46" s="43" t="str">
        <f>A46&amp;"-"&amp;IF(DAY(Variables!$A$2)&lt;10,0,"")&amp;DAY(Variables!$A$2)</f>
        <v>-20</v>
      </c>
      <c r="C46" s="147"/>
      <c r="D46" s="165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6" s="30" t="e">
        <f>VLOOKUP(B46,'Train Runs'!$A$13:$A$99940,1,FALSE)</f>
        <v>#N/A</v>
      </c>
    </row>
    <row r="47" spans="1:10" x14ac:dyDescent="0.25">
      <c r="A47" s="186"/>
      <c r="B47" s="43" t="str">
        <f>A47&amp;"-"&amp;IF(DAY(Variables!$A$2)&lt;10,0,"")&amp;DAY(Variables!$A$2)</f>
        <v>-20</v>
      </c>
      <c r="C47" s="147"/>
      <c r="D47" s="165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7" s="30" t="e">
        <f>VLOOKUP(B47,'Train Runs'!$A$13:$A$99940,1,FALSE)</f>
        <v>#N/A</v>
      </c>
    </row>
    <row r="48" spans="1:10" x14ac:dyDescent="0.25">
      <c r="A48" s="186"/>
      <c r="B48" s="43" t="str">
        <f>A48&amp;"-"&amp;IF(DAY(Variables!$A$2)&lt;10,0,"")&amp;DAY(Variables!$A$2)</f>
        <v>-20</v>
      </c>
      <c r="C48" s="147"/>
      <c r="D48" s="165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8" s="30" t="e">
        <f>VLOOKUP(B48,'Train Runs'!$A$13:$A$99940,1,FALSE)</f>
        <v>#N/A</v>
      </c>
    </row>
    <row r="49" spans="1:10" x14ac:dyDescent="0.25">
      <c r="A49" s="186"/>
      <c r="B49" s="43" t="str">
        <f>A49&amp;"-"&amp;IF(DAY(Variables!$A$2)&lt;10,0,"")&amp;DAY(Variables!$A$2)</f>
        <v>-20</v>
      </c>
      <c r="C49" s="147"/>
      <c r="D49" s="165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49" s="30" t="e">
        <f>VLOOKUP(B49,'Train Runs'!$A$13:$A$99940,1,FALSE)</f>
        <v>#N/A</v>
      </c>
    </row>
    <row r="50" spans="1:10" x14ac:dyDescent="0.25">
      <c r="A50" s="186"/>
      <c r="B50" s="43" t="str">
        <f>A50&amp;"-"&amp;IF(DAY(Variables!$A$2)&lt;10,0,"")&amp;DAY(Variables!$A$2)</f>
        <v>-20</v>
      </c>
      <c r="C50" s="147"/>
      <c r="D50" s="165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0" s="30" t="e">
        <f>VLOOKUP(B50,'Train Runs'!$A$13:$A$99940,1,FALSE)</f>
        <v>#N/A</v>
      </c>
    </row>
    <row r="51" spans="1:10" x14ac:dyDescent="0.25">
      <c r="A51" s="186"/>
      <c r="B51" s="43" t="str">
        <f>A51&amp;"-"&amp;IF(DAY(Variables!$A$2)&lt;10,0,"")&amp;DAY(Variables!$A$2)</f>
        <v>-20</v>
      </c>
      <c r="C51" s="147"/>
      <c r="D51" s="165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1" s="30" t="e">
        <f>VLOOKUP(B51,'Train Runs'!$A$13:$A$99940,1,FALSE)</f>
        <v>#N/A</v>
      </c>
    </row>
    <row r="52" spans="1:10" x14ac:dyDescent="0.25">
      <c r="A52" s="186"/>
      <c r="B52" s="43" t="str">
        <f>A52&amp;"-"&amp;IF(DAY(Variables!$A$2)&lt;10,0,"")&amp;DAY(Variables!$A$2)</f>
        <v>-20</v>
      </c>
      <c r="C52" s="147"/>
      <c r="D52" s="165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2" s="30" t="e">
        <f>VLOOKUP(B52,'Train Runs'!$A$13:$A$99940,1,FALSE)</f>
        <v>#N/A</v>
      </c>
    </row>
    <row r="53" spans="1:10" x14ac:dyDescent="0.25">
      <c r="A53" s="186"/>
      <c r="B53" s="43" t="str">
        <f>A53&amp;"-"&amp;IF(DAY(Variables!$A$2)&lt;10,0,"")&amp;DAY(Variables!$A$2)</f>
        <v>-20</v>
      </c>
      <c r="C53" s="147"/>
      <c r="D53" s="165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3" s="30" t="e">
        <f>VLOOKUP(B53,'Train Runs'!$A$13:$A$99940,1,FALSE)</f>
        <v>#N/A</v>
      </c>
    </row>
    <row r="54" spans="1:10" x14ac:dyDescent="0.25">
      <c r="A54" s="186"/>
      <c r="B54" s="43" t="str">
        <f>A54&amp;"-"&amp;IF(DAY(Variables!$A$2)&lt;10,0,"")&amp;DAY(Variables!$A$2)</f>
        <v>-20</v>
      </c>
      <c r="C54" s="147"/>
      <c r="D54" s="165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4" s="30" t="e">
        <f>VLOOKUP(B54,'Train Runs'!$A$13:$A$99940,1,FALSE)</f>
        <v>#N/A</v>
      </c>
    </row>
    <row r="55" spans="1:10" x14ac:dyDescent="0.25">
      <c r="A55" s="186"/>
      <c r="B55" s="43" t="str">
        <f>A55&amp;"-"&amp;IF(DAY(Variables!$A$2)&lt;10,0,"")&amp;DAY(Variables!$A$2)</f>
        <v>-20</v>
      </c>
      <c r="C55" s="147"/>
      <c r="D55" s="165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5" s="30" t="e">
        <f>VLOOKUP(B55,'Train Runs'!$A$13:$A$99940,1,FALSE)</f>
        <v>#N/A</v>
      </c>
    </row>
    <row r="56" spans="1:10" x14ac:dyDescent="0.25">
      <c r="A56" s="186"/>
      <c r="B56" s="43" t="str">
        <f>A56&amp;"-"&amp;IF(DAY(Variables!$A$2)&lt;10,0,"")&amp;DAY(Variables!$A$2)</f>
        <v>-20</v>
      </c>
      <c r="C56" s="147"/>
      <c r="D56" s="165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6" s="30" t="e">
        <f>VLOOKUP(B56,'Train Runs'!$A$13:$A$99940,1,FALSE)</f>
        <v>#N/A</v>
      </c>
    </row>
    <row r="57" spans="1:10" x14ac:dyDescent="0.25">
      <c r="A57" s="186"/>
      <c r="B57" s="43" t="str">
        <f>A57&amp;"-"&amp;IF(DAY(Variables!$A$2)&lt;10,0,"")&amp;DAY(Variables!$A$2)</f>
        <v>-20</v>
      </c>
      <c r="C57" s="147"/>
      <c r="D57" s="165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7" s="30" t="e">
        <f>VLOOKUP(B57,'Train Runs'!$A$13:$A$99940,1,FALSE)</f>
        <v>#N/A</v>
      </c>
    </row>
    <row r="58" spans="1:10" x14ac:dyDescent="0.25">
      <c r="A58" s="186"/>
      <c r="B58" s="43" t="str">
        <f>A58&amp;"-"&amp;IF(DAY(Variables!$A$2)&lt;10,0,"")&amp;DAY(Variables!$A$2)</f>
        <v>-20</v>
      </c>
      <c r="C58" s="147"/>
      <c r="D58" s="165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8" s="30" t="e">
        <f>VLOOKUP(B58,'Train Runs'!$A$13:$A$99940,1,FALSE)</f>
        <v>#N/A</v>
      </c>
    </row>
    <row r="59" spans="1:10" x14ac:dyDescent="0.25">
      <c r="A59" s="186"/>
      <c r="B59" s="43" t="str">
        <f>A59&amp;"-"&amp;IF(DAY(Variables!$A$2)&lt;10,0,"")&amp;DAY(Variables!$A$2)</f>
        <v>-20</v>
      </c>
      <c r="C59" s="147"/>
      <c r="D59" s="165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59" s="30" t="e">
        <f>VLOOKUP(B59,'Train Runs'!$A$13:$A$99940,1,FALSE)</f>
        <v>#N/A</v>
      </c>
    </row>
    <row r="60" spans="1:10" x14ac:dyDescent="0.25">
      <c r="A60" s="186"/>
      <c r="B60" s="43" t="str">
        <f>A60&amp;"-"&amp;IF(DAY(Variables!$A$2)&lt;10,0,"")&amp;DAY(Variables!$A$2)</f>
        <v>-20</v>
      </c>
      <c r="C60" s="147"/>
      <c r="D60" s="165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0" s="30" t="e">
        <f>VLOOKUP(B60,'Train Runs'!$A$13:$A$99940,1,FALSE)</f>
        <v>#N/A</v>
      </c>
    </row>
    <row r="61" spans="1:10" x14ac:dyDescent="0.25">
      <c r="A61" s="186"/>
      <c r="B61" s="43" t="str">
        <f>A61&amp;"-"&amp;IF(DAY(Variables!$A$2)&lt;10,0,"")&amp;DAY(Variables!$A$2)</f>
        <v>-20</v>
      </c>
      <c r="C61" s="147"/>
      <c r="D61" s="165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1" s="30" t="e">
        <f>VLOOKUP(B61,'Train Runs'!$A$13:$A$99940,1,FALSE)</f>
        <v>#N/A</v>
      </c>
    </row>
    <row r="62" spans="1:10" x14ac:dyDescent="0.25">
      <c r="A62" s="186"/>
      <c r="B62" s="43" t="str">
        <f>A62&amp;"-"&amp;IF(DAY(Variables!$A$2)&lt;10,0,"")&amp;DAY(Variables!$A$2)</f>
        <v>-20</v>
      </c>
      <c r="C62" s="147"/>
      <c r="D62" s="165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2" s="30" t="e">
        <f>VLOOKUP(B62,'Train Runs'!$A$13:$A$99940,1,FALSE)</f>
        <v>#N/A</v>
      </c>
    </row>
    <row r="63" spans="1:10" x14ac:dyDescent="0.25">
      <c r="A63" s="186"/>
      <c r="B63" s="43" t="str">
        <f>A63&amp;"-"&amp;IF(DAY(Variables!$A$2)&lt;10,0,"")&amp;DAY(Variables!$A$2)</f>
        <v>-20</v>
      </c>
      <c r="C63" s="147"/>
      <c r="D63" s="165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3" s="30" t="e">
        <f>VLOOKUP(B63,'Train Runs'!$A$13:$A$99940,1,FALSE)</f>
        <v>#N/A</v>
      </c>
    </row>
    <row r="64" spans="1:10" x14ac:dyDescent="0.25">
      <c r="A64" s="186"/>
      <c r="B64" s="43" t="str">
        <f>A64&amp;"-"&amp;IF(DAY(Variables!$A$2)&lt;10,0,"")&amp;DAY(Variables!$A$2)</f>
        <v>-20</v>
      </c>
      <c r="C64" s="147"/>
      <c r="D64" s="165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4" s="30" t="e">
        <f>VLOOKUP(B64,'Train Runs'!$A$13:$A$99940,1,FALSE)</f>
        <v>#N/A</v>
      </c>
    </row>
    <row r="65" spans="1:10" x14ac:dyDescent="0.25">
      <c r="A65" s="186"/>
      <c r="B65" s="43" t="str">
        <f>A65&amp;"-"&amp;IF(DAY(Variables!$A$2)&lt;10,0,"")&amp;DAY(Variables!$A$2)</f>
        <v>-20</v>
      </c>
      <c r="C65" s="147"/>
      <c r="D65" s="165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ref="I65:I96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5" s="30" t="e">
        <f>VLOOKUP(B65,'Train Runs'!$A$13:$A$99940,1,FALSE)</f>
        <v>#N/A</v>
      </c>
    </row>
    <row r="66" spans="1:10" x14ac:dyDescent="0.25">
      <c r="A66" s="186"/>
      <c r="B66" s="43" t="str">
        <f>A66&amp;"-"&amp;IF(DAY(Variables!$A$2)&lt;10,0,"")&amp;DAY(Variables!$A$2)</f>
        <v>-20</v>
      </c>
      <c r="C66" s="147"/>
      <c r="D66" s="165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6" s="30" t="e">
        <f>VLOOKUP(B66,'Train Runs'!$A$13:$A$99940,1,FALSE)</f>
        <v>#N/A</v>
      </c>
    </row>
    <row r="67" spans="1:10" x14ac:dyDescent="0.25">
      <c r="A67" s="186"/>
      <c r="B67" s="43" t="str">
        <f>A67&amp;"-"&amp;IF(DAY(Variables!$A$2)&lt;10,0,"")&amp;DAY(Variables!$A$2)</f>
        <v>-20</v>
      </c>
      <c r="C67" s="147"/>
      <c r="D67" s="165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7" s="30" t="e">
        <f>VLOOKUP(B67,'Train Runs'!$A$13:$A$99940,1,FALSE)</f>
        <v>#N/A</v>
      </c>
    </row>
    <row r="68" spans="1:10" x14ac:dyDescent="0.25">
      <c r="A68" s="186"/>
      <c r="B68" s="43" t="str">
        <f>A68&amp;"-"&amp;IF(DAY(Variables!$A$2)&lt;10,0,"")&amp;DAY(Variables!$A$2)</f>
        <v>-20</v>
      </c>
      <c r="C68" s="147"/>
      <c r="D68" s="165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8" s="30" t="e">
        <f>VLOOKUP(B68,'Train Runs'!$A$13:$A$99940,1,FALSE)</f>
        <v>#N/A</v>
      </c>
    </row>
    <row r="69" spans="1:10" x14ac:dyDescent="0.25">
      <c r="A69" s="186"/>
      <c r="B69" s="43" t="str">
        <f>A69&amp;"-"&amp;IF(DAY(Variables!$A$2)&lt;10,0,"")&amp;DAY(Variables!$A$2)</f>
        <v>-20</v>
      </c>
      <c r="C69" s="147"/>
      <c r="D69" s="165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9" s="30" t="e">
        <f>VLOOKUP(B69,'Train Runs'!$A$13:$A$99940,1,FALSE)</f>
        <v>#N/A</v>
      </c>
    </row>
    <row r="70" spans="1:10" x14ac:dyDescent="0.25">
      <c r="A70" s="186"/>
      <c r="B70" s="43" t="str">
        <f>A70&amp;"-"&amp;IF(DAY(Variables!$A$2)&lt;10,0,"")&amp;DAY(Variables!$A$2)</f>
        <v>-20</v>
      </c>
      <c r="C70" s="147"/>
      <c r="D70" s="165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0" s="30" t="e">
        <f>VLOOKUP(B70,'Train Runs'!$A$13:$A$99940,1,FALSE)</f>
        <v>#N/A</v>
      </c>
    </row>
    <row r="71" spans="1:10" x14ac:dyDescent="0.25">
      <c r="A71" s="186"/>
      <c r="B71" s="43" t="str">
        <f>A71&amp;"-"&amp;IF(DAY(Variables!$A$2)&lt;10,0,"")&amp;DAY(Variables!$A$2)</f>
        <v>-20</v>
      </c>
      <c r="C71" s="147"/>
      <c r="D71" s="165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1" s="30" t="e">
        <f>VLOOKUP(B71,'Train Runs'!$A$13:$A$99940,1,FALSE)</f>
        <v>#N/A</v>
      </c>
    </row>
    <row r="72" spans="1:10" x14ac:dyDescent="0.25">
      <c r="A72" s="186"/>
      <c r="B72" s="43" t="str">
        <f>A72&amp;"-"&amp;IF(DAY(Variables!$A$2)&lt;10,0,"")&amp;DAY(Variables!$A$2)</f>
        <v>-20</v>
      </c>
      <c r="C72" s="147"/>
      <c r="D72" s="165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2" s="30" t="e">
        <f>VLOOKUP(B72,'Train Runs'!$A$13:$A$99940,1,FALSE)</f>
        <v>#N/A</v>
      </c>
    </row>
    <row r="73" spans="1:10" x14ac:dyDescent="0.25">
      <c r="A73" s="186"/>
      <c r="B73" s="43" t="str">
        <f>A73&amp;"-"&amp;IF(DAY(Variables!$A$2)&lt;10,0,"")&amp;DAY(Variables!$A$2)</f>
        <v>-20</v>
      </c>
      <c r="C73" s="147"/>
      <c r="D73" s="165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3" s="30" t="e">
        <f>VLOOKUP(B73,'Train Runs'!$A$13:$A$99940,1,FALSE)</f>
        <v>#N/A</v>
      </c>
    </row>
    <row r="74" spans="1:10" x14ac:dyDescent="0.25">
      <c r="A74" s="186"/>
      <c r="B74" s="43" t="str">
        <f>A74&amp;"-"&amp;IF(DAY(Variables!$A$2)&lt;10,0,"")&amp;DAY(Variables!$A$2)</f>
        <v>-20</v>
      </c>
      <c r="C74" s="147"/>
      <c r="D74" s="165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4" s="30" t="e">
        <f>VLOOKUP(B74,'Train Runs'!$A$13:$A$99940,1,FALSE)</f>
        <v>#N/A</v>
      </c>
    </row>
    <row r="75" spans="1:10" x14ac:dyDescent="0.25">
      <c r="A75" s="186"/>
      <c r="B75" s="43" t="str">
        <f>A75&amp;"-"&amp;IF(DAY(Variables!$A$2)&lt;10,0,"")&amp;DAY(Variables!$A$2)</f>
        <v>-20</v>
      </c>
      <c r="C75" s="147"/>
      <c r="D75" s="165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5" s="30" t="e">
        <f>VLOOKUP(B75,'Train Runs'!$A$13:$A$99940,1,FALSE)</f>
        <v>#N/A</v>
      </c>
    </row>
    <row r="76" spans="1:10" x14ac:dyDescent="0.25">
      <c r="A76" s="186"/>
      <c r="B76" s="43" t="str">
        <f>A76&amp;"-"&amp;IF(DAY(Variables!$A$2)&lt;10,0,"")&amp;DAY(Variables!$A$2)</f>
        <v>-20</v>
      </c>
      <c r="C76" s="147"/>
      <c r="D76" s="165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6" s="30" t="e">
        <f>VLOOKUP(B76,'Train Runs'!$A$13:$A$99940,1,FALSE)</f>
        <v>#N/A</v>
      </c>
    </row>
    <row r="77" spans="1:10" x14ac:dyDescent="0.25">
      <c r="A77" s="186"/>
      <c r="B77" s="43" t="str">
        <f>A77&amp;"-"&amp;IF(DAY(Variables!$A$2)&lt;10,0,"")&amp;DAY(Variables!$A$2)</f>
        <v>-20</v>
      </c>
      <c r="C77" s="147"/>
      <c r="D77" s="165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7" s="30" t="e">
        <f>VLOOKUP(B77,'Train Runs'!$A$13:$A$99940,1,FALSE)</f>
        <v>#N/A</v>
      </c>
    </row>
    <row r="78" spans="1:10" x14ac:dyDescent="0.25">
      <c r="A78" s="186"/>
      <c r="B78" s="43" t="str">
        <f>A78&amp;"-"&amp;IF(DAY(Variables!$A$2)&lt;10,0,"")&amp;DAY(Variables!$A$2)</f>
        <v>-20</v>
      </c>
      <c r="C78" s="147"/>
      <c r="D78" s="165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8" s="30" t="e">
        <f>VLOOKUP(B78,'Train Runs'!$A$13:$A$99940,1,FALSE)</f>
        <v>#N/A</v>
      </c>
    </row>
    <row r="79" spans="1:10" x14ac:dyDescent="0.25">
      <c r="A79" s="186"/>
      <c r="B79" s="43" t="str">
        <f>A79&amp;"-"&amp;IF(DAY(Variables!$A$2)&lt;10,0,"")&amp;DAY(Variables!$A$2)</f>
        <v>-20</v>
      </c>
      <c r="C79" s="147"/>
      <c r="D79" s="165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9" s="30" t="e">
        <f>VLOOKUP(B79,'Train Runs'!$A$13:$A$99940,1,FALSE)</f>
        <v>#N/A</v>
      </c>
    </row>
    <row r="80" spans="1:10" x14ac:dyDescent="0.25">
      <c r="A80" s="186"/>
      <c r="B80" s="43" t="str">
        <f>A80&amp;"-"&amp;IF(DAY(Variables!$A$2)&lt;10,0,"")&amp;DAY(Variables!$A$2)</f>
        <v>-20</v>
      </c>
      <c r="C80" s="147"/>
      <c r="D80" s="165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0" s="30" t="e">
        <f>VLOOKUP(B80,'Train Runs'!$A$13:$A$99940,1,FALSE)</f>
        <v>#N/A</v>
      </c>
    </row>
    <row r="81" spans="1:10" x14ac:dyDescent="0.25">
      <c r="A81" s="186"/>
      <c r="B81" s="43" t="str">
        <f>A81&amp;"-"&amp;IF(DAY(Variables!$A$2)&lt;10,0,"")&amp;DAY(Variables!$A$2)</f>
        <v>-20</v>
      </c>
      <c r="C81" s="147"/>
      <c r="D81" s="165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1" s="30" t="e">
        <f>VLOOKUP(B81,'Train Runs'!$A$13:$A$99940,1,FALSE)</f>
        <v>#N/A</v>
      </c>
    </row>
    <row r="82" spans="1:10" x14ac:dyDescent="0.25">
      <c r="A82" s="186"/>
      <c r="B82" s="43" t="str">
        <f>A82&amp;"-"&amp;IF(DAY(Variables!$A$2)&lt;10,0,"")&amp;DAY(Variables!$A$2)</f>
        <v>-20</v>
      </c>
      <c r="C82" s="147"/>
      <c r="D82" s="165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2" s="30" t="e">
        <f>VLOOKUP(B82,'Train Runs'!$A$13:$A$99940,1,FALSE)</f>
        <v>#N/A</v>
      </c>
    </row>
    <row r="83" spans="1:10" x14ac:dyDescent="0.25">
      <c r="A83" s="186"/>
      <c r="B83" s="43" t="str">
        <f>A83&amp;"-"&amp;IF(DAY(Variables!$A$2)&lt;10,0,"")&amp;DAY(Variables!$A$2)</f>
        <v>-20</v>
      </c>
      <c r="C83" s="147"/>
      <c r="D83" s="165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3" s="30" t="e">
        <f>VLOOKUP(B83,'Train Runs'!$A$13:$A$99940,1,FALSE)</f>
        <v>#N/A</v>
      </c>
    </row>
    <row r="84" spans="1:10" x14ac:dyDescent="0.25">
      <c r="A84" s="186"/>
      <c r="B84" s="43" t="str">
        <f>A84&amp;"-"&amp;IF(DAY(Variables!$A$2)&lt;10,0,"")&amp;DAY(Variables!$A$2)</f>
        <v>-20</v>
      </c>
      <c r="C84" s="147"/>
      <c r="D84" s="165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4" s="30" t="e">
        <f>VLOOKUP(B84,'Train Runs'!$A$13:$A$99940,1,FALSE)</f>
        <v>#N/A</v>
      </c>
    </row>
    <row r="85" spans="1:10" x14ac:dyDescent="0.25">
      <c r="A85" s="186"/>
      <c r="B85" s="43" t="str">
        <f>A85&amp;"-"&amp;IF(DAY(Variables!$A$2)&lt;10,0,"")&amp;DAY(Variables!$A$2)</f>
        <v>-20</v>
      </c>
      <c r="C85" s="147"/>
      <c r="D85" s="165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5" s="30" t="e">
        <f>VLOOKUP(B85,'Train Runs'!$A$13:$A$99940,1,FALSE)</f>
        <v>#N/A</v>
      </c>
    </row>
    <row r="86" spans="1:10" x14ac:dyDescent="0.25">
      <c r="A86" s="186"/>
      <c r="B86" s="43" t="str">
        <f>A86&amp;"-"&amp;IF(DAY(Variables!$A$2)&lt;10,0,"")&amp;DAY(Variables!$A$2)</f>
        <v>-20</v>
      </c>
      <c r="C86" s="147"/>
      <c r="D86" s="165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6" s="30" t="e">
        <f>VLOOKUP(B86,'Train Runs'!$A$13:$A$99940,1,FALSE)</f>
        <v>#N/A</v>
      </c>
    </row>
    <row r="87" spans="1:10" x14ac:dyDescent="0.25">
      <c r="A87" s="186"/>
      <c r="B87" s="43" t="str">
        <f>A87&amp;"-"&amp;IF(DAY(Variables!$A$2)&lt;10,0,"")&amp;DAY(Variables!$A$2)</f>
        <v>-20</v>
      </c>
      <c r="C87" s="147"/>
      <c r="D87" s="165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7" s="30" t="e">
        <f>VLOOKUP(B87,'Train Runs'!$A$13:$A$99940,1,FALSE)</f>
        <v>#N/A</v>
      </c>
    </row>
    <row r="88" spans="1:10" x14ac:dyDescent="0.25">
      <c r="A88" s="186"/>
      <c r="B88" s="43" t="str">
        <f>A88&amp;"-"&amp;IF(DAY(Variables!$A$2)&lt;10,0,"")&amp;DAY(Variables!$A$2)</f>
        <v>-20</v>
      </c>
      <c r="C88" s="147"/>
      <c r="D88" s="165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8" s="30" t="e">
        <f>VLOOKUP(B88,'Train Runs'!$A$13:$A$99940,1,FALSE)</f>
        <v>#N/A</v>
      </c>
    </row>
    <row r="89" spans="1:10" x14ac:dyDescent="0.25">
      <c r="A89" s="186"/>
      <c r="B89" s="43" t="str">
        <f>A89&amp;"-"&amp;IF(DAY(Variables!$A$2)&lt;10,0,"")&amp;DAY(Variables!$A$2)</f>
        <v>-20</v>
      </c>
      <c r="C89" s="147"/>
      <c r="D89" s="165"/>
      <c r="E89" s="30"/>
      <c r="F89" s="21" t="e">
        <f>VLOOKUP(B89,'Trips&amp;Operators'!$C$2:$E$10000,3,FALSE)</f>
        <v>#N/A</v>
      </c>
      <c r="G89" s="21" t="e">
        <f>VLOOKUP(B89,'Trips&amp;Operators'!$C$1:$F$10000,4,FALSE)</f>
        <v>#N/A</v>
      </c>
      <c r="H89" s="29" t="e">
        <f>VLOOKUP(B89,'Trips&amp;Operators'!$C$1:$H$10000,5,FALSE)</f>
        <v>#N/A</v>
      </c>
      <c r="I8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9" s="30" t="e">
        <f>VLOOKUP(B89,'Train Runs'!$A$13:$A$99940,1,FALSE)</f>
        <v>#N/A</v>
      </c>
    </row>
    <row r="90" spans="1:10" x14ac:dyDescent="0.25">
      <c r="A90" s="186"/>
      <c r="B90" s="43" t="str">
        <f>A90&amp;"-"&amp;IF(DAY(Variables!$A$2)&lt;10,0,"")&amp;DAY(Variables!$A$2)</f>
        <v>-20</v>
      </c>
      <c r="C90" s="147"/>
      <c r="D90" s="165"/>
      <c r="E90" s="30"/>
      <c r="F90" s="21" t="e">
        <f>VLOOKUP(B90,'Trips&amp;Operators'!$C$2:$E$10000,3,FALSE)</f>
        <v>#N/A</v>
      </c>
      <c r="G90" s="21" t="e">
        <f>VLOOKUP(B90,'Trips&amp;Operators'!$C$1:$F$10000,4,FALSE)</f>
        <v>#N/A</v>
      </c>
      <c r="H90" s="29" t="e">
        <f>VLOOKUP(B90,'Trips&amp;Operators'!$C$1:$H$10000,5,FALSE)</f>
        <v>#N/A</v>
      </c>
      <c r="I9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90" s="30" t="e">
        <f>VLOOKUP(B90,'Train Runs'!$A$13:$A$99940,1,FALSE)</f>
        <v>#N/A</v>
      </c>
    </row>
    <row r="91" spans="1:10" x14ac:dyDescent="0.25">
      <c r="A91" s="186"/>
      <c r="B91" s="43" t="str">
        <f>A91&amp;"-"&amp;IF(DAY(Variables!$A$2)&lt;10,0,"")&amp;DAY(Variables!$A$2)</f>
        <v>-20</v>
      </c>
      <c r="C91" s="147"/>
      <c r="D91" s="165"/>
      <c r="E91" s="30"/>
      <c r="F91" s="21" t="e">
        <f>VLOOKUP(B91,'Trips&amp;Operators'!$C$2:$E$10000,3,FALSE)</f>
        <v>#N/A</v>
      </c>
      <c r="G91" s="21" t="e">
        <f>VLOOKUP(B91,'Trips&amp;Operators'!$C$1:$F$10000,4,FALSE)</f>
        <v>#N/A</v>
      </c>
      <c r="H91" s="29" t="e">
        <f>VLOOKUP(B91,'Trips&amp;Operators'!$C$1:$H$10000,5,FALSE)</f>
        <v>#N/A</v>
      </c>
      <c r="I9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91" s="30" t="e">
        <f>VLOOKUP(B91,'Train Runs'!$A$13:$A$99940,1,FALSE)</f>
        <v>#N/A</v>
      </c>
    </row>
    <row r="92" spans="1:10" x14ac:dyDescent="0.25">
      <c r="A92" s="186"/>
      <c r="B92" s="43" t="str">
        <f>A92&amp;"-"&amp;IF(DAY(Variables!$A$2)&lt;10,0,"")&amp;DAY(Variables!$A$2)</f>
        <v>-20</v>
      </c>
      <c r="C92" s="147"/>
      <c r="D92" s="165"/>
      <c r="E92" s="30"/>
      <c r="F92" s="21" t="e">
        <f>VLOOKUP(B92,'Trips&amp;Operators'!$C$2:$E$10000,3,FALSE)</f>
        <v>#N/A</v>
      </c>
      <c r="G92" s="21" t="e">
        <f>VLOOKUP(B92,'Trips&amp;Operators'!$C$1:$F$10000,4,FALSE)</f>
        <v>#N/A</v>
      </c>
      <c r="H92" s="29" t="e">
        <f>VLOOKUP(B92,'Trips&amp;Operators'!$C$1:$H$10000,5,FALSE)</f>
        <v>#N/A</v>
      </c>
      <c r="I9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92" s="30" t="e">
        <f>VLOOKUP(B92,'Train Runs'!$A$13:$A$99940,1,FALSE)</f>
        <v>#N/A</v>
      </c>
    </row>
    <row r="93" spans="1:10" x14ac:dyDescent="0.25">
      <c r="A93" s="186"/>
      <c r="B93" s="43" t="str">
        <f>A93&amp;"-"&amp;IF(DAY(Variables!$A$2)&lt;10,0,"")&amp;DAY(Variables!$A$2)</f>
        <v>-20</v>
      </c>
      <c r="C93" s="147"/>
      <c r="D93" s="165"/>
      <c r="E93" s="30"/>
      <c r="F93" s="21" t="e">
        <f>VLOOKUP(B93,'Trips&amp;Operators'!$C$2:$E$10000,3,FALSE)</f>
        <v>#N/A</v>
      </c>
      <c r="G93" s="21" t="e">
        <f>VLOOKUP(B93,'Trips&amp;Operators'!$C$1:$F$10000,4,FALSE)</f>
        <v>#N/A</v>
      </c>
      <c r="H93" s="29" t="e">
        <f>VLOOKUP(B93,'Trips&amp;Operators'!$C$1:$H$10000,5,FALSE)</f>
        <v>#N/A</v>
      </c>
      <c r="I9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93" s="30" t="e">
        <f>VLOOKUP(B93,'Train Runs'!$A$13:$A$99940,1,FALSE)</f>
        <v>#N/A</v>
      </c>
    </row>
    <row r="94" spans="1:10" x14ac:dyDescent="0.25">
      <c r="A94" s="186"/>
      <c r="B94" s="43" t="str">
        <f>A94&amp;"-"&amp;IF(DAY(Variables!$A$2)&lt;10,0,"")&amp;DAY(Variables!$A$2)</f>
        <v>-20</v>
      </c>
      <c r="C94" s="147"/>
      <c r="D94" s="165"/>
      <c r="E94" s="30"/>
      <c r="F94" s="21" t="e">
        <f>VLOOKUP(B94,'Trips&amp;Operators'!$C$2:$E$10000,3,FALSE)</f>
        <v>#N/A</v>
      </c>
      <c r="G94" s="21" t="e">
        <f>VLOOKUP(B94,'Trips&amp;Operators'!$C$1:$F$10000,4,FALSE)</f>
        <v>#N/A</v>
      </c>
      <c r="H94" s="29" t="e">
        <f>VLOOKUP(B94,'Trips&amp;Operators'!$C$1:$H$10000,5,FALSE)</f>
        <v>#N/A</v>
      </c>
      <c r="I9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94" s="30" t="e">
        <f>VLOOKUP(B94,'Train Runs'!$A$13:$A$99940,1,FALSE)</f>
        <v>#N/A</v>
      </c>
    </row>
    <row r="95" spans="1:10" x14ac:dyDescent="0.25">
      <c r="A95" s="186"/>
      <c r="B95" s="43" t="str">
        <f>A95&amp;"-"&amp;IF(DAY(Variables!$A$2)&lt;10,0,"")&amp;DAY(Variables!$A$2)</f>
        <v>-20</v>
      </c>
      <c r="C95" s="147"/>
      <c r="D95" s="165"/>
      <c r="E95" s="30"/>
      <c r="F95" s="21" t="e">
        <f>VLOOKUP(B95,'Trips&amp;Operators'!$C$2:$E$10000,3,FALSE)</f>
        <v>#N/A</v>
      </c>
      <c r="G95" s="21" t="e">
        <f>VLOOKUP(B95,'Trips&amp;Operators'!$C$1:$F$10000,4,FALSE)</f>
        <v>#N/A</v>
      </c>
      <c r="H95" s="29" t="e">
        <f>VLOOKUP(B95,'Trips&amp;Operators'!$C$1:$H$10000,5,FALSE)</f>
        <v>#N/A</v>
      </c>
      <c r="I9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95" s="30" t="e">
        <f>VLOOKUP(B95,'Train Runs'!$A$13:$A$99940,1,FALSE)</f>
        <v>#N/A</v>
      </c>
    </row>
    <row r="96" spans="1:10" x14ac:dyDescent="0.25">
      <c r="A96" s="186"/>
      <c r="B96" s="43" t="str">
        <f>A96&amp;"-"&amp;IF(DAY(Variables!$A$2)&lt;10,0,"")&amp;DAY(Variables!$A$2)</f>
        <v>-20</v>
      </c>
      <c r="C96" s="147"/>
      <c r="D96" s="165"/>
      <c r="E96" s="30"/>
      <c r="F96" s="21" t="e">
        <f>VLOOKUP(B96,'Trips&amp;Operators'!$C$2:$E$10000,3,FALSE)</f>
        <v>#N/A</v>
      </c>
      <c r="G96" s="21" t="e">
        <f>VLOOKUP(B96,'Trips&amp;Operators'!$C$1:$F$10000,4,FALSE)</f>
        <v>#N/A</v>
      </c>
      <c r="H96" s="29" t="e">
        <f>VLOOKUP(B96,'Trips&amp;Operators'!$C$1:$H$10000,5,FALSE)</f>
        <v>#N/A</v>
      </c>
      <c r="I9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96" s="30" t="e">
        <f>VLOOKUP(B96,'Train Runs'!$A$13:$A$99940,1,FALSE)</f>
        <v>#N/A</v>
      </c>
    </row>
    <row r="97" spans="1:10" x14ac:dyDescent="0.25">
      <c r="A97" s="186"/>
      <c r="B97" s="43" t="str">
        <f>A97&amp;"-"&amp;IF(DAY(Variables!$A$2)&lt;10,0,"")&amp;DAY(Variables!$A$2)</f>
        <v>-20</v>
      </c>
      <c r="C97" s="147"/>
      <c r="D97" s="165"/>
      <c r="E97" s="30"/>
      <c r="F97" s="21" t="e">
        <f>VLOOKUP(B97,'Trips&amp;Operators'!$C$2:$E$10000,3,FALSE)</f>
        <v>#N/A</v>
      </c>
      <c r="G97" s="21" t="e">
        <f>VLOOKUP(B97,'Trips&amp;Operators'!$C$1:$F$10000,4,FALSE)</f>
        <v>#N/A</v>
      </c>
      <c r="H97" s="29" t="e">
        <f>VLOOKUP(B97,'Trips&amp;Operators'!$C$1:$H$10000,5,FALSE)</f>
        <v>#N/A</v>
      </c>
      <c r="I97" s="46" t="str">
        <f t="shared" ref="I97:I118" si="3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97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97" s="30" t="e">
        <f>VLOOKUP(B97,'Train Runs'!$A$13:$A$99940,1,FALSE)</f>
        <v>#N/A</v>
      </c>
    </row>
    <row r="98" spans="1:10" x14ac:dyDescent="0.25">
      <c r="A98" s="186"/>
      <c r="B98" s="43" t="str">
        <f>A98&amp;"-"&amp;IF(DAY(Variables!$A$2)&lt;10,0,"")&amp;DAY(Variables!$A$2)</f>
        <v>-20</v>
      </c>
      <c r="C98" s="147"/>
      <c r="D98" s="165"/>
      <c r="E98" s="30"/>
      <c r="F98" s="21" t="e">
        <f>VLOOKUP(B98,'Trips&amp;Operators'!$C$2:$E$10000,3,FALSE)</f>
        <v>#N/A</v>
      </c>
      <c r="G98" s="21" t="e">
        <f>VLOOKUP(B98,'Trips&amp;Operators'!$C$1:$F$10000,4,FALSE)</f>
        <v>#N/A</v>
      </c>
      <c r="H98" s="29" t="e">
        <f>VLOOKUP(B98,'Trips&amp;Operators'!$C$1:$H$10000,5,FALSE)</f>
        <v>#N/A</v>
      </c>
      <c r="I9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98" s="30" t="e">
        <f>VLOOKUP(B98,'Train Runs'!$A$13:$A$99940,1,FALSE)</f>
        <v>#N/A</v>
      </c>
    </row>
    <row r="99" spans="1:10" x14ac:dyDescent="0.25">
      <c r="A99" s="186"/>
      <c r="B99" s="43" t="str">
        <f>A99&amp;"-"&amp;IF(DAY(Variables!$A$2)&lt;10,0,"")&amp;DAY(Variables!$A$2)</f>
        <v>-20</v>
      </c>
      <c r="C99" s="147"/>
      <c r="D99" s="165"/>
      <c r="E99" s="30"/>
      <c r="F99" s="21" t="e">
        <f>VLOOKUP(B99,'Trips&amp;Operators'!$C$2:$E$10000,3,FALSE)</f>
        <v>#N/A</v>
      </c>
      <c r="G99" s="21" t="e">
        <f>VLOOKUP(B99,'Trips&amp;Operators'!$C$1:$F$10000,4,FALSE)</f>
        <v>#N/A</v>
      </c>
      <c r="H99" s="29" t="e">
        <f>VLOOKUP(B99,'Trips&amp;Operators'!$C$1:$H$10000,5,FALSE)</f>
        <v>#N/A</v>
      </c>
      <c r="I9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99" s="30" t="e">
        <f>VLOOKUP(B99,'Train Runs'!$A$13:$A$99940,1,FALSE)</f>
        <v>#N/A</v>
      </c>
    </row>
    <row r="100" spans="1:10" x14ac:dyDescent="0.25">
      <c r="A100" s="186"/>
      <c r="B100" s="43" t="str">
        <f>A100&amp;"-"&amp;IF(DAY(Variables!$A$2)&lt;10,0,"")&amp;DAY(Variables!$A$2)</f>
        <v>-20</v>
      </c>
      <c r="C100" s="147"/>
      <c r="D100" s="165"/>
      <c r="E100" s="30"/>
      <c r="F100" s="21" t="e">
        <f>VLOOKUP(B100,'Trips&amp;Operators'!$C$2:$E$10000,3,FALSE)</f>
        <v>#N/A</v>
      </c>
      <c r="G100" s="21" t="e">
        <f>VLOOKUP(B100,'Trips&amp;Operators'!$C$1:$F$10000,4,FALSE)</f>
        <v>#N/A</v>
      </c>
      <c r="H100" s="29" t="e">
        <f>VLOOKUP(B100,'Trips&amp;Operators'!$C$1:$H$10000,5,FALSE)</f>
        <v>#N/A</v>
      </c>
      <c r="I10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00" s="30" t="e">
        <f>VLOOKUP(B100,'Train Runs'!$A$13:$A$99940,1,FALSE)</f>
        <v>#N/A</v>
      </c>
    </row>
    <row r="101" spans="1:10" x14ac:dyDescent="0.25">
      <c r="A101" s="186"/>
      <c r="B101" s="43" t="str">
        <f>A101&amp;"-"&amp;IF(DAY(Variables!$A$2)&lt;10,0,"")&amp;DAY(Variables!$A$2)</f>
        <v>-20</v>
      </c>
      <c r="C101" s="147"/>
      <c r="D101" s="165"/>
      <c r="E101" s="30"/>
      <c r="F101" s="21" t="e">
        <f>VLOOKUP(B101,'Trips&amp;Operators'!$C$2:$E$10000,3,FALSE)</f>
        <v>#N/A</v>
      </c>
      <c r="G101" s="21" t="e">
        <f>VLOOKUP(B101,'Trips&amp;Operators'!$C$1:$F$10000,4,FALSE)</f>
        <v>#N/A</v>
      </c>
      <c r="H101" s="29" t="e">
        <f>VLOOKUP(B101,'Trips&amp;Operators'!$C$1:$H$10000,5,FALSE)</f>
        <v>#N/A</v>
      </c>
      <c r="I10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01" s="30" t="e">
        <f>VLOOKUP(B101,'Train Runs'!$A$13:$A$99940,1,FALSE)</f>
        <v>#N/A</v>
      </c>
    </row>
    <row r="102" spans="1:10" x14ac:dyDescent="0.25">
      <c r="A102" s="186"/>
      <c r="B102" s="43" t="str">
        <f>A102&amp;"-"&amp;IF(DAY(Variables!$A$2)&lt;10,0,"")&amp;DAY(Variables!$A$2)</f>
        <v>-20</v>
      </c>
      <c r="C102" s="147"/>
      <c r="D102" s="165"/>
      <c r="E102" s="30"/>
      <c r="F102" s="21" t="e">
        <f>VLOOKUP(B102,'Trips&amp;Operators'!$C$2:$E$10000,3,FALSE)</f>
        <v>#N/A</v>
      </c>
      <c r="G102" s="21" t="e">
        <f>VLOOKUP(B102,'Trips&amp;Operators'!$C$1:$F$10000,4,FALSE)</f>
        <v>#N/A</v>
      </c>
      <c r="H102" s="29" t="e">
        <f>VLOOKUP(B102,'Trips&amp;Operators'!$C$1:$H$10000,5,FALSE)</f>
        <v>#N/A</v>
      </c>
      <c r="I10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02" s="30" t="e">
        <f>VLOOKUP(B102,'Train Runs'!$A$13:$A$99940,1,FALSE)</f>
        <v>#N/A</v>
      </c>
    </row>
    <row r="103" spans="1:10" x14ac:dyDescent="0.25">
      <c r="A103" s="186"/>
      <c r="B103" s="43" t="str">
        <f>A103&amp;"-"&amp;IF(DAY(Variables!$A$2)&lt;10,0,"")&amp;DAY(Variables!$A$2)</f>
        <v>-20</v>
      </c>
      <c r="C103" s="147"/>
      <c r="D103" s="165"/>
      <c r="E103" s="30"/>
      <c r="F103" s="21" t="e">
        <f>VLOOKUP(B103,'Trips&amp;Operators'!$C$2:$E$10000,3,FALSE)</f>
        <v>#N/A</v>
      </c>
      <c r="G103" s="21" t="e">
        <f>VLOOKUP(B103,'Trips&amp;Operators'!$C$1:$F$10000,4,FALSE)</f>
        <v>#N/A</v>
      </c>
      <c r="H103" s="29" t="e">
        <f>VLOOKUP(B103,'Trips&amp;Operators'!$C$1:$H$10000,5,FALSE)</f>
        <v>#N/A</v>
      </c>
      <c r="I10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03" s="30" t="e">
        <f>VLOOKUP(B103,'Train Runs'!$A$13:$A$99940,1,FALSE)</f>
        <v>#N/A</v>
      </c>
    </row>
    <row r="104" spans="1:10" x14ac:dyDescent="0.25">
      <c r="A104" s="186"/>
      <c r="B104" s="43" t="str">
        <f>A104&amp;"-"&amp;IF(DAY(Variables!$A$2)&lt;10,0,"")&amp;DAY(Variables!$A$2)</f>
        <v>-20</v>
      </c>
      <c r="C104" s="147"/>
      <c r="D104" s="165"/>
      <c r="E104" s="30"/>
      <c r="F104" s="21" t="e">
        <f>VLOOKUP(B104,'Trips&amp;Operators'!$C$2:$E$10000,3,FALSE)</f>
        <v>#N/A</v>
      </c>
      <c r="G104" s="21" t="e">
        <f>VLOOKUP(B104,'Trips&amp;Operators'!$C$1:$F$10000,4,FALSE)</f>
        <v>#N/A</v>
      </c>
      <c r="H104" s="29" t="e">
        <f>VLOOKUP(B104,'Trips&amp;Operators'!$C$1:$H$10000,5,FALSE)</f>
        <v>#N/A</v>
      </c>
      <c r="I10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04" s="30" t="e">
        <f>VLOOKUP(B104,'Train Runs'!$A$13:$A$99940,1,FALSE)</f>
        <v>#N/A</v>
      </c>
    </row>
    <row r="105" spans="1:10" x14ac:dyDescent="0.25">
      <c r="A105" s="186"/>
      <c r="B105" s="43" t="str">
        <f>A105&amp;"-"&amp;IF(DAY(Variables!$A$2)&lt;10,0,"")&amp;DAY(Variables!$A$2)</f>
        <v>-20</v>
      </c>
      <c r="C105" s="147"/>
      <c r="D105" s="165"/>
      <c r="E105" s="30"/>
      <c r="F105" s="21" t="e">
        <f>VLOOKUP(B105,'Trips&amp;Operators'!$C$2:$E$10000,3,FALSE)</f>
        <v>#N/A</v>
      </c>
      <c r="G105" s="21" t="e">
        <f>VLOOKUP(B105,'Trips&amp;Operators'!$C$1:$F$10000,4,FALSE)</f>
        <v>#N/A</v>
      </c>
      <c r="H105" s="29" t="e">
        <f>VLOOKUP(B105,'Trips&amp;Operators'!$C$1:$H$10000,5,FALSE)</f>
        <v>#N/A</v>
      </c>
      <c r="I10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05" s="30" t="e">
        <f>VLOOKUP(B105,'Train Runs'!$A$13:$A$99940,1,FALSE)</f>
        <v>#N/A</v>
      </c>
    </row>
    <row r="106" spans="1:10" x14ac:dyDescent="0.25">
      <c r="A106" s="186"/>
      <c r="B106" s="43" t="str">
        <f>A106&amp;"-"&amp;IF(DAY(Variables!$A$2)&lt;10,0,"")&amp;DAY(Variables!$A$2)</f>
        <v>-20</v>
      </c>
      <c r="C106" s="147"/>
      <c r="D106" s="165"/>
      <c r="E106" s="30"/>
      <c r="F106" s="21" t="e">
        <f>VLOOKUP(B106,'Trips&amp;Operators'!$C$2:$E$10000,3,FALSE)</f>
        <v>#N/A</v>
      </c>
      <c r="G106" s="21" t="e">
        <f>VLOOKUP(B106,'Trips&amp;Operators'!$C$1:$F$10000,4,FALSE)</f>
        <v>#N/A</v>
      </c>
      <c r="H106" s="29" t="e">
        <f>VLOOKUP(B106,'Trips&amp;Operators'!$C$1:$H$10000,5,FALSE)</f>
        <v>#N/A</v>
      </c>
      <c r="I10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06" s="30" t="e">
        <f>VLOOKUP(B106,'Train Runs'!$A$13:$A$99940,1,FALSE)</f>
        <v>#N/A</v>
      </c>
    </row>
    <row r="107" spans="1:10" x14ac:dyDescent="0.25">
      <c r="A107" s="186"/>
      <c r="B107" s="43" t="str">
        <f>A107&amp;"-"&amp;IF(DAY(Variables!$A$2)&lt;10,0,"")&amp;DAY(Variables!$A$2)</f>
        <v>-20</v>
      </c>
      <c r="C107" s="147"/>
      <c r="D107" s="165"/>
      <c r="E107" s="30"/>
      <c r="F107" s="21" t="e">
        <f>VLOOKUP(B107,'Trips&amp;Operators'!$C$2:$E$10000,3,FALSE)</f>
        <v>#N/A</v>
      </c>
      <c r="G107" s="21" t="e">
        <f>VLOOKUP(B107,'Trips&amp;Operators'!$C$1:$F$10000,4,FALSE)</f>
        <v>#N/A</v>
      </c>
      <c r="H107" s="29" t="e">
        <f>VLOOKUP(B107,'Trips&amp;Operators'!$C$1:$H$10000,5,FALSE)</f>
        <v>#N/A</v>
      </c>
      <c r="I10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07" s="30" t="e">
        <f>VLOOKUP(B107,'Train Runs'!$A$13:$A$99940,1,FALSE)</f>
        <v>#N/A</v>
      </c>
    </row>
    <row r="108" spans="1:10" x14ac:dyDescent="0.25">
      <c r="A108" s="186"/>
      <c r="B108" s="43" t="str">
        <f>A108&amp;"-"&amp;IF(DAY(Variables!$A$2)&lt;10,0,"")&amp;DAY(Variables!$A$2)</f>
        <v>-20</v>
      </c>
      <c r="C108" s="147"/>
      <c r="D108" s="165"/>
      <c r="E108" s="30"/>
      <c r="F108" s="21" t="e">
        <f>VLOOKUP(B108,'Trips&amp;Operators'!$C$2:$E$10000,3,FALSE)</f>
        <v>#N/A</v>
      </c>
      <c r="G108" s="21" t="e">
        <f>VLOOKUP(B108,'Trips&amp;Operators'!$C$1:$F$10000,4,FALSE)</f>
        <v>#N/A</v>
      </c>
      <c r="H108" s="29" t="e">
        <f>VLOOKUP(B108,'Trips&amp;Operators'!$C$1:$H$10000,5,FALSE)</f>
        <v>#N/A</v>
      </c>
      <c r="I10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08" s="30" t="e">
        <f>VLOOKUP(B108,'Train Runs'!$A$13:$A$99940,1,FALSE)</f>
        <v>#N/A</v>
      </c>
    </row>
    <row r="109" spans="1:10" x14ac:dyDescent="0.25">
      <c r="A109" s="186"/>
      <c r="B109" s="43" t="str">
        <f>A109&amp;"-"&amp;IF(DAY(Variables!$A$2)&lt;10,0,"")&amp;DAY(Variables!$A$2)</f>
        <v>-20</v>
      </c>
      <c r="C109" s="147"/>
      <c r="D109" s="165"/>
      <c r="E109" s="30"/>
      <c r="F109" s="21" t="e">
        <f>VLOOKUP(B109,'Trips&amp;Operators'!$C$2:$E$10000,3,FALSE)</f>
        <v>#N/A</v>
      </c>
      <c r="G109" s="21" t="e">
        <f>VLOOKUP(B109,'Trips&amp;Operators'!$C$1:$F$10000,4,FALSE)</f>
        <v>#N/A</v>
      </c>
      <c r="H109" s="29" t="e">
        <f>VLOOKUP(B109,'Trips&amp;Operators'!$C$1:$H$10000,5,FALSE)</f>
        <v>#N/A</v>
      </c>
      <c r="I10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09" s="30" t="e">
        <f>VLOOKUP(B109,'Train Runs'!$A$13:$A$99940,1,FALSE)</f>
        <v>#N/A</v>
      </c>
    </row>
    <row r="110" spans="1:10" x14ac:dyDescent="0.25">
      <c r="A110" s="186"/>
      <c r="B110" s="43" t="str">
        <f>A110&amp;"-"&amp;IF(DAY(Variables!$A$2)&lt;10,0,"")&amp;DAY(Variables!$A$2)</f>
        <v>-20</v>
      </c>
      <c r="C110" s="147"/>
      <c r="D110" s="165"/>
      <c r="E110" s="30"/>
      <c r="F110" s="21" t="e">
        <f>VLOOKUP(B110,'Trips&amp;Operators'!$C$2:$E$10000,3,FALSE)</f>
        <v>#N/A</v>
      </c>
      <c r="G110" s="21" t="e">
        <f>VLOOKUP(B110,'Trips&amp;Operators'!$C$1:$F$10000,4,FALSE)</f>
        <v>#N/A</v>
      </c>
      <c r="H110" s="29" t="e">
        <f>VLOOKUP(B110,'Trips&amp;Operators'!$C$1:$H$10000,5,FALSE)</f>
        <v>#N/A</v>
      </c>
      <c r="I11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10" s="30" t="e">
        <f>VLOOKUP(B110,'Train Runs'!$A$13:$A$99940,1,FALSE)</f>
        <v>#N/A</v>
      </c>
    </row>
    <row r="111" spans="1:10" x14ac:dyDescent="0.25">
      <c r="A111" s="186"/>
      <c r="B111" s="43" t="str">
        <f>A111&amp;"-"&amp;IF(DAY(Variables!$A$2)&lt;10,0,"")&amp;DAY(Variables!$A$2)</f>
        <v>-20</v>
      </c>
      <c r="C111" s="147"/>
      <c r="D111" s="165"/>
      <c r="E111" s="30"/>
      <c r="F111" s="21" t="e">
        <f>VLOOKUP(B111,'Trips&amp;Operators'!$C$2:$E$10000,3,FALSE)</f>
        <v>#N/A</v>
      </c>
      <c r="G111" s="21" t="e">
        <f>VLOOKUP(B111,'Trips&amp;Operators'!$C$1:$F$10000,4,FALSE)</f>
        <v>#N/A</v>
      </c>
      <c r="H111" s="29" t="e">
        <f>VLOOKUP(B111,'Trips&amp;Operators'!$C$1:$H$10000,5,FALSE)</f>
        <v>#N/A</v>
      </c>
      <c r="I11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11" s="30" t="e">
        <f>VLOOKUP(B111,'Train Runs'!$A$13:$A$99940,1,FALSE)</f>
        <v>#N/A</v>
      </c>
    </row>
    <row r="112" spans="1:10" x14ac:dyDescent="0.25">
      <c r="A112" s="186"/>
      <c r="B112" s="43" t="str">
        <f>A112&amp;"-"&amp;IF(DAY(Variables!$A$2)&lt;10,0,"")&amp;DAY(Variables!$A$2)</f>
        <v>-20</v>
      </c>
      <c r="C112" s="147"/>
      <c r="D112" s="165"/>
      <c r="E112" s="30"/>
      <c r="F112" s="21" t="e">
        <f>VLOOKUP(B112,'Trips&amp;Operators'!$C$2:$E$10000,3,FALSE)</f>
        <v>#N/A</v>
      </c>
      <c r="G112" s="21" t="e">
        <f>VLOOKUP(B112,'Trips&amp;Operators'!$C$1:$F$10000,4,FALSE)</f>
        <v>#N/A</v>
      </c>
      <c r="H112" s="29" t="e">
        <f>VLOOKUP(B112,'Trips&amp;Operators'!$C$1:$H$10000,5,FALSE)</f>
        <v>#N/A</v>
      </c>
      <c r="I11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12" s="30" t="e">
        <f>VLOOKUP(B112,'Train Runs'!$A$13:$A$99940,1,FALSE)</f>
        <v>#N/A</v>
      </c>
    </row>
    <row r="113" spans="1:10" x14ac:dyDescent="0.25">
      <c r="A113" s="186"/>
      <c r="B113" s="43" t="str">
        <f>A113&amp;"-"&amp;IF(DAY(Variables!$A$2)&lt;10,0,"")&amp;DAY(Variables!$A$2)</f>
        <v>-20</v>
      </c>
      <c r="C113" s="147"/>
      <c r="D113" s="165"/>
      <c r="E113" s="30"/>
      <c r="F113" s="21" t="e">
        <f>VLOOKUP(B113,'Trips&amp;Operators'!$C$2:$E$10000,3,FALSE)</f>
        <v>#N/A</v>
      </c>
      <c r="G113" s="21" t="e">
        <f>VLOOKUP(B113,'Trips&amp;Operators'!$C$1:$F$10000,4,FALSE)</f>
        <v>#N/A</v>
      </c>
      <c r="H113" s="29" t="e">
        <f>VLOOKUP(B113,'Trips&amp;Operators'!$C$1:$H$10000,5,FALSE)</f>
        <v>#N/A</v>
      </c>
      <c r="I11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13" s="30" t="e">
        <f>VLOOKUP(B113,'Train Runs'!$A$13:$A$99940,1,FALSE)</f>
        <v>#N/A</v>
      </c>
    </row>
    <row r="114" spans="1:10" x14ac:dyDescent="0.25">
      <c r="A114" s="186"/>
      <c r="B114" s="43" t="str">
        <f>A114&amp;"-"&amp;IF(DAY(Variables!$A$2)&lt;10,0,"")&amp;DAY(Variables!$A$2)</f>
        <v>-20</v>
      </c>
      <c r="C114" s="147"/>
      <c r="D114" s="165"/>
      <c r="E114" s="30"/>
      <c r="F114" s="21" t="e">
        <f>VLOOKUP(B114,'Trips&amp;Operators'!$C$2:$E$10000,3,FALSE)</f>
        <v>#N/A</v>
      </c>
      <c r="G114" s="21" t="e">
        <f>VLOOKUP(B114,'Trips&amp;Operators'!$C$1:$F$10000,4,FALSE)</f>
        <v>#N/A</v>
      </c>
      <c r="H114" s="29" t="e">
        <f>VLOOKUP(B114,'Trips&amp;Operators'!$C$1:$H$10000,5,FALSE)</f>
        <v>#N/A</v>
      </c>
      <c r="I11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14" s="30" t="e">
        <f>VLOOKUP(B114,'Train Runs'!$A$13:$A$99940,1,FALSE)</f>
        <v>#N/A</v>
      </c>
    </row>
    <row r="115" spans="1:10" x14ac:dyDescent="0.25">
      <c r="A115" s="186"/>
      <c r="B115" s="43" t="str">
        <f>A115&amp;"-"&amp;IF(DAY(Variables!$A$2)&lt;10,0,"")&amp;DAY(Variables!$A$2)</f>
        <v>-20</v>
      </c>
      <c r="C115" s="147"/>
      <c r="D115" s="165"/>
      <c r="E115" s="30"/>
      <c r="F115" s="21" t="e">
        <f>VLOOKUP(B115,'Trips&amp;Operators'!$C$2:$E$10000,3,FALSE)</f>
        <v>#N/A</v>
      </c>
      <c r="G115" s="21" t="e">
        <f>VLOOKUP(B115,'Trips&amp;Operators'!$C$1:$F$10000,4,FALSE)</f>
        <v>#N/A</v>
      </c>
      <c r="H115" s="29" t="e">
        <f>VLOOKUP(B115,'Trips&amp;Operators'!$C$1:$H$10000,5,FALSE)</f>
        <v>#N/A</v>
      </c>
      <c r="I11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15" s="30" t="e">
        <f>VLOOKUP(B115,'Train Runs'!$A$13:$A$99940,1,FALSE)</f>
        <v>#N/A</v>
      </c>
    </row>
    <row r="116" spans="1:10" x14ac:dyDescent="0.25">
      <c r="A116" s="186"/>
      <c r="B116" s="43" t="str">
        <f>A116&amp;"-"&amp;IF(DAY(Variables!$A$2)&lt;10,0,"")&amp;DAY(Variables!$A$2)</f>
        <v>-20</v>
      </c>
      <c r="C116" s="147"/>
      <c r="D116" s="165"/>
      <c r="E116" s="30"/>
      <c r="F116" s="21" t="e">
        <f>VLOOKUP(B116,'Trips&amp;Operators'!$C$2:$E$10000,3,FALSE)</f>
        <v>#N/A</v>
      </c>
      <c r="G116" s="21" t="e">
        <f>VLOOKUP(B116,'Trips&amp;Operators'!$C$1:$F$10000,4,FALSE)</f>
        <v>#N/A</v>
      </c>
      <c r="H116" s="29" t="e">
        <f>VLOOKUP(B116,'Trips&amp;Operators'!$C$1:$H$10000,5,FALSE)</f>
        <v>#N/A</v>
      </c>
      <c r="I11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16" s="30" t="e">
        <f>VLOOKUP(B116,'Train Runs'!$A$13:$A$99940,1,FALSE)</f>
        <v>#N/A</v>
      </c>
    </row>
    <row r="117" spans="1:10" x14ac:dyDescent="0.25">
      <c r="A117" s="186"/>
      <c r="B117" s="43" t="str">
        <f>A117&amp;"-"&amp;IF(DAY(Variables!$A$2)&lt;10,0,"")&amp;DAY(Variables!$A$2)</f>
        <v>-20</v>
      </c>
      <c r="C117" s="147"/>
      <c r="D117" s="165"/>
      <c r="E117" s="30"/>
      <c r="F117" s="21" t="e">
        <f>VLOOKUP(B117,'Trips&amp;Operators'!$C$2:$E$10000,3,FALSE)</f>
        <v>#N/A</v>
      </c>
      <c r="G117" s="21" t="e">
        <f>VLOOKUP(B117,'Trips&amp;Operators'!$C$1:$F$10000,4,FALSE)</f>
        <v>#N/A</v>
      </c>
      <c r="H117" s="29" t="e">
        <f>VLOOKUP(B117,'Trips&amp;Operators'!$C$1:$H$10000,5,FALSE)</f>
        <v>#N/A</v>
      </c>
      <c r="I11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17" s="30" t="e">
        <f>VLOOKUP(B117,'Train Runs'!$A$13:$A$99940,1,FALSE)</f>
        <v>#N/A</v>
      </c>
    </row>
    <row r="118" spans="1:10" x14ac:dyDescent="0.25">
      <c r="A118" s="186"/>
      <c r="B118" s="43" t="str">
        <f>A118&amp;"-"&amp;IF(DAY(Variables!$A$2)&lt;10,0,"")&amp;DAY(Variables!$A$2)</f>
        <v>-20</v>
      </c>
      <c r="C118" s="147"/>
      <c r="D118" s="165"/>
      <c r="E118" s="30"/>
      <c r="F118" s="21" t="e">
        <f>VLOOKUP(B118,'Trips&amp;Operators'!$C$2:$E$10000,3,FALSE)</f>
        <v>#N/A</v>
      </c>
      <c r="G118" s="21" t="e">
        <f>VLOOKUP(B118,'Trips&amp;Operators'!$C$1:$F$10000,4,FALSE)</f>
        <v>#N/A</v>
      </c>
      <c r="H118" s="29" t="e">
        <f>VLOOKUP(B118,'Trips&amp;Operators'!$C$1:$H$10000,5,FALSE)</f>
        <v>#N/A</v>
      </c>
      <c r="I11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18" s="30" t="e">
        <f>VLOOKUP(B118,'Train Runs'!$A$13:$A$99940,1,FALSE)</f>
        <v>#N/A</v>
      </c>
    </row>
  </sheetData>
  <autoFilter ref="A2:J118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/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0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50" t="s">
        <v>176</v>
      </c>
      <c r="E1" s="20" t="s">
        <v>177</v>
      </c>
      <c r="F1" s="20" t="s">
        <v>201</v>
      </c>
      <c r="G1" s="8" t="s">
        <v>200</v>
      </c>
    </row>
    <row r="2" spans="1:7" x14ac:dyDescent="0.25">
      <c r="A2" s="8">
        <v>42786.032071759262</v>
      </c>
      <c r="B2" s="20" t="s">
        <v>212</v>
      </c>
      <c r="C2" s="20" t="s">
        <v>401</v>
      </c>
      <c r="D2" s="150">
        <v>2230000</v>
      </c>
      <c r="E2" s="20" t="s">
        <v>350</v>
      </c>
      <c r="F2" s="20" t="s">
        <v>202</v>
      </c>
      <c r="G2" s="8" t="str">
        <f>E2&amp;" "&amp;F2</f>
        <v>SMITH MICHAEL</v>
      </c>
    </row>
    <row r="3" spans="1:7" x14ac:dyDescent="0.25">
      <c r="A3" s="8">
        <v>42786.047789351855</v>
      </c>
      <c r="B3" s="20" t="s">
        <v>348</v>
      </c>
      <c r="C3" s="20" t="s">
        <v>378</v>
      </c>
      <c r="D3" s="150">
        <v>2000000</v>
      </c>
      <c r="E3" s="20" t="s">
        <v>383</v>
      </c>
      <c r="F3" s="20" t="s">
        <v>199</v>
      </c>
      <c r="G3" s="8" t="str">
        <f t="shared" ref="G3:G66" si="0">E3&amp;" "&amp;F3</f>
        <v>STAMBAUGH JAMES</v>
      </c>
    </row>
    <row r="4" spans="1:7" x14ac:dyDescent="0.25">
      <c r="A4" s="8">
        <v>42786.050127314818</v>
      </c>
      <c r="B4" s="20" t="s">
        <v>351</v>
      </c>
      <c r="C4" s="20" t="s">
        <v>402</v>
      </c>
      <c r="D4" s="150">
        <v>2630000</v>
      </c>
      <c r="E4" s="20" t="s">
        <v>397</v>
      </c>
      <c r="F4" s="20" t="s">
        <v>398</v>
      </c>
      <c r="G4" s="8" t="str">
        <f t="shared" si="0"/>
        <v>SAFIEF AEIMEN</v>
      </c>
    </row>
    <row r="5" spans="1:7" x14ac:dyDescent="0.25">
      <c r="A5" s="8">
        <v>42786.067870370367</v>
      </c>
      <c r="B5" s="20" t="s">
        <v>234</v>
      </c>
      <c r="C5" s="20" t="s">
        <v>403</v>
      </c>
      <c r="D5" s="150">
        <v>2230000</v>
      </c>
      <c r="E5" s="20" t="s">
        <v>350</v>
      </c>
      <c r="F5" s="20" t="s">
        <v>202</v>
      </c>
      <c r="G5" s="8" t="str">
        <f t="shared" si="0"/>
        <v>SMITH MICHAEL</v>
      </c>
    </row>
    <row r="6" spans="1:7" x14ac:dyDescent="0.25">
      <c r="A6" s="8">
        <v>42786.088229166664</v>
      </c>
      <c r="B6" s="20" t="s">
        <v>344</v>
      </c>
      <c r="C6" s="20" t="s">
        <v>404</v>
      </c>
      <c r="D6" s="150">
        <v>2000000</v>
      </c>
      <c r="E6" s="20" t="s">
        <v>383</v>
      </c>
      <c r="F6" s="20" t="s">
        <v>199</v>
      </c>
      <c r="G6" s="8" t="str">
        <f t="shared" si="0"/>
        <v>STAMBAUGH JAMES</v>
      </c>
    </row>
    <row r="7" spans="1:7" x14ac:dyDescent="0.25">
      <c r="A7" s="8">
        <v>42786.117175925923</v>
      </c>
      <c r="B7" s="20" t="s">
        <v>224</v>
      </c>
      <c r="C7" s="20" t="s">
        <v>450</v>
      </c>
      <c r="D7" s="150">
        <v>1360000</v>
      </c>
      <c r="E7" s="20" t="s">
        <v>489</v>
      </c>
      <c r="F7" s="20" t="s">
        <v>490</v>
      </c>
      <c r="G7" s="8" t="str">
        <f t="shared" si="0"/>
        <v>SANTIZO D. EDY</v>
      </c>
    </row>
    <row r="8" spans="1:7" x14ac:dyDescent="0.25">
      <c r="A8" s="8">
        <v>42786.126620370371</v>
      </c>
      <c r="B8" s="20" t="s">
        <v>252</v>
      </c>
      <c r="C8" s="20" t="s">
        <v>491</v>
      </c>
      <c r="D8" s="150">
        <v>1360000</v>
      </c>
      <c r="E8" s="20" t="s">
        <v>489</v>
      </c>
      <c r="F8" s="20" t="s">
        <v>490</v>
      </c>
      <c r="G8" s="8" t="str">
        <f t="shared" si="0"/>
        <v>SANTIZO D. EDY</v>
      </c>
    </row>
    <row r="9" spans="1:7" ht="15.75" thickBot="1" x14ac:dyDescent="0.3">
      <c r="A9" s="24">
        <v>42786.139409722222</v>
      </c>
      <c r="B9" s="20" t="s">
        <v>252</v>
      </c>
      <c r="C9" s="20" t="s">
        <v>491</v>
      </c>
      <c r="D9" s="150">
        <v>1360000</v>
      </c>
      <c r="E9" s="20" t="s">
        <v>489</v>
      </c>
      <c r="F9" s="20" t="s">
        <v>490</v>
      </c>
      <c r="G9" s="8" t="str">
        <f t="shared" si="0"/>
        <v>SANTIZO D. EDY</v>
      </c>
    </row>
    <row r="10" spans="1:7" x14ac:dyDescent="0.25">
      <c r="A10" s="8">
        <v>42786.140196759261</v>
      </c>
      <c r="B10" s="20" t="s">
        <v>267</v>
      </c>
      <c r="C10" s="20" t="s">
        <v>492</v>
      </c>
      <c r="D10" s="150">
        <v>1200000</v>
      </c>
      <c r="E10" s="20" t="s">
        <v>493</v>
      </c>
      <c r="F10" s="20" t="s">
        <v>494</v>
      </c>
      <c r="G10" s="8" t="str">
        <f t="shared" si="0"/>
        <v>CUSHING HARRY</v>
      </c>
    </row>
    <row r="11" spans="1:7" x14ac:dyDescent="0.25">
      <c r="A11" s="8">
        <v>42786.153032407405</v>
      </c>
      <c r="B11" s="20" t="s">
        <v>273</v>
      </c>
      <c r="C11" s="20" t="s">
        <v>495</v>
      </c>
      <c r="D11" s="150">
        <v>1200000</v>
      </c>
      <c r="E11" s="20" t="s">
        <v>493</v>
      </c>
      <c r="F11" s="20" t="s">
        <v>494</v>
      </c>
      <c r="G11" s="8" t="str">
        <f t="shared" si="0"/>
        <v>CUSHING HARRY</v>
      </c>
    </row>
    <row r="12" spans="1:7" x14ac:dyDescent="0.25">
      <c r="A12" s="8">
        <v>42786.153784722221</v>
      </c>
      <c r="B12" s="20" t="s">
        <v>225</v>
      </c>
      <c r="C12" s="20" t="s">
        <v>496</v>
      </c>
      <c r="D12" s="150">
        <v>1090000</v>
      </c>
      <c r="E12" s="20" t="s">
        <v>497</v>
      </c>
      <c r="F12" s="20" t="s">
        <v>202</v>
      </c>
      <c r="G12" s="8" t="str">
        <f t="shared" si="0"/>
        <v>SPECTOR MICHAEL</v>
      </c>
    </row>
    <row r="13" spans="1:7" x14ac:dyDescent="0.25">
      <c r="A13" s="8">
        <v>42786.172719907408</v>
      </c>
      <c r="B13" s="20" t="s">
        <v>224</v>
      </c>
      <c r="C13" s="20" t="s">
        <v>498</v>
      </c>
      <c r="D13" s="150">
        <v>1360000</v>
      </c>
      <c r="E13" s="20" t="s">
        <v>489</v>
      </c>
      <c r="F13" s="20" t="s">
        <v>490</v>
      </c>
      <c r="G13" s="8" t="str">
        <f t="shared" si="0"/>
        <v>SANTIZO D. EDY</v>
      </c>
    </row>
    <row r="14" spans="1:7" x14ac:dyDescent="0.25">
      <c r="A14" s="8">
        <v>42786.174027777779</v>
      </c>
      <c r="B14" s="20" t="s">
        <v>217</v>
      </c>
      <c r="C14" s="20" t="s">
        <v>499</v>
      </c>
      <c r="D14" s="150">
        <v>940000</v>
      </c>
      <c r="E14" s="20" t="s">
        <v>500</v>
      </c>
      <c r="F14" s="20" t="s">
        <v>501</v>
      </c>
      <c r="G14" s="8" t="str">
        <f t="shared" si="0"/>
        <v>BONDS REYNALDO</v>
      </c>
    </row>
    <row r="15" spans="1:7" x14ac:dyDescent="0.25">
      <c r="A15" s="8">
        <v>42786.174502314818</v>
      </c>
      <c r="B15" s="20" t="s">
        <v>220</v>
      </c>
      <c r="C15" s="20" t="s">
        <v>451</v>
      </c>
      <c r="D15" s="150">
        <v>1110000</v>
      </c>
      <c r="E15" s="20" t="s">
        <v>502</v>
      </c>
      <c r="F15" s="20" t="s">
        <v>503</v>
      </c>
      <c r="G15" s="8" t="str">
        <f t="shared" si="0"/>
        <v>STARKS ANGELINA</v>
      </c>
    </row>
    <row r="16" spans="1:7" x14ac:dyDescent="0.25">
      <c r="A16" s="8">
        <v>42786.182905092595</v>
      </c>
      <c r="B16" s="20" t="s">
        <v>216</v>
      </c>
      <c r="C16" s="20" t="s">
        <v>504</v>
      </c>
      <c r="D16" s="150">
        <v>940000</v>
      </c>
      <c r="E16" s="20" t="s">
        <v>500</v>
      </c>
      <c r="F16" s="20" t="s">
        <v>501</v>
      </c>
      <c r="G16" s="8" t="str">
        <f t="shared" si="0"/>
        <v>BONDS REYNALDO</v>
      </c>
    </row>
    <row r="17" spans="1:7" x14ac:dyDescent="0.25">
      <c r="A17" s="8">
        <v>42786.185115740744</v>
      </c>
      <c r="B17" s="20" t="s">
        <v>279</v>
      </c>
      <c r="C17" s="20" t="s">
        <v>505</v>
      </c>
      <c r="D17" s="150">
        <v>2020000</v>
      </c>
      <c r="E17" s="20" t="s">
        <v>347</v>
      </c>
      <c r="F17" s="20" t="s">
        <v>283</v>
      </c>
      <c r="G17" s="8" t="str">
        <f t="shared" si="0"/>
        <v>SHOOK JOHN</v>
      </c>
    </row>
    <row r="18" spans="1:7" x14ac:dyDescent="0.25">
      <c r="A18" s="8">
        <v>42786.185590277775</v>
      </c>
      <c r="B18" s="20" t="s">
        <v>208</v>
      </c>
      <c r="C18" s="20" t="s">
        <v>496</v>
      </c>
      <c r="D18" s="150">
        <v>1090000</v>
      </c>
      <c r="E18" s="20" t="s">
        <v>497</v>
      </c>
      <c r="F18" s="20" t="s">
        <v>202</v>
      </c>
      <c r="G18" s="8" t="str">
        <f t="shared" si="0"/>
        <v>SPECTOR MICHAEL</v>
      </c>
    </row>
    <row r="19" spans="1:7" x14ac:dyDescent="0.25">
      <c r="A19" s="8">
        <v>42786.193483796298</v>
      </c>
      <c r="B19" s="20" t="s">
        <v>220</v>
      </c>
      <c r="C19" s="20" t="s">
        <v>451</v>
      </c>
      <c r="D19" s="150">
        <v>1110000</v>
      </c>
      <c r="E19" s="20" t="s">
        <v>502</v>
      </c>
      <c r="F19" s="20" t="s">
        <v>503</v>
      </c>
      <c r="G19" s="8" t="str">
        <f t="shared" si="0"/>
        <v>STARKS ANGELINA</v>
      </c>
    </row>
    <row r="20" spans="1:7" x14ac:dyDescent="0.25">
      <c r="A20" s="8">
        <v>42786.196782407409</v>
      </c>
      <c r="B20" s="20" t="s">
        <v>231</v>
      </c>
      <c r="C20" s="20" t="s">
        <v>506</v>
      </c>
      <c r="D20" s="150">
        <v>2020000</v>
      </c>
      <c r="E20" s="20" t="s">
        <v>347</v>
      </c>
      <c r="F20" s="20" t="s">
        <v>283</v>
      </c>
      <c r="G20" s="8" t="str">
        <f t="shared" si="0"/>
        <v>SHOOK JOHN</v>
      </c>
    </row>
    <row r="21" spans="1:7" x14ac:dyDescent="0.25">
      <c r="A21" s="8">
        <v>42786.204745370371</v>
      </c>
      <c r="B21" s="20" t="s">
        <v>382</v>
      </c>
      <c r="C21" s="20" t="s">
        <v>507</v>
      </c>
      <c r="D21" s="150">
        <v>2150000</v>
      </c>
      <c r="E21" s="20" t="s">
        <v>384</v>
      </c>
      <c r="F21" s="20" t="s">
        <v>385</v>
      </c>
      <c r="G21" s="8" t="str">
        <f t="shared" si="0"/>
        <v>SWANSON BRYCE</v>
      </c>
    </row>
    <row r="22" spans="1:7" x14ac:dyDescent="0.25">
      <c r="A22" s="26">
        <v>42786.205983796295</v>
      </c>
      <c r="B22" s="20" t="s">
        <v>220</v>
      </c>
      <c r="C22" s="20" t="s">
        <v>451</v>
      </c>
      <c r="D22" s="150">
        <v>1110000</v>
      </c>
      <c r="E22" s="20" t="s">
        <v>502</v>
      </c>
      <c r="F22" s="20" t="s">
        <v>503</v>
      </c>
      <c r="G22" s="8" t="str">
        <f t="shared" si="0"/>
        <v>STARKS ANGELINA</v>
      </c>
    </row>
    <row r="23" spans="1:7" x14ac:dyDescent="0.25">
      <c r="A23" s="8">
        <v>42786.206053240741</v>
      </c>
      <c r="B23" s="20" t="s">
        <v>225</v>
      </c>
      <c r="C23" s="20" t="s">
        <v>508</v>
      </c>
      <c r="D23" s="150">
        <v>1830000</v>
      </c>
      <c r="E23" s="20" t="s">
        <v>284</v>
      </c>
      <c r="F23" s="20" t="s">
        <v>285</v>
      </c>
      <c r="G23" s="8" t="str">
        <f t="shared" si="0"/>
        <v>YORK EDGAR</v>
      </c>
    </row>
    <row r="24" spans="1:7" x14ac:dyDescent="0.25">
      <c r="A24" s="8">
        <v>42786.212314814817</v>
      </c>
      <c r="B24" s="20" t="s">
        <v>478</v>
      </c>
      <c r="C24" s="20" t="s">
        <v>509</v>
      </c>
      <c r="D24" s="150">
        <v>2150000</v>
      </c>
      <c r="E24" s="20" t="s">
        <v>384</v>
      </c>
      <c r="F24" s="20" t="s">
        <v>385</v>
      </c>
      <c r="G24" s="8" t="str">
        <f t="shared" si="0"/>
        <v>SWANSON BRYCE</v>
      </c>
    </row>
    <row r="25" spans="1:7" x14ac:dyDescent="0.25">
      <c r="A25" s="8">
        <v>42786.213067129633</v>
      </c>
      <c r="B25" s="20" t="s">
        <v>252</v>
      </c>
      <c r="C25" s="20" t="s">
        <v>510</v>
      </c>
      <c r="D25" s="150">
        <v>1360000</v>
      </c>
      <c r="E25" s="20" t="s">
        <v>489</v>
      </c>
      <c r="F25" s="20" t="s">
        <v>490</v>
      </c>
      <c r="G25" s="8" t="str">
        <f t="shared" si="0"/>
        <v>SANTIZO D. EDY</v>
      </c>
    </row>
    <row r="26" spans="1:7" x14ac:dyDescent="0.25">
      <c r="A26" s="8">
        <v>42786.219456018516</v>
      </c>
      <c r="B26" s="20" t="s">
        <v>343</v>
      </c>
      <c r="C26" s="20" t="s">
        <v>454</v>
      </c>
      <c r="D26" s="150">
        <v>1110000</v>
      </c>
      <c r="E26" s="20" t="s">
        <v>502</v>
      </c>
      <c r="F26" s="20" t="s">
        <v>503</v>
      </c>
      <c r="G26" s="8" t="str">
        <f t="shared" si="0"/>
        <v>STARKS ANGELINA</v>
      </c>
    </row>
    <row r="27" spans="1:7" x14ac:dyDescent="0.25">
      <c r="A27" s="8">
        <v>42786.221238425926</v>
      </c>
      <c r="B27" s="20" t="s">
        <v>261</v>
      </c>
      <c r="C27" s="20" t="s">
        <v>511</v>
      </c>
      <c r="D27" s="150">
        <v>2140000</v>
      </c>
      <c r="E27" s="20" t="s">
        <v>345</v>
      </c>
      <c r="F27" s="20" t="s">
        <v>346</v>
      </c>
      <c r="G27" s="8" t="str">
        <f t="shared" si="0"/>
        <v>ROBINSON KADDIBA</v>
      </c>
    </row>
    <row r="28" spans="1:7" x14ac:dyDescent="0.25">
      <c r="A28" s="8">
        <v>42786.223449074074</v>
      </c>
      <c r="B28" s="20" t="s">
        <v>217</v>
      </c>
      <c r="C28" s="20" t="s">
        <v>512</v>
      </c>
      <c r="D28" s="150">
        <v>940000</v>
      </c>
      <c r="E28" s="20" t="s">
        <v>500</v>
      </c>
      <c r="F28" s="20" t="s">
        <v>501</v>
      </c>
      <c r="G28" s="8" t="str">
        <f t="shared" si="0"/>
        <v>BONDS REYNALDO</v>
      </c>
    </row>
    <row r="29" spans="1:7" x14ac:dyDescent="0.25">
      <c r="A29" s="8">
        <v>42786.228194444448</v>
      </c>
      <c r="B29" s="20" t="s">
        <v>382</v>
      </c>
      <c r="C29" s="20" t="s">
        <v>513</v>
      </c>
      <c r="D29" s="150">
        <v>2150000</v>
      </c>
      <c r="E29" s="20" t="s">
        <v>384</v>
      </c>
      <c r="F29" s="20" t="s">
        <v>385</v>
      </c>
      <c r="G29" s="8" t="str">
        <f t="shared" si="0"/>
        <v>SWANSON BRYCE</v>
      </c>
    </row>
    <row r="30" spans="1:7" x14ac:dyDescent="0.25">
      <c r="A30" s="8">
        <v>42786.234247685185</v>
      </c>
      <c r="B30" s="20" t="s">
        <v>279</v>
      </c>
      <c r="C30" s="20" t="s">
        <v>514</v>
      </c>
      <c r="D30" s="150">
        <v>2020000</v>
      </c>
      <c r="E30" s="20" t="s">
        <v>347</v>
      </c>
      <c r="F30" s="20" t="s">
        <v>283</v>
      </c>
      <c r="G30" s="8" t="str">
        <f t="shared" si="0"/>
        <v>SHOOK JOHN</v>
      </c>
    </row>
    <row r="31" spans="1:7" x14ac:dyDescent="0.25">
      <c r="A31" s="8">
        <v>42786.236354166664</v>
      </c>
      <c r="B31" s="20" t="s">
        <v>343</v>
      </c>
      <c r="C31" s="20" t="s">
        <v>454</v>
      </c>
      <c r="D31" s="150">
        <v>1110000</v>
      </c>
      <c r="E31" s="20" t="s">
        <v>502</v>
      </c>
      <c r="F31" s="20" t="s">
        <v>503</v>
      </c>
      <c r="G31" s="8" t="str">
        <f t="shared" si="0"/>
        <v>STARKS ANGELINA</v>
      </c>
    </row>
    <row r="32" spans="1:7" x14ac:dyDescent="0.25">
      <c r="A32" s="8">
        <v>42786.237997685188</v>
      </c>
      <c r="B32" s="20" t="s">
        <v>208</v>
      </c>
      <c r="C32" s="20" t="s">
        <v>515</v>
      </c>
      <c r="D32" s="150">
        <v>1830000</v>
      </c>
      <c r="E32" s="20" t="s">
        <v>284</v>
      </c>
      <c r="F32" s="20" t="s">
        <v>285</v>
      </c>
      <c r="G32" s="8" t="str">
        <f t="shared" si="0"/>
        <v>YORK EDGAR</v>
      </c>
    </row>
    <row r="33" spans="1:7" x14ac:dyDescent="0.25">
      <c r="A33" s="8">
        <v>42786.241319444445</v>
      </c>
      <c r="B33" s="20" t="s">
        <v>270</v>
      </c>
      <c r="C33" s="20" t="s">
        <v>516</v>
      </c>
      <c r="D33" s="150">
        <v>1140000</v>
      </c>
      <c r="E33" s="20" t="s">
        <v>517</v>
      </c>
      <c r="F33" s="20" t="s">
        <v>518</v>
      </c>
      <c r="G33" s="8" t="str">
        <f t="shared" si="0"/>
        <v>YOUNG ELIZABETH</v>
      </c>
    </row>
    <row r="34" spans="1:7" x14ac:dyDescent="0.25">
      <c r="A34" s="8">
        <v>42786.244641203702</v>
      </c>
      <c r="B34" s="20" t="s">
        <v>270</v>
      </c>
      <c r="C34" s="20" t="s">
        <v>516</v>
      </c>
      <c r="D34" s="150">
        <v>1140000</v>
      </c>
      <c r="E34" s="20" t="s">
        <v>517</v>
      </c>
      <c r="F34" s="20" t="s">
        <v>518</v>
      </c>
      <c r="G34" s="8" t="str">
        <f t="shared" si="0"/>
        <v>YOUNG ELIZABETH</v>
      </c>
    </row>
    <row r="35" spans="1:7" x14ac:dyDescent="0.25">
      <c r="A35" s="8">
        <v>42786.246817129628</v>
      </c>
      <c r="B35" s="20" t="s">
        <v>253</v>
      </c>
      <c r="C35" s="20" t="s">
        <v>458</v>
      </c>
      <c r="D35" s="150">
        <v>1360000</v>
      </c>
      <c r="E35" s="20" t="s">
        <v>489</v>
      </c>
      <c r="F35" s="20" t="s">
        <v>490</v>
      </c>
      <c r="G35" s="8" t="str">
        <f t="shared" si="0"/>
        <v>SANTIZO D. EDY</v>
      </c>
    </row>
    <row r="36" spans="1:7" x14ac:dyDescent="0.25">
      <c r="A36" s="8">
        <v>42786.254826388889</v>
      </c>
      <c r="B36" s="20" t="s">
        <v>478</v>
      </c>
      <c r="C36" s="20" t="s">
        <v>519</v>
      </c>
      <c r="D36" s="150">
        <v>2150000</v>
      </c>
      <c r="E36" s="20" t="s">
        <v>384</v>
      </c>
      <c r="F36" s="20" t="s">
        <v>385</v>
      </c>
      <c r="G36" s="8" t="str">
        <f t="shared" si="0"/>
        <v>SWANSON BRYCE</v>
      </c>
    </row>
    <row r="37" spans="1:7" x14ac:dyDescent="0.25">
      <c r="A37" s="8">
        <v>42786.257824074077</v>
      </c>
      <c r="B37" s="20" t="s">
        <v>192</v>
      </c>
      <c r="C37" s="20" t="s">
        <v>455</v>
      </c>
      <c r="D37" s="150">
        <v>900000</v>
      </c>
      <c r="E37" s="20" t="s">
        <v>520</v>
      </c>
      <c r="F37" s="20" t="s">
        <v>521</v>
      </c>
      <c r="G37" s="8" t="str">
        <f t="shared" si="0"/>
        <v>ROCHA YAOTL</v>
      </c>
    </row>
    <row r="38" spans="1:7" x14ac:dyDescent="0.25">
      <c r="A38" s="8">
        <v>42786.262141203704</v>
      </c>
      <c r="B38" s="20" t="s">
        <v>216</v>
      </c>
      <c r="C38" s="20" t="s">
        <v>522</v>
      </c>
      <c r="D38" s="150">
        <v>940000</v>
      </c>
      <c r="E38" s="20" t="s">
        <v>500</v>
      </c>
      <c r="F38" s="20" t="s">
        <v>501</v>
      </c>
      <c r="G38" s="8" t="str">
        <f t="shared" si="0"/>
        <v>BONDS REYNALDO</v>
      </c>
    </row>
    <row r="39" spans="1:7" x14ac:dyDescent="0.25">
      <c r="A39" s="8">
        <v>42786.264421296299</v>
      </c>
      <c r="B39" s="20" t="s">
        <v>224</v>
      </c>
      <c r="C39" s="20" t="s">
        <v>456</v>
      </c>
      <c r="D39" s="150">
        <v>1360000</v>
      </c>
      <c r="E39" s="20" t="s">
        <v>489</v>
      </c>
      <c r="F39" s="20" t="s">
        <v>490</v>
      </c>
      <c r="G39" s="8" t="str">
        <f t="shared" si="0"/>
        <v>SANTIZO D. EDY</v>
      </c>
    </row>
    <row r="40" spans="1:7" x14ac:dyDescent="0.25">
      <c r="A40" s="8">
        <v>42786.267916666664</v>
      </c>
      <c r="B40" s="25" t="s">
        <v>231</v>
      </c>
      <c r="C40" s="20" t="s">
        <v>523</v>
      </c>
      <c r="D40" s="150">
        <v>2020000</v>
      </c>
      <c r="E40" s="20" t="s">
        <v>347</v>
      </c>
      <c r="F40" s="20" t="s">
        <v>283</v>
      </c>
      <c r="G40" s="8" t="str">
        <f t="shared" si="0"/>
        <v>SHOOK JOHN</v>
      </c>
    </row>
    <row r="41" spans="1:7" x14ac:dyDescent="0.25">
      <c r="A41" s="8">
        <v>42786.269583333335</v>
      </c>
      <c r="B41" s="20" t="s">
        <v>382</v>
      </c>
      <c r="C41" s="20" t="s">
        <v>524</v>
      </c>
      <c r="D41" s="150">
        <v>2150000</v>
      </c>
      <c r="E41" s="20" t="s">
        <v>384</v>
      </c>
      <c r="F41" s="20" t="s">
        <v>385</v>
      </c>
      <c r="G41" s="8" t="str">
        <f t="shared" si="0"/>
        <v>SWANSON BRYCE</v>
      </c>
    </row>
    <row r="42" spans="1:7" x14ac:dyDescent="0.25">
      <c r="A42" s="8">
        <v>42786.276342592595</v>
      </c>
      <c r="B42" s="20" t="s">
        <v>282</v>
      </c>
      <c r="C42" s="20" t="s">
        <v>457</v>
      </c>
      <c r="D42" s="150">
        <v>900000</v>
      </c>
      <c r="E42" s="20" t="s">
        <v>520</v>
      </c>
      <c r="F42" s="20" t="s">
        <v>521</v>
      </c>
      <c r="G42" s="8" t="str">
        <f t="shared" si="0"/>
        <v>ROCHA YAOTL</v>
      </c>
    </row>
    <row r="43" spans="1:7" x14ac:dyDescent="0.25">
      <c r="A43" s="8">
        <v>42786.276678240742</v>
      </c>
      <c r="B43" s="20" t="s">
        <v>225</v>
      </c>
      <c r="C43" s="20" t="s">
        <v>525</v>
      </c>
      <c r="D43" s="150">
        <v>1830000</v>
      </c>
      <c r="E43" s="20" t="s">
        <v>284</v>
      </c>
      <c r="F43" s="20" t="s">
        <v>285</v>
      </c>
      <c r="G43" s="8" t="str">
        <f t="shared" si="0"/>
        <v>YORK EDGAR</v>
      </c>
    </row>
    <row r="44" spans="1:7" x14ac:dyDescent="0.25">
      <c r="A44" s="8">
        <v>42786.28087962963</v>
      </c>
      <c r="B44" s="20" t="s">
        <v>267</v>
      </c>
      <c r="C44" s="20" t="s">
        <v>459</v>
      </c>
      <c r="D44" s="150">
        <v>1140000</v>
      </c>
      <c r="E44" s="20" t="s">
        <v>517</v>
      </c>
      <c r="F44" s="20" t="s">
        <v>518</v>
      </c>
      <c r="G44" s="8" t="str">
        <f t="shared" si="0"/>
        <v>YOUNG ELIZABETH</v>
      </c>
    </row>
    <row r="45" spans="1:7" x14ac:dyDescent="0.25">
      <c r="A45" s="8">
        <v>42786.285127314812</v>
      </c>
      <c r="B45" s="20" t="s">
        <v>252</v>
      </c>
      <c r="C45" s="20" t="s">
        <v>526</v>
      </c>
      <c r="D45" s="150">
        <v>1360000</v>
      </c>
      <c r="E45" s="20" t="s">
        <v>489</v>
      </c>
      <c r="F45" s="20" t="s">
        <v>490</v>
      </c>
      <c r="G45" s="8" t="str">
        <f t="shared" si="0"/>
        <v>SANTIZO D. EDY</v>
      </c>
    </row>
    <row r="46" spans="1:7" x14ac:dyDescent="0.25">
      <c r="A46" s="8">
        <v>42786.295555555553</v>
      </c>
      <c r="B46" s="20" t="s">
        <v>192</v>
      </c>
      <c r="C46" s="20" t="s">
        <v>527</v>
      </c>
      <c r="D46" s="150">
        <v>900000</v>
      </c>
      <c r="E46" s="20" t="s">
        <v>520</v>
      </c>
      <c r="F46" s="20" t="s">
        <v>521</v>
      </c>
      <c r="G46" s="8" t="str">
        <f t="shared" si="0"/>
        <v>ROCHA YAOTL</v>
      </c>
    </row>
    <row r="47" spans="1:7" x14ac:dyDescent="0.25">
      <c r="A47" s="8">
        <v>42786.296481481484</v>
      </c>
      <c r="B47" s="20" t="s">
        <v>217</v>
      </c>
      <c r="C47" s="20" t="s">
        <v>460</v>
      </c>
      <c r="D47" s="150">
        <v>940000</v>
      </c>
      <c r="E47" s="20" t="s">
        <v>500</v>
      </c>
      <c r="F47" s="20" t="s">
        <v>501</v>
      </c>
      <c r="G47" s="8" t="str">
        <f t="shared" si="0"/>
        <v>BONDS REYNALDO</v>
      </c>
    </row>
    <row r="48" spans="1:7" x14ac:dyDescent="0.25">
      <c r="A48" s="8">
        <v>42786.296701388892</v>
      </c>
      <c r="B48" s="20" t="s">
        <v>478</v>
      </c>
      <c r="C48" s="20" t="s">
        <v>528</v>
      </c>
      <c r="D48" s="150">
        <v>2150000</v>
      </c>
      <c r="E48" s="20" t="s">
        <v>384</v>
      </c>
      <c r="F48" s="20" t="s">
        <v>385</v>
      </c>
      <c r="G48" s="8" t="str">
        <f t="shared" si="0"/>
        <v>SWANSON BRYCE</v>
      </c>
    </row>
    <row r="49" spans="1:7" x14ac:dyDescent="0.25">
      <c r="A49" s="8">
        <v>42786.298761574071</v>
      </c>
      <c r="B49" s="20" t="s">
        <v>261</v>
      </c>
      <c r="C49" s="20" t="s">
        <v>529</v>
      </c>
      <c r="D49" s="150">
        <v>2140000</v>
      </c>
      <c r="E49" s="20" t="s">
        <v>345</v>
      </c>
      <c r="F49" s="20" t="s">
        <v>346</v>
      </c>
      <c r="G49" s="8" t="str">
        <f t="shared" si="0"/>
        <v>ROBINSON KADDIBA</v>
      </c>
    </row>
    <row r="50" spans="1:7" x14ac:dyDescent="0.25">
      <c r="A50" s="8">
        <v>42786.299363425926</v>
      </c>
      <c r="B50" s="20" t="s">
        <v>279</v>
      </c>
      <c r="C50" s="20" t="s">
        <v>530</v>
      </c>
      <c r="D50" s="150">
        <v>2020000</v>
      </c>
      <c r="E50" s="20" t="s">
        <v>347</v>
      </c>
      <c r="F50" s="20" t="s">
        <v>283</v>
      </c>
      <c r="G50" s="8" t="str">
        <f t="shared" si="0"/>
        <v>SHOOK JOHN</v>
      </c>
    </row>
    <row r="51" spans="1:7" x14ac:dyDescent="0.25">
      <c r="A51" s="8">
        <v>42786.306620370371</v>
      </c>
      <c r="B51" s="20" t="s">
        <v>220</v>
      </c>
      <c r="C51" s="20" t="s">
        <v>531</v>
      </c>
      <c r="D51" s="150">
        <v>1230000</v>
      </c>
      <c r="E51" s="20" t="s">
        <v>532</v>
      </c>
      <c r="F51" s="20" t="s">
        <v>533</v>
      </c>
      <c r="G51" s="8" t="str">
        <f t="shared" si="0"/>
        <v>YANAI IAN</v>
      </c>
    </row>
    <row r="52" spans="1:7" x14ac:dyDescent="0.25">
      <c r="A52" s="8">
        <v>42786.30740740741</v>
      </c>
      <c r="B52" s="20" t="s">
        <v>208</v>
      </c>
      <c r="C52" s="20" t="s">
        <v>462</v>
      </c>
      <c r="D52" s="150">
        <v>1830000</v>
      </c>
      <c r="E52" s="20" t="s">
        <v>284</v>
      </c>
      <c r="F52" s="20" t="s">
        <v>285</v>
      </c>
      <c r="G52" s="8" t="str">
        <f t="shared" si="0"/>
        <v>YORK EDGAR</v>
      </c>
    </row>
    <row r="53" spans="1:7" x14ac:dyDescent="0.25">
      <c r="A53" s="8">
        <v>42786.311736111114</v>
      </c>
      <c r="B53" s="20" t="s">
        <v>382</v>
      </c>
      <c r="C53" s="20" t="s">
        <v>534</v>
      </c>
      <c r="D53" s="150">
        <v>2150000</v>
      </c>
      <c r="E53" s="20" t="s">
        <v>384</v>
      </c>
      <c r="F53" s="20" t="s">
        <v>385</v>
      </c>
      <c r="G53" s="8" t="str">
        <f t="shared" si="0"/>
        <v>SWANSON BRYCE</v>
      </c>
    </row>
    <row r="54" spans="1:7" x14ac:dyDescent="0.25">
      <c r="A54" s="8">
        <v>42786.317164351851</v>
      </c>
      <c r="B54" s="20" t="s">
        <v>282</v>
      </c>
      <c r="C54" s="20" t="s">
        <v>461</v>
      </c>
      <c r="D54" s="150">
        <v>900000</v>
      </c>
      <c r="E54" s="20" t="s">
        <v>520</v>
      </c>
      <c r="F54" s="20" t="s">
        <v>521</v>
      </c>
      <c r="G54" s="8" t="str">
        <f t="shared" si="0"/>
        <v>ROCHA YAOTL</v>
      </c>
    </row>
    <row r="55" spans="1:7" x14ac:dyDescent="0.25">
      <c r="A55" s="8">
        <v>42786.319374999999</v>
      </c>
      <c r="B55" s="20" t="s">
        <v>270</v>
      </c>
      <c r="C55" s="20" t="s">
        <v>535</v>
      </c>
      <c r="D55" s="150">
        <v>1110000</v>
      </c>
      <c r="E55" s="20" t="s">
        <v>502</v>
      </c>
      <c r="F55" s="20" t="s">
        <v>503</v>
      </c>
      <c r="G55" s="8" t="str">
        <f t="shared" si="0"/>
        <v>STARKS ANGELINA</v>
      </c>
    </row>
    <row r="56" spans="1:7" x14ac:dyDescent="0.25">
      <c r="A56" s="8">
        <v>42786.326180555552</v>
      </c>
      <c r="B56" s="20" t="s">
        <v>253</v>
      </c>
      <c r="C56" s="20" t="s">
        <v>536</v>
      </c>
      <c r="D56" s="150">
        <v>1360000</v>
      </c>
      <c r="E56" s="20" t="s">
        <v>489</v>
      </c>
      <c r="F56" s="20" t="s">
        <v>490</v>
      </c>
      <c r="G56" s="8" t="str">
        <f t="shared" si="0"/>
        <v>SANTIZO D. EDY</v>
      </c>
    </row>
    <row r="57" spans="1:7" x14ac:dyDescent="0.25">
      <c r="A57" s="8">
        <v>42786.328379629631</v>
      </c>
      <c r="B57" s="20" t="s">
        <v>216</v>
      </c>
      <c r="C57" s="20" t="s">
        <v>537</v>
      </c>
      <c r="D57" s="150">
        <v>940000</v>
      </c>
      <c r="E57" s="20" t="s">
        <v>500</v>
      </c>
      <c r="F57" s="20" t="s">
        <v>501</v>
      </c>
      <c r="G57" s="8" t="str">
        <f t="shared" si="0"/>
        <v>BONDS REYNALDO</v>
      </c>
    </row>
    <row r="58" spans="1:7" x14ac:dyDescent="0.25">
      <c r="A58" s="8">
        <v>42786.336469907408</v>
      </c>
      <c r="B58" s="20" t="s">
        <v>224</v>
      </c>
      <c r="C58" s="20" t="s">
        <v>463</v>
      </c>
      <c r="D58" s="150">
        <v>2140000</v>
      </c>
      <c r="E58" s="20" t="s">
        <v>345</v>
      </c>
      <c r="F58" s="20" t="s">
        <v>346</v>
      </c>
      <c r="G58" s="8" t="str">
        <f t="shared" si="0"/>
        <v>ROBINSON KADDIBA</v>
      </c>
    </row>
    <row r="59" spans="1:7" x14ac:dyDescent="0.25">
      <c r="A59" s="8">
        <v>42786.33834490741</v>
      </c>
      <c r="B59" s="20" t="s">
        <v>478</v>
      </c>
      <c r="C59" s="20" t="s">
        <v>538</v>
      </c>
      <c r="D59" s="150">
        <v>2150000</v>
      </c>
      <c r="E59" s="20" t="s">
        <v>384</v>
      </c>
      <c r="F59" s="20" t="s">
        <v>385</v>
      </c>
      <c r="G59" s="8" t="str">
        <f t="shared" si="0"/>
        <v>SWANSON BRYCE</v>
      </c>
    </row>
    <row r="60" spans="1:7" x14ac:dyDescent="0.25">
      <c r="A60" s="8">
        <v>42786.339270833334</v>
      </c>
      <c r="B60" s="20" t="s">
        <v>231</v>
      </c>
      <c r="C60" s="20" t="s">
        <v>539</v>
      </c>
      <c r="D60" s="150">
        <v>2020000</v>
      </c>
      <c r="E60" s="20" t="s">
        <v>347</v>
      </c>
      <c r="F60" s="20" t="s">
        <v>283</v>
      </c>
      <c r="G60" s="8" t="str">
        <f t="shared" si="0"/>
        <v>SHOOK JOHN</v>
      </c>
    </row>
    <row r="61" spans="1:7" x14ac:dyDescent="0.25">
      <c r="A61" s="8">
        <v>42786.340150462966</v>
      </c>
      <c r="B61" s="20" t="s">
        <v>219</v>
      </c>
      <c r="C61" s="20" t="s">
        <v>540</v>
      </c>
      <c r="D61" s="150">
        <v>1230000</v>
      </c>
      <c r="E61" s="20" t="s">
        <v>532</v>
      </c>
      <c r="F61" s="20" t="s">
        <v>533</v>
      </c>
      <c r="G61" s="8" t="str">
        <f t="shared" si="0"/>
        <v>YANAI IAN</v>
      </c>
    </row>
    <row r="62" spans="1:7" x14ac:dyDescent="0.25">
      <c r="A62" s="8">
        <v>42786.343391203707</v>
      </c>
      <c r="B62" s="20" t="s">
        <v>273</v>
      </c>
      <c r="C62" s="20" t="s">
        <v>496</v>
      </c>
      <c r="D62" s="150">
        <v>1090000</v>
      </c>
      <c r="E62" s="20" t="s">
        <v>497</v>
      </c>
      <c r="F62" s="20" t="s">
        <v>202</v>
      </c>
      <c r="G62" s="8" t="str">
        <f t="shared" si="0"/>
        <v>SPECTOR MICHAEL</v>
      </c>
    </row>
    <row r="63" spans="1:7" x14ac:dyDescent="0.25">
      <c r="A63" s="8">
        <v>42786.344895833332</v>
      </c>
      <c r="B63" s="20" t="s">
        <v>192</v>
      </c>
      <c r="C63" s="20" t="s">
        <v>541</v>
      </c>
      <c r="D63" s="150">
        <v>900000</v>
      </c>
      <c r="E63" s="20" t="s">
        <v>520</v>
      </c>
      <c r="F63" s="20" t="s">
        <v>521</v>
      </c>
      <c r="G63" s="8" t="str">
        <f t="shared" si="0"/>
        <v>ROCHA YAOTL</v>
      </c>
    </row>
    <row r="64" spans="1:7" x14ac:dyDescent="0.25">
      <c r="A64" s="26">
        <v>42786.347442129627</v>
      </c>
      <c r="B64" s="20" t="s">
        <v>248</v>
      </c>
      <c r="C64" s="20" t="s">
        <v>542</v>
      </c>
      <c r="D64" s="150">
        <v>1090000</v>
      </c>
      <c r="E64" s="20" t="s">
        <v>497</v>
      </c>
      <c r="F64" s="20" t="s">
        <v>202</v>
      </c>
      <c r="G64" s="8" t="str">
        <f t="shared" si="0"/>
        <v>SPECTOR MICHAEL</v>
      </c>
    </row>
    <row r="65" spans="1:7" x14ac:dyDescent="0.25">
      <c r="A65" s="8">
        <v>42786.348287037035</v>
      </c>
      <c r="B65" s="20" t="s">
        <v>225</v>
      </c>
      <c r="C65" s="20" t="s">
        <v>464</v>
      </c>
      <c r="D65" s="150">
        <v>1830000</v>
      </c>
      <c r="E65" s="20" t="s">
        <v>284</v>
      </c>
      <c r="F65" s="20" t="s">
        <v>285</v>
      </c>
      <c r="G65" s="8" t="str">
        <f t="shared" si="0"/>
        <v>YORK EDGAR</v>
      </c>
    </row>
    <row r="66" spans="1:7" x14ac:dyDescent="0.25">
      <c r="A66" s="8">
        <v>42786.353067129632</v>
      </c>
      <c r="B66" s="20" t="s">
        <v>382</v>
      </c>
      <c r="C66" s="20" t="s">
        <v>543</v>
      </c>
      <c r="D66" s="150">
        <v>2150000</v>
      </c>
      <c r="E66" s="20" t="s">
        <v>384</v>
      </c>
      <c r="F66" s="20" t="s">
        <v>385</v>
      </c>
      <c r="G66" s="8" t="str">
        <f t="shared" si="0"/>
        <v>SWANSON BRYCE</v>
      </c>
    </row>
    <row r="67" spans="1:7" x14ac:dyDescent="0.25">
      <c r="A67" s="8">
        <v>42786.358159722222</v>
      </c>
      <c r="B67" s="20" t="s">
        <v>252</v>
      </c>
      <c r="C67" s="20" t="s">
        <v>544</v>
      </c>
      <c r="D67" s="150">
        <v>1360000</v>
      </c>
      <c r="E67" s="20" t="s">
        <v>489</v>
      </c>
      <c r="F67" s="20" t="s">
        <v>490</v>
      </c>
      <c r="G67" s="8" t="str">
        <f t="shared" ref="G67:G130" si="1">E67&amp;" "&amp;F67</f>
        <v>SANTIZO D. EDY</v>
      </c>
    </row>
    <row r="68" spans="1:7" x14ac:dyDescent="0.25">
      <c r="A68" s="8">
        <v>42786.359988425924</v>
      </c>
      <c r="B68" s="20" t="s">
        <v>282</v>
      </c>
      <c r="C68" s="20" t="s">
        <v>545</v>
      </c>
      <c r="D68" s="150">
        <v>900000</v>
      </c>
      <c r="E68" s="20" t="s">
        <v>520</v>
      </c>
      <c r="F68" s="20" t="s">
        <v>521</v>
      </c>
      <c r="G68" s="8" t="str">
        <f t="shared" si="1"/>
        <v>ROCHA YAOTL</v>
      </c>
    </row>
    <row r="69" spans="1:7" x14ac:dyDescent="0.25">
      <c r="A69" s="8">
        <v>42786.36074074074</v>
      </c>
      <c r="B69" s="20" t="s">
        <v>267</v>
      </c>
      <c r="C69" s="20" t="s">
        <v>546</v>
      </c>
      <c r="D69" s="150">
        <v>1110000</v>
      </c>
      <c r="E69" s="20" t="s">
        <v>502</v>
      </c>
      <c r="F69" s="20" t="s">
        <v>503</v>
      </c>
      <c r="G69" s="8" t="str">
        <f t="shared" si="1"/>
        <v>STARKS ANGELINA</v>
      </c>
    </row>
    <row r="70" spans="1:7" x14ac:dyDescent="0.25">
      <c r="A70" s="8">
        <v>42786.36577546296</v>
      </c>
      <c r="B70" s="20" t="s">
        <v>217</v>
      </c>
      <c r="C70" s="20" t="s">
        <v>547</v>
      </c>
      <c r="D70" s="150">
        <v>940000</v>
      </c>
      <c r="E70" s="20" t="s">
        <v>500</v>
      </c>
      <c r="F70" s="20" t="s">
        <v>501</v>
      </c>
      <c r="G70" s="8" t="str">
        <f t="shared" si="1"/>
        <v>BONDS REYNALDO</v>
      </c>
    </row>
    <row r="71" spans="1:7" x14ac:dyDescent="0.25">
      <c r="A71" s="8">
        <v>42786.371782407405</v>
      </c>
      <c r="B71" s="20" t="s">
        <v>261</v>
      </c>
      <c r="C71" s="20" t="s">
        <v>548</v>
      </c>
      <c r="D71" s="150">
        <v>2140000</v>
      </c>
      <c r="E71" s="20" t="s">
        <v>345</v>
      </c>
      <c r="F71" s="20" t="s">
        <v>346</v>
      </c>
      <c r="G71" s="8" t="str">
        <f t="shared" si="1"/>
        <v>ROBINSON KADDIBA</v>
      </c>
    </row>
    <row r="72" spans="1:7" x14ac:dyDescent="0.25">
      <c r="A72" s="8">
        <v>42786.37877314815</v>
      </c>
      <c r="B72" s="20" t="s">
        <v>279</v>
      </c>
      <c r="C72" s="20" t="s">
        <v>549</v>
      </c>
      <c r="D72" s="150">
        <v>2020000</v>
      </c>
      <c r="E72" s="20" t="s">
        <v>347</v>
      </c>
      <c r="F72" s="20" t="s">
        <v>283</v>
      </c>
      <c r="G72" s="8" t="str">
        <f t="shared" si="1"/>
        <v>SHOOK JOHN</v>
      </c>
    </row>
    <row r="73" spans="1:7" x14ac:dyDescent="0.25">
      <c r="A73" s="8">
        <v>42786.380578703705</v>
      </c>
      <c r="B73" s="20" t="s">
        <v>192</v>
      </c>
      <c r="C73" s="20" t="s">
        <v>465</v>
      </c>
      <c r="D73" s="150">
        <v>900000</v>
      </c>
      <c r="E73" s="20" t="s">
        <v>520</v>
      </c>
      <c r="F73" s="20" t="s">
        <v>521</v>
      </c>
      <c r="G73" s="8" t="str">
        <f t="shared" si="1"/>
        <v>ROCHA YAOTL</v>
      </c>
    </row>
    <row r="74" spans="1:7" x14ac:dyDescent="0.25">
      <c r="A74" s="8">
        <v>42786.380844907406</v>
      </c>
      <c r="B74" s="20" t="s">
        <v>220</v>
      </c>
      <c r="C74" s="20" t="s">
        <v>550</v>
      </c>
      <c r="D74" s="150">
        <v>2040000</v>
      </c>
      <c r="E74" s="20" t="s">
        <v>271</v>
      </c>
      <c r="F74" s="20" t="s">
        <v>272</v>
      </c>
      <c r="G74" s="8" t="str">
        <f t="shared" si="1"/>
        <v>MOSES BRADLEY</v>
      </c>
    </row>
    <row r="75" spans="1:7" x14ac:dyDescent="0.25">
      <c r="A75" s="8">
        <v>42786.389606481483</v>
      </c>
      <c r="B75" s="20" t="s">
        <v>270</v>
      </c>
      <c r="C75" s="20" t="s">
        <v>551</v>
      </c>
      <c r="D75" s="150">
        <v>1110000</v>
      </c>
      <c r="E75" s="20" t="s">
        <v>502</v>
      </c>
      <c r="F75" s="20" t="s">
        <v>503</v>
      </c>
      <c r="G75" s="8" t="str">
        <f t="shared" si="1"/>
        <v>STARKS ANGELINA</v>
      </c>
    </row>
    <row r="76" spans="1:7" x14ac:dyDescent="0.25">
      <c r="A76" s="8">
        <v>42786.390972222223</v>
      </c>
      <c r="B76" s="20" t="s">
        <v>208</v>
      </c>
      <c r="C76" s="20" t="s">
        <v>552</v>
      </c>
      <c r="D76" s="150">
        <v>1830000</v>
      </c>
      <c r="E76" s="20" t="s">
        <v>284</v>
      </c>
      <c r="F76" s="20" t="s">
        <v>285</v>
      </c>
      <c r="G76" s="8" t="str">
        <f t="shared" si="1"/>
        <v>YORK EDGAR</v>
      </c>
    </row>
    <row r="77" spans="1:7" x14ac:dyDescent="0.25">
      <c r="A77" s="8">
        <v>42786.391886574071</v>
      </c>
      <c r="B77" s="20" t="s">
        <v>253</v>
      </c>
      <c r="C77" s="20" t="s">
        <v>553</v>
      </c>
      <c r="D77" s="150">
        <v>1360000</v>
      </c>
      <c r="E77" s="20" t="s">
        <v>489</v>
      </c>
      <c r="F77" s="20" t="s">
        <v>490</v>
      </c>
      <c r="G77" s="8" t="str">
        <f t="shared" si="1"/>
        <v>SANTIZO D. EDY</v>
      </c>
    </row>
    <row r="78" spans="1:7" x14ac:dyDescent="0.25">
      <c r="A78" s="8">
        <v>42786.402361111112</v>
      </c>
      <c r="B78" s="20" t="s">
        <v>216</v>
      </c>
      <c r="C78" s="20" t="s">
        <v>467</v>
      </c>
      <c r="D78" s="150">
        <v>940000</v>
      </c>
      <c r="E78" s="20" t="s">
        <v>500</v>
      </c>
      <c r="F78" s="20" t="s">
        <v>501</v>
      </c>
      <c r="G78" s="8" t="str">
        <f t="shared" si="1"/>
        <v>BONDS REYNALDO</v>
      </c>
    </row>
    <row r="79" spans="1:7" x14ac:dyDescent="0.25">
      <c r="A79" s="8">
        <v>42786.402453703704</v>
      </c>
      <c r="B79" s="20" t="s">
        <v>282</v>
      </c>
      <c r="C79" s="20" t="s">
        <v>466</v>
      </c>
      <c r="D79" s="150">
        <v>900000</v>
      </c>
      <c r="E79" s="20" t="s">
        <v>520</v>
      </c>
      <c r="F79" s="20" t="s">
        <v>521</v>
      </c>
      <c r="G79" s="8" t="str">
        <f t="shared" si="1"/>
        <v>ROCHA YAOTL</v>
      </c>
    </row>
    <row r="80" spans="1:7" x14ac:dyDescent="0.25">
      <c r="A80" s="8">
        <v>42786.409745370373</v>
      </c>
      <c r="B80" s="20" t="s">
        <v>224</v>
      </c>
      <c r="C80" s="20" t="s">
        <v>554</v>
      </c>
      <c r="D80" s="150">
        <v>2140000</v>
      </c>
      <c r="E80" s="20" t="s">
        <v>345</v>
      </c>
      <c r="F80" s="20" t="s">
        <v>346</v>
      </c>
      <c r="G80" s="8" t="str">
        <f t="shared" si="1"/>
        <v>ROBINSON KADDIBA</v>
      </c>
    </row>
    <row r="81" spans="1:7" x14ac:dyDescent="0.25">
      <c r="A81" s="8">
        <v>42786.412835648145</v>
      </c>
      <c r="B81" s="20" t="s">
        <v>231</v>
      </c>
      <c r="C81" s="20" t="s">
        <v>555</v>
      </c>
      <c r="D81" s="150">
        <v>2020000</v>
      </c>
      <c r="E81" s="20" t="s">
        <v>347</v>
      </c>
      <c r="F81" s="20" t="s">
        <v>283</v>
      </c>
      <c r="G81" s="8" t="str">
        <f t="shared" si="1"/>
        <v>SHOOK JOHN</v>
      </c>
    </row>
    <row r="82" spans="1:7" x14ac:dyDescent="0.25">
      <c r="A82" s="8">
        <v>42786.420497685183</v>
      </c>
      <c r="B82" s="20" t="s">
        <v>225</v>
      </c>
      <c r="C82" s="20" t="s">
        <v>470</v>
      </c>
      <c r="D82" s="150">
        <v>1830000</v>
      </c>
      <c r="E82" s="20" t="s">
        <v>284</v>
      </c>
      <c r="F82" s="20" t="s">
        <v>285</v>
      </c>
      <c r="G82" s="8" t="str">
        <f t="shared" si="1"/>
        <v>YORK EDGAR</v>
      </c>
    </row>
    <row r="83" spans="1:7" x14ac:dyDescent="0.25">
      <c r="A83" s="8">
        <v>42786.42087962963</v>
      </c>
      <c r="B83" s="20" t="s">
        <v>219</v>
      </c>
      <c r="C83" s="20" t="s">
        <v>471</v>
      </c>
      <c r="D83" s="150">
        <v>2040000</v>
      </c>
      <c r="E83" s="20" t="s">
        <v>271</v>
      </c>
      <c r="F83" s="20" t="s">
        <v>272</v>
      </c>
      <c r="G83" s="8" t="str">
        <f t="shared" si="1"/>
        <v>MOSES BRADLEY</v>
      </c>
    </row>
    <row r="84" spans="1:7" x14ac:dyDescent="0.25">
      <c r="A84" s="8">
        <v>42786.424664351849</v>
      </c>
      <c r="B84" s="20" t="s">
        <v>267</v>
      </c>
      <c r="C84" s="20" t="s">
        <v>556</v>
      </c>
      <c r="D84" s="150">
        <v>1110000</v>
      </c>
      <c r="E84" s="20" t="s">
        <v>502</v>
      </c>
      <c r="F84" s="20" t="s">
        <v>503</v>
      </c>
      <c r="G84" s="8" t="str">
        <f t="shared" si="1"/>
        <v>STARKS ANGELINA</v>
      </c>
    </row>
    <row r="85" spans="1:7" x14ac:dyDescent="0.25">
      <c r="A85" s="8">
        <v>42786.429745370369</v>
      </c>
      <c r="B85" s="20" t="s">
        <v>212</v>
      </c>
      <c r="C85" s="20" t="s">
        <v>468</v>
      </c>
      <c r="D85" s="150">
        <v>2350000</v>
      </c>
      <c r="E85" s="20" t="s">
        <v>557</v>
      </c>
      <c r="F85" s="20" t="s">
        <v>558</v>
      </c>
      <c r="G85" s="8" t="str">
        <f t="shared" si="1"/>
        <v>BERLING GARY</v>
      </c>
    </row>
    <row r="86" spans="1:7" x14ac:dyDescent="0.25">
      <c r="A86" s="8">
        <v>42786.430393518516</v>
      </c>
      <c r="B86" s="20" t="s">
        <v>192</v>
      </c>
      <c r="C86" s="20" t="s">
        <v>559</v>
      </c>
      <c r="D86" s="150">
        <v>900000</v>
      </c>
      <c r="E86" s="20" t="s">
        <v>520</v>
      </c>
      <c r="F86" s="20" t="s">
        <v>521</v>
      </c>
      <c r="G86" s="8" t="str">
        <f t="shared" si="1"/>
        <v>ROCHA YAOTL</v>
      </c>
    </row>
    <row r="87" spans="1:7" x14ac:dyDescent="0.25">
      <c r="A87" s="8">
        <v>42786.432141203702</v>
      </c>
      <c r="B87" s="20" t="s">
        <v>252</v>
      </c>
      <c r="C87" s="20" t="s">
        <v>560</v>
      </c>
      <c r="D87" s="150">
        <v>2150000</v>
      </c>
      <c r="E87" s="20" t="s">
        <v>384</v>
      </c>
      <c r="F87" s="20" t="s">
        <v>385</v>
      </c>
      <c r="G87" s="8" t="str">
        <f t="shared" si="1"/>
        <v>SWANSON BRYCE</v>
      </c>
    </row>
    <row r="88" spans="1:7" x14ac:dyDescent="0.25">
      <c r="A88" s="8">
        <v>42786.441990740743</v>
      </c>
      <c r="B88" s="20" t="s">
        <v>217</v>
      </c>
      <c r="C88" s="20" t="s">
        <v>561</v>
      </c>
      <c r="D88" s="150">
        <v>940000</v>
      </c>
      <c r="E88" s="20" t="s">
        <v>500</v>
      </c>
      <c r="F88" s="20" t="s">
        <v>501</v>
      </c>
      <c r="G88" s="8" t="str">
        <f t="shared" si="1"/>
        <v>BONDS REYNALDO</v>
      </c>
    </row>
    <row r="89" spans="1:7" x14ac:dyDescent="0.25">
      <c r="A89" s="8">
        <v>42786.442812499998</v>
      </c>
      <c r="B89" s="20" t="s">
        <v>282</v>
      </c>
      <c r="C89" s="20" t="s">
        <v>562</v>
      </c>
      <c r="D89" s="150">
        <v>900000</v>
      </c>
      <c r="E89" s="20" t="s">
        <v>520</v>
      </c>
      <c r="F89" s="20" t="s">
        <v>521</v>
      </c>
      <c r="G89" s="8" t="str">
        <f t="shared" si="1"/>
        <v>ROCHA YAOTL</v>
      </c>
    </row>
    <row r="90" spans="1:7" x14ac:dyDescent="0.25">
      <c r="A90" s="8">
        <v>42786.443888888891</v>
      </c>
      <c r="B90" s="20" t="s">
        <v>261</v>
      </c>
      <c r="C90" s="20" t="s">
        <v>563</v>
      </c>
      <c r="D90" s="150">
        <v>2140000</v>
      </c>
      <c r="E90" s="20" t="s">
        <v>345</v>
      </c>
      <c r="F90" s="20" t="s">
        <v>346</v>
      </c>
      <c r="G90" s="8" t="str">
        <f t="shared" si="1"/>
        <v>ROBINSON KADDIBA</v>
      </c>
    </row>
    <row r="91" spans="1:7" x14ac:dyDescent="0.25">
      <c r="A91" s="8">
        <v>42786.446412037039</v>
      </c>
      <c r="B91" s="20" t="s">
        <v>279</v>
      </c>
      <c r="C91" s="20" t="s">
        <v>564</v>
      </c>
      <c r="D91" s="150">
        <v>2020000</v>
      </c>
      <c r="E91" s="20" t="s">
        <v>347</v>
      </c>
      <c r="F91" s="20" t="s">
        <v>283</v>
      </c>
      <c r="G91" s="8" t="str">
        <f t="shared" si="1"/>
        <v>SHOOK JOHN</v>
      </c>
    </row>
    <row r="92" spans="1:7" x14ac:dyDescent="0.25">
      <c r="A92" s="8">
        <v>42786.453541666669</v>
      </c>
      <c r="B92" s="20" t="s">
        <v>281</v>
      </c>
      <c r="C92" s="20" t="s">
        <v>565</v>
      </c>
      <c r="D92" s="150">
        <v>2470000</v>
      </c>
      <c r="E92" s="20" t="s">
        <v>386</v>
      </c>
      <c r="F92" s="20" t="s">
        <v>387</v>
      </c>
      <c r="G92" s="8" t="str">
        <f t="shared" si="1"/>
        <v>ROMERO CHAD</v>
      </c>
    </row>
    <row r="93" spans="1:7" x14ac:dyDescent="0.25">
      <c r="A93" s="8">
        <v>42786.456493055557</v>
      </c>
      <c r="B93" s="20" t="s">
        <v>208</v>
      </c>
      <c r="C93" s="20" t="s">
        <v>566</v>
      </c>
      <c r="D93" s="150">
        <v>1830000</v>
      </c>
      <c r="E93" s="20" t="s">
        <v>284</v>
      </c>
      <c r="F93" s="20" t="s">
        <v>285</v>
      </c>
      <c r="G93" s="8" t="str">
        <f t="shared" si="1"/>
        <v>YORK EDGAR</v>
      </c>
    </row>
    <row r="94" spans="1:7" x14ac:dyDescent="0.25">
      <c r="A94" s="8">
        <v>42786.456724537034</v>
      </c>
      <c r="B94" s="20" t="s">
        <v>220</v>
      </c>
      <c r="C94" s="20" t="s">
        <v>567</v>
      </c>
      <c r="D94" s="150">
        <v>880000</v>
      </c>
      <c r="E94" s="20" t="s">
        <v>388</v>
      </c>
      <c r="F94" s="20" t="s">
        <v>202</v>
      </c>
      <c r="G94" s="8" t="str">
        <f t="shared" si="1"/>
        <v>STEWART MICHAEL</v>
      </c>
    </row>
    <row r="95" spans="1:7" x14ac:dyDescent="0.25">
      <c r="A95" s="8">
        <v>42786.461516203701</v>
      </c>
      <c r="B95" s="20" t="s">
        <v>234</v>
      </c>
      <c r="C95" s="20" t="s">
        <v>472</v>
      </c>
      <c r="D95" s="150">
        <v>1260000</v>
      </c>
      <c r="E95" s="20" t="s">
        <v>568</v>
      </c>
      <c r="F95" s="20" t="s">
        <v>569</v>
      </c>
      <c r="G95" s="8" t="str">
        <f t="shared" si="1"/>
        <v>ACKERMAN JARED</v>
      </c>
    </row>
    <row r="96" spans="1:7" x14ac:dyDescent="0.25">
      <c r="A96" s="8">
        <v>42786.46497685185</v>
      </c>
      <c r="B96" s="20" t="s">
        <v>253</v>
      </c>
      <c r="C96" s="20" t="s">
        <v>570</v>
      </c>
      <c r="D96" s="150">
        <v>2150000</v>
      </c>
      <c r="E96" s="20" t="s">
        <v>384</v>
      </c>
      <c r="F96" s="20" t="s">
        <v>385</v>
      </c>
      <c r="G96" s="8" t="str">
        <f t="shared" si="1"/>
        <v>SWANSON BRYCE</v>
      </c>
    </row>
    <row r="97" spans="1:7" x14ac:dyDescent="0.25">
      <c r="A97" s="8">
        <v>42786.466423611113</v>
      </c>
      <c r="B97" s="20" t="s">
        <v>270</v>
      </c>
      <c r="C97" s="20" t="s">
        <v>473</v>
      </c>
      <c r="D97" s="150">
        <v>920000</v>
      </c>
      <c r="E97" s="20" t="s">
        <v>393</v>
      </c>
      <c r="F97" s="20" t="s">
        <v>202</v>
      </c>
      <c r="G97" s="8" t="str">
        <f t="shared" si="1"/>
        <v>DAVIS MICHAEL</v>
      </c>
    </row>
    <row r="98" spans="1:7" x14ac:dyDescent="0.25">
      <c r="A98" s="8">
        <v>42786.468888888892</v>
      </c>
      <c r="B98" s="20" t="s">
        <v>192</v>
      </c>
      <c r="C98" s="20" t="s">
        <v>571</v>
      </c>
      <c r="D98" s="150">
        <v>900000</v>
      </c>
      <c r="E98" s="20" t="s">
        <v>520</v>
      </c>
      <c r="F98" s="20" t="s">
        <v>521</v>
      </c>
      <c r="G98" s="8" t="str">
        <f t="shared" si="1"/>
        <v>ROCHA YAOTL</v>
      </c>
    </row>
    <row r="99" spans="1:7" x14ac:dyDescent="0.25">
      <c r="A99" s="8">
        <v>42786.476956018516</v>
      </c>
      <c r="B99" s="20" t="s">
        <v>216</v>
      </c>
      <c r="C99" s="20" t="s">
        <v>572</v>
      </c>
      <c r="D99" s="150">
        <v>930000</v>
      </c>
      <c r="E99" s="20" t="s">
        <v>573</v>
      </c>
      <c r="F99" s="20" t="s">
        <v>574</v>
      </c>
      <c r="G99" s="8" t="str">
        <f t="shared" si="1"/>
        <v>CLARK KATHLEEN</v>
      </c>
    </row>
    <row r="100" spans="1:7" x14ac:dyDescent="0.25">
      <c r="A100" s="8">
        <v>42786.484259259261</v>
      </c>
      <c r="B100" s="20" t="s">
        <v>282</v>
      </c>
      <c r="C100" s="20" t="s">
        <v>575</v>
      </c>
      <c r="D100" s="150">
        <v>900000</v>
      </c>
      <c r="E100" s="20" t="s">
        <v>520</v>
      </c>
      <c r="F100" s="20" t="s">
        <v>521</v>
      </c>
      <c r="G100" s="8" t="str">
        <f t="shared" si="1"/>
        <v>ROCHA YAOTL</v>
      </c>
    </row>
    <row r="101" spans="1:7" x14ac:dyDescent="0.25">
      <c r="A101" s="8">
        <v>42786.484444444446</v>
      </c>
      <c r="B101" s="20" t="s">
        <v>280</v>
      </c>
      <c r="C101" s="20" t="s">
        <v>576</v>
      </c>
      <c r="D101" s="150">
        <v>940000</v>
      </c>
      <c r="E101" s="20" t="s">
        <v>500</v>
      </c>
      <c r="F101" s="20" t="s">
        <v>501</v>
      </c>
      <c r="G101" s="8" t="str">
        <f t="shared" si="1"/>
        <v>BONDS REYNALDO</v>
      </c>
    </row>
    <row r="102" spans="1:7" x14ac:dyDescent="0.25">
      <c r="A102" s="8">
        <v>42786.484826388885</v>
      </c>
      <c r="B102" s="20" t="s">
        <v>224</v>
      </c>
      <c r="C102" s="20" t="s">
        <v>474</v>
      </c>
      <c r="D102" s="150">
        <v>2140000</v>
      </c>
      <c r="E102" s="20" t="s">
        <v>345</v>
      </c>
      <c r="F102" s="20" t="s">
        <v>346</v>
      </c>
      <c r="G102" s="8" t="str">
        <f t="shared" si="1"/>
        <v>ROBINSON KADDIBA</v>
      </c>
    </row>
    <row r="103" spans="1:7" x14ac:dyDescent="0.25">
      <c r="A103" s="8">
        <v>42786.487546296295</v>
      </c>
      <c r="B103" s="20" t="s">
        <v>231</v>
      </c>
      <c r="C103" s="20" t="s">
        <v>577</v>
      </c>
      <c r="D103" s="150">
        <v>2470000</v>
      </c>
      <c r="E103" s="20" t="s">
        <v>386</v>
      </c>
      <c r="F103" s="20" t="s">
        <v>387</v>
      </c>
      <c r="G103" s="8" t="str">
        <f t="shared" si="1"/>
        <v>ROMERO CHAD</v>
      </c>
    </row>
    <row r="104" spans="1:7" x14ac:dyDescent="0.25">
      <c r="A104" s="8">
        <v>42786.492766203701</v>
      </c>
      <c r="B104" s="20" t="s">
        <v>273</v>
      </c>
      <c r="C104" s="20" t="s">
        <v>578</v>
      </c>
      <c r="D104" s="150">
        <v>2250000</v>
      </c>
      <c r="E104" s="20" t="s">
        <v>389</v>
      </c>
      <c r="F104" s="20" t="s">
        <v>390</v>
      </c>
      <c r="G104" s="8" t="str">
        <f t="shared" si="1"/>
        <v>CRAYTON QUNTRELL</v>
      </c>
    </row>
    <row r="105" spans="1:7" x14ac:dyDescent="0.25">
      <c r="A105" s="8">
        <v>42786.495416666665</v>
      </c>
      <c r="B105" s="20" t="s">
        <v>219</v>
      </c>
      <c r="C105" s="20" t="s">
        <v>579</v>
      </c>
      <c r="D105" s="150">
        <v>880000</v>
      </c>
      <c r="E105" s="20" t="s">
        <v>388</v>
      </c>
      <c r="F105" s="20" t="s">
        <v>202</v>
      </c>
      <c r="G105" s="8" t="str">
        <f t="shared" si="1"/>
        <v>STEWART MICHAEL</v>
      </c>
    </row>
    <row r="106" spans="1:7" x14ac:dyDescent="0.25">
      <c r="A106" s="8">
        <v>42786.506284722222</v>
      </c>
      <c r="B106" s="20" t="s">
        <v>267</v>
      </c>
      <c r="C106" s="20" t="s">
        <v>580</v>
      </c>
      <c r="D106" s="150">
        <v>920000</v>
      </c>
      <c r="E106" s="20" t="s">
        <v>393</v>
      </c>
      <c r="F106" s="20" t="s">
        <v>202</v>
      </c>
      <c r="G106" s="8" t="str">
        <f t="shared" si="1"/>
        <v>DAVIS MICHAEL</v>
      </c>
    </row>
    <row r="107" spans="1:7" x14ac:dyDescent="0.25">
      <c r="A107" s="8">
        <v>42786.508611111109</v>
      </c>
      <c r="B107" s="20" t="s">
        <v>252</v>
      </c>
      <c r="C107" s="20" t="s">
        <v>581</v>
      </c>
      <c r="D107" s="150">
        <v>1180000</v>
      </c>
      <c r="E107" s="20" t="s">
        <v>582</v>
      </c>
      <c r="F107" s="20" t="s">
        <v>583</v>
      </c>
      <c r="G107" s="8" t="str">
        <f t="shared" si="1"/>
        <v>LEVERE CRAIG</v>
      </c>
    </row>
    <row r="108" spans="1:7" x14ac:dyDescent="0.25">
      <c r="A108" s="8">
        <v>42786.509143518517</v>
      </c>
      <c r="B108" s="20" t="s">
        <v>192</v>
      </c>
      <c r="C108" s="20" t="s">
        <v>584</v>
      </c>
      <c r="D108" s="150">
        <v>900000</v>
      </c>
      <c r="E108" s="20" t="s">
        <v>520</v>
      </c>
      <c r="F108" s="20" t="s">
        <v>521</v>
      </c>
      <c r="G108" s="8" t="str">
        <f t="shared" si="1"/>
        <v>ROCHA YAOTL</v>
      </c>
    </row>
    <row r="109" spans="1:7" x14ac:dyDescent="0.25">
      <c r="A109" s="8">
        <v>42786.512986111113</v>
      </c>
      <c r="B109" s="20" t="s">
        <v>217</v>
      </c>
      <c r="C109" s="20" t="s">
        <v>585</v>
      </c>
      <c r="D109" s="150">
        <v>930000</v>
      </c>
      <c r="E109" s="20" t="s">
        <v>573</v>
      </c>
      <c r="F109" s="20" t="s">
        <v>574</v>
      </c>
      <c r="G109" s="8" t="str">
        <f t="shared" si="1"/>
        <v>CLARK KATHLEEN</v>
      </c>
    </row>
    <row r="110" spans="1:7" x14ac:dyDescent="0.25">
      <c r="A110" s="8">
        <v>42786.516944444447</v>
      </c>
      <c r="B110" s="20" t="s">
        <v>261</v>
      </c>
      <c r="C110" s="20" t="s">
        <v>586</v>
      </c>
      <c r="D110" s="150">
        <v>2030000</v>
      </c>
      <c r="E110" s="20" t="s">
        <v>349</v>
      </c>
      <c r="F110" s="20" t="s">
        <v>286</v>
      </c>
      <c r="G110" s="8" t="str">
        <f t="shared" si="1"/>
        <v>KILLION DAVID</v>
      </c>
    </row>
    <row r="111" spans="1:7" x14ac:dyDescent="0.25">
      <c r="A111" s="8">
        <v>42786.520254629628</v>
      </c>
      <c r="B111" s="20" t="s">
        <v>279</v>
      </c>
      <c r="C111" s="20" t="s">
        <v>587</v>
      </c>
      <c r="D111" s="150">
        <v>2470000</v>
      </c>
      <c r="E111" s="20" t="s">
        <v>386</v>
      </c>
      <c r="F111" s="20" t="s">
        <v>387</v>
      </c>
      <c r="G111" s="8" t="str">
        <f t="shared" si="1"/>
        <v>ROMERO CHAD</v>
      </c>
    </row>
    <row r="112" spans="1:7" x14ac:dyDescent="0.25">
      <c r="A112" s="8">
        <v>42786.526539351849</v>
      </c>
      <c r="B112" s="20" t="s">
        <v>282</v>
      </c>
      <c r="C112" s="20" t="s">
        <v>588</v>
      </c>
      <c r="D112" s="150">
        <v>900000</v>
      </c>
      <c r="E112" s="20" t="s">
        <v>520</v>
      </c>
      <c r="F112" s="20" t="s">
        <v>521</v>
      </c>
      <c r="G112" s="8" t="str">
        <f t="shared" si="1"/>
        <v>ROCHA YAOTL</v>
      </c>
    </row>
    <row r="113" spans="1:7" x14ac:dyDescent="0.25">
      <c r="A113" s="8">
        <v>42786.52752314815</v>
      </c>
      <c r="B113" s="20" t="s">
        <v>220</v>
      </c>
      <c r="C113" s="20" t="s">
        <v>589</v>
      </c>
      <c r="D113" s="150">
        <v>880000</v>
      </c>
      <c r="E113" s="20" t="s">
        <v>388</v>
      </c>
      <c r="F113" s="20" t="s">
        <v>202</v>
      </c>
      <c r="G113" s="8" t="str">
        <f t="shared" si="1"/>
        <v>STEWART MICHAEL</v>
      </c>
    </row>
    <row r="114" spans="1:7" x14ac:dyDescent="0.25">
      <c r="A114" s="8">
        <v>42786.529976851853</v>
      </c>
      <c r="B114" s="20" t="s">
        <v>248</v>
      </c>
      <c r="C114" s="20" t="s">
        <v>590</v>
      </c>
      <c r="D114" s="150">
        <v>2250000</v>
      </c>
      <c r="E114" s="20" t="s">
        <v>389</v>
      </c>
      <c r="F114" s="20" t="s">
        <v>390</v>
      </c>
      <c r="G114" s="8" t="str">
        <f t="shared" si="1"/>
        <v>CRAYTON QUNTRELL</v>
      </c>
    </row>
    <row r="115" spans="1:7" x14ac:dyDescent="0.25">
      <c r="A115" s="8">
        <v>42786.539039351854</v>
      </c>
      <c r="B115" s="20" t="s">
        <v>270</v>
      </c>
      <c r="C115" s="20" t="s">
        <v>591</v>
      </c>
      <c r="D115" s="150">
        <v>920000</v>
      </c>
      <c r="E115" s="20" t="s">
        <v>393</v>
      </c>
      <c r="F115" s="20" t="s">
        <v>202</v>
      </c>
      <c r="G115" s="8" t="str">
        <f t="shared" si="1"/>
        <v>DAVIS MICHAEL</v>
      </c>
    </row>
    <row r="116" spans="1:7" x14ac:dyDescent="0.25">
      <c r="A116" s="8">
        <v>42786.542719907404</v>
      </c>
      <c r="B116" s="20" t="s">
        <v>253</v>
      </c>
      <c r="C116" s="20" t="s">
        <v>592</v>
      </c>
      <c r="D116" s="150">
        <v>1180000</v>
      </c>
      <c r="E116" s="20" t="s">
        <v>582</v>
      </c>
      <c r="F116" s="20" t="s">
        <v>583</v>
      </c>
      <c r="G116" s="8" t="str">
        <f t="shared" si="1"/>
        <v>LEVERE CRAIG</v>
      </c>
    </row>
    <row r="117" spans="1:7" x14ac:dyDescent="0.25">
      <c r="A117" s="8">
        <v>42786.547696759262</v>
      </c>
      <c r="B117" s="20" t="s">
        <v>216</v>
      </c>
      <c r="C117" s="20" t="s">
        <v>593</v>
      </c>
      <c r="D117" s="150">
        <v>930000</v>
      </c>
      <c r="E117" s="20" t="s">
        <v>573</v>
      </c>
      <c r="F117" s="20" t="s">
        <v>574</v>
      </c>
      <c r="G117" s="8" t="str">
        <f t="shared" si="1"/>
        <v>CLARK KATHLEEN</v>
      </c>
    </row>
    <row r="118" spans="1:7" x14ac:dyDescent="0.25">
      <c r="A118" s="8">
        <v>42786.552118055559</v>
      </c>
      <c r="B118" s="20" t="s">
        <v>224</v>
      </c>
      <c r="C118" s="20" t="s">
        <v>594</v>
      </c>
      <c r="D118" s="150">
        <v>2030000</v>
      </c>
      <c r="E118" s="20" t="s">
        <v>349</v>
      </c>
      <c r="F118" s="20" t="s">
        <v>286</v>
      </c>
      <c r="G118" s="8" t="str">
        <f t="shared" si="1"/>
        <v>KILLION DAVID</v>
      </c>
    </row>
    <row r="119" spans="1:7" x14ac:dyDescent="0.25">
      <c r="A119" s="8">
        <v>42786.552210648151</v>
      </c>
      <c r="B119" s="20" t="s">
        <v>192</v>
      </c>
      <c r="C119" s="20" t="s">
        <v>475</v>
      </c>
      <c r="D119" s="150">
        <v>1300000</v>
      </c>
      <c r="E119" s="20" t="s">
        <v>391</v>
      </c>
      <c r="F119" s="20" t="s">
        <v>392</v>
      </c>
      <c r="G119" s="8" t="str">
        <f t="shared" si="1"/>
        <v>LEVIN SCOTT</v>
      </c>
    </row>
    <row r="120" spans="1:7" x14ac:dyDescent="0.25">
      <c r="A120" s="8">
        <v>42786.557106481479</v>
      </c>
      <c r="B120" s="20" t="s">
        <v>231</v>
      </c>
      <c r="C120" s="20" t="s">
        <v>476</v>
      </c>
      <c r="D120" s="150">
        <v>2470000</v>
      </c>
      <c r="E120" s="20" t="s">
        <v>386</v>
      </c>
      <c r="F120" s="20" t="s">
        <v>387</v>
      </c>
      <c r="G120" s="8" t="str">
        <f t="shared" si="1"/>
        <v>ROMERO CHAD</v>
      </c>
    </row>
    <row r="121" spans="1:7" x14ac:dyDescent="0.25">
      <c r="A121" s="8">
        <v>42786.56689814815</v>
      </c>
      <c r="B121" s="20" t="s">
        <v>282</v>
      </c>
      <c r="C121" s="20" t="s">
        <v>595</v>
      </c>
      <c r="D121" s="150">
        <v>1300000</v>
      </c>
      <c r="E121" s="20" t="s">
        <v>391</v>
      </c>
      <c r="F121" s="20" t="s">
        <v>392</v>
      </c>
      <c r="G121" s="8" t="str">
        <f t="shared" si="1"/>
        <v>LEVIN SCOTT</v>
      </c>
    </row>
    <row r="122" spans="1:7" x14ac:dyDescent="0.25">
      <c r="A122" s="8">
        <v>42786.568310185183</v>
      </c>
      <c r="B122" s="25" t="s">
        <v>273</v>
      </c>
      <c r="C122" s="20" t="s">
        <v>596</v>
      </c>
      <c r="D122" s="150">
        <v>2250000</v>
      </c>
      <c r="E122" s="20" t="s">
        <v>389</v>
      </c>
      <c r="F122" s="20" t="s">
        <v>390</v>
      </c>
      <c r="G122" s="8" t="str">
        <f t="shared" si="1"/>
        <v>CRAYTON QUNTRELL</v>
      </c>
    </row>
    <row r="123" spans="1:7" x14ac:dyDescent="0.25">
      <c r="A123" s="8">
        <v>42786.568368055552</v>
      </c>
      <c r="B123" s="20" t="s">
        <v>219</v>
      </c>
      <c r="C123" s="20" t="s">
        <v>597</v>
      </c>
      <c r="D123" s="150">
        <v>880000</v>
      </c>
      <c r="E123" s="20" t="s">
        <v>388</v>
      </c>
      <c r="F123" s="20" t="s">
        <v>202</v>
      </c>
      <c r="G123" s="8" t="str">
        <f t="shared" si="1"/>
        <v>STEWART MICHAEL</v>
      </c>
    </row>
    <row r="124" spans="1:7" x14ac:dyDescent="0.25">
      <c r="A124" s="8">
        <v>42786.578958333332</v>
      </c>
      <c r="B124" s="20" t="s">
        <v>252</v>
      </c>
      <c r="C124" s="20" t="s">
        <v>598</v>
      </c>
      <c r="D124" s="150">
        <v>1180000</v>
      </c>
      <c r="E124" s="20" t="s">
        <v>582</v>
      </c>
      <c r="F124" s="20" t="s">
        <v>583</v>
      </c>
      <c r="G124" s="8" t="str">
        <f t="shared" si="1"/>
        <v>LEVERE CRAIG</v>
      </c>
    </row>
    <row r="125" spans="1:7" x14ac:dyDescent="0.25">
      <c r="A125" s="8">
        <v>42786.579432870371</v>
      </c>
      <c r="B125" s="20" t="s">
        <v>267</v>
      </c>
      <c r="C125" s="20" t="s">
        <v>599</v>
      </c>
      <c r="D125" s="150">
        <v>920000</v>
      </c>
      <c r="E125" s="20" t="s">
        <v>393</v>
      </c>
      <c r="F125" s="20" t="s">
        <v>202</v>
      </c>
      <c r="G125" s="8" t="str">
        <f t="shared" si="1"/>
        <v>DAVIS MICHAEL</v>
      </c>
    </row>
    <row r="126" spans="1:7" x14ac:dyDescent="0.25">
      <c r="A126" s="8">
        <v>42786.586701388886</v>
      </c>
      <c r="B126" s="20" t="s">
        <v>217</v>
      </c>
      <c r="C126" s="20" t="s">
        <v>600</v>
      </c>
      <c r="D126" s="150">
        <v>930000</v>
      </c>
      <c r="E126" s="20" t="s">
        <v>573</v>
      </c>
      <c r="F126" s="20" t="s">
        <v>574</v>
      </c>
      <c r="G126" s="8" t="str">
        <f t="shared" si="1"/>
        <v>CLARK KATHLEEN</v>
      </c>
    </row>
    <row r="127" spans="1:7" x14ac:dyDescent="0.25">
      <c r="A127" s="8">
        <v>42786.588865740741</v>
      </c>
      <c r="B127" s="20" t="s">
        <v>261</v>
      </c>
      <c r="C127" s="20" t="s">
        <v>477</v>
      </c>
      <c r="D127" s="150">
        <v>2030000</v>
      </c>
      <c r="E127" s="20" t="s">
        <v>349</v>
      </c>
      <c r="F127" s="20" t="s">
        <v>286</v>
      </c>
      <c r="G127" s="8" t="str">
        <f t="shared" si="1"/>
        <v>KILLION DAVID</v>
      </c>
    </row>
    <row r="128" spans="1:7" x14ac:dyDescent="0.25">
      <c r="A128" s="8">
        <v>42786.594513888886</v>
      </c>
      <c r="B128" s="20" t="s">
        <v>279</v>
      </c>
      <c r="C128" s="20" t="s">
        <v>601</v>
      </c>
      <c r="D128" s="150">
        <v>2470000</v>
      </c>
      <c r="E128" s="20" t="s">
        <v>386</v>
      </c>
      <c r="F128" s="20" t="s">
        <v>387</v>
      </c>
      <c r="G128" s="8" t="str">
        <f t="shared" si="1"/>
        <v>ROMERO CHAD</v>
      </c>
    </row>
    <row r="129" spans="1:7" x14ac:dyDescent="0.25">
      <c r="A129" s="8">
        <v>42786.595902777779</v>
      </c>
      <c r="B129" s="20" t="s">
        <v>192</v>
      </c>
      <c r="C129" s="20" t="s">
        <v>602</v>
      </c>
      <c r="D129" s="150">
        <v>1300000</v>
      </c>
      <c r="E129" s="20" t="s">
        <v>391</v>
      </c>
      <c r="F129" s="20" t="s">
        <v>392</v>
      </c>
      <c r="G129" s="8" t="str">
        <f t="shared" si="1"/>
        <v>LEVIN SCOTT</v>
      </c>
    </row>
    <row r="130" spans="1:7" x14ac:dyDescent="0.25">
      <c r="A130" s="8">
        <v>42786.601377314815</v>
      </c>
      <c r="B130" s="20" t="s">
        <v>220</v>
      </c>
      <c r="C130" s="20" t="s">
        <v>603</v>
      </c>
      <c r="D130" s="150">
        <v>880000</v>
      </c>
      <c r="E130" s="20" t="s">
        <v>388</v>
      </c>
      <c r="F130" s="20" t="s">
        <v>202</v>
      </c>
      <c r="G130" s="8" t="str">
        <f t="shared" si="1"/>
        <v>STEWART MICHAEL</v>
      </c>
    </row>
    <row r="131" spans="1:7" x14ac:dyDescent="0.25">
      <c r="A131" s="8">
        <v>42786.606435185182</v>
      </c>
      <c r="B131" s="20" t="s">
        <v>248</v>
      </c>
      <c r="C131" s="20" t="s">
        <v>604</v>
      </c>
      <c r="D131" s="150">
        <v>2250000</v>
      </c>
      <c r="E131" s="20" t="s">
        <v>389</v>
      </c>
      <c r="F131" s="20" t="s">
        <v>390</v>
      </c>
      <c r="G131" s="8" t="str">
        <f t="shared" ref="G131:G194" si="2">E131&amp;" "&amp;F131</f>
        <v>CRAYTON QUNTRELL</v>
      </c>
    </row>
    <row r="132" spans="1:7" x14ac:dyDescent="0.25">
      <c r="A132" s="8">
        <v>42786.609050925923</v>
      </c>
      <c r="B132" s="20" t="s">
        <v>282</v>
      </c>
      <c r="C132" s="20" t="s">
        <v>605</v>
      </c>
      <c r="D132" s="150">
        <v>1300000</v>
      </c>
      <c r="E132" s="20" t="s">
        <v>391</v>
      </c>
      <c r="F132" s="20" t="s">
        <v>392</v>
      </c>
      <c r="G132" s="8" t="str">
        <f t="shared" si="2"/>
        <v>LEVIN SCOTT</v>
      </c>
    </row>
    <row r="133" spans="1:7" x14ac:dyDescent="0.25">
      <c r="A133" s="8">
        <v>42786.61347222222</v>
      </c>
      <c r="B133" s="20" t="s">
        <v>270</v>
      </c>
      <c r="C133" s="20" t="s">
        <v>606</v>
      </c>
      <c r="D133" s="150">
        <v>920000</v>
      </c>
      <c r="E133" s="20" t="s">
        <v>393</v>
      </c>
      <c r="F133" s="20" t="s">
        <v>202</v>
      </c>
      <c r="G133" s="8" t="str">
        <f t="shared" si="2"/>
        <v>DAVIS MICHAEL</v>
      </c>
    </row>
    <row r="134" spans="1:7" x14ac:dyDescent="0.25">
      <c r="A134" s="8">
        <v>42786.617013888892</v>
      </c>
      <c r="B134" s="20" t="s">
        <v>253</v>
      </c>
      <c r="C134" s="20" t="s">
        <v>480</v>
      </c>
      <c r="D134" s="150">
        <v>1180000</v>
      </c>
      <c r="E134" s="20" t="s">
        <v>582</v>
      </c>
      <c r="F134" s="20" t="s">
        <v>583</v>
      </c>
      <c r="G134" s="8" t="str">
        <f t="shared" si="2"/>
        <v>LEVERE CRAIG</v>
      </c>
    </row>
    <row r="135" spans="1:7" x14ac:dyDescent="0.25">
      <c r="A135" s="8">
        <v>42786.620347222219</v>
      </c>
      <c r="B135" s="20" t="s">
        <v>216</v>
      </c>
      <c r="C135" s="20" t="s">
        <v>607</v>
      </c>
      <c r="D135" s="150">
        <v>930000</v>
      </c>
      <c r="E135" s="20" t="s">
        <v>573</v>
      </c>
      <c r="F135" s="20" t="s">
        <v>574</v>
      </c>
      <c r="G135" s="8" t="str">
        <f t="shared" si="2"/>
        <v>CLARK KATHLEEN</v>
      </c>
    </row>
    <row r="136" spans="1:7" x14ac:dyDescent="0.25">
      <c r="A136" s="8">
        <v>42786.625532407408</v>
      </c>
      <c r="B136" s="20" t="s">
        <v>224</v>
      </c>
      <c r="C136" s="20" t="s">
        <v>608</v>
      </c>
      <c r="D136" s="150">
        <v>2030000</v>
      </c>
      <c r="E136" s="20" t="s">
        <v>349</v>
      </c>
      <c r="F136" s="20" t="s">
        <v>286</v>
      </c>
      <c r="G136" s="8" t="str">
        <f t="shared" si="2"/>
        <v>KILLION DAVID</v>
      </c>
    </row>
    <row r="137" spans="1:7" x14ac:dyDescent="0.25">
      <c r="A137" s="8">
        <v>42786.631180555552</v>
      </c>
      <c r="B137" s="20" t="s">
        <v>231</v>
      </c>
      <c r="C137" s="20" t="s">
        <v>609</v>
      </c>
      <c r="D137" s="150">
        <v>2470000</v>
      </c>
      <c r="E137" s="20" t="s">
        <v>386</v>
      </c>
      <c r="F137" s="20" t="s">
        <v>387</v>
      </c>
      <c r="G137" s="8" t="str">
        <f t="shared" si="2"/>
        <v>ROMERO CHAD</v>
      </c>
    </row>
    <row r="138" spans="1:7" x14ac:dyDescent="0.25">
      <c r="A138" s="8">
        <v>42786.636805555558</v>
      </c>
      <c r="B138" s="20" t="s">
        <v>192</v>
      </c>
      <c r="C138" s="20" t="s">
        <v>610</v>
      </c>
      <c r="D138" s="150">
        <v>1300000</v>
      </c>
      <c r="E138" s="20" t="s">
        <v>391</v>
      </c>
      <c r="F138" s="20" t="s">
        <v>392</v>
      </c>
      <c r="G138" s="8" t="str">
        <f t="shared" si="2"/>
        <v>LEVIN SCOTT</v>
      </c>
    </row>
    <row r="139" spans="1:7" x14ac:dyDescent="0.25">
      <c r="A139" s="8">
        <v>42786.63789351852</v>
      </c>
      <c r="B139" s="20" t="s">
        <v>478</v>
      </c>
      <c r="C139" s="20" t="s">
        <v>479</v>
      </c>
      <c r="D139" s="150">
        <v>2560000</v>
      </c>
      <c r="E139" s="20" t="s">
        <v>611</v>
      </c>
      <c r="F139" s="20" t="s">
        <v>612</v>
      </c>
      <c r="G139" s="8" t="str">
        <f t="shared" si="2"/>
        <v>MACDONALD THOMAS</v>
      </c>
    </row>
    <row r="140" spans="1:7" x14ac:dyDescent="0.25">
      <c r="A140" s="8">
        <v>42786.639745370368</v>
      </c>
      <c r="B140" s="20" t="s">
        <v>219</v>
      </c>
      <c r="C140" s="20" t="s">
        <v>613</v>
      </c>
      <c r="D140" s="150">
        <v>880000</v>
      </c>
      <c r="E140" s="20" t="s">
        <v>388</v>
      </c>
      <c r="F140" s="20" t="s">
        <v>202</v>
      </c>
      <c r="G140" s="8" t="str">
        <f t="shared" si="2"/>
        <v>STEWART MICHAEL</v>
      </c>
    </row>
    <row r="141" spans="1:7" x14ac:dyDescent="0.25">
      <c r="A141" s="8">
        <v>42786.641435185185</v>
      </c>
      <c r="B141" s="20" t="s">
        <v>273</v>
      </c>
      <c r="C141" s="20" t="s">
        <v>614</v>
      </c>
      <c r="D141" s="150">
        <v>2250000</v>
      </c>
      <c r="E141" s="20" t="s">
        <v>389</v>
      </c>
      <c r="F141" s="20" t="s">
        <v>390</v>
      </c>
      <c r="G141" s="8" t="str">
        <f t="shared" si="2"/>
        <v>CRAYTON QUNTRELL</v>
      </c>
    </row>
    <row r="142" spans="1:7" x14ac:dyDescent="0.25">
      <c r="A142" s="8">
        <v>42786.650567129633</v>
      </c>
      <c r="B142" s="20" t="s">
        <v>282</v>
      </c>
      <c r="C142" s="20" t="s">
        <v>615</v>
      </c>
      <c r="D142" s="150">
        <v>1300000</v>
      </c>
      <c r="E142" s="20" t="s">
        <v>391</v>
      </c>
      <c r="F142" s="20" t="s">
        <v>392</v>
      </c>
      <c r="G142" s="8" t="str">
        <f t="shared" si="2"/>
        <v>LEVIN SCOTT</v>
      </c>
    </row>
    <row r="143" spans="1:7" x14ac:dyDescent="0.25">
      <c r="A143" s="8">
        <v>42786.651354166665</v>
      </c>
      <c r="B143" s="20" t="s">
        <v>267</v>
      </c>
      <c r="C143" s="20" t="s">
        <v>616</v>
      </c>
      <c r="D143" s="150">
        <v>920000</v>
      </c>
      <c r="E143" s="20" t="s">
        <v>393</v>
      </c>
      <c r="F143" s="20" t="s">
        <v>202</v>
      </c>
      <c r="G143" s="8" t="str">
        <f t="shared" si="2"/>
        <v>DAVIS MICHAEL</v>
      </c>
    </row>
    <row r="144" spans="1:7" x14ac:dyDescent="0.25">
      <c r="A144" s="8">
        <v>42786.652175925927</v>
      </c>
      <c r="B144" s="20" t="s">
        <v>252</v>
      </c>
      <c r="C144" s="20" t="s">
        <v>617</v>
      </c>
      <c r="D144" s="150">
        <v>1180000</v>
      </c>
      <c r="E144" s="20" t="s">
        <v>582</v>
      </c>
      <c r="F144" s="20" t="s">
        <v>583</v>
      </c>
      <c r="G144" s="8" t="str">
        <f t="shared" si="2"/>
        <v>LEVERE CRAIG</v>
      </c>
    </row>
    <row r="145" spans="1:7" x14ac:dyDescent="0.25">
      <c r="A145" s="8">
        <v>42786.656261574077</v>
      </c>
      <c r="B145" s="20" t="s">
        <v>382</v>
      </c>
      <c r="C145" s="20" t="s">
        <v>618</v>
      </c>
      <c r="D145" s="150">
        <v>2530000</v>
      </c>
      <c r="E145" s="20" t="s">
        <v>394</v>
      </c>
      <c r="F145" s="20" t="s">
        <v>395</v>
      </c>
      <c r="G145" s="8" t="str">
        <f t="shared" si="2"/>
        <v>LALONDE GREGORY</v>
      </c>
    </row>
    <row r="146" spans="1:7" x14ac:dyDescent="0.25">
      <c r="A146" s="8">
        <v>42786.658854166664</v>
      </c>
      <c r="B146" s="20" t="s">
        <v>217</v>
      </c>
      <c r="C146" s="20" t="s">
        <v>619</v>
      </c>
      <c r="D146" s="150">
        <v>930000</v>
      </c>
      <c r="E146" s="20" t="s">
        <v>573</v>
      </c>
      <c r="F146" s="20" t="s">
        <v>574</v>
      </c>
      <c r="G146" s="8" t="str">
        <f t="shared" si="2"/>
        <v>CLARK KATHLEEN</v>
      </c>
    </row>
    <row r="147" spans="1:7" x14ac:dyDescent="0.25">
      <c r="A147" s="8">
        <v>42786.663263888891</v>
      </c>
      <c r="B147" s="20" t="s">
        <v>279</v>
      </c>
      <c r="C147" s="20" t="s">
        <v>620</v>
      </c>
      <c r="D147" s="150">
        <v>2470000</v>
      </c>
      <c r="E147" s="20" t="s">
        <v>386</v>
      </c>
      <c r="F147" s="20" t="s">
        <v>387</v>
      </c>
      <c r="G147" s="8" t="str">
        <f t="shared" si="2"/>
        <v>ROMERO CHAD</v>
      </c>
    </row>
    <row r="148" spans="1:7" x14ac:dyDescent="0.25">
      <c r="A148" s="8">
        <v>42786.66511574074</v>
      </c>
      <c r="B148" s="20" t="s">
        <v>261</v>
      </c>
      <c r="C148" s="20" t="s">
        <v>621</v>
      </c>
      <c r="D148" s="150">
        <v>2030000</v>
      </c>
      <c r="E148" s="20" t="s">
        <v>349</v>
      </c>
      <c r="F148" s="20" t="s">
        <v>286</v>
      </c>
      <c r="G148" s="8" t="str">
        <f t="shared" si="2"/>
        <v>KILLION DAVID</v>
      </c>
    </row>
    <row r="149" spans="1:7" x14ac:dyDescent="0.25">
      <c r="A149" s="8">
        <v>42786.6719212963</v>
      </c>
      <c r="B149" s="20" t="s">
        <v>478</v>
      </c>
      <c r="C149" s="20" t="s">
        <v>622</v>
      </c>
      <c r="D149" s="150">
        <v>2530000</v>
      </c>
      <c r="E149" s="20" t="s">
        <v>394</v>
      </c>
      <c r="F149" s="20" t="s">
        <v>395</v>
      </c>
      <c r="G149" s="8" t="str">
        <f t="shared" si="2"/>
        <v>LALONDE GREGORY</v>
      </c>
    </row>
    <row r="150" spans="1:7" x14ac:dyDescent="0.25">
      <c r="A150" s="8">
        <v>42786.673518518517</v>
      </c>
      <c r="B150" s="20" t="s">
        <v>220</v>
      </c>
      <c r="C150" s="20" t="s">
        <v>623</v>
      </c>
      <c r="D150" s="150">
        <v>880000</v>
      </c>
      <c r="E150" s="20" t="s">
        <v>388</v>
      </c>
      <c r="F150" s="20" t="s">
        <v>202</v>
      </c>
      <c r="G150" s="8" t="str">
        <f t="shared" si="2"/>
        <v>STEWART MICHAEL</v>
      </c>
    </row>
    <row r="151" spans="1:7" x14ac:dyDescent="0.25">
      <c r="A151" s="8">
        <v>42786.675775462965</v>
      </c>
      <c r="B151" s="20" t="s">
        <v>248</v>
      </c>
      <c r="C151" s="20" t="s">
        <v>624</v>
      </c>
      <c r="D151" s="150">
        <v>2250000</v>
      </c>
      <c r="E151" s="20" t="s">
        <v>389</v>
      </c>
      <c r="F151" s="20" t="s">
        <v>390</v>
      </c>
      <c r="G151" s="8" t="str">
        <f t="shared" si="2"/>
        <v>CRAYTON QUNTRELL</v>
      </c>
    </row>
    <row r="152" spans="1:7" x14ac:dyDescent="0.25">
      <c r="A152" s="8">
        <v>42786.676122685189</v>
      </c>
      <c r="B152" s="20" t="s">
        <v>192</v>
      </c>
      <c r="C152" s="20" t="s">
        <v>625</v>
      </c>
      <c r="D152" s="150">
        <v>2360000</v>
      </c>
      <c r="E152" s="20" t="s">
        <v>626</v>
      </c>
      <c r="F152" s="20" t="s">
        <v>627</v>
      </c>
      <c r="G152" s="8" t="str">
        <f t="shared" si="2"/>
        <v>BRANDNER MELINDA</v>
      </c>
    </row>
    <row r="153" spans="1:7" x14ac:dyDescent="0.25">
      <c r="A153" s="8">
        <v>42786.685925925929</v>
      </c>
      <c r="B153" s="20" t="s">
        <v>270</v>
      </c>
      <c r="C153" s="20" t="s">
        <v>628</v>
      </c>
      <c r="D153" s="150">
        <v>920000</v>
      </c>
      <c r="E153" s="20" t="s">
        <v>393</v>
      </c>
      <c r="F153" s="20" t="s">
        <v>202</v>
      </c>
      <c r="G153" s="8" t="str">
        <f t="shared" si="2"/>
        <v>DAVIS MICHAEL</v>
      </c>
    </row>
    <row r="154" spans="1:7" x14ac:dyDescent="0.25">
      <c r="A154" s="8">
        <v>42786.686840277776</v>
      </c>
      <c r="B154" s="20" t="s">
        <v>382</v>
      </c>
      <c r="C154" s="20" t="s">
        <v>629</v>
      </c>
      <c r="D154" s="150">
        <v>2530000</v>
      </c>
      <c r="E154" s="20" t="s">
        <v>394</v>
      </c>
      <c r="F154" s="20" t="s">
        <v>395</v>
      </c>
      <c r="G154" s="8" t="str">
        <f t="shared" si="2"/>
        <v>LALONDE GREGORY</v>
      </c>
    </row>
    <row r="155" spans="1:7" x14ac:dyDescent="0.25">
      <c r="A155" s="8">
        <v>42786.687974537039</v>
      </c>
      <c r="B155" s="20" t="s">
        <v>253</v>
      </c>
      <c r="C155" s="20" t="s">
        <v>630</v>
      </c>
      <c r="D155" s="150">
        <v>1180000</v>
      </c>
      <c r="E155" s="20" t="s">
        <v>582</v>
      </c>
      <c r="F155" s="20" t="s">
        <v>583</v>
      </c>
      <c r="G155" s="8" t="str">
        <f t="shared" si="2"/>
        <v>LEVERE CRAIG</v>
      </c>
    </row>
    <row r="156" spans="1:7" x14ac:dyDescent="0.25">
      <c r="A156" s="8">
        <v>42786.693668981483</v>
      </c>
      <c r="B156" s="20" t="s">
        <v>282</v>
      </c>
      <c r="C156" s="20" t="s">
        <v>481</v>
      </c>
      <c r="D156" s="150">
        <v>2360000</v>
      </c>
      <c r="E156" s="20" t="s">
        <v>626</v>
      </c>
      <c r="F156" s="20" t="s">
        <v>627</v>
      </c>
      <c r="G156" s="8" t="str">
        <f t="shared" si="2"/>
        <v>BRANDNER MELINDA</v>
      </c>
    </row>
    <row r="157" spans="1:7" x14ac:dyDescent="0.25">
      <c r="A157" s="8">
        <v>42786.694988425923</v>
      </c>
      <c r="B157" s="20" t="s">
        <v>216</v>
      </c>
      <c r="C157" s="20" t="s">
        <v>631</v>
      </c>
      <c r="D157" s="150">
        <v>930000</v>
      </c>
      <c r="E157" s="20" t="s">
        <v>573</v>
      </c>
      <c r="F157" s="20" t="s">
        <v>574</v>
      </c>
      <c r="G157" s="8" t="str">
        <f t="shared" si="2"/>
        <v>CLARK KATHLEEN</v>
      </c>
    </row>
    <row r="158" spans="1:7" x14ac:dyDescent="0.25">
      <c r="A158" s="8">
        <v>42786.69908564815</v>
      </c>
      <c r="B158" s="20" t="s">
        <v>224</v>
      </c>
      <c r="C158" s="20" t="s">
        <v>482</v>
      </c>
      <c r="D158" s="150">
        <v>2030000</v>
      </c>
      <c r="E158" s="20" t="s">
        <v>349</v>
      </c>
      <c r="F158" s="20" t="s">
        <v>286</v>
      </c>
      <c r="G158" s="8" t="str">
        <f t="shared" si="2"/>
        <v>KILLION DAVID</v>
      </c>
    </row>
    <row r="159" spans="1:7" x14ac:dyDescent="0.25">
      <c r="A159" s="8">
        <v>42786.703356481485</v>
      </c>
      <c r="B159" s="20" t="s">
        <v>231</v>
      </c>
      <c r="C159" s="20" t="s">
        <v>632</v>
      </c>
      <c r="D159" s="150">
        <v>2470000</v>
      </c>
      <c r="E159" s="20" t="s">
        <v>386</v>
      </c>
      <c r="F159" s="20" t="s">
        <v>387</v>
      </c>
      <c r="G159" s="8" t="str">
        <f t="shared" si="2"/>
        <v>ROMERO CHAD</v>
      </c>
    </row>
    <row r="160" spans="1:7" x14ac:dyDescent="0.25">
      <c r="A160" s="8">
        <v>42786.712708333333</v>
      </c>
      <c r="B160" s="20" t="s">
        <v>219</v>
      </c>
      <c r="C160" s="20" t="s">
        <v>633</v>
      </c>
      <c r="D160" s="150">
        <v>880000</v>
      </c>
      <c r="E160" s="20" t="s">
        <v>388</v>
      </c>
      <c r="F160" s="20" t="s">
        <v>202</v>
      </c>
      <c r="G160" s="8" t="str">
        <f t="shared" si="2"/>
        <v>STEWART MICHAEL</v>
      </c>
    </row>
    <row r="161" spans="1:7" x14ac:dyDescent="0.25">
      <c r="A161" s="8">
        <v>42786.713252314818</v>
      </c>
      <c r="B161" s="20" t="s">
        <v>478</v>
      </c>
      <c r="C161" s="20" t="s">
        <v>634</v>
      </c>
      <c r="D161" s="150">
        <v>2530000</v>
      </c>
      <c r="E161" s="20" t="s">
        <v>394</v>
      </c>
      <c r="F161" s="20" t="s">
        <v>395</v>
      </c>
      <c r="G161" s="8" t="str">
        <f t="shared" si="2"/>
        <v>LALONDE GREGORY</v>
      </c>
    </row>
    <row r="162" spans="1:7" x14ac:dyDescent="0.25">
      <c r="A162" s="8">
        <v>42786.713414351849</v>
      </c>
      <c r="B162" s="20" t="s">
        <v>225</v>
      </c>
      <c r="C162" s="20" t="s">
        <v>635</v>
      </c>
      <c r="D162" s="150">
        <v>2350000</v>
      </c>
      <c r="E162" s="20" t="s">
        <v>557</v>
      </c>
      <c r="F162" s="20" t="s">
        <v>558</v>
      </c>
      <c r="G162" s="8" t="str">
        <f t="shared" si="2"/>
        <v>BERLING GARY</v>
      </c>
    </row>
    <row r="163" spans="1:7" x14ac:dyDescent="0.25">
      <c r="A163" s="8">
        <v>42786.716782407406</v>
      </c>
      <c r="B163" s="20" t="s">
        <v>273</v>
      </c>
      <c r="C163" s="20" t="s">
        <v>636</v>
      </c>
      <c r="D163" s="150">
        <v>1800000</v>
      </c>
      <c r="E163" s="20" t="s">
        <v>254</v>
      </c>
      <c r="F163" s="20" t="s">
        <v>255</v>
      </c>
      <c r="G163" s="8" t="str">
        <f t="shared" si="2"/>
        <v>CHANDLER KELVIN</v>
      </c>
    </row>
    <row r="164" spans="1:7" x14ac:dyDescent="0.25">
      <c r="A164" s="8">
        <v>42786.717291666668</v>
      </c>
      <c r="B164" s="20" t="s">
        <v>192</v>
      </c>
      <c r="C164" s="20" t="s">
        <v>637</v>
      </c>
      <c r="D164" s="150">
        <v>1300000</v>
      </c>
      <c r="E164" s="20" t="s">
        <v>391</v>
      </c>
      <c r="F164" s="20" t="s">
        <v>392</v>
      </c>
      <c r="G164" s="8" t="str">
        <f t="shared" si="2"/>
        <v>LEVIN SCOTT</v>
      </c>
    </row>
    <row r="165" spans="1:7" x14ac:dyDescent="0.25">
      <c r="A165" s="8">
        <v>42786.725300925929</v>
      </c>
      <c r="B165" s="20" t="s">
        <v>252</v>
      </c>
      <c r="C165" s="20" t="s">
        <v>638</v>
      </c>
      <c r="D165" s="150">
        <v>2250000</v>
      </c>
      <c r="E165" s="20" t="s">
        <v>389</v>
      </c>
      <c r="F165" s="20" t="s">
        <v>390</v>
      </c>
      <c r="G165" s="8" t="str">
        <f t="shared" si="2"/>
        <v>CRAYTON QUNTRELL</v>
      </c>
    </row>
    <row r="166" spans="1:7" x14ac:dyDescent="0.25">
      <c r="A166" s="8">
        <v>42786.725601851853</v>
      </c>
      <c r="B166" s="20" t="s">
        <v>267</v>
      </c>
      <c r="C166" s="20" t="s">
        <v>639</v>
      </c>
      <c r="D166" s="150">
        <v>920000</v>
      </c>
      <c r="E166" s="20" t="s">
        <v>393</v>
      </c>
      <c r="F166" s="20" t="s">
        <v>202</v>
      </c>
      <c r="G166" s="8" t="str">
        <f t="shared" si="2"/>
        <v>DAVIS MICHAEL</v>
      </c>
    </row>
    <row r="167" spans="1:7" x14ac:dyDescent="0.25">
      <c r="A167" s="8">
        <v>42786.730740740742</v>
      </c>
      <c r="B167" s="20" t="s">
        <v>217</v>
      </c>
      <c r="C167" s="20" t="s">
        <v>640</v>
      </c>
      <c r="D167" s="150">
        <v>930000</v>
      </c>
      <c r="E167" s="20" t="s">
        <v>573</v>
      </c>
      <c r="F167" s="20" t="s">
        <v>574</v>
      </c>
      <c r="G167" s="8" t="str">
        <f t="shared" si="2"/>
        <v>CLARK KATHLEEN</v>
      </c>
    </row>
    <row r="168" spans="1:7" x14ac:dyDescent="0.25">
      <c r="A168" s="8">
        <v>42786.732905092591</v>
      </c>
      <c r="B168" s="20" t="s">
        <v>382</v>
      </c>
      <c r="C168" s="20" t="s">
        <v>641</v>
      </c>
      <c r="D168" s="150">
        <v>2560000</v>
      </c>
      <c r="E168" s="20" t="s">
        <v>611</v>
      </c>
      <c r="F168" s="20" t="s">
        <v>612</v>
      </c>
      <c r="G168" s="8" t="str">
        <f t="shared" si="2"/>
        <v>MACDONALD THOMAS</v>
      </c>
    </row>
    <row r="169" spans="1:7" x14ac:dyDescent="0.25">
      <c r="A169" s="8">
        <v>42786.733078703706</v>
      </c>
      <c r="B169" s="20" t="s">
        <v>281</v>
      </c>
      <c r="C169" s="20" t="s">
        <v>642</v>
      </c>
      <c r="D169" s="150">
        <v>2000000</v>
      </c>
      <c r="E169" s="20" t="s">
        <v>383</v>
      </c>
      <c r="F169" s="20" t="s">
        <v>199</v>
      </c>
      <c r="G169" s="8" t="str">
        <f t="shared" si="2"/>
        <v>STAMBAUGH JAMES</v>
      </c>
    </row>
    <row r="170" spans="1:7" x14ac:dyDescent="0.25">
      <c r="A170" s="8">
        <v>42786.734444444446</v>
      </c>
      <c r="B170" s="20" t="s">
        <v>282</v>
      </c>
      <c r="C170" s="20" t="s">
        <v>643</v>
      </c>
      <c r="D170" s="150">
        <v>1300000</v>
      </c>
      <c r="E170" s="20" t="s">
        <v>391</v>
      </c>
      <c r="F170" s="20" t="s">
        <v>392</v>
      </c>
      <c r="G170" s="8" t="str">
        <f t="shared" si="2"/>
        <v>LEVIN SCOTT</v>
      </c>
    </row>
    <row r="171" spans="1:7" x14ac:dyDescent="0.25">
      <c r="A171" s="8">
        <v>42786.735810185186</v>
      </c>
      <c r="B171" s="20" t="s">
        <v>279</v>
      </c>
      <c r="C171" s="20" t="s">
        <v>644</v>
      </c>
      <c r="D171" s="150">
        <v>2470000</v>
      </c>
      <c r="E171" s="20" t="s">
        <v>386</v>
      </c>
      <c r="F171" s="20" t="s">
        <v>387</v>
      </c>
      <c r="G171" s="8" t="str">
        <f t="shared" si="2"/>
        <v>ROMERO CHAD</v>
      </c>
    </row>
    <row r="172" spans="1:7" x14ac:dyDescent="0.25">
      <c r="A172" s="8">
        <v>42786.737222222226</v>
      </c>
      <c r="B172" s="20" t="s">
        <v>261</v>
      </c>
      <c r="C172" s="20" t="s">
        <v>645</v>
      </c>
      <c r="D172" s="150">
        <v>2230000</v>
      </c>
      <c r="E172" s="20" t="s">
        <v>350</v>
      </c>
      <c r="F172" s="20" t="s">
        <v>202</v>
      </c>
      <c r="G172" s="8" t="str">
        <f t="shared" si="2"/>
        <v>SMITH MICHAEL</v>
      </c>
    </row>
    <row r="173" spans="1:7" x14ac:dyDescent="0.25">
      <c r="A173" s="8">
        <v>42786.746423611112</v>
      </c>
      <c r="B173" s="20" t="s">
        <v>220</v>
      </c>
      <c r="C173" s="20" t="s">
        <v>646</v>
      </c>
      <c r="D173" s="150">
        <v>2030000</v>
      </c>
      <c r="E173" s="20" t="s">
        <v>349</v>
      </c>
      <c r="F173" s="20" t="s">
        <v>286</v>
      </c>
      <c r="G173" s="8" t="str">
        <f t="shared" si="2"/>
        <v>KILLION DAVID</v>
      </c>
    </row>
    <row r="174" spans="1:7" x14ac:dyDescent="0.25">
      <c r="A174" s="8">
        <v>42786.755694444444</v>
      </c>
      <c r="B174" s="20" t="s">
        <v>348</v>
      </c>
      <c r="C174" s="20" t="s">
        <v>647</v>
      </c>
      <c r="D174" s="150">
        <v>2680000</v>
      </c>
      <c r="E174" s="20" t="s">
        <v>380</v>
      </c>
      <c r="F174" s="20" t="s">
        <v>381</v>
      </c>
      <c r="G174" s="8" t="str">
        <f t="shared" si="2"/>
        <v>DUNCAN SHEILA</v>
      </c>
    </row>
    <row r="175" spans="1:7" x14ac:dyDescent="0.25">
      <c r="A175" s="8">
        <v>42786.756030092591</v>
      </c>
      <c r="B175" s="20" t="s">
        <v>478</v>
      </c>
      <c r="C175" s="20" t="s">
        <v>483</v>
      </c>
      <c r="D175" s="150">
        <v>2560000</v>
      </c>
      <c r="E175" s="20" t="s">
        <v>611</v>
      </c>
      <c r="F175" s="20" t="s">
        <v>612</v>
      </c>
      <c r="G175" s="8" t="str">
        <f t="shared" si="2"/>
        <v>MACDONALD THOMAS</v>
      </c>
    </row>
    <row r="176" spans="1:7" x14ac:dyDescent="0.25">
      <c r="A176" s="8">
        <v>42786.756712962961</v>
      </c>
      <c r="B176" s="20" t="s">
        <v>248</v>
      </c>
      <c r="C176" s="20" t="s">
        <v>648</v>
      </c>
      <c r="D176" s="150">
        <v>1800000</v>
      </c>
      <c r="E176" s="20" t="s">
        <v>254</v>
      </c>
      <c r="F176" s="20" t="s">
        <v>255</v>
      </c>
      <c r="G176" s="8" t="str">
        <f t="shared" si="2"/>
        <v>CHANDLER KELVIN</v>
      </c>
    </row>
    <row r="177" spans="1:7" x14ac:dyDescent="0.25">
      <c r="A177" s="8">
        <v>42786.758692129632</v>
      </c>
      <c r="B177" s="20" t="s">
        <v>270</v>
      </c>
      <c r="C177" s="20" t="s">
        <v>649</v>
      </c>
      <c r="D177" s="150">
        <v>2000000</v>
      </c>
      <c r="E177" s="20" t="s">
        <v>383</v>
      </c>
      <c r="F177" s="20" t="s">
        <v>199</v>
      </c>
      <c r="G177" s="8" t="str">
        <f t="shared" si="2"/>
        <v>STAMBAUGH JAMES</v>
      </c>
    </row>
    <row r="178" spans="1:7" x14ac:dyDescent="0.25">
      <c r="A178" s="8">
        <v>42786.759050925924</v>
      </c>
      <c r="B178" s="20" t="s">
        <v>253</v>
      </c>
      <c r="C178" s="20" t="s">
        <v>650</v>
      </c>
      <c r="D178" s="150">
        <v>2600000</v>
      </c>
      <c r="E178" s="20" t="s">
        <v>396</v>
      </c>
      <c r="F178" s="20" t="s">
        <v>286</v>
      </c>
      <c r="G178" s="8" t="str">
        <f t="shared" si="2"/>
        <v>DAVIDSON DAVID</v>
      </c>
    </row>
    <row r="179" spans="1:7" x14ac:dyDescent="0.25">
      <c r="A179" s="8">
        <v>42786.760266203702</v>
      </c>
      <c r="B179" s="20" t="s">
        <v>192</v>
      </c>
      <c r="C179" s="20" t="s">
        <v>643</v>
      </c>
      <c r="D179" s="150">
        <v>1300000</v>
      </c>
      <c r="E179" s="20" t="s">
        <v>391</v>
      </c>
      <c r="F179" s="20" t="s">
        <v>392</v>
      </c>
      <c r="G179" s="8" t="str">
        <f t="shared" si="2"/>
        <v>LEVIN SCOTT</v>
      </c>
    </row>
    <row r="180" spans="1:7" x14ac:dyDescent="0.25">
      <c r="A180" s="8">
        <v>42786.760405092595</v>
      </c>
      <c r="B180" s="20" t="s">
        <v>280</v>
      </c>
      <c r="C180" s="20" t="s">
        <v>542</v>
      </c>
      <c r="D180" s="150">
        <v>920000</v>
      </c>
      <c r="E180" s="20" t="s">
        <v>393</v>
      </c>
      <c r="F180" s="20" t="s">
        <v>202</v>
      </c>
      <c r="G180" s="8" t="str">
        <f t="shared" si="2"/>
        <v>DAVIS MICHAEL</v>
      </c>
    </row>
    <row r="181" spans="1:7" x14ac:dyDescent="0.25">
      <c r="A181" s="8">
        <v>42786.761874999997</v>
      </c>
      <c r="B181" s="20" t="s">
        <v>192</v>
      </c>
      <c r="C181" s="20" t="s">
        <v>651</v>
      </c>
      <c r="D181" s="150">
        <v>1300000</v>
      </c>
      <c r="E181" s="20" t="s">
        <v>391</v>
      </c>
      <c r="F181" s="20" t="s">
        <v>392</v>
      </c>
      <c r="G181" s="8" t="str">
        <f t="shared" si="2"/>
        <v>LEVIN SCOTT</v>
      </c>
    </row>
    <row r="182" spans="1:7" x14ac:dyDescent="0.25">
      <c r="A182" s="8">
        <v>42786.769120370373</v>
      </c>
      <c r="B182" s="20" t="s">
        <v>216</v>
      </c>
      <c r="C182" s="20" t="s">
        <v>484</v>
      </c>
      <c r="D182" s="150">
        <v>1740000</v>
      </c>
      <c r="E182" s="20" t="s">
        <v>228</v>
      </c>
      <c r="F182" s="20" t="s">
        <v>229</v>
      </c>
      <c r="G182" s="8" t="str">
        <f t="shared" si="2"/>
        <v>STORY SAMANTHA</v>
      </c>
    </row>
    <row r="183" spans="1:7" x14ac:dyDescent="0.25">
      <c r="A183" s="8">
        <v>42786.769988425927</v>
      </c>
      <c r="B183" s="20" t="s">
        <v>382</v>
      </c>
      <c r="C183" s="20" t="s">
        <v>485</v>
      </c>
      <c r="D183" s="150">
        <v>2560000</v>
      </c>
      <c r="E183" s="20" t="s">
        <v>611</v>
      </c>
      <c r="F183" s="20" t="s">
        <v>612</v>
      </c>
      <c r="G183" s="8" t="str">
        <f t="shared" si="2"/>
        <v>MACDONALD THOMAS</v>
      </c>
    </row>
    <row r="184" spans="1:7" x14ac:dyDescent="0.25">
      <c r="A184" s="8">
        <v>42786.771828703706</v>
      </c>
      <c r="B184" s="20" t="s">
        <v>224</v>
      </c>
      <c r="C184" s="20" t="s">
        <v>652</v>
      </c>
      <c r="D184" s="150">
        <v>2230000</v>
      </c>
      <c r="E184" s="20" t="s">
        <v>350</v>
      </c>
      <c r="F184" s="20" t="s">
        <v>202</v>
      </c>
      <c r="G184" s="8" t="str">
        <f t="shared" si="2"/>
        <v>SMITH MICHAEL</v>
      </c>
    </row>
    <row r="185" spans="1:7" x14ac:dyDescent="0.25">
      <c r="A185" s="8">
        <v>42786.775601851848</v>
      </c>
      <c r="B185" s="20" t="s">
        <v>231</v>
      </c>
      <c r="C185" s="20" t="s">
        <v>653</v>
      </c>
      <c r="D185" s="150">
        <v>2470000</v>
      </c>
      <c r="E185" s="20" t="s">
        <v>386</v>
      </c>
      <c r="F185" s="20" t="s">
        <v>387</v>
      </c>
      <c r="G185" s="8" t="str">
        <f t="shared" si="2"/>
        <v>ROMERO CHAD</v>
      </c>
    </row>
    <row r="186" spans="1:7" x14ac:dyDescent="0.25">
      <c r="A186" s="8">
        <v>42786.776886574073</v>
      </c>
      <c r="B186" s="20" t="s">
        <v>282</v>
      </c>
      <c r="C186" s="20" t="s">
        <v>654</v>
      </c>
      <c r="D186" s="150">
        <v>1300000</v>
      </c>
      <c r="E186" s="20" t="s">
        <v>391</v>
      </c>
      <c r="F186" s="20" t="s">
        <v>392</v>
      </c>
      <c r="G186" s="8" t="str">
        <f t="shared" si="2"/>
        <v>LEVIN SCOTT</v>
      </c>
    </row>
    <row r="187" spans="1:7" x14ac:dyDescent="0.25">
      <c r="A187" s="8">
        <v>42786.784768518519</v>
      </c>
      <c r="B187" s="20" t="s">
        <v>219</v>
      </c>
      <c r="C187" s="20" t="s">
        <v>655</v>
      </c>
      <c r="D187" s="150">
        <v>2030000</v>
      </c>
      <c r="E187" s="20" t="s">
        <v>349</v>
      </c>
      <c r="F187" s="20" t="s">
        <v>286</v>
      </c>
      <c r="G187" s="8" t="str">
        <f t="shared" si="2"/>
        <v>KILLION DAVID</v>
      </c>
    </row>
    <row r="188" spans="1:7" x14ac:dyDescent="0.25">
      <c r="A188" s="8">
        <v>42786.788472222222</v>
      </c>
      <c r="B188" s="20" t="s">
        <v>267</v>
      </c>
      <c r="C188" s="20" t="s">
        <v>656</v>
      </c>
      <c r="D188" s="150">
        <v>2000000</v>
      </c>
      <c r="E188" s="20" t="s">
        <v>383</v>
      </c>
      <c r="F188" s="20" t="s">
        <v>199</v>
      </c>
      <c r="G188" s="8" t="str">
        <f t="shared" si="2"/>
        <v>STAMBAUGH JAMES</v>
      </c>
    </row>
    <row r="189" spans="1:7" x14ac:dyDescent="0.25">
      <c r="A189" s="8">
        <v>42786.7893287037</v>
      </c>
      <c r="B189" s="20" t="s">
        <v>273</v>
      </c>
      <c r="C189" s="20" t="s">
        <v>657</v>
      </c>
      <c r="D189" s="150">
        <v>1800000</v>
      </c>
      <c r="E189" s="20" t="s">
        <v>254</v>
      </c>
      <c r="F189" s="20" t="s">
        <v>255</v>
      </c>
      <c r="G189" s="8" t="str">
        <f t="shared" si="2"/>
        <v>CHANDLER KELVIN</v>
      </c>
    </row>
    <row r="190" spans="1:7" x14ac:dyDescent="0.25">
      <c r="A190" s="8">
        <v>42786.797754629632</v>
      </c>
      <c r="B190" s="20" t="s">
        <v>252</v>
      </c>
      <c r="C190" s="20" t="s">
        <v>658</v>
      </c>
      <c r="D190" s="150">
        <v>2250000</v>
      </c>
      <c r="E190" s="20" t="s">
        <v>389</v>
      </c>
      <c r="F190" s="20" t="s">
        <v>390</v>
      </c>
      <c r="G190" s="8" t="str">
        <f t="shared" si="2"/>
        <v>CRAYTON QUNTRELL</v>
      </c>
    </row>
    <row r="191" spans="1:7" x14ac:dyDescent="0.25">
      <c r="A191" s="8">
        <v>42786.797858796293</v>
      </c>
      <c r="B191" s="20" t="s">
        <v>478</v>
      </c>
      <c r="C191" s="20" t="s">
        <v>659</v>
      </c>
      <c r="D191" s="150">
        <v>2560000</v>
      </c>
      <c r="E191" s="20" t="s">
        <v>611</v>
      </c>
      <c r="F191" s="20" t="s">
        <v>612</v>
      </c>
      <c r="G191" s="8" t="str">
        <f t="shared" si="2"/>
        <v>MACDONALD THOMAS</v>
      </c>
    </row>
    <row r="192" spans="1:7" x14ac:dyDescent="0.25">
      <c r="A192" s="8">
        <v>42786.802060185182</v>
      </c>
      <c r="B192" s="20" t="s">
        <v>192</v>
      </c>
      <c r="C192" s="20" t="s">
        <v>660</v>
      </c>
      <c r="D192" s="150">
        <v>1300000</v>
      </c>
      <c r="E192" s="20" t="s">
        <v>391</v>
      </c>
      <c r="F192" s="20" t="s">
        <v>392</v>
      </c>
      <c r="G192" s="8" t="str">
        <f t="shared" si="2"/>
        <v>LEVIN SCOTT</v>
      </c>
    </row>
    <row r="193" spans="1:7" x14ac:dyDescent="0.25">
      <c r="A193" s="8">
        <v>42786.80809027778</v>
      </c>
      <c r="B193" s="20" t="s">
        <v>217</v>
      </c>
      <c r="C193" s="20" t="s">
        <v>661</v>
      </c>
      <c r="D193" s="150">
        <v>1740000</v>
      </c>
      <c r="E193" s="20" t="s">
        <v>228</v>
      </c>
      <c r="F193" s="20" t="s">
        <v>229</v>
      </c>
      <c r="G193" s="8" t="str">
        <f t="shared" si="2"/>
        <v>STORY SAMANTHA</v>
      </c>
    </row>
    <row r="194" spans="1:7" x14ac:dyDescent="0.25">
      <c r="A194" s="8">
        <v>42786.809004629627</v>
      </c>
      <c r="B194" s="20" t="s">
        <v>261</v>
      </c>
      <c r="C194" s="20" t="s">
        <v>662</v>
      </c>
      <c r="D194" s="150">
        <v>2630000</v>
      </c>
      <c r="E194" s="20" t="s">
        <v>397</v>
      </c>
      <c r="F194" s="20" t="s">
        <v>398</v>
      </c>
      <c r="G194" s="8" t="str">
        <f t="shared" si="2"/>
        <v>SAFIEF AEIMEN</v>
      </c>
    </row>
    <row r="195" spans="1:7" x14ac:dyDescent="0.25">
      <c r="A195" s="8">
        <v>42786.818055555559</v>
      </c>
      <c r="B195" s="20" t="s">
        <v>220</v>
      </c>
      <c r="C195" s="20" t="s">
        <v>663</v>
      </c>
      <c r="D195" s="150">
        <v>2030000</v>
      </c>
      <c r="E195" s="20" t="s">
        <v>349</v>
      </c>
      <c r="F195" s="20" t="s">
        <v>286</v>
      </c>
      <c r="G195" s="8" t="str">
        <f t="shared" ref="G195:G258" si="3">E195&amp;" "&amp;F195</f>
        <v>KILLION DAVID</v>
      </c>
    </row>
    <row r="196" spans="1:7" x14ac:dyDescent="0.25">
      <c r="A196" s="8">
        <v>42786.818159722221</v>
      </c>
      <c r="B196" s="20" t="s">
        <v>282</v>
      </c>
      <c r="C196" s="20" t="s">
        <v>664</v>
      </c>
      <c r="D196" s="150">
        <v>1300000</v>
      </c>
      <c r="E196" s="20" t="s">
        <v>391</v>
      </c>
      <c r="F196" s="20" t="s">
        <v>392</v>
      </c>
      <c r="G196" s="8" t="str">
        <f t="shared" si="3"/>
        <v>LEVIN SCOTT</v>
      </c>
    </row>
    <row r="197" spans="1:7" x14ac:dyDescent="0.25">
      <c r="A197" s="8">
        <v>42786.827384259261</v>
      </c>
      <c r="B197" s="20" t="s">
        <v>270</v>
      </c>
      <c r="C197" s="20" t="s">
        <v>665</v>
      </c>
      <c r="D197" s="150">
        <v>2000000</v>
      </c>
      <c r="E197" s="20" t="s">
        <v>383</v>
      </c>
      <c r="F197" s="20" t="s">
        <v>199</v>
      </c>
      <c r="G197" s="8" t="str">
        <f t="shared" si="3"/>
        <v>STAMBAUGH JAMES</v>
      </c>
    </row>
    <row r="198" spans="1:7" x14ac:dyDescent="0.25">
      <c r="A198" s="8">
        <v>42786.828530092593</v>
      </c>
      <c r="B198" s="20" t="s">
        <v>248</v>
      </c>
      <c r="C198" s="20" t="s">
        <v>666</v>
      </c>
      <c r="D198" s="150">
        <v>1800000</v>
      </c>
      <c r="E198" s="20" t="s">
        <v>254</v>
      </c>
      <c r="F198" s="20" t="s">
        <v>255</v>
      </c>
      <c r="G198" s="8" t="str">
        <f t="shared" si="3"/>
        <v>CHANDLER KELVIN</v>
      </c>
    </row>
    <row r="199" spans="1:7" x14ac:dyDescent="0.25">
      <c r="A199" s="8">
        <v>42786.839583333334</v>
      </c>
      <c r="B199" s="20" t="s">
        <v>667</v>
      </c>
      <c r="C199" s="20" t="s">
        <v>668</v>
      </c>
      <c r="D199" s="150">
        <v>2730000</v>
      </c>
      <c r="E199" s="20" t="s">
        <v>399</v>
      </c>
      <c r="F199" s="20" t="s">
        <v>400</v>
      </c>
      <c r="G199" s="8" t="str">
        <f t="shared" si="3"/>
        <v>YANG JAN</v>
      </c>
    </row>
    <row r="200" spans="1:7" x14ac:dyDescent="0.25">
      <c r="A200" s="8">
        <v>42786.842777777776</v>
      </c>
      <c r="B200" s="20" t="s">
        <v>192</v>
      </c>
      <c r="C200" s="20" t="s">
        <v>669</v>
      </c>
      <c r="D200" s="150">
        <v>1300000</v>
      </c>
      <c r="E200" s="20" t="s">
        <v>391</v>
      </c>
      <c r="F200" s="20" t="s">
        <v>392</v>
      </c>
      <c r="G200" s="8" t="str">
        <f t="shared" si="3"/>
        <v>LEVIN SCOTT</v>
      </c>
    </row>
    <row r="201" spans="1:7" x14ac:dyDescent="0.25">
      <c r="A201" s="8">
        <v>42786.843506944446</v>
      </c>
      <c r="B201" s="20" t="s">
        <v>224</v>
      </c>
      <c r="C201" s="20" t="s">
        <v>670</v>
      </c>
      <c r="D201" s="150">
        <v>2630000</v>
      </c>
      <c r="E201" s="20" t="s">
        <v>397</v>
      </c>
      <c r="F201" s="20" t="s">
        <v>398</v>
      </c>
      <c r="G201" s="8" t="str">
        <f t="shared" si="3"/>
        <v>SAFIEF AEIMEN</v>
      </c>
    </row>
    <row r="202" spans="1:7" x14ac:dyDescent="0.25">
      <c r="A202" s="26">
        <v>42786.854143518518</v>
      </c>
      <c r="B202" s="20" t="s">
        <v>216</v>
      </c>
      <c r="C202" s="20" t="s">
        <v>671</v>
      </c>
      <c r="D202" s="150">
        <v>2680000</v>
      </c>
      <c r="E202" s="20" t="s">
        <v>380</v>
      </c>
      <c r="F202" s="20" t="s">
        <v>381</v>
      </c>
      <c r="G202" s="8" t="str">
        <f t="shared" si="3"/>
        <v>DUNCAN SHEILA</v>
      </c>
    </row>
    <row r="203" spans="1:7" x14ac:dyDescent="0.25">
      <c r="A203" s="8">
        <v>42786.859560185185</v>
      </c>
      <c r="B203" s="20" t="s">
        <v>282</v>
      </c>
      <c r="C203" s="20" t="s">
        <v>486</v>
      </c>
      <c r="D203" s="150">
        <v>1300000</v>
      </c>
      <c r="E203" s="20" t="s">
        <v>391</v>
      </c>
      <c r="F203" s="20" t="s">
        <v>392</v>
      </c>
      <c r="G203" s="8" t="str">
        <f t="shared" si="3"/>
        <v>LEVIN SCOTT</v>
      </c>
    </row>
    <row r="204" spans="1:7" x14ac:dyDescent="0.25">
      <c r="A204" s="8">
        <v>42786.862430555557</v>
      </c>
      <c r="B204" s="20" t="s">
        <v>672</v>
      </c>
      <c r="C204" s="20" t="s">
        <v>673</v>
      </c>
      <c r="D204" s="150">
        <v>2730000</v>
      </c>
      <c r="E204" s="20" t="s">
        <v>399</v>
      </c>
      <c r="F204" s="20" t="s">
        <v>400</v>
      </c>
      <c r="G204" s="8" t="str">
        <f t="shared" si="3"/>
        <v>YANG JAN</v>
      </c>
    </row>
    <row r="205" spans="1:7" x14ac:dyDescent="0.25">
      <c r="A205" s="8">
        <v>42786.862615740742</v>
      </c>
      <c r="B205" s="20" t="s">
        <v>282</v>
      </c>
      <c r="C205" s="20" t="s">
        <v>486</v>
      </c>
      <c r="D205" s="150">
        <v>1300000</v>
      </c>
      <c r="E205" s="20" t="s">
        <v>391</v>
      </c>
      <c r="F205" s="20" t="s">
        <v>392</v>
      </c>
      <c r="G205" s="8" t="str">
        <f t="shared" si="3"/>
        <v>LEVIN SCOTT</v>
      </c>
    </row>
    <row r="206" spans="1:7" x14ac:dyDescent="0.25">
      <c r="A206" s="8">
        <v>42786.87059027778</v>
      </c>
      <c r="B206" s="20" t="s">
        <v>267</v>
      </c>
      <c r="C206" s="20" t="s">
        <v>674</v>
      </c>
      <c r="D206" s="150">
        <v>2000000</v>
      </c>
      <c r="E206" s="20" t="s">
        <v>383</v>
      </c>
      <c r="F206" s="20" t="s">
        <v>199</v>
      </c>
      <c r="G206" s="8" t="str">
        <f t="shared" si="3"/>
        <v>STAMBAUGH JAMES</v>
      </c>
    </row>
    <row r="207" spans="1:7" x14ac:dyDescent="0.25">
      <c r="A207" s="8">
        <v>42786.873043981483</v>
      </c>
      <c r="B207" s="20" t="s">
        <v>273</v>
      </c>
      <c r="C207" s="20" t="s">
        <v>675</v>
      </c>
      <c r="D207" s="150">
        <v>1800000</v>
      </c>
      <c r="E207" s="20" t="s">
        <v>254</v>
      </c>
      <c r="F207" s="20" t="s">
        <v>255</v>
      </c>
      <c r="G207" s="8" t="str">
        <f t="shared" si="3"/>
        <v>CHANDLER KELVIN</v>
      </c>
    </row>
    <row r="208" spans="1:7" x14ac:dyDescent="0.25">
      <c r="A208" s="8">
        <v>42786.878182870372</v>
      </c>
      <c r="B208" s="20" t="s">
        <v>192</v>
      </c>
      <c r="C208" s="20" t="s">
        <v>676</v>
      </c>
      <c r="D208" s="150">
        <v>2560000</v>
      </c>
      <c r="E208" s="20" t="s">
        <v>611</v>
      </c>
      <c r="F208" s="20" t="s">
        <v>612</v>
      </c>
      <c r="G208" s="8" t="str">
        <f t="shared" si="3"/>
        <v>MACDONALD THOMAS</v>
      </c>
    </row>
    <row r="209" spans="1:7" x14ac:dyDescent="0.25">
      <c r="A209" s="8">
        <v>42786.887337962966</v>
      </c>
      <c r="B209" s="20" t="s">
        <v>217</v>
      </c>
      <c r="C209" s="20" t="s">
        <v>677</v>
      </c>
      <c r="D209" s="150">
        <v>2680000</v>
      </c>
      <c r="E209" s="20" t="s">
        <v>380</v>
      </c>
      <c r="F209" s="20" t="s">
        <v>381</v>
      </c>
      <c r="G209" s="8" t="str">
        <f t="shared" si="3"/>
        <v>DUNCAN SHEILA</v>
      </c>
    </row>
    <row r="210" spans="1:7" x14ac:dyDescent="0.25">
      <c r="A210" s="8">
        <v>42786.889120370368</v>
      </c>
      <c r="B210" s="20" t="s">
        <v>261</v>
      </c>
      <c r="C210" s="20" t="s">
        <v>678</v>
      </c>
      <c r="D210" s="150">
        <v>2230000</v>
      </c>
      <c r="E210" s="20" t="s">
        <v>350</v>
      </c>
      <c r="F210" s="20" t="s">
        <v>202</v>
      </c>
      <c r="G210" s="8" t="str">
        <f t="shared" si="3"/>
        <v>SMITH MICHAEL</v>
      </c>
    </row>
    <row r="211" spans="1:7" x14ac:dyDescent="0.25">
      <c r="A211" s="8">
        <v>42786.899976851855</v>
      </c>
      <c r="B211" s="20" t="s">
        <v>667</v>
      </c>
      <c r="C211" s="20" t="s">
        <v>668</v>
      </c>
      <c r="D211" s="150">
        <v>2730000</v>
      </c>
      <c r="E211" s="20" t="s">
        <v>399</v>
      </c>
      <c r="F211" s="20" t="s">
        <v>400</v>
      </c>
      <c r="G211" s="8" t="str">
        <f t="shared" si="3"/>
        <v>YANG JAN</v>
      </c>
    </row>
    <row r="212" spans="1:7" x14ac:dyDescent="0.25">
      <c r="A212" s="8">
        <v>42786.902002314811</v>
      </c>
      <c r="B212" s="20" t="s">
        <v>270</v>
      </c>
      <c r="C212" s="20" t="s">
        <v>487</v>
      </c>
      <c r="D212" s="150">
        <v>2000000</v>
      </c>
      <c r="E212" s="20" t="s">
        <v>383</v>
      </c>
      <c r="F212" s="20" t="s">
        <v>199</v>
      </c>
      <c r="G212" s="8" t="str">
        <f t="shared" si="3"/>
        <v>STAMBAUGH JAMES</v>
      </c>
    </row>
    <row r="213" spans="1:7" x14ac:dyDescent="0.25">
      <c r="A213" s="8">
        <v>42786.905115740738</v>
      </c>
      <c r="B213" s="20" t="s">
        <v>282</v>
      </c>
      <c r="C213" s="20" t="s">
        <v>679</v>
      </c>
      <c r="D213" s="150">
        <v>2560000</v>
      </c>
      <c r="E213" s="20" t="s">
        <v>611</v>
      </c>
      <c r="F213" s="20" t="s">
        <v>612</v>
      </c>
      <c r="G213" s="8" t="str">
        <f t="shared" si="3"/>
        <v>MACDONALD THOMAS</v>
      </c>
    </row>
    <row r="214" spans="1:7" x14ac:dyDescent="0.25">
      <c r="A214" s="8">
        <v>42786.911782407406</v>
      </c>
      <c r="B214" s="20" t="s">
        <v>248</v>
      </c>
      <c r="C214" s="20" t="s">
        <v>680</v>
      </c>
      <c r="D214" s="150">
        <v>1800000</v>
      </c>
      <c r="E214" s="20" t="s">
        <v>254</v>
      </c>
      <c r="F214" s="20" t="s">
        <v>255</v>
      </c>
      <c r="G214" s="8" t="str">
        <f t="shared" si="3"/>
        <v>CHANDLER KELVIN</v>
      </c>
    </row>
    <row r="215" spans="1:7" x14ac:dyDescent="0.25">
      <c r="A215" s="8">
        <v>42786.925347222219</v>
      </c>
      <c r="B215" s="20" t="s">
        <v>224</v>
      </c>
      <c r="C215" s="20" t="s">
        <v>681</v>
      </c>
      <c r="D215" s="150">
        <v>2230000</v>
      </c>
      <c r="E215" s="20" t="s">
        <v>350</v>
      </c>
      <c r="F215" s="20" t="s">
        <v>202</v>
      </c>
      <c r="G215" s="8" t="str">
        <f t="shared" si="3"/>
        <v>SMITH MICHAEL</v>
      </c>
    </row>
    <row r="216" spans="1:7" x14ac:dyDescent="0.25">
      <c r="A216" s="8">
        <v>42786.928622685184</v>
      </c>
      <c r="B216" s="20" t="s">
        <v>192</v>
      </c>
      <c r="C216" s="20" t="s">
        <v>682</v>
      </c>
      <c r="D216" s="150">
        <v>2560000</v>
      </c>
      <c r="E216" s="20" t="s">
        <v>611</v>
      </c>
      <c r="F216" s="20" t="s">
        <v>612</v>
      </c>
      <c r="G216" s="8" t="str">
        <f t="shared" si="3"/>
        <v>MACDONALD THOMAS</v>
      </c>
    </row>
    <row r="217" spans="1:7" x14ac:dyDescent="0.25">
      <c r="A217" s="8">
        <v>42786.928877314815</v>
      </c>
      <c r="B217" s="20" t="s">
        <v>216</v>
      </c>
      <c r="C217" s="20" t="s">
        <v>488</v>
      </c>
      <c r="D217" s="150">
        <v>1740000</v>
      </c>
      <c r="E217" s="20" t="s">
        <v>228</v>
      </c>
      <c r="F217" s="20" t="s">
        <v>229</v>
      </c>
      <c r="G217" s="8" t="str">
        <f t="shared" si="3"/>
        <v>STORY SAMANTHA</v>
      </c>
    </row>
    <row r="218" spans="1:7" x14ac:dyDescent="0.25">
      <c r="A218" s="8">
        <v>42786.931493055556</v>
      </c>
      <c r="B218" s="20" t="s">
        <v>672</v>
      </c>
      <c r="C218" s="20" t="s">
        <v>673</v>
      </c>
      <c r="D218" s="150">
        <v>2730000</v>
      </c>
      <c r="E218" s="20" t="s">
        <v>399</v>
      </c>
      <c r="F218" s="20" t="s">
        <v>400</v>
      </c>
      <c r="G218" s="8" t="str">
        <f t="shared" si="3"/>
        <v>YANG JAN</v>
      </c>
    </row>
    <row r="219" spans="1:7" x14ac:dyDescent="0.25">
      <c r="A219" s="8">
        <v>42786.942453703705</v>
      </c>
      <c r="B219" s="20" t="s">
        <v>282</v>
      </c>
      <c r="C219" s="20" t="s">
        <v>683</v>
      </c>
      <c r="D219" s="150">
        <v>2560000</v>
      </c>
      <c r="E219" s="20" t="s">
        <v>611</v>
      </c>
      <c r="F219" s="20" t="s">
        <v>612</v>
      </c>
      <c r="G219" s="8" t="str">
        <f t="shared" si="3"/>
        <v>MACDONALD THOMAS</v>
      </c>
    </row>
    <row r="220" spans="1:7" x14ac:dyDescent="0.25">
      <c r="A220" s="8">
        <v>42786.944224537037</v>
      </c>
      <c r="B220" s="20" t="s">
        <v>267</v>
      </c>
      <c r="C220" s="20" t="s">
        <v>684</v>
      </c>
      <c r="D220" s="150">
        <v>2000000</v>
      </c>
      <c r="E220" s="20" t="s">
        <v>383</v>
      </c>
      <c r="F220" s="20" t="s">
        <v>199</v>
      </c>
      <c r="G220" s="8" t="str">
        <f t="shared" si="3"/>
        <v>STAMBAUGH JAMES</v>
      </c>
    </row>
    <row r="221" spans="1:7" x14ac:dyDescent="0.25">
      <c r="A221" s="8">
        <v>42786.955868055556</v>
      </c>
      <c r="B221" s="20" t="s">
        <v>273</v>
      </c>
      <c r="C221" s="20" t="s">
        <v>685</v>
      </c>
      <c r="D221" s="150">
        <v>1800000</v>
      </c>
      <c r="E221" s="20" t="s">
        <v>254</v>
      </c>
      <c r="F221" s="20" t="s">
        <v>255</v>
      </c>
      <c r="G221" s="8" t="str">
        <f t="shared" si="3"/>
        <v>CHANDLER KELVIN</v>
      </c>
    </row>
    <row r="222" spans="1:7" x14ac:dyDescent="0.25">
      <c r="A222" s="8">
        <v>42786.962337962963</v>
      </c>
      <c r="B222" s="20" t="s">
        <v>667</v>
      </c>
      <c r="C222" s="20" t="s">
        <v>668</v>
      </c>
      <c r="D222" s="150">
        <v>2730000</v>
      </c>
      <c r="E222" s="20" t="s">
        <v>399</v>
      </c>
      <c r="F222" s="20" t="s">
        <v>400</v>
      </c>
      <c r="G222" s="8" t="str">
        <f t="shared" si="3"/>
        <v>YANG JAN</v>
      </c>
    </row>
    <row r="223" spans="1:7" x14ac:dyDescent="0.25">
      <c r="A223" s="8">
        <v>42786.968564814815</v>
      </c>
      <c r="B223" s="20" t="s">
        <v>261</v>
      </c>
      <c r="C223" s="20" t="s">
        <v>686</v>
      </c>
      <c r="D223" s="150">
        <v>2230000</v>
      </c>
      <c r="E223" s="20" t="s">
        <v>350</v>
      </c>
      <c r="F223" s="20" t="s">
        <v>202</v>
      </c>
      <c r="G223" s="8" t="str">
        <f t="shared" si="3"/>
        <v>SMITH MICHAEL</v>
      </c>
    </row>
    <row r="224" spans="1:7" x14ac:dyDescent="0.25">
      <c r="A224" s="8">
        <v>42786.969039351854</v>
      </c>
      <c r="B224" t="s">
        <v>217</v>
      </c>
      <c r="C224" t="s">
        <v>687</v>
      </c>
      <c r="D224" s="150">
        <v>1740000</v>
      </c>
      <c r="E224" t="s">
        <v>228</v>
      </c>
      <c r="F224" s="20" t="s">
        <v>229</v>
      </c>
      <c r="G224" s="8" t="str">
        <f t="shared" si="3"/>
        <v>STORY SAMANTHA</v>
      </c>
    </row>
    <row r="225" spans="1:7" x14ac:dyDescent="0.25">
      <c r="A225" s="8">
        <v>42786.984571759262</v>
      </c>
      <c r="B225" t="s">
        <v>270</v>
      </c>
      <c r="C225" t="s">
        <v>688</v>
      </c>
      <c r="D225" s="150">
        <v>2000000</v>
      </c>
      <c r="E225" t="s">
        <v>383</v>
      </c>
      <c r="F225" s="20" t="s">
        <v>199</v>
      </c>
      <c r="G225" s="8" t="str">
        <f t="shared" si="3"/>
        <v>STAMBAUGH JAMES</v>
      </c>
    </row>
    <row r="226" spans="1:7" x14ac:dyDescent="0.25">
      <c r="A226" s="8">
        <v>42786.996655092589</v>
      </c>
      <c r="B226" t="s">
        <v>248</v>
      </c>
      <c r="C226" t="s">
        <v>689</v>
      </c>
      <c r="D226" s="150">
        <v>1800000</v>
      </c>
      <c r="E226" t="s">
        <v>254</v>
      </c>
      <c r="F226" s="20" t="s">
        <v>255</v>
      </c>
      <c r="G226" s="8" t="str">
        <f t="shared" si="3"/>
        <v>CHANDLER KELVIN</v>
      </c>
    </row>
    <row r="227" spans="1:7" x14ac:dyDescent="0.25">
      <c r="A227" s="8">
        <v>42787.007835648146</v>
      </c>
      <c r="B227" t="s">
        <v>672</v>
      </c>
      <c r="C227" t="s">
        <v>673</v>
      </c>
      <c r="D227" s="150">
        <v>2730000</v>
      </c>
      <c r="E227" t="s">
        <v>399</v>
      </c>
      <c r="F227" s="20" t="s">
        <v>400</v>
      </c>
      <c r="G227" s="8" t="str">
        <f t="shared" si="3"/>
        <v>YANG JAN</v>
      </c>
    </row>
    <row r="228" spans="1:7" x14ac:dyDescent="0.25">
      <c r="A228" s="8">
        <v>42787.011064814818</v>
      </c>
      <c r="B228" t="s">
        <v>224</v>
      </c>
      <c r="C228" t="s">
        <v>690</v>
      </c>
      <c r="D228" s="150">
        <v>2230000</v>
      </c>
      <c r="E228" t="s">
        <v>350</v>
      </c>
      <c r="F228" s="20" t="s">
        <v>202</v>
      </c>
      <c r="G228" s="8" t="str">
        <f t="shared" si="3"/>
        <v>SMITH MICHAEL</v>
      </c>
    </row>
    <row r="229" spans="1:7" x14ac:dyDescent="0.25">
      <c r="A229" s="8">
        <v>42787.011377314811</v>
      </c>
      <c r="B229" t="s">
        <v>216</v>
      </c>
      <c r="C229" t="s">
        <v>691</v>
      </c>
      <c r="D229" s="150">
        <v>1740000</v>
      </c>
      <c r="E229" t="s">
        <v>228</v>
      </c>
      <c r="F229" s="20" t="s">
        <v>229</v>
      </c>
      <c r="G229" s="8" t="str">
        <f t="shared" si="3"/>
        <v>STORY SAMANTHA</v>
      </c>
    </row>
    <row r="230" spans="1:7" x14ac:dyDescent="0.25">
      <c r="A230" s="8">
        <v>42787.027881944443</v>
      </c>
      <c r="B230" t="s">
        <v>273</v>
      </c>
      <c r="C230" t="s">
        <v>692</v>
      </c>
      <c r="D230" s="150">
        <v>1800000</v>
      </c>
      <c r="E230" t="s">
        <v>254</v>
      </c>
      <c r="F230" s="20" t="s">
        <v>255</v>
      </c>
      <c r="G230" s="8" t="str">
        <f t="shared" si="3"/>
        <v>CHANDLER KELVIN</v>
      </c>
    </row>
    <row r="231" spans="1:7" x14ac:dyDescent="0.25">
      <c r="A231" s="8">
        <v>42787.035729166666</v>
      </c>
      <c r="B231" t="s">
        <v>667</v>
      </c>
      <c r="C231" t="s">
        <v>668</v>
      </c>
      <c r="D231" s="150">
        <v>2730000</v>
      </c>
      <c r="E231" t="s">
        <v>399</v>
      </c>
      <c r="F231" s="20" t="s">
        <v>400</v>
      </c>
      <c r="G231" s="8" t="str">
        <f t="shared" si="3"/>
        <v>YANG JAN</v>
      </c>
    </row>
    <row r="232" spans="1:7" x14ac:dyDescent="0.25">
      <c r="A232" s="8">
        <v>42787.03806712963</v>
      </c>
      <c r="B232" t="s">
        <v>267</v>
      </c>
      <c r="C232" t="s">
        <v>693</v>
      </c>
      <c r="D232" s="150">
        <v>2000000</v>
      </c>
      <c r="E232" t="s">
        <v>383</v>
      </c>
      <c r="F232" s="20" t="s">
        <v>199</v>
      </c>
      <c r="G232" s="8" t="str">
        <f t="shared" si="3"/>
        <v>STAMBAUGH JAMES</v>
      </c>
    </row>
    <row r="233" spans="1:7" x14ac:dyDescent="0.25">
      <c r="A233" s="8">
        <v>42787.049305555556</v>
      </c>
      <c r="B233" t="s">
        <v>261</v>
      </c>
      <c r="C233" t="s">
        <v>694</v>
      </c>
      <c r="D233" s="150">
        <v>2230000</v>
      </c>
      <c r="E233" t="s">
        <v>350</v>
      </c>
      <c r="F233" s="20" t="s">
        <v>202</v>
      </c>
      <c r="G233" s="8" t="str">
        <f t="shared" si="3"/>
        <v>SMITH MICHAEL</v>
      </c>
    </row>
    <row r="234" spans="1:7" x14ac:dyDescent="0.25">
      <c r="A234" s="8">
        <v>42787.052083333336</v>
      </c>
      <c r="B234" t="s">
        <v>217</v>
      </c>
      <c r="C234" t="s">
        <v>695</v>
      </c>
      <c r="D234" s="150">
        <v>1740000</v>
      </c>
      <c r="E234" t="s">
        <v>228</v>
      </c>
      <c r="F234" s="20" t="s">
        <v>229</v>
      </c>
      <c r="G234" s="8" t="str">
        <f t="shared" si="3"/>
        <v>STORY SAMANTHA</v>
      </c>
    </row>
    <row r="235" spans="1:7" x14ac:dyDescent="0.25">
      <c r="A235" s="8">
        <v>42787.067013888889</v>
      </c>
      <c r="B235" t="s">
        <v>672</v>
      </c>
      <c r="C235" t="s">
        <v>673</v>
      </c>
      <c r="D235" s="150">
        <v>2730000</v>
      </c>
      <c r="E235" t="s">
        <v>399</v>
      </c>
      <c r="F235" s="20" t="s">
        <v>400</v>
      </c>
      <c r="G235" s="8" t="str">
        <f t="shared" si="3"/>
        <v>YANG JAN</v>
      </c>
    </row>
    <row r="236" spans="1:7" x14ac:dyDescent="0.25">
      <c r="A236" s="8">
        <v>42787.069733796299</v>
      </c>
      <c r="B236" t="s">
        <v>270</v>
      </c>
      <c r="C236" t="s">
        <v>696</v>
      </c>
      <c r="D236" s="150">
        <v>2000000</v>
      </c>
      <c r="E236" t="s">
        <v>383</v>
      </c>
      <c r="F236" s="20" t="s">
        <v>199</v>
      </c>
      <c r="G236" s="8" t="str">
        <f t="shared" si="3"/>
        <v>STAMBAUGH JAMES</v>
      </c>
    </row>
    <row r="237" spans="1:7" x14ac:dyDescent="0.25">
      <c r="A237" s="8">
        <v>42787.088576388887</v>
      </c>
      <c r="B237" t="s">
        <v>216</v>
      </c>
      <c r="C237" t="s">
        <v>697</v>
      </c>
      <c r="D237" s="150">
        <v>1740000</v>
      </c>
      <c r="E237" t="s">
        <v>228</v>
      </c>
      <c r="F237" s="20" t="s">
        <v>229</v>
      </c>
      <c r="G237" s="8" t="str">
        <f t="shared" si="3"/>
        <v>STORY SAMANTHA</v>
      </c>
    </row>
    <row r="238" spans="1:7" x14ac:dyDescent="0.25">
      <c r="A238" s="8">
        <v>42783.010775462964</v>
      </c>
      <c r="B238" t="s">
        <v>224</v>
      </c>
      <c r="C238" t="s">
        <v>352</v>
      </c>
      <c r="D238" s="150">
        <v>2540000</v>
      </c>
      <c r="E238" t="s">
        <v>221</v>
      </c>
      <c r="F238" s="20" t="s">
        <v>222</v>
      </c>
      <c r="G238" s="8" t="str">
        <f t="shared" si="3"/>
        <v>MCREYNOLDS KYLE</v>
      </c>
    </row>
    <row r="239" spans="1:7" x14ac:dyDescent="0.25">
      <c r="A239" s="8">
        <v>42783.028078703705</v>
      </c>
      <c r="B239" t="s">
        <v>234</v>
      </c>
      <c r="C239" t="s">
        <v>353</v>
      </c>
      <c r="D239" s="150">
        <v>1800000</v>
      </c>
      <c r="E239" t="s">
        <v>254</v>
      </c>
      <c r="F239" s="20" t="s">
        <v>255</v>
      </c>
      <c r="G239" s="8" t="str">
        <f t="shared" si="3"/>
        <v>CHANDLER KELVIN</v>
      </c>
    </row>
    <row r="240" spans="1:7" x14ac:dyDescent="0.25">
      <c r="A240" s="8">
        <v>42783.036631944444</v>
      </c>
      <c r="B240" t="s">
        <v>253</v>
      </c>
      <c r="C240" t="s">
        <v>354</v>
      </c>
      <c r="D240" s="150">
        <v>2270000</v>
      </c>
      <c r="E240" t="s">
        <v>232</v>
      </c>
      <c r="F240" s="20" t="s">
        <v>233</v>
      </c>
      <c r="G240" s="8" t="str">
        <f t="shared" si="3"/>
        <v>BROWN JACOB</v>
      </c>
    </row>
    <row r="241" spans="1:7" x14ac:dyDescent="0.25">
      <c r="A241" s="8">
        <v>42783.046157407407</v>
      </c>
      <c r="B241" t="s">
        <v>282</v>
      </c>
      <c r="C241" t="s">
        <v>355</v>
      </c>
      <c r="D241" s="150">
        <v>2220000</v>
      </c>
      <c r="E241" t="s">
        <v>214</v>
      </c>
      <c r="F241" s="20" t="s">
        <v>215</v>
      </c>
      <c r="G241" s="8" t="str">
        <f t="shared" si="3"/>
        <v>HILLS DUSTIN</v>
      </c>
    </row>
    <row r="242" spans="1:7" x14ac:dyDescent="0.25">
      <c r="A242" s="8">
        <v>42783.050011574072</v>
      </c>
      <c r="B242" t="s">
        <v>261</v>
      </c>
      <c r="C242" t="s">
        <v>356</v>
      </c>
      <c r="D242" s="150">
        <v>2540000</v>
      </c>
      <c r="E242" t="s">
        <v>221</v>
      </c>
      <c r="F242" s="20" t="s">
        <v>222</v>
      </c>
      <c r="G242" s="8" t="str">
        <f t="shared" si="3"/>
        <v>MCREYNOLDS KYLE</v>
      </c>
    </row>
    <row r="243" spans="1:7" x14ac:dyDescent="0.25">
      <c r="A243" s="8">
        <v>42783.071111111109</v>
      </c>
      <c r="B243" t="s">
        <v>252</v>
      </c>
      <c r="C243" t="s">
        <v>357</v>
      </c>
      <c r="D243" s="150">
        <v>2270000</v>
      </c>
      <c r="E243" t="s">
        <v>232</v>
      </c>
      <c r="F243" s="20" t="s">
        <v>233</v>
      </c>
      <c r="G243" s="8" t="str">
        <f t="shared" si="3"/>
        <v>BROWN JACOB</v>
      </c>
    </row>
    <row r="244" spans="1:7" x14ac:dyDescent="0.25">
      <c r="A244" s="8">
        <v>42783.084085648145</v>
      </c>
      <c r="B244" t="s">
        <v>270</v>
      </c>
      <c r="C244" t="s">
        <v>358</v>
      </c>
      <c r="D244" s="150">
        <v>2670000</v>
      </c>
      <c r="E244" t="s">
        <v>243</v>
      </c>
      <c r="F244" s="20" t="s">
        <v>244</v>
      </c>
      <c r="G244" s="8" t="str">
        <f t="shared" si="3"/>
        <v>COMELLA JUSTIN</v>
      </c>
    </row>
    <row r="245" spans="1:7" x14ac:dyDescent="0.25">
      <c r="A245" s="8">
        <v>42783.08935185185</v>
      </c>
      <c r="B245" t="s">
        <v>192</v>
      </c>
      <c r="C245" t="s">
        <v>359</v>
      </c>
      <c r="D245" s="150">
        <v>2220000</v>
      </c>
      <c r="E245" t="s">
        <v>214</v>
      </c>
      <c r="F245" s="20" t="s">
        <v>215</v>
      </c>
      <c r="G245" s="8" t="str">
        <f t="shared" si="3"/>
        <v>HILLS DUSTIN</v>
      </c>
    </row>
    <row r="246" spans="1:7" x14ac:dyDescent="0.25">
      <c r="A246" s="8">
        <v>42781.902129629627</v>
      </c>
      <c r="B246" t="s">
        <v>281</v>
      </c>
      <c r="C246" t="s">
        <v>310</v>
      </c>
      <c r="D246" s="150">
        <v>2220000</v>
      </c>
      <c r="E246" t="s">
        <v>214</v>
      </c>
      <c r="F246" s="20" t="s">
        <v>215</v>
      </c>
      <c r="G246" s="8" t="str">
        <f t="shared" si="3"/>
        <v>HILLS DUSTIN</v>
      </c>
    </row>
    <row r="247" spans="1:7" x14ac:dyDescent="0.25">
      <c r="A247" s="8">
        <v>42781.904374999998</v>
      </c>
      <c r="B247" t="s">
        <v>282</v>
      </c>
      <c r="C247" t="s">
        <v>311</v>
      </c>
      <c r="D247" s="150">
        <v>1800000</v>
      </c>
      <c r="E247" t="s">
        <v>254</v>
      </c>
      <c r="F247" s="20" t="s">
        <v>255</v>
      </c>
      <c r="G247" s="8" t="str">
        <f t="shared" si="3"/>
        <v>CHANDLER KELVIN</v>
      </c>
    </row>
    <row r="248" spans="1:7" x14ac:dyDescent="0.25">
      <c r="A248" s="8">
        <v>42781.912268518521</v>
      </c>
      <c r="B248" t="s">
        <v>270</v>
      </c>
      <c r="C248" t="s">
        <v>312</v>
      </c>
      <c r="D248" s="150">
        <v>2270000</v>
      </c>
      <c r="E248" t="s">
        <v>232</v>
      </c>
      <c r="F248" s="20" t="s">
        <v>233</v>
      </c>
      <c r="G248" s="8" t="str">
        <f t="shared" si="3"/>
        <v>BROWN JACOB</v>
      </c>
    </row>
    <row r="249" spans="1:7" x14ac:dyDescent="0.25">
      <c r="A249" s="8">
        <v>42781.927060185182</v>
      </c>
      <c r="B249" t="s">
        <v>273</v>
      </c>
      <c r="C249" t="s">
        <v>313</v>
      </c>
      <c r="D249" s="150">
        <v>2540000</v>
      </c>
      <c r="E249" t="s">
        <v>221</v>
      </c>
      <c r="F249" s="20" t="s">
        <v>222</v>
      </c>
      <c r="G249" s="8" t="str">
        <f t="shared" si="3"/>
        <v>MCREYNOLDS KYLE</v>
      </c>
    </row>
    <row r="250" spans="1:7" x14ac:dyDescent="0.25">
      <c r="A250" s="8">
        <v>42781.927256944444</v>
      </c>
      <c r="B250" t="s">
        <v>192</v>
      </c>
      <c r="C250" t="s">
        <v>314</v>
      </c>
      <c r="D250" s="150">
        <v>1800000</v>
      </c>
      <c r="E250" t="s">
        <v>254</v>
      </c>
      <c r="F250" s="20" t="s">
        <v>255</v>
      </c>
      <c r="G250" s="8" t="str">
        <f t="shared" si="3"/>
        <v>CHANDLER KELVIN</v>
      </c>
    </row>
    <row r="251" spans="1:7" x14ac:dyDescent="0.25">
      <c r="A251" s="8">
        <v>42781.930393518516</v>
      </c>
      <c r="B251" t="s">
        <v>241</v>
      </c>
      <c r="C251" t="s">
        <v>315</v>
      </c>
      <c r="D251" s="150">
        <v>1740000</v>
      </c>
      <c r="E251" t="s">
        <v>228</v>
      </c>
      <c r="F251" s="20" t="s">
        <v>229</v>
      </c>
      <c r="G251" s="8" t="str">
        <f t="shared" si="3"/>
        <v>STORY SAMANTHA</v>
      </c>
    </row>
    <row r="252" spans="1:7" x14ac:dyDescent="0.25">
      <c r="A252" s="8">
        <v>42781.94394675926</v>
      </c>
      <c r="B252" t="s">
        <v>282</v>
      </c>
      <c r="C252" t="s">
        <v>316</v>
      </c>
      <c r="D252" s="150">
        <v>1800000</v>
      </c>
      <c r="E252" t="s">
        <v>254</v>
      </c>
      <c r="F252" s="20" t="s">
        <v>255</v>
      </c>
      <c r="G252" s="8" t="str">
        <f t="shared" si="3"/>
        <v>CHANDLER KELVIN</v>
      </c>
    </row>
    <row r="253" spans="1:7" x14ac:dyDescent="0.25">
      <c r="A253" s="8">
        <v>42781.948125000003</v>
      </c>
      <c r="B253" t="s">
        <v>267</v>
      </c>
      <c r="C253" t="s">
        <v>317</v>
      </c>
      <c r="D253" s="150">
        <v>2270000</v>
      </c>
      <c r="E253" t="s">
        <v>232</v>
      </c>
      <c r="F253" s="20" t="s">
        <v>233</v>
      </c>
      <c r="G253" s="8" t="str">
        <f t="shared" si="3"/>
        <v>BROWN JACOB</v>
      </c>
    </row>
    <row r="254" spans="1:7" x14ac:dyDescent="0.25">
      <c r="A254" s="8">
        <v>42781.950277777774</v>
      </c>
      <c r="B254" t="s">
        <v>280</v>
      </c>
      <c r="C254" t="s">
        <v>318</v>
      </c>
      <c r="D254" s="150">
        <v>970000</v>
      </c>
      <c r="E254" t="s">
        <v>319</v>
      </c>
      <c r="F254" s="20" t="s">
        <v>320</v>
      </c>
      <c r="G254" s="8" t="str">
        <f t="shared" si="3"/>
        <v>JACKSON WILLIAM</v>
      </c>
    </row>
    <row r="255" spans="1:7" x14ac:dyDescent="0.25">
      <c r="A255" s="8">
        <v>42781.971203703702</v>
      </c>
      <c r="B255" t="s">
        <v>245</v>
      </c>
      <c r="C255" t="s">
        <v>321</v>
      </c>
      <c r="D255" s="150">
        <v>1740000</v>
      </c>
      <c r="E255" t="s">
        <v>228</v>
      </c>
      <c r="F255" s="20" t="s">
        <v>229</v>
      </c>
      <c r="G255" s="8" t="str">
        <f t="shared" si="3"/>
        <v>STORY SAMANTHA</v>
      </c>
    </row>
    <row r="256" spans="1:7" x14ac:dyDescent="0.25">
      <c r="A256" s="8">
        <v>42781.974733796298</v>
      </c>
      <c r="B256" t="s">
        <v>248</v>
      </c>
      <c r="C256" t="s">
        <v>308</v>
      </c>
      <c r="D256" s="150">
        <v>2540000</v>
      </c>
      <c r="E256" t="s">
        <v>221</v>
      </c>
      <c r="F256" s="20" t="s">
        <v>222</v>
      </c>
      <c r="G256" s="8" t="str">
        <f t="shared" si="3"/>
        <v>MCREYNOLDS KYLE</v>
      </c>
    </row>
    <row r="257" spans="1:7" x14ac:dyDescent="0.25">
      <c r="A257" s="8">
        <v>42781.995208333334</v>
      </c>
      <c r="B257" t="s">
        <v>270</v>
      </c>
      <c r="C257" t="s">
        <v>322</v>
      </c>
      <c r="D257" s="150">
        <v>2270000</v>
      </c>
      <c r="E257" t="s">
        <v>232</v>
      </c>
      <c r="F257" s="20" t="s">
        <v>233</v>
      </c>
      <c r="G257" s="8" t="str">
        <f t="shared" si="3"/>
        <v>BROWN JACOB</v>
      </c>
    </row>
    <row r="258" spans="1:7" x14ac:dyDescent="0.25">
      <c r="A258" s="8">
        <v>42781.995740740742</v>
      </c>
      <c r="B258" t="s">
        <v>281</v>
      </c>
      <c r="C258" t="s">
        <v>323</v>
      </c>
      <c r="D258" s="150">
        <v>970000</v>
      </c>
      <c r="E258" t="s">
        <v>319</v>
      </c>
      <c r="F258" s="20" t="s">
        <v>320</v>
      </c>
      <c r="G258" s="8" t="str">
        <f t="shared" si="3"/>
        <v>JACKSON WILLIAM</v>
      </c>
    </row>
    <row r="259" spans="1:7" x14ac:dyDescent="0.25">
      <c r="A259" s="8">
        <v>42782.01158564815</v>
      </c>
      <c r="B259" t="s">
        <v>241</v>
      </c>
      <c r="C259" t="s">
        <v>309</v>
      </c>
      <c r="D259" s="150">
        <v>1740000</v>
      </c>
      <c r="E259" t="s">
        <v>228</v>
      </c>
      <c r="F259" s="20" t="s">
        <v>229</v>
      </c>
      <c r="G259" s="8" t="str">
        <f t="shared" ref="G259:G322" si="4">E259&amp;" "&amp;F259</f>
        <v>STORY SAMANTHA</v>
      </c>
    </row>
    <row r="260" spans="1:7" x14ac:dyDescent="0.25">
      <c r="A260" s="8">
        <v>42782.018333333333</v>
      </c>
      <c r="B260" t="s">
        <v>273</v>
      </c>
      <c r="C260" t="s">
        <v>324</v>
      </c>
      <c r="D260" s="150">
        <v>2540000</v>
      </c>
      <c r="E260" t="s">
        <v>221</v>
      </c>
      <c r="F260" s="20" t="s">
        <v>222</v>
      </c>
      <c r="G260" s="8" t="str">
        <f t="shared" si="4"/>
        <v>MCREYNOLDS KYLE</v>
      </c>
    </row>
    <row r="261" spans="1:7" x14ac:dyDescent="0.25">
      <c r="A261" s="8">
        <v>42782.034189814818</v>
      </c>
      <c r="B261" t="s">
        <v>267</v>
      </c>
      <c r="C261" t="s">
        <v>325</v>
      </c>
      <c r="D261" s="150">
        <v>2270000</v>
      </c>
      <c r="E261" t="s">
        <v>232</v>
      </c>
      <c r="F261" s="20" t="s">
        <v>233</v>
      </c>
      <c r="G261" s="8" t="str">
        <f t="shared" si="4"/>
        <v>BROWN JACOB</v>
      </c>
    </row>
    <row r="262" spans="1:7" x14ac:dyDescent="0.25">
      <c r="A262" s="8">
        <v>42782.034398148149</v>
      </c>
      <c r="B262" t="s">
        <v>280</v>
      </c>
      <c r="C262" t="s">
        <v>326</v>
      </c>
      <c r="D262" s="150">
        <v>970000</v>
      </c>
      <c r="E262" t="s">
        <v>319</v>
      </c>
      <c r="F262" s="20" t="s">
        <v>320</v>
      </c>
      <c r="G262" s="8" t="str">
        <f t="shared" si="4"/>
        <v>JACKSON WILLIAM</v>
      </c>
    </row>
    <row r="263" spans="1:7" x14ac:dyDescent="0.25">
      <c r="A263" s="8">
        <v>42782.051817129628</v>
      </c>
      <c r="B263" t="s">
        <v>245</v>
      </c>
      <c r="C263" t="s">
        <v>327</v>
      </c>
      <c r="D263" s="150">
        <v>1740000</v>
      </c>
      <c r="E263" t="s">
        <v>228</v>
      </c>
      <c r="F263" s="20" t="s">
        <v>229</v>
      </c>
      <c r="G263" s="8" t="str">
        <f t="shared" si="4"/>
        <v>STORY SAMANTHA</v>
      </c>
    </row>
    <row r="264" spans="1:7" x14ac:dyDescent="0.25">
      <c r="A264" s="8">
        <v>42782.05678240741</v>
      </c>
      <c r="B264" t="s">
        <v>248</v>
      </c>
      <c r="C264" t="s">
        <v>328</v>
      </c>
      <c r="D264" s="150">
        <v>2540000</v>
      </c>
      <c r="E264" t="s">
        <v>221</v>
      </c>
      <c r="F264" s="20" t="s">
        <v>222</v>
      </c>
      <c r="G264" s="8" t="str">
        <f t="shared" si="4"/>
        <v>MCREYNOLDS KYLE</v>
      </c>
    </row>
    <row r="265" spans="1:7" x14ac:dyDescent="0.25">
      <c r="A265" s="8">
        <v>42782.074502314812</v>
      </c>
      <c r="B265" t="s">
        <v>270</v>
      </c>
      <c r="C265" t="s">
        <v>329</v>
      </c>
      <c r="D265" s="150">
        <v>2270000</v>
      </c>
      <c r="E265" t="s">
        <v>232</v>
      </c>
      <c r="F265" s="20" t="s">
        <v>233</v>
      </c>
      <c r="G265" s="8" t="str">
        <f t="shared" si="4"/>
        <v>BROWN JACOB</v>
      </c>
    </row>
    <row r="266" spans="1:7" x14ac:dyDescent="0.25">
      <c r="A266" s="8">
        <v>42754.070185185185</v>
      </c>
      <c r="B266" t="s">
        <v>217</v>
      </c>
      <c r="C266" t="s">
        <v>238</v>
      </c>
      <c r="D266" s="150">
        <v>2540000</v>
      </c>
      <c r="E266" t="s">
        <v>221</v>
      </c>
      <c r="F266" s="20" t="s">
        <v>222</v>
      </c>
      <c r="G266" s="8" t="str">
        <f t="shared" si="4"/>
        <v>MCREYNOLDS KYLE</v>
      </c>
    </row>
    <row r="267" spans="1:7" x14ac:dyDescent="0.25">
      <c r="A267" s="8">
        <v>42754.077326388891</v>
      </c>
      <c r="B267" t="s">
        <v>234</v>
      </c>
      <c r="C267" t="s">
        <v>240</v>
      </c>
      <c r="D267" s="150">
        <v>2450000</v>
      </c>
      <c r="E267" t="s">
        <v>236</v>
      </c>
      <c r="F267" s="20" t="s">
        <v>237</v>
      </c>
      <c r="G267" s="8" t="str">
        <f t="shared" si="4"/>
        <v>NELSON ARIANE</v>
      </c>
    </row>
    <row r="268" spans="1:7" x14ac:dyDescent="0.25">
      <c r="A268" s="8">
        <v>42754.08556712963</v>
      </c>
      <c r="B268" t="s">
        <v>231</v>
      </c>
      <c r="C268" t="s">
        <v>246</v>
      </c>
      <c r="D268" s="150">
        <v>2270000</v>
      </c>
      <c r="E268" t="s">
        <v>232</v>
      </c>
      <c r="F268" s="20" t="s">
        <v>233</v>
      </c>
      <c r="G268" s="8" t="str">
        <f t="shared" si="4"/>
        <v>BROWN JACOB</v>
      </c>
    </row>
    <row r="269" spans="1:7" x14ac:dyDescent="0.25">
      <c r="A269" s="8">
        <v>42754.092013888891</v>
      </c>
      <c r="B269" t="s">
        <v>216</v>
      </c>
      <c r="C269" t="s">
        <v>239</v>
      </c>
      <c r="D269" s="150">
        <v>2540000</v>
      </c>
      <c r="E269" t="s">
        <v>221</v>
      </c>
      <c r="F269" s="20" t="s">
        <v>222</v>
      </c>
      <c r="G269" s="8" t="str">
        <f t="shared" si="4"/>
        <v>MCREYNOLDS KYLE</v>
      </c>
    </row>
    <row r="270" spans="1:7" x14ac:dyDescent="0.25">
      <c r="A270" s="8">
        <v>42754.093356481484</v>
      </c>
      <c r="B270" t="s">
        <v>220</v>
      </c>
      <c r="C270" t="s">
        <v>247</v>
      </c>
      <c r="D270" s="150">
        <v>1810000</v>
      </c>
      <c r="E270" t="s">
        <v>205</v>
      </c>
      <c r="F270" s="20" t="s">
        <v>199</v>
      </c>
      <c r="G270" s="8" t="str">
        <f t="shared" si="4"/>
        <v>NEWELL JAMES</v>
      </c>
    </row>
    <row r="271" spans="1:7" x14ac:dyDescent="0.25">
      <c r="A271" s="8">
        <v>42754.098680555559</v>
      </c>
      <c r="B271" t="s">
        <v>245</v>
      </c>
      <c r="C271" t="s">
        <v>242</v>
      </c>
      <c r="D271" s="150">
        <v>2670000</v>
      </c>
      <c r="E271" t="s">
        <v>243</v>
      </c>
      <c r="F271" s="20" t="s">
        <v>244</v>
      </c>
      <c r="G271" s="8" t="str">
        <f t="shared" si="4"/>
        <v>COMELLA JUSTIN</v>
      </c>
    </row>
    <row r="272" spans="1:7" x14ac:dyDescent="0.25">
      <c r="A272" s="8">
        <v>42754.108900462961</v>
      </c>
      <c r="B272" t="s">
        <v>212</v>
      </c>
      <c r="C272" t="s">
        <v>235</v>
      </c>
      <c r="D272" s="150">
        <v>2450000</v>
      </c>
      <c r="E272" t="s">
        <v>236</v>
      </c>
      <c r="F272" s="20" t="s">
        <v>237</v>
      </c>
      <c r="G272" s="8" t="str">
        <f t="shared" si="4"/>
        <v>NELSON ARIANE</v>
      </c>
    </row>
    <row r="273" spans="1:7" x14ac:dyDescent="0.25">
      <c r="A273" s="8">
        <v>42754.109803240739</v>
      </c>
      <c r="B273" t="s">
        <v>217</v>
      </c>
      <c r="C273" t="s">
        <v>238</v>
      </c>
      <c r="D273" s="150">
        <v>2540000</v>
      </c>
      <c r="E273" t="s">
        <v>221</v>
      </c>
      <c r="F273" s="20" t="s">
        <v>222</v>
      </c>
      <c r="G273" s="8" t="str">
        <f t="shared" si="4"/>
        <v>MCREYNOLDS KYLE</v>
      </c>
    </row>
    <row r="274" spans="1:7" x14ac:dyDescent="0.25">
      <c r="F274" s="20">
        <f t="shared" ref="F274:F281" si="5">B274</f>
        <v>0</v>
      </c>
      <c r="G274" s="8" t="str">
        <f t="shared" si="4"/>
        <v xml:space="preserve"> 0</v>
      </c>
    </row>
    <row r="275" spans="1:7" x14ac:dyDescent="0.25">
      <c r="F275" s="20">
        <f t="shared" si="5"/>
        <v>0</v>
      </c>
      <c r="G275" s="8" t="str">
        <f t="shared" si="4"/>
        <v xml:space="preserve"> 0</v>
      </c>
    </row>
    <row r="276" spans="1:7" x14ac:dyDescent="0.25">
      <c r="F276" s="20">
        <f t="shared" si="5"/>
        <v>0</v>
      </c>
      <c r="G276" s="8" t="str">
        <f t="shared" si="4"/>
        <v xml:space="preserve"> 0</v>
      </c>
    </row>
    <row r="277" spans="1:7" x14ac:dyDescent="0.25">
      <c r="F277" s="20">
        <f t="shared" si="5"/>
        <v>0</v>
      </c>
      <c r="G277" s="8" t="str">
        <f t="shared" si="4"/>
        <v xml:space="preserve"> 0</v>
      </c>
    </row>
    <row r="278" spans="1:7" x14ac:dyDescent="0.25">
      <c r="F278" s="20">
        <f t="shared" si="5"/>
        <v>0</v>
      </c>
      <c r="G278" s="8" t="str">
        <f t="shared" si="4"/>
        <v xml:space="preserve"> 0</v>
      </c>
    </row>
    <row r="279" spans="1:7" x14ac:dyDescent="0.25">
      <c r="F279" s="20">
        <f t="shared" si="5"/>
        <v>0</v>
      </c>
      <c r="G279" s="8" t="str">
        <f t="shared" si="4"/>
        <v xml:space="preserve"> 0</v>
      </c>
    </row>
    <row r="280" spans="1:7" x14ac:dyDescent="0.25">
      <c r="F280" s="20">
        <f t="shared" si="5"/>
        <v>0</v>
      </c>
      <c r="G280" s="8" t="str">
        <f t="shared" si="4"/>
        <v xml:space="preserve"> 0</v>
      </c>
    </row>
    <row r="281" spans="1:7" x14ac:dyDescent="0.25">
      <c r="F281" s="20">
        <f t="shared" si="5"/>
        <v>0</v>
      </c>
      <c r="G281" s="8" t="str">
        <f t="shared" si="4"/>
        <v xml:space="preserve"> 0</v>
      </c>
    </row>
    <row r="282" spans="1:7" x14ac:dyDescent="0.25">
      <c r="F282" s="20">
        <f t="shared" ref="F282:F345" si="6">B282</f>
        <v>0</v>
      </c>
      <c r="G282" s="8" t="str">
        <f t="shared" si="4"/>
        <v xml:space="preserve"> 0</v>
      </c>
    </row>
    <row r="283" spans="1:7" x14ac:dyDescent="0.25">
      <c r="F283" s="20">
        <f t="shared" si="6"/>
        <v>0</v>
      </c>
      <c r="G283" s="8" t="str">
        <f t="shared" si="4"/>
        <v xml:space="preserve"> 0</v>
      </c>
    </row>
    <row r="284" spans="1:7" x14ac:dyDescent="0.25">
      <c r="F284" s="20">
        <f t="shared" si="6"/>
        <v>0</v>
      </c>
      <c r="G284" s="8" t="str">
        <f t="shared" si="4"/>
        <v xml:space="preserve"> 0</v>
      </c>
    </row>
    <row r="285" spans="1:7" x14ac:dyDescent="0.25">
      <c r="F285" s="20">
        <f t="shared" si="6"/>
        <v>0</v>
      </c>
      <c r="G285" s="8" t="str">
        <f t="shared" si="4"/>
        <v xml:space="preserve"> 0</v>
      </c>
    </row>
    <row r="286" spans="1:7" x14ac:dyDescent="0.25">
      <c r="F286" s="20">
        <f t="shared" si="6"/>
        <v>0</v>
      </c>
      <c r="G286" s="8" t="str">
        <f t="shared" si="4"/>
        <v xml:space="preserve"> 0</v>
      </c>
    </row>
    <row r="287" spans="1:7" x14ac:dyDescent="0.25">
      <c r="F287" s="20">
        <f t="shared" si="6"/>
        <v>0</v>
      </c>
      <c r="G287" s="8" t="str">
        <f t="shared" si="4"/>
        <v xml:space="preserve"> 0</v>
      </c>
    </row>
    <row r="288" spans="1:7" x14ac:dyDescent="0.25">
      <c r="F288" s="20">
        <f t="shared" si="6"/>
        <v>0</v>
      </c>
      <c r="G288" s="8" t="str">
        <f t="shared" si="4"/>
        <v xml:space="preserve"> 0</v>
      </c>
    </row>
    <row r="289" spans="6:7" x14ac:dyDescent="0.25">
      <c r="F289" s="20">
        <f t="shared" si="6"/>
        <v>0</v>
      </c>
      <c r="G289" s="8" t="str">
        <f t="shared" si="4"/>
        <v xml:space="preserve"> 0</v>
      </c>
    </row>
    <row r="290" spans="6:7" x14ac:dyDescent="0.25">
      <c r="F290" s="20">
        <f t="shared" si="6"/>
        <v>0</v>
      </c>
      <c r="G290" s="8" t="str">
        <f t="shared" si="4"/>
        <v xml:space="preserve"> 0</v>
      </c>
    </row>
    <row r="291" spans="6:7" x14ac:dyDescent="0.25">
      <c r="F291" s="20">
        <f t="shared" si="6"/>
        <v>0</v>
      </c>
      <c r="G291" s="8" t="str">
        <f t="shared" si="4"/>
        <v xml:space="preserve"> 0</v>
      </c>
    </row>
    <row r="292" spans="6:7" x14ac:dyDescent="0.25">
      <c r="F292" s="20">
        <f t="shared" si="6"/>
        <v>0</v>
      </c>
      <c r="G292" s="8" t="str">
        <f t="shared" si="4"/>
        <v xml:space="preserve"> 0</v>
      </c>
    </row>
    <row r="293" spans="6:7" x14ac:dyDescent="0.25">
      <c r="F293" s="20">
        <f t="shared" si="6"/>
        <v>0</v>
      </c>
      <c r="G293" s="8" t="str">
        <f t="shared" si="4"/>
        <v xml:space="preserve"> 0</v>
      </c>
    </row>
    <row r="294" spans="6:7" x14ac:dyDescent="0.25">
      <c r="F294" s="20">
        <f t="shared" si="6"/>
        <v>0</v>
      </c>
      <c r="G294" s="8" t="str">
        <f t="shared" si="4"/>
        <v xml:space="preserve"> 0</v>
      </c>
    </row>
    <row r="295" spans="6:7" x14ac:dyDescent="0.25">
      <c r="F295" s="20">
        <f t="shared" si="6"/>
        <v>0</v>
      </c>
      <c r="G295" s="8" t="str">
        <f t="shared" si="4"/>
        <v xml:space="preserve"> 0</v>
      </c>
    </row>
    <row r="296" spans="6:7" x14ac:dyDescent="0.25">
      <c r="F296" s="20">
        <f t="shared" si="6"/>
        <v>0</v>
      </c>
      <c r="G296" s="8" t="str">
        <f t="shared" si="4"/>
        <v xml:space="preserve"> 0</v>
      </c>
    </row>
    <row r="297" spans="6:7" x14ac:dyDescent="0.25">
      <c r="F297" s="20">
        <f t="shared" si="6"/>
        <v>0</v>
      </c>
      <c r="G297" s="8" t="str">
        <f t="shared" si="4"/>
        <v xml:space="preserve"> 0</v>
      </c>
    </row>
    <row r="298" spans="6:7" x14ac:dyDescent="0.25">
      <c r="F298" s="20">
        <f t="shared" si="6"/>
        <v>0</v>
      </c>
      <c r="G298" s="8" t="str">
        <f t="shared" si="4"/>
        <v xml:space="preserve"> 0</v>
      </c>
    </row>
    <row r="299" spans="6:7" x14ac:dyDescent="0.25">
      <c r="F299" s="20">
        <f t="shared" si="6"/>
        <v>0</v>
      </c>
      <c r="G299" s="8" t="str">
        <f t="shared" si="4"/>
        <v xml:space="preserve"> 0</v>
      </c>
    </row>
    <row r="300" spans="6:7" x14ac:dyDescent="0.25">
      <c r="F300" s="20">
        <f t="shared" si="6"/>
        <v>0</v>
      </c>
      <c r="G300" s="8" t="str">
        <f t="shared" si="4"/>
        <v xml:space="preserve"> 0</v>
      </c>
    </row>
    <row r="301" spans="6:7" x14ac:dyDescent="0.25">
      <c r="F301" s="20">
        <f t="shared" si="6"/>
        <v>0</v>
      </c>
      <c r="G301" s="8" t="str">
        <f t="shared" si="4"/>
        <v xml:space="preserve"> 0</v>
      </c>
    </row>
    <row r="302" spans="6:7" x14ac:dyDescent="0.25">
      <c r="F302" s="20">
        <f t="shared" si="6"/>
        <v>0</v>
      </c>
      <c r="G302" s="8" t="str">
        <f t="shared" si="4"/>
        <v xml:space="preserve"> 0</v>
      </c>
    </row>
    <row r="303" spans="6:7" x14ac:dyDescent="0.25">
      <c r="F303" s="20">
        <f t="shared" si="6"/>
        <v>0</v>
      </c>
      <c r="G303" s="8" t="str">
        <f t="shared" si="4"/>
        <v xml:space="preserve"> 0</v>
      </c>
    </row>
    <row r="304" spans="6:7" x14ac:dyDescent="0.25">
      <c r="F304" s="20">
        <f t="shared" si="6"/>
        <v>0</v>
      </c>
      <c r="G304" s="8" t="str">
        <f t="shared" si="4"/>
        <v xml:space="preserve"> 0</v>
      </c>
    </row>
    <row r="305" spans="6:7" x14ac:dyDescent="0.25">
      <c r="F305" s="20">
        <f t="shared" si="6"/>
        <v>0</v>
      </c>
      <c r="G305" s="8" t="str">
        <f t="shared" si="4"/>
        <v xml:space="preserve"> 0</v>
      </c>
    </row>
    <row r="306" spans="6:7" x14ac:dyDescent="0.25">
      <c r="F306" s="20">
        <f t="shared" si="6"/>
        <v>0</v>
      </c>
      <c r="G306" s="8" t="str">
        <f t="shared" si="4"/>
        <v xml:space="preserve"> 0</v>
      </c>
    </row>
    <row r="307" spans="6:7" x14ac:dyDescent="0.25">
      <c r="F307" s="20">
        <f t="shared" si="6"/>
        <v>0</v>
      </c>
      <c r="G307" s="8" t="str">
        <f t="shared" si="4"/>
        <v xml:space="preserve"> 0</v>
      </c>
    </row>
    <row r="308" spans="6:7" x14ac:dyDescent="0.25">
      <c r="F308" s="20">
        <f t="shared" si="6"/>
        <v>0</v>
      </c>
      <c r="G308" s="8" t="str">
        <f t="shared" si="4"/>
        <v xml:space="preserve"> 0</v>
      </c>
    </row>
    <row r="309" spans="6:7" x14ac:dyDescent="0.25">
      <c r="F309" s="20">
        <f t="shared" si="6"/>
        <v>0</v>
      </c>
      <c r="G309" s="8" t="str">
        <f t="shared" si="4"/>
        <v xml:space="preserve"> 0</v>
      </c>
    </row>
    <row r="310" spans="6:7" x14ac:dyDescent="0.25">
      <c r="F310" s="20">
        <f t="shared" si="6"/>
        <v>0</v>
      </c>
      <c r="G310" s="8" t="str">
        <f t="shared" si="4"/>
        <v xml:space="preserve"> 0</v>
      </c>
    </row>
    <row r="311" spans="6:7" x14ac:dyDescent="0.25">
      <c r="F311" s="20">
        <f t="shared" si="6"/>
        <v>0</v>
      </c>
      <c r="G311" s="8" t="str">
        <f t="shared" si="4"/>
        <v xml:space="preserve"> 0</v>
      </c>
    </row>
    <row r="312" spans="6:7" x14ac:dyDescent="0.25">
      <c r="F312" s="20">
        <f t="shared" si="6"/>
        <v>0</v>
      </c>
      <c r="G312" s="8" t="str">
        <f t="shared" si="4"/>
        <v xml:space="preserve"> 0</v>
      </c>
    </row>
    <row r="313" spans="6:7" x14ac:dyDescent="0.25">
      <c r="F313" s="20">
        <f t="shared" si="6"/>
        <v>0</v>
      </c>
      <c r="G313" s="8" t="str">
        <f t="shared" si="4"/>
        <v xml:space="preserve"> 0</v>
      </c>
    </row>
    <row r="314" spans="6:7" x14ac:dyDescent="0.25">
      <c r="F314" s="20">
        <f t="shared" si="6"/>
        <v>0</v>
      </c>
      <c r="G314" s="8" t="str">
        <f t="shared" si="4"/>
        <v xml:space="preserve"> 0</v>
      </c>
    </row>
    <row r="315" spans="6:7" x14ac:dyDescent="0.25">
      <c r="F315" s="20">
        <f t="shared" si="6"/>
        <v>0</v>
      </c>
      <c r="G315" s="8" t="str">
        <f t="shared" si="4"/>
        <v xml:space="preserve"> 0</v>
      </c>
    </row>
    <row r="316" spans="6:7" x14ac:dyDescent="0.25">
      <c r="F316" s="20">
        <f t="shared" si="6"/>
        <v>0</v>
      </c>
      <c r="G316" s="8" t="str">
        <f t="shared" si="4"/>
        <v xml:space="preserve"> 0</v>
      </c>
    </row>
    <row r="317" spans="6:7" x14ac:dyDescent="0.25">
      <c r="F317" s="20">
        <f t="shared" si="6"/>
        <v>0</v>
      </c>
      <c r="G317" s="8" t="str">
        <f t="shared" si="4"/>
        <v xml:space="preserve"> 0</v>
      </c>
    </row>
    <row r="318" spans="6:7" x14ac:dyDescent="0.25">
      <c r="F318" s="20">
        <f t="shared" si="6"/>
        <v>0</v>
      </c>
      <c r="G318" s="8" t="str">
        <f t="shared" si="4"/>
        <v xml:space="preserve"> 0</v>
      </c>
    </row>
    <row r="319" spans="6:7" x14ac:dyDescent="0.25">
      <c r="F319" s="20">
        <f t="shared" si="6"/>
        <v>0</v>
      </c>
      <c r="G319" s="8" t="str">
        <f t="shared" si="4"/>
        <v xml:space="preserve"> 0</v>
      </c>
    </row>
    <row r="320" spans="6:7" x14ac:dyDescent="0.25">
      <c r="F320" s="20">
        <f t="shared" si="6"/>
        <v>0</v>
      </c>
      <c r="G320" s="8" t="str">
        <f t="shared" si="4"/>
        <v xml:space="preserve"> 0</v>
      </c>
    </row>
    <row r="321" spans="6:7" x14ac:dyDescent="0.25">
      <c r="F321" s="20">
        <f t="shared" si="6"/>
        <v>0</v>
      </c>
      <c r="G321" s="8" t="str">
        <f t="shared" si="4"/>
        <v xml:space="preserve"> 0</v>
      </c>
    </row>
    <row r="322" spans="6:7" x14ac:dyDescent="0.25">
      <c r="F322" s="20">
        <f t="shared" si="6"/>
        <v>0</v>
      </c>
      <c r="G322" s="8" t="str">
        <f t="shared" si="4"/>
        <v xml:space="preserve"> 0</v>
      </c>
    </row>
    <row r="323" spans="6:7" x14ac:dyDescent="0.25">
      <c r="F323" s="20">
        <f t="shared" si="6"/>
        <v>0</v>
      </c>
      <c r="G323" s="8" t="str">
        <f t="shared" ref="G323:G386" si="7">E323&amp;" "&amp;F323</f>
        <v xml:space="preserve"> 0</v>
      </c>
    </row>
    <row r="324" spans="6:7" x14ac:dyDescent="0.25">
      <c r="F324" s="20">
        <f t="shared" si="6"/>
        <v>0</v>
      </c>
      <c r="G324" s="8" t="str">
        <f t="shared" si="7"/>
        <v xml:space="preserve"> 0</v>
      </c>
    </row>
    <row r="325" spans="6:7" x14ac:dyDescent="0.25">
      <c r="F325" s="20">
        <f t="shared" si="6"/>
        <v>0</v>
      </c>
      <c r="G325" s="8" t="str">
        <f t="shared" si="7"/>
        <v xml:space="preserve"> 0</v>
      </c>
    </row>
    <row r="326" spans="6:7" x14ac:dyDescent="0.25">
      <c r="F326" s="20">
        <f t="shared" si="6"/>
        <v>0</v>
      </c>
      <c r="G326" s="8" t="str">
        <f t="shared" si="7"/>
        <v xml:space="preserve"> 0</v>
      </c>
    </row>
    <row r="327" spans="6:7" x14ac:dyDescent="0.25">
      <c r="F327" s="20">
        <f t="shared" si="6"/>
        <v>0</v>
      </c>
      <c r="G327" s="8" t="str">
        <f t="shared" si="7"/>
        <v xml:space="preserve"> 0</v>
      </c>
    </row>
    <row r="328" spans="6:7" x14ac:dyDescent="0.25">
      <c r="F328" s="20">
        <f t="shared" si="6"/>
        <v>0</v>
      </c>
      <c r="G328" s="8" t="str">
        <f t="shared" si="7"/>
        <v xml:space="preserve"> 0</v>
      </c>
    </row>
    <row r="329" spans="6:7" x14ac:dyDescent="0.25">
      <c r="F329" s="20">
        <f t="shared" si="6"/>
        <v>0</v>
      </c>
      <c r="G329" s="8" t="str">
        <f t="shared" si="7"/>
        <v xml:space="preserve"> 0</v>
      </c>
    </row>
    <row r="330" spans="6:7" x14ac:dyDescent="0.25">
      <c r="F330" s="20">
        <f t="shared" si="6"/>
        <v>0</v>
      </c>
      <c r="G330" s="8" t="str">
        <f t="shared" si="7"/>
        <v xml:space="preserve"> 0</v>
      </c>
    </row>
    <row r="331" spans="6:7" x14ac:dyDescent="0.25">
      <c r="F331" s="20">
        <f t="shared" si="6"/>
        <v>0</v>
      </c>
      <c r="G331" s="8" t="str">
        <f t="shared" si="7"/>
        <v xml:space="preserve"> 0</v>
      </c>
    </row>
    <row r="332" spans="6:7" x14ac:dyDescent="0.25">
      <c r="F332" s="20">
        <f t="shared" si="6"/>
        <v>0</v>
      </c>
      <c r="G332" s="8" t="str">
        <f t="shared" si="7"/>
        <v xml:space="preserve"> 0</v>
      </c>
    </row>
    <row r="333" spans="6:7" x14ac:dyDescent="0.25">
      <c r="F333" s="20">
        <f t="shared" si="6"/>
        <v>0</v>
      </c>
      <c r="G333" s="8" t="str">
        <f t="shared" si="7"/>
        <v xml:space="preserve"> 0</v>
      </c>
    </row>
    <row r="334" spans="6:7" x14ac:dyDescent="0.25">
      <c r="F334" s="20">
        <f t="shared" si="6"/>
        <v>0</v>
      </c>
      <c r="G334" s="8" t="str">
        <f t="shared" si="7"/>
        <v xml:space="preserve"> 0</v>
      </c>
    </row>
    <row r="335" spans="6:7" x14ac:dyDescent="0.25">
      <c r="F335" s="20">
        <f t="shared" si="6"/>
        <v>0</v>
      </c>
      <c r="G335" s="8" t="str">
        <f t="shared" si="7"/>
        <v xml:space="preserve"> 0</v>
      </c>
    </row>
    <row r="336" spans="6:7" x14ac:dyDescent="0.25">
      <c r="F336" s="20">
        <f t="shared" si="6"/>
        <v>0</v>
      </c>
      <c r="G336" s="8" t="str">
        <f t="shared" si="7"/>
        <v xml:space="preserve"> 0</v>
      </c>
    </row>
    <row r="337" spans="6:7" x14ac:dyDescent="0.25">
      <c r="F337" s="20">
        <f t="shared" si="6"/>
        <v>0</v>
      </c>
      <c r="G337" s="8" t="str">
        <f t="shared" si="7"/>
        <v xml:space="preserve"> 0</v>
      </c>
    </row>
    <row r="338" spans="6:7" x14ac:dyDescent="0.25">
      <c r="F338" s="20">
        <f t="shared" si="6"/>
        <v>0</v>
      </c>
      <c r="G338" s="8" t="str">
        <f t="shared" si="7"/>
        <v xml:space="preserve"> 0</v>
      </c>
    </row>
    <row r="339" spans="6:7" x14ac:dyDescent="0.25">
      <c r="F339" s="20">
        <f t="shared" si="6"/>
        <v>0</v>
      </c>
      <c r="G339" s="8" t="str">
        <f t="shared" si="7"/>
        <v xml:space="preserve"> 0</v>
      </c>
    </row>
    <row r="340" spans="6:7" x14ac:dyDescent="0.25">
      <c r="F340" s="20">
        <f t="shared" si="6"/>
        <v>0</v>
      </c>
      <c r="G340" s="8" t="str">
        <f t="shared" si="7"/>
        <v xml:space="preserve"> 0</v>
      </c>
    </row>
    <row r="341" spans="6:7" x14ac:dyDescent="0.25">
      <c r="F341" s="20">
        <f t="shared" si="6"/>
        <v>0</v>
      </c>
      <c r="G341" s="8" t="str">
        <f t="shared" si="7"/>
        <v xml:space="preserve"> 0</v>
      </c>
    </row>
    <row r="342" spans="6:7" x14ac:dyDescent="0.25">
      <c r="F342" s="20">
        <f t="shared" si="6"/>
        <v>0</v>
      </c>
      <c r="G342" s="8" t="str">
        <f t="shared" si="7"/>
        <v xml:space="preserve"> 0</v>
      </c>
    </row>
    <row r="343" spans="6:7" x14ac:dyDescent="0.25">
      <c r="F343" s="20">
        <f t="shared" si="6"/>
        <v>0</v>
      </c>
      <c r="G343" s="8" t="str">
        <f t="shared" si="7"/>
        <v xml:space="preserve"> 0</v>
      </c>
    </row>
    <row r="344" spans="6:7" x14ac:dyDescent="0.25">
      <c r="F344" s="20">
        <f t="shared" si="6"/>
        <v>0</v>
      </c>
      <c r="G344" s="8" t="str">
        <f t="shared" si="7"/>
        <v xml:space="preserve"> 0</v>
      </c>
    </row>
    <row r="345" spans="6:7" x14ac:dyDescent="0.25">
      <c r="F345" s="20">
        <f t="shared" si="6"/>
        <v>0</v>
      </c>
      <c r="G345" s="8" t="str">
        <f t="shared" si="7"/>
        <v xml:space="preserve"> 0</v>
      </c>
    </row>
    <row r="346" spans="6:7" x14ac:dyDescent="0.25">
      <c r="F346" s="20">
        <f t="shared" ref="F346:F409" si="8">B346</f>
        <v>0</v>
      </c>
      <c r="G346" s="8" t="str">
        <f t="shared" si="7"/>
        <v xml:space="preserve"> 0</v>
      </c>
    </row>
    <row r="347" spans="6:7" x14ac:dyDescent="0.25">
      <c r="F347" s="20">
        <f t="shared" si="8"/>
        <v>0</v>
      </c>
      <c r="G347" s="8" t="str">
        <f t="shared" si="7"/>
        <v xml:space="preserve"> 0</v>
      </c>
    </row>
    <row r="348" spans="6:7" x14ac:dyDescent="0.25">
      <c r="F348" s="20">
        <f t="shared" si="8"/>
        <v>0</v>
      </c>
      <c r="G348" s="8" t="str">
        <f t="shared" si="7"/>
        <v xml:space="preserve"> 0</v>
      </c>
    </row>
    <row r="349" spans="6:7" x14ac:dyDescent="0.25">
      <c r="F349" s="20">
        <f t="shared" si="8"/>
        <v>0</v>
      </c>
      <c r="G349" s="8" t="str">
        <f t="shared" si="7"/>
        <v xml:space="preserve"> 0</v>
      </c>
    </row>
    <row r="350" spans="6:7" x14ac:dyDescent="0.25">
      <c r="F350" s="20">
        <f t="shared" si="8"/>
        <v>0</v>
      </c>
      <c r="G350" s="8" t="str">
        <f t="shared" si="7"/>
        <v xml:space="preserve"> 0</v>
      </c>
    </row>
    <row r="351" spans="6:7" x14ac:dyDescent="0.25">
      <c r="F351" s="20">
        <f t="shared" si="8"/>
        <v>0</v>
      </c>
      <c r="G351" s="8" t="str">
        <f t="shared" si="7"/>
        <v xml:space="preserve"> 0</v>
      </c>
    </row>
    <row r="352" spans="6:7" x14ac:dyDescent="0.25">
      <c r="F352" s="20">
        <f t="shared" si="8"/>
        <v>0</v>
      </c>
      <c r="G352" s="8" t="str">
        <f t="shared" si="7"/>
        <v xml:space="preserve"> 0</v>
      </c>
    </row>
    <row r="353" spans="6:7" x14ac:dyDescent="0.25">
      <c r="F353" s="20">
        <f t="shared" si="8"/>
        <v>0</v>
      </c>
      <c r="G353" s="8" t="str">
        <f t="shared" si="7"/>
        <v xml:space="preserve"> 0</v>
      </c>
    </row>
    <row r="354" spans="6:7" x14ac:dyDescent="0.25">
      <c r="F354" s="20">
        <f t="shared" si="8"/>
        <v>0</v>
      </c>
      <c r="G354" s="8" t="str">
        <f t="shared" si="7"/>
        <v xml:space="preserve"> 0</v>
      </c>
    </row>
    <row r="355" spans="6:7" x14ac:dyDescent="0.25">
      <c r="F355" s="20">
        <f t="shared" si="8"/>
        <v>0</v>
      </c>
      <c r="G355" s="8" t="str">
        <f t="shared" si="7"/>
        <v xml:space="preserve"> 0</v>
      </c>
    </row>
    <row r="356" spans="6:7" x14ac:dyDescent="0.25">
      <c r="F356" s="20">
        <f t="shared" si="8"/>
        <v>0</v>
      </c>
      <c r="G356" s="8" t="str">
        <f t="shared" si="7"/>
        <v xml:space="preserve"> 0</v>
      </c>
    </row>
    <row r="357" spans="6:7" x14ac:dyDescent="0.25">
      <c r="F357" s="20">
        <f t="shared" si="8"/>
        <v>0</v>
      </c>
      <c r="G357" s="8" t="str">
        <f t="shared" si="7"/>
        <v xml:space="preserve"> 0</v>
      </c>
    </row>
    <row r="358" spans="6:7" x14ac:dyDescent="0.25">
      <c r="F358" s="20">
        <f t="shared" si="8"/>
        <v>0</v>
      </c>
      <c r="G358" s="8" t="str">
        <f t="shared" si="7"/>
        <v xml:space="preserve"> 0</v>
      </c>
    </row>
    <row r="359" spans="6:7" x14ac:dyDescent="0.25">
      <c r="F359" s="20">
        <f t="shared" si="8"/>
        <v>0</v>
      </c>
      <c r="G359" s="8" t="str">
        <f t="shared" si="7"/>
        <v xml:space="preserve"> 0</v>
      </c>
    </row>
    <row r="360" spans="6:7" x14ac:dyDescent="0.25">
      <c r="F360" s="20">
        <f t="shared" si="8"/>
        <v>0</v>
      </c>
      <c r="G360" s="8" t="str">
        <f t="shared" si="7"/>
        <v xml:space="preserve"> 0</v>
      </c>
    </row>
    <row r="361" spans="6:7" x14ac:dyDescent="0.25">
      <c r="F361" s="20">
        <f t="shared" si="8"/>
        <v>0</v>
      </c>
      <c r="G361" s="8" t="str">
        <f t="shared" si="7"/>
        <v xml:space="preserve"> 0</v>
      </c>
    </row>
    <row r="362" spans="6:7" x14ac:dyDescent="0.25">
      <c r="F362" s="20">
        <f t="shared" si="8"/>
        <v>0</v>
      </c>
      <c r="G362" s="8" t="str">
        <f t="shared" si="7"/>
        <v xml:space="preserve"> 0</v>
      </c>
    </row>
    <row r="363" spans="6:7" x14ac:dyDescent="0.25">
      <c r="F363" s="20">
        <f t="shared" si="8"/>
        <v>0</v>
      </c>
      <c r="G363" s="8" t="str">
        <f t="shared" si="7"/>
        <v xml:space="preserve"> 0</v>
      </c>
    </row>
    <row r="364" spans="6:7" x14ac:dyDescent="0.25">
      <c r="F364" s="20">
        <f t="shared" si="8"/>
        <v>0</v>
      </c>
      <c r="G364" s="8" t="str">
        <f t="shared" si="7"/>
        <v xml:space="preserve"> 0</v>
      </c>
    </row>
    <row r="365" spans="6:7" x14ac:dyDescent="0.25">
      <c r="F365" s="20">
        <f t="shared" si="8"/>
        <v>0</v>
      </c>
      <c r="G365" s="8" t="str">
        <f t="shared" si="7"/>
        <v xml:space="preserve"> 0</v>
      </c>
    </row>
    <row r="366" spans="6:7" x14ac:dyDescent="0.25">
      <c r="F366" s="20">
        <f t="shared" si="8"/>
        <v>0</v>
      </c>
      <c r="G366" s="8" t="str">
        <f t="shared" si="7"/>
        <v xml:space="preserve"> 0</v>
      </c>
    </row>
    <row r="367" spans="6:7" x14ac:dyDescent="0.25">
      <c r="F367" s="20">
        <f t="shared" si="8"/>
        <v>0</v>
      </c>
      <c r="G367" s="8" t="str">
        <f t="shared" si="7"/>
        <v xml:space="preserve"> 0</v>
      </c>
    </row>
    <row r="368" spans="6:7" x14ac:dyDescent="0.25">
      <c r="F368" s="20">
        <f t="shared" si="8"/>
        <v>0</v>
      </c>
      <c r="G368" s="8" t="str">
        <f t="shared" si="7"/>
        <v xml:space="preserve"> 0</v>
      </c>
    </row>
    <row r="369" spans="6:7" x14ac:dyDescent="0.25">
      <c r="F369" s="20">
        <f t="shared" si="8"/>
        <v>0</v>
      </c>
      <c r="G369" s="8" t="str">
        <f t="shared" si="7"/>
        <v xml:space="preserve"> 0</v>
      </c>
    </row>
    <row r="370" spans="6:7" x14ac:dyDescent="0.25">
      <c r="F370" s="20">
        <f t="shared" si="8"/>
        <v>0</v>
      </c>
      <c r="G370" s="8" t="str">
        <f t="shared" si="7"/>
        <v xml:space="preserve"> 0</v>
      </c>
    </row>
    <row r="371" spans="6:7" x14ac:dyDescent="0.25">
      <c r="F371" s="20">
        <f t="shared" si="8"/>
        <v>0</v>
      </c>
      <c r="G371" s="8" t="str">
        <f t="shared" si="7"/>
        <v xml:space="preserve"> 0</v>
      </c>
    </row>
    <row r="372" spans="6:7" x14ac:dyDescent="0.25">
      <c r="F372" s="20">
        <f t="shared" si="8"/>
        <v>0</v>
      </c>
      <c r="G372" s="8" t="str">
        <f t="shared" si="7"/>
        <v xml:space="preserve"> 0</v>
      </c>
    </row>
    <row r="373" spans="6:7" x14ac:dyDescent="0.25">
      <c r="F373" s="20">
        <f t="shared" si="8"/>
        <v>0</v>
      </c>
      <c r="G373" s="8" t="str">
        <f t="shared" si="7"/>
        <v xml:space="preserve"> 0</v>
      </c>
    </row>
    <row r="374" spans="6:7" x14ac:dyDescent="0.25">
      <c r="F374" s="20">
        <f t="shared" si="8"/>
        <v>0</v>
      </c>
      <c r="G374" s="8" t="str">
        <f t="shared" si="7"/>
        <v xml:space="preserve"> 0</v>
      </c>
    </row>
    <row r="375" spans="6:7" x14ac:dyDescent="0.25">
      <c r="F375" s="20">
        <f t="shared" si="8"/>
        <v>0</v>
      </c>
      <c r="G375" s="8" t="str">
        <f t="shared" si="7"/>
        <v xml:space="preserve"> 0</v>
      </c>
    </row>
    <row r="376" spans="6:7" x14ac:dyDescent="0.25">
      <c r="F376" s="20">
        <f t="shared" si="8"/>
        <v>0</v>
      </c>
      <c r="G376" s="8" t="str">
        <f t="shared" si="7"/>
        <v xml:space="preserve"> 0</v>
      </c>
    </row>
    <row r="377" spans="6:7" x14ac:dyDescent="0.25">
      <c r="F377" s="20">
        <f t="shared" si="8"/>
        <v>0</v>
      </c>
      <c r="G377" s="8" t="str">
        <f t="shared" si="7"/>
        <v xml:space="preserve"> 0</v>
      </c>
    </row>
    <row r="378" spans="6:7" x14ac:dyDescent="0.25">
      <c r="F378" s="20">
        <f t="shared" si="8"/>
        <v>0</v>
      </c>
      <c r="G378" s="8" t="str">
        <f t="shared" si="7"/>
        <v xml:space="preserve"> 0</v>
      </c>
    </row>
    <row r="379" spans="6:7" x14ac:dyDescent="0.25">
      <c r="F379" s="20">
        <f t="shared" si="8"/>
        <v>0</v>
      </c>
      <c r="G379" s="8" t="str">
        <f t="shared" si="7"/>
        <v xml:space="preserve"> 0</v>
      </c>
    </row>
    <row r="380" spans="6:7" x14ac:dyDescent="0.25">
      <c r="F380" s="20">
        <f t="shared" si="8"/>
        <v>0</v>
      </c>
      <c r="G380" s="8" t="str">
        <f t="shared" si="7"/>
        <v xml:space="preserve"> 0</v>
      </c>
    </row>
    <row r="381" spans="6:7" x14ac:dyDescent="0.25">
      <c r="F381" s="20">
        <f t="shared" si="8"/>
        <v>0</v>
      </c>
      <c r="G381" s="8" t="str">
        <f t="shared" si="7"/>
        <v xml:space="preserve"> 0</v>
      </c>
    </row>
    <row r="382" spans="6:7" x14ac:dyDescent="0.25">
      <c r="F382" s="20">
        <f t="shared" si="8"/>
        <v>0</v>
      </c>
      <c r="G382" s="8" t="str">
        <f t="shared" si="7"/>
        <v xml:space="preserve"> 0</v>
      </c>
    </row>
    <row r="383" spans="6:7" x14ac:dyDescent="0.25">
      <c r="F383" s="20">
        <f t="shared" si="8"/>
        <v>0</v>
      </c>
      <c r="G383" s="8" t="str">
        <f t="shared" si="7"/>
        <v xml:space="preserve"> 0</v>
      </c>
    </row>
    <row r="384" spans="6:7" x14ac:dyDescent="0.25">
      <c r="F384" s="20">
        <f t="shared" si="8"/>
        <v>0</v>
      </c>
      <c r="G384" s="8" t="str">
        <f t="shared" si="7"/>
        <v xml:space="preserve"> 0</v>
      </c>
    </row>
    <row r="385" spans="6:7" x14ac:dyDescent="0.25">
      <c r="F385" s="20">
        <f t="shared" si="8"/>
        <v>0</v>
      </c>
      <c r="G385" s="8" t="str">
        <f t="shared" si="7"/>
        <v xml:space="preserve"> 0</v>
      </c>
    </row>
    <row r="386" spans="6:7" x14ac:dyDescent="0.25">
      <c r="F386" s="20">
        <f t="shared" si="8"/>
        <v>0</v>
      </c>
      <c r="G386" s="8" t="str">
        <f t="shared" si="7"/>
        <v xml:space="preserve"> 0</v>
      </c>
    </row>
    <row r="387" spans="6:7" x14ac:dyDescent="0.25">
      <c r="F387" s="20">
        <f t="shared" si="8"/>
        <v>0</v>
      </c>
      <c r="G387" s="8" t="str">
        <f t="shared" ref="G387:G450" si="9">E387&amp;" "&amp;F387</f>
        <v xml:space="preserve"> 0</v>
      </c>
    </row>
    <row r="388" spans="6:7" x14ac:dyDescent="0.25">
      <c r="F388" s="20">
        <f t="shared" si="8"/>
        <v>0</v>
      </c>
      <c r="G388" s="8" t="str">
        <f t="shared" si="9"/>
        <v xml:space="preserve"> 0</v>
      </c>
    </row>
    <row r="389" spans="6:7" x14ac:dyDescent="0.25">
      <c r="F389" s="20">
        <f t="shared" si="8"/>
        <v>0</v>
      </c>
      <c r="G389" s="8" t="str">
        <f t="shared" si="9"/>
        <v xml:space="preserve"> 0</v>
      </c>
    </row>
    <row r="390" spans="6:7" x14ac:dyDescent="0.25">
      <c r="F390" s="20">
        <f t="shared" si="8"/>
        <v>0</v>
      </c>
      <c r="G390" s="8" t="str">
        <f t="shared" si="9"/>
        <v xml:space="preserve"> 0</v>
      </c>
    </row>
    <row r="391" spans="6:7" x14ac:dyDescent="0.25">
      <c r="F391" s="20">
        <f t="shared" si="8"/>
        <v>0</v>
      </c>
      <c r="G391" s="8" t="str">
        <f t="shared" si="9"/>
        <v xml:space="preserve"> 0</v>
      </c>
    </row>
    <row r="392" spans="6:7" x14ac:dyDescent="0.25">
      <c r="F392" s="20">
        <f t="shared" si="8"/>
        <v>0</v>
      </c>
      <c r="G392" s="8" t="str">
        <f t="shared" si="9"/>
        <v xml:space="preserve"> 0</v>
      </c>
    </row>
    <row r="393" spans="6:7" x14ac:dyDescent="0.25">
      <c r="F393" s="20">
        <f t="shared" si="8"/>
        <v>0</v>
      </c>
      <c r="G393" s="8" t="str">
        <f t="shared" si="9"/>
        <v xml:space="preserve"> 0</v>
      </c>
    </row>
    <row r="394" spans="6:7" x14ac:dyDescent="0.25">
      <c r="F394" s="20">
        <f t="shared" si="8"/>
        <v>0</v>
      </c>
      <c r="G394" s="8" t="str">
        <f t="shared" si="9"/>
        <v xml:space="preserve"> 0</v>
      </c>
    </row>
    <row r="395" spans="6:7" x14ac:dyDescent="0.25">
      <c r="F395" s="20">
        <f t="shared" si="8"/>
        <v>0</v>
      </c>
      <c r="G395" s="8" t="str">
        <f t="shared" si="9"/>
        <v xml:space="preserve"> 0</v>
      </c>
    </row>
    <row r="396" spans="6:7" x14ac:dyDescent="0.25">
      <c r="F396" s="20">
        <f t="shared" si="8"/>
        <v>0</v>
      </c>
      <c r="G396" s="8" t="str">
        <f t="shared" si="9"/>
        <v xml:space="preserve"> 0</v>
      </c>
    </row>
    <row r="397" spans="6:7" x14ac:dyDescent="0.25">
      <c r="F397" s="20">
        <f t="shared" si="8"/>
        <v>0</v>
      </c>
      <c r="G397" s="8" t="str">
        <f t="shared" si="9"/>
        <v xml:space="preserve"> 0</v>
      </c>
    </row>
    <row r="398" spans="6:7" x14ac:dyDescent="0.25">
      <c r="F398" s="20">
        <f t="shared" si="8"/>
        <v>0</v>
      </c>
      <c r="G398" s="8" t="str">
        <f t="shared" si="9"/>
        <v xml:space="preserve"> 0</v>
      </c>
    </row>
    <row r="399" spans="6:7" x14ac:dyDescent="0.25">
      <c r="F399" s="20">
        <f t="shared" si="8"/>
        <v>0</v>
      </c>
      <c r="G399" s="8" t="str">
        <f t="shared" si="9"/>
        <v xml:space="preserve"> 0</v>
      </c>
    </row>
    <row r="400" spans="6:7" x14ac:dyDescent="0.25">
      <c r="F400" s="20">
        <f t="shared" si="8"/>
        <v>0</v>
      </c>
      <c r="G400" s="8" t="str">
        <f t="shared" si="9"/>
        <v xml:space="preserve"> 0</v>
      </c>
    </row>
    <row r="401" spans="6:7" x14ac:dyDescent="0.25">
      <c r="F401" s="20">
        <f t="shared" si="8"/>
        <v>0</v>
      </c>
      <c r="G401" s="8" t="str">
        <f t="shared" si="9"/>
        <v xml:space="preserve"> 0</v>
      </c>
    </row>
    <row r="402" spans="6:7" x14ac:dyDescent="0.25">
      <c r="F402" s="20">
        <f t="shared" si="8"/>
        <v>0</v>
      </c>
      <c r="G402" s="8" t="str">
        <f t="shared" si="9"/>
        <v xml:space="preserve"> 0</v>
      </c>
    </row>
    <row r="403" spans="6:7" x14ac:dyDescent="0.25">
      <c r="F403" s="20">
        <f t="shared" si="8"/>
        <v>0</v>
      </c>
      <c r="G403" s="8" t="str">
        <f t="shared" si="9"/>
        <v xml:space="preserve"> 0</v>
      </c>
    </row>
    <row r="404" spans="6:7" x14ac:dyDescent="0.25">
      <c r="F404" s="20">
        <f t="shared" si="8"/>
        <v>0</v>
      </c>
      <c r="G404" s="8" t="str">
        <f t="shared" si="9"/>
        <v xml:space="preserve"> 0</v>
      </c>
    </row>
    <row r="405" spans="6:7" x14ac:dyDescent="0.25">
      <c r="F405" s="20">
        <f t="shared" si="8"/>
        <v>0</v>
      </c>
      <c r="G405" s="8" t="str">
        <f t="shared" si="9"/>
        <v xml:space="preserve"> 0</v>
      </c>
    </row>
    <row r="406" spans="6:7" x14ac:dyDescent="0.25">
      <c r="F406" s="20">
        <f t="shared" si="8"/>
        <v>0</v>
      </c>
      <c r="G406" s="8" t="str">
        <f t="shared" si="9"/>
        <v xml:space="preserve"> 0</v>
      </c>
    </row>
    <row r="407" spans="6:7" x14ac:dyDescent="0.25">
      <c r="F407" s="20">
        <f t="shared" si="8"/>
        <v>0</v>
      </c>
      <c r="G407" s="8" t="str">
        <f t="shared" si="9"/>
        <v xml:space="preserve"> 0</v>
      </c>
    </row>
    <row r="408" spans="6:7" x14ac:dyDescent="0.25">
      <c r="F408" s="20">
        <f t="shared" si="8"/>
        <v>0</v>
      </c>
      <c r="G408" s="8" t="str">
        <f t="shared" si="9"/>
        <v xml:space="preserve"> 0</v>
      </c>
    </row>
    <row r="409" spans="6:7" x14ac:dyDescent="0.25">
      <c r="F409" s="20">
        <f t="shared" si="8"/>
        <v>0</v>
      </c>
      <c r="G409" s="8" t="str">
        <f t="shared" si="9"/>
        <v xml:space="preserve"> 0</v>
      </c>
    </row>
    <row r="410" spans="6:7" x14ac:dyDescent="0.25">
      <c r="F410" s="20">
        <f t="shared" ref="F410:F473" si="10">B410</f>
        <v>0</v>
      </c>
      <c r="G410" s="8" t="str">
        <f t="shared" si="9"/>
        <v xml:space="preserve"> 0</v>
      </c>
    </row>
    <row r="411" spans="6:7" x14ac:dyDescent="0.25">
      <c r="F411" s="20">
        <f t="shared" si="10"/>
        <v>0</v>
      </c>
      <c r="G411" s="8" t="str">
        <f t="shared" si="9"/>
        <v xml:space="preserve"> 0</v>
      </c>
    </row>
    <row r="412" spans="6:7" x14ac:dyDescent="0.25">
      <c r="F412" s="20">
        <f t="shared" si="10"/>
        <v>0</v>
      </c>
      <c r="G412" s="8" t="str">
        <f t="shared" si="9"/>
        <v xml:space="preserve"> 0</v>
      </c>
    </row>
    <row r="413" spans="6:7" x14ac:dyDescent="0.25">
      <c r="F413" s="20">
        <f t="shared" si="10"/>
        <v>0</v>
      </c>
      <c r="G413" s="8" t="str">
        <f t="shared" si="9"/>
        <v xml:space="preserve"> 0</v>
      </c>
    </row>
    <row r="414" spans="6:7" x14ac:dyDescent="0.25">
      <c r="F414" s="20">
        <f t="shared" si="10"/>
        <v>0</v>
      </c>
      <c r="G414" s="8" t="str">
        <f t="shared" si="9"/>
        <v xml:space="preserve"> 0</v>
      </c>
    </row>
    <row r="415" spans="6:7" x14ac:dyDescent="0.25">
      <c r="F415" s="20">
        <f t="shared" si="10"/>
        <v>0</v>
      </c>
      <c r="G415" s="8" t="str">
        <f t="shared" si="9"/>
        <v xml:space="preserve"> 0</v>
      </c>
    </row>
    <row r="416" spans="6:7" x14ac:dyDescent="0.25">
      <c r="F416" s="20">
        <f t="shared" si="10"/>
        <v>0</v>
      </c>
      <c r="G416" s="8" t="str">
        <f t="shared" si="9"/>
        <v xml:space="preserve"> 0</v>
      </c>
    </row>
    <row r="417" spans="6:7" x14ac:dyDescent="0.25">
      <c r="F417" s="20">
        <f t="shared" si="10"/>
        <v>0</v>
      </c>
      <c r="G417" s="8" t="str">
        <f t="shared" si="9"/>
        <v xml:space="preserve"> 0</v>
      </c>
    </row>
    <row r="418" spans="6:7" x14ac:dyDescent="0.25">
      <c r="F418" s="20">
        <f t="shared" si="10"/>
        <v>0</v>
      </c>
      <c r="G418" s="8" t="str">
        <f t="shared" si="9"/>
        <v xml:space="preserve"> 0</v>
      </c>
    </row>
    <row r="419" spans="6:7" x14ac:dyDescent="0.25">
      <c r="F419" s="20">
        <f t="shared" si="10"/>
        <v>0</v>
      </c>
      <c r="G419" s="8" t="str">
        <f t="shared" si="9"/>
        <v xml:space="preserve"> 0</v>
      </c>
    </row>
    <row r="420" spans="6:7" x14ac:dyDescent="0.25">
      <c r="F420" s="20">
        <f t="shared" si="10"/>
        <v>0</v>
      </c>
      <c r="G420" s="8" t="str">
        <f t="shared" si="9"/>
        <v xml:space="preserve"> 0</v>
      </c>
    </row>
    <row r="421" spans="6:7" x14ac:dyDescent="0.25">
      <c r="F421" s="20">
        <f t="shared" si="10"/>
        <v>0</v>
      </c>
      <c r="G421" s="8" t="str">
        <f t="shared" si="9"/>
        <v xml:space="preserve"> 0</v>
      </c>
    </row>
    <row r="422" spans="6:7" x14ac:dyDescent="0.25">
      <c r="F422" s="20">
        <f t="shared" si="10"/>
        <v>0</v>
      </c>
      <c r="G422" s="8" t="str">
        <f t="shared" si="9"/>
        <v xml:space="preserve"> 0</v>
      </c>
    </row>
    <row r="423" spans="6:7" x14ac:dyDescent="0.25">
      <c r="F423" s="20">
        <f t="shared" si="10"/>
        <v>0</v>
      </c>
      <c r="G423" s="8" t="str">
        <f t="shared" si="9"/>
        <v xml:space="preserve"> 0</v>
      </c>
    </row>
    <row r="424" spans="6:7" x14ac:dyDescent="0.25">
      <c r="F424" s="20">
        <f t="shared" si="10"/>
        <v>0</v>
      </c>
      <c r="G424" s="8" t="str">
        <f t="shared" si="9"/>
        <v xml:space="preserve"> 0</v>
      </c>
    </row>
    <row r="425" spans="6:7" x14ac:dyDescent="0.25">
      <c r="F425" s="20">
        <f t="shared" si="10"/>
        <v>0</v>
      </c>
      <c r="G425" s="8" t="str">
        <f t="shared" si="9"/>
        <v xml:space="preserve"> 0</v>
      </c>
    </row>
    <row r="426" spans="6:7" x14ac:dyDescent="0.25">
      <c r="F426" s="20">
        <f t="shared" si="10"/>
        <v>0</v>
      </c>
      <c r="G426" s="8" t="str">
        <f t="shared" si="9"/>
        <v xml:space="preserve"> 0</v>
      </c>
    </row>
    <row r="427" spans="6:7" x14ac:dyDescent="0.25">
      <c r="F427" s="20">
        <f t="shared" si="10"/>
        <v>0</v>
      </c>
      <c r="G427" s="8" t="str">
        <f t="shared" si="9"/>
        <v xml:space="preserve"> 0</v>
      </c>
    </row>
    <row r="428" spans="6:7" x14ac:dyDescent="0.25">
      <c r="F428" s="20">
        <f t="shared" si="10"/>
        <v>0</v>
      </c>
      <c r="G428" s="8" t="str">
        <f t="shared" si="9"/>
        <v xml:space="preserve"> 0</v>
      </c>
    </row>
    <row r="429" spans="6:7" x14ac:dyDescent="0.25">
      <c r="F429" s="20">
        <f t="shared" si="10"/>
        <v>0</v>
      </c>
      <c r="G429" s="8" t="str">
        <f t="shared" si="9"/>
        <v xml:space="preserve"> 0</v>
      </c>
    </row>
    <row r="430" spans="6:7" x14ac:dyDescent="0.25">
      <c r="F430" s="20">
        <f t="shared" si="10"/>
        <v>0</v>
      </c>
      <c r="G430" s="8" t="str">
        <f t="shared" si="9"/>
        <v xml:space="preserve"> 0</v>
      </c>
    </row>
    <row r="431" spans="6:7" x14ac:dyDescent="0.25">
      <c r="F431" s="20">
        <f t="shared" si="10"/>
        <v>0</v>
      </c>
      <c r="G431" s="8" t="str">
        <f t="shared" si="9"/>
        <v xml:space="preserve"> 0</v>
      </c>
    </row>
    <row r="432" spans="6:7" x14ac:dyDescent="0.25">
      <c r="F432" s="20">
        <f t="shared" si="10"/>
        <v>0</v>
      </c>
      <c r="G432" s="8" t="str">
        <f t="shared" si="9"/>
        <v xml:space="preserve"> 0</v>
      </c>
    </row>
    <row r="433" spans="6:7" x14ac:dyDescent="0.25">
      <c r="F433" s="20">
        <f t="shared" si="10"/>
        <v>0</v>
      </c>
      <c r="G433" s="8" t="str">
        <f t="shared" si="9"/>
        <v xml:space="preserve"> 0</v>
      </c>
    </row>
    <row r="434" spans="6:7" x14ac:dyDescent="0.25">
      <c r="F434" s="20">
        <f t="shared" si="10"/>
        <v>0</v>
      </c>
      <c r="G434" s="8" t="str">
        <f t="shared" si="9"/>
        <v xml:space="preserve"> 0</v>
      </c>
    </row>
    <row r="435" spans="6:7" x14ac:dyDescent="0.25">
      <c r="F435" s="20">
        <f t="shared" si="10"/>
        <v>0</v>
      </c>
      <c r="G435" s="8" t="str">
        <f t="shared" si="9"/>
        <v xml:space="preserve"> 0</v>
      </c>
    </row>
    <row r="436" spans="6:7" x14ac:dyDescent="0.25">
      <c r="F436" s="20">
        <f t="shared" si="10"/>
        <v>0</v>
      </c>
      <c r="G436" s="8" t="str">
        <f t="shared" si="9"/>
        <v xml:space="preserve"> 0</v>
      </c>
    </row>
    <row r="437" spans="6:7" x14ac:dyDescent="0.25">
      <c r="F437" s="20">
        <f t="shared" si="10"/>
        <v>0</v>
      </c>
      <c r="G437" s="8" t="str">
        <f t="shared" si="9"/>
        <v xml:space="preserve"> 0</v>
      </c>
    </row>
    <row r="438" spans="6:7" x14ac:dyDescent="0.25">
      <c r="F438" s="20">
        <f t="shared" si="10"/>
        <v>0</v>
      </c>
      <c r="G438" s="8" t="str">
        <f t="shared" si="9"/>
        <v xml:space="preserve"> 0</v>
      </c>
    </row>
    <row r="439" spans="6:7" x14ac:dyDescent="0.25">
      <c r="F439" s="20">
        <f t="shared" si="10"/>
        <v>0</v>
      </c>
      <c r="G439" s="8" t="str">
        <f t="shared" si="9"/>
        <v xml:space="preserve"> 0</v>
      </c>
    </row>
    <row r="440" spans="6:7" x14ac:dyDescent="0.25">
      <c r="F440" s="20">
        <f t="shared" si="10"/>
        <v>0</v>
      </c>
      <c r="G440" s="8" t="str">
        <f t="shared" si="9"/>
        <v xml:space="preserve"> 0</v>
      </c>
    </row>
    <row r="441" spans="6:7" x14ac:dyDescent="0.25">
      <c r="F441" s="20">
        <f t="shared" si="10"/>
        <v>0</v>
      </c>
      <c r="G441" s="8" t="str">
        <f t="shared" si="9"/>
        <v xml:space="preserve"> 0</v>
      </c>
    </row>
    <row r="442" spans="6:7" x14ac:dyDescent="0.25">
      <c r="F442" s="20">
        <f t="shared" si="10"/>
        <v>0</v>
      </c>
      <c r="G442" s="8" t="str">
        <f t="shared" si="9"/>
        <v xml:space="preserve"> 0</v>
      </c>
    </row>
    <row r="443" spans="6:7" x14ac:dyDescent="0.25">
      <c r="F443" s="20">
        <f t="shared" si="10"/>
        <v>0</v>
      </c>
      <c r="G443" s="8" t="str">
        <f t="shared" si="9"/>
        <v xml:space="preserve"> 0</v>
      </c>
    </row>
    <row r="444" spans="6:7" x14ac:dyDescent="0.25">
      <c r="F444" s="20">
        <f t="shared" si="10"/>
        <v>0</v>
      </c>
      <c r="G444" s="8" t="str">
        <f t="shared" si="9"/>
        <v xml:space="preserve"> 0</v>
      </c>
    </row>
    <row r="445" spans="6:7" x14ac:dyDescent="0.25">
      <c r="F445" s="20">
        <f t="shared" si="10"/>
        <v>0</v>
      </c>
      <c r="G445" s="8" t="str">
        <f t="shared" si="9"/>
        <v xml:space="preserve"> 0</v>
      </c>
    </row>
    <row r="446" spans="6:7" x14ac:dyDescent="0.25">
      <c r="F446" s="20">
        <f t="shared" si="10"/>
        <v>0</v>
      </c>
      <c r="G446" s="8" t="str">
        <f t="shared" si="9"/>
        <v xml:space="preserve"> 0</v>
      </c>
    </row>
    <row r="447" spans="6:7" x14ac:dyDescent="0.25">
      <c r="F447" s="20">
        <f t="shared" si="10"/>
        <v>0</v>
      </c>
      <c r="G447" s="8" t="str">
        <f t="shared" si="9"/>
        <v xml:space="preserve"> 0</v>
      </c>
    </row>
    <row r="448" spans="6:7" x14ac:dyDescent="0.25">
      <c r="F448" s="20">
        <f t="shared" si="10"/>
        <v>0</v>
      </c>
      <c r="G448" s="8" t="str">
        <f t="shared" si="9"/>
        <v xml:space="preserve"> 0</v>
      </c>
    </row>
    <row r="449" spans="6:7" x14ac:dyDescent="0.25">
      <c r="F449" s="20">
        <f t="shared" si="10"/>
        <v>0</v>
      </c>
      <c r="G449" s="8" t="str">
        <f t="shared" si="9"/>
        <v xml:space="preserve"> 0</v>
      </c>
    </row>
    <row r="450" spans="6:7" x14ac:dyDescent="0.25">
      <c r="F450" s="20">
        <f t="shared" si="10"/>
        <v>0</v>
      </c>
      <c r="G450" s="8" t="str">
        <f t="shared" si="9"/>
        <v xml:space="preserve"> 0</v>
      </c>
    </row>
    <row r="451" spans="6:7" x14ac:dyDescent="0.25">
      <c r="F451" s="20">
        <f t="shared" si="10"/>
        <v>0</v>
      </c>
      <c r="G451" s="8" t="str">
        <f t="shared" ref="G451:G514" si="11">E451&amp;" "&amp;F451</f>
        <v xml:space="preserve"> 0</v>
      </c>
    </row>
    <row r="452" spans="6:7" x14ac:dyDescent="0.25">
      <c r="F452" s="20">
        <f t="shared" si="10"/>
        <v>0</v>
      </c>
      <c r="G452" s="8" t="str">
        <f t="shared" si="11"/>
        <v xml:space="preserve"> 0</v>
      </c>
    </row>
    <row r="453" spans="6:7" x14ac:dyDescent="0.25">
      <c r="F453" s="20">
        <f t="shared" si="10"/>
        <v>0</v>
      </c>
      <c r="G453" s="8" t="str">
        <f t="shared" si="11"/>
        <v xml:space="preserve"> 0</v>
      </c>
    </row>
    <row r="454" spans="6:7" x14ac:dyDescent="0.25">
      <c r="F454" s="20">
        <f t="shared" si="10"/>
        <v>0</v>
      </c>
      <c r="G454" s="8" t="str">
        <f t="shared" si="11"/>
        <v xml:space="preserve"> 0</v>
      </c>
    </row>
    <row r="455" spans="6:7" x14ac:dyDescent="0.25">
      <c r="F455" s="20">
        <f t="shared" si="10"/>
        <v>0</v>
      </c>
      <c r="G455" s="8" t="str">
        <f t="shared" si="11"/>
        <v xml:space="preserve"> 0</v>
      </c>
    </row>
    <row r="456" spans="6:7" x14ac:dyDescent="0.25">
      <c r="F456" s="20">
        <f t="shared" si="10"/>
        <v>0</v>
      </c>
      <c r="G456" s="8" t="str">
        <f t="shared" si="11"/>
        <v xml:space="preserve"> 0</v>
      </c>
    </row>
    <row r="457" spans="6:7" x14ac:dyDescent="0.25">
      <c r="F457" s="20">
        <f t="shared" si="10"/>
        <v>0</v>
      </c>
      <c r="G457" s="8" t="str">
        <f t="shared" si="11"/>
        <v xml:space="preserve"> 0</v>
      </c>
    </row>
    <row r="458" spans="6:7" x14ac:dyDescent="0.25">
      <c r="F458" s="20">
        <f t="shared" si="10"/>
        <v>0</v>
      </c>
      <c r="G458" s="8" t="str">
        <f t="shared" si="11"/>
        <v xml:space="preserve"> 0</v>
      </c>
    </row>
    <row r="459" spans="6:7" x14ac:dyDescent="0.25">
      <c r="F459" s="20">
        <f t="shared" si="10"/>
        <v>0</v>
      </c>
      <c r="G459" s="8" t="str">
        <f t="shared" si="11"/>
        <v xml:space="preserve"> 0</v>
      </c>
    </row>
    <row r="460" spans="6:7" x14ac:dyDescent="0.25">
      <c r="F460" s="20">
        <f t="shared" si="10"/>
        <v>0</v>
      </c>
      <c r="G460" s="8" t="str">
        <f t="shared" si="11"/>
        <v xml:space="preserve"> 0</v>
      </c>
    </row>
    <row r="461" spans="6:7" x14ac:dyDescent="0.25">
      <c r="F461" s="20">
        <f t="shared" si="10"/>
        <v>0</v>
      </c>
      <c r="G461" s="8" t="str">
        <f t="shared" si="11"/>
        <v xml:space="preserve"> 0</v>
      </c>
    </row>
    <row r="462" spans="6:7" x14ac:dyDescent="0.25">
      <c r="F462" s="20">
        <f t="shared" si="10"/>
        <v>0</v>
      </c>
      <c r="G462" s="8" t="str">
        <f t="shared" si="11"/>
        <v xml:space="preserve"> 0</v>
      </c>
    </row>
    <row r="463" spans="6:7" x14ac:dyDescent="0.25">
      <c r="F463" s="20">
        <f t="shared" si="10"/>
        <v>0</v>
      </c>
      <c r="G463" s="8" t="str">
        <f t="shared" si="11"/>
        <v xml:space="preserve"> 0</v>
      </c>
    </row>
    <row r="464" spans="6:7" x14ac:dyDescent="0.25">
      <c r="F464" s="20">
        <f t="shared" si="10"/>
        <v>0</v>
      </c>
      <c r="G464" s="8" t="str">
        <f t="shared" si="11"/>
        <v xml:space="preserve"> 0</v>
      </c>
    </row>
    <row r="465" spans="6:7" x14ac:dyDescent="0.25">
      <c r="F465" s="20">
        <f t="shared" si="10"/>
        <v>0</v>
      </c>
      <c r="G465" s="8" t="str">
        <f t="shared" si="11"/>
        <v xml:space="preserve"> 0</v>
      </c>
    </row>
    <row r="466" spans="6:7" x14ac:dyDescent="0.25">
      <c r="F466" s="20">
        <f t="shared" si="10"/>
        <v>0</v>
      </c>
      <c r="G466" s="8" t="str">
        <f t="shared" si="11"/>
        <v xml:space="preserve"> 0</v>
      </c>
    </row>
    <row r="467" spans="6:7" x14ac:dyDescent="0.25">
      <c r="F467" s="20">
        <f t="shared" si="10"/>
        <v>0</v>
      </c>
      <c r="G467" s="8" t="str">
        <f t="shared" si="11"/>
        <v xml:space="preserve"> 0</v>
      </c>
    </row>
    <row r="468" spans="6:7" x14ac:dyDescent="0.25">
      <c r="F468" s="20">
        <f t="shared" si="10"/>
        <v>0</v>
      </c>
      <c r="G468" s="8" t="str">
        <f t="shared" si="11"/>
        <v xml:space="preserve"> 0</v>
      </c>
    </row>
    <row r="469" spans="6:7" x14ac:dyDescent="0.25">
      <c r="F469" s="20">
        <f t="shared" si="10"/>
        <v>0</v>
      </c>
      <c r="G469" s="8" t="str">
        <f t="shared" si="11"/>
        <v xml:space="preserve"> 0</v>
      </c>
    </row>
    <row r="470" spans="6:7" x14ac:dyDescent="0.25">
      <c r="F470" s="20">
        <f t="shared" si="10"/>
        <v>0</v>
      </c>
      <c r="G470" s="8" t="str">
        <f t="shared" si="11"/>
        <v xml:space="preserve"> 0</v>
      </c>
    </row>
    <row r="471" spans="6:7" x14ac:dyDescent="0.25">
      <c r="F471" s="20">
        <f t="shared" si="10"/>
        <v>0</v>
      </c>
      <c r="G471" s="8" t="str">
        <f t="shared" si="11"/>
        <v xml:space="preserve"> 0</v>
      </c>
    </row>
    <row r="472" spans="6:7" x14ac:dyDescent="0.25">
      <c r="F472" s="20">
        <f t="shared" si="10"/>
        <v>0</v>
      </c>
      <c r="G472" s="8" t="str">
        <f t="shared" si="11"/>
        <v xml:space="preserve"> 0</v>
      </c>
    </row>
    <row r="473" spans="6:7" x14ac:dyDescent="0.25">
      <c r="F473" s="20">
        <f t="shared" si="10"/>
        <v>0</v>
      </c>
      <c r="G473" s="8" t="str">
        <f t="shared" si="11"/>
        <v xml:space="preserve"> 0</v>
      </c>
    </row>
    <row r="474" spans="6:7" x14ac:dyDescent="0.25">
      <c r="F474" s="20">
        <f t="shared" ref="F474:F537" si="12">B474</f>
        <v>0</v>
      </c>
      <c r="G474" s="8" t="str">
        <f t="shared" si="11"/>
        <v xml:space="preserve"> 0</v>
      </c>
    </row>
    <row r="475" spans="6:7" x14ac:dyDescent="0.25">
      <c r="F475" s="20">
        <f t="shared" si="12"/>
        <v>0</v>
      </c>
      <c r="G475" s="8" t="str">
        <f t="shared" si="11"/>
        <v xml:space="preserve"> 0</v>
      </c>
    </row>
    <row r="476" spans="6:7" x14ac:dyDescent="0.25">
      <c r="F476" s="20">
        <f t="shared" si="12"/>
        <v>0</v>
      </c>
      <c r="G476" s="8" t="str">
        <f t="shared" si="11"/>
        <v xml:space="preserve"> 0</v>
      </c>
    </row>
    <row r="477" spans="6:7" x14ac:dyDescent="0.25">
      <c r="F477" s="20">
        <f t="shared" si="12"/>
        <v>0</v>
      </c>
      <c r="G477" s="8" t="str">
        <f t="shared" si="11"/>
        <v xml:space="preserve"> 0</v>
      </c>
    </row>
    <row r="478" spans="6:7" x14ac:dyDescent="0.25">
      <c r="F478" s="20">
        <f t="shared" si="12"/>
        <v>0</v>
      </c>
      <c r="G478" s="8" t="str">
        <f t="shared" si="11"/>
        <v xml:space="preserve"> 0</v>
      </c>
    </row>
    <row r="479" spans="6:7" x14ac:dyDescent="0.25">
      <c r="F479" s="20">
        <f t="shared" si="12"/>
        <v>0</v>
      </c>
      <c r="G479" s="8" t="str">
        <f t="shared" si="11"/>
        <v xml:space="preserve"> 0</v>
      </c>
    </row>
    <row r="480" spans="6:7" x14ac:dyDescent="0.25">
      <c r="F480" s="20">
        <f t="shared" si="12"/>
        <v>0</v>
      </c>
      <c r="G480" s="8" t="str">
        <f t="shared" si="11"/>
        <v xml:space="preserve"> 0</v>
      </c>
    </row>
    <row r="481" spans="6:7" x14ac:dyDescent="0.25">
      <c r="F481" s="20">
        <f t="shared" si="12"/>
        <v>0</v>
      </c>
      <c r="G481" s="8" t="str">
        <f t="shared" si="11"/>
        <v xml:space="preserve"> 0</v>
      </c>
    </row>
    <row r="482" spans="6:7" x14ac:dyDescent="0.25">
      <c r="F482" s="20">
        <f t="shared" si="12"/>
        <v>0</v>
      </c>
      <c r="G482" s="8" t="str">
        <f t="shared" si="11"/>
        <v xml:space="preserve"> 0</v>
      </c>
    </row>
    <row r="483" spans="6:7" x14ac:dyDescent="0.25">
      <c r="F483" s="20">
        <f t="shared" si="12"/>
        <v>0</v>
      </c>
      <c r="G483" s="8" t="str">
        <f t="shared" si="11"/>
        <v xml:space="preserve"> 0</v>
      </c>
    </row>
    <row r="484" spans="6:7" x14ac:dyDescent="0.25">
      <c r="F484" s="20">
        <f t="shared" si="12"/>
        <v>0</v>
      </c>
      <c r="G484" s="8" t="str">
        <f t="shared" si="11"/>
        <v xml:space="preserve"> 0</v>
      </c>
    </row>
    <row r="485" spans="6:7" x14ac:dyDescent="0.25">
      <c r="F485" s="20">
        <f t="shared" si="12"/>
        <v>0</v>
      </c>
      <c r="G485" s="8" t="str">
        <f t="shared" si="11"/>
        <v xml:space="preserve"> 0</v>
      </c>
    </row>
    <row r="486" spans="6:7" x14ac:dyDescent="0.25">
      <c r="F486" s="20">
        <f t="shared" si="12"/>
        <v>0</v>
      </c>
      <c r="G486" s="8" t="str">
        <f t="shared" si="11"/>
        <v xml:space="preserve"> 0</v>
      </c>
    </row>
    <row r="487" spans="6:7" x14ac:dyDescent="0.25">
      <c r="F487" s="20">
        <f t="shared" si="12"/>
        <v>0</v>
      </c>
      <c r="G487" s="8" t="str">
        <f t="shared" si="11"/>
        <v xml:space="preserve"> 0</v>
      </c>
    </row>
    <row r="488" spans="6:7" x14ac:dyDescent="0.25">
      <c r="F488" s="20">
        <f t="shared" si="12"/>
        <v>0</v>
      </c>
      <c r="G488" s="8" t="str">
        <f t="shared" si="11"/>
        <v xml:space="preserve"> 0</v>
      </c>
    </row>
    <row r="489" spans="6:7" x14ac:dyDescent="0.25">
      <c r="F489" s="20">
        <f t="shared" si="12"/>
        <v>0</v>
      </c>
      <c r="G489" s="8" t="str">
        <f t="shared" si="11"/>
        <v xml:space="preserve"> 0</v>
      </c>
    </row>
    <row r="490" spans="6:7" x14ac:dyDescent="0.25">
      <c r="F490" s="20">
        <f t="shared" si="12"/>
        <v>0</v>
      </c>
      <c r="G490" s="8" t="str">
        <f t="shared" si="11"/>
        <v xml:space="preserve"> 0</v>
      </c>
    </row>
    <row r="491" spans="6:7" x14ac:dyDescent="0.25">
      <c r="F491" s="20">
        <f t="shared" si="12"/>
        <v>0</v>
      </c>
      <c r="G491" s="8" t="str">
        <f t="shared" si="11"/>
        <v xml:space="preserve"> 0</v>
      </c>
    </row>
    <row r="492" spans="6:7" x14ac:dyDescent="0.25">
      <c r="F492" s="20">
        <f t="shared" si="12"/>
        <v>0</v>
      </c>
      <c r="G492" s="8" t="str">
        <f t="shared" si="11"/>
        <v xml:space="preserve"> 0</v>
      </c>
    </row>
    <row r="493" spans="6:7" x14ac:dyDescent="0.25">
      <c r="F493" s="20">
        <f t="shared" si="12"/>
        <v>0</v>
      </c>
      <c r="G493" s="8" t="str">
        <f t="shared" si="11"/>
        <v xml:space="preserve"> 0</v>
      </c>
    </row>
    <row r="494" spans="6:7" x14ac:dyDescent="0.25">
      <c r="F494" s="20">
        <f t="shared" si="12"/>
        <v>0</v>
      </c>
      <c r="G494" s="8" t="str">
        <f t="shared" si="11"/>
        <v xml:space="preserve"> 0</v>
      </c>
    </row>
    <row r="495" spans="6:7" x14ac:dyDescent="0.25">
      <c r="F495" s="20">
        <f t="shared" si="12"/>
        <v>0</v>
      </c>
      <c r="G495" s="8" t="str">
        <f t="shared" si="11"/>
        <v xml:space="preserve"> 0</v>
      </c>
    </row>
    <row r="496" spans="6:7" x14ac:dyDescent="0.25">
      <c r="F496" s="20">
        <f t="shared" si="12"/>
        <v>0</v>
      </c>
      <c r="G496" s="8" t="str">
        <f t="shared" si="11"/>
        <v xml:space="preserve"> 0</v>
      </c>
    </row>
    <row r="497" spans="6:7" x14ac:dyDescent="0.25">
      <c r="F497" s="20">
        <f t="shared" si="12"/>
        <v>0</v>
      </c>
      <c r="G497" s="8" t="str">
        <f t="shared" si="11"/>
        <v xml:space="preserve"> 0</v>
      </c>
    </row>
    <row r="498" spans="6:7" x14ac:dyDescent="0.25">
      <c r="F498" s="20">
        <f t="shared" si="12"/>
        <v>0</v>
      </c>
      <c r="G498" s="8" t="str">
        <f t="shared" si="11"/>
        <v xml:space="preserve"> 0</v>
      </c>
    </row>
    <row r="499" spans="6:7" x14ac:dyDescent="0.25">
      <c r="F499" s="20">
        <f t="shared" si="12"/>
        <v>0</v>
      </c>
      <c r="G499" s="8" t="str">
        <f t="shared" si="11"/>
        <v xml:space="preserve"> 0</v>
      </c>
    </row>
    <row r="500" spans="6:7" x14ac:dyDescent="0.25">
      <c r="F500" s="20">
        <f t="shared" si="12"/>
        <v>0</v>
      </c>
      <c r="G500" s="8" t="str">
        <f t="shared" si="11"/>
        <v xml:space="preserve"> 0</v>
      </c>
    </row>
    <row r="501" spans="6:7" x14ac:dyDescent="0.25">
      <c r="F501" s="20">
        <f t="shared" si="12"/>
        <v>0</v>
      </c>
      <c r="G501" s="8" t="str">
        <f t="shared" si="11"/>
        <v xml:space="preserve"> 0</v>
      </c>
    </row>
    <row r="502" spans="6:7" x14ac:dyDescent="0.25">
      <c r="F502" s="20">
        <f t="shared" si="12"/>
        <v>0</v>
      </c>
      <c r="G502" s="8" t="str">
        <f t="shared" si="11"/>
        <v xml:space="preserve"> 0</v>
      </c>
    </row>
    <row r="503" spans="6:7" x14ac:dyDescent="0.25">
      <c r="F503" s="20">
        <f t="shared" si="12"/>
        <v>0</v>
      </c>
      <c r="G503" s="8" t="str">
        <f t="shared" si="11"/>
        <v xml:space="preserve"> 0</v>
      </c>
    </row>
    <row r="504" spans="6:7" x14ac:dyDescent="0.25">
      <c r="F504" s="20">
        <f t="shared" si="12"/>
        <v>0</v>
      </c>
      <c r="G504" s="8" t="str">
        <f t="shared" si="11"/>
        <v xml:space="preserve"> 0</v>
      </c>
    </row>
    <row r="505" spans="6:7" x14ac:dyDescent="0.25">
      <c r="F505" s="20">
        <f t="shared" si="12"/>
        <v>0</v>
      </c>
      <c r="G505" s="8" t="str">
        <f t="shared" si="11"/>
        <v xml:space="preserve"> 0</v>
      </c>
    </row>
    <row r="506" spans="6:7" x14ac:dyDescent="0.25">
      <c r="F506" s="20">
        <f t="shared" si="12"/>
        <v>0</v>
      </c>
      <c r="G506" s="8" t="str">
        <f t="shared" si="11"/>
        <v xml:space="preserve"> 0</v>
      </c>
    </row>
    <row r="507" spans="6:7" x14ac:dyDescent="0.25">
      <c r="F507" s="20">
        <f t="shared" si="12"/>
        <v>0</v>
      </c>
      <c r="G507" s="8" t="str">
        <f t="shared" si="11"/>
        <v xml:space="preserve"> 0</v>
      </c>
    </row>
    <row r="508" spans="6:7" x14ac:dyDescent="0.25">
      <c r="F508" s="20">
        <f t="shared" si="12"/>
        <v>0</v>
      </c>
      <c r="G508" s="8" t="str">
        <f t="shared" si="11"/>
        <v xml:space="preserve"> 0</v>
      </c>
    </row>
    <row r="509" spans="6:7" x14ac:dyDescent="0.25">
      <c r="F509" s="20">
        <f t="shared" si="12"/>
        <v>0</v>
      </c>
      <c r="G509" s="8" t="str">
        <f t="shared" si="11"/>
        <v xml:space="preserve"> 0</v>
      </c>
    </row>
    <row r="510" spans="6:7" x14ac:dyDescent="0.25">
      <c r="F510" s="20">
        <f t="shared" si="12"/>
        <v>0</v>
      </c>
      <c r="G510" s="8" t="str">
        <f t="shared" si="11"/>
        <v xml:space="preserve"> 0</v>
      </c>
    </row>
    <row r="511" spans="6:7" x14ac:dyDescent="0.25">
      <c r="F511" s="20">
        <f t="shared" si="12"/>
        <v>0</v>
      </c>
      <c r="G511" s="8" t="str">
        <f t="shared" si="11"/>
        <v xml:space="preserve"> 0</v>
      </c>
    </row>
    <row r="512" spans="6:7" x14ac:dyDescent="0.25">
      <c r="F512" s="20">
        <f t="shared" si="12"/>
        <v>0</v>
      </c>
      <c r="G512" s="8" t="str">
        <f t="shared" si="11"/>
        <v xml:space="preserve"> 0</v>
      </c>
    </row>
    <row r="513" spans="6:7" x14ac:dyDescent="0.25">
      <c r="F513" s="20">
        <f t="shared" si="12"/>
        <v>0</v>
      </c>
      <c r="G513" s="8" t="str">
        <f t="shared" si="11"/>
        <v xml:space="preserve"> 0</v>
      </c>
    </row>
    <row r="514" spans="6:7" x14ac:dyDescent="0.25">
      <c r="F514" s="20">
        <f t="shared" si="12"/>
        <v>0</v>
      </c>
      <c r="G514" s="8" t="str">
        <f t="shared" si="11"/>
        <v xml:space="preserve"> 0</v>
      </c>
    </row>
    <row r="515" spans="6:7" x14ac:dyDescent="0.25">
      <c r="F515" s="20">
        <f t="shared" si="12"/>
        <v>0</v>
      </c>
      <c r="G515" s="8" t="str">
        <f t="shared" ref="G515:G543" si="13">E515&amp;" "&amp;F515</f>
        <v xml:space="preserve"> 0</v>
      </c>
    </row>
    <row r="516" spans="6:7" x14ac:dyDescent="0.25">
      <c r="F516" s="20">
        <f t="shared" si="12"/>
        <v>0</v>
      </c>
      <c r="G516" s="8" t="str">
        <f t="shared" si="13"/>
        <v xml:space="preserve"> 0</v>
      </c>
    </row>
    <row r="517" spans="6:7" x14ac:dyDescent="0.25">
      <c r="F517" s="20">
        <f t="shared" si="12"/>
        <v>0</v>
      </c>
      <c r="G517" s="8" t="str">
        <f t="shared" si="13"/>
        <v xml:space="preserve"> 0</v>
      </c>
    </row>
    <row r="518" spans="6:7" x14ac:dyDescent="0.25">
      <c r="F518" s="20">
        <f t="shared" si="12"/>
        <v>0</v>
      </c>
      <c r="G518" s="8" t="str">
        <f t="shared" si="13"/>
        <v xml:space="preserve"> 0</v>
      </c>
    </row>
    <row r="519" spans="6:7" x14ac:dyDescent="0.25">
      <c r="F519" s="20">
        <f t="shared" si="12"/>
        <v>0</v>
      </c>
      <c r="G519" s="8" t="str">
        <f t="shared" si="13"/>
        <v xml:space="preserve"> 0</v>
      </c>
    </row>
    <row r="520" spans="6:7" x14ac:dyDescent="0.25">
      <c r="F520" s="20">
        <f t="shared" si="12"/>
        <v>0</v>
      </c>
      <c r="G520" s="8" t="str">
        <f t="shared" si="13"/>
        <v xml:space="preserve"> 0</v>
      </c>
    </row>
    <row r="521" spans="6:7" x14ac:dyDescent="0.25">
      <c r="F521" s="20">
        <f t="shared" si="12"/>
        <v>0</v>
      </c>
      <c r="G521" s="8" t="str">
        <f t="shared" si="13"/>
        <v xml:space="preserve"> 0</v>
      </c>
    </row>
    <row r="522" spans="6:7" x14ac:dyDescent="0.25">
      <c r="F522" s="20">
        <f t="shared" si="12"/>
        <v>0</v>
      </c>
      <c r="G522" s="8" t="str">
        <f t="shared" si="13"/>
        <v xml:space="preserve"> 0</v>
      </c>
    </row>
    <row r="523" spans="6:7" x14ac:dyDescent="0.25">
      <c r="F523" s="20">
        <f t="shared" si="12"/>
        <v>0</v>
      </c>
      <c r="G523" s="8" t="str">
        <f t="shared" si="13"/>
        <v xml:space="preserve"> 0</v>
      </c>
    </row>
    <row r="524" spans="6:7" x14ac:dyDescent="0.25">
      <c r="F524" s="20">
        <f t="shared" si="12"/>
        <v>0</v>
      </c>
      <c r="G524" s="8" t="str">
        <f t="shared" si="13"/>
        <v xml:space="preserve"> 0</v>
      </c>
    </row>
    <row r="525" spans="6:7" x14ac:dyDescent="0.25">
      <c r="F525" s="20">
        <f t="shared" si="12"/>
        <v>0</v>
      </c>
      <c r="G525" s="8" t="str">
        <f t="shared" si="13"/>
        <v xml:space="preserve"> 0</v>
      </c>
    </row>
    <row r="526" spans="6:7" x14ac:dyDescent="0.25">
      <c r="F526" s="20">
        <f t="shared" si="12"/>
        <v>0</v>
      </c>
      <c r="G526" s="8" t="str">
        <f t="shared" si="13"/>
        <v xml:space="preserve"> 0</v>
      </c>
    </row>
    <row r="527" spans="6:7" x14ac:dyDescent="0.25">
      <c r="F527" s="20">
        <f t="shared" si="12"/>
        <v>0</v>
      </c>
      <c r="G527" s="8" t="str">
        <f t="shared" si="13"/>
        <v xml:space="preserve"> 0</v>
      </c>
    </row>
    <row r="528" spans="6:7" x14ac:dyDescent="0.25">
      <c r="F528" s="20">
        <f t="shared" si="12"/>
        <v>0</v>
      </c>
      <c r="G528" s="8" t="str">
        <f t="shared" si="13"/>
        <v xml:space="preserve"> 0</v>
      </c>
    </row>
    <row r="529" spans="6:7" x14ac:dyDescent="0.25">
      <c r="F529" s="20">
        <f t="shared" si="12"/>
        <v>0</v>
      </c>
      <c r="G529" s="8" t="str">
        <f t="shared" si="13"/>
        <v xml:space="preserve"> 0</v>
      </c>
    </row>
    <row r="530" spans="6:7" x14ac:dyDescent="0.25">
      <c r="F530" s="20">
        <f t="shared" si="12"/>
        <v>0</v>
      </c>
      <c r="G530" s="8" t="str">
        <f t="shared" si="13"/>
        <v xml:space="preserve"> 0</v>
      </c>
    </row>
    <row r="531" spans="6:7" x14ac:dyDescent="0.25">
      <c r="F531" s="20">
        <f t="shared" si="12"/>
        <v>0</v>
      </c>
      <c r="G531" s="8" t="str">
        <f t="shared" si="13"/>
        <v xml:space="preserve"> 0</v>
      </c>
    </row>
    <row r="532" spans="6:7" x14ac:dyDescent="0.25">
      <c r="F532" s="20">
        <f t="shared" si="12"/>
        <v>0</v>
      </c>
      <c r="G532" s="8" t="str">
        <f t="shared" si="13"/>
        <v xml:space="preserve"> 0</v>
      </c>
    </row>
    <row r="533" spans="6:7" x14ac:dyDescent="0.25">
      <c r="F533" s="20">
        <f t="shared" si="12"/>
        <v>0</v>
      </c>
      <c r="G533" s="8" t="str">
        <f t="shared" si="13"/>
        <v xml:space="preserve"> 0</v>
      </c>
    </row>
    <row r="534" spans="6:7" x14ac:dyDescent="0.25">
      <c r="F534" s="20">
        <f t="shared" si="12"/>
        <v>0</v>
      </c>
      <c r="G534" s="8" t="str">
        <f t="shared" si="13"/>
        <v xml:space="preserve"> 0</v>
      </c>
    </row>
    <row r="535" spans="6:7" x14ac:dyDescent="0.25">
      <c r="F535" s="20">
        <f t="shared" si="12"/>
        <v>0</v>
      </c>
      <c r="G535" s="8" t="str">
        <f t="shared" si="13"/>
        <v xml:space="preserve"> 0</v>
      </c>
    </row>
    <row r="536" spans="6:7" x14ac:dyDescent="0.25">
      <c r="F536" s="20">
        <f t="shared" si="12"/>
        <v>0</v>
      </c>
      <c r="G536" s="8" t="str">
        <f t="shared" si="13"/>
        <v xml:space="preserve"> 0</v>
      </c>
    </row>
    <row r="537" spans="6:7" x14ac:dyDescent="0.25">
      <c r="F537" s="20">
        <f t="shared" si="12"/>
        <v>0</v>
      </c>
      <c r="G537" s="8" t="str">
        <f t="shared" si="13"/>
        <v xml:space="preserve"> 0</v>
      </c>
    </row>
    <row r="538" spans="6:7" x14ac:dyDescent="0.25">
      <c r="F538" s="20">
        <f t="shared" ref="F538:F543" si="14">B538</f>
        <v>0</v>
      </c>
      <c r="G538" s="8" t="str">
        <f t="shared" si="13"/>
        <v xml:space="preserve"> 0</v>
      </c>
    </row>
    <row r="539" spans="6:7" x14ac:dyDescent="0.25">
      <c r="F539" s="20">
        <f t="shared" si="14"/>
        <v>0</v>
      </c>
      <c r="G539" s="8" t="str">
        <f t="shared" si="13"/>
        <v xml:space="preserve"> 0</v>
      </c>
    </row>
    <row r="540" spans="6:7" x14ac:dyDescent="0.25">
      <c r="F540" s="20">
        <f t="shared" si="14"/>
        <v>0</v>
      </c>
      <c r="G540" s="8" t="str">
        <f t="shared" si="13"/>
        <v xml:space="preserve"> 0</v>
      </c>
    </row>
    <row r="541" spans="6:7" x14ac:dyDescent="0.25">
      <c r="F541" s="20">
        <f t="shared" si="14"/>
        <v>0</v>
      </c>
      <c r="G541" s="8" t="str">
        <f t="shared" si="13"/>
        <v xml:space="preserve"> 0</v>
      </c>
    </row>
    <row r="542" spans="6:7" x14ac:dyDescent="0.25">
      <c r="F542" s="20">
        <f t="shared" si="14"/>
        <v>0</v>
      </c>
      <c r="G542" s="8" t="str">
        <f t="shared" si="13"/>
        <v xml:space="preserve"> 0</v>
      </c>
    </row>
    <row r="543" spans="6:7" x14ac:dyDescent="0.25">
      <c r="F543" s="20">
        <f t="shared" si="14"/>
        <v>0</v>
      </c>
      <c r="G543" s="8" t="str">
        <f t="shared" si="13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Q29"/>
    </sheetView>
  </sheetViews>
  <sheetFormatPr defaultRowHeight="15" x14ac:dyDescent="0.25"/>
  <cols>
    <col min="1" max="1" width="22.5703125" style="153" customWidth="1"/>
    <col min="2" max="2" width="8.42578125" style="153" bestFit="1" customWidth="1"/>
    <col min="3" max="3" width="12.5703125" style="153" bestFit="1" customWidth="1"/>
    <col min="4" max="4" width="18.5703125" style="142" bestFit="1" customWidth="1"/>
    <col min="5" max="5" width="9.85546875" style="153" bestFit="1" customWidth="1"/>
    <col min="6" max="6" width="9" style="153" bestFit="1" customWidth="1"/>
    <col min="7" max="7" width="8.85546875" style="153" bestFit="1" customWidth="1"/>
    <col min="8" max="8" width="14" style="153" bestFit="1" customWidth="1"/>
    <col min="9" max="9" width="21.140625" style="153" bestFit="1" customWidth="1"/>
    <col min="10" max="10" width="8.7109375" style="153" bestFit="1" customWidth="1"/>
    <col min="11" max="11" width="11.28515625" style="153" bestFit="1" customWidth="1"/>
    <col min="12" max="12" width="11" style="153" bestFit="1" customWidth="1"/>
    <col min="13" max="13" width="11.28515625" style="153" bestFit="1" customWidth="1"/>
    <col min="14" max="14" width="13.7109375" style="153" bestFit="1" customWidth="1"/>
    <col min="15" max="15" width="14.85546875" style="153" bestFit="1" customWidth="1"/>
    <col min="16" max="16" width="16.7109375" style="153" bestFit="1" customWidth="1"/>
    <col min="17" max="17" width="9.42578125" style="122" bestFit="1" customWidth="1"/>
    <col min="18" max="16384" width="9.140625" style="122"/>
  </cols>
  <sheetData>
    <row r="1" spans="1:18" s="123" customFormat="1" x14ac:dyDescent="0.25">
      <c r="A1" s="166" t="s">
        <v>162</v>
      </c>
      <c r="B1" s="166" t="s">
        <v>165</v>
      </c>
      <c r="C1" s="166" t="s">
        <v>158</v>
      </c>
      <c r="D1" s="148" t="s">
        <v>170</v>
      </c>
      <c r="E1" s="166" t="s">
        <v>159</v>
      </c>
      <c r="F1" s="166" t="s">
        <v>157</v>
      </c>
      <c r="G1" s="166" t="s">
        <v>155</v>
      </c>
      <c r="H1" s="166" t="s">
        <v>168</v>
      </c>
      <c r="I1" s="166" t="s">
        <v>169</v>
      </c>
      <c r="J1" s="166" t="s">
        <v>405</v>
      </c>
      <c r="K1" s="166" t="s">
        <v>163</v>
      </c>
      <c r="L1" s="166" t="s">
        <v>161</v>
      </c>
      <c r="M1" s="166" t="s">
        <v>156</v>
      </c>
      <c r="N1" s="166" t="s">
        <v>166</v>
      </c>
      <c r="O1" s="166" t="s">
        <v>160</v>
      </c>
      <c r="P1" s="166" t="s">
        <v>167</v>
      </c>
      <c r="Q1" s="166" t="s">
        <v>164</v>
      </c>
      <c r="R1"/>
    </row>
    <row r="2" spans="1:18" x14ac:dyDescent="0.25">
      <c r="A2" s="167">
        <v>45.86</v>
      </c>
      <c r="B2" s="167">
        <v>0.55000000000000004</v>
      </c>
      <c r="C2" s="167">
        <v>29.39</v>
      </c>
      <c r="D2" s="8">
        <v>42786</v>
      </c>
      <c r="E2" s="167">
        <v>0.5</v>
      </c>
      <c r="F2" s="167" t="s">
        <v>406</v>
      </c>
      <c r="G2" s="167">
        <v>305.07</v>
      </c>
      <c r="H2" s="167">
        <v>5.5999999999999999E-3</v>
      </c>
      <c r="I2" s="167">
        <v>0.25</v>
      </c>
      <c r="J2" s="167" t="s">
        <v>406</v>
      </c>
      <c r="K2" s="167">
        <v>1007.89</v>
      </c>
      <c r="L2" s="167" t="s">
        <v>407</v>
      </c>
      <c r="M2" s="167">
        <v>46.82</v>
      </c>
      <c r="N2" s="167">
        <v>1487574000</v>
      </c>
      <c r="O2" s="167">
        <v>4.0199999999999996</v>
      </c>
      <c r="P2" s="167">
        <v>295</v>
      </c>
      <c r="Q2" s="167">
        <v>3.23</v>
      </c>
      <c r="R2"/>
    </row>
    <row r="3" spans="1:18" x14ac:dyDescent="0.25">
      <c r="A3" s="167">
        <v>44.06</v>
      </c>
      <c r="B3" s="167">
        <v>0.46</v>
      </c>
      <c r="C3" s="167">
        <v>29.02</v>
      </c>
      <c r="D3" s="8">
        <v>42786.041666666664</v>
      </c>
      <c r="E3" s="167">
        <v>0.51</v>
      </c>
      <c r="F3" s="167" t="s">
        <v>249</v>
      </c>
      <c r="G3" s="167">
        <v>303.5</v>
      </c>
      <c r="H3" s="167">
        <v>3.5999999999999999E-3</v>
      </c>
      <c r="I3" s="167">
        <v>0.13</v>
      </c>
      <c r="J3" s="167" t="s">
        <v>406</v>
      </c>
      <c r="K3" s="167">
        <v>1009.56</v>
      </c>
      <c r="L3" s="167" t="s">
        <v>250</v>
      </c>
      <c r="M3" s="167">
        <v>46.38</v>
      </c>
      <c r="N3" s="167">
        <v>1487577600</v>
      </c>
      <c r="O3" s="167">
        <v>10</v>
      </c>
      <c r="P3" s="167">
        <v>291</v>
      </c>
      <c r="Q3" s="167">
        <v>4.8499999999999996</v>
      </c>
      <c r="R3"/>
    </row>
    <row r="4" spans="1:18" x14ac:dyDescent="0.25">
      <c r="A4" s="167">
        <v>42.57</v>
      </c>
      <c r="B4" s="167">
        <v>0.37</v>
      </c>
      <c r="C4" s="167">
        <v>27.62</v>
      </c>
      <c r="D4" s="8">
        <v>42786.083333333336</v>
      </c>
      <c r="E4" s="167">
        <v>0.51</v>
      </c>
      <c r="F4" s="167" t="s">
        <v>249</v>
      </c>
      <c r="G4" s="167">
        <v>301.92</v>
      </c>
      <c r="H4" s="167">
        <v>1.6999999999999999E-3</v>
      </c>
      <c r="I4" s="167">
        <v>0.04</v>
      </c>
      <c r="J4" s="167" t="s">
        <v>406</v>
      </c>
      <c r="K4" s="167">
        <v>1010.98</v>
      </c>
      <c r="L4" s="167" t="s">
        <v>250</v>
      </c>
      <c r="M4" s="167">
        <v>44.83</v>
      </c>
      <c r="N4" s="167">
        <v>1487581200</v>
      </c>
      <c r="O4" s="167">
        <v>10</v>
      </c>
      <c r="P4" s="167">
        <v>286</v>
      </c>
      <c r="Q4" s="167">
        <v>4.42</v>
      </c>
      <c r="R4"/>
    </row>
    <row r="5" spans="1:18" x14ac:dyDescent="0.25">
      <c r="A5" s="167">
        <v>40.450000000000003</v>
      </c>
      <c r="B5" s="167">
        <v>0.27</v>
      </c>
      <c r="C5" s="167">
        <v>25.07</v>
      </c>
      <c r="D5" s="8">
        <v>42786.125</v>
      </c>
      <c r="E5" s="167">
        <v>0.49</v>
      </c>
      <c r="F5" s="167" t="s">
        <v>249</v>
      </c>
      <c r="G5" s="167">
        <v>299.33999999999997</v>
      </c>
      <c r="H5" s="167">
        <v>8.9999999999999998E-4</v>
      </c>
      <c r="I5" s="167">
        <v>0.01</v>
      </c>
      <c r="J5" s="167" t="s">
        <v>406</v>
      </c>
      <c r="K5" s="167">
        <v>1012.1</v>
      </c>
      <c r="L5" s="167" t="s">
        <v>250</v>
      </c>
      <c r="M5" s="167">
        <v>42.85</v>
      </c>
      <c r="N5" s="167">
        <v>1487584800</v>
      </c>
      <c r="O5" s="167">
        <v>10</v>
      </c>
      <c r="P5" s="167">
        <v>280</v>
      </c>
      <c r="Q5" s="167">
        <v>4.1900000000000004</v>
      </c>
      <c r="R5"/>
    </row>
    <row r="6" spans="1:18" x14ac:dyDescent="0.25">
      <c r="A6" s="167">
        <v>38.28</v>
      </c>
      <c r="B6" s="167">
        <v>0.21</v>
      </c>
      <c r="C6" s="167">
        <v>21.95</v>
      </c>
      <c r="D6" s="8">
        <v>42786.166666666664</v>
      </c>
      <c r="E6" s="167">
        <v>0.46</v>
      </c>
      <c r="F6" s="167" t="s">
        <v>698</v>
      </c>
      <c r="G6" s="167">
        <v>296.36</v>
      </c>
      <c r="H6" s="167">
        <v>0</v>
      </c>
      <c r="I6" s="167">
        <v>0</v>
      </c>
      <c r="J6" s="167"/>
      <c r="K6" s="167">
        <v>1013.24</v>
      </c>
      <c r="L6" s="167" t="s">
        <v>330</v>
      </c>
      <c r="M6" s="167">
        <v>40.97</v>
      </c>
      <c r="N6" s="167">
        <v>1487588400</v>
      </c>
      <c r="O6" s="167">
        <v>10</v>
      </c>
      <c r="P6" s="167">
        <v>275</v>
      </c>
      <c r="Q6" s="167">
        <v>4.18</v>
      </c>
      <c r="R6"/>
    </row>
    <row r="7" spans="1:18" x14ac:dyDescent="0.25">
      <c r="A7" s="167">
        <v>39.06</v>
      </c>
      <c r="B7" s="167">
        <v>0.16</v>
      </c>
      <c r="C7" s="167">
        <v>18.440000000000001</v>
      </c>
      <c r="D7" s="8">
        <v>42786.208333333336</v>
      </c>
      <c r="E7" s="167">
        <v>0.39</v>
      </c>
      <c r="F7" s="167" t="s">
        <v>698</v>
      </c>
      <c r="G7" s="167">
        <v>293.66000000000003</v>
      </c>
      <c r="H7" s="167">
        <v>0</v>
      </c>
      <c r="I7" s="167">
        <v>0</v>
      </c>
      <c r="J7" s="167"/>
      <c r="K7" s="167">
        <v>1014.3</v>
      </c>
      <c r="L7" s="167" t="s">
        <v>330</v>
      </c>
      <c r="M7" s="167">
        <v>41.84</v>
      </c>
      <c r="N7" s="167">
        <v>1487592000</v>
      </c>
      <c r="O7" s="167">
        <v>10</v>
      </c>
      <c r="P7" s="167">
        <v>262</v>
      </c>
      <c r="Q7" s="167">
        <v>4.46</v>
      </c>
      <c r="R7"/>
    </row>
    <row r="8" spans="1:18" x14ac:dyDescent="0.25">
      <c r="A8" s="167">
        <v>37.47</v>
      </c>
      <c r="B8" s="167">
        <v>0.14000000000000001</v>
      </c>
      <c r="C8" s="167">
        <v>15.92</v>
      </c>
      <c r="D8" s="8">
        <v>42786.25</v>
      </c>
      <c r="E8" s="167">
        <v>0.36</v>
      </c>
      <c r="F8" s="167" t="s">
        <v>698</v>
      </c>
      <c r="G8" s="167">
        <v>291.58999999999997</v>
      </c>
      <c r="H8" s="167">
        <v>0</v>
      </c>
      <c r="I8" s="167">
        <v>0</v>
      </c>
      <c r="J8" s="167"/>
      <c r="K8" s="167">
        <v>1015.08</v>
      </c>
      <c r="L8" s="167" t="s">
        <v>330</v>
      </c>
      <c r="M8" s="167">
        <v>40.75</v>
      </c>
      <c r="N8" s="167">
        <v>1487595600</v>
      </c>
      <c r="O8" s="167">
        <v>4.88</v>
      </c>
      <c r="P8" s="167">
        <v>279</v>
      </c>
      <c r="Q8" s="167">
        <v>4.8499999999999996</v>
      </c>
      <c r="R8"/>
    </row>
    <row r="9" spans="1:18" x14ac:dyDescent="0.25">
      <c r="A9" s="167">
        <v>39.94</v>
      </c>
      <c r="B9" s="167">
        <v>0.14000000000000001</v>
      </c>
      <c r="C9" s="167">
        <v>18.09</v>
      </c>
      <c r="D9" s="8">
        <v>42786.291666666664</v>
      </c>
      <c r="E9" s="167">
        <v>0.37</v>
      </c>
      <c r="F9" s="167" t="s">
        <v>331</v>
      </c>
      <c r="G9" s="167">
        <v>289.79000000000002</v>
      </c>
      <c r="H9" s="167">
        <v>0</v>
      </c>
      <c r="I9" s="167">
        <v>0</v>
      </c>
      <c r="J9" s="167"/>
      <c r="K9" s="167">
        <v>1015.67</v>
      </c>
      <c r="L9" s="167" t="s">
        <v>330</v>
      </c>
      <c r="M9" s="167">
        <v>42.25</v>
      </c>
      <c r="N9" s="167">
        <v>1487599200</v>
      </c>
      <c r="O9" s="167">
        <v>10</v>
      </c>
      <c r="P9" s="167">
        <v>290</v>
      </c>
      <c r="Q9" s="167">
        <v>3.97</v>
      </c>
      <c r="R9"/>
    </row>
    <row r="10" spans="1:18" x14ac:dyDescent="0.25">
      <c r="A10" s="167">
        <v>41.33</v>
      </c>
      <c r="B10" s="167">
        <v>0.12</v>
      </c>
      <c r="C10" s="167">
        <v>18.73</v>
      </c>
      <c r="D10" s="8">
        <v>42786.333333333336</v>
      </c>
      <c r="E10" s="167">
        <v>0.37</v>
      </c>
      <c r="F10" s="167" t="s">
        <v>331</v>
      </c>
      <c r="G10" s="167">
        <v>287.91000000000003</v>
      </c>
      <c r="H10" s="167">
        <v>0</v>
      </c>
      <c r="I10" s="167">
        <v>0</v>
      </c>
      <c r="J10" s="167"/>
      <c r="K10" s="167">
        <v>1015.92</v>
      </c>
      <c r="L10" s="167" t="s">
        <v>330</v>
      </c>
      <c r="M10" s="167">
        <v>43.01</v>
      </c>
      <c r="N10" s="167">
        <v>1487602800</v>
      </c>
      <c r="O10" s="167">
        <v>3.2</v>
      </c>
      <c r="P10" s="167">
        <v>297</v>
      </c>
      <c r="Q10" s="167">
        <v>3.42</v>
      </c>
      <c r="R10"/>
    </row>
    <row r="11" spans="1:18" x14ac:dyDescent="0.25">
      <c r="A11" s="167">
        <v>46.81</v>
      </c>
      <c r="B11" s="167">
        <v>0.16</v>
      </c>
      <c r="C11" s="167">
        <v>20.02</v>
      </c>
      <c r="D11" s="8">
        <v>42786.375</v>
      </c>
      <c r="E11" s="167">
        <v>0.33</v>
      </c>
      <c r="F11" s="167" t="s">
        <v>331</v>
      </c>
      <c r="G11" s="167">
        <v>285.74</v>
      </c>
      <c r="H11" s="167">
        <v>0</v>
      </c>
      <c r="I11" s="167">
        <v>0</v>
      </c>
      <c r="J11" s="167"/>
      <c r="K11" s="167">
        <v>1015.63</v>
      </c>
      <c r="L11" s="167" t="s">
        <v>330</v>
      </c>
      <c r="M11" s="167">
        <v>47.55</v>
      </c>
      <c r="N11" s="167">
        <v>1487606400</v>
      </c>
      <c r="O11" s="167">
        <v>10</v>
      </c>
      <c r="P11" s="167">
        <v>259</v>
      </c>
      <c r="Q11" s="167">
        <v>3.1</v>
      </c>
      <c r="R11"/>
    </row>
    <row r="12" spans="1:18" x14ac:dyDescent="0.25">
      <c r="A12" s="167">
        <v>50.89</v>
      </c>
      <c r="B12" s="167">
        <v>0.14000000000000001</v>
      </c>
      <c r="C12" s="167">
        <v>20</v>
      </c>
      <c r="D12" s="8">
        <v>42786.416666666664</v>
      </c>
      <c r="E12" s="167">
        <v>0.28999999999999998</v>
      </c>
      <c r="F12" s="167" t="s">
        <v>331</v>
      </c>
      <c r="G12" s="167">
        <v>283.49</v>
      </c>
      <c r="H12" s="167">
        <v>0</v>
      </c>
      <c r="I12" s="167">
        <v>0</v>
      </c>
      <c r="J12" s="167"/>
      <c r="K12" s="167">
        <v>1015</v>
      </c>
      <c r="L12" s="167" t="s">
        <v>330</v>
      </c>
      <c r="M12" s="167">
        <v>50.89</v>
      </c>
      <c r="N12" s="167">
        <v>1487610000</v>
      </c>
      <c r="O12" s="167">
        <v>3.03</v>
      </c>
      <c r="P12" s="167">
        <v>347</v>
      </c>
      <c r="Q12" s="167">
        <v>2.39</v>
      </c>
      <c r="R12"/>
    </row>
    <row r="13" spans="1:18" x14ac:dyDescent="0.25">
      <c r="A13" s="167">
        <v>54.14</v>
      </c>
      <c r="B13" s="167">
        <v>0.18</v>
      </c>
      <c r="C13" s="167">
        <v>17.13</v>
      </c>
      <c r="D13" s="8">
        <v>42786.458333333336</v>
      </c>
      <c r="E13" s="167">
        <v>0.23</v>
      </c>
      <c r="F13" s="167" t="s">
        <v>331</v>
      </c>
      <c r="G13" s="167">
        <v>281.45</v>
      </c>
      <c r="H13" s="167">
        <v>0</v>
      </c>
      <c r="I13" s="167">
        <v>0</v>
      </c>
      <c r="J13" s="167"/>
      <c r="K13" s="167">
        <v>1014.36</v>
      </c>
      <c r="L13" s="167" t="s">
        <v>330</v>
      </c>
      <c r="M13" s="167">
        <v>54.14</v>
      </c>
      <c r="N13" s="167">
        <v>1487613600</v>
      </c>
      <c r="O13" s="167">
        <v>3.04</v>
      </c>
      <c r="P13" s="167">
        <v>341</v>
      </c>
      <c r="Q13" s="167">
        <v>3.1</v>
      </c>
      <c r="R13"/>
    </row>
    <row r="14" spans="1:18" x14ac:dyDescent="0.25">
      <c r="A14" s="167">
        <v>56.98</v>
      </c>
      <c r="B14" s="167">
        <v>0.18</v>
      </c>
      <c r="C14" s="167">
        <v>17.39</v>
      </c>
      <c r="D14" s="8">
        <v>42786.5</v>
      </c>
      <c r="E14" s="167">
        <v>0.21</v>
      </c>
      <c r="F14" s="167" t="s">
        <v>331</v>
      </c>
      <c r="G14" s="167">
        <v>279.93</v>
      </c>
      <c r="H14" s="167">
        <v>0</v>
      </c>
      <c r="I14" s="167">
        <v>0</v>
      </c>
      <c r="J14" s="167"/>
      <c r="K14" s="167">
        <v>1014.07</v>
      </c>
      <c r="L14" s="167" t="s">
        <v>330</v>
      </c>
      <c r="M14" s="167">
        <v>56.98</v>
      </c>
      <c r="N14" s="167">
        <v>1487617200</v>
      </c>
      <c r="O14" s="167">
        <v>3.04</v>
      </c>
      <c r="P14" s="167">
        <v>304</v>
      </c>
      <c r="Q14" s="167">
        <v>1.06</v>
      </c>
      <c r="R14"/>
    </row>
    <row r="15" spans="1:18" x14ac:dyDescent="0.25">
      <c r="A15" s="167">
        <v>59.89</v>
      </c>
      <c r="B15" s="167">
        <v>0.18</v>
      </c>
      <c r="C15" s="167">
        <v>18.21</v>
      </c>
      <c r="D15" s="8">
        <v>42786.541666666664</v>
      </c>
      <c r="E15" s="167">
        <v>0.2</v>
      </c>
      <c r="F15" s="167" t="s">
        <v>331</v>
      </c>
      <c r="G15" s="167">
        <v>278.62</v>
      </c>
      <c r="H15" s="167">
        <v>0</v>
      </c>
      <c r="I15" s="167">
        <v>0</v>
      </c>
      <c r="J15" s="167"/>
      <c r="K15" s="167">
        <v>1013.86</v>
      </c>
      <c r="L15" s="167" t="s">
        <v>330</v>
      </c>
      <c r="M15" s="167">
        <v>59.89</v>
      </c>
      <c r="N15" s="167">
        <v>1487620800</v>
      </c>
      <c r="O15" s="167">
        <v>3.03</v>
      </c>
      <c r="P15" s="167">
        <v>291</v>
      </c>
      <c r="Q15" s="167">
        <v>2.1800000000000002</v>
      </c>
      <c r="R15"/>
    </row>
    <row r="16" spans="1:18" x14ac:dyDescent="0.25">
      <c r="A16" s="167">
        <v>61.69</v>
      </c>
      <c r="B16" s="167">
        <v>0.21</v>
      </c>
      <c r="C16" s="167">
        <v>16.239999999999998</v>
      </c>
      <c r="D16" s="8">
        <v>42786.583333333336</v>
      </c>
      <c r="E16" s="167">
        <v>0.17</v>
      </c>
      <c r="F16" s="167" t="s">
        <v>331</v>
      </c>
      <c r="G16" s="167">
        <v>276.86</v>
      </c>
      <c r="H16" s="167">
        <v>0</v>
      </c>
      <c r="I16" s="167">
        <v>0</v>
      </c>
      <c r="J16" s="167"/>
      <c r="K16" s="167">
        <v>1013.64</v>
      </c>
      <c r="L16" s="167" t="s">
        <v>330</v>
      </c>
      <c r="M16" s="167">
        <v>61.69</v>
      </c>
      <c r="N16" s="167">
        <v>1487624400</v>
      </c>
      <c r="O16" s="167">
        <v>3.03</v>
      </c>
      <c r="P16" s="167">
        <v>327</v>
      </c>
      <c r="Q16" s="167">
        <v>3.72</v>
      </c>
      <c r="R16"/>
    </row>
    <row r="17" spans="1:18" x14ac:dyDescent="0.25">
      <c r="A17" s="167">
        <v>62.3</v>
      </c>
      <c r="B17" s="167">
        <v>0.21</v>
      </c>
      <c r="C17" s="167">
        <v>17.09</v>
      </c>
      <c r="D17" s="8">
        <v>42786.625</v>
      </c>
      <c r="E17" s="167">
        <v>0.17</v>
      </c>
      <c r="F17" s="167" t="s">
        <v>331</v>
      </c>
      <c r="G17" s="167">
        <v>273.95999999999998</v>
      </c>
      <c r="H17" s="167">
        <v>0</v>
      </c>
      <c r="I17" s="167">
        <v>0</v>
      </c>
      <c r="J17" s="167"/>
      <c r="K17" s="167">
        <v>1013.42</v>
      </c>
      <c r="L17" s="167" t="s">
        <v>330</v>
      </c>
      <c r="M17" s="167">
        <v>62.3</v>
      </c>
      <c r="N17" s="167">
        <v>1487628000</v>
      </c>
      <c r="O17" s="167">
        <v>3.08</v>
      </c>
      <c r="P17" s="167">
        <v>313</v>
      </c>
      <c r="Q17" s="167">
        <v>5.55</v>
      </c>
      <c r="R17"/>
    </row>
    <row r="18" spans="1:18" x14ac:dyDescent="0.25">
      <c r="A18" s="167">
        <v>62.27</v>
      </c>
      <c r="B18" s="167">
        <v>0.21</v>
      </c>
      <c r="C18" s="167">
        <v>17.82</v>
      </c>
      <c r="D18" s="8">
        <v>42786.666666666664</v>
      </c>
      <c r="E18" s="167">
        <v>0.18</v>
      </c>
      <c r="F18" s="167" t="s">
        <v>331</v>
      </c>
      <c r="G18" s="167">
        <v>270.60000000000002</v>
      </c>
      <c r="H18" s="167">
        <v>0</v>
      </c>
      <c r="I18" s="167">
        <v>0</v>
      </c>
      <c r="J18" s="167"/>
      <c r="K18" s="167">
        <v>1013.29</v>
      </c>
      <c r="L18" s="167" t="s">
        <v>330</v>
      </c>
      <c r="M18" s="167">
        <v>62.27</v>
      </c>
      <c r="N18" s="167">
        <v>1487631600</v>
      </c>
      <c r="O18" s="167">
        <v>5.51</v>
      </c>
      <c r="P18" s="167">
        <v>316</v>
      </c>
      <c r="Q18" s="167">
        <v>6.35</v>
      </c>
      <c r="R18"/>
    </row>
    <row r="19" spans="1:18" x14ac:dyDescent="0.25">
      <c r="A19" s="167">
        <v>59.7</v>
      </c>
      <c r="B19" s="167">
        <v>0.16</v>
      </c>
      <c r="C19" s="167">
        <v>16.57</v>
      </c>
      <c r="D19" s="8">
        <v>42786.708333333336</v>
      </c>
      <c r="E19" s="167">
        <v>0.18</v>
      </c>
      <c r="F19" s="167" t="s">
        <v>331</v>
      </c>
      <c r="G19" s="167">
        <v>268.27</v>
      </c>
      <c r="H19" s="167">
        <v>0</v>
      </c>
      <c r="I19" s="167">
        <v>0</v>
      </c>
      <c r="J19" s="167"/>
      <c r="K19" s="167">
        <v>1013.43</v>
      </c>
      <c r="L19" s="167" t="s">
        <v>330</v>
      </c>
      <c r="M19" s="167">
        <v>59.7</v>
      </c>
      <c r="N19" s="167">
        <v>1487635200</v>
      </c>
      <c r="O19" s="167">
        <v>6</v>
      </c>
      <c r="P19" s="167">
        <v>302</v>
      </c>
      <c r="Q19" s="167">
        <v>5.62</v>
      </c>
      <c r="R19"/>
    </row>
    <row r="20" spans="1:18" x14ac:dyDescent="0.25">
      <c r="A20" s="167">
        <v>55.53</v>
      </c>
      <c r="B20" s="167">
        <v>0.09</v>
      </c>
      <c r="C20" s="167">
        <v>14.25</v>
      </c>
      <c r="D20" s="8">
        <v>42786.75</v>
      </c>
      <c r="E20" s="167">
        <v>0.19</v>
      </c>
      <c r="F20" s="167" t="s">
        <v>698</v>
      </c>
      <c r="G20" s="167">
        <v>267.75</v>
      </c>
      <c r="H20" s="167">
        <v>0</v>
      </c>
      <c r="I20" s="167">
        <v>0</v>
      </c>
      <c r="J20" s="167"/>
      <c r="K20" s="167">
        <v>1013.55</v>
      </c>
      <c r="L20" s="167" t="s">
        <v>330</v>
      </c>
      <c r="M20" s="167">
        <v>55.53</v>
      </c>
      <c r="N20" s="167">
        <v>1487638800</v>
      </c>
      <c r="O20" s="167">
        <v>6.67</v>
      </c>
      <c r="P20" s="167">
        <v>285</v>
      </c>
      <c r="Q20" s="167">
        <v>3.78</v>
      </c>
      <c r="R20"/>
    </row>
    <row r="21" spans="1:18" x14ac:dyDescent="0.25">
      <c r="A21" s="167">
        <v>53.41</v>
      </c>
      <c r="B21" s="167">
        <v>0.08</v>
      </c>
      <c r="C21" s="167">
        <v>16.170000000000002</v>
      </c>
      <c r="D21" s="8">
        <v>42786.791666666664</v>
      </c>
      <c r="E21" s="167">
        <v>0.23</v>
      </c>
      <c r="F21" s="167" t="s">
        <v>698</v>
      </c>
      <c r="G21" s="167">
        <v>268.25</v>
      </c>
      <c r="H21" s="167">
        <v>0</v>
      </c>
      <c r="I21" s="167">
        <v>0</v>
      </c>
      <c r="J21" s="167"/>
      <c r="K21" s="167">
        <v>1014.35</v>
      </c>
      <c r="L21" s="167" t="s">
        <v>330</v>
      </c>
      <c r="M21" s="167">
        <v>53.41</v>
      </c>
      <c r="N21" s="167">
        <v>1487642400</v>
      </c>
      <c r="O21" s="167">
        <v>7.53</v>
      </c>
      <c r="P21" s="167">
        <v>262</v>
      </c>
      <c r="Q21" s="167">
        <v>2.96</v>
      </c>
      <c r="R21"/>
    </row>
    <row r="22" spans="1:18" x14ac:dyDescent="0.25">
      <c r="A22" s="167">
        <v>50.79</v>
      </c>
      <c r="B22" s="167">
        <v>0.08</v>
      </c>
      <c r="C22" s="167">
        <v>16.489999999999998</v>
      </c>
      <c r="D22" s="8">
        <v>42786.833333333336</v>
      </c>
      <c r="E22" s="167">
        <v>0.25</v>
      </c>
      <c r="F22" s="167" t="s">
        <v>698</v>
      </c>
      <c r="G22" s="167">
        <v>268.82</v>
      </c>
      <c r="H22" s="167">
        <v>0</v>
      </c>
      <c r="I22" s="167">
        <v>0</v>
      </c>
      <c r="J22" s="167"/>
      <c r="K22" s="167">
        <v>1015.02</v>
      </c>
      <c r="L22" s="167" t="s">
        <v>330</v>
      </c>
      <c r="M22" s="167">
        <v>50.79</v>
      </c>
      <c r="N22" s="167">
        <v>1487646000</v>
      </c>
      <c r="O22" s="167">
        <v>10</v>
      </c>
      <c r="P22" s="167">
        <v>189</v>
      </c>
      <c r="Q22" s="167">
        <v>4.5599999999999996</v>
      </c>
      <c r="R22"/>
    </row>
    <row r="23" spans="1:18" x14ac:dyDescent="0.25">
      <c r="A23" s="167">
        <v>47.64</v>
      </c>
      <c r="B23" s="167">
        <v>0.09</v>
      </c>
      <c r="C23" s="167">
        <v>15.29</v>
      </c>
      <c r="D23" s="8">
        <v>42786.875</v>
      </c>
      <c r="E23" s="167">
        <v>0.27</v>
      </c>
      <c r="F23" s="167" t="s">
        <v>698</v>
      </c>
      <c r="G23" s="167">
        <v>269.19</v>
      </c>
      <c r="H23" s="167">
        <v>0</v>
      </c>
      <c r="I23" s="167">
        <v>0</v>
      </c>
      <c r="J23" s="167"/>
      <c r="K23" s="167">
        <v>1014.99</v>
      </c>
      <c r="L23" s="167" t="s">
        <v>330</v>
      </c>
      <c r="M23" s="167">
        <v>47.64</v>
      </c>
      <c r="N23" s="167">
        <v>1487649600</v>
      </c>
      <c r="O23" s="167">
        <v>5.45</v>
      </c>
      <c r="P23" s="167">
        <v>218</v>
      </c>
      <c r="Q23" s="167">
        <v>1.65</v>
      </c>
      <c r="R23"/>
    </row>
    <row r="24" spans="1:18" x14ac:dyDescent="0.25">
      <c r="A24" s="167">
        <v>43.45</v>
      </c>
      <c r="B24" s="167">
        <v>0.09</v>
      </c>
      <c r="C24" s="167">
        <v>15.17</v>
      </c>
      <c r="D24" s="8">
        <v>42786.916666666664</v>
      </c>
      <c r="E24" s="167">
        <v>0.28999999999999998</v>
      </c>
      <c r="F24" s="167" t="s">
        <v>698</v>
      </c>
      <c r="G24" s="167">
        <v>269.63</v>
      </c>
      <c r="H24" s="167">
        <v>0</v>
      </c>
      <c r="I24" s="167">
        <v>0</v>
      </c>
      <c r="J24" s="167"/>
      <c r="K24" s="167">
        <v>1014.61</v>
      </c>
      <c r="L24" s="167" t="s">
        <v>330</v>
      </c>
      <c r="M24" s="167">
        <v>45.29</v>
      </c>
      <c r="N24" s="167">
        <v>1487653200</v>
      </c>
      <c r="O24" s="167">
        <v>5.35</v>
      </c>
      <c r="P24" s="167">
        <v>226</v>
      </c>
      <c r="Q24" s="167">
        <v>3.97</v>
      </c>
      <c r="R24"/>
    </row>
    <row r="25" spans="1:18" x14ac:dyDescent="0.25">
      <c r="A25" s="167">
        <v>44.69</v>
      </c>
      <c r="B25" s="167">
        <v>0.09</v>
      </c>
      <c r="C25" s="167">
        <v>15.63</v>
      </c>
      <c r="D25" s="8">
        <v>42786.958333333336</v>
      </c>
      <c r="E25" s="167">
        <v>0.31</v>
      </c>
      <c r="F25" s="167" t="s">
        <v>698</v>
      </c>
      <c r="G25" s="167">
        <v>270.02999999999997</v>
      </c>
      <c r="H25" s="167">
        <v>0</v>
      </c>
      <c r="I25" s="167">
        <v>0</v>
      </c>
      <c r="J25" s="167"/>
      <c r="K25" s="167">
        <v>1014.43</v>
      </c>
      <c r="L25" s="167" t="s">
        <v>330</v>
      </c>
      <c r="M25" s="167">
        <v>44.69</v>
      </c>
      <c r="N25" s="167">
        <v>1487656800</v>
      </c>
      <c r="O25" s="167">
        <v>5.58</v>
      </c>
      <c r="P25" s="167">
        <v>224</v>
      </c>
      <c r="Q25" s="167">
        <v>2.66</v>
      </c>
      <c r="R25"/>
    </row>
    <row r="26" spans="1:18" x14ac:dyDescent="0.25">
      <c r="A26" s="167">
        <v>43.08</v>
      </c>
      <c r="B26" s="167">
        <v>0.11</v>
      </c>
      <c r="C26" s="167">
        <v>15.98</v>
      </c>
      <c r="D26" s="8">
        <v>42787</v>
      </c>
      <c r="E26" s="167">
        <v>0.33</v>
      </c>
      <c r="F26" s="167" t="s">
        <v>698</v>
      </c>
      <c r="G26" s="167">
        <v>270.27999999999997</v>
      </c>
      <c r="H26" s="167">
        <v>0</v>
      </c>
      <c r="I26" s="167">
        <v>0</v>
      </c>
      <c r="J26" s="167"/>
      <c r="K26" s="167">
        <v>1015.06</v>
      </c>
      <c r="L26" s="167" t="s">
        <v>330</v>
      </c>
      <c r="M26" s="167">
        <v>43.08</v>
      </c>
      <c r="N26" s="167">
        <v>1487660400</v>
      </c>
      <c r="O26" s="167">
        <v>10</v>
      </c>
      <c r="P26" s="167">
        <v>229</v>
      </c>
      <c r="Q26" s="167">
        <v>2.2400000000000002</v>
      </c>
      <c r="R26"/>
    </row>
    <row r="27" spans="1:18" x14ac:dyDescent="0.25">
      <c r="A27" s="167">
        <v>40.83</v>
      </c>
      <c r="B27" s="167">
        <v>0.11</v>
      </c>
      <c r="C27" s="167">
        <v>15.28</v>
      </c>
      <c r="D27" s="8">
        <v>42787.041666666664</v>
      </c>
      <c r="E27" s="167">
        <v>0.33</v>
      </c>
      <c r="F27" s="167" t="s">
        <v>698</v>
      </c>
      <c r="G27" s="167">
        <v>270.54000000000002</v>
      </c>
      <c r="H27" s="167">
        <v>0</v>
      </c>
      <c r="I27" s="167">
        <v>0</v>
      </c>
      <c r="J27" s="167"/>
      <c r="K27" s="167">
        <v>1015.53</v>
      </c>
      <c r="L27" s="167" t="s">
        <v>330</v>
      </c>
      <c r="M27" s="167">
        <v>42.2</v>
      </c>
      <c r="N27" s="167">
        <v>1487664000</v>
      </c>
      <c r="O27" s="167">
        <v>5.8</v>
      </c>
      <c r="P27" s="167">
        <v>249</v>
      </c>
      <c r="Q27" s="167">
        <v>3.02</v>
      </c>
      <c r="R27"/>
    </row>
    <row r="28" spans="1:18" x14ac:dyDescent="0.25">
      <c r="A28" s="167">
        <v>43.01</v>
      </c>
      <c r="B28" s="167">
        <v>0.13</v>
      </c>
      <c r="C28" s="167">
        <v>15.95</v>
      </c>
      <c r="D28" s="8">
        <v>42787.083333333336</v>
      </c>
      <c r="E28" s="167">
        <v>0.33</v>
      </c>
      <c r="F28" s="167" t="s">
        <v>698</v>
      </c>
      <c r="G28" s="167">
        <v>270.79000000000002</v>
      </c>
      <c r="H28" s="167">
        <v>0</v>
      </c>
      <c r="I28" s="167">
        <v>0</v>
      </c>
      <c r="J28" s="167"/>
      <c r="K28" s="167">
        <v>1015.96</v>
      </c>
      <c r="L28" s="167" t="s">
        <v>330</v>
      </c>
      <c r="M28" s="167">
        <v>43.01</v>
      </c>
      <c r="N28" s="167">
        <v>1487667600</v>
      </c>
      <c r="O28" s="167">
        <v>3.9</v>
      </c>
      <c r="P28" s="167">
        <v>270</v>
      </c>
      <c r="Q28" s="167">
        <v>2.33</v>
      </c>
      <c r="R28"/>
    </row>
    <row r="29" spans="1:18" x14ac:dyDescent="0.25">
      <c r="A29" s="167">
        <v>37.25</v>
      </c>
      <c r="B29" s="167">
        <v>0.12</v>
      </c>
      <c r="C29" s="167">
        <v>16.010000000000002</v>
      </c>
      <c r="D29" s="8">
        <v>42787.125</v>
      </c>
      <c r="E29" s="167">
        <v>0.36</v>
      </c>
      <c r="F29" s="167" t="s">
        <v>698</v>
      </c>
      <c r="G29" s="167">
        <v>270.58999999999997</v>
      </c>
      <c r="H29" s="167">
        <v>0</v>
      </c>
      <c r="I29" s="167">
        <v>0</v>
      </c>
      <c r="J29" s="167"/>
      <c r="K29" s="167">
        <v>1016.35</v>
      </c>
      <c r="L29" s="167" t="s">
        <v>330</v>
      </c>
      <c r="M29" s="167">
        <v>40.799999999999997</v>
      </c>
      <c r="N29" s="167">
        <v>1487671200</v>
      </c>
      <c r="O29" s="167">
        <v>6.52</v>
      </c>
      <c r="P29" s="167">
        <v>256</v>
      </c>
      <c r="Q29" s="167">
        <v>5.22</v>
      </c>
      <c r="R29"/>
    </row>
    <row r="30" spans="1:18" x14ac:dyDescent="0.25">
      <c r="A30" s="152"/>
      <c r="B30" s="152"/>
      <c r="C30" s="152"/>
      <c r="D30" s="8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</row>
    <row r="31" spans="1:18" x14ac:dyDescent="0.25">
      <c r="A31" s="153" t="s">
        <v>190</v>
      </c>
    </row>
    <row r="33" spans="1:1" x14ac:dyDescent="0.25">
      <c r="A33" s="153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40"/>
  <sheetViews>
    <sheetView workbookViewId="0">
      <selection activeCell="M20" sqref="M20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52" bestFit="1" customWidth="1"/>
    <col min="11" max="11" width="15.28515625" style="152" hidden="1" customWidth="1"/>
    <col min="12" max="12" width="13.5703125" style="152" hidden="1" customWidth="1"/>
    <col min="13" max="13" width="9" style="152" bestFit="1" customWidth="1"/>
    <col min="14" max="17" width="9.140625" style="152"/>
  </cols>
  <sheetData>
    <row r="1" spans="1:16" ht="45.75" x14ac:dyDescent="0.3">
      <c r="A1" s="11" t="s">
        <v>25</v>
      </c>
      <c r="C1" s="131" t="s">
        <v>99</v>
      </c>
      <c r="D1" s="132" t="s">
        <v>100</v>
      </c>
      <c r="J1" s="158" t="s">
        <v>101</v>
      </c>
      <c r="K1" s="158" t="s">
        <v>66</v>
      </c>
      <c r="L1" s="158" t="s">
        <v>67</v>
      </c>
      <c r="O1" s="159" t="s">
        <v>102</v>
      </c>
    </row>
    <row r="2" spans="1:16" ht="15.75" thickBot="1" x14ac:dyDescent="0.3">
      <c r="A2" s="12">
        <v>42786</v>
      </c>
      <c r="B2" s="4"/>
      <c r="C2" s="133">
        <v>50</v>
      </c>
      <c r="D2" s="134">
        <v>25</v>
      </c>
      <c r="F2" t="s">
        <v>113</v>
      </c>
      <c r="J2" s="158"/>
      <c r="K2" s="158" t="s">
        <v>66</v>
      </c>
      <c r="L2" s="158" t="s">
        <v>67</v>
      </c>
    </row>
    <row r="3" spans="1:16" x14ac:dyDescent="0.25">
      <c r="C3" s="64"/>
      <c r="F3" t="s">
        <v>52</v>
      </c>
      <c r="J3" s="160" t="s">
        <v>68</v>
      </c>
      <c r="K3" s="161">
        <v>2.7052</v>
      </c>
      <c r="L3" s="161">
        <v>2.7349999999999999</v>
      </c>
      <c r="M3" s="152">
        <f t="shared" ref="M3:M14" si="0">AVERAGE(K3:L3)</f>
        <v>2.7201</v>
      </c>
      <c r="O3" s="152" t="s">
        <v>103</v>
      </c>
      <c r="P3" s="152">
        <f>AVERAGE(1.0714,1.1016)</f>
        <v>1.0865</v>
      </c>
    </row>
    <row r="4" spans="1:16" ht="45" x14ac:dyDescent="0.25">
      <c r="C4" s="131" t="s">
        <v>99</v>
      </c>
      <c r="D4" s="132" t="s">
        <v>100</v>
      </c>
      <c r="F4" t="s">
        <v>53</v>
      </c>
      <c r="J4" s="160" t="s">
        <v>69</v>
      </c>
      <c r="K4" s="161">
        <v>3.0830000000000002</v>
      </c>
      <c r="L4" s="161">
        <v>3.097</v>
      </c>
      <c r="M4" s="152">
        <f t="shared" si="0"/>
        <v>3.09</v>
      </c>
    </row>
    <row r="5" spans="1:16" x14ac:dyDescent="0.25">
      <c r="C5" s="64">
        <v>30</v>
      </c>
      <c r="D5" s="64">
        <v>9</v>
      </c>
      <c r="J5" s="160" t="s">
        <v>70</v>
      </c>
      <c r="K5" s="161">
        <v>3.3136000000000001</v>
      </c>
      <c r="L5" s="161">
        <v>3.3256999999999999</v>
      </c>
      <c r="M5" s="152">
        <f t="shared" si="0"/>
        <v>3.3196500000000002</v>
      </c>
    </row>
    <row r="6" spans="1:16" x14ac:dyDescent="0.25">
      <c r="C6" s="64"/>
      <c r="F6" t="s">
        <v>114</v>
      </c>
      <c r="J6" s="160" t="s">
        <v>71</v>
      </c>
      <c r="K6" s="161">
        <v>4.2778999999999998</v>
      </c>
      <c r="L6" s="161">
        <v>4.2961</v>
      </c>
      <c r="M6" s="152">
        <f t="shared" si="0"/>
        <v>4.2869999999999999</v>
      </c>
    </row>
    <row r="7" spans="1:16" x14ac:dyDescent="0.25">
      <c r="C7" s="64"/>
      <c r="F7" t="s">
        <v>115</v>
      </c>
      <c r="J7" s="160" t="s">
        <v>72</v>
      </c>
      <c r="K7" s="161">
        <v>4.7865000000000002</v>
      </c>
      <c r="L7" s="161">
        <v>4.8048000000000002</v>
      </c>
      <c r="M7" s="152">
        <f t="shared" si="0"/>
        <v>4.7956500000000002</v>
      </c>
    </row>
    <row r="8" spans="1:16" x14ac:dyDescent="0.25">
      <c r="C8" s="64"/>
      <c r="F8" t="s">
        <v>116</v>
      </c>
      <c r="J8" s="160" t="s">
        <v>73</v>
      </c>
      <c r="K8" s="161">
        <v>5.3155000000000001</v>
      </c>
      <c r="L8" s="161">
        <v>5.3277000000000001</v>
      </c>
      <c r="M8" s="152">
        <f t="shared" si="0"/>
        <v>5.3216000000000001</v>
      </c>
    </row>
    <row r="9" spans="1:16" x14ac:dyDescent="0.25">
      <c r="C9" s="64"/>
      <c r="J9" s="160" t="s">
        <v>74</v>
      </c>
      <c r="K9" s="161">
        <v>5.8117000000000001</v>
      </c>
      <c r="L9" s="161">
        <v>5.8300999999999998</v>
      </c>
      <c r="M9" s="152">
        <f t="shared" si="0"/>
        <v>5.8209</v>
      </c>
    </row>
    <row r="10" spans="1:16" x14ac:dyDescent="0.25">
      <c r="C10" s="64"/>
      <c r="J10" s="160" t="s">
        <v>75</v>
      </c>
      <c r="K10" s="161">
        <v>5.8783000000000003</v>
      </c>
      <c r="L10" s="161">
        <v>5.8903999999999996</v>
      </c>
      <c r="M10" s="152">
        <f t="shared" si="0"/>
        <v>5.8843499999999995</v>
      </c>
    </row>
    <row r="11" spans="1:16" x14ac:dyDescent="0.25">
      <c r="C11" s="64"/>
      <c r="J11" s="160" t="s">
        <v>76</v>
      </c>
      <c r="K11" s="161">
        <v>6.3068</v>
      </c>
      <c r="L11" s="161">
        <v>6.3308999999999997</v>
      </c>
      <c r="M11" s="152">
        <f t="shared" si="0"/>
        <v>6.3188499999999994</v>
      </c>
    </row>
    <row r="12" spans="1:16" x14ac:dyDescent="0.25">
      <c r="C12" s="64"/>
      <c r="J12" s="160" t="s">
        <v>77</v>
      </c>
      <c r="K12" s="161">
        <v>7.8349000000000002</v>
      </c>
      <c r="L12" s="161">
        <v>7.8468999999999998</v>
      </c>
      <c r="M12" s="152">
        <f t="shared" si="0"/>
        <v>7.8408999999999995</v>
      </c>
    </row>
    <row r="13" spans="1:16" x14ac:dyDescent="0.25">
      <c r="C13" s="64"/>
      <c r="J13" s="160" t="s">
        <v>78</v>
      </c>
      <c r="K13" s="161">
        <v>10.373799999999999</v>
      </c>
      <c r="L13" s="161">
        <v>10.38</v>
      </c>
      <c r="M13" s="152">
        <f t="shared" si="0"/>
        <v>10.376899999999999</v>
      </c>
    </row>
    <row r="14" spans="1:16" x14ac:dyDescent="0.25">
      <c r="C14" s="64"/>
      <c r="J14" s="160" t="s">
        <v>79</v>
      </c>
      <c r="K14" s="161">
        <v>10.8954</v>
      </c>
      <c r="L14" s="161">
        <v>10.913500000000001</v>
      </c>
      <c r="M14" s="152">
        <f t="shared" si="0"/>
        <v>10.904450000000001</v>
      </c>
    </row>
    <row r="15" spans="1:16" x14ac:dyDescent="0.25">
      <c r="C15" s="64"/>
      <c r="J15" s="160"/>
      <c r="K15" s="161"/>
      <c r="L15" s="161"/>
    </row>
    <row r="16" spans="1:16" x14ac:dyDescent="0.25">
      <c r="C16" s="64"/>
      <c r="J16" s="160"/>
      <c r="K16" s="161"/>
      <c r="L16" s="161"/>
    </row>
    <row r="17" spans="3:13" x14ac:dyDescent="0.25">
      <c r="C17" s="149" t="s">
        <v>191</v>
      </c>
      <c r="J17" s="160"/>
      <c r="K17" s="161"/>
      <c r="L17" s="161"/>
    </row>
    <row r="18" spans="3:13" x14ac:dyDescent="0.25">
      <c r="C18" t="s">
        <v>859</v>
      </c>
      <c r="J18" s="160" t="s">
        <v>85</v>
      </c>
      <c r="K18" s="161"/>
      <c r="L18" s="161"/>
      <c r="M18" s="152" t="str">
        <f>"""C:\Program Files (x86)\AstroGrep\AstroGrep.exe"""</f>
        <v>"C:\Program Files (x86)\AstroGrep\AstroGrep.exe"</v>
      </c>
    </row>
    <row r="19" spans="3:13" x14ac:dyDescent="0.25">
      <c r="C19" t="s">
        <v>860</v>
      </c>
      <c r="J19" s="160" t="s">
        <v>86</v>
      </c>
      <c r="K19" s="161"/>
      <c r="L19" s="161"/>
      <c r="M19" s="152" t="s">
        <v>112</v>
      </c>
    </row>
    <row r="20" spans="3:13" x14ac:dyDescent="0.25">
      <c r="C20" t="s">
        <v>861</v>
      </c>
      <c r="J20" s="152" t="s">
        <v>87</v>
      </c>
      <c r="M20" s="152" t="s">
        <v>882</v>
      </c>
    </row>
    <row r="21" spans="3:13" x14ac:dyDescent="0.25">
      <c r="C21" t="s">
        <v>862</v>
      </c>
      <c r="J21" s="152" t="s">
        <v>90</v>
      </c>
      <c r="K21" s="152" t="s">
        <v>91</v>
      </c>
      <c r="M21" s="152" t="s">
        <v>178</v>
      </c>
    </row>
    <row r="22" spans="3:13" x14ac:dyDescent="0.25">
      <c r="C22" t="s">
        <v>863</v>
      </c>
      <c r="J22" s="152" t="s">
        <v>92</v>
      </c>
      <c r="K22" s="152" t="s">
        <v>93</v>
      </c>
      <c r="M22" s="152" t="s">
        <v>111</v>
      </c>
    </row>
    <row r="23" spans="3:13" x14ac:dyDescent="0.25">
      <c r="C23" t="s">
        <v>864</v>
      </c>
      <c r="J23" s="162" t="s">
        <v>95</v>
      </c>
      <c r="M23" s="152" t="str">
        <f>"-07"</f>
        <v>-07</v>
      </c>
    </row>
    <row r="24" spans="3:13" x14ac:dyDescent="0.25">
      <c r="C24" t="s">
        <v>865</v>
      </c>
      <c r="J24" s="152" t="s">
        <v>108</v>
      </c>
      <c r="M24" s="152" t="s">
        <v>110</v>
      </c>
    </row>
    <row r="25" spans="3:13" x14ac:dyDescent="0.25">
      <c r="C25" t="s">
        <v>866</v>
      </c>
      <c r="J25" s="152" t="s">
        <v>150</v>
      </c>
      <c r="M25" s="152" t="b">
        <v>1</v>
      </c>
    </row>
    <row r="26" spans="3:13" x14ac:dyDescent="0.25">
      <c r="C26" t="s">
        <v>867</v>
      </c>
      <c r="J26" s="152" t="s">
        <v>151</v>
      </c>
      <c r="M26" s="152" t="str">
        <f>"C:\Users\stu\Documents\GitHub\eaglep3-reporting\EC\"&amp;TEXT(A2,"yyyy-mm-dd")&amp;"-refined-times.txt"</f>
        <v>C:\Users\stu\Documents\GitHub\eaglep3-reporting\EC\2017-02-20-refined-times.txt</v>
      </c>
    </row>
    <row r="27" spans="3:13" x14ac:dyDescent="0.25">
      <c r="C27" t="s">
        <v>868</v>
      </c>
      <c r="J27" s="152" t="s">
        <v>180</v>
      </c>
      <c r="M27" s="152" t="str">
        <f>"C:\Users\stu\Documents\GitHub\eaglep3-reporting\EC\"&amp;TEXT(A2,"YYYY-MM-DD")&amp;"-Enforcements.txt"</f>
        <v>C:\Users\stu\Documents\GitHub\eaglep3-reporting\EC\2017-02-20-Enforcements.txt</v>
      </c>
    </row>
    <row r="28" spans="3:13" x14ac:dyDescent="0.25">
      <c r="C28" t="s">
        <v>869</v>
      </c>
      <c r="J28" s="152" t="s">
        <v>181</v>
      </c>
      <c r="M28" s="152" t="str">
        <f>"C:\Users\stu\Documents\GitHub\eaglep3-reporting\EC\"&amp;TEXT(A2,"YYYY-MM-DD")&amp;"-Runs-refined.txt"</f>
        <v>C:\Users\stu\Documents\GitHub\eaglep3-reporting\EC\2017-02-20-Runs-refined.txt</v>
      </c>
    </row>
    <row r="29" spans="3:13" x14ac:dyDescent="0.25">
      <c r="C29" t="s">
        <v>870</v>
      </c>
      <c r="J29" s="152" t="s">
        <v>182</v>
      </c>
      <c r="M29" s="152" t="str">
        <f>"C:\Users\stu\Documents\GitHub\eaglep3-reporting\EC\"&amp;TEXT(A2,"YYYY-MM-DD")&amp;"-Trips.txt"</f>
        <v>C:\Users\stu\Documents\GitHub\eaglep3-reporting\EC\2017-02-20-Trips.txt</v>
      </c>
    </row>
    <row r="30" spans="3:13" x14ac:dyDescent="0.25">
      <c r="C30" t="s">
        <v>871</v>
      </c>
      <c r="J30" s="152" t="s">
        <v>183</v>
      </c>
      <c r="M30" s="152" t="str">
        <f>"C:\Users\stu\Documents\GitHub\eaglep3-reporting\EC\"&amp;TEXT(A2,"YYYY-MM-DD")&amp;"-Weather.txt"</f>
        <v>C:\Users\stu\Documents\GitHub\eaglep3-reporting\EC\2017-02-20-Weather.txt</v>
      </c>
    </row>
    <row r="31" spans="3:13" x14ac:dyDescent="0.25">
      <c r="C31" t="s">
        <v>872</v>
      </c>
      <c r="J31" s="152" t="s">
        <v>210</v>
      </c>
      <c r="M31" s="152" t="s">
        <v>211</v>
      </c>
    </row>
    <row r="32" spans="3:13" x14ac:dyDescent="0.25">
      <c r="C32" t="s">
        <v>873</v>
      </c>
    </row>
    <row r="33" spans="3:3" x14ac:dyDescent="0.25">
      <c r="C33" t="s">
        <v>874</v>
      </c>
    </row>
    <row r="34" spans="3:3" x14ac:dyDescent="0.25">
      <c r="C34" t="s">
        <v>875</v>
      </c>
    </row>
    <row r="35" spans="3:3" x14ac:dyDescent="0.25">
      <c r="C35" t="s">
        <v>876</v>
      </c>
    </row>
    <row r="36" spans="3:3" x14ac:dyDescent="0.25">
      <c r="C36" t="s">
        <v>445</v>
      </c>
    </row>
    <row r="37" spans="3:3" x14ac:dyDescent="0.25">
      <c r="C37" t="s">
        <v>877</v>
      </c>
    </row>
    <row r="38" spans="3:3" x14ac:dyDescent="0.25">
      <c r="C38" t="s">
        <v>878</v>
      </c>
    </row>
    <row r="39" spans="3:3" x14ac:dyDescent="0.25">
      <c r="C39" t="s">
        <v>879</v>
      </c>
    </row>
    <row r="40" spans="3:3" x14ac:dyDescent="0.25">
      <c r="C40" t="s">
        <v>880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2" bestFit="1" customWidth="1"/>
    <col min="2" max="7" width="9.140625" style="102"/>
    <col min="8" max="8" width="17.7109375" style="102" bestFit="1" customWidth="1"/>
    <col min="9" max="9" width="9.140625" style="104"/>
    <col min="10" max="16384" width="9.140625" style="102"/>
  </cols>
  <sheetData>
    <row r="1" spans="1:11" x14ac:dyDescent="0.25">
      <c r="A1" s="101" t="s">
        <v>121</v>
      </c>
      <c r="B1" s="101" t="s">
        <v>122</v>
      </c>
      <c r="C1" s="102" t="s">
        <v>123</v>
      </c>
      <c r="H1" t="s">
        <v>117</v>
      </c>
      <c r="I1" s="103" t="s">
        <v>119</v>
      </c>
      <c r="J1"/>
    </row>
    <row r="2" spans="1:11" x14ac:dyDescent="0.25">
      <c r="A2" s="102" t="s">
        <v>124</v>
      </c>
      <c r="B2" s="102" t="s">
        <v>125</v>
      </c>
      <c r="C2" s="102" t="s">
        <v>126</v>
      </c>
      <c r="H2" t="s">
        <v>118</v>
      </c>
      <c r="I2" s="95" t="s">
        <v>120</v>
      </c>
      <c r="J2"/>
    </row>
    <row r="3" spans="1:11" x14ac:dyDescent="0.25">
      <c r="A3" s="102" t="s">
        <v>127</v>
      </c>
      <c r="B3" s="102" t="s">
        <v>128</v>
      </c>
      <c r="C3" s="102" t="s">
        <v>129</v>
      </c>
      <c r="H3" t="s">
        <v>143</v>
      </c>
      <c r="I3" s="95">
        <v>1</v>
      </c>
      <c r="J3"/>
      <c r="K3" s="63"/>
    </row>
    <row r="4" spans="1:11" x14ac:dyDescent="0.25">
      <c r="A4" s="102" t="s">
        <v>130</v>
      </c>
      <c r="C4" s="102" t="s">
        <v>131</v>
      </c>
      <c r="H4" t="s">
        <v>144</v>
      </c>
      <c r="I4" s="95">
        <v>2</v>
      </c>
      <c r="J4"/>
      <c r="K4" s="63"/>
    </row>
    <row r="5" spans="1:11" x14ac:dyDescent="0.25">
      <c r="A5" s="102" t="s">
        <v>132</v>
      </c>
      <c r="C5" s="102" t="s">
        <v>133</v>
      </c>
      <c r="H5" t="s">
        <v>145</v>
      </c>
      <c r="I5" s="95">
        <v>23</v>
      </c>
      <c r="J5"/>
      <c r="K5" s="63"/>
    </row>
    <row r="6" spans="1:11" x14ac:dyDescent="0.25">
      <c r="A6" s="102" t="s">
        <v>134</v>
      </c>
      <c r="C6" s="102" t="s">
        <v>135</v>
      </c>
      <c r="H6" s="105" t="s">
        <v>146</v>
      </c>
      <c r="I6" s="106" t="s">
        <v>125</v>
      </c>
    </row>
    <row r="7" spans="1:11" x14ac:dyDescent="0.25">
      <c r="A7" s="102" t="s">
        <v>136</v>
      </c>
      <c r="C7" s="102" t="s">
        <v>137</v>
      </c>
    </row>
    <row r="8" spans="1:11" x14ac:dyDescent="0.25">
      <c r="C8" s="102" t="s">
        <v>138</v>
      </c>
    </row>
    <row r="9" spans="1:11" x14ac:dyDescent="0.25">
      <c r="C9" s="105" t="s">
        <v>171</v>
      </c>
    </row>
    <row r="10" spans="1:11" x14ac:dyDescent="0.25">
      <c r="C10" s="102" t="s">
        <v>139</v>
      </c>
    </row>
    <row r="11" spans="1:11" x14ac:dyDescent="0.25">
      <c r="C11" s="102" t="s">
        <v>140</v>
      </c>
    </row>
    <row r="12" spans="1:11" x14ac:dyDescent="0.25">
      <c r="C12" s="102" t="s">
        <v>141</v>
      </c>
    </row>
    <row r="13" spans="1:11" x14ac:dyDescent="0.25">
      <c r="C13" s="102" t="s">
        <v>142</v>
      </c>
    </row>
    <row r="14" spans="1:11" x14ac:dyDescent="0.25">
      <c r="C14" s="105" t="s">
        <v>172</v>
      </c>
    </row>
    <row r="15" spans="1:11" x14ac:dyDescent="0.25">
      <c r="C15" s="105" t="s">
        <v>193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topLeftCell="A46" workbookViewId="0">
      <selection sqref="A1:A119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895</v>
      </c>
      <c r="B1" t="str">
        <f t="shared" ref="B1:B30" si="0">MID(A1,6,23)</f>
        <v>2017/02/20 09:58:10.740</v>
      </c>
      <c r="C1" t="e">
        <f>ABS(B1-#REF!)</f>
        <v>#REF!</v>
      </c>
    </row>
    <row r="2" spans="1:3" x14ac:dyDescent="0.25">
      <c r="A2" t="s">
        <v>896</v>
      </c>
      <c r="B2" s="20" t="str">
        <f t="shared" si="0"/>
        <v>2017/02/20 09:58:11.305</v>
      </c>
      <c r="C2">
        <f>ABS(B2-B1)</f>
        <v>6.5393542172387242E-6</v>
      </c>
    </row>
    <row r="3" spans="1:3" x14ac:dyDescent="0.25">
      <c r="A3" t="s">
        <v>897</v>
      </c>
      <c r="B3" s="20" t="str">
        <f t="shared" si="0"/>
        <v>2017/02/20 11:15:50.710</v>
      </c>
      <c r="C3" s="20">
        <f t="shared" ref="C3:C30" si="1">ABS(B3-B2)</f>
        <v>5.3928298613755032E-2</v>
      </c>
    </row>
    <row r="4" spans="1:3" x14ac:dyDescent="0.25">
      <c r="A4" t="s">
        <v>898</v>
      </c>
      <c r="B4" s="20" t="str">
        <f t="shared" si="0"/>
        <v>2017/02/20 11:15:51.330</v>
      </c>
      <c r="C4" s="20">
        <f t="shared" si="1"/>
        <v>7.175920472946018E-6</v>
      </c>
    </row>
    <row r="5" spans="1:3" x14ac:dyDescent="0.25">
      <c r="A5" t="s">
        <v>899</v>
      </c>
      <c r="B5" s="20" t="str">
        <f t="shared" si="0"/>
        <v>2017/02/20 11:15:51.725</v>
      </c>
      <c r="C5" s="20">
        <f t="shared" si="1"/>
        <v>4.5717606553807855E-6</v>
      </c>
    </row>
    <row r="6" spans="1:3" x14ac:dyDescent="0.25">
      <c r="A6" t="s">
        <v>900</v>
      </c>
      <c r="B6" s="20" t="str">
        <f t="shared" si="0"/>
        <v>2017/02/20 11:16:59.291</v>
      </c>
      <c r="C6" s="20">
        <f t="shared" si="1"/>
        <v>7.8201389260357246E-4</v>
      </c>
    </row>
    <row r="7" spans="1:3" x14ac:dyDescent="0.25">
      <c r="A7" t="s">
        <v>901</v>
      </c>
      <c r="B7" s="20" t="str">
        <f t="shared" si="0"/>
        <v>2017/02/20 11:16:59.692</v>
      </c>
      <c r="C7" s="20">
        <f t="shared" si="1"/>
        <v>4.6412023948505521E-6</v>
      </c>
    </row>
    <row r="8" spans="1:3" x14ac:dyDescent="0.25">
      <c r="A8" t="s">
        <v>902</v>
      </c>
      <c r="B8" s="20" t="str">
        <f t="shared" si="0"/>
        <v>2017/02/20 11:28:00.468</v>
      </c>
      <c r="C8" s="20">
        <f t="shared" si="1"/>
        <v>7.647870370419696E-3</v>
      </c>
    </row>
    <row r="9" spans="1:3" x14ac:dyDescent="0.25">
      <c r="A9" t="s">
        <v>903</v>
      </c>
      <c r="B9" s="20" t="str">
        <f t="shared" si="0"/>
        <v>2017/02/20 11:28:00.755</v>
      </c>
      <c r="C9" s="20">
        <f t="shared" si="1"/>
        <v>3.3217584132216871E-6</v>
      </c>
    </row>
    <row r="10" spans="1:3" x14ac:dyDescent="0.25">
      <c r="A10" t="s">
        <v>904</v>
      </c>
      <c r="B10" s="20" t="str">
        <f t="shared" si="0"/>
        <v>2017/02/20 11:28:01.363</v>
      </c>
      <c r="C10" s="20">
        <f t="shared" si="1"/>
        <v>7.0370369940064847E-6</v>
      </c>
    </row>
    <row r="11" spans="1:3" x14ac:dyDescent="0.25">
      <c r="A11" t="s">
        <v>905</v>
      </c>
      <c r="B11" s="20" t="str">
        <f t="shared" si="0"/>
        <v>2017/02/20 11:40:11.669</v>
      </c>
      <c r="C11" s="20">
        <f t="shared" si="1"/>
        <v>8.4526157443178818E-3</v>
      </c>
    </row>
    <row r="12" spans="1:3" x14ac:dyDescent="0.25">
      <c r="A12" t="s">
        <v>906</v>
      </c>
      <c r="B12" s="20" t="str">
        <f t="shared" si="0"/>
        <v>2017/02/20 11:40:12.281</v>
      </c>
      <c r="C12" s="20">
        <f t="shared" si="1"/>
        <v>7.0833339123055339E-6</v>
      </c>
    </row>
    <row r="13" spans="1:3" x14ac:dyDescent="0.25">
      <c r="A13" t="s">
        <v>907</v>
      </c>
      <c r="B13" s="20" t="str">
        <f t="shared" si="0"/>
        <v>2017/02/20 11:40:12.658</v>
      </c>
      <c r="C13" s="20">
        <f t="shared" si="1"/>
        <v>4.3634208850562572E-6</v>
      </c>
    </row>
    <row r="14" spans="1:3" x14ac:dyDescent="0.25">
      <c r="A14" t="s">
        <v>908</v>
      </c>
      <c r="B14" s="20" t="str">
        <f t="shared" si="0"/>
        <v>2017/02/20 11:58:14.331</v>
      </c>
      <c r="C14" s="20">
        <f t="shared" si="1"/>
        <v>1.2519363430328667E-2</v>
      </c>
    </row>
    <row r="15" spans="1:3" x14ac:dyDescent="0.25">
      <c r="A15" t="s">
        <v>909</v>
      </c>
      <c r="B15" s="20" t="str">
        <f t="shared" si="0"/>
        <v>2017/02/20 11:58:14.687</v>
      </c>
      <c r="C15" s="20">
        <f t="shared" si="1"/>
        <v>4.1203675209544599E-6</v>
      </c>
    </row>
    <row r="16" spans="1:3" x14ac:dyDescent="0.25">
      <c r="A16" t="s">
        <v>910</v>
      </c>
      <c r="B16" s="20" t="str">
        <f t="shared" si="0"/>
        <v>2017/02/20 11:58:14.800</v>
      </c>
      <c r="C16" s="20">
        <f t="shared" si="1"/>
        <v>1.3078679330646992E-6</v>
      </c>
    </row>
    <row r="17" spans="1:3" x14ac:dyDescent="0.25">
      <c r="A17" t="s">
        <v>911</v>
      </c>
      <c r="B17" s="20" t="str">
        <f t="shared" si="0"/>
        <v>2017/02/20 12:19:43.857</v>
      </c>
      <c r="C17" s="20">
        <f t="shared" si="1"/>
        <v>1.4919641209417023E-2</v>
      </c>
    </row>
    <row r="18" spans="1:3" x14ac:dyDescent="0.25">
      <c r="A18" t="s">
        <v>912</v>
      </c>
      <c r="B18" s="20" t="str">
        <f t="shared" si="0"/>
        <v>2017/02/20 12:19:44.052</v>
      </c>
      <c r="C18" s="20">
        <f t="shared" si="1"/>
        <v>2.2569438442587852E-6</v>
      </c>
    </row>
    <row r="19" spans="1:3" x14ac:dyDescent="0.25">
      <c r="A19" t="s">
        <v>913</v>
      </c>
      <c r="B19" s="20" t="str">
        <f t="shared" si="0"/>
        <v>2017/02/20 12:19:44.247</v>
      </c>
      <c r="C19" s="20">
        <f t="shared" si="1"/>
        <v>2.2569438442587852E-6</v>
      </c>
    </row>
    <row r="20" spans="1:3" x14ac:dyDescent="0.25">
      <c r="A20" t="s">
        <v>914</v>
      </c>
      <c r="B20" s="20" t="str">
        <f t="shared" si="0"/>
        <v>2017/02/20 12:20:36.271</v>
      </c>
      <c r="C20" s="20">
        <f t="shared" si="1"/>
        <v>6.0212962853256613E-4</v>
      </c>
    </row>
    <row r="21" spans="1:3" x14ac:dyDescent="0.25">
      <c r="A21" t="s">
        <v>915</v>
      </c>
      <c r="B21" s="20" t="str">
        <f t="shared" si="0"/>
        <v>2017/02/20 12:20:36.898</v>
      </c>
      <c r="C21" s="20">
        <f t="shared" si="1"/>
        <v>7.2569455369375646E-6</v>
      </c>
    </row>
    <row r="22" spans="1:3" x14ac:dyDescent="0.25">
      <c r="A22" t="s">
        <v>916</v>
      </c>
      <c r="B22" s="20" t="str">
        <f t="shared" si="0"/>
        <v>2017/02/20 12:20:37.085</v>
      </c>
      <c r="C22" s="20">
        <f t="shared" si="1"/>
        <v>2.164350007660687E-6</v>
      </c>
    </row>
    <row r="23" spans="1:3" x14ac:dyDescent="0.25">
      <c r="A23" t="s">
        <v>917</v>
      </c>
      <c r="B23" s="20" t="str">
        <f t="shared" si="0"/>
        <v>2017/02/20 12:24:15.930</v>
      </c>
      <c r="C23" s="20">
        <f t="shared" si="1"/>
        <v>2.5329282434540801E-3</v>
      </c>
    </row>
    <row r="24" spans="1:3" x14ac:dyDescent="0.25">
      <c r="A24" t="s">
        <v>918</v>
      </c>
      <c r="B24" s="20" t="str">
        <f t="shared" si="0"/>
        <v>2017/02/20 12:24:16.099</v>
      </c>
      <c r="C24" s="20">
        <f t="shared" si="1"/>
        <v>1.9560175132937729E-6</v>
      </c>
    </row>
    <row r="25" spans="1:3" x14ac:dyDescent="0.25">
      <c r="A25" t="s">
        <v>919</v>
      </c>
      <c r="B25" s="20" t="str">
        <f t="shared" si="0"/>
        <v>2017/02/20 12:24:16.289</v>
      </c>
      <c r="C25" s="20">
        <f t="shared" si="1"/>
        <v>2.1990708773955703E-6</v>
      </c>
    </row>
    <row r="26" spans="1:3" x14ac:dyDescent="0.25">
      <c r="A26" t="s">
        <v>920</v>
      </c>
      <c r="B26" s="20" t="str">
        <f t="shared" si="0"/>
        <v>2017/02/20 12:46:05.097</v>
      </c>
      <c r="C26" s="20">
        <f t="shared" si="1"/>
        <v>1.514824074547505E-2</v>
      </c>
    </row>
    <row r="27" spans="1:3" x14ac:dyDescent="0.25">
      <c r="A27" t="s">
        <v>921</v>
      </c>
      <c r="B27" s="20" t="str">
        <f t="shared" si="0"/>
        <v>2017/02/20 12:46:05.314</v>
      </c>
      <c r="C27" s="20">
        <f t="shared" si="1"/>
        <v>2.5115732569247484E-6</v>
      </c>
    </row>
    <row r="28" spans="1:3" x14ac:dyDescent="0.25">
      <c r="A28" t="s">
        <v>922</v>
      </c>
      <c r="B28" s="20" t="str">
        <f t="shared" si="0"/>
        <v>2017/02/20 13:24:04.309</v>
      </c>
      <c r="C28" s="20">
        <f t="shared" si="1"/>
        <v>2.6377256945124827E-2</v>
      </c>
    </row>
    <row r="29" spans="1:3" x14ac:dyDescent="0.25">
      <c r="A29" t="s">
        <v>923</v>
      </c>
      <c r="B29" s="20" t="str">
        <f t="shared" si="0"/>
        <v>2017/02/20 13:24:04.383</v>
      </c>
      <c r="C29" s="20">
        <f t="shared" si="1"/>
        <v>8.5647479863837361E-7</v>
      </c>
    </row>
    <row r="30" spans="1:3" x14ac:dyDescent="0.25">
      <c r="A30" t="s">
        <v>924</v>
      </c>
      <c r="B30" s="20" t="str">
        <f t="shared" si="0"/>
        <v>2017/02/20 13:24:04.641</v>
      </c>
      <c r="C30" s="20">
        <f t="shared" si="1"/>
        <v>2.9861112125217915E-6</v>
      </c>
    </row>
    <row r="31" spans="1:3" x14ac:dyDescent="0.25">
      <c r="A31" t="s">
        <v>925</v>
      </c>
      <c r="B31" s="20" t="str">
        <f t="shared" ref="B31:B32" si="2">MID(A31,6,23)</f>
        <v>2017/02/20 13:26:24.326</v>
      </c>
      <c r="C31" s="20">
        <f t="shared" ref="C31:C32" si="3">ABS(B31-B30)</f>
        <v>1.6167245412361808E-3</v>
      </c>
    </row>
    <row r="32" spans="1:3" x14ac:dyDescent="0.25">
      <c r="A32" t="s">
        <v>926</v>
      </c>
      <c r="B32" s="20" t="str">
        <f t="shared" si="2"/>
        <v>2017/02/20 13:26:24.329</v>
      </c>
      <c r="C32" s="20">
        <f t="shared" si="3"/>
        <v>3.4720869734883308E-8</v>
      </c>
    </row>
    <row r="33" spans="1:3" x14ac:dyDescent="0.25">
      <c r="A33" t="s">
        <v>927</v>
      </c>
      <c r="B33" s="20" t="str">
        <f t="shared" ref="B33:B49" si="4">MID(A33,6,23)</f>
        <v>2017/02/20 13:26:25.742</v>
      </c>
      <c r="C33" s="20">
        <f t="shared" ref="C33:C49" si="5">ABS(B33-B32)</f>
        <v>1.6354169929400086E-5</v>
      </c>
    </row>
    <row r="34" spans="1:3" x14ac:dyDescent="0.25">
      <c r="A34" t="s">
        <v>928</v>
      </c>
      <c r="B34" s="20" t="str">
        <f t="shared" si="4"/>
        <v>2017/02/20 13:41:15.103</v>
      </c>
      <c r="C34" s="20">
        <f t="shared" si="5"/>
        <v>1.0293530089256819E-2</v>
      </c>
    </row>
    <row r="35" spans="1:3" x14ac:dyDescent="0.25">
      <c r="A35" t="s">
        <v>929</v>
      </c>
      <c r="B35" s="20" t="str">
        <f t="shared" si="4"/>
        <v>2017/02/20 13:46:30.445</v>
      </c>
      <c r="C35" s="20">
        <f t="shared" si="5"/>
        <v>3.6497916662483476E-3</v>
      </c>
    </row>
    <row r="36" spans="1:3" x14ac:dyDescent="0.25">
      <c r="A36" t="s">
        <v>930</v>
      </c>
      <c r="B36" s="20" t="str">
        <f t="shared" si="4"/>
        <v>2017/02/20 13:46:30.889</v>
      </c>
      <c r="C36" s="20">
        <f t="shared" si="5"/>
        <v>5.1388924475759268E-6</v>
      </c>
    </row>
    <row r="37" spans="1:3" x14ac:dyDescent="0.25">
      <c r="A37" t="s">
        <v>931</v>
      </c>
      <c r="B37" s="20" t="str">
        <f t="shared" si="4"/>
        <v>2017/02/20 13:46:30.932</v>
      </c>
      <c r="C37" s="20">
        <f t="shared" si="5"/>
        <v>4.9768277676776052E-7</v>
      </c>
    </row>
    <row r="38" spans="1:3" x14ac:dyDescent="0.25">
      <c r="A38" t="s">
        <v>932</v>
      </c>
      <c r="B38" s="20" t="str">
        <f t="shared" si="4"/>
        <v>2017/02/20 13:48:59.332</v>
      </c>
      <c r="C38" s="20">
        <f t="shared" si="5"/>
        <v>1.7175925895571709E-3</v>
      </c>
    </row>
    <row r="39" spans="1:3" x14ac:dyDescent="0.25">
      <c r="A39" t="s">
        <v>933</v>
      </c>
      <c r="B39" s="20" t="str">
        <f t="shared" si="4"/>
        <v>2017/02/20 13:48:59.598</v>
      </c>
      <c r="C39" s="20">
        <f t="shared" si="5"/>
        <v>3.0787050491198897E-6</v>
      </c>
    </row>
    <row r="40" spans="1:3" x14ac:dyDescent="0.25">
      <c r="A40" t="s">
        <v>934</v>
      </c>
      <c r="B40" s="20" t="str">
        <f t="shared" si="4"/>
        <v>2017/02/20 14:37:40.731</v>
      </c>
      <c r="C40" s="20">
        <f t="shared" si="5"/>
        <v>3.3809409724199213E-2</v>
      </c>
    </row>
    <row r="41" spans="1:3" x14ac:dyDescent="0.25">
      <c r="A41" t="s">
        <v>935</v>
      </c>
      <c r="B41" s="20" t="str">
        <f t="shared" si="4"/>
        <v>2017/02/20 14:37:40.769</v>
      </c>
      <c r="C41" s="20">
        <f t="shared" si="5"/>
        <v>4.3981708586215973E-7</v>
      </c>
    </row>
    <row r="42" spans="1:3" x14ac:dyDescent="0.25">
      <c r="A42" t="s">
        <v>936</v>
      </c>
      <c r="B42" s="20" t="str">
        <f t="shared" si="4"/>
        <v>2017/02/20 14:50:00.898</v>
      </c>
      <c r="C42" s="20">
        <f t="shared" si="5"/>
        <v>8.5663078643847257E-3</v>
      </c>
    </row>
    <row r="43" spans="1:3" x14ac:dyDescent="0.25">
      <c r="A43" t="s">
        <v>937</v>
      </c>
      <c r="B43" s="20" t="str">
        <f t="shared" si="4"/>
        <v>2017/02/20 14:54:48.875</v>
      </c>
      <c r="C43" s="20">
        <f t="shared" si="5"/>
        <v>3.3330671358271502E-3</v>
      </c>
    </row>
    <row r="44" spans="1:3" x14ac:dyDescent="0.25">
      <c r="A44" t="s">
        <v>938</v>
      </c>
      <c r="B44" s="20" t="str">
        <f t="shared" si="4"/>
        <v>2017/02/20 14:54:48.918</v>
      </c>
      <c r="C44" s="20">
        <f t="shared" si="5"/>
        <v>4.9768277676776052E-7</v>
      </c>
    </row>
    <row r="45" spans="1:3" x14ac:dyDescent="0.25">
      <c r="A45" t="s">
        <v>939</v>
      </c>
      <c r="B45" s="20" t="str">
        <f t="shared" si="4"/>
        <v>2017/02/20 14:54:49.428</v>
      </c>
      <c r="C45" s="20">
        <f t="shared" si="5"/>
        <v>5.9027734096162021E-6</v>
      </c>
    </row>
    <row r="46" spans="1:3" x14ac:dyDescent="0.25">
      <c r="A46" t="s">
        <v>940</v>
      </c>
      <c r="B46" s="20" t="str">
        <f t="shared" si="4"/>
        <v>2017/02/20 15:09:15.061</v>
      </c>
      <c r="C46" s="20">
        <f t="shared" si="5"/>
        <v>1.0018900466093328E-2</v>
      </c>
    </row>
    <row r="47" spans="1:3" x14ac:dyDescent="0.25">
      <c r="A47" t="s">
        <v>941</v>
      </c>
      <c r="B47" s="20" t="str">
        <f t="shared" si="4"/>
        <v>2017/02/20 15:09:15.144</v>
      </c>
      <c r="C47" s="20">
        <f t="shared" si="5"/>
        <v>9.6065195975825191E-7</v>
      </c>
    </row>
    <row r="48" spans="1:3" x14ac:dyDescent="0.25">
      <c r="A48" t="s">
        <v>942</v>
      </c>
      <c r="B48" s="20" t="str">
        <f t="shared" si="4"/>
        <v>2017/02/20 15:28:25.275</v>
      </c>
      <c r="C48" s="20">
        <f t="shared" si="5"/>
        <v>1.3311701382917818E-2</v>
      </c>
    </row>
    <row r="49" spans="1:3" x14ac:dyDescent="0.25">
      <c r="A49" t="s">
        <v>943</v>
      </c>
      <c r="B49" s="20" t="str">
        <f t="shared" si="4"/>
        <v>2017/02/20 15:28:25.321</v>
      </c>
      <c r="C49" s="20">
        <f t="shared" si="5"/>
        <v>5.3241092246025801E-7</v>
      </c>
    </row>
    <row r="50" spans="1:3" x14ac:dyDescent="0.25">
      <c r="A50" t="s">
        <v>944</v>
      </c>
      <c r="B50" s="20" t="str">
        <f t="shared" ref="B50:B54" si="6">MID(A50,6,23)</f>
        <v>2017/02/20 15:28:25.323</v>
      </c>
      <c r="C50" s="20">
        <f t="shared" ref="C50:C54" si="7">ABS(B50-B49)</f>
        <v>2.3144821170717478E-8</v>
      </c>
    </row>
    <row r="51" spans="1:3" x14ac:dyDescent="0.25">
      <c r="A51" t="s">
        <v>945</v>
      </c>
      <c r="B51" s="20" t="str">
        <f t="shared" si="6"/>
        <v>2017/02/20 15:36:48.021</v>
      </c>
      <c r="C51" s="20">
        <f t="shared" si="7"/>
        <v>5.818263889523223E-3</v>
      </c>
    </row>
    <row r="52" spans="1:3" x14ac:dyDescent="0.25">
      <c r="A52" t="s">
        <v>946</v>
      </c>
      <c r="B52" s="20" t="str">
        <f t="shared" si="6"/>
        <v>2017/02/20 15:36:49.123</v>
      </c>
      <c r="C52" s="20">
        <f t="shared" si="7"/>
        <v>1.2754630006384104E-5</v>
      </c>
    </row>
    <row r="53" spans="1:3" x14ac:dyDescent="0.25">
      <c r="A53" t="s">
        <v>947</v>
      </c>
      <c r="B53" s="20" t="str">
        <f t="shared" si="6"/>
        <v>2017/02/20 15:36:49.285</v>
      </c>
      <c r="C53" s="20">
        <f t="shared" si="7"/>
        <v>1.8749997252598405E-6</v>
      </c>
    </row>
    <row r="54" spans="1:3" x14ac:dyDescent="0.25">
      <c r="A54" t="s">
        <v>948</v>
      </c>
      <c r="B54" s="20" t="str">
        <f t="shared" si="6"/>
        <v>2017/02/20 16:24:15.305</v>
      </c>
      <c r="C54" s="20">
        <f t="shared" si="7"/>
        <v>3.2940046301519033E-2</v>
      </c>
    </row>
    <row r="55" spans="1:3" x14ac:dyDescent="0.25">
      <c r="A55" t="s">
        <v>949</v>
      </c>
      <c r="B55" s="20" t="str">
        <f t="shared" ref="B55:B62" si="8">MID(A55,6,23)</f>
        <v>2017/02/20 16:24:15.378</v>
      </c>
      <c r="C55" s="20">
        <f t="shared" ref="C55:C62" si="9">ABS(B55-B54)</f>
        <v>8.4490602603182197E-7</v>
      </c>
    </row>
    <row r="56" spans="1:3" x14ac:dyDescent="0.25">
      <c r="A56" t="s">
        <v>950</v>
      </c>
      <c r="B56" s="20" t="str">
        <f t="shared" si="8"/>
        <v>2017/02/20 16:24:16.627</v>
      </c>
      <c r="C56" s="20">
        <f t="shared" si="9"/>
        <v>1.4456018107011914E-5</v>
      </c>
    </row>
    <row r="57" spans="1:3" x14ac:dyDescent="0.25">
      <c r="A57" t="s">
        <v>951</v>
      </c>
      <c r="B57" s="20" t="str">
        <f t="shared" si="8"/>
        <v>2017/02/20 16:56:33.431</v>
      </c>
      <c r="C57" s="20">
        <f t="shared" si="9"/>
        <v>2.2416712963604368E-2</v>
      </c>
    </row>
    <row r="58" spans="1:3" x14ac:dyDescent="0.25">
      <c r="A58" t="s">
        <v>952</v>
      </c>
      <c r="B58" s="20" t="str">
        <f t="shared" si="8"/>
        <v>2017/02/20 17:22:18.352</v>
      </c>
      <c r="C58" s="20">
        <f t="shared" si="9"/>
        <v>1.7881030093121808E-2</v>
      </c>
    </row>
    <row r="59" spans="1:3" x14ac:dyDescent="0.25">
      <c r="A59" t="s">
        <v>953</v>
      </c>
      <c r="B59" s="20" t="str">
        <f t="shared" si="8"/>
        <v>2017/02/20 17:22:18.634</v>
      </c>
      <c r="C59" s="20">
        <f t="shared" si="9"/>
        <v>3.2638854463584721E-6</v>
      </c>
    </row>
    <row r="60" spans="1:3" x14ac:dyDescent="0.25">
      <c r="A60" t="s">
        <v>954</v>
      </c>
      <c r="B60" s="20" t="str">
        <f t="shared" si="8"/>
        <v>2017/02/20 17:22:19.067</v>
      </c>
      <c r="C60" s="20">
        <f t="shared" si="9"/>
        <v>5.0115777412429452E-6</v>
      </c>
    </row>
    <row r="61" spans="1:3" x14ac:dyDescent="0.25">
      <c r="A61" t="s">
        <v>955</v>
      </c>
      <c r="B61" s="20" t="str">
        <f t="shared" si="8"/>
        <v>2017/02/20 17:26:45.839</v>
      </c>
      <c r="C61" s="20">
        <f t="shared" si="9"/>
        <v>3.0876388846081682E-3</v>
      </c>
    </row>
    <row r="62" spans="1:3" x14ac:dyDescent="0.25">
      <c r="A62" t="s">
        <v>956</v>
      </c>
      <c r="B62" s="20" t="str">
        <f t="shared" si="8"/>
        <v>2017/02/20 17:26:45.995</v>
      </c>
      <c r="C62" s="20">
        <f t="shared" si="9"/>
        <v>1.8055579857900739E-6</v>
      </c>
    </row>
    <row r="63" spans="1:3" x14ac:dyDescent="0.25">
      <c r="A63" t="s">
        <v>957</v>
      </c>
      <c r="B63" s="20" t="str">
        <f t="shared" ref="B63:B119" si="10">MID(A63,6,23)</f>
        <v>2017/02/20 17:26:46.653</v>
      </c>
      <c r="C63" s="20">
        <f t="shared" ref="C63:C119" si="11">ABS(B63-B62)</f>
        <v>7.6157375588081777E-6</v>
      </c>
    </row>
    <row r="64" spans="1:3" x14ac:dyDescent="0.25">
      <c r="A64" t="s">
        <v>958</v>
      </c>
      <c r="B64" s="20" t="str">
        <f t="shared" si="10"/>
        <v>2017/02/20 17:26:49.109</v>
      </c>
      <c r="C64" s="20">
        <f t="shared" si="11"/>
        <v>2.8425929485820234E-5</v>
      </c>
    </row>
    <row r="65" spans="1:3" x14ac:dyDescent="0.25">
      <c r="A65" t="s">
        <v>959</v>
      </c>
      <c r="B65" s="20" t="str">
        <f t="shared" si="10"/>
        <v>2017/02/20 17:26:50.004</v>
      </c>
      <c r="C65" s="20">
        <f t="shared" si="11"/>
        <v>1.0358795407228172E-5</v>
      </c>
    </row>
    <row r="66" spans="1:3" x14ac:dyDescent="0.25">
      <c r="A66" t="s">
        <v>960</v>
      </c>
      <c r="B66" s="20" t="str">
        <f t="shared" si="10"/>
        <v>2017/02/20 17:26:50.262</v>
      </c>
      <c r="C66" s="20">
        <f t="shared" si="11"/>
        <v>2.9861112125217915E-6</v>
      </c>
    </row>
    <row r="67" spans="1:3" x14ac:dyDescent="0.25">
      <c r="A67" t="s">
        <v>961</v>
      </c>
      <c r="B67" s="20" t="str">
        <f t="shared" si="10"/>
        <v>2017/02/20 17:44:40.130</v>
      </c>
      <c r="C67" s="20">
        <f t="shared" si="11"/>
        <v>1.2382731481920928E-2</v>
      </c>
    </row>
    <row r="68" spans="1:3" x14ac:dyDescent="0.25">
      <c r="A68" t="s">
        <v>962</v>
      </c>
      <c r="B68" s="20" t="str">
        <f t="shared" si="10"/>
        <v>2017/02/20 17:44:41.014</v>
      </c>
      <c r="C68" s="20">
        <f t="shared" si="11"/>
        <v>1.023148070089519E-5</v>
      </c>
    </row>
    <row r="69" spans="1:3" x14ac:dyDescent="0.25">
      <c r="A69" t="s">
        <v>963</v>
      </c>
      <c r="B69" s="20" t="str">
        <f t="shared" si="10"/>
        <v>2017/02/20 17:44:41.268</v>
      </c>
      <c r="C69" s="20">
        <f t="shared" si="11"/>
        <v>2.9398142942227423E-6</v>
      </c>
    </row>
    <row r="70" spans="1:3" x14ac:dyDescent="0.25">
      <c r="A70" t="s">
        <v>964</v>
      </c>
      <c r="B70" s="20" t="str">
        <f t="shared" si="10"/>
        <v>2017/02/20 17:53:27.635</v>
      </c>
      <c r="C70" s="20">
        <f t="shared" si="11"/>
        <v>6.0922106495127082E-3</v>
      </c>
    </row>
    <row r="71" spans="1:3" x14ac:dyDescent="0.25">
      <c r="A71" t="s">
        <v>965</v>
      </c>
      <c r="B71" s="20" t="str">
        <f t="shared" si="10"/>
        <v>2017/02/20 17:53:27.826</v>
      </c>
      <c r="C71" s="20">
        <f t="shared" si="11"/>
        <v>2.2106469259597361E-6</v>
      </c>
    </row>
    <row r="72" spans="1:3" x14ac:dyDescent="0.25">
      <c r="A72" t="s">
        <v>966</v>
      </c>
      <c r="B72" s="20" t="str">
        <f t="shared" si="10"/>
        <v>2017/02/20 17:53:27.976</v>
      </c>
      <c r="C72" s="20">
        <f t="shared" si="11"/>
        <v>1.7361089703626931E-6</v>
      </c>
    </row>
    <row r="73" spans="1:3" x14ac:dyDescent="0.25">
      <c r="A73" t="s">
        <v>967</v>
      </c>
      <c r="B73" s="20" t="str">
        <f t="shared" si="10"/>
        <v>2017/02/20 18:54:33.108</v>
      </c>
      <c r="C73" s="20">
        <f t="shared" si="11"/>
        <v>4.2420509264047723E-2</v>
      </c>
    </row>
    <row r="74" spans="1:3" x14ac:dyDescent="0.25">
      <c r="A74" t="s">
        <v>968</v>
      </c>
      <c r="B74" s="20" t="str">
        <f t="shared" si="10"/>
        <v>2017/02/20 18:54:33.687</v>
      </c>
      <c r="C74" s="20">
        <f t="shared" si="11"/>
        <v>6.7013825173489749E-6</v>
      </c>
    </row>
    <row r="75" spans="1:3" x14ac:dyDescent="0.25">
      <c r="A75" t="s">
        <v>969</v>
      </c>
      <c r="B75" s="20" t="str">
        <f t="shared" si="10"/>
        <v>2017/02/20 18:54:33.776</v>
      </c>
      <c r="C75" s="20">
        <f t="shared" si="11"/>
        <v>1.0300936992280185E-6</v>
      </c>
    </row>
    <row r="76" spans="1:3" x14ac:dyDescent="0.25">
      <c r="A76" t="s">
        <v>970</v>
      </c>
      <c r="B76" s="20" t="str">
        <f t="shared" si="10"/>
        <v>2017/02/20 18:55:12.106</v>
      </c>
      <c r="C76" s="20">
        <f t="shared" si="11"/>
        <v>4.4363426422933117E-4</v>
      </c>
    </row>
    <row r="77" spans="1:3" x14ac:dyDescent="0.25">
      <c r="A77" t="s">
        <v>971</v>
      </c>
      <c r="B77" s="20" t="str">
        <f t="shared" si="10"/>
        <v>2017/02/20 18:55:12.681</v>
      </c>
      <c r="C77" s="20">
        <f t="shared" si="11"/>
        <v>6.65509287500754E-6</v>
      </c>
    </row>
    <row r="78" spans="1:3" x14ac:dyDescent="0.25">
      <c r="A78" t="s">
        <v>972</v>
      </c>
      <c r="B78" s="20" t="str">
        <f t="shared" si="10"/>
        <v>2017/02/20 18:55:12.773</v>
      </c>
      <c r="C78" s="20">
        <f t="shared" si="11"/>
        <v>1.0648145689629018E-6</v>
      </c>
    </row>
    <row r="79" spans="1:3" x14ac:dyDescent="0.25">
      <c r="A79" t="s">
        <v>973</v>
      </c>
      <c r="B79" s="20" t="str">
        <f t="shared" si="10"/>
        <v>2017/02/20 19:04:29.326</v>
      </c>
      <c r="C79" s="20">
        <f t="shared" si="11"/>
        <v>6.4415856468258426E-3</v>
      </c>
    </row>
    <row r="80" spans="1:3" x14ac:dyDescent="0.25">
      <c r="A80" t="s">
        <v>974</v>
      </c>
      <c r="B80" s="20" t="str">
        <f t="shared" si="10"/>
        <v>2017/02/20 19:04:29.327</v>
      </c>
      <c r="C80" s="20">
        <f t="shared" si="11"/>
        <v>1.1576048564165831E-8</v>
      </c>
    </row>
    <row r="81" spans="1:3" x14ac:dyDescent="0.25">
      <c r="A81" t="s">
        <v>975</v>
      </c>
      <c r="B81" s="20" t="str">
        <f t="shared" si="10"/>
        <v>2017/02/20 19:15:36.311</v>
      </c>
      <c r="C81" s="20">
        <f t="shared" si="11"/>
        <v>7.7197222199174576E-3</v>
      </c>
    </row>
    <row r="82" spans="1:3" x14ac:dyDescent="0.25">
      <c r="A82" t="s">
        <v>976</v>
      </c>
      <c r="B82" s="20" t="str">
        <f t="shared" si="10"/>
        <v>2017/02/20 19:15:37.488</v>
      </c>
      <c r="C82" s="20">
        <f t="shared" si="11"/>
        <v>1.3622680853586644E-5</v>
      </c>
    </row>
    <row r="83" spans="1:3" x14ac:dyDescent="0.25">
      <c r="A83" t="s">
        <v>977</v>
      </c>
      <c r="B83" s="20" t="str">
        <f t="shared" si="10"/>
        <v>2017/02/20 19:15:38.263</v>
      </c>
      <c r="C83" s="20">
        <f t="shared" si="11"/>
        <v>8.9699096861295402E-6</v>
      </c>
    </row>
    <row r="84" spans="1:3" x14ac:dyDescent="0.25">
      <c r="A84" t="s">
        <v>978</v>
      </c>
      <c r="B84" s="20" t="str">
        <f t="shared" si="10"/>
        <v>2017/02/20 20:34:11.279</v>
      </c>
      <c r="C84" s="20">
        <f t="shared" si="11"/>
        <v>5.4548796295421198E-2</v>
      </c>
    </row>
    <row r="85" spans="1:3" x14ac:dyDescent="0.25">
      <c r="A85" t="s">
        <v>979</v>
      </c>
      <c r="B85" s="20" t="str">
        <f t="shared" si="10"/>
        <v>2017/02/20 20:34:11.365</v>
      </c>
      <c r="C85" s="20">
        <f t="shared" si="11"/>
        <v>9.9537282949313521E-7</v>
      </c>
    </row>
    <row r="86" spans="1:3" x14ac:dyDescent="0.25">
      <c r="A86" t="s">
        <v>980</v>
      </c>
      <c r="B86" s="20" t="str">
        <f t="shared" si="10"/>
        <v>2017/02/20 20:34:11.983</v>
      </c>
      <c r="C86" s="20">
        <f t="shared" si="11"/>
        <v>7.1527756517753005E-6</v>
      </c>
    </row>
    <row r="87" spans="1:3" x14ac:dyDescent="0.25">
      <c r="A87" t="s">
        <v>981</v>
      </c>
      <c r="B87" s="20" t="str">
        <f t="shared" si="10"/>
        <v>2017/02/20 21:04:29.003</v>
      </c>
      <c r="C87" s="20">
        <f t="shared" si="11"/>
        <v>2.1030324074672535E-2</v>
      </c>
    </row>
    <row r="88" spans="1:3" x14ac:dyDescent="0.25">
      <c r="A88" t="s">
        <v>982</v>
      </c>
      <c r="B88" s="20" t="str">
        <f t="shared" si="10"/>
        <v>2017/02/20 21:04:29.065</v>
      </c>
      <c r="C88" s="20">
        <f t="shared" si="11"/>
        <v>7.1759131969884038E-7</v>
      </c>
    </row>
    <row r="89" spans="1:3" x14ac:dyDescent="0.25">
      <c r="A89" t="s">
        <v>983</v>
      </c>
      <c r="B89" s="20" t="str">
        <f t="shared" si="10"/>
        <v>2017/02/20 21:04:29.086</v>
      </c>
      <c r="C89" s="20">
        <f t="shared" si="11"/>
        <v>2.4306064005941153E-7</v>
      </c>
    </row>
    <row r="90" spans="1:3" x14ac:dyDescent="0.25">
      <c r="A90" t="s">
        <v>984</v>
      </c>
      <c r="B90" s="20" t="str">
        <f t="shared" si="10"/>
        <v>2017/02/20 21:05:20.001</v>
      </c>
      <c r="C90" s="20">
        <f t="shared" si="11"/>
        <v>5.8929398073814809E-4</v>
      </c>
    </row>
    <row r="91" spans="1:3" x14ac:dyDescent="0.25">
      <c r="A91" t="s">
        <v>985</v>
      </c>
      <c r="B91" s="20" t="str">
        <f t="shared" si="10"/>
        <v>2017/02/20 21:05:20.058</v>
      </c>
      <c r="C91" s="20">
        <f t="shared" si="11"/>
        <v>6.5971835283562541E-7</v>
      </c>
    </row>
    <row r="92" spans="1:3" x14ac:dyDescent="0.25">
      <c r="A92" t="s">
        <v>986</v>
      </c>
      <c r="B92" s="20" t="str">
        <f t="shared" si="10"/>
        <v>2017/02/20 21:05:20.084</v>
      </c>
      <c r="C92" s="20">
        <f t="shared" si="11"/>
        <v>3.0092633096501231E-7</v>
      </c>
    </row>
    <row r="93" spans="1:3" x14ac:dyDescent="0.25">
      <c r="A93" t="s">
        <v>987</v>
      </c>
      <c r="B93" s="20" t="str">
        <f t="shared" si="10"/>
        <v>2017/02/20 21:21:33.937</v>
      </c>
      <c r="C93" s="20">
        <f t="shared" si="11"/>
        <v>1.1271446761384141E-2</v>
      </c>
    </row>
    <row r="94" spans="1:3" x14ac:dyDescent="0.25">
      <c r="A94" t="s">
        <v>988</v>
      </c>
      <c r="B94" s="20" t="str">
        <f t="shared" si="10"/>
        <v>2017/02/20 21:21:34.148</v>
      </c>
      <c r="C94" s="20">
        <f t="shared" si="11"/>
        <v>2.4421315174549818E-6</v>
      </c>
    </row>
    <row r="95" spans="1:3" x14ac:dyDescent="0.25">
      <c r="A95" t="s">
        <v>989</v>
      </c>
      <c r="B95" s="20" t="str">
        <f t="shared" si="10"/>
        <v>2017/02/20 21:21:34.306</v>
      </c>
      <c r="C95" s="20">
        <f t="shared" si="11"/>
        <v>1.8287028069607913E-6</v>
      </c>
    </row>
    <row r="96" spans="1:3" x14ac:dyDescent="0.25">
      <c r="A96" t="s">
        <v>990</v>
      </c>
      <c r="B96" s="20" t="str">
        <f t="shared" si="10"/>
        <v>2017/02/20 22:35:22.318</v>
      </c>
      <c r="C96" s="20">
        <f t="shared" si="11"/>
        <v>5.1250138887553476E-2</v>
      </c>
    </row>
    <row r="97" spans="1:3" x14ac:dyDescent="0.25">
      <c r="A97" t="s">
        <v>991</v>
      </c>
      <c r="B97" s="20" t="str">
        <f t="shared" si="10"/>
        <v>2017/02/20 22:35:22.599</v>
      </c>
      <c r="C97" s="20">
        <f t="shared" si="11"/>
        <v>3.2523166737519205E-6</v>
      </c>
    </row>
    <row r="98" spans="1:3" x14ac:dyDescent="0.25">
      <c r="A98" t="s">
        <v>992</v>
      </c>
      <c r="B98" s="20" t="str">
        <f t="shared" si="10"/>
        <v>2017/02/20 22:35:22.962</v>
      </c>
      <c r="C98" s="20">
        <f t="shared" si="11"/>
        <v>4.2013853089883924E-6</v>
      </c>
    </row>
    <row r="99" spans="1:3" x14ac:dyDescent="0.25">
      <c r="A99" t="s">
        <v>993</v>
      </c>
      <c r="B99" s="20" t="str">
        <f t="shared" si="10"/>
        <v>2017/02/20 23:55:44.432</v>
      </c>
      <c r="C99" s="20">
        <f t="shared" si="11"/>
        <v>5.5804050927690696E-2</v>
      </c>
    </row>
    <row r="100" spans="1:3" x14ac:dyDescent="0.25">
      <c r="A100" t="s">
        <v>994</v>
      </c>
      <c r="B100" s="20" t="str">
        <f t="shared" si="10"/>
        <v>2017/02/21 00:36:36.296</v>
      </c>
      <c r="C100" s="20">
        <f t="shared" si="11"/>
        <v>2.8378055554640014E-2</v>
      </c>
    </row>
    <row r="101" spans="1:3" x14ac:dyDescent="0.25">
      <c r="A101" t="s">
        <v>995</v>
      </c>
      <c r="B101" s="20" t="str">
        <f t="shared" si="10"/>
        <v>2017/02/21 00:36:36.305</v>
      </c>
      <c r="C101" s="20">
        <f t="shared" si="11"/>
        <v>1.0416988516226411E-7</v>
      </c>
    </row>
    <row r="102" spans="1:3" x14ac:dyDescent="0.25">
      <c r="A102" t="s">
        <v>996</v>
      </c>
      <c r="B102" s="20" t="str">
        <f t="shared" si="10"/>
        <v>2017/02/21 01:13:38.261</v>
      </c>
      <c r="C102" s="20">
        <f t="shared" si="11"/>
        <v>2.5717083328345325E-2</v>
      </c>
    </row>
    <row r="103" spans="1:3" x14ac:dyDescent="0.25">
      <c r="A103" t="s">
        <v>997</v>
      </c>
      <c r="B103" s="20" t="str">
        <f t="shared" si="10"/>
        <v>2017/02/21 01:13:38.952</v>
      </c>
      <c r="C103" s="20">
        <f t="shared" si="11"/>
        <v>7.9976889537647367E-6</v>
      </c>
    </row>
    <row r="104" spans="1:3" x14ac:dyDescent="0.25">
      <c r="A104" t="s">
        <v>998</v>
      </c>
      <c r="B104" s="20" t="str">
        <f t="shared" si="10"/>
        <v>2017/02/21 01:13:39.068</v>
      </c>
      <c r="C104" s="20">
        <f t="shared" si="11"/>
        <v>1.3425888027995825E-6</v>
      </c>
    </row>
    <row r="105" spans="1:3" x14ac:dyDescent="0.25">
      <c r="A105" t="s">
        <v>999</v>
      </c>
      <c r="B105" s="20" t="str">
        <f t="shared" si="10"/>
        <v>2017/02/21 01:38:10.376</v>
      </c>
      <c r="C105" s="20">
        <f t="shared" si="11"/>
        <v>1.7029027781973127E-2</v>
      </c>
    </row>
    <row r="106" spans="1:3" x14ac:dyDescent="0.25">
      <c r="A106" t="s">
        <v>1000</v>
      </c>
      <c r="B106" s="20" t="str">
        <f t="shared" si="10"/>
        <v>2017/02/21 01:38:10.656</v>
      </c>
      <c r="C106" s="20">
        <f t="shared" si="11"/>
        <v>3.2407406251877546E-6</v>
      </c>
    </row>
    <row r="107" spans="1:3" x14ac:dyDescent="0.25">
      <c r="A107" t="s">
        <v>1001</v>
      </c>
      <c r="B107" s="20" t="str">
        <f t="shared" si="10"/>
        <v>2017/02/21 01:38:11.133</v>
      </c>
      <c r="C107" s="20">
        <f t="shared" si="11"/>
        <v>5.5208292906172574E-6</v>
      </c>
    </row>
    <row r="108" spans="1:3" x14ac:dyDescent="0.25">
      <c r="A108" t="s">
        <v>1002</v>
      </c>
      <c r="B108" s="20" t="str">
        <f t="shared" si="10"/>
        <v>2017/02/21 01:54:20.222</v>
      </c>
      <c r="C108" s="20">
        <f t="shared" si="11"/>
        <v>1.121630787383765E-2</v>
      </c>
    </row>
    <row r="109" spans="1:3" x14ac:dyDescent="0.25">
      <c r="A109" t="s">
        <v>1003</v>
      </c>
      <c r="B109" s="20" t="str">
        <f t="shared" si="10"/>
        <v>2017/02/21 01:54:21.610</v>
      </c>
      <c r="C109" s="20">
        <f t="shared" si="11"/>
        <v>1.6064812371041626E-5</v>
      </c>
    </row>
    <row r="110" spans="1:3" x14ac:dyDescent="0.25">
      <c r="A110" t="s">
        <v>1004</v>
      </c>
      <c r="B110" s="20" t="str">
        <f t="shared" si="10"/>
        <v>2017/02/21 01:54:21.641</v>
      </c>
      <c r="C110" s="20">
        <f t="shared" si="11"/>
        <v>3.5879929782822728E-7</v>
      </c>
    </row>
    <row r="111" spans="1:3" x14ac:dyDescent="0.25">
      <c r="A111" t="s">
        <v>1005</v>
      </c>
      <c r="B111" s="20" t="str">
        <f t="shared" si="10"/>
        <v>2017/02/21 03:39:03.419</v>
      </c>
      <c r="C111" s="20">
        <f t="shared" si="11"/>
        <v>7.270576388691552E-2</v>
      </c>
    </row>
    <row r="112" spans="1:3" x14ac:dyDescent="0.25">
      <c r="A112" t="s">
        <v>1006</v>
      </c>
      <c r="B112" s="20" t="str">
        <f t="shared" si="10"/>
        <v>2017/02/21 03:39:03.444</v>
      </c>
      <c r="C112" s="20">
        <f t="shared" si="11"/>
        <v>2.8935028240084648E-7</v>
      </c>
    </row>
    <row r="113" spans="1:3" x14ac:dyDescent="0.25">
      <c r="A113" t="s">
        <v>1007</v>
      </c>
      <c r="B113" s="20" t="str">
        <f t="shared" si="10"/>
        <v>2017/02/21 03:39:03.915</v>
      </c>
      <c r="C113" s="20">
        <f t="shared" si="11"/>
        <v>5.4513875511474907E-6</v>
      </c>
    </row>
    <row r="114" spans="1:3" x14ac:dyDescent="0.25">
      <c r="A114" t="s">
        <v>1008</v>
      </c>
      <c r="B114" s="20" t="str">
        <f t="shared" si="10"/>
        <v>2017/02/21 05:11:22.492</v>
      </c>
      <c r="C114" s="20">
        <f t="shared" si="11"/>
        <v>6.4103900469490327E-2</v>
      </c>
    </row>
    <row r="115" spans="1:3" x14ac:dyDescent="0.25">
      <c r="A115" t="s">
        <v>1009</v>
      </c>
      <c r="B115" s="20" t="str">
        <f t="shared" si="10"/>
        <v>2017/02/21 05:11:22.711</v>
      </c>
      <c r="C115" s="20">
        <f t="shared" si="11"/>
        <v>2.5347180780954659E-6</v>
      </c>
    </row>
    <row r="116" spans="1:3" x14ac:dyDescent="0.25">
      <c r="A116" t="s">
        <v>1010</v>
      </c>
      <c r="B116" s="20" t="str">
        <f t="shared" si="10"/>
        <v>2017/02/21 05:11:23.788</v>
      </c>
      <c r="C116" s="20">
        <f t="shared" si="11"/>
        <v>1.2465279723983258E-5</v>
      </c>
    </row>
    <row r="117" spans="1:3" x14ac:dyDescent="0.25">
      <c r="A117" t="s">
        <v>1011</v>
      </c>
      <c r="B117" s="20" t="str">
        <f t="shared" si="10"/>
        <v>2017/02/21 05:43:00.135</v>
      </c>
      <c r="C117" s="20">
        <f t="shared" si="11"/>
        <v>2.1948460649582557E-2</v>
      </c>
    </row>
    <row r="118" spans="1:3" x14ac:dyDescent="0.25">
      <c r="A118" t="s">
        <v>1012</v>
      </c>
      <c r="B118" s="20" t="str">
        <f t="shared" si="10"/>
        <v>2017/02/21 05:43:00.398</v>
      </c>
      <c r="C118" s="20">
        <f t="shared" si="11"/>
        <v>3.0439769034273922E-6</v>
      </c>
    </row>
    <row r="119" spans="1:3" x14ac:dyDescent="0.25">
      <c r="A119" t="s">
        <v>1013</v>
      </c>
      <c r="B119" s="20" t="str">
        <f t="shared" si="10"/>
        <v>2017/02/21 05:43:01.068</v>
      </c>
      <c r="C119" s="20">
        <f t="shared" si="11"/>
        <v>7.7546283137053251E-6</v>
      </c>
    </row>
    <row r="120" spans="1:3" x14ac:dyDescent="0.25">
      <c r="B120" s="20"/>
      <c r="C120" s="20"/>
    </row>
    <row r="121" spans="1:3" x14ac:dyDescent="0.25">
      <c r="B121" s="20"/>
      <c r="C121" s="20"/>
    </row>
    <row r="122" spans="1:3" x14ac:dyDescent="0.25">
      <c r="B122" s="20"/>
      <c r="C122" s="20"/>
    </row>
    <row r="123" spans="1:3" x14ac:dyDescent="0.25">
      <c r="B123" s="20"/>
      <c r="C123" s="20"/>
    </row>
    <row r="124" spans="1:3" x14ac:dyDescent="0.25">
      <c r="B124" s="20"/>
      <c r="C124" s="20"/>
    </row>
    <row r="125" spans="1:3" x14ac:dyDescent="0.25">
      <c r="B125" s="20"/>
      <c r="C125" s="20"/>
    </row>
    <row r="126" spans="1:3" x14ac:dyDescent="0.25">
      <c r="B126" s="20"/>
      <c r="C126" s="20"/>
    </row>
    <row r="127" spans="1:3" x14ac:dyDescent="0.25">
      <c r="B127" s="20"/>
      <c r="C127" s="20"/>
    </row>
    <row r="128" spans="1:3" x14ac:dyDescent="0.25">
      <c r="B128" s="20"/>
      <c r="C128" s="20"/>
    </row>
    <row r="129" spans="2:3" x14ac:dyDescent="0.25">
      <c r="B129" s="20"/>
      <c r="C129" s="20"/>
    </row>
    <row r="130" spans="2:3" x14ac:dyDescent="0.25">
      <c r="B130" s="20"/>
      <c r="C130" s="20"/>
    </row>
    <row r="131" spans="2:3" x14ac:dyDescent="0.25">
      <c r="B131" s="20"/>
      <c r="C131" s="20"/>
    </row>
    <row r="132" spans="2:3" x14ac:dyDescent="0.25">
      <c r="B132" s="20"/>
      <c r="C132" s="20"/>
    </row>
    <row r="133" spans="2:3" x14ac:dyDescent="0.25">
      <c r="B133" s="20"/>
      <c r="C133" s="20"/>
    </row>
    <row r="134" spans="2:3" x14ac:dyDescent="0.25">
      <c r="B134" s="20"/>
      <c r="C134" s="20"/>
    </row>
    <row r="135" spans="2:3" x14ac:dyDescent="0.25">
      <c r="B135" s="20"/>
      <c r="C135" s="20"/>
    </row>
    <row r="136" spans="2:3" x14ac:dyDescent="0.25">
      <c r="B136" s="20"/>
      <c r="C136" s="20"/>
    </row>
    <row r="137" spans="2:3" x14ac:dyDescent="0.25">
      <c r="B137" s="20"/>
      <c r="C137" s="20"/>
    </row>
    <row r="138" spans="2:3" x14ac:dyDescent="0.25">
      <c r="B138" s="20"/>
      <c r="C138" s="20"/>
    </row>
    <row r="139" spans="2:3" x14ac:dyDescent="0.25">
      <c r="B139" s="20"/>
      <c r="C139" s="20"/>
    </row>
    <row r="140" spans="2:3" x14ac:dyDescent="0.25">
      <c r="B140" s="20"/>
      <c r="C140" s="20"/>
    </row>
    <row r="141" spans="2:3" x14ac:dyDescent="0.25">
      <c r="B141" s="20"/>
      <c r="C141" s="20"/>
    </row>
    <row r="142" spans="2:3" x14ac:dyDescent="0.25">
      <c r="B142" s="20"/>
      <c r="C142" s="20"/>
    </row>
    <row r="143" spans="2:3" x14ac:dyDescent="0.25">
      <c r="B143" s="20"/>
      <c r="C143" s="20"/>
    </row>
    <row r="144" spans="2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2017-02-22T15:31:31Z</dcterms:modified>
</cp:coreProperties>
</file>