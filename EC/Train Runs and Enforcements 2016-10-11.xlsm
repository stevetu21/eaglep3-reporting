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9" i="1" l="1"/>
  <c r="K85" i="1" l="1"/>
  <c r="L85" i="1"/>
  <c r="M85" i="1"/>
  <c r="N85" i="1" s="1"/>
  <c r="V85" i="1"/>
  <c r="AA85" i="1"/>
  <c r="AB85" i="1"/>
  <c r="AC85" i="1"/>
  <c r="AD85" i="1"/>
  <c r="T85" i="1" s="1"/>
  <c r="AE85" i="1"/>
  <c r="AF85" i="1"/>
  <c r="AH85" i="1"/>
  <c r="K69" i="1"/>
  <c r="L69" i="1"/>
  <c r="M69" i="1"/>
  <c r="V69" i="1"/>
  <c r="Y69" i="1"/>
  <c r="Z69" i="1"/>
  <c r="AB69" i="1"/>
  <c r="AC69" i="1"/>
  <c r="AD69" i="1"/>
  <c r="T69" i="1" s="1"/>
  <c r="AE69" i="1"/>
  <c r="AF69" i="1"/>
  <c r="AH69" i="1"/>
  <c r="K152" i="1"/>
  <c r="L152" i="1"/>
  <c r="M152" i="1"/>
  <c r="V152" i="1"/>
  <c r="Z152" i="1"/>
  <c r="AA152" i="1" s="1"/>
  <c r="AB152" i="1"/>
  <c r="AC152" i="1"/>
  <c r="AD152" i="1"/>
  <c r="T152" i="1" s="1"/>
  <c r="AE152" i="1"/>
  <c r="AF152" i="1"/>
  <c r="AH152" i="1"/>
  <c r="M43" i="1"/>
  <c r="P43" i="1" s="1"/>
  <c r="L43" i="1"/>
  <c r="K43" i="1"/>
  <c r="M27" i="1"/>
  <c r="P27" i="1" s="1"/>
  <c r="L27" i="1"/>
  <c r="K27" i="1"/>
  <c r="AH16" i="1"/>
  <c r="AF16" i="1"/>
  <c r="AE16" i="1"/>
  <c r="AD16" i="1"/>
  <c r="AG16" i="1" s="1"/>
  <c r="AC16" i="1"/>
  <c r="AB16" i="1"/>
  <c r="V16" i="1"/>
  <c r="M16" i="1"/>
  <c r="L16" i="1"/>
  <c r="K16" i="1"/>
  <c r="K175" i="1"/>
  <c r="L175" i="1"/>
  <c r="M175" i="1"/>
  <c r="N175" i="1" s="1"/>
  <c r="V175" i="1"/>
  <c r="S40" i="3" s="1"/>
  <c r="AA175" i="1"/>
  <c r="AB175" i="1"/>
  <c r="AC175" i="1"/>
  <c r="AD175" i="1"/>
  <c r="T175" i="1" s="1"/>
  <c r="AE175" i="1"/>
  <c r="R40" i="3" s="1"/>
  <c r="AF175" i="1"/>
  <c r="AH175" i="1"/>
  <c r="K78" i="1"/>
  <c r="L78" i="1"/>
  <c r="M78" i="1"/>
  <c r="N78" i="1" s="1"/>
  <c r="V78" i="1"/>
  <c r="S7" i="3" s="1"/>
  <c r="AA78" i="1"/>
  <c r="AB78" i="1"/>
  <c r="AC78" i="1"/>
  <c r="AD78" i="1"/>
  <c r="T78" i="1" s="1"/>
  <c r="AE78" i="1"/>
  <c r="R7" i="3" s="1"/>
  <c r="AF78" i="1"/>
  <c r="AH7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P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V56" i="1"/>
  <c r="Y56" i="1"/>
  <c r="Z56" i="1"/>
  <c r="AB56" i="1"/>
  <c r="AC56" i="1"/>
  <c r="AD56" i="1"/>
  <c r="AG56" i="1" s="1"/>
  <c r="AE56" i="1"/>
  <c r="AF56" i="1"/>
  <c r="K57" i="1"/>
  <c r="L57" i="1"/>
  <c r="M57" i="1"/>
  <c r="V57" i="1"/>
  <c r="Y57" i="1"/>
  <c r="Z57" i="1"/>
  <c r="AB57" i="1"/>
  <c r="AC57" i="1"/>
  <c r="AD57" i="1"/>
  <c r="AG57" i="1" s="1"/>
  <c r="AE57" i="1"/>
  <c r="AF57" i="1"/>
  <c r="K58" i="1"/>
  <c r="L58" i="1"/>
  <c r="M58" i="1"/>
  <c r="P58" i="1" s="1"/>
  <c r="V58" i="1"/>
  <c r="Y58" i="1"/>
  <c r="Z58" i="1"/>
  <c r="AB58" i="1"/>
  <c r="AC58" i="1"/>
  <c r="AD58" i="1"/>
  <c r="AE58" i="1"/>
  <c r="AF58" i="1"/>
  <c r="K59" i="1"/>
  <c r="L59" i="1"/>
  <c r="M59" i="1"/>
  <c r="V59" i="1"/>
  <c r="Y59" i="1"/>
  <c r="Z59" i="1"/>
  <c r="AB59" i="1"/>
  <c r="AC59" i="1"/>
  <c r="AD59" i="1"/>
  <c r="AG59" i="1" s="1"/>
  <c r="AE59" i="1"/>
  <c r="AF59" i="1"/>
  <c r="K60" i="1"/>
  <c r="L60" i="1"/>
  <c r="M60" i="1"/>
  <c r="V60" i="1"/>
  <c r="Y60" i="1"/>
  <c r="Z60" i="1"/>
  <c r="AB60" i="1"/>
  <c r="AC60" i="1"/>
  <c r="AD60" i="1"/>
  <c r="AG60" i="1" s="1"/>
  <c r="AE60" i="1"/>
  <c r="AF60" i="1"/>
  <c r="K61" i="1"/>
  <c r="L61" i="1"/>
  <c r="M61" i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K92" i="1"/>
  <c r="L92" i="1"/>
  <c r="M92" i="1"/>
  <c r="P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P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T131" i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S30" i="3" s="1"/>
  <c r="Y136" i="1"/>
  <c r="Z136" i="1"/>
  <c r="AB136" i="1"/>
  <c r="AC136" i="1"/>
  <c r="AD136" i="1"/>
  <c r="AG136" i="1" s="1"/>
  <c r="AE136" i="1"/>
  <c r="R30" i="3" s="1"/>
  <c r="AF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S9" i="3" s="1"/>
  <c r="Y140" i="1"/>
  <c r="Z140" i="1"/>
  <c r="AB140" i="1"/>
  <c r="AC140" i="1"/>
  <c r="AD140" i="1"/>
  <c r="AG140" i="1" s="1"/>
  <c r="AE140" i="1"/>
  <c r="R9" i="3" s="1"/>
  <c r="AF140" i="1"/>
  <c r="K141" i="1"/>
  <c r="L141" i="1"/>
  <c r="M141" i="1"/>
  <c r="N141" i="1" s="1"/>
  <c r="V141" i="1"/>
  <c r="S11" i="3" s="1"/>
  <c r="Y141" i="1"/>
  <c r="Z141" i="1"/>
  <c r="AB141" i="1"/>
  <c r="AC141" i="1"/>
  <c r="AD141" i="1"/>
  <c r="AG141" i="1" s="1"/>
  <c r="AE141" i="1"/>
  <c r="R11" i="3" s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S31" i="3" s="1"/>
  <c r="Y146" i="1"/>
  <c r="Z146" i="1"/>
  <c r="AB146" i="1"/>
  <c r="AC146" i="1"/>
  <c r="AD146" i="1"/>
  <c r="T146" i="1" s="1"/>
  <c r="AE146" i="1"/>
  <c r="R31" i="3" s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R32" i="3" s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S33" i="3" s="1"/>
  <c r="Y150" i="1"/>
  <c r="Z150" i="1"/>
  <c r="AB150" i="1"/>
  <c r="AC150" i="1"/>
  <c r="AD150" i="1"/>
  <c r="AE150" i="1"/>
  <c r="R33" i="3" s="1"/>
  <c r="AF150" i="1"/>
  <c r="K151" i="1"/>
  <c r="L151" i="1"/>
  <c r="M151" i="1"/>
  <c r="P151" i="1" s="1"/>
  <c r="V151" i="1"/>
  <c r="Y151" i="1"/>
  <c r="AB151" i="1"/>
  <c r="AC151" i="1"/>
  <c r="AD151" i="1"/>
  <c r="T151" i="1" s="1"/>
  <c r="AE151" i="1"/>
  <c r="AF151" i="1"/>
  <c r="K153" i="1"/>
  <c r="L153" i="1"/>
  <c r="M153" i="1"/>
  <c r="P153" i="1" s="1"/>
  <c r="V153" i="1"/>
  <c r="Y153" i="1"/>
  <c r="Z153" i="1"/>
  <c r="AB153" i="1"/>
  <c r="AC153" i="1"/>
  <c r="AD153" i="1"/>
  <c r="T153" i="1" s="1"/>
  <c r="AE153" i="1"/>
  <c r="AF15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S58" i="3" s="1"/>
  <c r="Y213" i="1"/>
  <c r="Z213" i="1"/>
  <c r="AB213" i="1"/>
  <c r="AC213" i="1"/>
  <c r="AD213" i="1"/>
  <c r="AE213" i="1"/>
  <c r="R58" i="3" s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S57" i="3" s="1"/>
  <c r="Y215" i="1"/>
  <c r="Z215" i="1"/>
  <c r="AB215" i="1"/>
  <c r="AC215" i="1"/>
  <c r="AD215" i="1"/>
  <c r="AG215" i="1" s="1"/>
  <c r="AE215" i="1"/>
  <c r="R57" i="3" s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K219" i="1"/>
  <c r="L219" i="1"/>
  <c r="M219" i="1"/>
  <c r="N219" i="1" s="1"/>
  <c r="V219" i="1"/>
  <c r="S55" i="3" s="1"/>
  <c r="Y219" i="1"/>
  <c r="Z219" i="1"/>
  <c r="AB219" i="1"/>
  <c r="AC219" i="1"/>
  <c r="AD219" i="1"/>
  <c r="AG219" i="1" s="1"/>
  <c r="AE219" i="1"/>
  <c r="R55" i="3" s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R42" i="3" s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S49" i="3" s="1"/>
  <c r="Y165" i="1"/>
  <c r="Z165" i="1"/>
  <c r="AB165" i="1"/>
  <c r="AC165" i="1"/>
  <c r="AD165" i="1"/>
  <c r="AE165" i="1"/>
  <c r="R49" i="3" s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S39" i="3" s="1"/>
  <c r="Y167" i="1"/>
  <c r="AB167" i="1"/>
  <c r="AC167" i="1"/>
  <c r="AD167" i="1"/>
  <c r="AE167" i="1"/>
  <c r="R39" i="3" s="1"/>
  <c r="AF167" i="1"/>
  <c r="K168" i="1"/>
  <c r="L168" i="1"/>
  <c r="M168" i="1"/>
  <c r="P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S47" i="3" s="1"/>
  <c r="Y172" i="1"/>
  <c r="Z172" i="1"/>
  <c r="AB172" i="1"/>
  <c r="AC172" i="1"/>
  <c r="AD172" i="1"/>
  <c r="AG172" i="1" s="1"/>
  <c r="AE172" i="1"/>
  <c r="R47" i="3" s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S50" i="3" s="1"/>
  <c r="Y177" i="1"/>
  <c r="Z177" i="1"/>
  <c r="AB177" i="1"/>
  <c r="AC177" i="1"/>
  <c r="AD177" i="1"/>
  <c r="AG177" i="1" s="1"/>
  <c r="AE177" i="1"/>
  <c r="R50" i="3" s="1"/>
  <c r="AF177" i="1"/>
  <c r="K178" i="1"/>
  <c r="L178" i="1"/>
  <c r="M178" i="1"/>
  <c r="N178" i="1" s="1"/>
  <c r="V178" i="1"/>
  <c r="S37" i="3" s="1"/>
  <c r="Y178" i="1"/>
  <c r="Z178" i="1"/>
  <c r="AB178" i="1"/>
  <c r="AC178" i="1"/>
  <c r="AD178" i="1"/>
  <c r="AE178" i="1"/>
  <c r="R43" i="3" s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S51" i="3" s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P191" i="1" s="1"/>
  <c r="V191" i="1"/>
  <c r="S46" i="3" s="1"/>
  <c r="Y191" i="1"/>
  <c r="Z191" i="1"/>
  <c r="AB191" i="1"/>
  <c r="AC191" i="1"/>
  <c r="AD191" i="1"/>
  <c r="T191" i="1" s="1"/>
  <c r="AE191" i="1"/>
  <c r="R44" i="3" s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S41" i="3" s="1"/>
  <c r="Y196" i="1"/>
  <c r="Z196" i="1"/>
  <c r="AB196" i="1"/>
  <c r="AC196" i="1"/>
  <c r="AD196" i="1"/>
  <c r="AG196" i="1" s="1"/>
  <c r="AE196" i="1"/>
  <c r="R41" i="3" s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S48" i="3" s="1"/>
  <c r="Y198" i="1"/>
  <c r="Z198" i="1"/>
  <c r="AB198" i="1"/>
  <c r="AC198" i="1"/>
  <c r="AD198" i="1"/>
  <c r="AG198" i="1" s="1"/>
  <c r="AE198" i="1"/>
  <c r="R48" i="3" s="1"/>
  <c r="AF19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8" i="1"/>
  <c r="L208" i="1"/>
  <c r="M208" i="1"/>
  <c r="N208" i="1" s="1"/>
  <c r="V208" i="1"/>
  <c r="S54" i="3" s="1"/>
  <c r="Y208" i="1"/>
  <c r="Z208" i="1"/>
  <c r="AB208" i="1"/>
  <c r="AC208" i="1"/>
  <c r="AD208" i="1"/>
  <c r="AG208" i="1" s="1"/>
  <c r="AE208" i="1"/>
  <c r="R53" i="3" s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U12" i="3"/>
  <c r="T12" i="3" s="1"/>
  <c r="V12" i="3"/>
  <c r="W12" i="3"/>
  <c r="X12" i="3"/>
  <c r="U42" i="3"/>
  <c r="AC42" i="3" s="1"/>
  <c r="V42" i="3"/>
  <c r="W42" i="3"/>
  <c r="X42" i="3"/>
  <c r="U36" i="3"/>
  <c r="T36" i="3" s="1"/>
  <c r="V36" i="3"/>
  <c r="W36" i="3"/>
  <c r="X36" i="3"/>
  <c r="U49" i="3"/>
  <c r="T49" i="3" s="1"/>
  <c r="V49" i="3"/>
  <c r="W49" i="3"/>
  <c r="X49" i="3"/>
  <c r="AC49" i="3"/>
  <c r="U53" i="3"/>
  <c r="T53" i="3" s="1"/>
  <c r="V53" i="3"/>
  <c r="W53" i="3"/>
  <c r="X53" i="3"/>
  <c r="AC53" i="3"/>
  <c r="U54" i="3"/>
  <c r="AC54" i="3" s="1"/>
  <c r="V54" i="3"/>
  <c r="W54" i="3"/>
  <c r="X54" i="3"/>
  <c r="U56" i="3"/>
  <c r="T56" i="3" s="1"/>
  <c r="V56" i="3"/>
  <c r="W56" i="3"/>
  <c r="X56" i="3"/>
  <c r="AC56" i="3"/>
  <c r="U23" i="3"/>
  <c r="T23" i="3" s="1"/>
  <c r="V23" i="3"/>
  <c r="W23" i="3"/>
  <c r="X23" i="3"/>
  <c r="AC23" i="3"/>
  <c r="U24" i="3"/>
  <c r="T24" i="3" s="1"/>
  <c r="V24" i="3"/>
  <c r="W24" i="3"/>
  <c r="X24" i="3"/>
  <c r="U39" i="3"/>
  <c r="AC39" i="3" s="1"/>
  <c r="V39" i="3"/>
  <c r="W39" i="3"/>
  <c r="X39" i="3"/>
  <c r="U22" i="3"/>
  <c r="T22" i="3" s="1"/>
  <c r="V22" i="3"/>
  <c r="W22" i="3"/>
  <c r="X22" i="3"/>
  <c r="AC22" i="3"/>
  <c r="U14" i="3"/>
  <c r="T14" i="3" s="1"/>
  <c r="V14" i="3"/>
  <c r="W14" i="3"/>
  <c r="X14" i="3"/>
  <c r="AC14" i="3"/>
  <c r="U17" i="3"/>
  <c r="T17" i="3" s="1"/>
  <c r="V17" i="3"/>
  <c r="W17" i="3"/>
  <c r="X17" i="3"/>
  <c r="AC17" i="3"/>
  <c r="U18" i="3"/>
  <c r="AC18" i="3" s="1"/>
  <c r="V18" i="3"/>
  <c r="W18" i="3"/>
  <c r="X18" i="3"/>
  <c r="U19" i="3"/>
  <c r="T19" i="3" s="1"/>
  <c r="V19" i="3"/>
  <c r="W19" i="3"/>
  <c r="X19" i="3"/>
  <c r="AC19" i="3"/>
  <c r="U25" i="3"/>
  <c r="T25" i="3" s="1"/>
  <c r="V25" i="3"/>
  <c r="W25" i="3"/>
  <c r="X25" i="3"/>
  <c r="AC25" i="3"/>
  <c r="U58" i="3"/>
  <c r="T58" i="3" s="1"/>
  <c r="V58" i="3"/>
  <c r="W58" i="3"/>
  <c r="X58" i="3"/>
  <c r="U26" i="3"/>
  <c r="AC26" i="3" s="1"/>
  <c r="V26" i="3"/>
  <c r="W26" i="3"/>
  <c r="X26" i="3"/>
  <c r="U47" i="3"/>
  <c r="T47" i="3" s="1"/>
  <c r="V47" i="3"/>
  <c r="W47" i="3"/>
  <c r="X47" i="3"/>
  <c r="AC47" i="3"/>
  <c r="U8" i="3"/>
  <c r="T8" i="3" s="1"/>
  <c r="V8" i="3"/>
  <c r="W8" i="3"/>
  <c r="X8" i="3"/>
  <c r="AC8" i="3"/>
  <c r="U40" i="3"/>
  <c r="T40" i="3" s="1"/>
  <c r="V40" i="3"/>
  <c r="W40" i="3"/>
  <c r="X40" i="3"/>
  <c r="AC40" i="3"/>
  <c r="R45" i="3"/>
  <c r="S45" i="3"/>
  <c r="U45" i="3"/>
  <c r="AC45" i="3" s="1"/>
  <c r="V45" i="3"/>
  <c r="W45" i="3"/>
  <c r="X45" i="3"/>
  <c r="U7" i="3"/>
  <c r="T7" i="3" s="1"/>
  <c r="V7" i="3"/>
  <c r="W7" i="3"/>
  <c r="X7" i="3"/>
  <c r="AC7" i="3"/>
  <c r="U50" i="3"/>
  <c r="T50" i="3" s="1"/>
  <c r="V50" i="3"/>
  <c r="W50" i="3"/>
  <c r="X50" i="3"/>
  <c r="AC50" i="3"/>
  <c r="U27" i="3"/>
  <c r="T27" i="3" s="1"/>
  <c r="V27" i="3"/>
  <c r="W27" i="3"/>
  <c r="X27" i="3"/>
  <c r="U16" i="3"/>
  <c r="AC16" i="3" s="1"/>
  <c r="V16" i="3"/>
  <c r="W16" i="3"/>
  <c r="X16" i="3"/>
  <c r="U43" i="3"/>
  <c r="T43" i="3" s="1"/>
  <c r="V43" i="3"/>
  <c r="W43" i="3"/>
  <c r="X43" i="3"/>
  <c r="AC43" i="3"/>
  <c r="U37" i="3"/>
  <c r="T37" i="3" s="1"/>
  <c r="V37" i="3"/>
  <c r="W37" i="3"/>
  <c r="X37" i="3"/>
  <c r="AC37" i="3"/>
  <c r="U15" i="3"/>
  <c r="T15" i="3" s="1"/>
  <c r="V15" i="3"/>
  <c r="W15" i="3"/>
  <c r="X15" i="3"/>
  <c r="AC15" i="3"/>
  <c r="U34" i="3"/>
  <c r="AC34" i="3" s="1"/>
  <c r="V34" i="3"/>
  <c r="W34" i="3"/>
  <c r="X34" i="3"/>
  <c r="U13" i="3"/>
  <c r="T13" i="3" s="1"/>
  <c r="V13" i="3"/>
  <c r="W13" i="3"/>
  <c r="X13" i="3"/>
  <c r="AC13" i="3"/>
  <c r="U35" i="3"/>
  <c r="T35" i="3" s="1"/>
  <c r="V35" i="3"/>
  <c r="W35" i="3"/>
  <c r="X35" i="3"/>
  <c r="U20" i="3"/>
  <c r="T20" i="3" s="1"/>
  <c r="V20" i="3"/>
  <c r="W20" i="3"/>
  <c r="X20" i="3"/>
  <c r="U10" i="3"/>
  <c r="AC10" i="3" s="1"/>
  <c r="V10" i="3"/>
  <c r="W10" i="3"/>
  <c r="X10" i="3"/>
  <c r="U28" i="3"/>
  <c r="T28" i="3" s="1"/>
  <c r="V28" i="3"/>
  <c r="W28" i="3"/>
  <c r="X28" i="3"/>
  <c r="AC28" i="3"/>
  <c r="U57" i="3"/>
  <c r="T57" i="3" s="1"/>
  <c r="V57" i="3"/>
  <c r="W57" i="3"/>
  <c r="X57" i="3"/>
  <c r="AC57" i="3"/>
  <c r="U55" i="3"/>
  <c r="T55" i="3" s="1"/>
  <c r="V55" i="3"/>
  <c r="W55" i="3"/>
  <c r="X55" i="3"/>
  <c r="AC55" i="3"/>
  <c r="U29" i="3"/>
  <c r="AC29" i="3" s="1"/>
  <c r="V29" i="3"/>
  <c r="W29" i="3"/>
  <c r="X29" i="3"/>
  <c r="U51" i="3"/>
  <c r="T51" i="3" s="1"/>
  <c r="V51" i="3"/>
  <c r="W51" i="3"/>
  <c r="X51" i="3"/>
  <c r="AC51" i="3"/>
  <c r="U52" i="3"/>
  <c r="T52" i="3" s="1"/>
  <c r="V52" i="3"/>
  <c r="W52" i="3"/>
  <c r="X52" i="3"/>
  <c r="AC52" i="3"/>
  <c r="U46" i="3"/>
  <c r="T46" i="3" s="1"/>
  <c r="V46" i="3"/>
  <c r="W46" i="3"/>
  <c r="X46" i="3"/>
  <c r="U44" i="3"/>
  <c r="AC44" i="3" s="1"/>
  <c r="V44" i="3"/>
  <c r="W44" i="3"/>
  <c r="X44" i="3"/>
  <c r="U41" i="3"/>
  <c r="T41" i="3" s="1"/>
  <c r="V41" i="3"/>
  <c r="W41" i="3"/>
  <c r="X41" i="3"/>
  <c r="AC41" i="3"/>
  <c r="U38" i="3"/>
  <c r="T38" i="3" s="1"/>
  <c r="V38" i="3"/>
  <c r="W38" i="3"/>
  <c r="X38" i="3"/>
  <c r="U48" i="3"/>
  <c r="T48" i="3" s="1"/>
  <c r="V48" i="3"/>
  <c r="W48" i="3"/>
  <c r="X48" i="3"/>
  <c r="AC48" i="3"/>
  <c r="U11" i="3"/>
  <c r="AC11" i="3" s="1"/>
  <c r="V11" i="3"/>
  <c r="W11" i="3"/>
  <c r="X11" i="3"/>
  <c r="U30" i="3"/>
  <c r="T30" i="3" s="1"/>
  <c r="V30" i="3"/>
  <c r="W30" i="3"/>
  <c r="X30" i="3"/>
  <c r="AC30" i="3"/>
  <c r="U9" i="3"/>
  <c r="T9" i="3" s="1"/>
  <c r="V9" i="3"/>
  <c r="W9" i="3"/>
  <c r="X9" i="3"/>
  <c r="AC9" i="3"/>
  <c r="U31" i="3"/>
  <c r="T31" i="3" s="1"/>
  <c r="V31" i="3"/>
  <c r="W31" i="3"/>
  <c r="X31" i="3"/>
  <c r="S32" i="3"/>
  <c r="U32" i="3"/>
  <c r="AC32" i="3" s="1"/>
  <c r="V32" i="3"/>
  <c r="W32" i="3"/>
  <c r="X32" i="3"/>
  <c r="U33" i="3"/>
  <c r="T33" i="3" s="1"/>
  <c r="V33" i="3"/>
  <c r="W33" i="3"/>
  <c r="X33" i="3"/>
  <c r="AC33" i="3"/>
  <c r="Y31" i="3" l="1"/>
  <c r="Y46" i="3"/>
  <c r="AC35" i="3"/>
  <c r="P60" i="1"/>
  <c r="P56" i="1"/>
  <c r="X70" i="1"/>
  <c r="AA168" i="1"/>
  <c r="W168" i="1" s="1"/>
  <c r="AA100" i="1"/>
  <c r="AA94" i="1"/>
  <c r="AA69" i="1"/>
  <c r="X45" i="1"/>
  <c r="AA113" i="1"/>
  <c r="X153" i="1"/>
  <c r="X44" i="1"/>
  <c r="X152" i="1"/>
  <c r="X86" i="1"/>
  <c r="X43" i="1"/>
  <c r="X114" i="1"/>
  <c r="T95" i="1"/>
  <c r="AG90" i="1"/>
  <c r="AI90" i="1" s="1"/>
  <c r="AI77" i="1"/>
  <c r="X18" i="1"/>
  <c r="T16" i="1"/>
  <c r="U16" i="1" s="1"/>
  <c r="S16" i="1" s="1"/>
  <c r="AG85" i="1"/>
  <c r="X85" i="1"/>
  <c r="AG69" i="1"/>
  <c r="X69" i="1"/>
  <c r="AG152" i="1"/>
  <c r="Y30" i="3"/>
  <c r="Y12" i="3"/>
  <c r="AI57" i="1"/>
  <c r="AA65" i="1"/>
  <c r="AA16" i="1"/>
  <c r="W16" i="1" s="1"/>
  <c r="AI16" i="1"/>
  <c r="AI125" i="1"/>
  <c r="AG188" i="1"/>
  <c r="AI188" i="1" s="1"/>
  <c r="AA205" i="1"/>
  <c r="AI140" i="1"/>
  <c r="AI68" i="1"/>
  <c r="S52" i="3"/>
  <c r="AI103" i="1"/>
  <c r="AA103" i="1"/>
  <c r="W103" i="1" s="1"/>
  <c r="AG33" i="1"/>
  <c r="AI33" i="1" s="1"/>
  <c r="X80" i="1"/>
  <c r="X21" i="1"/>
  <c r="X17" i="1"/>
  <c r="AA125" i="1"/>
  <c r="W125" i="1" s="1"/>
  <c r="AA123" i="1"/>
  <c r="T116" i="1"/>
  <c r="U116" i="1" s="1"/>
  <c r="S116" i="1" s="1"/>
  <c r="AA114" i="1"/>
  <c r="AA97" i="1"/>
  <c r="AI95" i="1"/>
  <c r="AA56" i="1"/>
  <c r="T35" i="1"/>
  <c r="U35" i="1" s="1"/>
  <c r="S35" i="1" s="1"/>
  <c r="AA32" i="1"/>
  <c r="W32" i="1" s="1"/>
  <c r="X26" i="1"/>
  <c r="T15" i="1"/>
  <c r="U15" i="1" s="1"/>
  <c r="S15" i="1" s="1"/>
  <c r="X79" i="1"/>
  <c r="X177" i="1"/>
  <c r="X20" i="1"/>
  <c r="S44" i="3"/>
  <c r="AA199" i="1"/>
  <c r="T214" i="1"/>
  <c r="AA212" i="1"/>
  <c r="AA204" i="1"/>
  <c r="AA148" i="1"/>
  <c r="W148" i="1" s="1"/>
  <c r="AA116" i="1"/>
  <c r="W116" i="1" s="1"/>
  <c r="AA58" i="1"/>
  <c r="AI53" i="1"/>
  <c r="AA41" i="1"/>
  <c r="AA36" i="1"/>
  <c r="W36" i="1" s="1"/>
  <c r="AA15" i="1"/>
  <c r="W15" i="1" s="1"/>
  <c r="X176" i="1"/>
  <c r="X19" i="1"/>
  <c r="X78" i="1"/>
  <c r="X16" i="1"/>
  <c r="Y26" i="3"/>
  <c r="Y16" i="3"/>
  <c r="Y27" i="3"/>
  <c r="Y20" i="3"/>
  <c r="Y50" i="3"/>
  <c r="Y39" i="3"/>
  <c r="Y42" i="3"/>
  <c r="Y25" i="3"/>
  <c r="Y24" i="3"/>
  <c r="Y32" i="3"/>
  <c r="Y44" i="3"/>
  <c r="Y29" i="3"/>
  <c r="Y7" i="3"/>
  <c r="Y18" i="3"/>
  <c r="AG175" i="1"/>
  <c r="X175" i="1"/>
  <c r="AG78" i="1"/>
  <c r="W78" i="1" s="1"/>
  <c r="Y48" i="3"/>
  <c r="Y13" i="3"/>
  <c r="Y40" i="3"/>
  <c r="Y17" i="3"/>
  <c r="Y54" i="3"/>
  <c r="Y9" i="3"/>
  <c r="Y10" i="3"/>
  <c r="Y58" i="3"/>
  <c r="X127" i="1"/>
  <c r="AA127" i="1"/>
  <c r="AG86" i="1"/>
  <c r="U86" i="1" s="1"/>
  <c r="S86" i="1" s="1"/>
  <c r="X81" i="1"/>
  <c r="AA31" i="1"/>
  <c r="T196" i="1"/>
  <c r="AA161" i="1"/>
  <c r="AA157" i="1"/>
  <c r="AA202" i="1"/>
  <c r="AA145" i="1"/>
  <c r="W145" i="1" s="1"/>
  <c r="AA140" i="1"/>
  <c r="W140" i="1" s="1"/>
  <c r="AA136" i="1"/>
  <c r="W136" i="1" s="1"/>
  <c r="AA132" i="1"/>
  <c r="W132" i="1" s="1"/>
  <c r="T114" i="1"/>
  <c r="AI111" i="1"/>
  <c r="AA99" i="1"/>
  <c r="W99" i="1" s="1"/>
  <c r="AA81" i="1"/>
  <c r="AA50" i="1"/>
  <c r="W50" i="1" s="1"/>
  <c r="AA42" i="1"/>
  <c r="AA208" i="1"/>
  <c r="W208" i="1" s="1"/>
  <c r="AA172" i="1"/>
  <c r="AA67" i="1"/>
  <c r="W67" i="1" s="1"/>
  <c r="X39" i="1"/>
  <c r="X187" i="1"/>
  <c r="T181" i="1"/>
  <c r="AA164" i="1"/>
  <c r="W164" i="1" s="1"/>
  <c r="AG151" i="1"/>
  <c r="AI151" i="1" s="1"/>
  <c r="X151" i="1"/>
  <c r="T76" i="1"/>
  <c r="T55" i="1"/>
  <c r="U55" i="1" s="1"/>
  <c r="S55" i="1" s="1"/>
  <c r="AA48" i="1"/>
  <c r="W48" i="1" s="1"/>
  <c r="AI40" i="1"/>
  <c r="AA17" i="1"/>
  <c r="AA194" i="1"/>
  <c r="W194" i="1" s="1"/>
  <c r="AA190" i="1"/>
  <c r="W190" i="1" s="1"/>
  <c r="AA165" i="1"/>
  <c r="AA154" i="1"/>
  <c r="AA217" i="1"/>
  <c r="AA147" i="1"/>
  <c r="AA135" i="1"/>
  <c r="AA119" i="1"/>
  <c r="W119" i="1" s="1"/>
  <c r="AA110" i="1"/>
  <c r="AA104" i="1"/>
  <c r="W104" i="1" s="1"/>
  <c r="AA52" i="1"/>
  <c r="AA47" i="1"/>
  <c r="AA43" i="1"/>
  <c r="W43" i="1" s="1"/>
  <c r="R37" i="3"/>
  <c r="AI185" i="1"/>
  <c r="AA184" i="1"/>
  <c r="W184" i="1" s="1"/>
  <c r="X179" i="1"/>
  <c r="AA155" i="1"/>
  <c r="W155" i="1" s="1"/>
  <c r="X140" i="1"/>
  <c r="AA111" i="1"/>
  <c r="W111" i="1" s="1"/>
  <c r="AA98" i="1"/>
  <c r="T72" i="1"/>
  <c r="U72" i="1" s="1"/>
  <c r="S72" i="1" s="1"/>
  <c r="AA57" i="1"/>
  <c r="W57" i="1" s="1"/>
  <c r="AA40" i="1"/>
  <c r="W40" i="1" s="1"/>
  <c r="AA23" i="1"/>
  <c r="AG21" i="1"/>
  <c r="U21" i="1" s="1"/>
  <c r="S21" i="1" s="1"/>
  <c r="T20" i="1"/>
  <c r="U20" i="1" s="1"/>
  <c r="S20" i="1" s="1"/>
  <c r="AI209" i="1"/>
  <c r="AI197" i="1"/>
  <c r="AA197" i="1"/>
  <c r="W197" i="1" s="1"/>
  <c r="X167" i="1"/>
  <c r="AA167" i="1"/>
  <c r="R46" i="3"/>
  <c r="X210" i="1"/>
  <c r="AA200" i="1"/>
  <c r="W200" i="1" s="1"/>
  <c r="AA193" i="1"/>
  <c r="W193" i="1" s="1"/>
  <c r="AA189" i="1"/>
  <c r="W189" i="1" s="1"/>
  <c r="AA169" i="1"/>
  <c r="AA158" i="1"/>
  <c r="AA220" i="1"/>
  <c r="AA216" i="1"/>
  <c r="T202" i="1"/>
  <c r="U202" i="1" s="1"/>
  <c r="S202" i="1" s="1"/>
  <c r="AA153" i="1"/>
  <c r="AA141" i="1"/>
  <c r="W141" i="1" s="1"/>
  <c r="AI124" i="1"/>
  <c r="AG97" i="1"/>
  <c r="AI97" i="1" s="1"/>
  <c r="X97" i="1"/>
  <c r="AA95" i="1"/>
  <c r="W95" i="1" s="1"/>
  <c r="AI88" i="1"/>
  <c r="X87" i="1"/>
  <c r="AI82" i="1"/>
  <c r="U76" i="1"/>
  <c r="S76" i="1" s="1"/>
  <c r="AA76" i="1"/>
  <c r="T63" i="1"/>
  <c r="U63" i="1" s="1"/>
  <c r="S63" i="1" s="1"/>
  <c r="AA60" i="1"/>
  <c r="W60" i="1" s="1"/>
  <c r="AA51" i="1"/>
  <c r="W51" i="1" s="1"/>
  <c r="AA25" i="1"/>
  <c r="AA20" i="1"/>
  <c r="W20" i="1" s="1"/>
  <c r="AA18" i="1"/>
  <c r="X15" i="1"/>
  <c r="R52" i="3"/>
  <c r="R51" i="3"/>
  <c r="T126" i="1"/>
  <c r="X126" i="1"/>
  <c r="AG126" i="1"/>
  <c r="R36" i="3"/>
  <c r="AG192" i="1"/>
  <c r="U192" i="1" s="1"/>
  <c r="S192" i="1" s="1"/>
  <c r="X192" i="1"/>
  <c r="AI189" i="1"/>
  <c r="X185" i="1"/>
  <c r="AG183" i="1"/>
  <c r="X183" i="1"/>
  <c r="AA218" i="1"/>
  <c r="W218" i="1" s="1"/>
  <c r="X208" i="1"/>
  <c r="U196" i="1"/>
  <c r="S196" i="1" s="1"/>
  <c r="AA196" i="1"/>
  <c r="W196" i="1" s="1"/>
  <c r="T176" i="1"/>
  <c r="U176" i="1" s="1"/>
  <c r="S176" i="1" s="1"/>
  <c r="W172" i="1"/>
  <c r="S36" i="3"/>
  <c r="S42" i="3"/>
  <c r="AA160" i="1"/>
  <c r="W160" i="1" s="1"/>
  <c r="T155" i="1"/>
  <c r="U155" i="1" s="1"/>
  <c r="S155" i="1" s="1"/>
  <c r="AG153" i="1"/>
  <c r="AI153" i="1" s="1"/>
  <c r="AI148" i="1"/>
  <c r="T147" i="1"/>
  <c r="AG147" i="1"/>
  <c r="AI147" i="1" s="1"/>
  <c r="S38" i="3"/>
  <c r="S43" i="3"/>
  <c r="X200" i="1"/>
  <c r="X188" i="1"/>
  <c r="AA187" i="1"/>
  <c r="AA186" i="1"/>
  <c r="AA185" i="1"/>
  <c r="W185" i="1" s="1"/>
  <c r="X184" i="1"/>
  <c r="AA183" i="1"/>
  <c r="AA177" i="1"/>
  <c r="W177" i="1" s="1"/>
  <c r="AA171" i="1"/>
  <c r="W171" i="1" s="1"/>
  <c r="AA201" i="1"/>
  <c r="AI136" i="1"/>
  <c r="T135" i="1"/>
  <c r="X135" i="1"/>
  <c r="U131" i="1"/>
  <c r="S131" i="1" s="1"/>
  <c r="AA126" i="1"/>
  <c r="X116" i="1"/>
  <c r="T105" i="1"/>
  <c r="X105" i="1"/>
  <c r="AG105" i="1"/>
  <c r="AI105" i="1" s="1"/>
  <c r="AI104" i="1"/>
  <c r="X98" i="1"/>
  <c r="AG98" i="1"/>
  <c r="AI98" i="1" s="1"/>
  <c r="AG46" i="1"/>
  <c r="AI46" i="1" s="1"/>
  <c r="T46" i="1"/>
  <c r="T150" i="1"/>
  <c r="X150" i="1"/>
  <c r="AG150" i="1"/>
  <c r="AI150" i="1" s="1"/>
  <c r="AA73" i="1"/>
  <c r="W73" i="1" s="1"/>
  <c r="AI73" i="1"/>
  <c r="AA144" i="1"/>
  <c r="AG142" i="1"/>
  <c r="U142" i="1" s="1"/>
  <c r="S142" i="1" s="1"/>
  <c r="X142" i="1"/>
  <c r="AI141" i="1"/>
  <c r="AI132" i="1"/>
  <c r="AA87" i="1"/>
  <c r="W87" i="1" s="1"/>
  <c r="AI87" i="1"/>
  <c r="AA64" i="1"/>
  <c r="W64" i="1" s="1"/>
  <c r="AI64" i="1"/>
  <c r="T23" i="1"/>
  <c r="AG23" i="1"/>
  <c r="AI23" i="1" s="1"/>
  <c r="X211" i="1"/>
  <c r="AG211" i="1"/>
  <c r="T211" i="1"/>
  <c r="T139" i="1"/>
  <c r="U139" i="1" s="1"/>
  <c r="S139" i="1" s="1"/>
  <c r="T115" i="1"/>
  <c r="U115" i="1" s="1"/>
  <c r="S115" i="1" s="1"/>
  <c r="T111" i="1"/>
  <c r="U111" i="1" s="1"/>
  <c r="S111" i="1" s="1"/>
  <c r="X99" i="1"/>
  <c r="AA61" i="1"/>
  <c r="W61" i="1" s="1"/>
  <c r="AI61" i="1"/>
  <c r="AI51" i="1"/>
  <c r="AA210" i="1"/>
  <c r="AA209" i="1"/>
  <c r="W209" i="1" s="1"/>
  <c r="AA182" i="1"/>
  <c r="W182" i="1" s="1"/>
  <c r="AI181" i="1"/>
  <c r="AA181" i="1"/>
  <c r="W181" i="1" s="1"/>
  <c r="AA180" i="1"/>
  <c r="W180" i="1" s="1"/>
  <c r="AA173" i="1"/>
  <c r="AA163" i="1"/>
  <c r="AA159" i="1"/>
  <c r="W159" i="1" s="1"/>
  <c r="AA214" i="1"/>
  <c r="W214" i="1" s="1"/>
  <c r="AA213" i="1"/>
  <c r="AI206" i="1"/>
  <c r="AA206" i="1"/>
  <c r="W206" i="1" s="1"/>
  <c r="AA151" i="1"/>
  <c r="X143" i="1"/>
  <c r="AA143" i="1"/>
  <c r="AA131" i="1"/>
  <c r="W131" i="1" s="1"/>
  <c r="AA129" i="1"/>
  <c r="W129" i="1" s="1"/>
  <c r="AA128" i="1"/>
  <c r="T119" i="1"/>
  <c r="U119" i="1" s="1"/>
  <c r="S119" i="1" s="1"/>
  <c r="AA108" i="1"/>
  <c r="W108" i="1" s="1"/>
  <c r="AA96" i="1"/>
  <c r="W96" i="1" s="1"/>
  <c r="AA88" i="1"/>
  <c r="W88" i="1" s="1"/>
  <c r="AA77" i="1"/>
  <c r="W77" i="1" s="1"/>
  <c r="AA70" i="1"/>
  <c r="AA55" i="1"/>
  <c r="W55" i="1" s="1"/>
  <c r="AA54" i="1"/>
  <c r="AI43" i="1"/>
  <c r="AA39" i="1"/>
  <c r="AA38" i="1"/>
  <c r="T36" i="1"/>
  <c r="U36" i="1" s="1"/>
  <c r="S36" i="1" s="1"/>
  <c r="AA34" i="1"/>
  <c r="AA33" i="1"/>
  <c r="AA30" i="1"/>
  <c r="AA29" i="1"/>
  <c r="AA27" i="1"/>
  <c r="W27" i="1" s="1"/>
  <c r="AG25" i="1"/>
  <c r="U25" i="1" s="1"/>
  <c r="S25" i="1" s="1"/>
  <c r="AA21" i="1"/>
  <c r="AG14" i="1"/>
  <c r="U14" i="1" s="1"/>
  <c r="S14" i="1" s="1"/>
  <c r="X112" i="1"/>
  <c r="AA106" i="1"/>
  <c r="AA105" i="1"/>
  <c r="AA102" i="1"/>
  <c r="AA91" i="1"/>
  <c r="AA68" i="1"/>
  <c r="W68" i="1" s="1"/>
  <c r="AA53" i="1"/>
  <c r="W53" i="1" s="1"/>
  <c r="AA44" i="1"/>
  <c r="AA14" i="1"/>
  <c r="W76" i="1"/>
  <c r="AI200" i="1"/>
  <c r="T200" i="1"/>
  <c r="U200" i="1" s="1"/>
  <c r="S200" i="1" s="1"/>
  <c r="T171" i="1"/>
  <c r="U171" i="1" s="1"/>
  <c r="S171" i="1" s="1"/>
  <c r="X168" i="1"/>
  <c r="T167" i="1"/>
  <c r="T159" i="1"/>
  <c r="U159" i="1" s="1"/>
  <c r="S159" i="1" s="1"/>
  <c r="T218" i="1"/>
  <c r="U218" i="1" s="1"/>
  <c r="S218" i="1" s="1"/>
  <c r="T206" i="1"/>
  <c r="AA142" i="1"/>
  <c r="AA139" i="1"/>
  <c r="W139" i="1" s="1"/>
  <c r="AA137" i="1"/>
  <c r="X136" i="1"/>
  <c r="AG135" i="1"/>
  <c r="AG134" i="1"/>
  <c r="AI134" i="1" s="1"/>
  <c r="X134" i="1"/>
  <c r="T127" i="1"/>
  <c r="AA124" i="1"/>
  <c r="W124" i="1" s="1"/>
  <c r="T124" i="1"/>
  <c r="U124" i="1" s="1"/>
  <c r="S124" i="1" s="1"/>
  <c r="X119" i="1"/>
  <c r="T113" i="1"/>
  <c r="AG113" i="1"/>
  <c r="AG110" i="1"/>
  <c r="T110" i="1"/>
  <c r="T189" i="1"/>
  <c r="U189" i="1" s="1"/>
  <c r="S189" i="1" s="1"/>
  <c r="S53" i="3"/>
  <c r="AA198" i="1"/>
  <c r="W198" i="1" s="1"/>
  <c r="X195" i="1"/>
  <c r="AA191" i="1"/>
  <c r="AA188" i="1"/>
  <c r="T184" i="1"/>
  <c r="U184" i="1" s="1"/>
  <c r="S184" i="1" s="1"/>
  <c r="AI196" i="1"/>
  <c r="T180" i="1"/>
  <c r="U180" i="1" s="1"/>
  <c r="S180" i="1" s="1"/>
  <c r="AA174" i="1"/>
  <c r="W174" i="1" s="1"/>
  <c r="T172" i="1"/>
  <c r="U172" i="1" s="1"/>
  <c r="S172" i="1" s="1"/>
  <c r="AG167" i="1"/>
  <c r="AI167" i="1" s="1"/>
  <c r="X164" i="1"/>
  <c r="AG163" i="1"/>
  <c r="U163" i="1" s="1"/>
  <c r="S163" i="1" s="1"/>
  <c r="AA162" i="1"/>
  <c r="T160" i="1"/>
  <c r="U160" i="1" s="1"/>
  <c r="S160" i="1" s="1"/>
  <c r="X156" i="1"/>
  <c r="AG220" i="1"/>
  <c r="AA219" i="1"/>
  <c r="W219" i="1" s="1"/>
  <c r="T219" i="1"/>
  <c r="U219" i="1" s="1"/>
  <c r="S219" i="1" s="1"/>
  <c r="X215" i="1"/>
  <c r="AG212" i="1"/>
  <c r="U212" i="1" s="1"/>
  <c r="S212" i="1" s="1"/>
  <c r="AA207" i="1"/>
  <c r="W207" i="1" s="1"/>
  <c r="T207" i="1"/>
  <c r="U207" i="1" s="1"/>
  <c r="S207" i="1" s="1"/>
  <c r="X203" i="1"/>
  <c r="T143" i="1"/>
  <c r="T118" i="1"/>
  <c r="X118" i="1"/>
  <c r="AG118" i="1"/>
  <c r="AI118" i="1" s="1"/>
  <c r="W81" i="1"/>
  <c r="AI27" i="1"/>
  <c r="T168" i="1"/>
  <c r="U168" i="1" s="1"/>
  <c r="S168" i="1" s="1"/>
  <c r="AA134" i="1"/>
  <c r="AA133" i="1"/>
  <c r="W133" i="1" s="1"/>
  <c r="T132" i="1"/>
  <c r="U132" i="1" s="1"/>
  <c r="S132" i="1" s="1"/>
  <c r="AG127" i="1"/>
  <c r="U127" i="1" s="1"/>
  <c r="S127" i="1" s="1"/>
  <c r="X124" i="1"/>
  <c r="AG123" i="1"/>
  <c r="AI115" i="1"/>
  <c r="T106" i="1"/>
  <c r="X106" i="1"/>
  <c r="AG106" i="1"/>
  <c r="AI106" i="1" s="1"/>
  <c r="AG102" i="1"/>
  <c r="AI102" i="1" s="1"/>
  <c r="T102" i="1"/>
  <c r="AG94" i="1"/>
  <c r="W94" i="1" s="1"/>
  <c r="T94" i="1"/>
  <c r="AI81" i="1"/>
  <c r="AI50" i="1"/>
  <c r="X189" i="1"/>
  <c r="R38" i="3"/>
  <c r="S56" i="3"/>
  <c r="AA211" i="1"/>
  <c r="X199" i="1"/>
  <c r="AA192" i="1"/>
  <c r="AG191" i="1"/>
  <c r="U191" i="1" s="1"/>
  <c r="S191" i="1" s="1"/>
  <c r="X191" i="1"/>
  <c r="AA178" i="1"/>
  <c r="AA176" i="1"/>
  <c r="W176" i="1" s="1"/>
  <c r="X172" i="1"/>
  <c r="AA166" i="1"/>
  <c r="W166" i="1" s="1"/>
  <c r="T164" i="1"/>
  <c r="U164" i="1" s="1"/>
  <c r="S164" i="1" s="1"/>
  <c r="X160" i="1"/>
  <c r="AG157" i="1"/>
  <c r="AI157" i="1" s="1"/>
  <c r="AA156" i="1"/>
  <c r="W156" i="1" s="1"/>
  <c r="T156" i="1"/>
  <c r="U156" i="1" s="1"/>
  <c r="S156" i="1" s="1"/>
  <c r="X219" i="1"/>
  <c r="AG216" i="1"/>
  <c r="AI216" i="1" s="1"/>
  <c r="AA215" i="1"/>
  <c r="W215" i="1" s="1"/>
  <c r="T215" i="1"/>
  <c r="U215" i="1" s="1"/>
  <c r="S215" i="1" s="1"/>
  <c r="X207" i="1"/>
  <c r="AG204" i="1"/>
  <c r="AA203" i="1"/>
  <c r="W203" i="1" s="1"/>
  <c r="T203" i="1"/>
  <c r="U203" i="1" s="1"/>
  <c r="S203" i="1" s="1"/>
  <c r="AA150" i="1"/>
  <c r="AA149" i="1"/>
  <c r="W149" i="1" s="1"/>
  <c r="T148" i="1"/>
  <c r="U148" i="1" s="1"/>
  <c r="S148" i="1" s="1"/>
  <c r="AG143" i="1"/>
  <c r="T140" i="1"/>
  <c r="U140" i="1" s="1"/>
  <c r="S140" i="1" s="1"/>
  <c r="AI131" i="1"/>
  <c r="AG120" i="1"/>
  <c r="AI120" i="1" s="1"/>
  <c r="X120" i="1"/>
  <c r="AI119" i="1"/>
  <c r="X90" i="1"/>
  <c r="T87" i="1"/>
  <c r="U87" i="1" s="1"/>
  <c r="S87" i="1" s="1"/>
  <c r="T81" i="1"/>
  <c r="U81" i="1" s="1"/>
  <c r="S81" i="1" s="1"/>
  <c r="AI76" i="1"/>
  <c r="X73" i="1"/>
  <c r="X72" i="1"/>
  <c r="T67" i="1"/>
  <c r="U67" i="1" s="1"/>
  <c r="S67" i="1" s="1"/>
  <c r="X64" i="1"/>
  <c r="T59" i="1"/>
  <c r="U59" i="1" s="1"/>
  <c r="T39" i="1"/>
  <c r="AA28" i="1"/>
  <c r="W28" i="1" s="1"/>
  <c r="AA121" i="1"/>
  <c r="AA107" i="1"/>
  <c r="T103" i="1"/>
  <c r="U103" i="1" s="1"/>
  <c r="S103" i="1" s="1"/>
  <c r="AI99" i="1"/>
  <c r="T98" i="1"/>
  <c r="AA89" i="1"/>
  <c r="AA86" i="1"/>
  <c r="AA83" i="1"/>
  <c r="X82" i="1"/>
  <c r="AG80" i="1"/>
  <c r="AI80" i="1" s="1"/>
  <c r="AA71" i="1"/>
  <c r="W71" i="1" s="1"/>
  <c r="T68" i="1"/>
  <c r="U68" i="1" s="1"/>
  <c r="S68" i="1" s="1"/>
  <c r="T60" i="1"/>
  <c r="U60" i="1" s="1"/>
  <c r="X56" i="1"/>
  <c r="AA45" i="1"/>
  <c r="X40" i="1"/>
  <c r="AG39" i="1"/>
  <c r="AI39" i="1" s="1"/>
  <c r="AA37" i="1"/>
  <c r="AA35" i="1"/>
  <c r="W35" i="1" s="1"/>
  <c r="AG31" i="1"/>
  <c r="W31" i="1" s="1"/>
  <c r="AG29" i="1"/>
  <c r="AI29" i="1" s="1"/>
  <c r="T27" i="1"/>
  <c r="U27" i="1" s="1"/>
  <c r="S27" i="1" s="1"/>
  <c r="AA19" i="1"/>
  <c r="T73" i="1"/>
  <c r="U73" i="1" s="1"/>
  <c r="S73" i="1" s="1"/>
  <c r="T64" i="1"/>
  <c r="U64" i="1" s="1"/>
  <c r="S64" i="1" s="1"/>
  <c r="T50" i="1"/>
  <c r="U50" i="1" s="1"/>
  <c r="T43" i="1"/>
  <c r="U43" i="1" s="1"/>
  <c r="S43" i="1" s="1"/>
  <c r="AG37" i="1"/>
  <c r="AI37" i="1" s="1"/>
  <c r="X36" i="1"/>
  <c r="AG19" i="1"/>
  <c r="U19" i="1" s="1"/>
  <c r="S19" i="1" s="1"/>
  <c r="AG17" i="1"/>
  <c r="AA120" i="1"/>
  <c r="AA118" i="1"/>
  <c r="AA117" i="1"/>
  <c r="W117" i="1" s="1"/>
  <c r="AA115" i="1"/>
  <c r="W115" i="1" s="1"/>
  <c r="AA112" i="1"/>
  <c r="X103" i="1"/>
  <c r="AA92" i="1"/>
  <c r="W92" i="1" s="1"/>
  <c r="AA90" i="1"/>
  <c r="AG89" i="1"/>
  <c r="U89" i="1" s="1"/>
  <c r="S89" i="1" s="1"/>
  <c r="X89" i="1"/>
  <c r="AA82" i="1"/>
  <c r="W82" i="1" s="1"/>
  <c r="AA80" i="1"/>
  <c r="AA79" i="1"/>
  <c r="W79" i="1" s="1"/>
  <c r="T77" i="1"/>
  <c r="U77" i="1" s="1"/>
  <c r="S77" i="1" s="1"/>
  <c r="AA74" i="1"/>
  <c r="W74" i="1" s="1"/>
  <c r="AA72" i="1"/>
  <c r="W72" i="1" s="1"/>
  <c r="X68" i="1"/>
  <c r="AA63" i="1"/>
  <c r="W63" i="1" s="1"/>
  <c r="AA62" i="1"/>
  <c r="X60" i="1"/>
  <c r="T56" i="1"/>
  <c r="X52" i="1"/>
  <c r="AA46" i="1"/>
  <c r="AG45" i="1"/>
  <c r="U45" i="1" s="1"/>
  <c r="S45" i="1" s="1"/>
  <c r="X38" i="1"/>
  <c r="U33" i="1"/>
  <c r="S33" i="1" s="1"/>
  <c r="T32" i="1"/>
  <c r="U32" i="1" s="1"/>
  <c r="S32" i="1" s="1"/>
  <c r="T28" i="1"/>
  <c r="U28" i="1" s="1"/>
  <c r="S28" i="1" s="1"/>
  <c r="AA26" i="1"/>
  <c r="AA24" i="1"/>
  <c r="W23" i="1"/>
  <c r="AA22" i="1"/>
  <c r="AI218" i="1"/>
  <c r="T195" i="1"/>
  <c r="AI207" i="1"/>
  <c r="T186" i="1"/>
  <c r="X186" i="1"/>
  <c r="T165" i="1"/>
  <c r="X165" i="1"/>
  <c r="AG165" i="1"/>
  <c r="AI165" i="1" s="1"/>
  <c r="AI176" i="1"/>
  <c r="AI171" i="1"/>
  <c r="AI159" i="1"/>
  <c r="AI155" i="1"/>
  <c r="U150" i="1"/>
  <c r="S150" i="1" s="1"/>
  <c r="AI71" i="1"/>
  <c r="R56" i="3"/>
  <c r="T199" i="1"/>
  <c r="R54" i="3"/>
  <c r="T210" i="1"/>
  <c r="AG199" i="1"/>
  <c r="AI214" i="1"/>
  <c r="T197" i="1"/>
  <c r="U197" i="1" s="1"/>
  <c r="S197" i="1" s="1"/>
  <c r="X193" i="1"/>
  <c r="T187" i="1"/>
  <c r="AI198" i="1"/>
  <c r="T178" i="1"/>
  <c r="X178" i="1"/>
  <c r="AG173" i="1"/>
  <c r="AI173" i="1" s="1"/>
  <c r="T173" i="1"/>
  <c r="X173" i="1"/>
  <c r="T170" i="1"/>
  <c r="X170" i="1"/>
  <c r="AG210" i="1"/>
  <c r="AI210" i="1" s="1"/>
  <c r="T208" i="1"/>
  <c r="U208" i="1" s="1"/>
  <c r="S208" i="1" s="1"/>
  <c r="T198" i="1"/>
  <c r="U198" i="1" s="1"/>
  <c r="S198" i="1" s="1"/>
  <c r="X198" i="1"/>
  <c r="X197" i="1"/>
  <c r="X196" i="1"/>
  <c r="AA195" i="1"/>
  <c r="AI208" i="1"/>
  <c r="AG187" i="1"/>
  <c r="T185" i="1"/>
  <c r="U185" i="1" s="1"/>
  <c r="S185" i="1" s="1"/>
  <c r="T182" i="1"/>
  <c r="U182" i="1" s="1"/>
  <c r="S182" i="1" s="1"/>
  <c r="X182" i="1"/>
  <c r="X181" i="1"/>
  <c r="X180" i="1"/>
  <c r="AA179" i="1"/>
  <c r="AG178" i="1"/>
  <c r="T174" i="1"/>
  <c r="U174" i="1" s="1"/>
  <c r="S174" i="1" s="1"/>
  <c r="X174" i="1"/>
  <c r="X171" i="1"/>
  <c r="AG170" i="1"/>
  <c r="AI180" i="1"/>
  <c r="AI172" i="1"/>
  <c r="AI168" i="1"/>
  <c r="AI164" i="1"/>
  <c r="AI160" i="1"/>
  <c r="AI156" i="1"/>
  <c r="W202" i="1"/>
  <c r="T137" i="1"/>
  <c r="X137" i="1"/>
  <c r="AG137" i="1"/>
  <c r="X130" i="1"/>
  <c r="AG130" i="1"/>
  <c r="X131" i="1"/>
  <c r="AG128" i="1"/>
  <c r="X128" i="1"/>
  <c r="T128" i="1"/>
  <c r="T179" i="1"/>
  <c r="AI193" i="1"/>
  <c r="AG162" i="1"/>
  <c r="X163" i="1"/>
  <c r="T162" i="1"/>
  <c r="X162" i="1"/>
  <c r="AI133" i="1"/>
  <c r="AG195" i="1"/>
  <c r="T193" i="1"/>
  <c r="U193" i="1" s="1"/>
  <c r="S193" i="1" s="1"/>
  <c r="T190" i="1"/>
  <c r="U190" i="1" s="1"/>
  <c r="S190" i="1" s="1"/>
  <c r="X190" i="1"/>
  <c r="AG186" i="1"/>
  <c r="U181" i="1"/>
  <c r="S181" i="1" s="1"/>
  <c r="AG179" i="1"/>
  <c r="T177" i="1"/>
  <c r="U177" i="1" s="1"/>
  <c r="S177" i="1" s="1"/>
  <c r="AA170" i="1"/>
  <c r="T169" i="1"/>
  <c r="X169" i="1"/>
  <c r="AG169" i="1"/>
  <c r="AI169" i="1" s="1"/>
  <c r="T166" i="1"/>
  <c r="U166" i="1" s="1"/>
  <c r="S166" i="1" s="1"/>
  <c r="X166" i="1"/>
  <c r="AG158" i="1"/>
  <c r="X159" i="1"/>
  <c r="T158" i="1"/>
  <c r="X158" i="1"/>
  <c r="T154" i="1"/>
  <c r="AG154" i="1"/>
  <c r="X155" i="1"/>
  <c r="X154" i="1"/>
  <c r="T217" i="1"/>
  <c r="X217" i="1"/>
  <c r="AG217" i="1"/>
  <c r="X218" i="1"/>
  <c r="U214" i="1"/>
  <c r="S214" i="1" s="1"/>
  <c r="T213" i="1"/>
  <c r="X213" i="1"/>
  <c r="AG213" i="1"/>
  <c r="AI213" i="1" s="1"/>
  <c r="X214" i="1"/>
  <c r="U206" i="1"/>
  <c r="S206" i="1" s="1"/>
  <c r="T205" i="1"/>
  <c r="X205" i="1"/>
  <c r="AG205" i="1"/>
  <c r="X206" i="1"/>
  <c r="T201" i="1"/>
  <c r="X201" i="1"/>
  <c r="AG201" i="1"/>
  <c r="AI201" i="1" s="1"/>
  <c r="X202" i="1"/>
  <c r="X146" i="1"/>
  <c r="AG146" i="1"/>
  <c r="X147" i="1"/>
  <c r="AG144" i="1"/>
  <c r="X144" i="1"/>
  <c r="T144" i="1"/>
  <c r="T130" i="1"/>
  <c r="AI126" i="1"/>
  <c r="T121" i="1"/>
  <c r="X121" i="1"/>
  <c r="AG121" i="1"/>
  <c r="AI108" i="1"/>
  <c r="AI79" i="1"/>
  <c r="AI74" i="1"/>
  <c r="T209" i="1"/>
  <c r="U209" i="1" s="1"/>
  <c r="S209" i="1" s="1"/>
  <c r="X209" i="1"/>
  <c r="AI129" i="1"/>
  <c r="T194" i="1"/>
  <c r="U194" i="1" s="1"/>
  <c r="S194" i="1" s="1"/>
  <c r="X194" i="1"/>
  <c r="AI184" i="1"/>
  <c r="AI177" i="1"/>
  <c r="AI149" i="1"/>
  <c r="AI145" i="1"/>
  <c r="AI139" i="1"/>
  <c r="AI117" i="1"/>
  <c r="AG161" i="1"/>
  <c r="AI161" i="1" s="1"/>
  <c r="X161" i="1"/>
  <c r="X157" i="1"/>
  <c r="X220" i="1"/>
  <c r="X216" i="1"/>
  <c r="X212" i="1"/>
  <c r="X204" i="1"/>
  <c r="T149" i="1"/>
  <c r="U149" i="1" s="1"/>
  <c r="S149" i="1" s="1"/>
  <c r="X149" i="1"/>
  <c r="X148" i="1"/>
  <c r="AA146" i="1"/>
  <c r="AG138" i="1"/>
  <c r="X138" i="1"/>
  <c r="T136" i="1"/>
  <c r="U136" i="1" s="1"/>
  <c r="S136" i="1" s="1"/>
  <c r="T133" i="1"/>
  <c r="U133" i="1" s="1"/>
  <c r="S133" i="1" s="1"/>
  <c r="X133" i="1"/>
  <c r="X132" i="1"/>
  <c r="AA130" i="1"/>
  <c r="AG122" i="1"/>
  <c r="X122" i="1"/>
  <c r="T120" i="1"/>
  <c r="T117" i="1"/>
  <c r="U117" i="1" s="1"/>
  <c r="S117" i="1" s="1"/>
  <c r="X117" i="1"/>
  <c r="AI116" i="1"/>
  <c r="X109" i="1"/>
  <c r="AG109" i="1"/>
  <c r="X110" i="1"/>
  <c r="AG107" i="1"/>
  <c r="X107" i="1"/>
  <c r="T107" i="1"/>
  <c r="T83" i="1"/>
  <c r="X83" i="1"/>
  <c r="AG83" i="1"/>
  <c r="X75" i="1"/>
  <c r="AG75" i="1"/>
  <c r="X76" i="1"/>
  <c r="AI63" i="1"/>
  <c r="AI56" i="1"/>
  <c r="U56" i="1"/>
  <c r="T141" i="1"/>
  <c r="U141" i="1" s="1"/>
  <c r="S141" i="1" s="1"/>
  <c r="X141" i="1"/>
  <c r="X139" i="1"/>
  <c r="AA138" i="1"/>
  <c r="T125" i="1"/>
  <c r="U125" i="1" s="1"/>
  <c r="S125" i="1" s="1"/>
  <c r="X125" i="1"/>
  <c r="X123" i="1"/>
  <c r="AA122" i="1"/>
  <c r="AG114" i="1"/>
  <c r="X115" i="1"/>
  <c r="T100" i="1"/>
  <c r="X100" i="1"/>
  <c r="AG100" i="1"/>
  <c r="X93" i="1"/>
  <c r="AG93" i="1"/>
  <c r="X94" i="1"/>
  <c r="AG91" i="1"/>
  <c r="X91" i="1"/>
  <c r="T91" i="1"/>
  <c r="T75" i="1"/>
  <c r="AI72" i="1"/>
  <c r="AI66" i="1"/>
  <c r="AA59" i="1"/>
  <c r="W59" i="1" s="1"/>
  <c r="T145" i="1"/>
  <c r="U145" i="1" s="1"/>
  <c r="S145" i="1" s="1"/>
  <c r="X145" i="1"/>
  <c r="T129" i="1"/>
  <c r="U129" i="1" s="1"/>
  <c r="S129" i="1" s="1"/>
  <c r="X129" i="1"/>
  <c r="W126" i="1"/>
  <c r="T112" i="1"/>
  <c r="AG112" i="1"/>
  <c r="AI96" i="1"/>
  <c r="AI92" i="1"/>
  <c r="X113" i="1"/>
  <c r="X111" i="1"/>
  <c r="AA109" i="1"/>
  <c r="AG101" i="1"/>
  <c r="X101" i="1"/>
  <c r="T99" i="1"/>
  <c r="U99" i="1" s="1"/>
  <c r="S99" i="1" s="1"/>
  <c r="T96" i="1"/>
  <c r="U96" i="1" s="1"/>
  <c r="S96" i="1" s="1"/>
  <c r="X96" i="1"/>
  <c r="X95" i="1"/>
  <c r="AA93" i="1"/>
  <c r="AG84" i="1"/>
  <c r="X84" i="1"/>
  <c r="T82" i="1"/>
  <c r="U82" i="1" s="1"/>
  <c r="S82" i="1" s="1"/>
  <c r="T79" i="1"/>
  <c r="U79" i="1" s="1"/>
  <c r="S79" i="1" s="1"/>
  <c r="X77" i="1"/>
  <c r="AA75" i="1"/>
  <c r="T71" i="1"/>
  <c r="U71" i="1" s="1"/>
  <c r="S71" i="1" s="1"/>
  <c r="X71" i="1"/>
  <c r="AI67" i="1"/>
  <c r="X67" i="1"/>
  <c r="AI60" i="1"/>
  <c r="W56" i="1"/>
  <c r="T54" i="1"/>
  <c r="X54" i="1"/>
  <c r="AG54" i="1"/>
  <c r="X55" i="1"/>
  <c r="X49" i="1"/>
  <c r="AG49" i="1"/>
  <c r="X50" i="1"/>
  <c r="AI45" i="1"/>
  <c r="T41" i="1"/>
  <c r="X41" i="1"/>
  <c r="AG41" i="1"/>
  <c r="W41" i="1" s="1"/>
  <c r="AG30" i="1"/>
  <c r="X31" i="1"/>
  <c r="X30" i="1"/>
  <c r="T30" i="1"/>
  <c r="AG24" i="1"/>
  <c r="X24" i="1"/>
  <c r="T24" i="1"/>
  <c r="T104" i="1"/>
  <c r="U104" i="1" s="1"/>
  <c r="S104" i="1" s="1"/>
  <c r="X104" i="1"/>
  <c r="X102" i="1"/>
  <c r="AA101" i="1"/>
  <c r="U95" i="1"/>
  <c r="S95" i="1" s="1"/>
  <c r="T88" i="1"/>
  <c r="U88" i="1" s="1"/>
  <c r="S88" i="1" s="1"/>
  <c r="X88" i="1"/>
  <c r="AA84" i="1"/>
  <c r="AA66" i="1"/>
  <c r="W66" i="1" s="1"/>
  <c r="AG65" i="1"/>
  <c r="T65" i="1"/>
  <c r="X65" i="1"/>
  <c r="T62" i="1"/>
  <c r="X62" i="1"/>
  <c r="AG62" i="1"/>
  <c r="X63" i="1"/>
  <c r="AI59" i="1"/>
  <c r="AI48" i="1"/>
  <c r="AG47" i="1"/>
  <c r="X47" i="1"/>
  <c r="T47" i="1"/>
  <c r="T108" i="1"/>
  <c r="U108" i="1" s="1"/>
  <c r="S108" i="1" s="1"/>
  <c r="X108" i="1"/>
  <c r="T92" i="1"/>
  <c r="U92" i="1" s="1"/>
  <c r="S92" i="1" s="1"/>
  <c r="X92" i="1"/>
  <c r="T74" i="1"/>
  <c r="U74" i="1" s="1"/>
  <c r="S74" i="1" s="1"/>
  <c r="X74" i="1"/>
  <c r="AG70" i="1"/>
  <c r="T70" i="1"/>
  <c r="T66" i="1"/>
  <c r="U66" i="1" s="1"/>
  <c r="S66" i="1" s="1"/>
  <c r="X66" i="1"/>
  <c r="T58" i="1"/>
  <c r="X58" i="1"/>
  <c r="AG58" i="1"/>
  <c r="X59" i="1"/>
  <c r="AI55" i="1"/>
  <c r="X61" i="1"/>
  <c r="T61" i="1"/>
  <c r="U61" i="1" s="1"/>
  <c r="X57" i="1"/>
  <c r="T57" i="1"/>
  <c r="U57" i="1" s="1"/>
  <c r="X53" i="1"/>
  <c r="T53" i="1"/>
  <c r="U53" i="1" s="1"/>
  <c r="S53" i="1" s="1"/>
  <c r="AG52" i="1"/>
  <c r="X51" i="1"/>
  <c r="AA49" i="1"/>
  <c r="AG42" i="1"/>
  <c r="X42" i="1"/>
  <c r="T40" i="1"/>
  <c r="U40" i="1" s="1"/>
  <c r="S40" i="1" s="1"/>
  <c r="AI36" i="1"/>
  <c r="AI35" i="1"/>
  <c r="X32" i="1"/>
  <c r="AG26" i="1"/>
  <c r="X27" i="1"/>
  <c r="T22" i="1"/>
  <c r="X22" i="1"/>
  <c r="AG22" i="1"/>
  <c r="X23" i="1"/>
  <c r="T18" i="1"/>
  <c r="AG18" i="1"/>
  <c r="T44" i="1"/>
  <c r="T38" i="1"/>
  <c r="AG34" i="1"/>
  <c r="X35" i="1"/>
  <c r="AI28" i="1"/>
  <c r="AI20" i="1"/>
  <c r="AI15" i="1"/>
  <c r="T51" i="1"/>
  <c r="U51" i="1" s="1"/>
  <c r="S51" i="1" s="1"/>
  <c r="T48" i="1"/>
  <c r="U48" i="1" s="1"/>
  <c r="S48" i="1" s="1"/>
  <c r="X48" i="1"/>
  <c r="AG44" i="1"/>
  <c r="AG38" i="1"/>
  <c r="X34" i="1"/>
  <c r="AI32" i="1"/>
  <c r="X28" i="1"/>
  <c r="T26" i="1"/>
  <c r="X37" i="1"/>
  <c r="X33" i="1"/>
  <c r="X29" i="1"/>
  <c r="X25" i="1"/>
  <c r="Y11" i="3"/>
  <c r="Y51" i="3"/>
  <c r="Y35" i="3"/>
  <c r="Y15" i="3"/>
  <c r="Y45" i="3"/>
  <c r="Y56" i="3"/>
  <c r="Y52" i="3"/>
  <c r="Y55" i="3"/>
  <c r="Y34" i="3"/>
  <c r="Y19" i="3"/>
  <c r="Y23" i="3"/>
  <c r="Y53" i="3"/>
  <c r="AC36" i="3"/>
  <c r="Y33" i="3"/>
  <c r="Y41" i="3"/>
  <c r="Y28" i="3"/>
  <c r="Y43" i="3"/>
  <c r="Y47" i="3"/>
  <c r="Y22" i="3"/>
  <c r="AC31" i="3"/>
  <c r="Y38" i="3"/>
  <c r="AC46" i="3"/>
  <c r="Y57" i="3"/>
  <c r="AC20" i="3"/>
  <c r="Y37" i="3"/>
  <c r="AC27" i="3"/>
  <c r="Y8" i="3"/>
  <c r="AC58" i="3"/>
  <c r="Y14" i="3"/>
  <c r="AC24" i="3"/>
  <c r="Y49" i="3"/>
  <c r="AC12" i="3"/>
  <c r="AC38" i="3"/>
  <c r="Y36" i="3"/>
  <c r="T32" i="3"/>
  <c r="T11" i="3"/>
  <c r="T44" i="3"/>
  <c r="T29" i="3"/>
  <c r="T10" i="3"/>
  <c r="T34" i="3"/>
  <c r="T16" i="3"/>
  <c r="T45" i="3"/>
  <c r="T26" i="3"/>
  <c r="T18" i="3"/>
  <c r="T39" i="3"/>
  <c r="T54" i="3"/>
  <c r="T42" i="3"/>
  <c r="S12" i="3"/>
  <c r="R12" i="3"/>
  <c r="S22" i="3"/>
  <c r="R22" i="3"/>
  <c r="S14" i="3"/>
  <c r="R14" i="3"/>
  <c r="S25" i="3"/>
  <c r="R25" i="3"/>
  <c r="S19" i="3"/>
  <c r="R19" i="3"/>
  <c r="S26" i="3"/>
  <c r="R26" i="3"/>
  <c r="S8" i="3"/>
  <c r="R8" i="3"/>
  <c r="S27" i="3"/>
  <c r="R27" i="3"/>
  <c r="S15" i="3"/>
  <c r="R15" i="3"/>
  <c r="S20" i="3"/>
  <c r="R20" i="3"/>
  <c r="S35" i="3"/>
  <c r="R35" i="3"/>
  <c r="S28" i="3"/>
  <c r="R28" i="3"/>
  <c r="S13" i="3"/>
  <c r="R13" i="3"/>
  <c r="S10" i="3"/>
  <c r="R10" i="3"/>
  <c r="S29" i="3"/>
  <c r="R29" i="3"/>
  <c r="A5" i="6"/>
  <c r="A6" i="6" s="1"/>
  <c r="A7" i="6" s="1"/>
  <c r="A8" i="6" s="1"/>
  <c r="A9" i="6" s="1"/>
  <c r="A10" i="6" s="1"/>
  <c r="A4" i="6"/>
  <c r="U90" i="1" l="1"/>
  <c r="S90" i="1" s="1"/>
  <c r="U188" i="1"/>
  <c r="S188" i="1" s="1"/>
  <c r="U126" i="1"/>
  <c r="S126" i="1" s="1"/>
  <c r="W89" i="1"/>
  <c r="W112" i="1"/>
  <c r="AI89" i="1"/>
  <c r="U97" i="1"/>
  <c r="S97" i="1" s="1"/>
  <c r="W123" i="1"/>
  <c r="W188" i="1"/>
  <c r="W21" i="1"/>
  <c r="W100" i="1"/>
  <c r="AI21" i="1"/>
  <c r="W65" i="1"/>
  <c r="W90" i="1"/>
  <c r="W97" i="1"/>
  <c r="AI142" i="1"/>
  <c r="U31" i="1"/>
  <c r="S31" i="1" s="1"/>
  <c r="W130" i="1"/>
  <c r="W199" i="1"/>
  <c r="W142" i="1"/>
  <c r="W105" i="1"/>
  <c r="W38" i="1"/>
  <c r="W22" i="1"/>
  <c r="W26" i="1"/>
  <c r="AI31" i="1"/>
  <c r="U80" i="1"/>
  <c r="S80" i="1" s="1"/>
  <c r="AI191" i="1"/>
  <c r="W17" i="1"/>
  <c r="U102" i="1"/>
  <c r="S102" i="1" s="1"/>
  <c r="W33" i="1"/>
  <c r="AI78" i="1"/>
  <c r="AI85" i="1"/>
  <c r="U85" i="1"/>
  <c r="S85" i="1" s="1"/>
  <c r="W85" i="1"/>
  <c r="AI69" i="1"/>
  <c r="U69" i="1"/>
  <c r="S69" i="1" s="1"/>
  <c r="W69" i="1"/>
  <c r="S60" i="1"/>
  <c r="AI152" i="1"/>
  <c r="U152" i="1"/>
  <c r="W152" i="1"/>
  <c r="S56" i="1"/>
  <c r="AI127" i="1"/>
  <c r="W220" i="1"/>
  <c r="U105" i="1"/>
  <c r="S105" i="1" s="1"/>
  <c r="U78" i="1"/>
  <c r="S78" i="1" s="1"/>
  <c r="W114" i="1"/>
  <c r="U39" i="1"/>
  <c r="S39" i="1" s="1"/>
  <c r="W210" i="1"/>
  <c r="W83" i="1"/>
  <c r="W204" i="1"/>
  <c r="U151" i="1"/>
  <c r="S151" i="1" s="1"/>
  <c r="W167" i="1"/>
  <c r="W98" i="1"/>
  <c r="W138" i="1"/>
  <c r="U143" i="1"/>
  <c r="S143" i="1" s="1"/>
  <c r="W102" i="1"/>
  <c r="W70" i="1"/>
  <c r="W128" i="1"/>
  <c r="U211" i="1"/>
  <c r="S211" i="1" s="1"/>
  <c r="W183" i="1"/>
  <c r="AI175" i="1"/>
  <c r="U175" i="1"/>
  <c r="S175" i="1" s="1"/>
  <c r="W175" i="1"/>
  <c r="W110" i="1"/>
  <c r="W118" i="1"/>
  <c r="U118" i="1"/>
  <c r="S118" i="1" s="1"/>
  <c r="U167" i="1"/>
  <c r="S167" i="1" s="1"/>
  <c r="W151" i="1"/>
  <c r="W42" i="1"/>
  <c r="W30" i="1"/>
  <c r="AI86" i="1"/>
  <c r="W86" i="1"/>
  <c r="AI123" i="1"/>
  <c r="AI163" i="1"/>
  <c r="W106" i="1"/>
  <c r="W137" i="1"/>
  <c r="W147" i="1"/>
  <c r="AI19" i="1"/>
  <c r="AI183" i="1"/>
  <c r="U220" i="1"/>
  <c r="S220" i="1" s="1"/>
  <c r="AI192" i="1"/>
  <c r="W24" i="1"/>
  <c r="U37" i="1"/>
  <c r="S37" i="1" s="1"/>
  <c r="AI143" i="1"/>
  <c r="U134" i="1"/>
  <c r="S134" i="1" s="1"/>
  <c r="W144" i="1"/>
  <c r="AI199" i="1"/>
  <c r="W18" i="1"/>
  <c r="AI25" i="1"/>
  <c r="U120" i="1"/>
  <c r="S120" i="1" s="1"/>
  <c r="W107" i="1"/>
  <c r="W146" i="1"/>
  <c r="U153" i="1"/>
  <c r="S153" i="1" s="1"/>
  <c r="W46" i="1"/>
  <c r="W80" i="1"/>
  <c r="W45" i="1"/>
  <c r="U98" i="1"/>
  <c r="S98" i="1" s="1"/>
  <c r="W150" i="1"/>
  <c r="W192" i="1"/>
  <c r="W134" i="1"/>
  <c r="U183" i="1"/>
  <c r="S183" i="1" s="1"/>
  <c r="W187" i="1"/>
  <c r="W211" i="1"/>
  <c r="AI220" i="1"/>
  <c r="W25" i="1"/>
  <c r="W120" i="1"/>
  <c r="W54" i="1"/>
  <c r="U147" i="1"/>
  <c r="S147" i="1" s="1"/>
  <c r="U204" i="1"/>
  <c r="S204" i="1" s="1"/>
  <c r="U216" i="1"/>
  <c r="S216" i="1" s="1"/>
  <c r="U157" i="1"/>
  <c r="S157" i="1" s="1"/>
  <c r="W191" i="1"/>
  <c r="W14" i="1"/>
  <c r="U106" i="1"/>
  <c r="S106" i="1" s="1"/>
  <c r="U113" i="1"/>
  <c r="S113" i="1" s="1"/>
  <c r="U46" i="1"/>
  <c r="S46" i="1" s="1"/>
  <c r="U123" i="1"/>
  <c r="S123" i="1" s="1"/>
  <c r="AI204" i="1"/>
  <c r="AI14" i="1"/>
  <c r="U23" i="1"/>
  <c r="S23" i="1" s="1"/>
  <c r="W153" i="1"/>
  <c r="W37" i="1"/>
  <c r="W143" i="1"/>
  <c r="W39" i="1"/>
  <c r="AI113" i="1"/>
  <c r="U135" i="1"/>
  <c r="S135" i="1" s="1"/>
  <c r="AI135" i="1"/>
  <c r="W163" i="1"/>
  <c r="W216" i="1"/>
  <c r="W113" i="1"/>
  <c r="U29" i="1"/>
  <c r="S29" i="1" s="1"/>
  <c r="W29" i="1"/>
  <c r="W212" i="1"/>
  <c r="AI212" i="1"/>
  <c r="W157" i="1"/>
  <c r="W93" i="1"/>
  <c r="W205" i="1"/>
  <c r="AI205" i="1"/>
  <c r="W217" i="1"/>
  <c r="AI217" i="1"/>
  <c r="U17" i="1"/>
  <c r="S17" i="1" s="1"/>
  <c r="AI17" i="1"/>
  <c r="W19" i="1"/>
  <c r="U94" i="1"/>
  <c r="S94" i="1" s="1"/>
  <c r="AI94" i="1"/>
  <c r="W127" i="1"/>
  <c r="U110" i="1"/>
  <c r="S110" i="1" s="1"/>
  <c r="AI110" i="1"/>
  <c r="W135" i="1"/>
  <c r="U58" i="1"/>
  <c r="S58" i="1" s="1"/>
  <c r="AI58" i="1"/>
  <c r="U62" i="1"/>
  <c r="S62" i="1" s="1"/>
  <c r="AI62" i="1"/>
  <c r="AI84" i="1"/>
  <c r="U84" i="1"/>
  <c r="S84" i="1" s="1"/>
  <c r="AI109" i="1"/>
  <c r="U109" i="1"/>
  <c r="S109" i="1" s="1"/>
  <c r="U213" i="1"/>
  <c r="S213" i="1" s="1"/>
  <c r="AI162" i="1"/>
  <c r="U158" i="1"/>
  <c r="S158" i="1" s="1"/>
  <c r="AI174" i="1"/>
  <c r="U169" i="1"/>
  <c r="S169" i="1" s="1"/>
  <c r="AI186" i="1"/>
  <c r="AI211" i="1"/>
  <c r="U195" i="1"/>
  <c r="S195" i="1" s="1"/>
  <c r="AI137" i="1"/>
  <c r="U137" i="1"/>
  <c r="S137" i="1" s="1"/>
  <c r="AI203" i="1"/>
  <c r="U187" i="1"/>
  <c r="S187" i="1" s="1"/>
  <c r="W195" i="1"/>
  <c r="U173" i="1"/>
  <c r="S173" i="1" s="1"/>
  <c r="AI190" i="1"/>
  <c r="W213" i="1"/>
  <c r="U47" i="1"/>
  <c r="S47" i="1" s="1"/>
  <c r="AI47" i="1"/>
  <c r="U65" i="1"/>
  <c r="S65" i="1" s="1"/>
  <c r="AI65" i="1"/>
  <c r="AI49" i="1"/>
  <c r="U49" i="1"/>
  <c r="S49" i="1" s="1"/>
  <c r="W75" i="1"/>
  <c r="AI101" i="1"/>
  <c r="U101" i="1"/>
  <c r="S101" i="1" s="1"/>
  <c r="W109" i="1"/>
  <c r="U34" i="1"/>
  <c r="S34" i="1" s="1"/>
  <c r="AI34" i="1"/>
  <c r="U22" i="1"/>
  <c r="S22" i="1" s="1"/>
  <c r="AI22" i="1"/>
  <c r="AI42" i="1"/>
  <c r="U42" i="1"/>
  <c r="S42" i="1" s="1"/>
  <c r="W49" i="1"/>
  <c r="W101" i="1"/>
  <c r="AI24" i="1"/>
  <c r="U24" i="1"/>
  <c r="S24" i="1" s="1"/>
  <c r="AI41" i="1"/>
  <c r="U41" i="1"/>
  <c r="S41" i="1" s="1"/>
  <c r="U91" i="1"/>
  <c r="S91" i="1" s="1"/>
  <c r="AI91" i="1"/>
  <c r="W122" i="1"/>
  <c r="AI83" i="1"/>
  <c r="U83" i="1"/>
  <c r="S83" i="1" s="1"/>
  <c r="AI138" i="1"/>
  <c r="U138" i="1"/>
  <c r="S138" i="1" s="1"/>
  <c r="AI121" i="1"/>
  <c r="U121" i="1"/>
  <c r="S121" i="1" s="1"/>
  <c r="AI146" i="1"/>
  <c r="U146" i="1"/>
  <c r="S146" i="1" s="1"/>
  <c r="W170" i="1"/>
  <c r="AI202" i="1"/>
  <c r="U186" i="1"/>
  <c r="S186" i="1" s="1"/>
  <c r="U162" i="1"/>
  <c r="S162" i="1" s="1"/>
  <c r="AI179" i="1"/>
  <c r="U128" i="1"/>
  <c r="S128" i="1" s="1"/>
  <c r="AI128" i="1"/>
  <c r="AI219" i="1"/>
  <c r="U210" i="1"/>
  <c r="S210" i="1" s="1"/>
  <c r="W186" i="1"/>
  <c r="U44" i="1"/>
  <c r="S44" i="1" s="1"/>
  <c r="AI44" i="1"/>
  <c r="W58" i="1"/>
  <c r="AI100" i="1"/>
  <c r="U100" i="1"/>
  <c r="S100" i="1" s="1"/>
  <c r="AI187" i="1"/>
  <c r="U170" i="1"/>
  <c r="S170" i="1" s="1"/>
  <c r="W84" i="1"/>
  <c r="U30" i="1"/>
  <c r="S30" i="1" s="1"/>
  <c r="AI30" i="1"/>
  <c r="U54" i="1"/>
  <c r="S54" i="1" s="1"/>
  <c r="AI54" i="1"/>
  <c r="W62" i="1"/>
  <c r="W47" i="1"/>
  <c r="AI93" i="1"/>
  <c r="U93" i="1"/>
  <c r="S93" i="1" s="1"/>
  <c r="AI122" i="1"/>
  <c r="U122" i="1"/>
  <c r="S122" i="1" s="1"/>
  <c r="W91" i="1"/>
  <c r="U144" i="1"/>
  <c r="S144" i="1" s="1"/>
  <c r="AI144" i="1"/>
  <c r="U154" i="1"/>
  <c r="S154" i="1" s="1"/>
  <c r="AI170" i="1"/>
  <c r="AI195" i="1"/>
  <c r="U179" i="1"/>
  <c r="S179" i="1" s="1"/>
  <c r="W34" i="1"/>
  <c r="AI130" i="1"/>
  <c r="U130" i="1"/>
  <c r="S130" i="1" s="1"/>
  <c r="W162" i="1"/>
  <c r="AI194" i="1"/>
  <c r="U178" i="1"/>
  <c r="S178" i="1" s="1"/>
  <c r="W158" i="1"/>
  <c r="W169" i="1"/>
  <c r="AI112" i="1"/>
  <c r="U112" i="1"/>
  <c r="S112" i="1" s="1"/>
  <c r="AI75" i="1"/>
  <c r="U75" i="1"/>
  <c r="S75" i="1" s="1"/>
  <c r="U201" i="1"/>
  <c r="S201" i="1" s="1"/>
  <c r="AI154" i="1"/>
  <c r="U165" i="1"/>
  <c r="S165" i="1" s="1"/>
  <c r="AI182" i="1"/>
  <c r="AI52" i="1"/>
  <c r="U52" i="1"/>
  <c r="S52" i="1" s="1"/>
  <c r="U70" i="1"/>
  <c r="S70" i="1" s="1"/>
  <c r="AI70" i="1"/>
  <c r="AI38" i="1"/>
  <c r="U38" i="1"/>
  <c r="S38" i="1" s="1"/>
  <c r="U18" i="1"/>
  <c r="S18" i="1" s="1"/>
  <c r="AI18" i="1"/>
  <c r="U26" i="1"/>
  <c r="S26" i="1" s="1"/>
  <c r="AI26" i="1"/>
  <c r="U114" i="1"/>
  <c r="S114" i="1" s="1"/>
  <c r="AI114" i="1"/>
  <c r="U107" i="1"/>
  <c r="S107" i="1" s="1"/>
  <c r="AI107" i="1"/>
  <c r="U161" i="1"/>
  <c r="S161" i="1" s="1"/>
  <c r="AI178" i="1"/>
  <c r="W161" i="1"/>
  <c r="W44" i="1"/>
  <c r="W52" i="1"/>
  <c r="U205" i="1"/>
  <c r="S205" i="1" s="1"/>
  <c r="AI158" i="1"/>
  <c r="U217" i="1"/>
  <c r="S217" i="1" s="1"/>
  <c r="AI166" i="1"/>
  <c r="W179" i="1"/>
  <c r="AI215" i="1"/>
  <c r="U199" i="1"/>
  <c r="S199" i="1" s="1"/>
  <c r="W121" i="1"/>
  <c r="W201" i="1"/>
  <c r="W154" i="1"/>
  <c r="W165" i="1"/>
  <c r="W173" i="1"/>
  <c r="W178" i="1"/>
  <c r="R17" i="3"/>
  <c r="R18" i="3"/>
  <c r="R16" i="3"/>
  <c r="R34" i="3"/>
  <c r="R23" i="3"/>
  <c r="R24" i="3"/>
  <c r="S16" i="3"/>
  <c r="S34" i="3"/>
  <c r="S23" i="3"/>
  <c r="S24" i="3"/>
  <c r="S18" i="3"/>
  <c r="S17" i="3"/>
  <c r="M34" i="3"/>
  <c r="N34" i="3"/>
  <c r="M13" i="3"/>
  <c r="N13" i="3"/>
  <c r="M35" i="3"/>
  <c r="N35" i="3"/>
  <c r="M28" i="3"/>
  <c r="N28" i="3"/>
  <c r="M23" i="3"/>
  <c r="N23" i="3"/>
  <c r="M24" i="3"/>
  <c r="N24" i="3"/>
  <c r="M14" i="3"/>
  <c r="N14" i="3"/>
  <c r="M57" i="3"/>
  <c r="N57" i="3"/>
  <c r="M51" i="3"/>
  <c r="N51" i="3"/>
  <c r="M19" i="3"/>
  <c r="N19" i="3"/>
  <c r="M25" i="3"/>
  <c r="N25" i="3"/>
  <c r="M40" i="3"/>
  <c r="N40" i="3"/>
  <c r="M45" i="3"/>
  <c r="N45" i="3"/>
  <c r="M41" i="3"/>
  <c r="N41" i="3"/>
  <c r="M38" i="3"/>
  <c r="N38" i="3"/>
  <c r="M48" i="3"/>
  <c r="N48" i="3"/>
  <c r="M7" i="3"/>
  <c r="N7" i="3"/>
  <c r="M32" i="3"/>
  <c r="N32" i="3"/>
  <c r="M33" i="3"/>
  <c r="N33" i="3"/>
  <c r="M50" i="3"/>
  <c r="N50" i="3"/>
  <c r="M27" i="3"/>
  <c r="N27" i="3"/>
  <c r="M16" i="3"/>
  <c r="N16" i="3"/>
  <c r="U21" i="3"/>
  <c r="T21" i="3" s="1"/>
  <c r="V21" i="3"/>
  <c r="W21" i="3"/>
  <c r="X21" i="3"/>
  <c r="AC21" i="3" l="1"/>
  <c r="Y21" i="3"/>
  <c r="R21" i="3" l="1"/>
  <c r="S21" i="3"/>
  <c r="M54" i="3"/>
  <c r="N54" i="3"/>
  <c r="M11" i="3"/>
  <c r="N11" i="3"/>
  <c r="M20" i="3"/>
  <c r="N20" i="3"/>
  <c r="M53" i="3"/>
  <c r="N53" i="3"/>
  <c r="M29" i="3"/>
  <c r="N29" i="3"/>
  <c r="M46" i="3"/>
  <c r="N46" i="3"/>
  <c r="M26" i="3"/>
  <c r="N26" i="3"/>
  <c r="M22" i="3"/>
  <c r="N22" i="3"/>
  <c r="M42" i="3"/>
  <c r="N42" i="3"/>
  <c r="M37" i="3"/>
  <c r="N37" i="3"/>
  <c r="M49" i="3"/>
  <c r="N49" i="3"/>
  <c r="M10" i="3"/>
  <c r="N10" i="3"/>
  <c r="M30" i="3"/>
  <c r="N30" i="3"/>
  <c r="M36" i="3"/>
  <c r="N36" i="3"/>
  <c r="M21" i="3"/>
  <c r="N21" i="3"/>
  <c r="M9" i="3"/>
  <c r="N9" i="3"/>
  <c r="M12" i="3"/>
  <c r="N12" i="3"/>
  <c r="M17" i="3"/>
  <c r="N17" i="3"/>
  <c r="M47" i="3"/>
  <c r="N47" i="3"/>
  <c r="M8" i="3"/>
  <c r="N8" i="3"/>
  <c r="M39" i="3"/>
  <c r="N39" i="3"/>
  <c r="M55" i="3"/>
  <c r="N55" i="3"/>
  <c r="M44" i="3"/>
  <c r="N44" i="3"/>
  <c r="M43" i="3"/>
  <c r="N43" i="3"/>
  <c r="M52" i="3"/>
  <c r="N52" i="3"/>
  <c r="M56" i="3"/>
  <c r="N56" i="3"/>
  <c r="M15" i="3"/>
  <c r="N15" i="3"/>
  <c r="M58" i="3"/>
  <c r="N58" i="3"/>
  <c r="M18" i="3"/>
  <c r="N18" i="3"/>
  <c r="N31" i="3"/>
  <c r="M31" i="3"/>
  <c r="B14" i="6" l="1"/>
  <c r="F14" i="6" s="1"/>
  <c r="V13" i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21" i="1" l="1"/>
  <c r="AH22" i="1"/>
  <c r="AH23" i="1"/>
  <c r="AH36" i="1"/>
  <c r="AH37" i="1"/>
  <c r="AH55" i="1"/>
  <c r="AH58" i="1"/>
  <c r="AH59" i="1"/>
  <c r="AH76" i="1"/>
  <c r="AH81" i="1"/>
  <c r="AH82" i="1"/>
  <c r="AH83" i="1"/>
  <c r="AH84" i="1"/>
  <c r="AH90" i="1"/>
  <c r="AH91" i="1"/>
  <c r="AH92" i="1"/>
  <c r="AH93" i="1"/>
  <c r="AH94" i="1"/>
  <c r="AH104" i="1"/>
  <c r="AH105" i="1"/>
  <c r="AH106" i="1"/>
  <c r="AH121" i="1"/>
  <c r="AH122" i="1"/>
  <c r="AH123" i="1"/>
  <c r="AH126" i="1"/>
  <c r="AH127" i="1"/>
  <c r="AH162" i="1"/>
  <c r="AH181" i="1"/>
  <c r="AH182" i="1"/>
  <c r="AH194" i="1"/>
  <c r="AH195" i="1"/>
  <c r="AH196" i="1"/>
  <c r="AH204" i="1"/>
  <c r="AH205" i="1"/>
  <c r="AH206" i="1"/>
  <c r="AH207" i="1"/>
  <c r="AH208" i="1"/>
  <c r="AH209" i="1"/>
  <c r="AH210" i="1"/>
  <c r="AH211" i="1"/>
  <c r="AH167" i="1"/>
  <c r="AH169" i="1"/>
  <c r="AH171" i="1"/>
  <c r="AH184" i="1"/>
  <c r="AH197" i="1"/>
  <c r="AH199" i="1"/>
  <c r="AH212" i="1"/>
  <c r="AH213" i="1"/>
  <c r="AH192" i="1"/>
  <c r="AH216" i="1"/>
  <c r="AH220" i="1"/>
  <c r="AH15" i="1"/>
  <c r="AH17" i="1"/>
  <c r="AH18" i="1"/>
  <c r="AH19" i="1"/>
  <c r="AH24" i="1"/>
  <c r="AH25" i="1"/>
  <c r="AH26" i="1"/>
  <c r="AH27" i="1"/>
  <c r="AH28" i="1"/>
  <c r="AH29" i="1"/>
  <c r="AH30" i="1"/>
  <c r="AH31" i="1"/>
  <c r="AH32" i="1"/>
  <c r="AH38" i="1"/>
  <c r="AH39" i="1"/>
  <c r="AH40" i="1"/>
  <c r="AH60" i="1"/>
  <c r="AH61" i="1"/>
  <c r="AH62" i="1"/>
  <c r="AH77" i="1"/>
  <c r="AH86" i="1"/>
  <c r="AH95" i="1"/>
  <c r="AH97" i="1"/>
  <c r="AH98" i="1"/>
  <c r="AH107" i="1"/>
  <c r="AH108" i="1"/>
  <c r="AH114" i="1"/>
  <c r="AH115" i="1"/>
  <c r="AH124" i="1"/>
  <c r="AH128" i="1"/>
  <c r="AH129" i="1"/>
  <c r="AH130" i="1"/>
  <c r="AH140" i="1"/>
  <c r="AH151" i="1"/>
  <c r="AH153" i="1"/>
  <c r="AH154" i="1"/>
  <c r="AH163" i="1"/>
  <c r="AH164" i="1"/>
  <c r="AH165" i="1"/>
  <c r="AH166" i="1"/>
  <c r="AH168" i="1"/>
  <c r="AH170" i="1"/>
  <c r="AH183" i="1"/>
  <c r="AH185" i="1"/>
  <c r="AH198" i="1"/>
  <c r="AH187" i="1"/>
  <c r="AH200" i="1"/>
  <c r="AH202" i="1"/>
  <c r="AH189" i="1"/>
  <c r="AH214" i="1"/>
  <c r="AH217" i="1"/>
  <c r="AH33" i="1"/>
  <c r="AH34" i="1"/>
  <c r="AH41" i="1"/>
  <c r="AH42" i="1"/>
  <c r="AH43" i="1"/>
  <c r="AH44" i="1"/>
  <c r="AH45" i="1"/>
  <c r="AH46" i="1"/>
  <c r="AH47" i="1"/>
  <c r="AH56" i="1"/>
  <c r="AH63" i="1"/>
  <c r="AH64" i="1"/>
  <c r="AH65" i="1"/>
  <c r="AH66" i="1"/>
  <c r="AH67" i="1"/>
  <c r="AH68" i="1"/>
  <c r="AH70" i="1"/>
  <c r="AH71" i="1"/>
  <c r="AH87" i="1"/>
  <c r="AH88" i="1"/>
  <c r="AH89" i="1"/>
  <c r="AH96" i="1"/>
  <c r="AH99" i="1"/>
  <c r="AH100" i="1"/>
  <c r="AH101" i="1"/>
  <c r="AH102" i="1"/>
  <c r="AH109" i="1"/>
  <c r="AH110" i="1"/>
  <c r="AH111" i="1"/>
  <c r="AH116" i="1"/>
  <c r="AH125" i="1"/>
  <c r="AH141" i="1"/>
  <c r="AH142" i="1"/>
  <c r="AH143" i="1"/>
  <c r="AH155" i="1"/>
  <c r="AH172" i="1"/>
  <c r="AH173" i="1"/>
  <c r="AH174" i="1"/>
  <c r="AH176" i="1"/>
  <c r="AH186" i="1"/>
  <c r="AH188" i="1"/>
  <c r="AH201" i="1"/>
  <c r="AH203" i="1"/>
  <c r="AH191" i="1"/>
  <c r="AH215" i="1"/>
  <c r="AH219" i="1"/>
  <c r="AH14" i="1"/>
  <c r="AH20" i="1"/>
  <c r="AH35" i="1"/>
  <c r="AH48" i="1"/>
  <c r="AH49" i="1"/>
  <c r="AH50" i="1"/>
  <c r="AH51" i="1"/>
  <c r="AH52" i="1"/>
  <c r="AH53" i="1"/>
  <c r="AH54" i="1"/>
  <c r="AH57" i="1"/>
  <c r="AH72" i="1"/>
  <c r="AH73" i="1"/>
  <c r="AH74" i="1"/>
  <c r="AH75" i="1"/>
  <c r="AH79" i="1"/>
  <c r="AH80" i="1"/>
  <c r="AH103" i="1"/>
  <c r="AH112" i="1"/>
  <c r="AH113" i="1"/>
  <c r="AH117" i="1"/>
  <c r="AH118" i="1"/>
  <c r="AH119" i="1"/>
  <c r="AH120" i="1"/>
  <c r="AH131" i="1"/>
  <c r="AH132" i="1"/>
  <c r="AH133" i="1"/>
  <c r="AH134" i="1"/>
  <c r="AH135" i="1"/>
  <c r="AH136" i="1"/>
  <c r="AH137" i="1"/>
  <c r="AH138" i="1"/>
  <c r="AH139" i="1"/>
  <c r="AH144" i="1"/>
  <c r="AH145" i="1"/>
  <c r="AH146" i="1"/>
  <c r="AH147" i="1"/>
  <c r="AH148" i="1"/>
  <c r="AH149" i="1"/>
  <c r="AH150" i="1"/>
  <c r="AH156" i="1"/>
  <c r="AH157" i="1"/>
  <c r="AH158" i="1"/>
  <c r="AH159" i="1"/>
  <c r="AH160" i="1"/>
  <c r="AH161" i="1"/>
  <c r="AH177" i="1"/>
  <c r="AH178" i="1"/>
  <c r="AH179" i="1"/>
  <c r="AH180" i="1"/>
  <c r="AH190" i="1"/>
  <c r="AH193" i="1"/>
  <c r="AH218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<sst xmlns="http://schemas.openxmlformats.org/spreadsheetml/2006/main" count="2372" uniqueCount="795">
  <si>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</si>
  <si>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</si>
  <si>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</si>
  <si>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</si>
  <si>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</si>
  <si>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</si>
  <si>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</si>
  <si>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</si>
  <si>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</si>
  <si>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</si>
  <si>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</si>
  <si>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</si>
  <si>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</si>
  <si>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</si>
  <si>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</si>
  <si>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</si>
  <si>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</si>
  <si>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</si>
  <si>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</si>
  <si>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</si>
  <si>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</si>
  <si>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</si>
  <si>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</si>
  <si>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</si>
  <si>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</si>
  <si>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</si>
  <si>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</si>
  <si>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</si>
  <si>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</si>
  <si>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</si>
  <si>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</si>
  <si>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</si>
  <si>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</si>
  <si>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</si>
  <si>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</si>
  <si>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</si>
  <si>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</si>
  <si>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</si>
  <si>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</si>
  <si>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</si>
  <si>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</si>
  <si>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</si>
  <si>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</si>
  <si>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</si>
  <si>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</si>
  <si>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</si>
  <si>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</si>
  <si>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</si>
  <si>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</si>
  <si>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</si>
  <si>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</si>
  <si>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</si>
  <si>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</si>
  <si>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</si>
  <si>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</si>
  <si>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</si>
  <si>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</si>
  <si>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</si>
  <si>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</si>
  <si>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</si>
  <si>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</si>
  <si>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</si>
  <si>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</si>
  <si>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</si>
  <si>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</si>
  <si>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</si>
  <si>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</si>
  <si>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</si>
  <si>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</si>
  <si>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</si>
  <si>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</si>
  <si>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</si>
  <si>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</si>
  <si>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</si>
  <si>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</si>
  <si>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</si>
  <si>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</si>
  <si>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</si>
  <si>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</si>
  <si>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</si>
  <si>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</si>
  <si>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</si>
  <si>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</si>
  <si>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</si>
  <si>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</si>
  <si>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</si>
  <si>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</si>
  <si>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</si>
  <si>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</si>
  <si>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</si>
  <si>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</si>
  <si>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</si>
  <si>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</si>
  <si>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</si>
  <si>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</si>
  <si>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</si>
  <si>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</si>
  <si>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</si>
  <si>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</si>
  <si>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</si>
  <si>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</si>
  <si>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</si>
  <si>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</si>
  <si>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</si>
  <si>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</si>
  <si>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</si>
  <si>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</si>
  <si>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</si>
  <si>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</si>
  <si>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</si>
  <si>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</si>
  <si>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</si>
  <si>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</si>
  <si>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</si>
  <si>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</si>
  <si>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</si>
  <si>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</si>
  <si>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</si>
  <si>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</si>
  <si>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</si>
  <si>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</si>
  <si>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</si>
  <si>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</si>
  <si>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</si>
  <si>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</si>
  <si>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</si>
  <si>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</si>
  <si>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</si>
  <si>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</si>
  <si>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</si>
  <si>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</si>
  <si>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</si>
  <si>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</si>
  <si>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</si>
  <si>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</si>
  <si>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</si>
  <si>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</si>
  <si>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</si>
  <si>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</si>
  <si>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</si>
  <si>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</si>
  <si>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</si>
  <si>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</si>
  <si>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</si>
  <si>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</si>
  <si>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</si>
  <si>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</si>
  <si>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</si>
  <si>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</si>
  <si>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</si>
  <si>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</si>
  <si>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</si>
  <si>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</si>
  <si>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</si>
  <si>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</si>
  <si>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</si>
  <si>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</si>
  <si>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</si>
  <si>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</si>
  <si>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</si>
  <si>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</si>
  <si>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</si>
  <si>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</si>
  <si>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</si>
  <si>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</si>
  <si>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</si>
  <si>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</si>
  <si>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</si>
  <si>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</si>
  <si>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</si>
  <si>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</si>
  <si>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</si>
  <si>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</si>
  <si>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</si>
  <si>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</si>
  <si>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</si>
  <si>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</si>
  <si>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</si>
  <si>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</si>
  <si>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</si>
  <si>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</si>
  <si>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</si>
  <si>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</si>
  <si>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</si>
  <si>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</si>
  <si>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</si>
  <si>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</si>
  <si>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</si>
  <si>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</si>
  <si>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</si>
  <si>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</si>
  <si>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</si>
  <si>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</si>
  <si>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</si>
  <si>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</si>
  <si>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</si>
  <si>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</si>
  <si>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204:462</t>
  </si>
  <si>
    <t>Loco - PTC</t>
  </si>
  <si>
    <t>Power</t>
  </si>
  <si>
    <t>204:156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</si>
  <si>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</si>
  <si>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</si>
  <si>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</si>
  <si>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</si>
  <si>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</si>
  <si>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</si>
  <si>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</si>
  <si>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</si>
  <si>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</si>
  <si>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rtdc.l.rtdc.4017:itc</t>
  </si>
  <si>
    <t>rtdc.l.rtdc.4018:itc</t>
  </si>
  <si>
    <t>Reactive Warning (1)</t>
  </si>
  <si>
    <t>LEVERE</t>
  </si>
  <si>
    <t>:.+((SYSTEM_STATE.+slice.+state.+changed )|(ment ac)|(system.+state.+changed )|(\[timeout)|(PRM\|1\|D)|(kpr)|(kdp)|(\|lc)|(penalty))</t>
  </si>
  <si>
    <t>STURGEON</t>
  </si>
  <si>
    <t>204:161</t>
  </si>
  <si>
    <t>s3://rtdc.mdm.uploadarchive.raw</t>
  </si>
  <si>
    <t>204:232969</t>
  </si>
  <si>
    <t>rtdc.l.rtdc.4010:itc</t>
  </si>
  <si>
    <t>rtdc.l.rtdc.4009:itc</t>
  </si>
  <si>
    <t>204:233308</t>
  </si>
  <si>
    <t>204:447</t>
  </si>
  <si>
    <t>rtdc.l.rtdc.4003:itc</t>
  </si>
  <si>
    <t>rtdc.l.rtdc.4004:itc</t>
  </si>
  <si>
    <t>204:232998</t>
  </si>
  <si>
    <t>204:233297</t>
  </si>
  <si>
    <t>204:469</t>
  </si>
  <si>
    <t>204:233299</t>
  </si>
  <si>
    <t>rtdc.l.rtdc.4001:itc</t>
  </si>
  <si>
    <t>rtdc.l.rtdc.4002:itc</t>
  </si>
  <si>
    <t>rtdc.l.rtdc.4008:itc</t>
  </si>
  <si>
    <t>rtdc.l.rtdc.4044:itc</t>
  </si>
  <si>
    <t>rtdc.l.rtdc.4007:itc</t>
  </si>
  <si>
    <t>204:232993</t>
  </si>
  <si>
    <t>YOUNG</t>
  </si>
  <si>
    <t>204:233286</t>
  </si>
  <si>
    <t>204:232989</t>
  </si>
  <si>
    <t>204:233000</t>
  </si>
  <si>
    <t>rtdc.l.rtdc.4046:itc</t>
  </si>
  <si>
    <t>rtdc.l.rtdc.4045:itc</t>
  </si>
  <si>
    <t>56-06</t>
  </si>
  <si>
    <t>309-06</t>
  </si>
  <si>
    <t>244-06</t>
  </si>
  <si>
    <t>311-06</t>
  </si>
  <si>
    <t>315-06</t>
  </si>
  <si>
    <t>Y</t>
  </si>
  <si>
    <t>204:475</t>
  </si>
  <si>
    <t>204:444</t>
  </si>
  <si>
    <t>204:143</t>
  </si>
  <si>
    <t>204:172</t>
  </si>
  <si>
    <t>204:232991</t>
  </si>
  <si>
    <t>204:167</t>
  </si>
  <si>
    <t>204:233295</t>
  </si>
  <si>
    <t>204:232984</t>
  </si>
  <si>
    <t>204:233288</t>
  </si>
  <si>
    <t>246-07</t>
  </si>
  <si>
    <t>311-07</t>
  </si>
  <si>
    <t>313-07</t>
  </si>
  <si>
    <t>315-07</t>
  </si>
  <si>
    <t>56-08</t>
  </si>
  <si>
    <t>62-07</t>
  </si>
  <si>
    <t>300:58609</t>
  </si>
  <si>
    <t>rtdc.l.rtdc.4020:itc</t>
  </si>
  <si>
    <t>rtdc.l.rtdc.4019:itc</t>
  </si>
  <si>
    <t>rtdc.l.rtdc.4013:itc</t>
  </si>
  <si>
    <t>DAVIS</t>
  </si>
  <si>
    <t>rtdc.l.rtdc.4038:itc</t>
  </si>
  <si>
    <t>STEWART</t>
  </si>
  <si>
    <t>CLARK</t>
  </si>
  <si>
    <t>rtdc.l.rtdc.4014:itc</t>
  </si>
  <si>
    <t>SWANSON</t>
  </si>
  <si>
    <t>CHANDLER</t>
  </si>
  <si>
    <t>Powered by darksky [darksky.net]</t>
  </si>
  <si>
    <t>rtdc.l.rtdc.4028:itc</t>
  </si>
  <si>
    <t>rtdc.l.rtdc.4043:itc</t>
  </si>
  <si>
    <t>KILLION</t>
  </si>
  <si>
    <t>rtdc.l.rtdc.4027:itc</t>
  </si>
  <si>
    <t>BARTLETT</t>
  </si>
  <si>
    <t>rtdc.l.rtdc.4040:itc</t>
  </si>
  <si>
    <t>ROBINSON</t>
  </si>
  <si>
    <t>204:233306</t>
  </si>
  <si>
    <t>204:232963</t>
  </si>
  <si>
    <t>204:232987</t>
  </si>
  <si>
    <t>204:232965</t>
  </si>
  <si>
    <t>204:442</t>
  </si>
  <si>
    <t>204:233315</t>
  </si>
  <si>
    <t>204:232992</t>
  </si>
  <si>
    <t>204:163</t>
  </si>
  <si>
    <t>204:233289</t>
  </si>
  <si>
    <t>partly-cloudy-day</t>
  </si>
  <si>
    <t>Partly Cloudy</t>
  </si>
  <si>
    <t>Mostly Cloudy</t>
  </si>
  <si>
    <t>partly-cloudy-night</t>
  </si>
  <si>
    <t>rtdc.l.rtdc.4039:itc</t>
  </si>
  <si>
    <t>rtdc.l.rtdc.4030:itc</t>
  </si>
  <si>
    <t>BRUDER</t>
  </si>
  <si>
    <t>COOLAHAN</t>
  </si>
  <si>
    <t>rtdc.l.rtdc.4029:itc</t>
  </si>
  <si>
    <t>BERLING</t>
  </si>
  <si>
    <t>PUGH</t>
  </si>
  <si>
    <t>204:715</t>
  </si>
  <si>
    <t>204:233287</t>
  </si>
  <si>
    <t>204:232967</t>
  </si>
  <si>
    <t>204:473</t>
  </si>
  <si>
    <t>204:233310</t>
  </si>
  <si>
    <t>204:232983</t>
  </si>
  <si>
    <t>300:58658</t>
  </si>
  <si>
    <t>204:685</t>
  </si>
  <si>
    <t>300:58615</t>
  </si>
  <si>
    <t>204:757</t>
  </si>
  <si>
    <t>204:233307</t>
  </si>
  <si>
    <t>204:233323</t>
  </si>
  <si>
    <t>204:233303</t>
  </si>
  <si>
    <t>Onboard in-route failure</t>
  </si>
  <si>
    <t>Early arrival</t>
  </si>
  <si>
    <t>SPECTOR</t>
  </si>
  <si>
    <t>rtdc.l.rtdc.4037:itc</t>
  </si>
  <si>
    <t>HAITHCOX</t>
  </si>
  <si>
    <t>YANAI</t>
  </si>
  <si>
    <t>227-10</t>
  </si>
  <si>
    <t>233-10</t>
  </si>
  <si>
    <t>224-10</t>
  </si>
  <si>
    <t>65-10</t>
  </si>
  <si>
    <t>ALONZO</t>
  </si>
  <si>
    <t>842-10</t>
  </si>
  <si>
    <t>226-10</t>
  </si>
  <si>
    <t>229-10</t>
  </si>
  <si>
    <t>845-10</t>
  </si>
  <si>
    <t>231-10</t>
  </si>
  <si>
    <t>228-10</t>
  </si>
  <si>
    <t>844-10</t>
  </si>
  <si>
    <t>230-10</t>
  </si>
  <si>
    <t>235-10</t>
  </si>
  <si>
    <t>847-10</t>
  </si>
  <si>
    <t>232-10</t>
  </si>
  <si>
    <t>908-10</t>
  </si>
  <si>
    <t>234-10</t>
  </si>
  <si>
    <t>237-10</t>
  </si>
  <si>
    <t>239-10</t>
  </si>
  <si>
    <t>236-10</t>
  </si>
  <si>
    <t>238-10</t>
  </si>
  <si>
    <t>241-10</t>
  </si>
  <si>
    <t>243-10</t>
  </si>
  <si>
    <t>240-10</t>
  </si>
  <si>
    <t>309-10</t>
  </si>
  <si>
    <t>242-10</t>
  </si>
  <si>
    <t>311-10</t>
  </si>
  <si>
    <t>204:233305</t>
  </si>
  <si>
    <t>204:232970</t>
  </si>
  <si>
    <t>204:170</t>
  </si>
  <si>
    <t>204:232973</t>
  </si>
  <si>
    <t>204:233317</t>
  </si>
  <si>
    <t>204:232996</t>
  </si>
  <si>
    <t>204:233300</t>
  </si>
  <si>
    <t>204:233015</t>
  </si>
  <si>
    <t>204:429</t>
  </si>
  <si>
    <t>204:86375</t>
  </si>
  <si>
    <t>204:482</t>
  </si>
  <si>
    <t>204:974</t>
  </si>
  <si>
    <t>300:58929</t>
  </si>
  <si>
    <t>300:58613</t>
  </si>
  <si>
    <t>204:722</t>
  </si>
  <si>
    <t>204:689</t>
  </si>
  <si>
    <t>300:58640</t>
  </si>
  <si>
    <t>300:58926</t>
  </si>
  <si>
    <t>204:677</t>
  </si>
  <si>
    <t>300:58924</t>
  </si>
  <si>
    <t>204:691</t>
  </si>
  <si>
    <t>204:748</t>
  </si>
  <si>
    <t>precipType</t>
  </si>
  <si>
    <t>rain</t>
  </si>
  <si>
    <t>Light Rain</t>
  </si>
  <si>
    <t>Wi-MAX outage</t>
  </si>
  <si>
    <t>40th 4S STOP, cleared afterward</t>
  </si>
  <si>
    <t>RESTRICTED aspect</t>
  </si>
  <si>
    <t>Annulled - Network outage - failed hardware switch</t>
  </si>
  <si>
    <t>109-11</t>
  </si>
  <si>
    <t>110-11</t>
  </si>
  <si>
    <t>204:232644</t>
  </si>
  <si>
    <t>111-11</t>
  </si>
  <si>
    <t>204:766</t>
  </si>
  <si>
    <t>204:233351</t>
  </si>
  <si>
    <t>113-11</t>
  </si>
  <si>
    <t>204:763</t>
  </si>
  <si>
    <t>204:233320</t>
  </si>
  <si>
    <t>114-11</t>
  </si>
  <si>
    <t>204:233007</t>
  </si>
  <si>
    <t>115-11</t>
  </si>
  <si>
    <t>116-11</t>
  </si>
  <si>
    <t>204:233019</t>
  </si>
  <si>
    <t>117-11</t>
  </si>
  <si>
    <t>204:233332</t>
  </si>
  <si>
    <t>118-11</t>
  </si>
  <si>
    <t>119-11</t>
  </si>
  <si>
    <t>120-11</t>
  </si>
  <si>
    <t>204:233021</t>
  </si>
  <si>
    <t>121-11</t>
  </si>
  <si>
    <t>122-11</t>
  </si>
  <si>
    <t>123-11</t>
  </si>
  <si>
    <t>204:193694</t>
  </si>
  <si>
    <t>124-11</t>
  </si>
  <si>
    <t>204:232966</t>
  </si>
  <si>
    <t>125-11</t>
  </si>
  <si>
    <t>204:233334</t>
  </si>
  <si>
    <t>126-11</t>
  </si>
  <si>
    <t>127-11</t>
  </si>
  <si>
    <t>128-11</t>
  </si>
  <si>
    <t>129-11</t>
  </si>
  <si>
    <t>130-11</t>
  </si>
  <si>
    <t>204:232988</t>
  </si>
  <si>
    <t>131-11</t>
  </si>
  <si>
    <t>132-11</t>
  </si>
  <si>
    <t>133-11</t>
  </si>
  <si>
    <t>134-11</t>
  </si>
  <si>
    <t>135-11</t>
  </si>
  <si>
    <t>136-11</t>
  </si>
  <si>
    <t>137-11</t>
  </si>
  <si>
    <t>138-11</t>
  </si>
  <si>
    <t>139-11</t>
  </si>
  <si>
    <t>204:8092</t>
  </si>
  <si>
    <t>140-11</t>
  </si>
  <si>
    <t>141-11</t>
  </si>
  <si>
    <t>204:471</t>
  </si>
  <si>
    <t>142-11</t>
  </si>
  <si>
    <t>204:1158</t>
  </si>
  <si>
    <t>143-11</t>
  </si>
  <si>
    <t>144-11</t>
  </si>
  <si>
    <t>145-11</t>
  </si>
  <si>
    <t>204:231183</t>
  </si>
  <si>
    <t>204:123045</t>
  </si>
  <si>
    <t>146-11</t>
  </si>
  <si>
    <t>147-11</t>
  </si>
  <si>
    <t>204:233327</t>
  </si>
  <si>
    <t>148-11</t>
  </si>
  <si>
    <t>204:233010</t>
  </si>
  <si>
    <t>204:134</t>
  </si>
  <si>
    <t>149-11</t>
  </si>
  <si>
    <t>150-11</t>
  </si>
  <si>
    <t>151-11</t>
  </si>
  <si>
    <t>204:128269</t>
  </si>
  <si>
    <t>152-11</t>
  </si>
  <si>
    <t>204:127857</t>
  </si>
  <si>
    <t>204:86351</t>
  </si>
  <si>
    <t>153-11</t>
  </si>
  <si>
    <t>204:1475</t>
  </si>
  <si>
    <t>204:1865</t>
  </si>
  <si>
    <t>204:19125</t>
  </si>
  <si>
    <t>154-11</t>
  </si>
  <si>
    <t>155-11</t>
  </si>
  <si>
    <t>156-11</t>
  </si>
  <si>
    <t>157-11</t>
  </si>
  <si>
    <t>158-11</t>
  </si>
  <si>
    <t>159-11</t>
  </si>
  <si>
    <t>204:233340</t>
  </si>
  <si>
    <t>160-11</t>
  </si>
  <si>
    <t>162-11</t>
  </si>
  <si>
    <t>204:232982</t>
  </si>
  <si>
    <t>163-11</t>
  </si>
  <si>
    <t>204:233321</t>
  </si>
  <si>
    <t>164-11</t>
  </si>
  <si>
    <t>165-11</t>
  </si>
  <si>
    <t>166-11</t>
  </si>
  <si>
    <t>167-11</t>
  </si>
  <si>
    <t>168-11</t>
  </si>
  <si>
    <t>169-11</t>
  </si>
  <si>
    <t>170-11</t>
  </si>
  <si>
    <t>204:174</t>
  </si>
  <si>
    <t>171-11</t>
  </si>
  <si>
    <t>172-11</t>
  </si>
  <si>
    <t>173-11</t>
  </si>
  <si>
    <t>175-11</t>
  </si>
  <si>
    <t>177-11</t>
  </si>
  <si>
    <t>179-11</t>
  </si>
  <si>
    <t>51-11</t>
  </si>
  <si>
    <t>300:25584</t>
  </si>
  <si>
    <t>52-11</t>
  </si>
  <si>
    <t>300:23233</t>
  </si>
  <si>
    <t>204:963</t>
  </si>
  <si>
    <t>53-11</t>
  </si>
  <si>
    <t>204:1283</t>
  </si>
  <si>
    <t>300:24243</t>
  </si>
  <si>
    <t>800-11</t>
  </si>
  <si>
    <t>204:706</t>
  </si>
  <si>
    <t>801-11</t>
  </si>
  <si>
    <t>204:1000</t>
  </si>
  <si>
    <t>300:58971</t>
  </si>
  <si>
    <t>802-11</t>
  </si>
  <si>
    <t>300:58660</t>
  </si>
  <si>
    <t>803-11</t>
  </si>
  <si>
    <t>204:967</t>
  </si>
  <si>
    <t>300:58935</t>
  </si>
  <si>
    <t>804-11</t>
  </si>
  <si>
    <t>805-11</t>
  </si>
  <si>
    <t>204:985</t>
  </si>
  <si>
    <t>300:58982</t>
  </si>
  <si>
    <t>806-11</t>
  </si>
  <si>
    <t>300:58670</t>
  </si>
  <si>
    <t>204:731</t>
  </si>
  <si>
    <t>807-11</t>
  </si>
  <si>
    <t>204:1007</t>
  </si>
  <si>
    <t>300:58928</t>
  </si>
  <si>
    <t>808-11</t>
  </si>
  <si>
    <t>809-11</t>
  </si>
  <si>
    <t>204:1016</t>
  </si>
  <si>
    <t>300:59007</t>
  </si>
  <si>
    <t>810-11</t>
  </si>
  <si>
    <t>300:58687</t>
  </si>
  <si>
    <t>811-11</t>
  </si>
  <si>
    <t>204:992</t>
  </si>
  <si>
    <t>812-11</t>
  </si>
  <si>
    <t>813-11</t>
  </si>
  <si>
    <t>204:999</t>
  </si>
  <si>
    <t>300:33813</t>
  </si>
  <si>
    <t>814-11</t>
  </si>
  <si>
    <t>300:58600</t>
  </si>
  <si>
    <t>815-11</t>
  </si>
  <si>
    <t>816-11</t>
  </si>
  <si>
    <t>204:713</t>
  </si>
  <si>
    <t>817-11</t>
  </si>
  <si>
    <t>204:1006</t>
  </si>
  <si>
    <t>818-11</t>
  </si>
  <si>
    <t>300:58621</t>
  </si>
  <si>
    <t>204:733</t>
  </si>
  <si>
    <t>819-11</t>
  </si>
  <si>
    <t>204:1021</t>
  </si>
  <si>
    <t>820-11</t>
  </si>
  <si>
    <t>204:743</t>
  </si>
  <si>
    <t>821-11</t>
  </si>
  <si>
    <t>822-11</t>
  </si>
  <si>
    <t>903-11</t>
  </si>
  <si>
    <t>300:23544</t>
  </si>
  <si>
    <t>112-11</t>
  </si>
  <si>
    <t>Did not init</t>
  </si>
  <si>
    <t>rtdc.l.rtdc.4016:itc</t>
  </si>
  <si>
    <t>SWITCH UNKNOWN</t>
  </si>
  <si>
    <t>Track device (7)</t>
  </si>
  <si>
    <t>rtdc.l.rtdc.4015:itc</t>
  </si>
  <si>
    <t>rtdc.l.rtdc.4054:itc</t>
  </si>
  <si>
    <t>823-11</t>
  </si>
  <si>
    <t>176-11</t>
  </si>
  <si>
    <t>183-11</t>
  </si>
  <si>
    <t>824-11</t>
  </si>
  <si>
    <t>182-11</t>
  </si>
  <si>
    <t>191-11</t>
  </si>
  <si>
    <t>189-11</t>
  </si>
  <si>
    <t>186-11</t>
  </si>
  <si>
    <t>195-11</t>
  </si>
  <si>
    <t>190-11</t>
  </si>
  <si>
    <t>54-11</t>
  </si>
  <si>
    <t>60-11</t>
  </si>
  <si>
    <t>SWITCH ALIGNMENT</t>
  </si>
  <si>
    <t>202-11</t>
  </si>
  <si>
    <t>835-11</t>
  </si>
  <si>
    <t>837-11</t>
  </si>
  <si>
    <t>842-11</t>
  </si>
  <si>
    <t>844-11</t>
  </si>
  <si>
    <t>233-11</t>
  </si>
  <si>
    <t>228-11</t>
  </si>
  <si>
    <t>rtdc.l.rtdc.4032:itc</t>
  </si>
  <si>
    <t>232-11</t>
  </si>
  <si>
    <t>238-11</t>
  </si>
  <si>
    <t>240-11</t>
  </si>
  <si>
    <t>242-11</t>
  </si>
  <si>
    <t>cloudy</t>
  </si>
  <si>
    <t>Overcast</t>
  </si>
  <si>
    <t>Drizzle</t>
  </si>
  <si>
    <t>Summary for DUS 2016-10-11: Light rain overnight.</t>
  </si>
  <si>
    <t>901-11</t>
  </si>
  <si>
    <t>HILLS</t>
  </si>
  <si>
    <t>rtdc.l.rtdc.4031:itc</t>
  </si>
  <si>
    <t>rtdc.l.rtdc.4053:itc</t>
  </si>
  <si>
    <t>SANTIZO</t>
  </si>
  <si>
    <t>DE LA ROSA</t>
  </si>
  <si>
    <t>GRASTON</t>
  </si>
  <si>
    <t>HELVIE</t>
  </si>
  <si>
    <t>BONDS</t>
  </si>
  <si>
    <t>CRAYTON</t>
  </si>
  <si>
    <t>STORY</t>
  </si>
  <si>
    <t>174-11</t>
  </si>
  <si>
    <t>181-11</t>
  </si>
  <si>
    <t>178-11</t>
  </si>
  <si>
    <t>185-11</t>
  </si>
  <si>
    <t>180-11</t>
  </si>
  <si>
    <t>187-11</t>
  </si>
  <si>
    <t>184-11</t>
  </si>
  <si>
    <t>193-11</t>
  </si>
  <si>
    <t>825-11</t>
  </si>
  <si>
    <t>188-11</t>
  </si>
  <si>
    <t>904-11</t>
  </si>
  <si>
    <t>197-11</t>
  </si>
  <si>
    <t>BRANDNER</t>
  </si>
  <si>
    <t>826-11</t>
  </si>
  <si>
    <t>827-11</t>
  </si>
  <si>
    <t>192-11</t>
  </si>
  <si>
    <t>199-11</t>
  </si>
  <si>
    <t>194-11</t>
  </si>
  <si>
    <t>828-11</t>
  </si>
  <si>
    <t>201-11</t>
  </si>
  <si>
    <t>829-11</t>
  </si>
  <si>
    <t>196-11</t>
  </si>
  <si>
    <t>203-11</t>
  </si>
  <si>
    <t>198-11</t>
  </si>
  <si>
    <t>830-11</t>
  </si>
  <si>
    <t>831-11</t>
  </si>
  <si>
    <t>205-11</t>
  </si>
  <si>
    <t>200-11</t>
  </si>
  <si>
    <t>207-11</t>
  </si>
  <si>
    <t>832-11</t>
  </si>
  <si>
    <t>209-11</t>
  </si>
  <si>
    <t>833-11</t>
  </si>
  <si>
    <t>204-11</t>
  </si>
  <si>
    <t>206-11</t>
  </si>
  <si>
    <t>55-11</t>
  </si>
  <si>
    <t>211-11</t>
  </si>
  <si>
    <t>834-11</t>
  </si>
  <si>
    <t>213-11</t>
  </si>
  <si>
    <t>56-11</t>
  </si>
  <si>
    <t>208-11</t>
  </si>
  <si>
    <t>57-11</t>
  </si>
  <si>
    <t>215-11</t>
  </si>
  <si>
    <t>210-11</t>
  </si>
  <si>
    <t>836-11</t>
  </si>
  <si>
    <t>217-11</t>
  </si>
  <si>
    <t>212-11</t>
  </si>
  <si>
    <t>61-11</t>
  </si>
  <si>
    <t>219-11</t>
  </si>
  <si>
    <t>214-11</t>
  </si>
  <si>
    <t>838-11</t>
  </si>
  <si>
    <t>303-11</t>
  </si>
  <si>
    <t>839-11</t>
  </si>
  <si>
    <t>216-11</t>
  </si>
  <si>
    <t>221-11</t>
  </si>
  <si>
    <t>218-11</t>
  </si>
  <si>
    <t>906-11</t>
  </si>
  <si>
    <t>841-11</t>
  </si>
  <si>
    <t>305-11</t>
  </si>
  <si>
    <t>220-11</t>
  </si>
  <si>
    <t>223-11</t>
  </si>
  <si>
    <t>840-11</t>
  </si>
  <si>
    <t>307-11</t>
  </si>
  <si>
    <t>222-11</t>
  </si>
  <si>
    <t>225-11</t>
  </si>
  <si>
    <t>843-11</t>
  </si>
  <si>
    <t>224-11</t>
  </si>
  <si>
    <t>227-11</t>
  </si>
  <si>
    <t>226-11</t>
  </si>
  <si>
    <t>229-11</t>
  </si>
  <si>
    <t>845-11</t>
  </si>
  <si>
    <t>231-11</t>
  </si>
  <si>
    <t>230-11</t>
  </si>
  <si>
    <t>847-11</t>
  </si>
  <si>
    <t>235-11</t>
  </si>
  <si>
    <t>908-11</t>
  </si>
  <si>
    <t>234-11</t>
  </si>
  <si>
    <t>237-11</t>
  </si>
  <si>
    <t>236-11</t>
  </si>
  <si>
    <t>239-11</t>
  </si>
  <si>
    <t>241-11</t>
  </si>
  <si>
    <t>243-11</t>
  </si>
  <si>
    <t>309-11</t>
  </si>
  <si>
    <t>311-11</t>
  </si>
  <si>
    <t>244-11</t>
  </si>
  <si>
    <t>313-11</t>
  </si>
  <si>
    <t>315-11</t>
  </si>
  <si>
    <t>204:232977</t>
  </si>
  <si>
    <t>204:233004</t>
  </si>
  <si>
    <t>204:232980</t>
  </si>
  <si>
    <t>204:233330</t>
  </si>
  <si>
    <t>204:233028</t>
  </si>
  <si>
    <t>204:9489</t>
  </si>
  <si>
    <t>204:215438</t>
  </si>
  <si>
    <t>204:232972</t>
  </si>
  <si>
    <t>204:233345</t>
  </si>
  <si>
    <t>204:233026</t>
  </si>
  <si>
    <t>204:233153</t>
  </si>
  <si>
    <t>204:232858</t>
  </si>
  <si>
    <t>204:176</t>
  </si>
  <si>
    <t>204:233259</t>
  </si>
  <si>
    <t>204:232952</t>
  </si>
  <si>
    <t>204:233276</t>
  </si>
  <si>
    <t>204:467</t>
  </si>
  <si>
    <t>204:491</t>
  </si>
  <si>
    <t>204:233326</t>
  </si>
  <si>
    <t>204:232981</t>
  </si>
  <si>
    <t>204:139</t>
  </si>
  <si>
    <t>204:233304</t>
  </si>
  <si>
    <t>204:232985</t>
  </si>
  <si>
    <t>204:187</t>
  </si>
  <si>
    <t>204:233301</t>
  </si>
  <si>
    <t>204:232986</t>
  </si>
  <si>
    <t>204:233264</t>
  </si>
  <si>
    <t>204:446</t>
  </si>
  <si>
    <t>204:233316</t>
  </si>
  <si>
    <t>204:196</t>
  </si>
  <si>
    <t>204:84</t>
  </si>
  <si>
    <t>204:477</t>
  </si>
  <si>
    <t>204:233293</t>
  </si>
  <si>
    <t>204:106</t>
  </si>
  <si>
    <t>204:381</t>
  </si>
  <si>
    <t>204:165</t>
  </si>
  <si>
    <t>204:437</t>
  </si>
  <si>
    <t>204:233008</t>
  </si>
  <si>
    <t>204:205</t>
  </si>
  <si>
    <t>204:404</t>
  </si>
  <si>
    <t>204:233372</t>
  </si>
  <si>
    <t>204:232994</t>
  </si>
  <si>
    <t>204:233314</t>
  </si>
  <si>
    <t>204:509</t>
  </si>
  <si>
    <t>204:108</t>
  </si>
  <si>
    <t>204:495</t>
  </si>
  <si>
    <t>204:64169</t>
  </si>
  <si>
    <t>204:488</t>
  </si>
  <si>
    <t>300:23308</t>
  </si>
  <si>
    <t>300:23306</t>
  </si>
  <si>
    <t>204:478</t>
  </si>
  <si>
    <t>300:23314</t>
  </si>
  <si>
    <t>204:508</t>
  </si>
  <si>
    <t>300:16813</t>
  </si>
  <si>
    <t>204:397</t>
  </si>
  <si>
    <t>300:23083</t>
  </si>
  <si>
    <t>204:374</t>
  </si>
  <si>
    <t>300:22234</t>
  </si>
  <si>
    <t>300:23334</t>
  </si>
  <si>
    <t>204:119</t>
  </si>
  <si>
    <t>204:423</t>
  </si>
  <si>
    <t>300:22854</t>
  </si>
  <si>
    <t>300:22227</t>
  </si>
  <si>
    <t>204:865</t>
  </si>
  <si>
    <t>204:1479</t>
  </si>
  <si>
    <t>300:23302</t>
  </si>
  <si>
    <t>300:24254</t>
  </si>
  <si>
    <t>300:23750</t>
  </si>
  <si>
    <t>204:365</t>
  </si>
  <si>
    <t>300:24214</t>
  </si>
  <si>
    <t>300:58950</t>
  </si>
  <si>
    <t>300:58630</t>
  </si>
  <si>
    <t>204:969</t>
  </si>
  <si>
    <t>300:58920</t>
  </si>
  <si>
    <t>300:58608</t>
  </si>
  <si>
    <t>204:964</t>
  </si>
  <si>
    <t>300:58943</t>
  </si>
  <si>
    <t>300:58632</t>
  </si>
  <si>
    <t>204:682</t>
  </si>
  <si>
    <t>204:680</t>
  </si>
  <si>
    <t>204:965</t>
  </si>
  <si>
    <t>300:58641</t>
  </si>
  <si>
    <t>204:668</t>
  </si>
  <si>
    <t>204:971</t>
  </si>
  <si>
    <t>300:31195</t>
  </si>
  <si>
    <t>300:58647</t>
  </si>
  <si>
    <t>204:696</t>
  </si>
  <si>
    <t>300:58918</t>
  </si>
  <si>
    <t>300:58623</t>
  </si>
  <si>
    <t>204:976</t>
  </si>
  <si>
    <t>300:58933</t>
  </si>
  <si>
    <t>204:666</t>
  </si>
  <si>
    <t>204:962</t>
  </si>
  <si>
    <t>204:759</t>
  </si>
  <si>
    <t>204:1044</t>
  </si>
  <si>
    <t>300:23358</t>
  </si>
  <si>
    <t>204:719</t>
  </si>
  <si>
    <t>300:58604</t>
  </si>
  <si>
    <t>300:28788</t>
  </si>
  <si>
    <t>300:21746</t>
  </si>
  <si>
    <t>Premature downgrade at Pena 2N</t>
  </si>
  <si>
    <t>At 06:59:42, Pena 2N downgraded from PROCEED CAB to STOP, this seem unexpected/unintended. Anything strange happen here?</t>
  </si>
  <si>
    <t>Title says it all - any network issues here?</t>
  </si>
  <si>
    <t>CP 40th stuck in STOP due to CP 61st network failure</t>
  </si>
  <si>
    <t>CP 61st network failure from 09:37:46 - 09:39:34</t>
  </si>
  <si>
    <t>CP 40th 2N was stuck at STOP likely due to the fact that CP 61st was out of correspondence</t>
  </si>
  <si>
    <t>Operator pressed PROTECTED BY 2 FLAGGERS for Form C @ MP 10.3738 - was this correct?</t>
  </si>
  <si>
    <t>Operator pressed YES and then 2 for Form C at MP 10.37. Doesn’t seem correct, but will need confirmation from ops notes</t>
  </si>
  <si>
    <t>Departure from Main 3</t>
  </si>
  <si>
    <t>Departure from Main 3, really short exit track</t>
  </si>
  <si>
    <t>Cut out before entering Main 3</t>
  </si>
  <si>
    <t>Train ended up at (39.754525330196806,-104.99938978232775), which is Main 3. No need to cut out here.</t>
  </si>
  <si>
    <t>No clear requests sent to 78th 2N from 14:57:42 - 14:59:54</t>
  </si>
  <si>
    <t>There were no clear requests sent to 78th 2N from 14:57:42 - 14:59:54. Was this dispatcher error or was something amiss within TMDS at the time?</t>
  </si>
  <si>
    <t>2016-10-11 18:35:22 multiple cpu faults</t>
  </si>
  <si>
    <t>Mechanical issue - Wheel tach slip</t>
  </si>
  <si>
    <t>Wheel tach slippage detected at 2016-10-12 00:57:52. Made the train go disengaged for about 1 mile</t>
  </si>
  <si>
    <t>18 wheeler knocked crossing arm</t>
  </si>
  <si>
    <t>2016-10-11 09:39:15 multiple cpu faults</t>
  </si>
  <si>
    <t>http://stevetu21.github.io/eaglep3/load_kml.html?kml=http://rtdc.gmaps-snips.s3.amazonaws.com/34fa19e6-7dd1-42a6-b753-8b7b0acfcc74.kml</t>
  </si>
  <si>
    <t>161-11</t>
  </si>
  <si>
    <t>Form C</t>
  </si>
  <si>
    <t>CP 61st reset</t>
  </si>
  <si>
    <t>Triplex-induced comm failure</t>
  </si>
  <si>
    <t>http://stevetu21.github.io/eaglep3/load_kml.html?kml=http://rtdc.gmaps-snips.s3.amazonaws.com/6bb5bf66-316a-465e-85c8-db8320c53589.kml</t>
  </si>
  <si>
    <t>http://stevetu21.github.io/eaglep3/load_kml.html?kml=http://rtdc.gmaps-snips.s3.amazonaws.com/f3939a10-ae69-4edd-af0f-7d1faa6c4b0f.kml</t>
  </si>
  <si>
    <t>Primary-secondary slice switch caused a brief comm outage and an enforcement</t>
  </si>
  <si>
    <t>Mismatched operator/train</t>
  </si>
  <si>
    <t>Init failed due to mismatched operator and train</t>
  </si>
  <si>
    <t>Mechanical issue - lost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</si>
</sst>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9" fontId="0" fillId="0" borderId="0" xfId="2" applyNumberFormat="1" applyFont="1" applyAlignment="1">
      <alignment horizontal="left"/>
    </xf>
    <xf numFmtId="169" fontId="20" fillId="0" borderId="0" xfId="4" applyFill="1"/>
    <xf numFmtId="0" fontId="0" fillId="0" borderId="5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24"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1b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>
        <row r="7">
          <cell r="C7" t="str">
            <v>144-10</v>
          </cell>
          <cell r="D7" t="str">
            <v>Reactive Warning (1)</v>
          </cell>
          <cell r="E7" t="str">
            <v>GRADE CROSSING</v>
          </cell>
          <cell r="F7">
            <v>0</v>
          </cell>
          <cell r="G7">
            <v>153</v>
          </cell>
          <cell r="H7">
            <v>27249</v>
          </cell>
          <cell r="I7">
            <v>27141</v>
          </cell>
          <cell r="J7" t="str">
            <v>Bulletin (2)</v>
          </cell>
          <cell r="K7">
            <v>27350</v>
          </cell>
        </row>
        <row r="8">
          <cell r="C8" t="str">
            <v>129-10</v>
          </cell>
          <cell r="D8" t="str">
            <v>Reactive Warning (1)</v>
          </cell>
          <cell r="E8" t="str">
            <v>GRADE CROSSING</v>
          </cell>
          <cell r="F8">
            <v>0</v>
          </cell>
          <cell r="G8">
            <v>198</v>
          </cell>
          <cell r="H8">
            <v>42814</v>
          </cell>
          <cell r="I8">
            <v>42893</v>
          </cell>
          <cell r="J8" t="str">
            <v>Bulletin (2)</v>
          </cell>
          <cell r="K8">
            <v>42779</v>
          </cell>
        </row>
        <row r="9">
          <cell r="C9" t="str">
            <v>106-10</v>
          </cell>
          <cell r="D9" t="str">
            <v>Predictive Enforcement (2)</v>
          </cell>
          <cell r="E9" t="str">
            <v>GRADE CROSSING</v>
          </cell>
          <cell r="F9">
            <v>0</v>
          </cell>
          <cell r="G9">
            <v>577</v>
          </cell>
          <cell r="H9">
            <v>43909</v>
          </cell>
          <cell r="I9">
            <v>41578</v>
          </cell>
          <cell r="J9" t="str">
            <v>Bulletin (2)</v>
          </cell>
          <cell r="K9">
            <v>42961</v>
          </cell>
        </row>
        <row r="10">
          <cell r="C10" t="str">
            <v>144-10</v>
          </cell>
          <cell r="D10" t="str">
            <v>Predictive Enforcement (2)</v>
          </cell>
          <cell r="E10" t="str">
            <v>GRADE CROSSING</v>
          </cell>
          <cell r="F10">
            <v>250</v>
          </cell>
          <cell r="G10">
            <v>795</v>
          </cell>
          <cell r="H10">
            <v>69213</v>
          </cell>
          <cell r="I10">
            <v>65533</v>
          </cell>
          <cell r="J10" t="str">
            <v>Bulletin (2)</v>
          </cell>
          <cell r="K10">
            <v>63309</v>
          </cell>
        </row>
        <row r="11">
          <cell r="C11" t="str">
            <v>119-10</v>
          </cell>
          <cell r="D11" t="str">
            <v>Reactive Enforcement (3)</v>
          </cell>
          <cell r="E11" t="str">
            <v>PERMANENT SPEED RESTRICTION</v>
          </cell>
          <cell r="F11">
            <v>150</v>
          </cell>
          <cell r="G11">
            <v>200</v>
          </cell>
          <cell r="H11">
            <v>2389</v>
          </cell>
          <cell r="I11">
            <v>2688</v>
          </cell>
          <cell r="J11" t="str">
            <v>Speed (6)</v>
          </cell>
          <cell r="K11">
            <v>0</v>
          </cell>
        </row>
        <row r="12">
          <cell r="C12" t="str">
            <v>147-10</v>
          </cell>
          <cell r="D12" t="str">
            <v>Reactive Enforcement (3)</v>
          </cell>
          <cell r="E12" t="str">
            <v>PERMANENT SPEED RESTRICTION</v>
          </cell>
          <cell r="F12">
            <v>300</v>
          </cell>
          <cell r="G12">
            <v>356</v>
          </cell>
          <cell r="H12">
            <v>20984</v>
          </cell>
          <cell r="I12">
            <v>21854</v>
          </cell>
          <cell r="J12" t="str">
            <v>Speed (6)</v>
          </cell>
          <cell r="K12">
            <v>20338</v>
          </cell>
        </row>
        <row r="13">
          <cell r="C13" t="str">
            <v>116-10</v>
          </cell>
          <cell r="D13" t="str">
            <v>Predictive Enforcement (2)</v>
          </cell>
          <cell r="E13" t="str">
            <v>PERMANENT SPEED RESTRICTION</v>
          </cell>
          <cell r="F13">
            <v>300</v>
          </cell>
          <cell r="G13">
            <v>393</v>
          </cell>
          <cell r="H13">
            <v>22543</v>
          </cell>
          <cell r="I13">
            <v>21424</v>
          </cell>
          <cell r="J13" t="str">
            <v>Speed (6)</v>
          </cell>
          <cell r="K13">
            <v>21848</v>
          </cell>
        </row>
        <row r="14">
          <cell r="C14" t="str">
            <v>120-10</v>
          </cell>
          <cell r="D14" t="str">
            <v>Predictive Enforcement (2)</v>
          </cell>
          <cell r="E14" t="str">
            <v>PERMANENT SPEED RESTRICTION</v>
          </cell>
          <cell r="F14">
            <v>200</v>
          </cell>
          <cell r="G14">
            <v>337</v>
          </cell>
          <cell r="H14">
            <v>31365</v>
          </cell>
          <cell r="I14">
            <v>30741</v>
          </cell>
          <cell r="J14" t="str">
            <v>Speed (6)</v>
          </cell>
          <cell r="K14">
            <v>30562</v>
          </cell>
        </row>
        <row r="15">
          <cell r="C15" t="str">
            <v>231-10</v>
          </cell>
          <cell r="D15" t="str">
            <v>Predictive Enforcement (2)</v>
          </cell>
          <cell r="E15" t="str">
            <v>PERMANENT SPEED RESTRICTION</v>
          </cell>
          <cell r="F15">
            <v>400</v>
          </cell>
          <cell r="G15">
            <v>655</v>
          </cell>
          <cell r="H15">
            <v>114691</v>
          </cell>
          <cell r="I15">
            <v>117009</v>
          </cell>
          <cell r="J15" t="str">
            <v>Speed (6)</v>
          </cell>
          <cell r="K15">
            <v>116838</v>
          </cell>
        </row>
        <row r="16">
          <cell r="C16" t="str">
            <v>194-10</v>
          </cell>
          <cell r="D16" t="str">
            <v>Reactive Enforcement (3)</v>
          </cell>
          <cell r="E16" t="str">
            <v>PERMANENT SPEED RESTRICTION</v>
          </cell>
          <cell r="F16">
            <v>600</v>
          </cell>
          <cell r="G16">
            <v>650</v>
          </cell>
          <cell r="H16">
            <v>184695</v>
          </cell>
          <cell r="I16">
            <v>181418</v>
          </cell>
          <cell r="J16" t="str">
            <v>Speed (6)</v>
          </cell>
          <cell r="K16">
            <v>190834</v>
          </cell>
        </row>
        <row r="17">
          <cell r="C17" t="str">
            <v>158-10</v>
          </cell>
          <cell r="D17" t="str">
            <v>Reactive Enforcement (3)</v>
          </cell>
          <cell r="E17" t="str">
            <v>PERMANENT SPEED RESTRICTION</v>
          </cell>
          <cell r="F17">
            <v>450</v>
          </cell>
          <cell r="G17">
            <v>501</v>
          </cell>
          <cell r="H17">
            <v>190946</v>
          </cell>
          <cell r="I17">
            <v>189520</v>
          </cell>
          <cell r="J17" t="str">
            <v>Speed (6)</v>
          </cell>
          <cell r="K17">
            <v>191108</v>
          </cell>
        </row>
        <row r="18">
          <cell r="C18" t="str">
            <v>143-10</v>
          </cell>
          <cell r="D18" t="str">
            <v>Predictive Enforcement (2)</v>
          </cell>
          <cell r="E18" t="str">
            <v>PERMANENT SPEED RESTRICTION</v>
          </cell>
          <cell r="F18">
            <v>150</v>
          </cell>
          <cell r="G18">
            <v>217</v>
          </cell>
          <cell r="H18">
            <v>229769</v>
          </cell>
          <cell r="I18">
            <v>230115</v>
          </cell>
          <cell r="J18" t="str">
            <v>Speed (6)</v>
          </cell>
          <cell r="K18">
            <v>230436</v>
          </cell>
        </row>
        <row r="19">
          <cell r="C19" t="str">
            <v>191-10</v>
          </cell>
          <cell r="D19" t="str">
            <v>Predictive Enforcement (2)</v>
          </cell>
          <cell r="E19" t="str">
            <v>PERMANENT SPEED RESTRICTION</v>
          </cell>
          <cell r="F19">
            <v>150</v>
          </cell>
          <cell r="G19">
            <v>275</v>
          </cell>
          <cell r="H19">
            <v>229541</v>
          </cell>
          <cell r="I19">
            <v>229965</v>
          </cell>
          <cell r="J19" t="str">
            <v>Speed (6)</v>
          </cell>
          <cell r="K19">
            <v>230436</v>
          </cell>
        </row>
        <row r="20">
          <cell r="C20" t="str">
            <v>160-10</v>
          </cell>
          <cell r="D20" t="str">
            <v>Reactive Enforcement (3)</v>
          </cell>
          <cell r="E20" t="str">
            <v>PERMANENT SPEED RESTRICTION</v>
          </cell>
          <cell r="F20">
            <v>350</v>
          </cell>
          <cell r="G20">
            <v>407</v>
          </cell>
          <cell r="H20">
            <v>224656</v>
          </cell>
          <cell r="I20">
            <v>222782</v>
          </cell>
          <cell r="J20" t="str">
            <v>Speed (6)</v>
          </cell>
          <cell r="K20">
            <v>232107</v>
          </cell>
        </row>
        <row r="21">
          <cell r="C21" t="str">
            <v>143-10</v>
          </cell>
          <cell r="D21" t="str">
            <v>Predictive Enforcement (2)</v>
          </cell>
          <cell r="E21" t="str">
            <v>SIGNAL</v>
          </cell>
          <cell r="F21">
            <v>0</v>
          </cell>
          <cell r="G21">
            <v>138</v>
          </cell>
          <cell r="H21">
            <v>1003</v>
          </cell>
          <cell r="I21">
            <v>1216</v>
          </cell>
          <cell r="J21" t="str">
            <v>Signal based authority (5)</v>
          </cell>
          <cell r="K21">
            <v>1692</v>
          </cell>
        </row>
      </sheetData>
      <sheetData sheetId="2" refreshError="1"/>
      <sheetData sheetId="3">
        <row r="1">
          <cell r="C1" t="str">
            <v>Train ID</v>
          </cell>
          <cell r="D1" t="str">
            <v>Employee Identifier</v>
          </cell>
          <cell r="E1" t="str">
            <v>Employee Last Name</v>
          </cell>
        </row>
        <row r="2">
          <cell r="C2" t="str">
            <v>311-09</v>
          </cell>
          <cell r="D2">
            <v>1290000</v>
          </cell>
          <cell r="E2" t="str">
            <v>COOLAHAN</v>
          </cell>
        </row>
        <row r="3">
          <cell r="C3" t="str">
            <v>311-09</v>
          </cell>
          <cell r="D3">
            <v>1290000</v>
          </cell>
          <cell r="E3" t="str">
            <v>COOLAHAN</v>
          </cell>
        </row>
        <row r="4">
          <cell r="C4" t="str">
            <v>311-09</v>
          </cell>
          <cell r="D4">
            <v>1290000</v>
          </cell>
          <cell r="E4" t="str">
            <v>COOLAHAN</v>
          </cell>
        </row>
        <row r="5">
          <cell r="C5" t="str">
            <v>56-09</v>
          </cell>
          <cell r="D5">
            <v>0</v>
          </cell>
          <cell r="E5" t="str">
            <v>HAUSER</v>
          </cell>
        </row>
        <row r="6">
          <cell r="C6" t="str">
            <v>56-09</v>
          </cell>
          <cell r="D6">
            <v>1410000</v>
          </cell>
          <cell r="E6" t="str">
            <v>GOLIGHTLY</v>
          </cell>
        </row>
        <row r="7">
          <cell r="C7" t="str">
            <v>244-09</v>
          </cell>
          <cell r="D7">
            <v>1800000</v>
          </cell>
          <cell r="E7" t="str">
            <v>CHANDLER</v>
          </cell>
        </row>
        <row r="8">
          <cell r="C8" t="str">
            <v>313-09</v>
          </cell>
          <cell r="D8">
            <v>1810000</v>
          </cell>
          <cell r="E8" t="str">
            <v>NEWELL</v>
          </cell>
        </row>
        <row r="9">
          <cell r="C9" t="str">
            <v>56-09</v>
          </cell>
          <cell r="D9">
            <v>1410000</v>
          </cell>
          <cell r="E9" t="str">
            <v>GOLIGHTLY</v>
          </cell>
        </row>
        <row r="10">
          <cell r="C10" t="str">
            <v>313-09</v>
          </cell>
          <cell r="D10">
            <v>1810000</v>
          </cell>
          <cell r="E10" t="str">
            <v>NEWELL</v>
          </cell>
        </row>
        <row r="11">
          <cell r="C11" t="str">
            <v>56-09</v>
          </cell>
          <cell r="D11">
            <v>1410000</v>
          </cell>
          <cell r="E11" t="str">
            <v>GOLIGHTLY</v>
          </cell>
        </row>
        <row r="12">
          <cell r="C12" t="str">
            <v>56-09</v>
          </cell>
          <cell r="D12">
            <v>1410000</v>
          </cell>
          <cell r="E12" t="str">
            <v>GOLIGHTLY</v>
          </cell>
        </row>
        <row r="13">
          <cell r="C13" t="str">
            <v>315-09</v>
          </cell>
          <cell r="D13">
            <v>1800000</v>
          </cell>
          <cell r="E13" t="str">
            <v>CHANDLER</v>
          </cell>
        </row>
        <row r="14">
          <cell r="C14" t="str">
            <v>56-09</v>
          </cell>
          <cell r="D14">
            <v>1410000</v>
          </cell>
          <cell r="E14" t="str">
            <v>GOLIGHTLY</v>
          </cell>
        </row>
        <row r="15">
          <cell r="C15" t="str">
            <v>56-09</v>
          </cell>
          <cell r="D15">
            <v>1410000</v>
          </cell>
          <cell r="E15" t="str">
            <v>GOLIGHTLY</v>
          </cell>
        </row>
        <row r="16">
          <cell r="C16" t="str">
            <v>101-10</v>
          </cell>
          <cell r="D16">
            <v>2030000</v>
          </cell>
          <cell r="E16" t="str">
            <v>KILLION</v>
          </cell>
        </row>
        <row r="17">
          <cell r="C17" t="str">
            <v>304-10</v>
          </cell>
          <cell r="D17">
            <v>1260000</v>
          </cell>
          <cell r="E17" t="str">
            <v>ACKERMAN</v>
          </cell>
        </row>
        <row r="18">
          <cell r="C18" t="str">
            <v>103-10</v>
          </cell>
          <cell r="D18">
            <v>1260000</v>
          </cell>
          <cell r="E18" t="str">
            <v>ACKERMAN</v>
          </cell>
        </row>
        <row r="19">
          <cell r="C19" t="str">
            <v>306-10</v>
          </cell>
          <cell r="D19">
            <v>1190000</v>
          </cell>
          <cell r="E19" t="str">
            <v>BRANNON</v>
          </cell>
        </row>
        <row r="20">
          <cell r="C20" t="str">
            <v>102-10</v>
          </cell>
          <cell r="D20">
            <v>2030000</v>
          </cell>
          <cell r="E20" t="str">
            <v>KILLION</v>
          </cell>
        </row>
        <row r="21">
          <cell r="C21" t="str">
            <v>105-10</v>
          </cell>
          <cell r="D21">
            <v>1190000</v>
          </cell>
          <cell r="E21" t="str">
            <v>BRANNON</v>
          </cell>
        </row>
        <row r="22">
          <cell r="C22" t="str">
            <v>308-10</v>
          </cell>
          <cell r="D22">
            <v>1090000</v>
          </cell>
          <cell r="E22" t="str">
            <v>SPECTOR</v>
          </cell>
        </row>
        <row r="23">
          <cell r="C23" t="str">
            <v>310-10</v>
          </cell>
          <cell r="D23">
            <v>1830000</v>
          </cell>
          <cell r="E23" t="str">
            <v>YORK</v>
          </cell>
        </row>
        <row r="24">
          <cell r="C24" t="str">
            <v>107-10</v>
          </cell>
          <cell r="D24">
            <v>1090000</v>
          </cell>
          <cell r="E24" t="str">
            <v>SPECTOR</v>
          </cell>
        </row>
        <row r="25">
          <cell r="C25" t="str">
            <v>107-10</v>
          </cell>
          <cell r="D25">
            <v>1090000</v>
          </cell>
          <cell r="E25" t="str">
            <v>SPECTOR</v>
          </cell>
        </row>
        <row r="26">
          <cell r="C26" t="str">
            <v>109-10</v>
          </cell>
          <cell r="D26">
            <v>1830000</v>
          </cell>
          <cell r="E26" t="str">
            <v>YORK</v>
          </cell>
        </row>
        <row r="27">
          <cell r="C27" t="str">
            <v>104-10</v>
          </cell>
          <cell r="D27">
            <v>1260000</v>
          </cell>
          <cell r="E27" t="str">
            <v>ACKERMAN</v>
          </cell>
        </row>
        <row r="28">
          <cell r="C28" t="str">
            <v>106-10</v>
          </cell>
          <cell r="D28">
            <v>1190000</v>
          </cell>
          <cell r="E28" t="str">
            <v>BRANNON</v>
          </cell>
        </row>
        <row r="29">
          <cell r="C29" t="str">
            <v>111-10</v>
          </cell>
          <cell r="D29">
            <v>2030000</v>
          </cell>
          <cell r="E29" t="str">
            <v>KILLION</v>
          </cell>
        </row>
        <row r="30">
          <cell r="C30" t="str">
            <v>901-10</v>
          </cell>
          <cell r="D30">
            <v>1990000</v>
          </cell>
          <cell r="E30" t="str">
            <v>DAVIS</v>
          </cell>
        </row>
        <row r="31">
          <cell r="C31" t="str">
            <v>113-10</v>
          </cell>
          <cell r="D31">
            <v>2030000</v>
          </cell>
          <cell r="E31" t="str">
            <v>KILLION</v>
          </cell>
        </row>
        <row r="32">
          <cell r="C32" t="str">
            <v>800-10</v>
          </cell>
          <cell r="D32">
            <v>1990000</v>
          </cell>
          <cell r="E32" t="str">
            <v>DAVIS</v>
          </cell>
        </row>
        <row r="33">
          <cell r="C33" t="str">
            <v>108-10</v>
          </cell>
          <cell r="D33">
            <v>1090000</v>
          </cell>
          <cell r="E33" t="str">
            <v>SPECTOR</v>
          </cell>
        </row>
        <row r="34">
          <cell r="C34" t="str">
            <v>110-10</v>
          </cell>
          <cell r="D34">
            <v>1830000</v>
          </cell>
          <cell r="E34" t="str">
            <v>YORK</v>
          </cell>
        </row>
        <row r="35">
          <cell r="C35" t="str">
            <v>115-10</v>
          </cell>
          <cell r="D35">
            <v>1310000</v>
          </cell>
          <cell r="E35" t="str">
            <v>MALAVE</v>
          </cell>
        </row>
        <row r="36">
          <cell r="C36" t="str">
            <v>117-10</v>
          </cell>
          <cell r="D36">
            <v>1260000</v>
          </cell>
          <cell r="E36" t="str">
            <v>ACKERMAN</v>
          </cell>
        </row>
        <row r="37">
          <cell r="C37" t="str">
            <v>801-10</v>
          </cell>
          <cell r="D37">
            <v>1990000</v>
          </cell>
          <cell r="E37" t="str">
            <v>DAVIS</v>
          </cell>
        </row>
        <row r="38">
          <cell r="C38" t="str">
            <v>112-10</v>
          </cell>
          <cell r="D38">
            <v>2140000</v>
          </cell>
          <cell r="E38" t="str">
            <v>ROBINSON</v>
          </cell>
        </row>
        <row r="39">
          <cell r="C39" t="str">
            <v>112-10</v>
          </cell>
          <cell r="D39">
            <v>2140000</v>
          </cell>
          <cell r="E39" t="str">
            <v>ROBINSON</v>
          </cell>
        </row>
        <row r="40">
          <cell r="C40" t="str">
            <v>112-10</v>
          </cell>
          <cell r="D40">
            <v>2140000</v>
          </cell>
          <cell r="E40" t="str">
            <v>ROBINSON</v>
          </cell>
        </row>
        <row r="41">
          <cell r="C41" t="str">
            <v>112-10</v>
          </cell>
          <cell r="D41">
            <v>2140000</v>
          </cell>
          <cell r="E41" t="str">
            <v>ROBINSON</v>
          </cell>
        </row>
        <row r="42">
          <cell r="C42" t="str">
            <v>112-10</v>
          </cell>
          <cell r="D42">
            <v>2140000</v>
          </cell>
          <cell r="E42" t="str">
            <v>ROBINSON</v>
          </cell>
        </row>
        <row r="43">
          <cell r="C43" t="str">
            <v>119-10</v>
          </cell>
          <cell r="D43">
            <v>1190000</v>
          </cell>
          <cell r="E43" t="str">
            <v>BRANNON</v>
          </cell>
        </row>
        <row r="44">
          <cell r="C44" t="str">
            <v>902-10</v>
          </cell>
          <cell r="D44">
            <v>900000</v>
          </cell>
          <cell r="E44" t="str">
            <v>ROCHA</v>
          </cell>
        </row>
        <row r="45">
          <cell r="C45" t="str">
            <v>114-10</v>
          </cell>
          <cell r="D45">
            <v>2030000</v>
          </cell>
          <cell r="E45" t="str">
            <v>KILLION</v>
          </cell>
        </row>
        <row r="46">
          <cell r="C46" t="str">
            <v>802-10</v>
          </cell>
          <cell r="D46">
            <v>1990000</v>
          </cell>
          <cell r="E46" t="str">
            <v>DAVIS</v>
          </cell>
        </row>
        <row r="47">
          <cell r="C47" t="str">
            <v>121-10</v>
          </cell>
          <cell r="D47">
            <v>1090000</v>
          </cell>
          <cell r="E47" t="str">
            <v>SPECTOR</v>
          </cell>
        </row>
        <row r="48">
          <cell r="C48" t="str">
            <v>803-10</v>
          </cell>
          <cell r="D48">
            <v>900000</v>
          </cell>
          <cell r="E48" t="str">
            <v>ROCHA</v>
          </cell>
        </row>
        <row r="49">
          <cell r="C49" t="str">
            <v>116-10</v>
          </cell>
          <cell r="D49">
            <v>1310000</v>
          </cell>
          <cell r="E49" t="str">
            <v>MALAVE</v>
          </cell>
        </row>
        <row r="50">
          <cell r="C50" t="str">
            <v>123-10</v>
          </cell>
          <cell r="D50">
            <v>1830000</v>
          </cell>
          <cell r="E50" t="str">
            <v>YORK</v>
          </cell>
        </row>
        <row r="51">
          <cell r="C51" t="str">
            <v>118-10</v>
          </cell>
          <cell r="D51">
            <v>1260000</v>
          </cell>
          <cell r="E51" t="str">
            <v>ACKERMAN</v>
          </cell>
        </row>
        <row r="52">
          <cell r="C52" t="str">
            <v>804-10</v>
          </cell>
          <cell r="D52">
            <v>900000</v>
          </cell>
          <cell r="E52" t="str">
            <v>ROCHA</v>
          </cell>
        </row>
        <row r="53">
          <cell r="C53" t="str">
            <v>125-10</v>
          </cell>
          <cell r="D53">
            <v>2030000</v>
          </cell>
          <cell r="E53" t="str">
            <v>KILLION</v>
          </cell>
        </row>
        <row r="54">
          <cell r="C54" t="str">
            <v>120-10</v>
          </cell>
          <cell r="D54">
            <v>1190000</v>
          </cell>
          <cell r="E54" t="str">
            <v>BRANNON</v>
          </cell>
        </row>
        <row r="55">
          <cell r="C55" t="str">
            <v>805-10</v>
          </cell>
          <cell r="D55">
            <v>1990000</v>
          </cell>
          <cell r="E55" t="str">
            <v>DAVIS</v>
          </cell>
        </row>
        <row r="56">
          <cell r="C56" t="str">
            <v>127-10</v>
          </cell>
          <cell r="D56">
            <v>2030000</v>
          </cell>
          <cell r="E56" t="str">
            <v>KILLION</v>
          </cell>
        </row>
        <row r="57">
          <cell r="C57" t="str">
            <v>122-10</v>
          </cell>
          <cell r="D57">
            <v>1090000</v>
          </cell>
          <cell r="E57" t="str">
            <v>SPECTOR</v>
          </cell>
        </row>
        <row r="58">
          <cell r="C58" t="str">
            <v>806-10</v>
          </cell>
          <cell r="D58">
            <v>1990000</v>
          </cell>
          <cell r="E58" t="str">
            <v>DAVIS</v>
          </cell>
        </row>
        <row r="59">
          <cell r="C59" t="str">
            <v>124-10</v>
          </cell>
          <cell r="D59">
            <v>1830000</v>
          </cell>
          <cell r="E59" t="str">
            <v>YORK</v>
          </cell>
        </row>
        <row r="60">
          <cell r="C60" t="str">
            <v>129-10</v>
          </cell>
          <cell r="D60">
            <v>1310000</v>
          </cell>
          <cell r="E60" t="str">
            <v>MALAVE</v>
          </cell>
        </row>
        <row r="61">
          <cell r="C61" t="str">
            <v>811-10</v>
          </cell>
          <cell r="D61">
            <v>900000</v>
          </cell>
          <cell r="E61" t="str">
            <v>ROCHA</v>
          </cell>
        </row>
        <row r="62">
          <cell r="C62" t="str">
            <v>131-10</v>
          </cell>
          <cell r="D62">
            <v>1260000</v>
          </cell>
          <cell r="E62" t="str">
            <v>ACKERMAN</v>
          </cell>
        </row>
        <row r="63">
          <cell r="C63" t="str">
            <v>126-10</v>
          </cell>
          <cell r="D63">
            <v>2140000</v>
          </cell>
          <cell r="E63" t="str">
            <v>ROBINSON</v>
          </cell>
        </row>
        <row r="64">
          <cell r="C64" t="str">
            <v>808-10</v>
          </cell>
          <cell r="D64">
            <v>900000</v>
          </cell>
          <cell r="E64" t="str">
            <v>ROCHA</v>
          </cell>
        </row>
        <row r="65">
          <cell r="C65" t="str">
            <v>133-10</v>
          </cell>
          <cell r="D65">
            <v>1190000</v>
          </cell>
          <cell r="E65" t="str">
            <v>BRANNON</v>
          </cell>
        </row>
        <row r="66">
          <cell r="C66" t="str">
            <v>809-10</v>
          </cell>
          <cell r="D66">
            <v>310000</v>
          </cell>
          <cell r="E66" t="str">
            <v>SNYDER</v>
          </cell>
        </row>
        <row r="67">
          <cell r="C67" t="str">
            <v>128-10</v>
          </cell>
          <cell r="D67">
            <v>2030000</v>
          </cell>
          <cell r="E67" t="str">
            <v>KILLION</v>
          </cell>
        </row>
        <row r="68">
          <cell r="C68" t="str">
            <v>809-10</v>
          </cell>
          <cell r="D68">
            <v>310000</v>
          </cell>
          <cell r="E68" t="str">
            <v>SNYDER</v>
          </cell>
        </row>
        <row r="69">
          <cell r="C69" t="str">
            <v>135-10</v>
          </cell>
          <cell r="D69">
            <v>1090000</v>
          </cell>
          <cell r="E69" t="str">
            <v>SPECTOR</v>
          </cell>
        </row>
        <row r="70">
          <cell r="C70" t="str">
            <v>130-10</v>
          </cell>
          <cell r="D70">
            <v>1310000</v>
          </cell>
          <cell r="E70" t="str">
            <v>MALAVE</v>
          </cell>
        </row>
        <row r="71">
          <cell r="C71" t="str">
            <v>137-10</v>
          </cell>
          <cell r="D71">
            <v>1830000</v>
          </cell>
          <cell r="E71" t="str">
            <v>YORK</v>
          </cell>
        </row>
        <row r="72">
          <cell r="C72" t="str">
            <v>810-10</v>
          </cell>
          <cell r="D72">
            <v>310000</v>
          </cell>
          <cell r="E72" t="str">
            <v>SNYDER</v>
          </cell>
        </row>
        <row r="73">
          <cell r="C73" t="str">
            <v>132-10</v>
          </cell>
          <cell r="D73">
            <v>1260000</v>
          </cell>
          <cell r="E73" t="str">
            <v>ACKERMAN</v>
          </cell>
        </row>
        <row r="74">
          <cell r="C74" t="str">
            <v>811-10</v>
          </cell>
          <cell r="D74">
            <v>900000</v>
          </cell>
          <cell r="E74" t="str">
            <v>ROCHA</v>
          </cell>
        </row>
        <row r="75">
          <cell r="C75" t="str">
            <v>807-10</v>
          </cell>
          <cell r="D75">
            <v>900000</v>
          </cell>
          <cell r="E75" t="str">
            <v>ROCHA</v>
          </cell>
        </row>
        <row r="76">
          <cell r="C76" t="str">
            <v>139-10</v>
          </cell>
          <cell r="D76">
            <v>2030000</v>
          </cell>
          <cell r="E76" t="str">
            <v>KILLION</v>
          </cell>
        </row>
        <row r="77">
          <cell r="C77" t="str">
            <v>134-10</v>
          </cell>
          <cell r="D77">
            <v>1190000</v>
          </cell>
          <cell r="E77" t="str">
            <v>BRANNON</v>
          </cell>
        </row>
        <row r="78">
          <cell r="C78" t="str">
            <v>812-10</v>
          </cell>
          <cell r="D78">
            <v>900000</v>
          </cell>
          <cell r="E78" t="str">
            <v>ROCHA</v>
          </cell>
        </row>
        <row r="79">
          <cell r="C79" t="str">
            <v>141-10</v>
          </cell>
          <cell r="D79">
            <v>310000</v>
          </cell>
          <cell r="E79" t="str">
            <v>SNYDER</v>
          </cell>
        </row>
        <row r="80">
          <cell r="C80" t="str">
            <v>136-10</v>
          </cell>
          <cell r="D80">
            <v>1090000</v>
          </cell>
          <cell r="E80" t="str">
            <v>SPECTOR</v>
          </cell>
        </row>
        <row r="81">
          <cell r="C81" t="str">
            <v>138-10</v>
          </cell>
          <cell r="D81">
            <v>1830000</v>
          </cell>
          <cell r="E81" t="str">
            <v>YORK</v>
          </cell>
        </row>
        <row r="82">
          <cell r="C82" t="str">
            <v>143-10</v>
          </cell>
          <cell r="D82">
            <v>1310000</v>
          </cell>
          <cell r="E82" t="str">
            <v>MALAVE</v>
          </cell>
        </row>
        <row r="83">
          <cell r="C83" t="str">
            <v>143-10</v>
          </cell>
          <cell r="D83">
            <v>1310000</v>
          </cell>
          <cell r="E83" t="str">
            <v>MALAVE</v>
          </cell>
        </row>
        <row r="84">
          <cell r="C84" t="str">
            <v>145-10</v>
          </cell>
          <cell r="D84">
            <v>1260000</v>
          </cell>
          <cell r="E84" t="str">
            <v>ACKERMAN</v>
          </cell>
        </row>
        <row r="85">
          <cell r="C85" t="str">
            <v>140-10</v>
          </cell>
          <cell r="D85">
            <v>2140000</v>
          </cell>
          <cell r="E85" t="str">
            <v>ROBINSON</v>
          </cell>
        </row>
        <row r="86">
          <cell r="C86" t="str">
            <v>813-10</v>
          </cell>
          <cell r="D86">
            <v>900000</v>
          </cell>
          <cell r="E86" t="str">
            <v>ROCHA</v>
          </cell>
        </row>
        <row r="87">
          <cell r="C87" t="str">
            <v>147-10</v>
          </cell>
          <cell r="D87">
            <v>1190000</v>
          </cell>
          <cell r="E87" t="str">
            <v>BRANNON</v>
          </cell>
        </row>
        <row r="88">
          <cell r="C88" t="str">
            <v>142-10</v>
          </cell>
          <cell r="D88">
            <v>310000</v>
          </cell>
          <cell r="E88" t="str">
            <v>SNYDER</v>
          </cell>
        </row>
        <row r="89">
          <cell r="C89" t="str">
            <v>813-10</v>
          </cell>
          <cell r="D89">
            <v>900000</v>
          </cell>
          <cell r="E89" t="str">
            <v>ROCHA</v>
          </cell>
        </row>
        <row r="90">
          <cell r="C90" t="str">
            <v>814-10</v>
          </cell>
          <cell r="D90">
            <v>900000</v>
          </cell>
          <cell r="E90" t="str">
            <v>ROCHA</v>
          </cell>
        </row>
        <row r="91">
          <cell r="C91" t="str">
            <v>149-10</v>
          </cell>
          <cell r="D91">
            <v>1090000</v>
          </cell>
          <cell r="E91" t="str">
            <v>SPECTOR</v>
          </cell>
        </row>
        <row r="92">
          <cell r="C92" t="str">
            <v>151-10</v>
          </cell>
          <cell r="D92">
            <v>1830000</v>
          </cell>
          <cell r="E92" t="str">
            <v>YORK</v>
          </cell>
        </row>
        <row r="93">
          <cell r="C93" t="str">
            <v>144-10</v>
          </cell>
          <cell r="D93">
            <v>1310000</v>
          </cell>
          <cell r="E93" t="str">
            <v>MALAVE</v>
          </cell>
        </row>
        <row r="94">
          <cell r="C94" t="str">
            <v>815-10</v>
          </cell>
          <cell r="D94">
            <v>900000</v>
          </cell>
          <cell r="E94" t="str">
            <v>ROCHA</v>
          </cell>
        </row>
        <row r="95">
          <cell r="C95" t="str">
            <v>146-10</v>
          </cell>
          <cell r="D95">
            <v>1260000</v>
          </cell>
          <cell r="E95" t="str">
            <v>ACKERMAN</v>
          </cell>
        </row>
        <row r="96">
          <cell r="C96" t="str">
            <v>153-10</v>
          </cell>
          <cell r="D96">
            <v>2030000</v>
          </cell>
          <cell r="E96" t="str">
            <v>KILLION</v>
          </cell>
        </row>
        <row r="97">
          <cell r="C97" t="str">
            <v>147-10</v>
          </cell>
          <cell r="D97">
            <v>1190000</v>
          </cell>
          <cell r="E97" t="str">
            <v>BRANNON</v>
          </cell>
        </row>
        <row r="98">
          <cell r="C98" t="str">
            <v>148-10</v>
          </cell>
          <cell r="D98">
            <v>1190000</v>
          </cell>
          <cell r="E98" t="str">
            <v>BRANNON</v>
          </cell>
        </row>
        <row r="99">
          <cell r="C99" t="str">
            <v>50-10</v>
          </cell>
          <cell r="D99">
            <v>1280000</v>
          </cell>
          <cell r="E99" t="str">
            <v>BARTLETT</v>
          </cell>
        </row>
        <row r="100">
          <cell r="C100" t="str">
            <v>155-10</v>
          </cell>
          <cell r="D100">
            <v>310000</v>
          </cell>
          <cell r="E100" t="str">
            <v>SNYDER</v>
          </cell>
        </row>
        <row r="101">
          <cell r="C101" t="str">
            <v>150-10</v>
          </cell>
          <cell r="D101">
            <v>1090000</v>
          </cell>
          <cell r="E101" t="str">
            <v>SPECTOR</v>
          </cell>
        </row>
        <row r="102">
          <cell r="C102" t="str">
            <v>152-10</v>
          </cell>
          <cell r="D102">
            <v>1830000</v>
          </cell>
          <cell r="E102" t="str">
            <v>YORK</v>
          </cell>
        </row>
        <row r="103">
          <cell r="C103" t="str">
            <v>816-10</v>
          </cell>
          <cell r="D103">
            <v>900000</v>
          </cell>
          <cell r="E103" t="str">
            <v>ROCHA</v>
          </cell>
        </row>
        <row r="104">
          <cell r="C104" t="str">
            <v>157-10</v>
          </cell>
          <cell r="D104">
            <v>1310000</v>
          </cell>
          <cell r="E104" t="str">
            <v>MALAVE</v>
          </cell>
        </row>
        <row r="105">
          <cell r="C105" t="str">
            <v>52-10</v>
          </cell>
          <cell r="D105">
            <v>2110000</v>
          </cell>
          <cell r="E105" t="str">
            <v>OUN</v>
          </cell>
        </row>
        <row r="106">
          <cell r="C106" t="str">
            <v>154-10</v>
          </cell>
          <cell r="D106">
            <v>2140000</v>
          </cell>
          <cell r="E106" t="str">
            <v>ROBINSON</v>
          </cell>
        </row>
        <row r="107">
          <cell r="C107" t="str">
            <v>152-10</v>
          </cell>
          <cell r="D107">
            <v>1830000</v>
          </cell>
          <cell r="E107" t="str">
            <v>YORK</v>
          </cell>
        </row>
        <row r="108">
          <cell r="C108" t="str">
            <v>159-10</v>
          </cell>
          <cell r="D108">
            <v>880000</v>
          </cell>
          <cell r="E108" t="str">
            <v>STEWART</v>
          </cell>
        </row>
        <row r="109">
          <cell r="C109" t="str">
            <v>817-10</v>
          </cell>
          <cell r="D109">
            <v>900000</v>
          </cell>
          <cell r="E109" t="str">
            <v>ROCHA</v>
          </cell>
        </row>
        <row r="110">
          <cell r="C110" t="str">
            <v>161-10</v>
          </cell>
          <cell r="D110">
            <v>1280000</v>
          </cell>
          <cell r="E110" t="str">
            <v>BARTLETT</v>
          </cell>
        </row>
        <row r="111">
          <cell r="C111" t="str">
            <v>53-10</v>
          </cell>
          <cell r="D111">
            <v>1190000</v>
          </cell>
          <cell r="E111" t="str">
            <v>BRANNON</v>
          </cell>
        </row>
        <row r="112">
          <cell r="C112" t="str">
            <v>152-10</v>
          </cell>
          <cell r="D112">
            <v>1830000</v>
          </cell>
          <cell r="E112" t="str">
            <v>YORK</v>
          </cell>
        </row>
        <row r="113">
          <cell r="C113" t="str">
            <v>156-10</v>
          </cell>
          <cell r="D113">
            <v>310000</v>
          </cell>
          <cell r="E113" t="str">
            <v>SNYDER</v>
          </cell>
        </row>
        <row r="114">
          <cell r="C114" t="str">
            <v>163-10</v>
          </cell>
          <cell r="D114">
            <v>2110000</v>
          </cell>
          <cell r="E114" t="str">
            <v>OUN</v>
          </cell>
        </row>
        <row r="115">
          <cell r="C115" t="str">
            <v>158-10</v>
          </cell>
          <cell r="D115">
            <v>1310000</v>
          </cell>
          <cell r="E115" t="str">
            <v>MALAVE</v>
          </cell>
        </row>
        <row r="116">
          <cell r="C116" t="str">
            <v>818-10</v>
          </cell>
          <cell r="D116">
            <v>900000</v>
          </cell>
          <cell r="E116" t="str">
            <v>ROCHA</v>
          </cell>
        </row>
        <row r="117">
          <cell r="C117" t="str">
            <v>165-10</v>
          </cell>
          <cell r="D117">
            <v>930000</v>
          </cell>
          <cell r="E117" t="str">
            <v>CLARK</v>
          </cell>
        </row>
        <row r="118">
          <cell r="C118" t="str">
            <v>51-10</v>
          </cell>
          <cell r="D118">
            <v>1830000</v>
          </cell>
          <cell r="E118" t="str">
            <v>YORK</v>
          </cell>
        </row>
        <row r="119">
          <cell r="C119" t="str">
            <v>160-10</v>
          </cell>
          <cell r="D119">
            <v>880000</v>
          </cell>
          <cell r="E119" t="str">
            <v>STEWART</v>
          </cell>
        </row>
        <row r="120">
          <cell r="C120" t="str">
            <v>162-10</v>
          </cell>
          <cell r="D120">
            <v>1280000</v>
          </cell>
          <cell r="E120" t="str">
            <v>BARTLETT</v>
          </cell>
        </row>
        <row r="121">
          <cell r="C121" t="str">
            <v>167-10</v>
          </cell>
          <cell r="D121">
            <v>1140000</v>
          </cell>
          <cell r="E121" t="str">
            <v>YOUNG</v>
          </cell>
        </row>
        <row r="122">
          <cell r="C122" t="str">
            <v>169-10</v>
          </cell>
          <cell r="D122">
            <v>2090000</v>
          </cell>
          <cell r="E122" t="str">
            <v>HAITHCOX</v>
          </cell>
        </row>
        <row r="123">
          <cell r="C123" t="str">
            <v>819-10</v>
          </cell>
          <cell r="D123">
            <v>310000</v>
          </cell>
          <cell r="E123" t="str">
            <v>SNYDER</v>
          </cell>
        </row>
        <row r="124">
          <cell r="C124" t="str">
            <v>164-10</v>
          </cell>
          <cell r="D124">
            <v>2110000</v>
          </cell>
          <cell r="E124" t="str">
            <v>OUN</v>
          </cell>
        </row>
        <row r="125">
          <cell r="C125" t="str">
            <v>171-10</v>
          </cell>
          <cell r="D125">
            <v>2020000</v>
          </cell>
          <cell r="E125" t="str">
            <v>SHOOK</v>
          </cell>
        </row>
        <row r="126">
          <cell r="C126" t="str">
            <v>166-10</v>
          </cell>
          <cell r="D126">
            <v>930000</v>
          </cell>
          <cell r="E126" t="str">
            <v>CLARK</v>
          </cell>
        </row>
        <row r="127">
          <cell r="C127" t="str">
            <v>173-10</v>
          </cell>
          <cell r="D127">
            <v>880000</v>
          </cell>
          <cell r="E127" t="str">
            <v>STEWART</v>
          </cell>
        </row>
        <row r="128">
          <cell r="C128" t="str">
            <v>820-10</v>
          </cell>
          <cell r="D128">
            <v>310000</v>
          </cell>
          <cell r="E128" t="str">
            <v>SNYDER</v>
          </cell>
        </row>
        <row r="129">
          <cell r="C129" t="str">
            <v>168-10</v>
          </cell>
          <cell r="D129">
            <v>1140000</v>
          </cell>
          <cell r="E129" t="str">
            <v>YOUNG</v>
          </cell>
        </row>
        <row r="130">
          <cell r="C130" t="str">
            <v>175-10</v>
          </cell>
          <cell r="D130">
            <v>1280000</v>
          </cell>
          <cell r="E130" t="str">
            <v>BARTLETT</v>
          </cell>
        </row>
        <row r="131">
          <cell r="C131" t="str">
            <v>170-10</v>
          </cell>
          <cell r="D131">
            <v>2090000</v>
          </cell>
          <cell r="E131" t="str">
            <v>HAITHCOX</v>
          </cell>
        </row>
        <row r="132">
          <cell r="C132" t="str">
            <v>177-10</v>
          </cell>
          <cell r="D132">
            <v>2110000</v>
          </cell>
          <cell r="E132" t="str">
            <v>OUN</v>
          </cell>
        </row>
        <row r="133">
          <cell r="C133" t="str">
            <v>821-10</v>
          </cell>
          <cell r="D133">
            <v>1770000</v>
          </cell>
          <cell r="E133" t="str">
            <v>BRUDER</v>
          </cell>
        </row>
        <row r="134">
          <cell r="C134" t="str">
            <v>172-10</v>
          </cell>
          <cell r="D134">
            <v>2020000</v>
          </cell>
          <cell r="E134" t="str">
            <v>SHOOK</v>
          </cell>
        </row>
        <row r="135">
          <cell r="C135" t="str">
            <v>179-10</v>
          </cell>
          <cell r="D135">
            <v>930000</v>
          </cell>
          <cell r="E135" t="str">
            <v>CLARK</v>
          </cell>
        </row>
        <row r="136">
          <cell r="C136" t="str">
            <v>174-10</v>
          </cell>
          <cell r="D136">
            <v>880000</v>
          </cell>
          <cell r="E136" t="str">
            <v>STEWART</v>
          </cell>
        </row>
        <row r="137">
          <cell r="C137" t="str">
            <v>822-10</v>
          </cell>
          <cell r="D137">
            <v>1770000</v>
          </cell>
          <cell r="E137" t="str">
            <v>BRUDER</v>
          </cell>
        </row>
        <row r="138">
          <cell r="C138" t="str">
            <v>181-10</v>
          </cell>
          <cell r="D138">
            <v>1140000</v>
          </cell>
          <cell r="E138" t="str">
            <v>YOUNG</v>
          </cell>
        </row>
        <row r="139">
          <cell r="C139" t="str">
            <v>176-10</v>
          </cell>
          <cell r="D139">
            <v>1280000</v>
          </cell>
          <cell r="E139" t="str">
            <v>BARTLETT</v>
          </cell>
        </row>
        <row r="140">
          <cell r="C140" t="str">
            <v>183-10</v>
          </cell>
          <cell r="D140">
            <v>2090000</v>
          </cell>
          <cell r="E140" t="str">
            <v>HAITHCOX</v>
          </cell>
        </row>
        <row r="141">
          <cell r="C141" t="str">
            <v>178-10</v>
          </cell>
          <cell r="D141">
            <v>2110000</v>
          </cell>
          <cell r="E141" t="str">
            <v>OUN</v>
          </cell>
        </row>
        <row r="142">
          <cell r="C142" t="str">
            <v>185-10</v>
          </cell>
          <cell r="D142">
            <v>2020000</v>
          </cell>
          <cell r="E142" t="str">
            <v>SHOOK</v>
          </cell>
        </row>
        <row r="143">
          <cell r="C143" t="str">
            <v>823-10</v>
          </cell>
          <cell r="D143">
            <v>1770000</v>
          </cell>
          <cell r="E143" t="str">
            <v>BRUDER</v>
          </cell>
        </row>
        <row r="144">
          <cell r="C144" t="str">
            <v>180-10</v>
          </cell>
          <cell r="D144">
            <v>930000</v>
          </cell>
          <cell r="E144" t="str">
            <v>CLARK</v>
          </cell>
        </row>
        <row r="145">
          <cell r="C145" t="str">
            <v>182-10</v>
          </cell>
          <cell r="D145">
            <v>1140000</v>
          </cell>
          <cell r="E145" t="str">
            <v>YOUNG</v>
          </cell>
        </row>
        <row r="146">
          <cell r="C146" t="str">
            <v>187-10</v>
          </cell>
          <cell r="D146">
            <v>880000</v>
          </cell>
          <cell r="E146" t="str">
            <v>STEWART</v>
          </cell>
        </row>
        <row r="147">
          <cell r="C147" t="str">
            <v>824-10</v>
          </cell>
          <cell r="D147">
            <v>1770000</v>
          </cell>
          <cell r="E147" t="str">
            <v>BRUDER</v>
          </cell>
        </row>
        <row r="148">
          <cell r="C148" t="str">
            <v>189-10</v>
          </cell>
          <cell r="D148">
            <v>1280000</v>
          </cell>
          <cell r="E148" t="str">
            <v>BARTLETT</v>
          </cell>
        </row>
        <row r="149">
          <cell r="C149" t="str">
            <v>184-10</v>
          </cell>
          <cell r="D149">
            <v>2090000</v>
          </cell>
          <cell r="E149" t="str">
            <v>HAITHCOX</v>
          </cell>
        </row>
        <row r="150">
          <cell r="C150" t="str">
            <v>191-10</v>
          </cell>
          <cell r="D150">
            <v>2110000</v>
          </cell>
          <cell r="E150" t="str">
            <v>OUN</v>
          </cell>
        </row>
        <row r="151">
          <cell r="C151" t="str">
            <v>186-10</v>
          </cell>
          <cell r="D151">
            <v>2020000</v>
          </cell>
          <cell r="E151" t="str">
            <v>SHOOK</v>
          </cell>
        </row>
        <row r="152">
          <cell r="C152" t="str">
            <v>193-10</v>
          </cell>
          <cell r="D152">
            <v>930000</v>
          </cell>
          <cell r="E152" t="str">
            <v>CLARK</v>
          </cell>
        </row>
        <row r="153">
          <cell r="C153" t="str">
            <v>904-10</v>
          </cell>
          <cell r="D153">
            <v>1290000</v>
          </cell>
          <cell r="E153" t="str">
            <v>COOLAHAN</v>
          </cell>
        </row>
        <row r="154">
          <cell r="C154" t="str">
            <v>825-10</v>
          </cell>
          <cell r="D154">
            <v>1770000</v>
          </cell>
          <cell r="E154" t="str">
            <v>BRUDER</v>
          </cell>
        </row>
        <row r="155">
          <cell r="C155" t="str">
            <v>188-10</v>
          </cell>
          <cell r="D155">
            <v>880000</v>
          </cell>
          <cell r="E155" t="str">
            <v>STEWART</v>
          </cell>
        </row>
        <row r="156">
          <cell r="C156" t="str">
            <v>190-10</v>
          </cell>
          <cell r="D156">
            <v>1280000</v>
          </cell>
          <cell r="E156" t="str">
            <v>BARTLETT</v>
          </cell>
        </row>
        <row r="157">
          <cell r="C157" t="str">
            <v>195-10</v>
          </cell>
          <cell r="D157">
            <v>1140000</v>
          </cell>
          <cell r="E157" t="str">
            <v>YOUNG</v>
          </cell>
        </row>
        <row r="158">
          <cell r="C158" t="str">
            <v>826-10</v>
          </cell>
          <cell r="D158">
            <v>1770000</v>
          </cell>
          <cell r="E158" t="str">
            <v>BRUDER</v>
          </cell>
        </row>
        <row r="159">
          <cell r="C159" t="str">
            <v>197-10</v>
          </cell>
          <cell r="D159">
            <v>2090000</v>
          </cell>
          <cell r="E159" t="str">
            <v>HAITHCOX</v>
          </cell>
        </row>
        <row r="160">
          <cell r="C160" t="str">
            <v>827-10</v>
          </cell>
          <cell r="D160">
            <v>1290000</v>
          </cell>
          <cell r="E160" t="str">
            <v>COOLAHAN</v>
          </cell>
        </row>
        <row r="161">
          <cell r="C161" t="str">
            <v>192-10</v>
          </cell>
          <cell r="D161">
            <v>2110000</v>
          </cell>
          <cell r="E161" t="str">
            <v>OUN</v>
          </cell>
        </row>
        <row r="162">
          <cell r="C162" t="str">
            <v>199-10</v>
          </cell>
          <cell r="D162">
            <v>2020000</v>
          </cell>
          <cell r="E162" t="str">
            <v>SHOOK</v>
          </cell>
        </row>
        <row r="163">
          <cell r="C163" t="str">
            <v>194-10</v>
          </cell>
          <cell r="D163">
            <v>930000</v>
          </cell>
          <cell r="E163" t="str">
            <v>CLARK</v>
          </cell>
        </row>
        <row r="164">
          <cell r="C164" t="str">
            <v>828-10</v>
          </cell>
          <cell r="D164">
            <v>1290000</v>
          </cell>
          <cell r="E164" t="str">
            <v>COOLAHAN</v>
          </cell>
        </row>
        <row r="165">
          <cell r="C165" t="str">
            <v>201-10</v>
          </cell>
          <cell r="D165">
            <v>880000</v>
          </cell>
          <cell r="E165" t="str">
            <v>STEWART</v>
          </cell>
        </row>
        <row r="166">
          <cell r="C166" t="str">
            <v>829-10</v>
          </cell>
          <cell r="D166">
            <v>1770000</v>
          </cell>
          <cell r="E166" t="str">
            <v>BRUDER</v>
          </cell>
        </row>
        <row r="167">
          <cell r="C167" t="str">
            <v>196-10</v>
          </cell>
          <cell r="D167">
            <v>1140000</v>
          </cell>
          <cell r="E167" t="str">
            <v>YOUNG</v>
          </cell>
        </row>
        <row r="168">
          <cell r="C168" t="str">
            <v>203-10</v>
          </cell>
          <cell r="D168">
            <v>1280000</v>
          </cell>
          <cell r="E168" t="str">
            <v>BARTLETT</v>
          </cell>
        </row>
        <row r="169">
          <cell r="C169" t="str">
            <v>198-10</v>
          </cell>
          <cell r="D169">
            <v>2090000</v>
          </cell>
          <cell r="E169" t="str">
            <v>HAITHCOX</v>
          </cell>
        </row>
        <row r="170">
          <cell r="C170" t="str">
            <v>830-10</v>
          </cell>
          <cell r="D170">
            <v>1770000</v>
          </cell>
          <cell r="E170" t="str">
            <v>BRUDER</v>
          </cell>
        </row>
        <row r="171">
          <cell r="C171" t="str">
            <v>205-10</v>
          </cell>
          <cell r="D171">
            <v>2110000</v>
          </cell>
          <cell r="E171" t="str">
            <v>OUN</v>
          </cell>
        </row>
        <row r="172">
          <cell r="C172" t="str">
            <v>831-10</v>
          </cell>
          <cell r="D172">
            <v>1290000</v>
          </cell>
          <cell r="E172" t="str">
            <v>COOLAHAN</v>
          </cell>
        </row>
        <row r="173">
          <cell r="C173" t="str">
            <v>200-10</v>
          </cell>
          <cell r="D173">
            <v>2020000</v>
          </cell>
          <cell r="E173" t="str">
            <v>SHOOK</v>
          </cell>
        </row>
        <row r="174">
          <cell r="C174" t="str">
            <v>207-10</v>
          </cell>
          <cell r="D174">
            <v>930000</v>
          </cell>
          <cell r="E174" t="str">
            <v>CLARK</v>
          </cell>
        </row>
        <row r="175">
          <cell r="C175" t="str">
            <v>202-10</v>
          </cell>
          <cell r="D175">
            <v>880000</v>
          </cell>
          <cell r="E175" t="str">
            <v>STEWART</v>
          </cell>
        </row>
        <row r="176">
          <cell r="C176" t="str">
            <v>832-10</v>
          </cell>
          <cell r="D176">
            <v>1290000</v>
          </cell>
          <cell r="E176" t="str">
            <v>COOLAHAN</v>
          </cell>
        </row>
        <row r="177">
          <cell r="C177" t="str">
            <v>204-10</v>
          </cell>
          <cell r="D177">
            <v>1280000</v>
          </cell>
          <cell r="E177" t="str">
            <v>BARTLETT</v>
          </cell>
        </row>
        <row r="178">
          <cell r="C178" t="str">
            <v>209-10</v>
          </cell>
          <cell r="D178">
            <v>1180000</v>
          </cell>
          <cell r="E178" t="str">
            <v>LEVERE</v>
          </cell>
        </row>
        <row r="179">
          <cell r="C179" t="str">
            <v>200-10</v>
          </cell>
          <cell r="D179">
            <v>2020000</v>
          </cell>
          <cell r="E179" t="str">
            <v>SHOOK</v>
          </cell>
        </row>
        <row r="180">
          <cell r="C180" t="str">
            <v>833-10</v>
          </cell>
          <cell r="D180">
            <v>1770000</v>
          </cell>
          <cell r="E180" t="str">
            <v>BRUDER</v>
          </cell>
        </row>
        <row r="181">
          <cell r="C181" t="str">
            <v>200-10</v>
          </cell>
          <cell r="D181">
            <v>2020000</v>
          </cell>
          <cell r="E181" t="str">
            <v>SHOOK</v>
          </cell>
        </row>
        <row r="182">
          <cell r="C182" t="str">
            <v>211-10</v>
          </cell>
          <cell r="D182">
            <v>1140000</v>
          </cell>
          <cell r="E182" t="str">
            <v>YOUNG</v>
          </cell>
        </row>
        <row r="183">
          <cell r="C183" t="str">
            <v>206-10</v>
          </cell>
          <cell r="D183">
            <v>2110000</v>
          </cell>
          <cell r="E183" t="str">
            <v>OUN</v>
          </cell>
        </row>
        <row r="184">
          <cell r="C184" t="str">
            <v>834-10</v>
          </cell>
          <cell r="D184">
            <v>1770000</v>
          </cell>
          <cell r="E184" t="str">
            <v>BRUDER</v>
          </cell>
        </row>
        <row r="185">
          <cell r="C185" t="str">
            <v>213-10</v>
          </cell>
          <cell r="D185">
            <v>2350000</v>
          </cell>
          <cell r="E185" t="str">
            <v>BERLING</v>
          </cell>
        </row>
        <row r="186">
          <cell r="C186" t="str">
            <v>54-10</v>
          </cell>
          <cell r="D186">
            <v>120000</v>
          </cell>
          <cell r="E186" t="str">
            <v>PUGH</v>
          </cell>
        </row>
        <row r="187">
          <cell r="C187" t="str">
            <v>835-10</v>
          </cell>
          <cell r="D187">
            <v>1290000</v>
          </cell>
          <cell r="E187" t="str">
            <v>COOLAHAN</v>
          </cell>
        </row>
        <row r="188">
          <cell r="C188" t="str">
            <v>54-10</v>
          </cell>
          <cell r="D188">
            <v>120000</v>
          </cell>
          <cell r="E188" t="str">
            <v>PUGH</v>
          </cell>
        </row>
        <row r="189">
          <cell r="C189" t="str">
            <v>208-10</v>
          </cell>
          <cell r="D189">
            <v>930000</v>
          </cell>
          <cell r="E189" t="str">
            <v>CLARK</v>
          </cell>
        </row>
        <row r="190">
          <cell r="C190" t="str">
            <v>63-10</v>
          </cell>
          <cell r="D190">
            <v>2150000</v>
          </cell>
          <cell r="E190" t="str">
            <v>SWANSON</v>
          </cell>
        </row>
        <row r="191">
          <cell r="C191" t="str">
            <v>54-10</v>
          </cell>
          <cell r="D191">
            <v>120000</v>
          </cell>
          <cell r="E191" t="str">
            <v>PUGH</v>
          </cell>
        </row>
        <row r="192">
          <cell r="C192" t="str">
            <v>215-10</v>
          </cell>
          <cell r="D192">
            <v>2020000</v>
          </cell>
          <cell r="E192" t="str">
            <v>SHOOK</v>
          </cell>
        </row>
        <row r="193">
          <cell r="C193" t="str">
            <v>210-10</v>
          </cell>
          <cell r="D193">
            <v>1180000</v>
          </cell>
          <cell r="E193" t="str">
            <v>LEVERE</v>
          </cell>
        </row>
        <row r="194">
          <cell r="C194" t="str">
            <v>836-10</v>
          </cell>
          <cell r="D194">
            <v>1290000</v>
          </cell>
          <cell r="E194" t="str">
            <v>COOLAHAN</v>
          </cell>
        </row>
        <row r="195">
          <cell r="C195" t="str">
            <v>217-10</v>
          </cell>
          <cell r="D195">
            <v>1800000</v>
          </cell>
          <cell r="E195" t="str">
            <v>CHANDLER</v>
          </cell>
        </row>
        <row r="196">
          <cell r="C196" t="str">
            <v>837-10</v>
          </cell>
          <cell r="D196">
            <v>1770000</v>
          </cell>
          <cell r="E196" t="str">
            <v>BRUDER</v>
          </cell>
        </row>
        <row r="197">
          <cell r="C197" t="str">
            <v>212-10</v>
          </cell>
          <cell r="D197">
            <v>1140000</v>
          </cell>
          <cell r="E197" t="str">
            <v>YOUNG</v>
          </cell>
        </row>
        <row r="198">
          <cell r="C198" t="str">
            <v>219-10</v>
          </cell>
          <cell r="D198">
            <v>1230000</v>
          </cell>
          <cell r="E198" t="str">
            <v>YANAI</v>
          </cell>
        </row>
        <row r="199">
          <cell r="C199" t="str">
            <v>214-10</v>
          </cell>
          <cell r="D199">
            <v>2350000</v>
          </cell>
          <cell r="E199" t="str">
            <v>BERLING</v>
          </cell>
        </row>
        <row r="200">
          <cell r="C200" t="str">
            <v>217-10</v>
          </cell>
          <cell r="D200">
            <v>1800000</v>
          </cell>
          <cell r="E200" t="str">
            <v>CHANDLER</v>
          </cell>
        </row>
        <row r="201">
          <cell r="C201" t="str">
            <v>838-10</v>
          </cell>
          <cell r="D201">
            <v>1770000</v>
          </cell>
          <cell r="E201" t="str">
            <v>BRUDER</v>
          </cell>
        </row>
        <row r="202">
          <cell r="C202" t="str">
            <v>303-10</v>
          </cell>
          <cell r="D202">
            <v>930000</v>
          </cell>
          <cell r="E202" t="str">
            <v>CLARK</v>
          </cell>
        </row>
        <row r="203">
          <cell r="C203" t="str">
            <v>839-10</v>
          </cell>
          <cell r="D203">
            <v>1290000</v>
          </cell>
          <cell r="E203" t="str">
            <v>COOLAHAN</v>
          </cell>
        </row>
        <row r="204">
          <cell r="C204" t="str">
            <v>216-10</v>
          </cell>
          <cell r="D204">
            <v>2020000</v>
          </cell>
          <cell r="E204" t="str">
            <v>SHOOK</v>
          </cell>
        </row>
        <row r="205">
          <cell r="C205" t="str">
            <v>221-10</v>
          </cell>
          <cell r="D205">
            <v>1180000</v>
          </cell>
          <cell r="E205" t="str">
            <v>LEVERE</v>
          </cell>
        </row>
        <row r="206">
          <cell r="C206" t="str">
            <v>906-10</v>
          </cell>
          <cell r="D206">
            <v>1290000</v>
          </cell>
          <cell r="E206" t="str">
            <v>COOLAHAN</v>
          </cell>
        </row>
        <row r="207">
          <cell r="C207" t="str">
            <v>841-10</v>
          </cell>
          <cell r="D207">
            <v>1770000</v>
          </cell>
          <cell r="E207" t="str">
            <v>BRUDER</v>
          </cell>
        </row>
        <row r="208">
          <cell r="C208" t="str">
            <v>218-10</v>
          </cell>
          <cell r="D208">
            <v>1800000</v>
          </cell>
          <cell r="E208" t="str">
            <v>CHANDLER</v>
          </cell>
        </row>
        <row r="209">
          <cell r="C209" t="str">
            <v>305-10</v>
          </cell>
          <cell r="D209">
            <v>0</v>
          </cell>
          <cell r="E209" t="str">
            <v>HAUSER</v>
          </cell>
        </row>
        <row r="210">
          <cell r="C210" t="str">
            <v>220-10</v>
          </cell>
          <cell r="D210">
            <v>1230000</v>
          </cell>
          <cell r="E210" t="str">
            <v>YANAI</v>
          </cell>
        </row>
        <row r="211">
          <cell r="C211" t="str">
            <v>218-10</v>
          </cell>
          <cell r="D211">
            <v>1800000</v>
          </cell>
          <cell r="E211" t="str">
            <v>CHANDLER</v>
          </cell>
        </row>
        <row r="212">
          <cell r="C212" t="str">
            <v>223-10</v>
          </cell>
          <cell r="D212">
            <v>2350000</v>
          </cell>
          <cell r="E212" t="str">
            <v>BERLING</v>
          </cell>
        </row>
        <row r="213">
          <cell r="C213" t="str">
            <v>307-10</v>
          </cell>
          <cell r="D213">
            <v>2020000</v>
          </cell>
          <cell r="E213" t="str">
            <v>SHOOK</v>
          </cell>
        </row>
        <row r="214">
          <cell r="C214" t="str">
            <v>840-10</v>
          </cell>
          <cell r="D214">
            <v>1770000</v>
          </cell>
          <cell r="E214" t="str">
            <v>BRUDER</v>
          </cell>
        </row>
        <row r="215">
          <cell r="C215" t="str">
            <v>218-10</v>
          </cell>
          <cell r="D215">
            <v>1800000</v>
          </cell>
          <cell r="E215" t="str">
            <v>CHANDLER</v>
          </cell>
        </row>
        <row r="216">
          <cell r="C216" t="str">
            <v>222-10</v>
          </cell>
          <cell r="D216">
            <v>1180000</v>
          </cell>
          <cell r="E216" t="str">
            <v>LEVERE</v>
          </cell>
        </row>
        <row r="217">
          <cell r="C217" t="str">
            <v>225-10</v>
          </cell>
          <cell r="D217">
            <v>120000</v>
          </cell>
          <cell r="E217" t="str">
            <v>PUGH</v>
          </cell>
        </row>
        <row r="218">
          <cell r="C218" t="str">
            <v>843-10</v>
          </cell>
          <cell r="D218">
            <v>1770000</v>
          </cell>
          <cell r="E218" t="str">
            <v>BRUDER</v>
          </cell>
        </row>
        <row r="219">
          <cell r="C219" t="str">
            <v>227-10</v>
          </cell>
          <cell r="D219">
            <v>1230000</v>
          </cell>
          <cell r="E219" t="str">
            <v>YANAI</v>
          </cell>
        </row>
        <row r="220">
          <cell r="C220" t="str">
            <v>233-10</v>
          </cell>
          <cell r="D220">
            <v>1800000</v>
          </cell>
          <cell r="E220" t="str">
            <v>CHANDLER</v>
          </cell>
        </row>
        <row r="221">
          <cell r="C221" t="str">
            <v>224-10</v>
          </cell>
          <cell r="D221">
            <v>2350000</v>
          </cell>
          <cell r="E221" t="str">
            <v>BERLING</v>
          </cell>
        </row>
        <row r="222">
          <cell r="C222" t="str">
            <v>233-10</v>
          </cell>
          <cell r="D222">
            <v>1800000</v>
          </cell>
          <cell r="E222" t="str">
            <v>CHANDLER</v>
          </cell>
        </row>
        <row r="223">
          <cell r="C223" t="str">
            <v>65-10</v>
          </cell>
          <cell r="D223">
            <v>740000</v>
          </cell>
          <cell r="E223" t="str">
            <v>ALONZO</v>
          </cell>
        </row>
        <row r="224">
          <cell r="C224" t="str">
            <v>65-10</v>
          </cell>
          <cell r="D224">
            <v>740000</v>
          </cell>
          <cell r="E224" t="str">
            <v>ALONZO</v>
          </cell>
        </row>
        <row r="225">
          <cell r="C225" t="str">
            <v>233-10</v>
          </cell>
          <cell r="D225">
            <v>1800000</v>
          </cell>
          <cell r="E225" t="str">
            <v>CHANDLER</v>
          </cell>
        </row>
        <row r="226">
          <cell r="C226" t="str">
            <v>842-10</v>
          </cell>
          <cell r="D226">
            <v>1770000</v>
          </cell>
          <cell r="E226" t="str">
            <v>BRUDER</v>
          </cell>
        </row>
        <row r="227">
          <cell r="C227" t="str">
            <v>226-10</v>
          </cell>
          <cell r="D227">
            <v>120000</v>
          </cell>
          <cell r="E227" t="str">
            <v>PUGH</v>
          </cell>
        </row>
        <row r="228">
          <cell r="C228" t="str">
            <v>226-10</v>
          </cell>
          <cell r="D228">
            <v>120000</v>
          </cell>
          <cell r="E228" t="str">
            <v>PUGH</v>
          </cell>
        </row>
        <row r="229">
          <cell r="C229" t="str">
            <v>229-10</v>
          </cell>
          <cell r="D229">
            <v>1180000</v>
          </cell>
          <cell r="E229" t="str">
            <v>LEVERE</v>
          </cell>
        </row>
        <row r="230">
          <cell r="C230" t="str">
            <v>845-10</v>
          </cell>
          <cell r="D230">
            <v>1290000</v>
          </cell>
          <cell r="E230" t="str">
            <v>COOLAHAN</v>
          </cell>
        </row>
        <row r="231">
          <cell r="C231" t="str">
            <v>231-10</v>
          </cell>
          <cell r="D231">
            <v>2350000</v>
          </cell>
          <cell r="E231" t="str">
            <v>BERLING</v>
          </cell>
        </row>
        <row r="232">
          <cell r="C232" t="str">
            <v>228-10</v>
          </cell>
          <cell r="D232">
            <v>1230000</v>
          </cell>
          <cell r="E232" t="str">
            <v>YANAI</v>
          </cell>
        </row>
        <row r="233">
          <cell r="C233" t="str">
            <v>844-10</v>
          </cell>
          <cell r="D233">
            <v>1290000</v>
          </cell>
          <cell r="E233" t="str">
            <v>COOLAHAN</v>
          </cell>
        </row>
        <row r="234">
          <cell r="C234" t="str">
            <v>233-10</v>
          </cell>
          <cell r="D234">
            <v>1800000</v>
          </cell>
          <cell r="E234" t="str">
            <v>CHANDLER</v>
          </cell>
        </row>
        <row r="235">
          <cell r="C235" t="str">
            <v>230-10</v>
          </cell>
          <cell r="D235">
            <v>1180000</v>
          </cell>
          <cell r="E235" t="str">
            <v>LEVERE</v>
          </cell>
        </row>
        <row r="236">
          <cell r="C236" t="str">
            <v>235-10</v>
          </cell>
          <cell r="D236">
            <v>1230000</v>
          </cell>
          <cell r="E236" t="str">
            <v>YANAI</v>
          </cell>
        </row>
        <row r="237">
          <cell r="C237" t="str">
            <v>847-10</v>
          </cell>
          <cell r="D237">
            <v>1290000</v>
          </cell>
          <cell r="E237" t="str">
            <v>COOLAHAN</v>
          </cell>
        </row>
        <row r="238">
          <cell r="C238" t="str">
            <v>232-10</v>
          </cell>
          <cell r="D238">
            <v>2350000</v>
          </cell>
          <cell r="E238" t="str">
            <v>BERLING</v>
          </cell>
        </row>
        <row r="239">
          <cell r="C239" t="str">
            <v>908-10</v>
          </cell>
          <cell r="D239">
            <v>1290000</v>
          </cell>
          <cell r="E239" t="str">
            <v>COOLAHAN</v>
          </cell>
        </row>
        <row r="240">
          <cell r="C240" t="str">
            <v>234-10</v>
          </cell>
          <cell r="D240">
            <v>1800000</v>
          </cell>
          <cell r="E240" t="str">
            <v>CHANDLER</v>
          </cell>
        </row>
        <row r="241">
          <cell r="C241" t="str">
            <v>237-10</v>
          </cell>
          <cell r="D241">
            <v>1180000</v>
          </cell>
          <cell r="E241" t="str">
            <v>LEVERE</v>
          </cell>
        </row>
        <row r="242">
          <cell r="C242" t="str">
            <v>239-10</v>
          </cell>
          <cell r="D242">
            <v>2350000</v>
          </cell>
          <cell r="E242" t="str">
            <v>BERLING</v>
          </cell>
        </row>
        <row r="243">
          <cell r="C243" t="str">
            <v>236-10</v>
          </cell>
          <cell r="D243">
            <v>1230000</v>
          </cell>
          <cell r="E243" t="str">
            <v>YANAI</v>
          </cell>
        </row>
        <row r="244">
          <cell r="C244" t="str">
            <v>238-10</v>
          </cell>
          <cell r="D244">
            <v>1180000</v>
          </cell>
          <cell r="E244" t="str">
            <v>LEVERE</v>
          </cell>
        </row>
        <row r="245">
          <cell r="C245" t="str">
            <v>241-10</v>
          </cell>
          <cell r="D245">
            <v>1800000</v>
          </cell>
          <cell r="E245" t="str">
            <v>CHANDLER</v>
          </cell>
        </row>
        <row r="246">
          <cell r="C246" t="str">
            <v>243-10</v>
          </cell>
          <cell r="D246">
            <v>1230000</v>
          </cell>
          <cell r="E246" t="str">
            <v>YANAI</v>
          </cell>
        </row>
        <row r="247">
          <cell r="C247" t="str">
            <v>240-10</v>
          </cell>
          <cell r="D247">
            <v>2350000</v>
          </cell>
          <cell r="E247" t="str">
            <v>BERLING</v>
          </cell>
        </row>
        <row r="248">
          <cell r="C248" t="str">
            <v>309-10</v>
          </cell>
          <cell r="D248">
            <v>1180000</v>
          </cell>
          <cell r="E248" t="str">
            <v>LEVERE</v>
          </cell>
        </row>
        <row r="249">
          <cell r="C249" t="str">
            <v>309-10</v>
          </cell>
          <cell r="D249">
            <v>1180000</v>
          </cell>
          <cell r="E249" t="str">
            <v>LEVERE</v>
          </cell>
        </row>
        <row r="250">
          <cell r="C250" t="str">
            <v>242-10</v>
          </cell>
          <cell r="D250">
            <v>1800000</v>
          </cell>
          <cell r="E250" t="str">
            <v>CHANDLER</v>
          </cell>
        </row>
        <row r="251">
          <cell r="C251" t="str">
            <v>311-10</v>
          </cell>
          <cell r="D251">
            <v>2350000</v>
          </cell>
          <cell r="E251" t="str">
            <v>BERLING</v>
          </cell>
        </row>
        <row r="253">
          <cell r="C253" t="str">
            <v>311-07</v>
          </cell>
          <cell r="D253">
            <v>1800000</v>
          </cell>
          <cell r="E253" t="str">
            <v>CHANDLER</v>
          </cell>
        </row>
        <row r="254">
          <cell r="C254" t="str">
            <v>246-07</v>
          </cell>
          <cell r="D254">
            <v>1300000</v>
          </cell>
          <cell r="E254" t="str">
            <v>LEVIN</v>
          </cell>
        </row>
        <row r="255">
          <cell r="C255" t="str">
            <v>62-07</v>
          </cell>
          <cell r="D255">
            <v>630000</v>
          </cell>
          <cell r="E255" t="b">
            <v>1</v>
          </cell>
        </row>
        <row r="256">
          <cell r="C256" t="str">
            <v>62-07</v>
          </cell>
          <cell r="D256">
            <v>630000</v>
          </cell>
          <cell r="E256" t="b">
            <v>1</v>
          </cell>
        </row>
        <row r="257">
          <cell r="C257" t="str">
            <v>56-08</v>
          </cell>
          <cell r="D257">
            <v>630000</v>
          </cell>
          <cell r="E257" t="b">
            <v>1</v>
          </cell>
        </row>
        <row r="258">
          <cell r="C258" t="str">
            <v>313-07</v>
          </cell>
          <cell r="D258">
            <v>1480000</v>
          </cell>
          <cell r="E258" t="str">
            <v>STURGEON</v>
          </cell>
        </row>
        <row r="259">
          <cell r="C259" t="str">
            <v>315-07</v>
          </cell>
          <cell r="D259">
            <v>1300000</v>
          </cell>
          <cell r="E259" t="str">
            <v>LEVIN</v>
          </cell>
        </row>
        <row r="261">
          <cell r="C261" t="str">
            <v>309-06</v>
          </cell>
          <cell r="D261">
            <v>1180000</v>
          </cell>
          <cell r="E261" t="str">
            <v>LEVERE</v>
          </cell>
        </row>
        <row r="262">
          <cell r="C262" t="str">
            <v>56-06</v>
          </cell>
          <cell r="D262">
            <v>630000</v>
          </cell>
          <cell r="E262" t="b">
            <v>1</v>
          </cell>
        </row>
        <row r="263">
          <cell r="C263" t="str">
            <v>244-06</v>
          </cell>
          <cell r="D263">
            <v>1480000</v>
          </cell>
          <cell r="E263" t="str">
            <v>STURGEON</v>
          </cell>
        </row>
        <row r="264">
          <cell r="C264" t="str">
            <v>311-06</v>
          </cell>
          <cell r="D264">
            <v>1300000</v>
          </cell>
          <cell r="E264" t="str">
            <v>LEVIN</v>
          </cell>
        </row>
        <row r="265">
          <cell r="C265" t="str">
            <v>56-06</v>
          </cell>
          <cell r="D265">
            <v>630000</v>
          </cell>
          <cell r="E265" t="b">
            <v>1</v>
          </cell>
        </row>
        <row r="266">
          <cell r="C266" t="str">
            <v>56-06</v>
          </cell>
          <cell r="D266">
            <v>630000</v>
          </cell>
          <cell r="E266" t="b">
            <v>1</v>
          </cell>
        </row>
        <row r="267">
          <cell r="C267" t="str">
            <v>56-06</v>
          </cell>
          <cell r="D267">
            <v>630000</v>
          </cell>
          <cell r="E267" t="b">
            <v>1</v>
          </cell>
        </row>
        <row r="268">
          <cell r="C268" t="str">
            <v>56-06</v>
          </cell>
          <cell r="D268">
            <v>630000</v>
          </cell>
          <cell r="E268" t="b">
            <v>1</v>
          </cell>
        </row>
        <row r="269">
          <cell r="C269" t="str">
            <v>56-06</v>
          </cell>
          <cell r="D269">
            <v>630000</v>
          </cell>
          <cell r="E269" t="b">
            <v>1</v>
          </cell>
        </row>
        <row r="270">
          <cell r="C270" t="str">
            <v>315-06</v>
          </cell>
          <cell r="D270">
            <v>1480000</v>
          </cell>
          <cell r="E270" t="str">
            <v>STURGEON</v>
          </cell>
        </row>
        <row r="271">
          <cell r="C271" t="str">
            <v>56-06</v>
          </cell>
          <cell r="D271">
            <v>630000</v>
          </cell>
          <cell r="E271" t="b">
            <v>1</v>
          </cell>
        </row>
        <row r="272">
          <cell r="C272" t="str">
            <v>56-06</v>
          </cell>
          <cell r="D272">
            <v>630000</v>
          </cell>
          <cell r="E272" t="b">
            <v>1</v>
          </cell>
        </row>
        <row r="273">
          <cell r="C273" t="str">
            <v>56-06</v>
          </cell>
          <cell r="D273">
            <v>630000</v>
          </cell>
          <cell r="E273" t="b">
            <v>1</v>
          </cell>
        </row>
      </sheetData>
      <sheetData sheetId="4" refreshError="1"/>
      <sheetData sheetId="5">
        <row r="3">
          <cell r="M3">
            <v>2.7201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stevetu21.github.io/eaglep3/load_kml.html?kml=http://rtdc.gmaps-snips.s3.amazonaws.com/f3939a10-ae69-4edd-af0f-7d1faa6c4b0f.kml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://stevetu21.github.io/eaglep3/load_kml.html?kml=http://rtdc.gmaps-snips.s3.amazonaws.com/6bb5bf66-316a-465e-85c8-db8320c53589.kml" TargetMode="External"/><Relationship Id="rId1" Type="http://schemas.openxmlformats.org/officeDocument/2006/relationships/hyperlink" Target="http://stevetu21.github.io/eaglep3/load_kml.html?kml=http://rtdc.gmaps-snips.s3.amazonaws.com/34fa19e6-7dd1-42a6-b753-8b7b0acfcc74.kml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tabSelected="1" topLeftCell="A79" workbookViewId="0">
      <selection activeCell="AJ91" sqref="AJ91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6" width="2.85546875" style="2" customWidth="1"/>
    <col min="17" max="17" width="0.85546875" hidden="1" customWidth="1"/>
    <col min="18" max="18" width="43.42578125" customWidth="1"/>
    <col min="19" max="19" width="6" style="23" customWidth="1"/>
    <col min="20" max="20" width="3.85546875" customWidth="1"/>
    <col min="21" max="21" width="5" style="156" customWidth="1"/>
    <col min="22" max="22" width="5.7109375" style="99" customWidth="1"/>
    <col min="23" max="23" width="3.85546875" style="22" customWidth="1"/>
    <col min="24" max="24" width="6.140625" style="161" customWidth="1"/>
    <col min="25" max="25" width="11.5703125" style="67" bestFit="1" customWidth="1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2" customWidth="1"/>
    <col min="32" max="32" width="6.28515625" style="89" customWidth="1"/>
    <col min="33" max="33" width="5.42578125" customWidth="1"/>
    <col min="34" max="34" width="5" style="95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2"/>
      <c r="V1" s="42"/>
      <c r="W1" s="43"/>
      <c r="X1" s="156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3">
        <f>Variables!$A$2</f>
        <v>42654</v>
      </c>
      <c r="J2" s="74"/>
      <c r="K2" s="75"/>
      <c r="L2" s="75"/>
      <c r="M2" s="76" t="s">
        <v>8</v>
      </c>
      <c r="N2" s="77"/>
      <c r="O2" s="78"/>
      <c r="P2" s="2"/>
      <c r="R2" s="73">
        <f>Variables!$A$2</f>
        <v>42654</v>
      </c>
      <c r="S2" s="74"/>
      <c r="T2" s="75"/>
      <c r="U2" s="153"/>
      <c r="V2" s="97" t="s">
        <v>8</v>
      </c>
      <c r="W2" s="77"/>
      <c r="X2" s="159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79" t="s">
        <v>10</v>
      </c>
      <c r="J3" s="80"/>
      <c r="K3" s="81"/>
      <c r="L3" s="81"/>
      <c r="M3" s="44" t="s">
        <v>11</v>
      </c>
      <c r="N3" s="45" t="s">
        <v>12</v>
      </c>
      <c r="O3" s="3" t="s">
        <v>13</v>
      </c>
      <c r="P3" s="2"/>
      <c r="R3" s="79" t="s">
        <v>10</v>
      </c>
      <c r="S3" s="80"/>
      <c r="T3" s="81"/>
      <c r="U3" s="154"/>
      <c r="V3" s="44" t="s">
        <v>11</v>
      </c>
      <c r="W3" s="45" t="s">
        <v>12</v>
      </c>
      <c r="X3" s="160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2" t="s">
        <v>14</v>
      </c>
      <c r="J4" s="57">
        <f>SUM(J5:J7)</f>
        <v>136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2" t="s">
        <v>14</v>
      </c>
      <c r="S4" s="57">
        <f>SUM(S5:S7)</f>
        <v>47</v>
      </c>
      <c r="T4" s="46"/>
      <c r="U4" s="155"/>
      <c r="V4" s="47" t="s">
        <v>15</v>
      </c>
      <c r="W4" s="45" t="s">
        <v>15</v>
      </c>
      <c r="X4" s="160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2" t="s">
        <v>17</v>
      </c>
      <c r="J5" s="57">
        <f>COUNTIFS($N$13:$N$9390,"&gt;0",$AG$13:$AG$9390,I1)</f>
        <v>123</v>
      </c>
      <c r="K5" s="46"/>
      <c r="L5" s="46"/>
      <c r="M5" s="47">
        <f>AVERAGEIFS($N$13:$N$9390,$AG$13:$AG$9390,I1)</f>
        <v>40.30365853752123</v>
      </c>
      <c r="N5" s="45">
        <f t="array" ref="N5">MIN(IF($AG$13:$AG$9390=I1,IF(ISNUMBER($N$13:$N$9390),IF($N$13:$N$9390&gt;0,$N$13:$N$9390))))</f>
        <v>35.100000001257285</v>
      </c>
      <c r="O5" s="3">
        <f t="array" ref="O5">MAX(IF($AG$13:$AG$9390=I1,IF(ISNUMBER($N$13:$N$9390),IF($N$13:$N$9390&gt;0,$N$13:$N$9390))))</f>
        <v>55.733333338284865</v>
      </c>
      <c r="P5" s="2"/>
      <c r="R5" s="82" t="s">
        <v>17</v>
      </c>
      <c r="S5" s="57">
        <f>COUNTIFS($N$13:$N$9390,"&gt;0",$AG$13:$AG$9390,R1)</f>
        <v>45</v>
      </c>
      <c r="T5" s="46"/>
      <c r="U5" s="155"/>
      <c r="V5" s="47">
        <f>AVERAGEIFS($N$13:$N$9390,$AG$13:$AG$9390,R1)</f>
        <v>15.264444443397224</v>
      </c>
      <c r="W5" s="45">
        <f t="array" ref="W5">MIN(IF($AG$13:$AG$9390=R1,IF(ISNUMBER($N$13:$N$9390),IF($N$13:$N$9390&gt;0,$N$13:$N$9390))))</f>
        <v>12.616666661342606</v>
      </c>
      <c r="X5" s="160">
        <f t="array" ref="X5">MAX(IF($AG$13:$AG$9390=R1,IF(ISNUMBER($N$13:$N$9390),IF($N$13:$N$9390&gt;0,$N$13:$N$9390))))</f>
        <v>19.066666670842096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3" t="s">
        <v>43</v>
      </c>
      <c r="J6" s="57">
        <f>COUNT($O$13:$O$169)</f>
        <v>0</v>
      </c>
      <c r="K6" s="46"/>
      <c r="L6" s="46"/>
      <c r="M6" s="47">
        <f>IFERROR(AVERAGE($O$13:$O$169),0)</f>
        <v>0</v>
      </c>
      <c r="N6" s="45">
        <f>MIN($O$13:$O$169)</f>
        <v>0</v>
      </c>
      <c r="O6" s="3">
        <f>MAX($O$13:$O$169)</f>
        <v>0</v>
      </c>
      <c r="P6" s="2"/>
      <c r="R6" s="83" t="s">
        <v>43</v>
      </c>
      <c r="S6" s="57">
        <f>COUNT($O$13:$O$169)</f>
        <v>0</v>
      </c>
      <c r="T6" s="46"/>
      <c r="U6" s="155"/>
      <c r="V6" s="47">
        <f>IFERROR(AVERAGE($O$13:$O$169),0)</f>
        <v>0</v>
      </c>
      <c r="W6" s="45">
        <f>MIN($O$13:$O$169)</f>
        <v>0</v>
      </c>
      <c r="X6" s="160">
        <f>MAX($O$13:$O$169)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4" t="s">
        <v>9</v>
      </c>
      <c r="J7" s="57">
        <f>COUNTIFS($P$13:$P$9390,"&gt;0",$AG$13:$AG$9390,I1)</f>
        <v>13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4" t="s">
        <v>9</v>
      </c>
      <c r="S7" s="57">
        <f>COUNTIFS($P$13:$P$9390,"&gt;0",$AG$13:$AG$9390,R1)</f>
        <v>2</v>
      </c>
      <c r="T7" s="46"/>
      <c r="U7" s="155"/>
      <c r="V7" s="47" t="s">
        <v>15</v>
      </c>
      <c r="W7" s="45" t="s">
        <v>15</v>
      </c>
      <c r="X7" s="160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2" t="s">
        <v>16</v>
      </c>
      <c r="J8" s="57">
        <f>J5</f>
        <v>123</v>
      </c>
      <c r="K8" s="46"/>
      <c r="L8" s="46"/>
      <c r="M8" s="47">
        <f>M5</f>
        <v>40.30365853752123</v>
      </c>
      <c r="N8" s="45">
        <f>N5</f>
        <v>35.100000001257285</v>
      </c>
      <c r="O8" s="3">
        <f>O5</f>
        <v>55.733333338284865</v>
      </c>
      <c r="P8" s="2"/>
      <c r="R8" s="82" t="s">
        <v>16</v>
      </c>
      <c r="S8" s="57">
        <f>S5</f>
        <v>45</v>
      </c>
      <c r="T8" s="46"/>
      <c r="U8" s="155"/>
      <c r="V8" s="47">
        <f>V5</f>
        <v>15.264444443397224</v>
      </c>
      <c r="W8" s="45">
        <f>W5</f>
        <v>12.616666661342606</v>
      </c>
      <c r="X8" s="160">
        <f>X5</f>
        <v>19.066666670842096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2" t="s">
        <v>19</v>
      </c>
      <c r="J9" s="184">
        <f>J8/J4</f>
        <v>0.90441176470588236</v>
      </c>
      <c r="K9" s="48"/>
      <c r="L9" s="48"/>
      <c r="M9" s="85"/>
      <c r="N9" s="43"/>
      <c r="O9" s="86"/>
      <c r="P9" s="2"/>
      <c r="R9" s="82" t="s">
        <v>19</v>
      </c>
      <c r="S9" s="184">
        <f>S8/S4</f>
        <v>0.95744680851063835</v>
      </c>
      <c r="T9" s="48"/>
      <c r="U9" s="152"/>
      <c r="V9" s="85"/>
      <c r="W9" s="43"/>
      <c r="X9" s="149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6"/>
      <c r="V10" s="98"/>
      <c r="W10" s="22"/>
      <c r="X10" s="161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7" t="str">
        <f>"Eagle P3 System Performance - "&amp;TEXT(Variables!A2,"yyyy-mm-dd")</f>
        <v>Eagle P3 System Performance - 2016-10-11</v>
      </c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S11" s="71">
        <f>AVERAGE(S13:S115)</f>
        <v>0.97643097643097643</v>
      </c>
      <c r="V11" s="98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8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7" t="s">
        <v>71</v>
      </c>
      <c r="V12" s="100" t="s">
        <v>45</v>
      </c>
      <c r="W12" s="53" t="s">
        <v>23</v>
      </c>
      <c r="X12" s="162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3" t="s">
        <v>96</v>
      </c>
      <c r="AF12" s="90" t="s">
        <v>101</v>
      </c>
      <c r="AG12" s="4" t="s">
        <v>115</v>
      </c>
      <c r="AH12" s="96" t="s">
        <v>117</v>
      </c>
      <c r="AI12" s="128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377</v>
      </c>
      <c r="B13" s="7">
        <v>4040</v>
      </c>
      <c r="C13" s="24" t="s">
        <v>106</v>
      </c>
      <c r="D13" s="24" t="s">
        <v>369</v>
      </c>
      <c r="E13" s="15">
        <v>42654.191076388888</v>
      </c>
      <c r="F13" s="15">
        <v>42654.198113425926</v>
      </c>
      <c r="G13" s="7">
        <v>1</v>
      </c>
      <c r="H13" s="15" t="s">
        <v>226</v>
      </c>
      <c r="I13" s="15">
        <v>42654.222881944443</v>
      </c>
      <c r="J13" s="7">
        <v>0</v>
      </c>
      <c r="K13" s="116" t="str">
        <f t="shared" ref="K13:K76" si="0">IF(ISEVEN(B13),(B13-1)&amp;"/"&amp;B13,B13&amp;"/"&amp;(B13+1))</f>
        <v>4039/4040</v>
      </c>
      <c r="L13" s="24" t="str">
        <f>VLOOKUP(A13,'Trips&amp;Operators'!$C$1:$E$10000,3,FALSE)</f>
        <v>KILLION</v>
      </c>
      <c r="M13" s="6">
        <f t="shared" ref="M13:M76" si="1">I13-F13</f>
        <v>2.4768518516793847E-2</v>
      </c>
      <c r="N13" s="7">
        <f>24*60*SUM($M13:$M13)</f>
        <v>35.66666666418314</v>
      </c>
      <c r="O13" s="7"/>
      <c r="P13" s="7"/>
      <c r="Q13" s="25"/>
      <c r="R13" s="25"/>
      <c r="S13" s="37">
        <f t="shared" ref="S13:S48" si="2">SUM(U13:U13)/IF(AG13="EC",12,1)</f>
        <v>1</v>
      </c>
      <c r="T13" s="52" t="str">
        <f t="shared" ref="T13:T76" si="3">IF(ISEVEN(LEFT(AD13,4)),"Southbound","NorthBound")</f>
        <v>NorthBound</v>
      </c>
      <c r="U13" s="15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1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https://search-rtdc-monitor-bjffxe2xuh6vdkpspy63sjmuny.us-east-1.es.amazonaws.com/_plugin/kibana/#/discover/Steve-Slow-Train-Analysis-(2080s-and-2083s)?_g=(refreshInterval:(display:Off,section:0,value:0),time:(from:'2016-10-11 03:35:09-0600',mode:absolute,to:'2016-10-11 06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" s="54" t="str">
        <f t="shared" ref="W13:W76" si="5">IF(AA13&lt;IF(AG13="EC",23,5.65),"Y","N")</f>
        <v>N</v>
      </c>
      <c r="X13" s="163" t="e">
        <f>VALUE(LEFT(AD13,4))-VALUE(LEFT(AD12,4))</f>
        <v>#VALUE!</v>
      </c>
      <c r="Y13" s="69">
        <f>RIGHT(D13,LEN(D13)-4)/10000</f>
        <v>7.4800000000000005E-2</v>
      </c>
      <c r="Z13" s="69">
        <f>RIGHT(H13,LEN(H13)-4)/10000</f>
        <v>23.329699999999999</v>
      </c>
      <c r="AA13" s="69">
        <f t="shared" ref="AA13:AA76" si="6">ABS(Z13-Y13)</f>
        <v>23.254899999999999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7">IF(LEN(A13)=6,"0"&amp;A13,A13)</f>
        <v>0109-11</v>
      </c>
      <c r="AE13" s="94" t="str">
        <f t="shared" ref="AE13:AE76" si="8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13" s="91" t="str">
        <f t="shared" ref="AF13:AF76" si="9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/stypes="app*4040*20161011*" /stext=" 11:.+((SYSTEM_STATE.+slice.+state.+changed )|(ment ac)|(system.+state.+changed )|(\[timeout)|(PRM\|1\|D)|(kpr)|(kdp)|(\|lc)|(penalty))" /e /r /s</v>
      </c>
      <c r="AG13" s="1" t="str">
        <f t="shared" ref="AG13:AG76" si="10">IFERROR(IF(VALUE(LEFT(AD13,2))&lt;=2,"EC",IF(OR(VALUE(LEFT(AD13,2))=8,VALUE(LEFT(AD13,2))=18),"NW","Other")),"Other")</f>
        <v>EC</v>
      </c>
      <c r="AH13" s="95" t="str">
        <f t="shared" ref="AH13" si="11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109-11 --locoid 4040 --swversion DE.1.0.7.0 --startMP 204:748 --initTime 2016-10-11T04:35:09 --startdatetime 2016-10-11T04:45:17 --delay 1 --endMP 204:233297 --enddatetime 2016-10-11T05:20:57 --enforcementcount 0 &gt;&gt;C:\Users\stu\Documents\GitHub\eaglep3-reporting\EC\2016-10-11-refined-times.txt</v>
      </c>
      <c r="AI13" s="129" t="str">
        <f t="shared" ref="AI13" si="12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{"issue":{"subject":"","project_id":79,"tracker_id":40,"status_id":1,"priority_id":2,"assigned_to_id":23,"start_date":"2016-10-11","description":"","custom_fields":[{"id":1,"name":"Subdivision","value":"EC"},{"id":4,"name":"Milepost","value":"23.3297"},{"id":17,"name":"Train ID","value":"109-11"},{"id":16,"name":"Locomotive ID","value":"4040"},{"id":130,"name":"Impact","value":""},{"id":150,"name":"Time of Event (Mountain Time)","value":"05:20:57"},{"id":151,"name":"Denver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378</v>
      </c>
      <c r="B14" s="7">
        <v>4015</v>
      </c>
      <c r="C14" s="24" t="s">
        <v>106</v>
      </c>
      <c r="D14" s="24" t="s">
        <v>379</v>
      </c>
      <c r="E14" s="15">
        <v>42654.230787037035</v>
      </c>
      <c r="F14" s="15">
        <v>42654.237013888887</v>
      </c>
      <c r="G14" s="7">
        <v>1</v>
      </c>
      <c r="H14" s="15" t="s">
        <v>216</v>
      </c>
      <c r="I14" s="15">
        <v>42654.265057870369</v>
      </c>
      <c r="J14" s="7">
        <v>0</v>
      </c>
      <c r="K14" s="116" t="str">
        <f t="shared" si="0"/>
        <v>4015/4016</v>
      </c>
      <c r="L14" s="24" t="str">
        <f>VLOOKUP(A14,'Trips&amp;Operators'!$C$1:$E$10000,3,FALSE)</f>
        <v>KILLION</v>
      </c>
      <c r="M14" s="6">
        <f t="shared" si="1"/>
        <v>2.8043981481459923E-2</v>
      </c>
      <c r="N14" s="7">
        <f>24*60*SUM($M14:$M14)</f>
        <v>40.383333333302289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5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04:32:20-0600',mode:absolute,to:'2016-10-11 07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" s="54" t="str">
        <f t="shared" si="5"/>
        <v>N</v>
      </c>
      <c r="X14" s="163">
        <f>VALUE(LEFT(AD14,4))-VALUE(LEFT(AD13,4))</f>
        <v>1</v>
      </c>
      <c r="Y14" s="69">
        <f>RIGHT(D14,LEN(D14)-4)/10000</f>
        <v>23.264399999999998</v>
      </c>
      <c r="Z14" s="69">
        <f>RIGHT(H14,LEN(H14)-4)/10000</f>
        <v>1.61E-2</v>
      </c>
      <c r="AA14" s="69">
        <f t="shared" si="6"/>
        <v>23.248299999999997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7"/>
        <v>0110-11</v>
      </c>
      <c r="AE14" s="94" t="str">
        <f t="shared" si="8"/>
        <v>aws s3 cp s3://rtdc.mdm.uploadarchive.raw/RTDC4015/ "%USERPROFILE%\AppData\Local\Temp\OnboardLogs"\RTDC4015\2016-10-11 --exclude "*" --recursive --include "*20161011*" &amp; "%USERPROFILE%\Documents\GitHub\mrs-test-scripts\Headless Mode &amp; Sideloading\WalkAndUnGZ.bat" "%USERPROFILE%\AppData\Local\Temp\OnboardLogs"\RTDC4015\2016-10-11 &amp; 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</v>
      </c>
      <c r="AF14" s="91" t="str">
        <f t="shared" si="9"/>
        <v>"C:\Program Files (x86)\AstroGrep\AstroGrep.exe" /spath="%USERPROFILE%\AppData\Local\Temp\OnboardLogs" /stypes="app*4015*20161011*" /stext=" 12:.+((SYSTEM_STATE.+slice.+state.+changed )|(ment ac)|(system.+state.+changed )|(\[timeout)|(PRM\|1\|D)|(kpr)|(kdp)|(\|lc)|(penalty))" /e /r /s</v>
      </c>
      <c r="AG14" s="1" t="str">
        <f t="shared" si="10"/>
        <v>EC</v>
      </c>
      <c r="AH14" s="95" t="str">
        <f t="shared" ref="AH14:AH79" si="1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110-11 --locoid 4015 --swversion DE.1.0.7.0 --startMP 204:232644 --initTime 2016-10-11T05:32:20 --startdatetime 2016-10-11T05:41:18 --delay 1 --endMP 204:161 --enddatetime 2016-10-11T06:21:41 --enforcementcount 0 &gt;&gt;C:\Users\stu\Documents\GitHub\eaglep3-reporting\EC\2016-10-11-refined-times.txt</v>
      </c>
      <c r="AI14" s="129" t="str">
        <f t="shared" ref="AI14:AI79" si="1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{"issue":{"subject":"","project_id":79,"tracker_id":40,"status_id":1,"priority_id":2,"assigned_to_id":23,"start_date":"2016-10-11","description":"","custom_fields":[{"id":1,"name":"Subdivision","value":"EC"},{"id":4,"name":"Milepost","value":"0.0161"},{"id":17,"name":"Train ID","value":"110-11"},{"id":16,"name":"Locomotive ID","value":"4015"},{"id":130,"name":"Impact","value":""},{"id":150,"name":"Time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380</v>
      </c>
      <c r="B15" s="7">
        <v>4029</v>
      </c>
      <c r="C15" s="24" t="s">
        <v>106</v>
      </c>
      <c r="D15" s="24" t="s">
        <v>381</v>
      </c>
      <c r="E15" s="15">
        <v>42654.199305555558</v>
      </c>
      <c r="F15" s="15">
        <v>42654.208564814813</v>
      </c>
      <c r="G15" s="7">
        <v>1</v>
      </c>
      <c r="H15" s="15" t="s">
        <v>382</v>
      </c>
      <c r="I15" s="15">
        <v>42654.233923611115</v>
      </c>
      <c r="J15" s="7">
        <v>0</v>
      </c>
      <c r="K15" s="116" t="str">
        <f t="shared" si="0"/>
        <v>4029/4030</v>
      </c>
      <c r="L15" s="24" t="str">
        <f>VLOOKUP(A15,'Trips&amp;Operators'!$C$1:$E$10000,3,FALSE)</f>
        <v>ROBINSON</v>
      </c>
      <c r="M15" s="6">
        <f t="shared" si="1"/>
        <v>2.5358796301588882E-2</v>
      </c>
      <c r="N15" s="7">
        <f>24*60*SUM($M15:$M15)</f>
        <v>36.51666667428799</v>
      </c>
      <c r="O15" s="7"/>
      <c r="P15" s="7"/>
      <c r="Q15" s="25"/>
      <c r="R15" s="25"/>
      <c r="S15" s="37">
        <f t="shared" si="2"/>
        <v>1</v>
      </c>
      <c r="T15" s="52" t="str">
        <f t="shared" si="3"/>
        <v>NorthBound</v>
      </c>
      <c r="U15" s="15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03:47:00-0600',mode:absolute,to:'2016-10-11 06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" s="54" t="str">
        <f t="shared" si="5"/>
        <v>N</v>
      </c>
      <c r="X15" s="163">
        <f>VALUE(LEFT(AD15,4))-VALUE(LEFT(AD14,4))</f>
        <v>1</v>
      </c>
      <c r="Y15" s="69">
        <f>RIGHT(D15,LEN(D15)-4)/10000</f>
        <v>7.6600000000000001E-2</v>
      </c>
      <c r="Z15" s="69">
        <f>RIGHT(H15,LEN(H15)-4)/10000</f>
        <v>23.335100000000001</v>
      </c>
      <c r="AA15" s="69">
        <f t="shared" si="6"/>
        <v>23.258500000000002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7"/>
        <v>0111-11</v>
      </c>
      <c r="AE15" s="94" t="str">
        <f t="shared" si="8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15" s="91" t="str">
        <f t="shared" si="9"/>
        <v>"C:\Program Files (x86)\AstroGrep\AstroGrep.exe" /spath="%USERPROFILE%\AppData\Local\Temp\OnboardLogs" /stypes="app*4029*20161011*" /stext=" 11:.+((SYSTEM_STATE.+slice.+state.+changed )|(ment ac)|(system.+state.+changed )|(\[timeout)|(PRM\|1\|D)|(kpr)|(kdp)|(\|lc)|(penalty))" /e /r /s</v>
      </c>
      <c r="AG15" s="1" t="str">
        <f t="shared" si="10"/>
        <v>EC</v>
      </c>
      <c r="AH15" s="95" t="str">
        <f t="shared" si="13"/>
        <v>"%USERPROFILE%\Documents\GitHub\eaglep3\Utilities\RefineRTDCRunTimes.py" --tripid 111-11 --locoid 4029 --swversion DE.1.0.7.0 --startMP 204:766 --initTime 2016-10-11T04:47:00 --startdatetime 2016-10-11T05:00:20 --delay 1 --endMP 204:233351 --enddatetime 2016-10-11T05:36:51 --enforcementcount 0 &gt;&gt;C:\Users\stu\Documents\GitHub\eaglep3-reporting\EC\2016-10-11-refined-times.txt</v>
      </c>
      <c r="AI15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{"issue":{"subject":"","project_id":79,"tracker_id":40,"status_id":1,"priority_id":2,"assigned_to_id":23,"start_date":"2016-10-11","description":"","custom_fields":[{"id":1,"name":"Subdivision","value":"EC"},{"id":4,"name":"Milepost","value":"23.3351"},{"id":17,"name":"Train ID","value":"111-11"},{"id":16,"name":"Locomotive ID","value":"4029"},{"id":130,"name":"Impact","value":""},{"id":150,"name":"Time of Event (Mountain Time)","value":"05:36:51"},{"id":151,"name":"Denver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532</v>
      </c>
      <c r="B16" s="7"/>
      <c r="C16" s="24" t="s">
        <v>106</v>
      </c>
      <c r="D16" s="24" t="s">
        <v>381</v>
      </c>
      <c r="E16" s="15">
        <v>42654.199305555558</v>
      </c>
      <c r="F16" s="15"/>
      <c r="G16" s="7">
        <v>1</v>
      </c>
      <c r="H16" s="15" t="s">
        <v>382</v>
      </c>
      <c r="I16" s="15"/>
      <c r="J16" s="7">
        <v>0</v>
      </c>
      <c r="K16" s="116" t="str">
        <f t="shared" si="0"/>
        <v>-1/</v>
      </c>
      <c r="L16" s="24" t="e">
        <f>VLOOKUP(A16,'[2]Trips&amp;Operators'!$C$1:$E$10000,3,FALSE)</f>
        <v>#N/A</v>
      </c>
      <c r="M16" s="6">
        <f t="shared" si="1"/>
        <v>0</v>
      </c>
      <c r="N16" s="7"/>
      <c r="O16" s="7"/>
      <c r="P16" s="7">
        <v>1</v>
      </c>
      <c r="Q16" s="25"/>
      <c r="R16" s="25" t="s">
        <v>533</v>
      </c>
      <c r="S16" s="37">
        <f t="shared" si="2"/>
        <v>0</v>
      </c>
      <c r="T16" s="52" t="str">
        <f t="shared" si="3"/>
        <v>Southbound</v>
      </c>
      <c r="U16" s="15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03:47:00-0600',mode:absolute,to:'1900-01-00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6" s="54" t="str">
        <f t="shared" si="5"/>
        <v>Y</v>
      </c>
      <c r="X16" s="163">
        <f t="shared" ref="X16:X21" si="15">VALUE(LEFT(AD16,4))-VALUE(LEFT(AD15,4))</f>
        <v>1</v>
      </c>
      <c r="Y16" s="69">
        <v>0</v>
      </c>
      <c r="Z16" s="69">
        <v>0</v>
      </c>
      <c r="AA16" s="69">
        <f t="shared" si="6"/>
        <v>0</v>
      </c>
      <c r="AB16" s="66" t="e">
        <f>VLOOKUP(A16,[2]Enforcements!$C$7:$K$21,8,0)</f>
        <v>#N/A</v>
      </c>
      <c r="AC16" s="62" t="e">
        <f>VLOOKUP(A16,[2]Enforcements!$C$7:$E$21,3,0)</f>
        <v>#N/A</v>
      </c>
      <c r="AD16" s="63" t="str">
        <f t="shared" si="7"/>
        <v>0112-11</v>
      </c>
      <c r="AE16" s="94" t="str">
        <f t="shared" si="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" s="91" t="str">
        <f t="shared" si="9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6" s="1" t="str">
        <f t="shared" si="10"/>
        <v>EC</v>
      </c>
      <c r="AH16" s="95" t="str">
        <f t="shared" ref="AH16" si="16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112-11 --locoid  --swversion DE.1.0.7.0 --startMP 204:766 --initTime 2016-10-11T04:47:00 --startdatetime 1900-01-00T00:00:00 --delay 1 --endMP 204:233351 --enddatetime 1900-01-00T00:00:00 --enforcementcount 0 &gt;&gt;C:\Users\stu\Documents\GitHub\eaglep3-reporting\EC\2016-10-11-refined-times.txt</v>
      </c>
      <c r="AI16" s="129" t="str">
        <f t="shared" ref="AI16" si="17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ID","value":"112-11"},{"id":16,"name":"Locomotive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383</v>
      </c>
      <c r="B17" s="7">
        <v>4031</v>
      </c>
      <c r="C17" s="24" t="s">
        <v>106</v>
      </c>
      <c r="D17" s="24" t="s">
        <v>384</v>
      </c>
      <c r="E17" s="15">
        <v>42654.208229166667</v>
      </c>
      <c r="F17" s="15">
        <v>42654.219143518516</v>
      </c>
      <c r="G17" s="7">
        <v>1</v>
      </c>
      <c r="H17" s="15" t="s">
        <v>385</v>
      </c>
      <c r="I17" s="15">
        <v>42654.245416666665</v>
      </c>
      <c r="J17" s="7">
        <v>0</v>
      </c>
      <c r="K17" s="116" t="str">
        <f t="shared" si="0"/>
        <v>4031/4032</v>
      </c>
      <c r="L17" s="24" t="str">
        <f>VLOOKUP(A17,'Trips&amp;Operators'!$C$1:$E$10000,3,FALSE)</f>
        <v>SWANSON</v>
      </c>
      <c r="M17" s="6">
        <f t="shared" si="1"/>
        <v>2.6273148148902692E-2</v>
      </c>
      <c r="N17" s="7">
        <f t="shared" ref="N17:N26" si="18">24*60*SUM($M17:$M17)</f>
        <v>37.833333334419876</v>
      </c>
      <c r="O17" s="7"/>
      <c r="P17" s="7"/>
      <c r="Q17" s="25"/>
      <c r="R17" s="25"/>
      <c r="S17" s="37">
        <f t="shared" si="2"/>
        <v>1</v>
      </c>
      <c r="T17" s="52" t="str">
        <f t="shared" si="3"/>
        <v>NorthBound</v>
      </c>
      <c r="U17" s="15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03:59:51-0600',mode:absolute,to:'2016-10-11 06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" s="54" t="str">
        <f t="shared" si="5"/>
        <v>N</v>
      </c>
      <c r="X17" s="163">
        <f t="shared" si="15"/>
        <v>1</v>
      </c>
      <c r="Y17" s="69">
        <f t="shared" ref="Y17:Y48" si="19">RIGHT(D17,LEN(D17)-4)/10000</f>
        <v>7.6300000000000007E-2</v>
      </c>
      <c r="Z17" s="69">
        <f t="shared" ref="Z17:Z48" si="20">RIGHT(H17,LEN(H17)-4)/10000</f>
        <v>23.332000000000001</v>
      </c>
      <c r="AA17" s="69">
        <f t="shared" si="6"/>
        <v>23.255700000000001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7"/>
        <v>0113-11</v>
      </c>
      <c r="AE17" s="94" t="str">
        <f t="shared" si="8"/>
        <v>aws s3 cp s3://rtdc.mdm.uploadarchive.raw/RTDC4031/ "%USERPROFILE%\AppData\Local\Temp\OnboardLogs"\RTDC4031\2016-10-11 --exclude "*" --recursive --include "*20161011*" &amp; "%USERPROFILE%\Documents\GitHub\mrs-test-scripts\Headless Mode &amp; Sideloading\WalkAndUnGZ.bat" "%USERPROFILE%\AppData\Local\Temp\OnboardLogs"\RTDC4031\2016-10-11 &amp; 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</v>
      </c>
      <c r="AF17" s="91" t="str">
        <f t="shared" si="9"/>
        <v>"C:\Program Files (x86)\AstroGrep\AstroGrep.exe" /spath="%USERPROFILE%\AppData\Local\Temp\OnboardLogs" /stypes="app*4031*20161011*" /stext=" 11:.+((SYSTEM_STATE.+slice.+state.+changed )|(ment ac)|(system.+state.+changed )|(\[timeout)|(PRM\|1\|D)|(kpr)|(kdp)|(\|lc)|(penalty))" /e /r /s</v>
      </c>
      <c r="AG17" s="1" t="str">
        <f t="shared" si="10"/>
        <v>EC</v>
      </c>
      <c r="AH17" s="95" t="str">
        <f t="shared" si="13"/>
        <v>"%USERPROFILE%\Documents\GitHub\eaglep3\Utilities\RefineRTDCRunTimes.py" --tripid 113-11 --locoid 4031 --swversion DE.1.0.7.0 --startMP 204:763 --initTime 2016-10-11T04:59:51 --startdatetime 2016-10-11T05:15:34 --delay 1 --endMP 204:233320 --enddatetime 2016-10-11T05:53:24 --enforcementcount 0 &gt;&gt;C:\Users\stu\Documents\GitHub\eaglep3-reporting\EC\2016-10-11-refined-times.txt</v>
      </c>
      <c r="AI17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{"issue":{"subject":"","project_id":79,"tracker_id":40,"status_id":1,"priority_id":2,"assigned_to_id":23,"start_date":"2016-10-11","description":"","custom_fields":[{"id":1,"name":"Subdivision","value":"EC"},{"id":4,"name":"Milepost","value":"23.332"},{"id":17,"name":"Train ID","value":"113-11"},{"id":16,"name":"Locomotive ID","value":"4031"},{"id":130,"name":"Impact","value":""},{"id":150,"name":"Time of Event (Mountain Time)","value":"05:53:24"},{"id":151,"name":"Denver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386</v>
      </c>
      <c r="B18" s="7">
        <v>4032</v>
      </c>
      <c r="C18" s="24" t="s">
        <v>106</v>
      </c>
      <c r="D18" s="24" t="s">
        <v>387</v>
      </c>
      <c r="E18" s="15">
        <v>42654.247349537036</v>
      </c>
      <c r="F18" s="15">
        <v>42654.257893518516</v>
      </c>
      <c r="G18" s="7">
        <v>2</v>
      </c>
      <c r="H18" s="15" t="s">
        <v>202</v>
      </c>
      <c r="I18" s="15">
        <v>42654.286307870374</v>
      </c>
      <c r="J18" s="7">
        <v>0</v>
      </c>
      <c r="K18" s="116" t="str">
        <f t="shared" si="0"/>
        <v>4031/4032</v>
      </c>
      <c r="L18" s="24" t="str">
        <f>VLOOKUP(A18,'Trips&amp;Operators'!$C$1:$E$10000,3,FALSE)</f>
        <v>SWANSON</v>
      </c>
      <c r="M18" s="6">
        <f t="shared" si="1"/>
        <v>2.8414351858373266E-2</v>
      </c>
      <c r="N18" s="7">
        <f t="shared" si="18"/>
        <v>40.916666676057503</v>
      </c>
      <c r="O18" s="7"/>
      <c r="P18" s="7"/>
      <c r="Q18" s="25"/>
      <c r="R18" s="25"/>
      <c r="S18" s="37">
        <f t="shared" si="2"/>
        <v>1</v>
      </c>
      <c r="T18" s="52" t="str">
        <f t="shared" si="3"/>
        <v>Southbound</v>
      </c>
      <c r="U18" s="15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04:56:11-0600',mode:absolute,to:'2016-10-11 07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" s="54" t="str">
        <f t="shared" si="5"/>
        <v>N</v>
      </c>
      <c r="X18" s="163">
        <f t="shared" si="15"/>
        <v>1</v>
      </c>
      <c r="Y18" s="69">
        <f t="shared" si="19"/>
        <v>23.300699999999999</v>
      </c>
      <c r="Z18" s="69">
        <f t="shared" si="20"/>
        <v>1.4500000000000001E-2</v>
      </c>
      <c r="AA18" s="69">
        <f t="shared" si="6"/>
        <v>23.286199999999997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7"/>
        <v>0114-11</v>
      </c>
      <c r="AE18" s="94" t="str">
        <f t="shared" si="8"/>
        <v>aws s3 cp s3://rtdc.mdm.uploadarchive.raw/RTDC4032/ "%USERPROFILE%\AppData\Local\Temp\OnboardLogs"\RTDC4032\2016-10-11 --exclude "*" --recursive --include "*20161011*" &amp; "%USERPROFILE%\Documents\GitHub\mrs-test-scripts\Headless Mode &amp; Sideloading\WalkAndUnGZ.bat" "%USERPROFILE%\AppData\Local\Temp\OnboardLogs"\RTDC4032\2016-10-11 &amp; 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</v>
      </c>
      <c r="AF18" s="91" t="str">
        <f t="shared" si="9"/>
        <v>"C:\Program Files (x86)\AstroGrep\AstroGrep.exe" /spath="%USERPROFILE%\AppData\Local\Temp\OnboardLogs" /stypes="app*4032*20161011*" /stext=" 12:.+((SYSTEM_STATE.+slice.+state.+changed )|(ment ac)|(system.+state.+changed )|(\[timeout)|(PRM\|1\|D)|(kpr)|(kdp)|(\|lc)|(penalty))" /e /r /s</v>
      </c>
      <c r="AG18" s="1" t="str">
        <f t="shared" si="10"/>
        <v>EC</v>
      </c>
      <c r="AH18" s="95" t="str">
        <f t="shared" si="13"/>
        <v>"%USERPROFILE%\Documents\GitHub\eaglep3\Utilities\RefineRTDCRunTimes.py" --tripid 114-11 --locoid 4032 --swversion DE.1.0.7.0 --startMP 204:233007 --initTime 2016-10-11T05:56:11 --startdatetime 2016-10-11T06:11:22 --delay 2 --endMP 204:145 --enddatetime 2016-10-11T06:52:17 --enforcementcount 0 &gt;&gt;C:\Users\stu\Documents\GitHub\eaglep3-reporting\EC\2016-10-11-refined-times.txt</v>
      </c>
      <c r="AI18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{"issue":{"subject":"","project_id":79,"tracker_id":40,"status_id":1,"priority_id":2,"assigned_to_id":23,"start_date":"2016-10-11","description":"","custom_fields":[{"id":1,"name":"Subdivision","value":"EC"},{"id":4,"name":"Milepost","value":"0.0145"},{"id":17,"name":"Train ID","value":"114-11"},{"id":16,"name":"Locomotive ID","value":"4032"},{"id":130,"name":"Impact","value":""},{"id":150,"name":"Time of Event (Mountain Time)","value":"06:52:17"},{"id":151,"name":"Denver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388</v>
      </c>
      <c r="B19" s="7">
        <v>4053</v>
      </c>
      <c r="C19" s="24" t="s">
        <v>106</v>
      </c>
      <c r="D19" s="24" t="s">
        <v>188</v>
      </c>
      <c r="E19" s="15">
        <v>42654.220578703702</v>
      </c>
      <c r="F19" s="15">
        <v>42654.229444444441</v>
      </c>
      <c r="G19" s="7">
        <v>1</v>
      </c>
      <c r="H19" s="15" t="s">
        <v>281</v>
      </c>
      <c r="I19" s="15">
        <v>42654.254386574074</v>
      </c>
      <c r="J19" s="7">
        <v>0</v>
      </c>
      <c r="K19" s="116" t="str">
        <f t="shared" si="0"/>
        <v>4053/4054</v>
      </c>
      <c r="L19" s="24" t="str">
        <f>VLOOKUP(A19,'Trips&amp;Operators'!$C$1:$E$10000,3,FALSE)</f>
        <v>SANTIZO</v>
      </c>
      <c r="M19" s="6">
        <f t="shared" si="1"/>
        <v>2.4942129632108845E-2</v>
      </c>
      <c r="N19" s="7">
        <f t="shared" si="18"/>
        <v>35.916666670236737</v>
      </c>
      <c r="O19" s="7"/>
      <c r="P19" s="7"/>
      <c r="Q19" s="25"/>
      <c r="R19" s="25"/>
      <c r="S19" s="37">
        <f t="shared" si="2"/>
        <v>1</v>
      </c>
      <c r="T19" s="52" t="str">
        <f t="shared" si="3"/>
        <v>NorthBound</v>
      </c>
      <c r="U19" s="15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04:17:38-0600',mode:absolute,to:'2016-10-11 07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" s="54" t="str">
        <f t="shared" si="5"/>
        <v>N</v>
      </c>
      <c r="X19" s="163">
        <f t="shared" si="15"/>
        <v>1</v>
      </c>
      <c r="Y19" s="69">
        <f t="shared" si="19"/>
        <v>4.53E-2</v>
      </c>
      <c r="Z19" s="69">
        <f t="shared" si="20"/>
        <v>23.3306</v>
      </c>
      <c r="AA19" s="69">
        <f t="shared" si="6"/>
        <v>23.285299999999999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7"/>
        <v>0115-11</v>
      </c>
      <c r="AE19" s="94" t="str">
        <f t="shared" si="8"/>
        <v>aws s3 cp s3://rtdc.mdm.uploadarchive.raw/RTDC4053/ "%USERPROFILE%\AppData\Local\Temp\OnboardLogs"\RTDC4053\2016-10-11 --exclude "*" --recursive --include "*20161011*" &amp; "%USERPROFILE%\Documents\GitHub\mrs-test-scripts\Headless Mode &amp; Sideloading\WalkAndUnGZ.bat" "%USERPROFILE%\AppData\Local\Temp\OnboardLogs"\RTDC4053\2016-10-11 &amp; 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</v>
      </c>
      <c r="AF19" s="91" t="str">
        <f t="shared" si="9"/>
        <v>"C:\Program Files (x86)\AstroGrep\AstroGrep.exe" /spath="%USERPROFILE%\AppData\Local\Temp\OnboardLogs" /stypes="app*4053*20161011*" /stext=" 12:.+((SYSTEM_STATE.+slice.+state.+changed )|(ment ac)|(system.+state.+changed )|(\[timeout)|(PRM\|1\|D)|(kpr)|(kdp)|(\|lc)|(penalty))" /e /r /s</v>
      </c>
      <c r="AG19" s="1" t="str">
        <f t="shared" si="10"/>
        <v>EC</v>
      </c>
      <c r="AH19" s="95" t="str">
        <f t="shared" si="13"/>
        <v>"%USERPROFILE%\Documents\GitHub\eaglep3\Utilities\RefineRTDCRunTimes.py" --tripid 115-11 --locoid 4053 --swversion DE.1.0.7.0 --startMP 204:453 --initTime 2016-10-11T05:17:38 --startdatetime 2016-10-11T05:30:24 --delay 1 --endMP 204:233306 --enddatetime 2016-10-11T06:06:19 --enforcementcount 0 &gt;&gt;C:\Users\stu\Documents\GitHub\eaglep3-reporting\EC\2016-10-11-refined-times.txt</v>
      </c>
      <c r="AI19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{"issue":{"subject":"","project_id":79,"tracker_id":40,"status_id":1,"priority_id":2,"assigned_to_id":23,"start_date":"2016-10-11","description":"","custom_fields":[{"id":1,"name":"Subdivision","value":"EC"},{"id":4,"name":"Milepost","value":"23.3306"},{"id":17,"name":"Train ID","value":"115-11"},{"id":16,"name":"Locomotive ID","value":"4053"},{"id":130,"name":"Impact","value":""},{"id":150,"name":"Time of Event (Mountain Time)","value":"06:06:19"},{"id":151,"name":"Denver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389</v>
      </c>
      <c r="B20" s="7">
        <v>4054</v>
      </c>
      <c r="C20" s="24" t="s">
        <v>106</v>
      </c>
      <c r="D20" s="24" t="s">
        <v>390</v>
      </c>
      <c r="E20" s="15">
        <v>42654.255694444444</v>
      </c>
      <c r="F20" s="15">
        <v>42654.268287037034</v>
      </c>
      <c r="G20" s="7">
        <v>1</v>
      </c>
      <c r="H20" s="15" t="s">
        <v>186</v>
      </c>
      <c r="I20" s="15">
        <v>42654.296469907407</v>
      </c>
      <c r="J20" s="7">
        <v>0</v>
      </c>
      <c r="K20" s="116" t="str">
        <f t="shared" si="0"/>
        <v>4053/4054</v>
      </c>
      <c r="L20" s="24" t="str">
        <f>VLOOKUP(A20,'Trips&amp;Operators'!$C$1:$E$10000,3,FALSE)</f>
        <v>SANTIZO</v>
      </c>
      <c r="M20" s="6">
        <f t="shared" si="1"/>
        <v>2.8182870373711921E-2</v>
      </c>
      <c r="N20" s="7">
        <f t="shared" si="18"/>
        <v>40.583333338145167</v>
      </c>
      <c r="O20" s="7"/>
      <c r="P20" s="7"/>
      <c r="Q20" s="25"/>
      <c r="R20" s="25"/>
      <c r="S20" s="37">
        <f t="shared" si="2"/>
        <v>1</v>
      </c>
      <c r="T20" s="52" t="str">
        <f t="shared" si="3"/>
        <v>Southbound</v>
      </c>
      <c r="U20" s="15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05:08:12-0600',mode:absolute,to:'2016-10-11 08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" s="54" t="str">
        <f t="shared" si="5"/>
        <v>N</v>
      </c>
      <c r="X20" s="163">
        <f t="shared" si="15"/>
        <v>1</v>
      </c>
      <c r="Y20" s="69">
        <f t="shared" si="19"/>
        <v>23.3019</v>
      </c>
      <c r="Z20" s="69">
        <f t="shared" si="20"/>
        <v>1.5800000000000002E-2</v>
      </c>
      <c r="AA20" s="69">
        <f t="shared" si="6"/>
        <v>23.286100000000001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7"/>
        <v>0116-11</v>
      </c>
      <c r="AE20" s="94" t="str">
        <f t="shared" si="8"/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AF20" s="91" t="str">
        <f t="shared" si="9"/>
        <v>"C:\Program Files (x86)\AstroGrep\AstroGrep.exe" /spath="%USERPROFILE%\AppData\Local\Temp\OnboardLogs" /stypes="app*4054*20161011*" /stext=" 13:.+((SYSTEM_STATE.+slice.+state.+changed )|(ment ac)|(system.+state.+changed )|(\[timeout)|(PRM\|1\|D)|(kpr)|(kdp)|(\|lc)|(penalty))" /e /r /s</v>
      </c>
      <c r="AG20" s="1" t="str">
        <f t="shared" si="10"/>
        <v>EC</v>
      </c>
      <c r="AH20" s="95" t="str">
        <f t="shared" si="13"/>
        <v>"%USERPROFILE%\Documents\GitHub\eaglep3\Utilities\RefineRTDCRunTimes.py" --tripid 116-11 --locoid 4054 --swversion DE.1.0.7.0 --startMP 204:233019 --initTime 2016-10-11T06:08:12 --startdatetime 2016-10-11T06:26:20 --delay 1 --endMP 204:158 --enddatetime 2016-10-11T07:06:55 --enforcementcount 0 &gt;&gt;C:\Users\stu\Documents\GitHub\eaglep3-reporting\EC\2016-10-11-refined-times.txt</v>
      </c>
      <c r="AI20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{"issue":{"subject":"","project_id":79,"tracker_id":40,"status_id":1,"priority_id":2,"assigned_to_id":23,"start_date":"2016-10-11","description":"","custom_fields":[{"id":1,"name":"Subdivision","value":"EC"},{"id":4,"name":"Milepost","value":"0.0158"},{"id":17,"name":"Train ID","value":"116-11"},{"id":16,"name":"Locomotive ID","value":"4054"},{"id":130,"name":"Impact","value":""},{"id":150,"name":"Time of Event (Mountain Time)","value":"07:06:55"},{"id":151,"name":"Denver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391</v>
      </c>
      <c r="B21" s="7">
        <v>4007</v>
      </c>
      <c r="C21" s="24" t="s">
        <v>106</v>
      </c>
      <c r="D21" s="24" t="s">
        <v>209</v>
      </c>
      <c r="E21" s="15">
        <v>42654.230324074073</v>
      </c>
      <c r="F21" s="15">
        <v>42654.240034722221</v>
      </c>
      <c r="G21" s="7">
        <v>2</v>
      </c>
      <c r="H21" s="15" t="s">
        <v>392</v>
      </c>
      <c r="I21" s="15">
        <v>42654.265555555554</v>
      </c>
      <c r="J21" s="7">
        <v>0</v>
      </c>
      <c r="K21" s="116" t="str">
        <f t="shared" si="0"/>
        <v>4007/4008</v>
      </c>
      <c r="L21" s="24" t="str">
        <f>VLOOKUP(A21,'Trips&amp;Operators'!$C$1:$E$10000,3,FALSE)</f>
        <v>SPECTOR</v>
      </c>
      <c r="M21" s="6">
        <f t="shared" si="1"/>
        <v>2.5520833332848269E-2</v>
      </c>
      <c r="N21" s="7">
        <f t="shared" si="18"/>
        <v>36.749999999301508</v>
      </c>
      <c r="O21" s="7"/>
      <c r="P21" s="7"/>
      <c r="Q21" s="25"/>
      <c r="R21" s="25"/>
      <c r="S21" s="37">
        <f t="shared" si="2"/>
        <v>1</v>
      </c>
      <c r="T21" s="52" t="str">
        <f t="shared" si="3"/>
        <v>NorthBound</v>
      </c>
      <c r="U21" s="15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04:31:40-0600',mode:absolute,to:'2016-10-11 07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54" t="str">
        <f t="shared" si="5"/>
        <v>N</v>
      </c>
      <c r="X21" s="163">
        <f t="shared" si="15"/>
        <v>1</v>
      </c>
      <c r="Y21" s="69">
        <f t="shared" si="19"/>
        <v>4.6399999999999997E-2</v>
      </c>
      <c r="Z21" s="69">
        <f t="shared" si="20"/>
        <v>23.333200000000001</v>
      </c>
      <c r="AA21" s="69">
        <f t="shared" si="6"/>
        <v>23.286800000000003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7"/>
        <v>0117-11</v>
      </c>
      <c r="AE21" s="94" t="str">
        <f t="shared" si="8"/>
        <v>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 &amp; 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</v>
      </c>
      <c r="AF21" s="91" t="str">
        <f t="shared" si="9"/>
        <v>"C:\Program Files (x86)\AstroGrep\AstroGrep.exe" /spath="%USERPROFILE%\AppData\Local\Temp\OnboardLogs" /stypes="app*4007*20161011*" /stext=" 12:.+((SYSTEM_STATE.+slice.+state.+changed )|(ment ac)|(system.+state.+changed )|(\[timeout)|(PRM\|1\|D)|(kpr)|(kdp)|(\|lc)|(penalty))" /e /r /s</v>
      </c>
      <c r="AG21" s="1" t="str">
        <f t="shared" si="10"/>
        <v>EC</v>
      </c>
      <c r="AH21" s="95" t="str">
        <f t="shared" si="13"/>
        <v>"%USERPROFILE%\Documents\GitHub\eaglep3\Utilities\RefineRTDCRunTimes.py" --tripid 117-11 --locoid 4007 --swversion DE.1.0.7.0 --startMP 204:464 --initTime 2016-10-11T05:31:40 --startdatetime 2016-10-11T05:45:39 --delay 2 --endMP 204:233332 --enddatetime 2016-10-11T06:22:24 --enforcementcount 0 &gt;&gt;C:\Users\stu\Documents\GitHub\eaglep3-reporting\EC\2016-10-11-refined-times.txt</v>
      </c>
      <c r="AI21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{"issue":{"subject":"","project_id":79,"tracker_id":40,"status_id":1,"priority_id":2,"assigned_to_id":23,"start_date":"2016-10-11","description":"","custom_fields":[{"id":1,"name":"Subdivision","value":"EC"},{"id":4,"name":"Milepost","value":"23.3332"},{"id":17,"name":"Train ID","value":"117-11"},{"id":16,"name":"Locomotive ID","value":"4007"},{"id":130,"name":"Impact","value":""},{"id":150,"name":"Time of Event (Mountain Time)","value":"06:22:24"},{"id":151,"name":"Denver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393</v>
      </c>
      <c r="B22" s="7">
        <v>4008</v>
      </c>
      <c r="C22" s="24" t="s">
        <v>106</v>
      </c>
      <c r="D22" s="24" t="s">
        <v>387</v>
      </c>
      <c r="E22" s="15">
        <v>42654.274525462963</v>
      </c>
      <c r="F22" s="15">
        <v>42654.278854166667</v>
      </c>
      <c r="G22" s="7">
        <v>1</v>
      </c>
      <c r="H22" s="15" t="s">
        <v>189</v>
      </c>
      <c r="I22" s="15">
        <v>42654.305752314816</v>
      </c>
      <c r="J22" s="7">
        <v>0</v>
      </c>
      <c r="K22" s="116" t="str">
        <f t="shared" si="0"/>
        <v>4007/4008</v>
      </c>
      <c r="L22" s="24" t="str">
        <f>VLOOKUP(A22,'Trips&amp;Operators'!$C$1:$E$10000,3,FALSE)</f>
        <v>SPECTOR</v>
      </c>
      <c r="M22" s="6">
        <f t="shared" si="1"/>
        <v>2.6898148149484769E-2</v>
      </c>
      <c r="N22" s="7">
        <f t="shared" si="18"/>
        <v>38.733333335258067</v>
      </c>
      <c r="O22" s="7"/>
      <c r="P22" s="7"/>
      <c r="Q22" s="25"/>
      <c r="R22" s="25"/>
      <c r="S22" s="37">
        <f t="shared" si="2"/>
        <v>1</v>
      </c>
      <c r="T22" s="52" t="str">
        <f t="shared" si="3"/>
        <v>Southbound</v>
      </c>
      <c r="U22" s="15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05:35:19-0600',mode:absolute,to:'2016-10-11 08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" s="54" t="str">
        <f t="shared" si="5"/>
        <v>N</v>
      </c>
      <c r="X22" s="163">
        <f t="shared" ref="X22:X42" si="21">VALUE(LEFT(AD22,4))-VALUE(LEFT(AD21,4))</f>
        <v>1</v>
      </c>
      <c r="Y22" s="69">
        <f t="shared" si="19"/>
        <v>23.300699999999999</v>
      </c>
      <c r="Z22" s="69">
        <f t="shared" si="20"/>
        <v>1.4999999999999999E-2</v>
      </c>
      <c r="AA22" s="69">
        <f t="shared" si="6"/>
        <v>23.285699999999999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7"/>
        <v>0118-11</v>
      </c>
      <c r="AE22" s="94" t="str">
        <f t="shared" si="8"/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AF22" s="91" t="str">
        <f t="shared" si="9"/>
        <v>"C:\Program Files (x86)\AstroGrep\AstroGrep.exe" /spath="%USERPROFILE%\AppData\Local\Temp\OnboardLogs" /stypes="app*4008*20161011*" /stext=" 13:.+((SYSTEM_STATE.+slice.+state.+changed )|(ment ac)|(system.+state.+changed )|(\[timeout)|(PRM\|1\|D)|(kpr)|(kdp)|(\|lc)|(penalty))" /e /r /s</v>
      </c>
      <c r="AG22" s="1" t="str">
        <f t="shared" si="10"/>
        <v>EC</v>
      </c>
      <c r="AH22" s="95" t="str">
        <f t="shared" si="13"/>
        <v>"%USERPROFILE%\Documents\GitHub\eaglep3\Utilities\RefineRTDCRunTimes.py" --tripid 118-11 --locoid 4008 --swversion DE.1.0.7.0 --startMP 204:233007 --initTime 2016-10-11T06:35:19 --startdatetime 2016-10-11T06:41:33 --delay 1 --endMP 204:150 --enddatetime 2016-10-11T07:20:17 --enforcementcount 0 &gt;&gt;C:\Users\stu\Documents\GitHub\eaglep3-reporting\EC\2016-10-11-refined-times.txt</v>
      </c>
      <c r="AI22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{"issue":{"subject":"","project_id":79,"tracker_id":40,"status_id":1,"priority_id":2,"assigned_to_id":23,"start_date":"2016-10-11","description":"","custom_fields":[{"id":1,"name":"Subdivision","value":"EC"},{"id":4,"name":"Milepost","value":"0.015"},{"id":17,"name":"Train ID","value":"118-11"},{"id":16,"name":"Locomotive ID","value":"4008"},{"id":130,"name":"Impact","value":""},{"id":150,"name":"Time of Event (Mountain Time)","value":"07:20:17"},{"id":151,"name":"Denver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394</v>
      </c>
      <c r="B23" s="7">
        <v>4003</v>
      </c>
      <c r="C23" s="24" t="s">
        <v>106</v>
      </c>
      <c r="D23" s="24" t="s">
        <v>193</v>
      </c>
      <c r="E23" s="15">
        <v>42654.243356481478</v>
      </c>
      <c r="F23" s="15">
        <v>42654.250393518516</v>
      </c>
      <c r="G23" s="7">
        <v>1</v>
      </c>
      <c r="H23" s="15" t="s">
        <v>286</v>
      </c>
      <c r="I23" s="15">
        <v>42654.277233796296</v>
      </c>
      <c r="J23" s="7">
        <v>0</v>
      </c>
      <c r="K23" s="116" t="str">
        <f t="shared" si="0"/>
        <v>4003/4004</v>
      </c>
      <c r="L23" s="24" t="str">
        <f>VLOOKUP(A23,'Trips&amp;Operators'!$C$1:$E$10000,3,FALSE)</f>
        <v>DAVIS</v>
      </c>
      <c r="M23" s="6">
        <f t="shared" si="1"/>
        <v>2.6840277780138422E-2</v>
      </c>
      <c r="N23" s="7">
        <f t="shared" si="18"/>
        <v>38.650000003399327</v>
      </c>
      <c r="O23" s="7"/>
      <c r="P23" s="7"/>
      <c r="Q23" s="25"/>
      <c r="R23" s="25"/>
      <c r="S23" s="37">
        <f t="shared" si="2"/>
        <v>1</v>
      </c>
      <c r="T23" s="52" t="str">
        <f t="shared" si="3"/>
        <v>NorthBound</v>
      </c>
      <c r="U23" s="15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04:50:26-0600',mode:absolute,to:'2016-10-11 07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54" t="str">
        <f t="shared" si="5"/>
        <v>N</v>
      </c>
      <c r="X23" s="163">
        <f t="shared" si="21"/>
        <v>1</v>
      </c>
      <c r="Y23" s="69">
        <f t="shared" si="19"/>
        <v>4.5100000000000001E-2</v>
      </c>
      <c r="Z23" s="69">
        <f t="shared" si="20"/>
        <v>23.331499999999998</v>
      </c>
      <c r="AA23" s="69">
        <f t="shared" si="6"/>
        <v>23.286399999999997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7"/>
        <v>0119-11</v>
      </c>
      <c r="AE23" s="94" t="str">
        <f t="shared" si="8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23" s="91" t="str">
        <f t="shared" si="9"/>
        <v>"C:\Program Files (x86)\AstroGrep\AstroGrep.exe" /spath="%USERPROFILE%\AppData\Local\Temp\OnboardLogs" /stypes="app*4003*20161011*" /stext=" 12:.+((SYSTEM_STATE.+slice.+state.+changed )|(ment ac)|(system.+state.+changed )|(\[timeout)|(PRM\|1\|D)|(kpr)|(kdp)|(\|lc)|(penalty))" /e /r /s</v>
      </c>
      <c r="AG23" s="1" t="str">
        <f t="shared" si="10"/>
        <v>EC</v>
      </c>
      <c r="AH23" s="95" t="str">
        <f t="shared" si="13"/>
        <v>"%USERPROFILE%\Documents\GitHub\eaglep3\Utilities\RefineRTDCRunTimes.py" --tripid 119-11 --locoid 4003 --swversion DE.1.0.7.0 --startMP 204:451 --initTime 2016-10-11T05:50:26 --startdatetime 2016-10-11T06:00:34 --delay 1 --endMP 204:233315 --enddatetime 2016-10-11T06:39:13 --enforcementcount 0 &gt;&gt;C:\Users\stu\Documents\GitHub\eaglep3-reporting\EC\2016-10-11-refined-times.txt</v>
      </c>
      <c r="AI23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{"issue":{"subject":"","project_id":79,"tracker_id":40,"status_id":1,"priority_id":2,"assigned_to_id":23,"start_date":"2016-10-11","description":"","custom_fields":[{"id":1,"name":"Subdivision","value":"EC"},{"id":4,"name":"Milepost","value":"23.3315"},{"id":17,"name":"Train ID","value":"119-11"},{"id":16,"name":"Locomotive ID","value":"4003"},{"id":130,"name":"Impact","value":""},{"id":150,"name":"Time of Event (Mountain Time)","value":"06:39:13"},{"id":151,"name":"Denver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395</v>
      </c>
      <c r="B24" s="7">
        <v>4004</v>
      </c>
      <c r="C24" s="24" t="s">
        <v>106</v>
      </c>
      <c r="D24" s="24" t="s">
        <v>396</v>
      </c>
      <c r="E24" s="15">
        <v>42654.283171296294</v>
      </c>
      <c r="F24" s="15">
        <v>42654.2891087963</v>
      </c>
      <c r="G24" s="7">
        <v>1</v>
      </c>
      <c r="H24" s="15" t="s">
        <v>202</v>
      </c>
      <c r="I24" s="15">
        <v>42654.316770833335</v>
      </c>
      <c r="J24" s="7">
        <v>0</v>
      </c>
      <c r="K24" s="116" t="str">
        <f t="shared" si="0"/>
        <v>4003/4004</v>
      </c>
      <c r="L24" s="24" t="str">
        <f>VLOOKUP(A24,'Trips&amp;Operators'!$C$1:$E$10000,3,FALSE)</f>
        <v>DAVIS</v>
      </c>
      <c r="M24" s="6">
        <f t="shared" si="1"/>
        <v>2.7662037035042886E-2</v>
      </c>
      <c r="N24" s="7">
        <f t="shared" si="18"/>
        <v>39.833333330461755</v>
      </c>
      <c r="O24" s="7"/>
      <c r="P24" s="7"/>
      <c r="Q24" s="25"/>
      <c r="R24" s="25"/>
      <c r="S24" s="37">
        <f t="shared" si="2"/>
        <v>1</v>
      </c>
      <c r="T24" s="52" t="str">
        <f t="shared" si="3"/>
        <v>Southbound</v>
      </c>
      <c r="U24" s="15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05:47:46-0600',mode:absolute,to:'2016-10-11 08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54" t="str">
        <f t="shared" si="5"/>
        <v>N</v>
      </c>
      <c r="X24" s="163">
        <f t="shared" si="21"/>
        <v>1</v>
      </c>
      <c r="Y24" s="69">
        <f t="shared" si="19"/>
        <v>23.302099999999999</v>
      </c>
      <c r="Z24" s="69">
        <f t="shared" si="20"/>
        <v>1.4500000000000001E-2</v>
      </c>
      <c r="AA24" s="69">
        <f t="shared" si="6"/>
        <v>23.287599999999998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7"/>
        <v>0120-11</v>
      </c>
      <c r="AE24" s="94" t="str">
        <f t="shared" si="8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24" s="91" t="str">
        <f t="shared" si="9"/>
        <v>"C:\Program Files (x86)\AstroGrep\AstroGrep.exe" /spath="%USERPROFILE%\AppData\Local\Temp\OnboardLogs" /stypes="app*4004*20161011*" /stext=" 13:.+((SYSTEM_STATE.+slice.+state.+changed )|(ment ac)|(system.+state.+changed )|(\[timeout)|(PRM\|1\|D)|(kpr)|(kdp)|(\|lc)|(penalty))" /e /r /s</v>
      </c>
      <c r="AG24" s="1" t="str">
        <f t="shared" si="10"/>
        <v>EC</v>
      </c>
      <c r="AH24" s="95" t="str">
        <f t="shared" si="13"/>
        <v>"%USERPROFILE%\Documents\GitHub\eaglep3\Utilities\RefineRTDCRunTimes.py" --tripid 120-11 --locoid 4004 --swversion DE.1.0.7.0 --startMP 204:233021 --initTime 2016-10-11T06:47:46 --startdatetime 2016-10-11T06:56:19 --delay 1 --endMP 204:145 --enddatetime 2016-10-11T07:36:09 --enforcementcount 0 &gt;&gt;C:\Users\stu\Documents\GitHub\eaglep3-reporting\EC\2016-10-11-refined-times.txt</v>
      </c>
      <c r="AI24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{"issue":{"subject":"","project_id":79,"tracker_id":40,"status_id":1,"priority_id":2,"assigned_to_id":23,"start_date":"2016-10-11","description":"","custom_fields":[{"id":1,"name":"Subdivision","value":"EC"},{"id":4,"name":"Milepost","value":"0.0145"},{"id":17,"name":"Train ID","value":"120-11"},{"id":16,"name":"Locomotive ID","value":"4004"},{"id":130,"name":"Impact","value":""},{"id":150,"name":"Time of Event (Mountain Time)","value":"07:36:09"},{"id":151,"name":"Denver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397</v>
      </c>
      <c r="B25" s="7">
        <v>4014</v>
      </c>
      <c r="C25" s="24" t="s">
        <v>106</v>
      </c>
      <c r="D25" s="24" t="s">
        <v>192</v>
      </c>
      <c r="E25" s="15">
        <v>42654.2499537037</v>
      </c>
      <c r="F25" s="15">
        <v>42654.260613425926</v>
      </c>
      <c r="G25" s="7">
        <v>2</v>
      </c>
      <c r="H25" s="15" t="s">
        <v>236</v>
      </c>
      <c r="I25" s="15">
        <v>42654.285069444442</v>
      </c>
      <c r="J25" s="7">
        <v>0</v>
      </c>
      <c r="K25" s="116" t="str">
        <f t="shared" si="0"/>
        <v>4013/4014</v>
      </c>
      <c r="L25" s="24" t="str">
        <f>VLOOKUP(A25,'Trips&amp;Operators'!$C$1:$E$10000,3,FALSE)</f>
        <v>DE LA ROSA</v>
      </c>
      <c r="M25" s="6">
        <f t="shared" si="1"/>
        <v>2.4456018516502809E-2</v>
      </c>
      <c r="N25" s="7">
        <f t="shared" si="18"/>
        <v>35.216666663764045</v>
      </c>
      <c r="O25" s="7"/>
      <c r="P25" s="7"/>
      <c r="Q25" s="25"/>
      <c r="R25" s="25"/>
      <c r="S25" s="37">
        <f t="shared" si="2"/>
        <v>1</v>
      </c>
      <c r="T25" s="52" t="str">
        <f t="shared" si="3"/>
        <v>NorthBound</v>
      </c>
      <c r="U25" s="15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04:59:56-0600',mode:absolute,to:'2016-10-11 07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5" s="54" t="str">
        <f t="shared" si="5"/>
        <v>N</v>
      </c>
      <c r="X25" s="163">
        <f t="shared" si="21"/>
        <v>1</v>
      </c>
      <c r="Y25" s="69">
        <f t="shared" si="19"/>
        <v>4.6600000000000003E-2</v>
      </c>
      <c r="Z25" s="69">
        <f t="shared" si="20"/>
        <v>23.328600000000002</v>
      </c>
      <c r="AA25" s="69">
        <f t="shared" si="6"/>
        <v>23.282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7"/>
        <v>0121-11</v>
      </c>
      <c r="AE25" s="94" t="str">
        <f t="shared" si="8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25" s="91" t="str">
        <f t="shared" si="9"/>
        <v>"C:\Program Files (x86)\AstroGrep\AstroGrep.exe" /spath="%USERPROFILE%\AppData\Local\Temp\OnboardLogs" /stypes="app*4014*20161011*" /stext=" 12:.+((SYSTEM_STATE.+slice.+state.+changed )|(ment ac)|(system.+state.+changed )|(\[timeout)|(PRM\|1\|D)|(kpr)|(kdp)|(\|lc)|(penalty))" /e /r /s</v>
      </c>
      <c r="AG25" s="1" t="str">
        <f t="shared" si="10"/>
        <v>EC</v>
      </c>
      <c r="AH25" s="95" t="str">
        <f t="shared" si="13"/>
        <v>"%USERPROFILE%\Documents\GitHub\eaglep3\Utilities\RefineRTDCRunTimes.py" --tripid 121-11 --locoid 4014 --swversion DE.1.0.7.0 --startMP 204:466 --initTime 2016-10-11T05:59:56 --startdatetime 2016-10-11T06:15:17 --delay 2 --endMP 204:233286 --enddatetime 2016-10-11T06:50:30 --enforcementcount 0 &gt;&gt;C:\Users\stu\Documents\GitHub\eaglep3-reporting\EC\2016-10-11-refined-times.txt</v>
      </c>
      <c r="AI25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{"issue":{"subject":"","project_id":79,"tracker_id":40,"status_id":1,"priority_id":2,"assigned_to_id":23,"start_date":"2016-10-11","description":"","custom_fields":[{"id":1,"name":"Subdivision","value":"EC"},{"id":4,"name":"Milepost","value":"23.3286"},{"id":17,"name":"Train ID","value":"121-11"},{"id":16,"name":"Locomotive ID","value":"4014"},{"id":130,"name":"Impact","value":""},{"id":150,"name":"Time of Event (Mountain Time)","value":"06:50:30"},{"id":151,"name":"Denver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398</v>
      </c>
      <c r="B26" s="7">
        <v>4013</v>
      </c>
      <c r="C26" s="24" t="s">
        <v>106</v>
      </c>
      <c r="D26" s="24" t="s">
        <v>284</v>
      </c>
      <c r="E26" s="15">
        <v>42654.292592592596</v>
      </c>
      <c r="F26" s="15">
        <v>42654.299513888887</v>
      </c>
      <c r="G26" s="7">
        <v>2</v>
      </c>
      <c r="H26" s="15" t="s">
        <v>350</v>
      </c>
      <c r="I26" s="15">
        <v>42654.329837962963</v>
      </c>
      <c r="J26" s="7">
        <v>0</v>
      </c>
      <c r="K26" s="116" t="str">
        <f t="shared" si="0"/>
        <v>4013/4014</v>
      </c>
      <c r="L26" s="24" t="str">
        <f>VLOOKUP(A26,'Trips&amp;Operators'!$C$1:$E$10000,3,FALSE)</f>
        <v>DE LA ROSA</v>
      </c>
      <c r="M26" s="6">
        <f t="shared" si="1"/>
        <v>3.0324074075906537E-2</v>
      </c>
      <c r="N26" s="7">
        <f t="shared" si="18"/>
        <v>43.666666669305414</v>
      </c>
      <c r="O26" s="7"/>
      <c r="P26" s="7"/>
      <c r="Q26" s="25"/>
      <c r="R26" s="25"/>
      <c r="S26" s="37">
        <f t="shared" si="2"/>
        <v>1</v>
      </c>
      <c r="T26" s="52" t="str">
        <f t="shared" si="3"/>
        <v>Southbound</v>
      </c>
      <c r="U26" s="15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06:01:20-0600',mode:absolute,to:'2016-10-11 08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6" s="54" t="str">
        <f t="shared" si="5"/>
        <v>N</v>
      </c>
      <c r="X26" s="163">
        <f t="shared" si="21"/>
        <v>1</v>
      </c>
      <c r="Y26" s="69">
        <f t="shared" si="19"/>
        <v>23.296500000000002</v>
      </c>
      <c r="Z26" s="69">
        <f t="shared" si="20"/>
        <v>1.7000000000000001E-2</v>
      </c>
      <c r="AA26" s="69">
        <f t="shared" si="6"/>
        <v>23.279500000000002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7"/>
        <v>0122-11</v>
      </c>
      <c r="AE26" s="94" t="str">
        <f t="shared" si="8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26" s="91" t="str">
        <f t="shared" si="9"/>
        <v>"C:\Program Files (x86)\AstroGrep\AstroGrep.exe" /spath="%USERPROFILE%\AppData\Local\Temp\OnboardLogs" /stypes="app*4013*20161011*" /stext=" 13:.+((SYSTEM_STATE.+slice.+state.+changed )|(ment ac)|(system.+state.+changed )|(\[timeout)|(PRM\|1\|D)|(kpr)|(kdp)|(\|lc)|(penalty))" /e /r /s</v>
      </c>
      <c r="AG26" s="1" t="str">
        <f t="shared" si="10"/>
        <v>EC</v>
      </c>
      <c r="AH26" s="95" t="str">
        <f t="shared" si="13"/>
        <v>"%USERPROFILE%\Documents\GitHub\eaglep3\Utilities\RefineRTDCRunTimes.py" --tripid 122-11 --locoid 4013 --swversion DE.1.0.7.0 --startMP 204:232965 --initTime 2016-10-11T07:01:20 --startdatetime 2016-10-11T07:11:18 --delay 2 --endMP 204:170 --enddatetime 2016-10-11T07:54:58 --enforcementcount 0 &gt;&gt;C:\Users\stu\Documents\GitHub\eaglep3-reporting\EC\2016-10-11-refined-times.txt</v>
      </c>
      <c r="AI26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{"issue":{"subject":"","project_id":79,"tracker_id":40,"status_id":1,"priority_id":2,"assigned_to_id":23,"start_date":"2016-10-11","description":"","custom_fields":[{"id":1,"name":"Subdivision","value":"EC"},{"id":4,"name":"Milepost","value":"0.017"},{"id":17,"name":"Train ID","value":"122-11"},{"id":16,"name":"Locomotive ID","value":"4013"},{"id":130,"name":"Impact","value":""},{"id":150,"name":"Time of Event (Mountain Time)","value":"07:54:58"},{"id":151,"name":"Denver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399</v>
      </c>
      <c r="B27" s="7">
        <v>4040</v>
      </c>
      <c r="C27" s="24" t="s">
        <v>106</v>
      </c>
      <c r="D27" s="24" t="s">
        <v>310</v>
      </c>
      <c r="E27" s="15">
        <v>42654.268437500003</v>
      </c>
      <c r="F27" s="15">
        <v>42654.27103009259</v>
      </c>
      <c r="G27" s="7">
        <v>1</v>
      </c>
      <c r="H27" s="15" t="s">
        <v>400</v>
      </c>
      <c r="I27" s="15">
        <v>42654.29178240741</v>
      </c>
      <c r="J27" s="7">
        <v>0</v>
      </c>
      <c r="K27" s="116" t="str">
        <f t="shared" si="0"/>
        <v>4039/4040</v>
      </c>
      <c r="L27" s="24" t="e">
        <f>VLOOKUP(A27,'[2]Trips&amp;Operators'!$C$1:$E$10000,3,FALSE)</f>
        <v>#N/A</v>
      </c>
      <c r="M27" s="6">
        <f t="shared" si="1"/>
        <v>2.0752314820128959E-2</v>
      </c>
      <c r="N27" s="7"/>
      <c r="O27" s="7"/>
      <c r="P27" s="7">
        <f>24*60*SUM($M27:$M27)</f>
        <v>29.8833333409857</v>
      </c>
      <c r="Q27" s="25"/>
      <c r="R27" s="25" t="s">
        <v>765</v>
      </c>
      <c r="S27" s="37">
        <f t="shared" si="2"/>
        <v>1</v>
      </c>
      <c r="T27" s="52" t="str">
        <f t="shared" si="3"/>
        <v>NorthBound</v>
      </c>
      <c r="U27" s="15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05:26:33-0600',mode:absolute,to:'2016-10-11 08:00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7" s="54" t="str">
        <f t="shared" si="5"/>
        <v>Y</v>
      </c>
      <c r="X27" s="163">
        <f t="shared" si="21"/>
        <v>1</v>
      </c>
      <c r="Y27" s="69">
        <f t="shared" si="19"/>
        <v>7.5700000000000003E-2</v>
      </c>
      <c r="Z27" s="69">
        <f t="shared" si="20"/>
        <v>19.369399999999999</v>
      </c>
      <c r="AA27" s="69">
        <f t="shared" si="6"/>
        <v>19.293699999999998</v>
      </c>
      <c r="AB27" s="66" t="str">
        <f>VLOOKUP(A27,Enforcements!$C$7:$K$21,8,0)</f>
        <v>Signal based authority (5)</v>
      </c>
      <c r="AC27" s="62" t="str">
        <f>VLOOKUP(A27,Enforcements!$C$7:$E$21,3,0)</f>
        <v>SIGNAL</v>
      </c>
      <c r="AD27" s="63" t="str">
        <f t="shared" si="7"/>
        <v>0123-11</v>
      </c>
      <c r="AE27" s="94" t="str">
        <f t="shared" si="8"/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27" s="91" t="str">
        <f t="shared" si="9"/>
        <v>"C:\Program Files (x86)\AstroGrep\AstroGrep.exe" /spath="%USERPROFILE%\AppData\Local\Temp\OnboardLogs" /stypes="app*4040*20161011*" /stext=" 13:.+((SYSTEM_STATE.+slice.+state.+changed )|(ment ac)|(system.+state.+changed )|(\[timeout)|(PRM\|1\|D)|(kpr)|(kdp)|(\|lc)|(penalty))" /e /r /s</v>
      </c>
      <c r="AG27" s="1" t="str">
        <f t="shared" si="10"/>
        <v>EC</v>
      </c>
      <c r="AH27" s="95" t="str">
        <f t="shared" si="13"/>
        <v>"%USERPROFILE%\Documents\GitHub\eaglep3\Utilities\RefineRTDCRunTimes.py" --tripid 123-11 --locoid 4040 --swversion DE.1.0.7.0 --startMP 204:757 --initTime 2016-10-11T06:26:33 --startdatetime 2016-10-11T06:30:17 --delay 1 --endMP 204:193694 --enddatetime 2016-10-11T07:00:10 --enforcementcount 0 &gt;&gt;C:\Users\stu\Documents\GitHub\eaglep3-reporting\EC\2016-10-11-refined-times.txt</v>
      </c>
      <c r="AI27" s="129" t="str">
        <f t="shared" si="14"/>
        <v>echo {"issue":{"subject":"Premature downgrade at Pena 2N","project_id":79,"tracker_id":40,"status_id":1,"priority_id":2,"assigned_to_id":23,"start_date":"2016-10-11","description":"At 06:59:42, Pena 2N downgraded from PROCEED CAB to STOP, this seem unexpected/unintended. Anything strange happen here?","custom_fields":[{"id":1,"name":"Subdivision","value":"EC"},{"id":4,"name":"Milepost","value":"19.3694"},{"id":17,"name":"Train ID","value":"123-11"},{"id":16,"name":"Locomotive ID","value":"4040"},{"id":130,"name":"Impact","value":"Enforcement"},{"id":150,"name":"Time of Event (Mountain Time)","value":"07:00:10"},{"id":151,"name":"Denver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7" s="55" t="s">
        <v>766</v>
      </c>
      <c r="AK27" s="55" t="s">
        <v>134</v>
      </c>
      <c r="AL27" s="55" t="s">
        <v>139</v>
      </c>
    </row>
    <row r="28" spans="1:38" s="1" customFormat="1" x14ac:dyDescent="0.25">
      <c r="A28" s="39" t="s">
        <v>401</v>
      </c>
      <c r="B28" s="7">
        <v>4039</v>
      </c>
      <c r="C28" s="24" t="s">
        <v>106</v>
      </c>
      <c r="D28" s="24" t="s">
        <v>402</v>
      </c>
      <c r="E28" s="15">
        <v>42654.303090277775</v>
      </c>
      <c r="F28" s="15">
        <v>42654.310115740744</v>
      </c>
      <c r="G28" s="7">
        <v>1</v>
      </c>
      <c r="H28" s="15" t="s">
        <v>185</v>
      </c>
      <c r="I28" s="15">
        <v>42654.343969907408</v>
      </c>
      <c r="J28" s="7">
        <v>0</v>
      </c>
      <c r="K28" s="116" t="str">
        <f t="shared" si="0"/>
        <v>4039/4040</v>
      </c>
      <c r="L28" s="24" t="str">
        <f>VLOOKUP(A28,'Trips&amp;Operators'!$C$1:$E$10000,3,FALSE)</f>
        <v>KILLION</v>
      </c>
      <c r="M28" s="6">
        <f t="shared" si="1"/>
        <v>3.3854166664241347E-2</v>
      </c>
      <c r="N28" s="7">
        <f t="shared" ref="N28:N42" si="22">24*60*SUM($M28:$M28)</f>
        <v>48.74999999650754</v>
      </c>
      <c r="O28" s="7"/>
      <c r="P28" s="7"/>
      <c r="Q28" s="25"/>
      <c r="R28" s="25"/>
      <c r="S28" s="37">
        <f t="shared" si="2"/>
        <v>1</v>
      </c>
      <c r="T28" s="52" t="str">
        <f t="shared" si="3"/>
        <v>Southbound</v>
      </c>
      <c r="U28" s="15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06:16:27-0600',mode:absolute,to:'2016-10-11 09:15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8" s="54" t="str">
        <f t="shared" si="5"/>
        <v>N</v>
      </c>
      <c r="X28" s="163">
        <f t="shared" si="21"/>
        <v>1</v>
      </c>
      <c r="Y28" s="69">
        <f t="shared" si="19"/>
        <v>23.296600000000002</v>
      </c>
      <c r="Z28" s="69">
        <f t="shared" si="20"/>
        <v>1.6E-2</v>
      </c>
      <c r="AA28" s="69">
        <f t="shared" si="6"/>
        <v>23.280600000000003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7"/>
        <v>0124-11</v>
      </c>
      <c r="AE28" s="94" t="str">
        <f t="shared" si="8"/>
        <v>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 &amp; 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</v>
      </c>
      <c r="AF28" s="91" t="str">
        <f t="shared" si="9"/>
        <v>"C:\Program Files (x86)\AstroGrep\AstroGrep.exe" /spath="%USERPROFILE%\AppData\Local\Temp\OnboardLogs" /stypes="app*4039*20161011*" /stext=" 14:.+((SYSTEM_STATE.+slice.+state.+changed )|(ment ac)|(system.+state.+changed )|(\[timeout)|(PRM\|1\|D)|(kpr)|(kdp)|(\|lc)|(penalty))" /e /r /s</v>
      </c>
      <c r="AG28" s="1" t="str">
        <f t="shared" si="10"/>
        <v>EC</v>
      </c>
      <c r="AH28" s="95" t="str">
        <f t="shared" si="13"/>
        <v>"%USERPROFILE%\Documents\GitHub\eaglep3\Utilities\RefineRTDCRunTimes.py" --tripid 124-11 --locoid 4039 --swversion DE.1.0.7.0 --startMP 204:232966 --initTime 2016-10-11T07:16:27 --startdatetime 2016-10-11T07:26:34 --delay 1 --endMP 204:160 --enddatetime 2016-10-11T08:15:19 --enforcementcount 0 &gt;&gt;C:\Users\stu\Documents\GitHub\eaglep3-reporting\EC\2016-10-11-refined-times.txt</v>
      </c>
      <c r="AI28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{"issue":{"subject":"","project_id":79,"tracker_id":40,"status_id":1,"priority_id":2,"assigned_to_id":23,"start_date":"2016-10-11","description":"","custom_fields":[{"id":1,"name":"Subdivision","value":"EC"},{"id":4,"name":"Milepost","value":"0.016"},{"id":17,"name":"Train ID","value":"124-11"},{"id":16,"name":"Locomotive ID","value":"4039"},{"id":130,"name":"Impact","value":""},{"id":150,"name":"Time of Event (Mountain Time)","value":"08:15:19"},{"id":151,"name":"Denver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403</v>
      </c>
      <c r="B29" s="7">
        <v>4016</v>
      </c>
      <c r="C29" s="24" t="s">
        <v>106</v>
      </c>
      <c r="D29" s="24" t="s">
        <v>248</v>
      </c>
      <c r="E29" s="15">
        <v>42654.27857638889</v>
      </c>
      <c r="F29" s="15">
        <v>42654.281689814816</v>
      </c>
      <c r="G29" s="7">
        <v>2</v>
      </c>
      <c r="H29" s="15" t="s">
        <v>404</v>
      </c>
      <c r="I29" s="15">
        <v>42654.307546296295</v>
      </c>
      <c r="J29" s="7">
        <v>0</v>
      </c>
      <c r="K29" s="116" t="str">
        <f t="shared" si="0"/>
        <v>4015/4016</v>
      </c>
      <c r="L29" s="24" t="str">
        <f>VLOOKUP(A29,'Trips&amp;Operators'!$C$1:$E$10000,3,FALSE)</f>
        <v>ROBINSON</v>
      </c>
      <c r="M29" s="6">
        <f t="shared" si="1"/>
        <v>2.5856481479422655E-2</v>
      </c>
      <c r="N29" s="7">
        <f t="shared" si="22"/>
        <v>37.233333330368623</v>
      </c>
      <c r="O29" s="7"/>
      <c r="P29" s="7"/>
      <c r="Q29" s="25"/>
      <c r="R29" s="25"/>
      <c r="S29" s="37">
        <f t="shared" si="2"/>
        <v>1</v>
      </c>
      <c r="T29" s="52" t="str">
        <f t="shared" si="3"/>
        <v>NorthBound</v>
      </c>
      <c r="U29" s="15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05:41:09-0600',mode:absolute,to:'2016-10-11 08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9" s="54" t="str">
        <f t="shared" si="5"/>
        <v>N</v>
      </c>
      <c r="X29" s="163">
        <f t="shared" si="21"/>
        <v>1</v>
      </c>
      <c r="Y29" s="69">
        <f t="shared" si="19"/>
        <v>4.4400000000000002E-2</v>
      </c>
      <c r="Z29" s="69">
        <f t="shared" si="20"/>
        <v>23.333400000000001</v>
      </c>
      <c r="AA29" s="69">
        <f t="shared" si="6"/>
        <v>23.289000000000001</v>
      </c>
      <c r="AB29" s="66" t="str">
        <f>VLOOKUP(A29,Enforcements!$C$7:$K$21,8,0)</f>
        <v>Speed (6)</v>
      </c>
      <c r="AC29" s="62" t="str">
        <f>VLOOKUP(A29,Enforcements!$C$7:$E$21,3,0)</f>
        <v>PERMANENT SPEED RESTRICTION</v>
      </c>
      <c r="AD29" s="63" t="str">
        <f t="shared" si="7"/>
        <v>0125-11</v>
      </c>
      <c r="AE29" s="94" t="str">
        <f t="shared" si="8"/>
        <v>aws s3 cp s3://rtdc.mdm.uploadarchive.raw/RTDC4016/ "%USERPROFILE%\AppData\Local\Temp\OnboardLogs"\RTDC4016\2016-10-11 --exclude "*" --recursive --include "*20161011*" &amp; "%USERPROFILE%\Documents\GitHub\mrs-test-scripts\Headless Mode &amp; Sideloading\WalkAndUnGZ.bat" "%USERPROFILE%\AppData\Local\Temp\OnboardLogs"\RTDC4016\2016-10-11 &amp; 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</v>
      </c>
      <c r="AF29" s="91" t="str">
        <f t="shared" si="9"/>
        <v>"C:\Program Files (x86)\AstroGrep\AstroGrep.exe" /spath="%USERPROFILE%\AppData\Local\Temp\OnboardLogs" /stypes="app*4016*20161011*" /stext=" 13:.+((SYSTEM_STATE.+slice.+state.+changed )|(ment ac)|(system.+state.+changed )|(\[timeout)|(PRM\|1\|D)|(kpr)|(kdp)|(\|lc)|(penalty))" /e /r /s</v>
      </c>
      <c r="AG29" s="1" t="str">
        <f t="shared" si="10"/>
        <v>EC</v>
      </c>
      <c r="AH29" s="95" t="str">
        <f t="shared" si="13"/>
        <v>"%USERPROFILE%\Documents\GitHub\eaglep3\Utilities\RefineRTDCRunTimes.py" --tripid 125-11 --locoid 4016 --swversion DE.1.0.7.0 --startMP 204:444 --initTime 2016-10-11T06:41:09 --startdatetime 2016-10-11T06:45:38 --delay 2 --endMP 204:233334 --enddatetime 2016-10-11T07:22:52 --enforcementcount 0 &gt;&gt;C:\Users\stu\Documents\GitHub\eaglep3-reporting\EC\2016-10-11-refined-times.txt</v>
      </c>
      <c r="AI29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{"issue":{"subject":"","project_id":79,"tracker_id":40,"status_id":1,"priority_id":2,"assigned_to_id":23,"start_date":"2016-10-11","description":"","custom_fields":[{"id":1,"name":"Subdivision","value":"EC"},{"id":4,"name":"Milepost","value":"23.3334"},{"id":17,"name":"Train ID","value":"125-11"},{"id":16,"name":"Locomotive ID","value":"4016"},{"id":130,"name":"Impact","value":""},{"id":150,"name":"Time of Event (Mountain Time)","value":"07:22:52"},{"id":151,"name":"Denver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405</v>
      </c>
      <c r="B30" s="7">
        <v>4015</v>
      </c>
      <c r="C30" s="24" t="s">
        <v>106</v>
      </c>
      <c r="D30" s="24" t="s">
        <v>303</v>
      </c>
      <c r="E30" s="15">
        <v>42654.310983796298</v>
      </c>
      <c r="F30" s="15">
        <v>42654.320393518516</v>
      </c>
      <c r="G30" s="7">
        <v>1</v>
      </c>
      <c r="H30" s="15" t="s">
        <v>250</v>
      </c>
      <c r="I30" s="15">
        <v>42654.35229166667</v>
      </c>
      <c r="J30" s="7">
        <v>0</v>
      </c>
      <c r="K30" s="116" t="str">
        <f t="shared" si="0"/>
        <v>4015/4016</v>
      </c>
      <c r="L30" s="24" t="str">
        <f>VLOOKUP(A30,'Trips&amp;Operators'!$C$1:$E$10000,3,FALSE)</f>
        <v>KILLION</v>
      </c>
      <c r="M30" s="6">
        <f t="shared" si="1"/>
        <v>3.1898148154141381E-2</v>
      </c>
      <c r="N30" s="7">
        <f t="shared" si="22"/>
        <v>45.933333341963589</v>
      </c>
      <c r="O30" s="7"/>
      <c r="P30" s="7"/>
      <c r="Q30" s="25"/>
      <c r="R30" s="25"/>
      <c r="S30" s="37">
        <f t="shared" si="2"/>
        <v>1</v>
      </c>
      <c r="T30" s="52" t="str">
        <f t="shared" si="3"/>
        <v>Southbound</v>
      </c>
      <c r="U30" s="15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06:27:49-0600',mode:absolute,to:'2016-10-11 09:27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0" s="54" t="str">
        <f t="shared" si="5"/>
        <v>N</v>
      </c>
      <c r="X30" s="163">
        <f t="shared" si="21"/>
        <v>1</v>
      </c>
      <c r="Y30" s="69">
        <f t="shared" si="19"/>
        <v>23.296700000000001</v>
      </c>
      <c r="Z30" s="69">
        <f t="shared" si="20"/>
        <v>1.72E-2</v>
      </c>
      <c r="AA30" s="69">
        <f t="shared" si="6"/>
        <v>23.279500000000002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7"/>
        <v>0126-11</v>
      </c>
      <c r="AE30" s="94" t="str">
        <f t="shared" si="8"/>
        <v>aws s3 cp s3://rtdc.mdm.uploadarchive.raw/RTDC4015/ "%USERPROFILE%\AppData\Local\Temp\OnboardLogs"\RTDC4015\2016-10-11 --exclude "*" --recursive --include "*20161011*" &amp; "%USERPROFILE%\Documents\GitHub\mrs-test-scripts\Headless Mode &amp; Sideloading\WalkAndUnGZ.bat" "%USERPROFILE%\AppData\Local\Temp\OnboardLogs"\RTDC4015\2016-10-11 &amp; 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</v>
      </c>
      <c r="AF30" s="91" t="str">
        <f t="shared" si="9"/>
        <v>"C:\Program Files (x86)\AstroGrep\AstroGrep.exe" /spath="%USERPROFILE%\AppData\Local\Temp\OnboardLogs" /stypes="app*4015*20161011*" /stext=" 14:.+((SYSTEM_STATE.+slice.+state.+changed )|(ment ac)|(system.+state.+changed )|(\[timeout)|(PRM\|1\|D)|(kpr)|(kdp)|(\|lc)|(penalty))" /e /r /s</v>
      </c>
      <c r="AG30" s="1" t="str">
        <f t="shared" si="10"/>
        <v>EC</v>
      </c>
      <c r="AH30" s="95" t="str">
        <f t="shared" si="13"/>
        <v>"%USERPROFILE%\Documents\GitHub\eaglep3\Utilities\RefineRTDCRunTimes.py" --tripid 126-11 --locoid 4015 --swversion DE.1.0.7.0 --startMP 204:232967 --initTime 2016-10-11T07:27:49 --startdatetime 2016-10-11T07:41:22 --delay 1 --endMP 204:172 --enddatetime 2016-10-11T08:27:18 --enforcementcount 0 &gt;&gt;C:\Users\stu\Documents\GitHub\eaglep3-reporting\EC\2016-10-11-refined-times.txt</v>
      </c>
      <c r="AI30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{"issue":{"subject":"","project_id":79,"tracker_id":40,"status_id":1,"priority_id":2,"assigned_to_id":23,"start_date":"2016-10-11","description":"","custom_fields":[{"id":1,"name":"Subdivision","value":"EC"},{"id":4,"name":"Milepost","value":"0.0172"},{"id":17,"name":"Train ID","value":"126-11"},{"id":16,"name":"Locomotive ID","value":"4015"},{"id":130,"name":"Impact","value":""},{"id":150,"name":"Time of Event (Mountain Time)","value":"08:27:18"},{"id":151,"name":"Denver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406</v>
      </c>
      <c r="B31" s="7">
        <v>4031</v>
      </c>
      <c r="C31" s="24" t="s">
        <v>106</v>
      </c>
      <c r="D31" s="24" t="s">
        <v>356</v>
      </c>
      <c r="E31" s="15">
        <v>42654.290023148147</v>
      </c>
      <c r="F31" s="15">
        <v>42654.291886574072</v>
      </c>
      <c r="G31" s="7">
        <v>1</v>
      </c>
      <c r="H31" s="15" t="s">
        <v>204</v>
      </c>
      <c r="I31" s="15">
        <v>42654.320208333331</v>
      </c>
      <c r="J31" s="7">
        <v>0</v>
      </c>
      <c r="K31" s="116" t="str">
        <f t="shared" si="0"/>
        <v>4031/4032</v>
      </c>
      <c r="L31" s="24" t="str">
        <f>VLOOKUP(A31,'Trips&amp;Operators'!$C$1:$E$10000,3,FALSE)</f>
        <v>GRASTON</v>
      </c>
      <c r="M31" s="6">
        <f t="shared" si="1"/>
        <v>2.8321759258687962E-2</v>
      </c>
      <c r="N31" s="7">
        <f t="shared" si="22"/>
        <v>40.783333332510665</v>
      </c>
      <c r="O31" s="7"/>
      <c r="P31" s="7"/>
      <c r="Q31" s="25"/>
      <c r="R31" s="25"/>
      <c r="S31" s="37">
        <f t="shared" si="2"/>
        <v>1</v>
      </c>
      <c r="T31" s="52" t="str">
        <f t="shared" si="3"/>
        <v>NorthBound</v>
      </c>
      <c r="U31" s="15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05:57:38-0600',mode:absolute,to:'2016-10-11 08:41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1" s="54" t="str">
        <f t="shared" si="5"/>
        <v>N</v>
      </c>
      <c r="X31" s="163">
        <f t="shared" si="21"/>
        <v>1</v>
      </c>
      <c r="Y31" s="69">
        <f t="shared" si="19"/>
        <v>4.2900000000000001E-2</v>
      </c>
      <c r="Z31" s="69">
        <f t="shared" si="20"/>
        <v>23.331199999999999</v>
      </c>
      <c r="AA31" s="69">
        <f t="shared" si="6"/>
        <v>23.2883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7"/>
        <v>0127-11</v>
      </c>
      <c r="AE31" s="94" t="str">
        <f t="shared" si="8"/>
        <v>aws s3 cp s3://rtdc.mdm.uploadarchive.raw/RTDC4031/ "%USERPROFILE%\AppData\Local\Temp\OnboardLogs"\RTDC4031\2016-10-11 --exclude "*" --recursive --include "*20161011*" &amp; "%USERPROFILE%\Documents\GitHub\mrs-test-scripts\Headless Mode &amp; Sideloading\WalkAndUnGZ.bat" "%USERPROFILE%\AppData\Local\Temp\OnboardLogs"\RTDC4031\2016-10-11 &amp; 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</v>
      </c>
      <c r="AF31" s="91" t="str">
        <f t="shared" si="9"/>
        <v>"C:\Program Files (x86)\AstroGrep\AstroGrep.exe" /spath="%USERPROFILE%\AppData\Local\Temp\OnboardLogs" /stypes="app*4031*20161011*" /stext=" 13:.+((SYSTEM_STATE.+slice.+state.+changed )|(ment ac)|(system.+state.+changed )|(\[timeout)|(PRM\|1\|D)|(kpr)|(kdp)|(\|lc)|(penalty))" /e /r /s</v>
      </c>
      <c r="AG31" s="1" t="str">
        <f t="shared" si="10"/>
        <v>EC</v>
      </c>
      <c r="AH31" s="95" t="str">
        <f t="shared" si="13"/>
        <v>"%USERPROFILE%\Documents\GitHub\eaglep3\Utilities\RefineRTDCRunTimes.py" --tripid 127-11 --locoid 4031 --swversion DE.1.0.7.0 --startMP 204:429 --initTime 2016-10-11T06:57:38 --startdatetime 2016-10-11T07:00:19 --delay 1 --endMP 204:233312 --enddatetime 2016-10-11T07:41:06 --enforcementcount 0 &gt;&gt;C:\Users\stu\Documents\GitHub\eaglep3-reporting\EC\2016-10-11-refined-times.txt</v>
      </c>
      <c r="AI31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{"issue":{"subject":"","project_id":79,"tracker_id":40,"status_id":1,"priority_id":2,"assigned_to_id":23,"start_date":"2016-10-11","description":"","custom_fields":[{"id":1,"name":"Subdivision","value":"EC"},{"id":4,"name":"Milepost","value":"23.3312"},{"id":17,"name":"Train ID","value":"127-11"},{"id":16,"name":"Locomotive ID","value":"4031"},{"id":130,"name":"Impact","value":""},{"id":150,"name":"Time of Event (Mountain Time)","value":"07:41:06"},{"id":151,"name":"Denver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407</v>
      </c>
      <c r="B32" s="7">
        <v>4032</v>
      </c>
      <c r="C32" s="24" t="s">
        <v>106</v>
      </c>
      <c r="D32" s="24" t="s">
        <v>283</v>
      </c>
      <c r="E32" s="15">
        <v>42654.321631944447</v>
      </c>
      <c r="F32" s="15">
        <v>42654.330729166664</v>
      </c>
      <c r="G32" s="7">
        <v>1</v>
      </c>
      <c r="H32" s="15" t="s">
        <v>200</v>
      </c>
      <c r="I32" s="15">
        <v>42654.359513888892</v>
      </c>
      <c r="J32" s="7">
        <v>0</v>
      </c>
      <c r="K32" s="116" t="str">
        <f t="shared" si="0"/>
        <v>4031/4032</v>
      </c>
      <c r="L32" s="24" t="str">
        <f>VLOOKUP(A32,'Trips&amp;Operators'!$C$1:$E$10000,3,FALSE)</f>
        <v>GRASTON</v>
      </c>
      <c r="M32" s="6">
        <f t="shared" si="1"/>
        <v>2.8784722228010651E-2</v>
      </c>
      <c r="N32" s="7">
        <f t="shared" si="22"/>
        <v>41.450000008335337</v>
      </c>
      <c r="O32" s="7"/>
      <c r="P32" s="7"/>
      <c r="Q32" s="25"/>
      <c r="R32" s="25"/>
      <c r="S32" s="37">
        <f t="shared" si="2"/>
        <v>1</v>
      </c>
      <c r="T32" s="52" t="str">
        <f t="shared" si="3"/>
        <v>Southbound</v>
      </c>
      <c r="U32" s="15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06:43:09-0600',mode:absolute,to:'2016-10-11 09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2" s="54" t="str">
        <f t="shared" si="5"/>
        <v>N</v>
      </c>
      <c r="X32" s="163">
        <f t="shared" si="21"/>
        <v>1</v>
      </c>
      <c r="Y32" s="69">
        <f t="shared" si="19"/>
        <v>23.2987</v>
      </c>
      <c r="Z32" s="69">
        <f t="shared" si="20"/>
        <v>1.5599999999999999E-2</v>
      </c>
      <c r="AA32" s="69">
        <f t="shared" si="6"/>
        <v>23.283100000000001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7"/>
        <v>0128-11</v>
      </c>
      <c r="AE32" s="94" t="str">
        <f t="shared" si="8"/>
        <v>aws s3 cp s3://rtdc.mdm.uploadarchive.raw/RTDC4032/ "%USERPROFILE%\AppData\Local\Temp\OnboardLogs"\RTDC4032\2016-10-11 --exclude "*" --recursive --include "*20161011*" &amp; "%USERPROFILE%\Documents\GitHub\mrs-test-scripts\Headless Mode &amp; Sideloading\WalkAndUnGZ.bat" "%USERPROFILE%\AppData\Local\Temp\OnboardLogs"\RTDC4032\2016-10-11 &amp; 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</v>
      </c>
      <c r="AF32" s="91" t="str">
        <f t="shared" si="9"/>
        <v>"C:\Program Files (x86)\AstroGrep\AstroGrep.exe" /spath="%USERPROFILE%\AppData\Local\Temp\OnboardLogs" /stypes="app*4032*20161011*" /stext=" 14:.+((SYSTEM_STATE.+slice.+state.+changed )|(ment ac)|(system.+state.+changed )|(\[timeout)|(PRM\|1\|D)|(kpr)|(kdp)|(\|lc)|(penalty))" /e /r /s</v>
      </c>
      <c r="AG32" s="1" t="str">
        <f t="shared" si="10"/>
        <v>EC</v>
      </c>
      <c r="AH32" s="95" t="str">
        <f t="shared" si="13"/>
        <v>"%USERPROFILE%\Documents\GitHub\eaglep3\Utilities\RefineRTDCRunTimes.py" --tripid 128-11 --locoid 4032 --swversion DE.1.0.7.0 --startMP 204:232987 --initTime 2016-10-11T07:43:09 --startdatetime 2016-10-11T07:56:15 --delay 1 --endMP 204:156 --enddatetime 2016-10-11T08:37:42 --enforcementcount 0 &gt;&gt;C:\Users\stu\Documents\GitHub\eaglep3-reporting\EC\2016-10-11-refined-times.txt</v>
      </c>
      <c r="AI32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{"issue":{"subject":"","project_id":79,"tracker_id":40,"status_id":1,"priority_id":2,"assigned_to_id":23,"start_date":"2016-10-11","description":"","custom_fields":[{"id":1,"name":"Subdivision","value":"EC"},{"id":4,"name":"Milepost","value":"0.0156"},{"id":17,"name":"Train ID","value":"128-11"},{"id":16,"name":"Locomotive ID","value":"4032"},{"id":130,"name":"Impact","value":""},{"id":150,"name":"Time of Event (Mountain Time)","value":"08:37:42"},{"id":151,"name":"Denver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408</v>
      </c>
      <c r="B33" s="7">
        <v>4053</v>
      </c>
      <c r="C33" s="24" t="s">
        <v>106</v>
      </c>
      <c r="D33" s="24" t="s">
        <v>188</v>
      </c>
      <c r="E33" s="15">
        <v>42654.300671296296</v>
      </c>
      <c r="F33" s="15">
        <v>42654.302303240744</v>
      </c>
      <c r="G33" s="7">
        <v>1</v>
      </c>
      <c r="H33" s="15" t="s">
        <v>289</v>
      </c>
      <c r="I33" s="15">
        <v>42654.331273148149</v>
      </c>
      <c r="J33" s="7">
        <v>0</v>
      </c>
      <c r="K33" s="116" t="str">
        <f t="shared" si="0"/>
        <v>4053/4054</v>
      </c>
      <c r="L33" s="24" t="str">
        <f>VLOOKUP(A33,'Trips&amp;Operators'!$C$1:$E$10000,3,FALSE)</f>
        <v>HAITHCOX</v>
      </c>
      <c r="M33" s="6">
        <f t="shared" si="1"/>
        <v>2.8969907405553386E-2</v>
      </c>
      <c r="N33" s="7">
        <f t="shared" si="22"/>
        <v>41.716666663996875</v>
      </c>
      <c r="O33" s="7"/>
      <c r="P33" s="7"/>
      <c r="Q33" s="25"/>
      <c r="R33" s="25"/>
      <c r="S33" s="37">
        <f t="shared" si="2"/>
        <v>1</v>
      </c>
      <c r="T33" s="52" t="str">
        <f t="shared" si="3"/>
        <v>NorthBound</v>
      </c>
      <c r="U33" s="15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06:12:58-0600',mode:absolute,to:'2016-10-11 08:57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3" s="54" t="str">
        <f t="shared" si="5"/>
        <v>N</v>
      </c>
      <c r="X33" s="163">
        <f t="shared" si="21"/>
        <v>1</v>
      </c>
      <c r="Y33" s="69">
        <f t="shared" si="19"/>
        <v>4.53E-2</v>
      </c>
      <c r="Z33" s="69">
        <f t="shared" si="20"/>
        <v>23.328900000000001</v>
      </c>
      <c r="AA33" s="69">
        <f t="shared" si="6"/>
        <v>23.2836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7"/>
        <v>0129-11</v>
      </c>
      <c r="AE33" s="94" t="str">
        <f t="shared" si="8"/>
        <v>aws s3 cp s3://rtdc.mdm.uploadarchive.raw/RTDC4053/ "%USERPROFILE%\AppData\Local\Temp\OnboardLogs"\RTDC4053\2016-10-11 --exclude "*" --recursive --include "*20161011*" &amp; "%USERPROFILE%\Documents\GitHub\mrs-test-scripts\Headless Mode &amp; Sideloading\WalkAndUnGZ.bat" "%USERPROFILE%\AppData\Local\Temp\OnboardLogs"\RTDC4053\2016-10-11 &amp; 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</v>
      </c>
      <c r="AF33" s="91" t="str">
        <f t="shared" si="9"/>
        <v>"C:\Program Files (x86)\AstroGrep\AstroGrep.exe" /spath="%USERPROFILE%\AppData\Local\Temp\OnboardLogs" /stypes="app*4053*20161011*" /stext=" 13:.+((SYSTEM_STATE.+slice.+state.+changed )|(ment ac)|(system.+state.+changed )|(\[timeout)|(PRM\|1\|D)|(kpr)|(kdp)|(\|lc)|(penalty))" /e /r /s</v>
      </c>
      <c r="AG33" s="1" t="str">
        <f t="shared" si="10"/>
        <v>EC</v>
      </c>
      <c r="AH33" s="95" t="str">
        <f t="shared" si="13"/>
        <v>"%USERPROFILE%\Documents\GitHub\eaglep3\Utilities\RefineRTDCRunTimes.py" --tripid 129-11 --locoid 4053 --swversion DE.1.0.7.0 --startMP 204:453 --initTime 2016-10-11T07:12:58 --startdatetime 2016-10-11T07:15:19 --delay 1 --endMP 204:233289 --enddatetime 2016-10-11T07:57:02 --enforcementcount 0 &gt;&gt;C:\Users\stu\Documents\GitHub\eaglep3-reporting\EC\2016-10-11-refined-times.txt</v>
      </c>
      <c r="AI33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{"issue":{"subject":"","project_id":79,"tracker_id":40,"status_id":1,"priority_id":2,"assigned_to_id":23,"start_date":"2016-10-11","description":"","custom_fields":[{"id":1,"name":"Subdivision","value":"EC"},{"id":4,"name":"Milepost","value":"23.3289"},{"id":17,"name":"Train ID","value":"129-11"},{"id":16,"name":"Locomotive ID","value":"4053"},{"id":130,"name":"Impact","value":""},{"id":150,"name":"Time of Event (Mountain Time)","value":"07:57:02"},{"id":151,"name":"Denver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409</v>
      </c>
      <c r="B34" s="7">
        <v>4054</v>
      </c>
      <c r="C34" s="24" t="s">
        <v>106</v>
      </c>
      <c r="D34" s="24" t="s">
        <v>410</v>
      </c>
      <c r="E34" s="15">
        <v>42654.337002314816</v>
      </c>
      <c r="F34" s="15">
        <v>42654.341203703705</v>
      </c>
      <c r="G34" s="7">
        <v>1</v>
      </c>
      <c r="H34" s="15" t="s">
        <v>184</v>
      </c>
      <c r="I34" s="15">
        <v>42654.373252314814</v>
      </c>
      <c r="J34" s="7">
        <v>0</v>
      </c>
      <c r="K34" s="116" t="str">
        <f t="shared" si="0"/>
        <v>4053/4054</v>
      </c>
      <c r="L34" s="24" t="str">
        <f>VLOOKUP(A34,'Trips&amp;Operators'!$C$1:$E$10000,3,FALSE)</f>
        <v>HAITHCOX</v>
      </c>
      <c r="M34" s="6">
        <f t="shared" si="1"/>
        <v>3.2048611108621117E-2</v>
      </c>
      <c r="N34" s="7">
        <f t="shared" si="22"/>
        <v>46.149999996414408</v>
      </c>
      <c r="O34" s="7"/>
      <c r="P34" s="7"/>
      <c r="Q34" s="25"/>
      <c r="R34" s="25"/>
      <c r="S34" s="37">
        <f t="shared" si="2"/>
        <v>1</v>
      </c>
      <c r="T34" s="52" t="str">
        <f t="shared" si="3"/>
        <v>Southbound</v>
      </c>
      <c r="U34" s="15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07:05:17-0600',mode:absolute,to:'2016-10-11 09:57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4" s="54" t="str">
        <f t="shared" si="5"/>
        <v>N</v>
      </c>
      <c r="X34" s="163">
        <f t="shared" si="21"/>
        <v>1</v>
      </c>
      <c r="Y34" s="69">
        <f t="shared" si="19"/>
        <v>23.2988</v>
      </c>
      <c r="Z34" s="69">
        <f t="shared" si="20"/>
        <v>1.49E-2</v>
      </c>
      <c r="AA34" s="69">
        <f t="shared" si="6"/>
        <v>23.283899999999999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7"/>
        <v>0130-11</v>
      </c>
      <c r="AE34" s="94" t="str">
        <f t="shared" si="8"/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AF34" s="91" t="str">
        <f t="shared" si="9"/>
        <v>"C:\Program Files (x86)\AstroGrep\AstroGrep.exe" /spath="%USERPROFILE%\AppData\Local\Temp\OnboardLogs" /stypes="app*4054*20161011*" /stext=" 14:.+((SYSTEM_STATE.+slice.+state.+changed )|(ment ac)|(system.+state.+changed )|(\[timeout)|(PRM\|1\|D)|(kpr)|(kdp)|(\|lc)|(penalty))" /e /r /s</v>
      </c>
      <c r="AG34" s="1" t="str">
        <f t="shared" si="10"/>
        <v>EC</v>
      </c>
      <c r="AH34" s="95" t="str">
        <f t="shared" si="13"/>
        <v>"%USERPROFILE%\Documents\GitHub\eaglep3\Utilities\RefineRTDCRunTimes.py" --tripid 130-11 --locoid 4054 --swversion DE.1.0.7.0 --startMP 204:232988 --initTime 2016-10-11T08:05:17 --startdatetime 2016-10-11T08:11:20 --delay 1 --endMP 204:149 --enddatetime 2016-10-11T08:57:29 --enforcementcount 0 &gt;&gt;C:\Users\stu\Documents\GitHub\eaglep3-reporting\EC\2016-10-11-refined-times.txt</v>
      </c>
      <c r="AI34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{"issue":{"subject":"","project_id":79,"tracker_id":40,"status_id":1,"priority_id":2,"assigned_to_id":23,"start_date":"2016-10-11","description":"","custom_fields":[{"id":1,"name":"Subdivision","value":"EC"},{"id":4,"name":"Milepost","value":"0.0149"},{"id":17,"name":"Train ID","value":"130-11"},{"id":16,"name":"Locomotive ID","value":"4054"},{"id":130,"name":"Impact","value":""},{"id":150,"name":"Time of Event (Mountain Time)","value":"08:57:29"},{"id":151,"name":"Denver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411</v>
      </c>
      <c r="B35" s="7">
        <v>4007</v>
      </c>
      <c r="C35" s="24" t="s">
        <v>106</v>
      </c>
      <c r="D35" s="24" t="s">
        <v>193</v>
      </c>
      <c r="E35" s="15">
        <v>42654.308854166666</v>
      </c>
      <c r="F35" s="15">
        <v>42654.312928240739</v>
      </c>
      <c r="G35" s="7">
        <v>1</v>
      </c>
      <c r="H35" s="15" t="s">
        <v>352</v>
      </c>
      <c r="I35" s="15">
        <v>42654.343576388892</v>
      </c>
      <c r="J35" s="7">
        <v>0</v>
      </c>
      <c r="K35" s="116" t="str">
        <f t="shared" si="0"/>
        <v>4007/4008</v>
      </c>
      <c r="L35" s="24" t="str">
        <f>VLOOKUP(A35,'Trips&amp;Operators'!$C$1:$E$10000,3,FALSE)</f>
        <v>SPECTOR</v>
      </c>
      <c r="M35" s="6">
        <f t="shared" si="1"/>
        <v>3.0648148152977228E-2</v>
      </c>
      <c r="N35" s="7">
        <f t="shared" si="22"/>
        <v>44.133333340287209</v>
      </c>
      <c r="O35" s="7"/>
      <c r="P35" s="7"/>
      <c r="Q35" s="25"/>
      <c r="R35" s="25"/>
      <c r="S35" s="37">
        <f t="shared" si="2"/>
        <v>1</v>
      </c>
      <c r="T35" s="52" t="str">
        <f t="shared" si="3"/>
        <v>NorthBound</v>
      </c>
      <c r="U35" s="15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06:24:45-0600',mode:absolute,to:'2016-10-11 09:14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54" t="str">
        <f t="shared" si="5"/>
        <v>N</v>
      </c>
      <c r="X35" s="163">
        <f t="shared" si="21"/>
        <v>1</v>
      </c>
      <c r="Y35" s="69">
        <f t="shared" si="19"/>
        <v>4.5100000000000001E-2</v>
      </c>
      <c r="Z35" s="69">
        <f t="shared" si="20"/>
        <v>23.331700000000001</v>
      </c>
      <c r="AA35" s="69">
        <f t="shared" si="6"/>
        <v>23.2866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7"/>
        <v>0131-11</v>
      </c>
      <c r="AE35" s="94" t="str">
        <f t="shared" si="8"/>
        <v>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 &amp; 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</v>
      </c>
      <c r="AF35" s="91" t="str">
        <f t="shared" si="9"/>
        <v>"C:\Program Files (x86)\AstroGrep\AstroGrep.exe" /spath="%USERPROFILE%\AppData\Local\Temp\OnboardLogs" /stypes="app*4007*20161011*" /stext=" 14:.+((SYSTEM_STATE.+slice.+state.+changed )|(ment ac)|(system.+state.+changed )|(\[timeout)|(PRM\|1\|D)|(kpr)|(kdp)|(\|lc)|(penalty))" /e /r /s</v>
      </c>
      <c r="AG35" s="1" t="str">
        <f t="shared" si="10"/>
        <v>EC</v>
      </c>
      <c r="AH35" s="95" t="str">
        <f t="shared" si="13"/>
        <v>"%USERPROFILE%\Documents\GitHub\eaglep3\Utilities\RefineRTDCRunTimes.py" --tripid 131-11 --locoid 4007 --swversion DE.1.0.7.0 --startMP 204:451 --initTime 2016-10-11T07:24:45 --startdatetime 2016-10-11T07:30:37 --delay 1 --endMP 204:233317 --enddatetime 2016-10-11T08:14:45 --enforcementcount 0 &gt;&gt;C:\Users\stu\Documents\GitHub\eaglep3-reporting\EC\2016-10-11-refined-times.txt</v>
      </c>
      <c r="AI35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{"issue":{"subject":"","project_id":79,"tracker_id":40,"status_id":1,"priority_id":2,"assigned_to_id":23,"start_date":"2016-10-11","description":"","custom_fields":[{"id":1,"name":"Subdivision","value":"EC"},{"id":4,"name":"Milepost","value":"23.3317"},{"id":17,"name":"Train ID","value":"131-11"},{"id":16,"name":"Locomotive ID","value":"4007"},{"id":130,"name":"Impact","value":""},{"id":150,"name":"Time of Event (Mountain Time)","value":"08:14:45"},{"id":151,"name":"Denver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412</v>
      </c>
      <c r="B36" s="7">
        <v>4008</v>
      </c>
      <c r="C36" s="24" t="s">
        <v>106</v>
      </c>
      <c r="D36" s="24" t="s">
        <v>234</v>
      </c>
      <c r="E36" s="15">
        <v>42654.348333333335</v>
      </c>
      <c r="F36" s="15">
        <v>42654.351585648146</v>
      </c>
      <c r="G36" s="7">
        <v>1</v>
      </c>
      <c r="H36" s="15" t="s">
        <v>203</v>
      </c>
      <c r="I36" s="15">
        <v>42654.379988425928</v>
      </c>
      <c r="J36" s="7">
        <v>0</v>
      </c>
      <c r="K36" s="116" t="str">
        <f t="shared" si="0"/>
        <v>4007/4008</v>
      </c>
      <c r="L36" s="24" t="str">
        <f>VLOOKUP(A36,'Trips&amp;Operators'!$C$1:$E$10000,3,FALSE)</f>
        <v>SPECTOR</v>
      </c>
      <c r="M36" s="6">
        <f t="shared" si="1"/>
        <v>2.8402777781593613E-2</v>
      </c>
      <c r="N36" s="7">
        <f t="shared" si="22"/>
        <v>40.900000005494803</v>
      </c>
      <c r="O36" s="7"/>
      <c r="P36" s="7"/>
      <c r="Q36" s="25"/>
      <c r="R36" s="25"/>
      <c r="S36" s="37">
        <f t="shared" si="2"/>
        <v>1</v>
      </c>
      <c r="T36" s="52" t="str">
        <f t="shared" si="3"/>
        <v>Southbound</v>
      </c>
      <c r="U36" s="15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07:21:36-0600',mode:absolute,to:'2016-10-11 10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6" s="54" t="str">
        <f t="shared" si="5"/>
        <v>N</v>
      </c>
      <c r="X36" s="163">
        <f t="shared" si="21"/>
        <v>1</v>
      </c>
      <c r="Y36" s="69">
        <f t="shared" si="19"/>
        <v>23.299299999999999</v>
      </c>
      <c r="Z36" s="69">
        <f t="shared" si="20"/>
        <v>1.41E-2</v>
      </c>
      <c r="AA36" s="69">
        <f t="shared" si="6"/>
        <v>23.2852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7"/>
        <v>0132-11</v>
      </c>
      <c r="AE36" s="94" t="str">
        <f t="shared" si="8"/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AF36" s="91" t="str">
        <f t="shared" si="9"/>
        <v>"C:\Program Files (x86)\AstroGrep\AstroGrep.exe" /spath="%USERPROFILE%\AppData\Local\Temp\OnboardLogs" /stypes="app*4008*20161011*" /stext=" 15:.+((SYSTEM_STATE.+slice.+state.+changed )|(ment ac)|(system.+state.+changed )|(\[timeout)|(PRM\|1\|D)|(kpr)|(kdp)|(\|lc)|(penalty))" /e /r /s</v>
      </c>
      <c r="AG36" s="1" t="str">
        <f t="shared" si="10"/>
        <v>EC</v>
      </c>
      <c r="AH36" s="95" t="str">
        <f t="shared" si="13"/>
        <v>"%USERPROFILE%\Documents\GitHub\eaglep3\Utilities\RefineRTDCRunTimes.py" --tripid 132-11 --locoid 4008 --swversion DE.1.0.7.0 --startMP 204:232993 --initTime 2016-10-11T08:21:36 --startdatetime 2016-10-11T08:26:17 --delay 1 --endMP 204:141 --enddatetime 2016-10-11T09:07:11 --enforcementcount 0 &gt;&gt;C:\Users\stu\Documents\GitHub\eaglep3-reporting\EC\2016-10-11-refined-times.txt</v>
      </c>
      <c r="AI36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{"issue":{"subject":"","project_id":79,"tracker_id":40,"status_id":1,"priority_id":2,"assigned_to_id":23,"start_date":"2016-10-11","description":"","custom_fields":[{"id":1,"name":"Subdivision","value":"EC"},{"id":4,"name":"Milepost","value":"0.0141"},{"id":17,"name":"Train ID","value":"132-11"},{"id":16,"name":"Locomotive ID","value":"4008"},{"id":130,"name":"Impact","value":""},{"id":150,"name":"Time of Event (Mountain Time)","value":"09:07:11"},{"id":151,"name":"Denver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413</v>
      </c>
      <c r="B37" s="7">
        <v>4003</v>
      </c>
      <c r="C37" s="24" t="s">
        <v>106</v>
      </c>
      <c r="D37" s="24" t="s">
        <v>188</v>
      </c>
      <c r="E37" s="15">
        <v>42654.319224537037</v>
      </c>
      <c r="F37" s="15">
        <v>42654.323344907411</v>
      </c>
      <c r="G37" s="7">
        <v>1</v>
      </c>
      <c r="H37" s="15" t="s">
        <v>348</v>
      </c>
      <c r="I37" s="15">
        <v>42654.351597222223</v>
      </c>
      <c r="J37" s="7">
        <v>0</v>
      </c>
      <c r="K37" s="116" t="str">
        <f t="shared" si="0"/>
        <v>4003/4004</v>
      </c>
      <c r="L37" s="24" t="str">
        <f>VLOOKUP(A37,'Trips&amp;Operators'!$C$1:$E$10000,3,FALSE)</f>
        <v>DAVIS</v>
      </c>
      <c r="M37" s="6">
        <f t="shared" si="1"/>
        <v>2.8252314812561963E-2</v>
      </c>
      <c r="N37" s="7">
        <f t="shared" si="22"/>
        <v>40.683333330089226</v>
      </c>
      <c r="O37" s="7"/>
      <c r="P37" s="7"/>
      <c r="Q37" s="25"/>
      <c r="R37" s="25"/>
      <c r="S37" s="37">
        <f t="shared" si="2"/>
        <v>1</v>
      </c>
      <c r="T37" s="52" t="str">
        <f t="shared" si="3"/>
        <v>NorthBound</v>
      </c>
      <c r="U37" s="15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06:39:41-0600',mode:absolute,to:'2016-10-11 09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7" s="54" t="str">
        <f t="shared" si="5"/>
        <v>N</v>
      </c>
      <c r="X37" s="163">
        <f t="shared" si="21"/>
        <v>1</v>
      </c>
      <c r="Y37" s="69">
        <f t="shared" si="19"/>
        <v>4.53E-2</v>
      </c>
      <c r="Z37" s="69">
        <f t="shared" si="20"/>
        <v>23.330500000000001</v>
      </c>
      <c r="AA37" s="69">
        <f t="shared" si="6"/>
        <v>23.2852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7"/>
        <v>0133-11</v>
      </c>
      <c r="AE37" s="94" t="str">
        <f t="shared" si="8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37" s="91" t="str">
        <f t="shared" si="9"/>
        <v>"C:\Program Files (x86)\AstroGrep\AstroGrep.exe" /spath="%USERPROFILE%\AppData\Local\Temp\OnboardLogs" /stypes="app*4003*20161011*" /stext=" 14:.+((SYSTEM_STATE.+slice.+state.+changed )|(ment ac)|(system.+state.+changed )|(\[timeout)|(PRM\|1\|D)|(kpr)|(kdp)|(\|lc)|(penalty))" /e /r /s</v>
      </c>
      <c r="AG37" s="1" t="str">
        <f t="shared" si="10"/>
        <v>EC</v>
      </c>
      <c r="AH37" s="95" t="str">
        <f t="shared" si="13"/>
        <v>"%USERPROFILE%\Documents\GitHub\eaglep3\Utilities\RefineRTDCRunTimes.py" --tripid 133-11 --locoid 4003 --swversion DE.1.0.7.0 --startMP 204:453 --initTime 2016-10-11T07:39:41 --startdatetime 2016-10-11T07:45:37 --delay 1 --endMP 204:233305 --enddatetime 2016-10-11T08:26:18 --enforcementcount 0 &gt;&gt;C:\Users\stu\Documents\GitHub\eaglep3-reporting\EC\2016-10-11-refined-times.txt</v>
      </c>
      <c r="AI37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{"issue":{"subject":"","project_id":79,"tracker_id":40,"status_id":1,"priority_id":2,"assigned_to_id":23,"start_date":"2016-10-11","description":"","custom_fields":[{"id":1,"name":"Subdivision","value":"EC"},{"id":4,"name":"Milepost","value":"23.3305"},{"id":17,"name":"Train ID","value":"133-11"},{"id":16,"name":"Locomotive ID","value":"4003"},{"id":130,"name":"Impact","value":""},{"id":150,"name":"Time of Event (Mountain Time)","value":"08:26:18"},{"id":151,"name":"Denver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414</v>
      </c>
      <c r="B38" s="7">
        <v>4004</v>
      </c>
      <c r="C38" s="24" t="s">
        <v>106</v>
      </c>
      <c r="D38" s="24" t="s">
        <v>410</v>
      </c>
      <c r="E38" s="15">
        <v>42654.358773148146</v>
      </c>
      <c r="F38" s="15">
        <v>42654.361944444441</v>
      </c>
      <c r="G38" s="7">
        <v>1</v>
      </c>
      <c r="H38" s="15" t="s">
        <v>249</v>
      </c>
      <c r="I38" s="15">
        <v>42654.393761574072</v>
      </c>
      <c r="J38" s="7">
        <v>0</v>
      </c>
      <c r="K38" s="116" t="str">
        <f t="shared" si="0"/>
        <v>4003/4004</v>
      </c>
      <c r="L38" s="24" t="str">
        <f>VLOOKUP(A38,'Trips&amp;Operators'!$C$1:$E$10000,3,FALSE)</f>
        <v>DAVIS</v>
      </c>
      <c r="M38" s="6">
        <f t="shared" si="1"/>
        <v>3.181712963123573E-2</v>
      </c>
      <c r="N38" s="7">
        <f t="shared" si="22"/>
        <v>45.816666668979451</v>
      </c>
      <c r="O38" s="7"/>
      <c r="P38" s="7"/>
      <c r="Q38" s="25"/>
      <c r="R38" s="25"/>
      <c r="S38" s="37">
        <f t="shared" si="2"/>
        <v>1</v>
      </c>
      <c r="T38" s="52" t="str">
        <f t="shared" si="3"/>
        <v>Southbound</v>
      </c>
      <c r="U38" s="15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07:36:38-0600',mode:absolute,to:'2016-10-11 10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8" s="54" t="str">
        <f t="shared" si="5"/>
        <v>N</v>
      </c>
      <c r="X38" s="163">
        <f t="shared" si="21"/>
        <v>1</v>
      </c>
      <c r="Y38" s="69">
        <f t="shared" si="19"/>
        <v>23.2988</v>
      </c>
      <c r="Z38" s="69">
        <f t="shared" si="20"/>
        <v>1.43E-2</v>
      </c>
      <c r="AA38" s="69">
        <f t="shared" si="6"/>
        <v>23.284500000000001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7"/>
        <v>0134-11</v>
      </c>
      <c r="AE38" s="94" t="str">
        <f t="shared" si="8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38" s="91" t="str">
        <f t="shared" si="9"/>
        <v>"C:\Program Files (x86)\AstroGrep\AstroGrep.exe" /spath="%USERPROFILE%\AppData\Local\Temp\OnboardLogs" /stypes="app*4004*20161011*" /stext=" 15:.+((SYSTEM_STATE.+slice.+state.+changed )|(ment ac)|(system.+state.+changed )|(\[timeout)|(PRM\|1\|D)|(kpr)|(kdp)|(\|lc)|(penalty))" /e /r /s</v>
      </c>
      <c r="AG38" s="1" t="str">
        <f t="shared" si="10"/>
        <v>EC</v>
      </c>
      <c r="AH38" s="95" t="str">
        <f t="shared" si="13"/>
        <v>"%USERPROFILE%\Documents\GitHub\eaglep3\Utilities\RefineRTDCRunTimes.py" --tripid 134-11 --locoid 4004 --swversion DE.1.0.7.0 --startMP 204:232988 --initTime 2016-10-11T08:36:38 --startdatetime 2016-10-11T08:41:12 --delay 1 --endMP 204:143 --enddatetime 2016-10-11T09:27:01 --enforcementcount 0 &gt;&gt;C:\Users\stu\Documents\GitHub\eaglep3-reporting\EC\2016-10-11-refined-times.txt</v>
      </c>
      <c r="AI38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{"issue":{"subject":"","project_id":79,"tracker_id":40,"status_id":1,"priority_id":2,"assigned_to_id":23,"start_date":"2016-10-11","description":"","custom_fields":[{"id":1,"name":"Subdivision","value":"EC"},{"id":4,"name":"Milepost","value":"0.0143"},{"id":17,"name":"Train ID","value":"134-11"},{"id":16,"name":"Locomotive ID","value":"4004"},{"id":130,"name":"Impact","value":""},{"id":150,"name":"Time of Event (Mountain Time)","value":"09:27:01"},{"id":151,"name":"Denver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415</v>
      </c>
      <c r="B39" s="7">
        <v>4014</v>
      </c>
      <c r="C39" s="24" t="s">
        <v>106</v>
      </c>
      <c r="D39" s="24" t="s">
        <v>227</v>
      </c>
      <c r="E39" s="15">
        <v>42654.331597222219</v>
      </c>
      <c r="F39" s="15">
        <v>42654.333541666667</v>
      </c>
      <c r="G39" s="7">
        <v>1</v>
      </c>
      <c r="H39" s="15" t="s">
        <v>221</v>
      </c>
      <c r="I39" s="15">
        <v>42654.359224537038</v>
      </c>
      <c r="J39" s="7">
        <v>0</v>
      </c>
      <c r="K39" s="116" t="str">
        <f t="shared" si="0"/>
        <v>4013/4014</v>
      </c>
      <c r="L39" s="24" t="str">
        <f>VLOOKUP(A39,'Trips&amp;Operators'!$C$1:$E$10000,3,FALSE)</f>
        <v>DE LA ROSA</v>
      </c>
      <c r="M39" s="6">
        <f t="shared" si="1"/>
        <v>2.5682870371383615E-2</v>
      </c>
      <c r="N39" s="7">
        <f t="shared" si="22"/>
        <v>36.983333334792405</v>
      </c>
      <c r="O39" s="7"/>
      <c r="P39" s="7"/>
      <c r="Q39" s="25"/>
      <c r="R39" s="25"/>
      <c r="S39" s="37">
        <f t="shared" si="2"/>
        <v>1</v>
      </c>
      <c r="T39" s="52" t="str">
        <f t="shared" si="3"/>
        <v>NorthBound</v>
      </c>
      <c r="U39" s="15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06:57:30-0600',mode:absolute,to:'2016-10-11 09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9" s="54" t="str">
        <f t="shared" si="5"/>
        <v>N</v>
      </c>
      <c r="X39" s="163">
        <f t="shared" si="21"/>
        <v>1</v>
      </c>
      <c r="Y39" s="69">
        <f t="shared" si="19"/>
        <v>4.6899999999999997E-2</v>
      </c>
      <c r="Z39" s="69">
        <f t="shared" si="20"/>
        <v>23.3308</v>
      </c>
      <c r="AA39" s="69">
        <f t="shared" si="6"/>
        <v>23.283899999999999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7"/>
        <v>0135-11</v>
      </c>
      <c r="AE39" s="94" t="str">
        <f t="shared" si="8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39" s="91" t="str">
        <f t="shared" si="9"/>
        <v>"C:\Program Files (x86)\AstroGrep\AstroGrep.exe" /spath="%USERPROFILE%\AppData\Local\Temp\OnboardLogs" /stypes="app*4014*20161011*" /stext=" 14:.+((SYSTEM_STATE.+slice.+state.+changed )|(ment ac)|(system.+state.+changed )|(\[timeout)|(PRM\|1\|D)|(kpr)|(kdp)|(\|lc)|(penalty))" /e /r /s</v>
      </c>
      <c r="AG39" s="1" t="str">
        <f t="shared" si="10"/>
        <v>EC</v>
      </c>
      <c r="AH39" s="95" t="str">
        <f t="shared" si="13"/>
        <v>"%USERPROFILE%\Documents\GitHub\eaglep3\Utilities\RefineRTDCRunTimes.py" --tripid 135-11 --locoid 4014 --swversion DE.1.0.7.0 --startMP 204:469 --initTime 2016-10-11T07:57:30 --startdatetime 2016-10-11T08:00:18 --delay 1 --endMP 204:233308 --enddatetime 2016-10-11T08:37:17 --enforcementcount 0 &gt;&gt;C:\Users\stu\Documents\GitHub\eaglep3-reporting\EC\2016-10-11-refined-times.txt</v>
      </c>
      <c r="AI39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{"issue":{"subject":"","project_id":79,"tracker_id":40,"status_id":1,"priority_id":2,"assigned_to_id":23,"start_date":"2016-10-11","description":"","custom_fields":[{"id":1,"name":"Subdivision","value":"EC"},{"id":4,"name":"Milepost","value":"23.3308"},{"id":17,"name":"Train ID","value":"135-11"},{"id":16,"name":"Locomotive ID","value":"4014"},{"id":130,"name":"Impact","value":""},{"id":150,"name":"Time of Event (Mountain Time)","value":"08:37:17"},{"id":151,"name":"Denver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416</v>
      </c>
      <c r="B40" s="7">
        <v>4013</v>
      </c>
      <c r="C40" s="24" t="s">
        <v>106</v>
      </c>
      <c r="D40" s="24" t="s">
        <v>283</v>
      </c>
      <c r="E40" s="15">
        <v>42654.366307870368</v>
      </c>
      <c r="F40" s="15">
        <v>42654.372384259259</v>
      </c>
      <c r="G40" s="7">
        <v>2</v>
      </c>
      <c r="H40" s="15" t="s">
        <v>189</v>
      </c>
      <c r="I40" s="15">
        <v>42654.402615740742</v>
      </c>
      <c r="J40" s="7">
        <v>0</v>
      </c>
      <c r="K40" s="116" t="str">
        <f t="shared" si="0"/>
        <v>4013/4014</v>
      </c>
      <c r="L40" s="24" t="str">
        <f>VLOOKUP(A40,'Trips&amp;Operators'!$C$1:$E$10000,3,FALSE)</f>
        <v>DE LA ROSA</v>
      </c>
      <c r="M40" s="6">
        <f t="shared" si="1"/>
        <v>3.0231481483497191E-2</v>
      </c>
      <c r="N40" s="7">
        <f t="shared" si="22"/>
        <v>43.533333336235955</v>
      </c>
      <c r="O40" s="7"/>
      <c r="P40" s="7"/>
      <c r="Q40" s="25"/>
      <c r="R40" s="25"/>
      <c r="S40" s="37">
        <f t="shared" si="2"/>
        <v>1</v>
      </c>
      <c r="T40" s="52" t="str">
        <f t="shared" si="3"/>
        <v>Southbound</v>
      </c>
      <c r="U40" s="15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07:47:29-0600',mode:absolute,to:'2016-10-11 10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0" s="54" t="str">
        <f t="shared" si="5"/>
        <v>N</v>
      </c>
      <c r="X40" s="163">
        <f t="shared" si="21"/>
        <v>1</v>
      </c>
      <c r="Y40" s="69">
        <f t="shared" si="19"/>
        <v>23.2987</v>
      </c>
      <c r="Z40" s="69">
        <f t="shared" si="20"/>
        <v>1.4999999999999999E-2</v>
      </c>
      <c r="AA40" s="69">
        <f t="shared" si="6"/>
        <v>23.2837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7"/>
        <v>0136-11</v>
      </c>
      <c r="AE40" s="94" t="str">
        <f t="shared" si="8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40" s="91" t="str">
        <f t="shared" si="9"/>
        <v>"C:\Program Files (x86)\AstroGrep\AstroGrep.exe" /spath="%USERPROFILE%\AppData\Local\Temp\OnboardLogs" /stypes="app*4013*20161011*" /stext=" 15:.+((SYSTEM_STATE.+slice.+state.+changed )|(ment ac)|(system.+state.+changed )|(\[timeout)|(PRM\|1\|D)|(kpr)|(kdp)|(\|lc)|(penalty))" /e /r /s</v>
      </c>
      <c r="AG40" s="1" t="str">
        <f t="shared" si="10"/>
        <v>EC</v>
      </c>
      <c r="AH40" s="95" t="str">
        <f t="shared" si="13"/>
        <v>"%USERPROFILE%\Documents\GitHub\eaglep3\Utilities\RefineRTDCRunTimes.py" --tripid 136-11 --locoid 4013 --swversion DE.1.0.7.0 --startMP 204:232987 --initTime 2016-10-11T08:47:29 --startdatetime 2016-10-11T08:56:14 --delay 2 --endMP 204:150 --enddatetime 2016-10-11T09:39:46 --enforcementcount 0 &gt;&gt;C:\Users\stu\Documents\GitHub\eaglep3-reporting\EC\2016-10-11-refined-times.txt</v>
      </c>
      <c r="AI40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{"issue":{"subject":"","project_id":79,"tracker_id":40,"status_id":1,"priority_id":2,"assigned_to_id":23,"start_date":"2016-10-11","description":"","custom_fields":[{"id":1,"name":"Subdivision","value":"EC"},{"id":4,"name":"Milepost","value":"0.015"},{"id":17,"name":"Train ID","value":"136-11"},{"id":16,"name":"Locomotive ID","value":"4013"},{"id":130,"name":"Impact","value":""},{"id":150,"name":"Time of Event (Mountain Time)","value":"09:39:46"},{"id":151,"name":"Denver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417</v>
      </c>
      <c r="B41" s="7">
        <v>4040</v>
      </c>
      <c r="C41" s="24" t="s">
        <v>106</v>
      </c>
      <c r="D41" s="24" t="s">
        <v>247</v>
      </c>
      <c r="E41" s="15">
        <v>42654.346701388888</v>
      </c>
      <c r="F41" s="15">
        <v>42654.348564814813</v>
      </c>
      <c r="G41" s="7">
        <v>1</v>
      </c>
      <c r="H41" s="15" t="s">
        <v>255</v>
      </c>
      <c r="I41" s="15">
        <v>42654.376307870371</v>
      </c>
      <c r="J41" s="7">
        <v>0</v>
      </c>
      <c r="K41" s="116" t="str">
        <f t="shared" si="0"/>
        <v>4039/4040</v>
      </c>
      <c r="L41" s="24" t="str">
        <f>VLOOKUP(A41,'Trips&amp;Operators'!$C$1:$E$10000,3,FALSE)</f>
        <v>KILLION</v>
      </c>
      <c r="M41" s="6">
        <f t="shared" si="1"/>
        <v>2.7743055557948537E-2</v>
      </c>
      <c r="N41" s="7">
        <f t="shared" si="22"/>
        <v>39.950000003445894</v>
      </c>
      <c r="O41" s="7"/>
      <c r="P41" s="7"/>
      <c r="Q41" s="25"/>
      <c r="R41" s="25"/>
      <c r="S41" s="37">
        <f t="shared" si="2"/>
        <v>1</v>
      </c>
      <c r="T41" s="52" t="str">
        <f t="shared" si="3"/>
        <v>NorthBound</v>
      </c>
      <c r="U41" s="15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07:19:15-0600',mode:absolute,to:'2016-10-11 10:01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1" s="54" t="str">
        <f t="shared" si="5"/>
        <v>N</v>
      </c>
      <c r="X41" s="163">
        <f t="shared" si="21"/>
        <v>1</v>
      </c>
      <c r="Y41" s="69">
        <f t="shared" si="19"/>
        <v>4.7500000000000001E-2</v>
      </c>
      <c r="Z41" s="69">
        <f t="shared" si="20"/>
        <v>23.328800000000001</v>
      </c>
      <c r="AA41" s="69">
        <f t="shared" si="6"/>
        <v>23.281300000000002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7"/>
        <v>0137-11</v>
      </c>
      <c r="AE41" s="94" t="str">
        <f t="shared" si="8"/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41" s="91" t="str">
        <f t="shared" si="9"/>
        <v>"C:\Program Files (x86)\AstroGrep\AstroGrep.exe" /spath="%USERPROFILE%\AppData\Local\Temp\OnboardLogs" /stypes="app*4040*20161011*" /stext=" 15:.+((SYSTEM_STATE.+slice.+state.+changed )|(ment ac)|(system.+state.+changed )|(\[timeout)|(PRM\|1\|D)|(kpr)|(kdp)|(\|lc)|(penalty))" /e /r /s</v>
      </c>
      <c r="AG41" s="1" t="str">
        <f t="shared" si="10"/>
        <v>EC</v>
      </c>
      <c r="AH41" s="95" t="str">
        <f t="shared" si="13"/>
        <v>"%USERPROFILE%\Documents\GitHub\eaglep3\Utilities\RefineRTDCRunTimes.py" --tripid 137-11 --locoid 4040 --swversion DE.1.0.7.0 --startMP 204:475 --initTime 2016-10-11T08:19:15 --startdatetime 2016-10-11T08:21:56 --delay 1 --endMP 204:233288 --enddatetime 2016-10-11T09:01:53 --enforcementcount 0 &gt;&gt;C:\Users\stu\Documents\GitHub\eaglep3-reporting\EC\2016-10-11-refined-times.txt</v>
      </c>
      <c r="AI41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{"issue":{"subject":"","project_id":79,"tracker_id":40,"status_id":1,"priority_id":2,"assigned_to_id":23,"start_date":"2016-10-11","description":"","custom_fields":[{"id":1,"name":"Subdivision","value":"EC"},{"id":4,"name":"Milepost","value":"23.3288"},{"id":17,"name":"Train ID","value":"137-11"},{"id":16,"name":"Locomotive ID","value":"4040"},{"id":130,"name":"Impact","value":""},{"id":150,"name":"Time of Event (Mountain Time)","value":"09:01:53"},{"id":151,"name":"Denver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418</v>
      </c>
      <c r="B42" s="7">
        <v>4039</v>
      </c>
      <c r="C42" s="24" t="s">
        <v>106</v>
      </c>
      <c r="D42" s="24" t="s">
        <v>282</v>
      </c>
      <c r="E42" s="15">
        <v>42654.380937499998</v>
      </c>
      <c r="F42" s="15">
        <v>42654.382847222223</v>
      </c>
      <c r="G42" s="7">
        <v>1</v>
      </c>
      <c r="H42" s="15" t="s">
        <v>249</v>
      </c>
      <c r="I42" s="15">
        <v>42654.411249999997</v>
      </c>
      <c r="J42" s="7">
        <v>0</v>
      </c>
      <c r="K42" s="116" t="str">
        <f t="shared" si="0"/>
        <v>4039/4040</v>
      </c>
      <c r="L42" s="24" t="str">
        <f>VLOOKUP(A42,'Trips&amp;Operators'!$C$1:$E$10000,3,FALSE)</f>
        <v>KILLION</v>
      </c>
      <c r="M42" s="6">
        <f t="shared" si="1"/>
        <v>2.8402777774317656E-2</v>
      </c>
      <c r="N42" s="7">
        <f t="shared" si="22"/>
        <v>40.899999995017424</v>
      </c>
      <c r="O42" s="7"/>
      <c r="P42" s="7"/>
      <c r="Q42" s="25"/>
      <c r="R42" s="25"/>
      <c r="S42" s="37">
        <f t="shared" si="2"/>
        <v>1</v>
      </c>
      <c r="T42" s="52" t="str">
        <f t="shared" si="3"/>
        <v>Southbound</v>
      </c>
      <c r="U42" s="15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08:08:33-0600',mode:absolute,to:'2016-10-11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2" s="54" t="str">
        <f t="shared" si="5"/>
        <v>N</v>
      </c>
      <c r="X42" s="163">
        <f t="shared" si="21"/>
        <v>1</v>
      </c>
      <c r="Y42" s="69">
        <f t="shared" si="19"/>
        <v>23.296299999999999</v>
      </c>
      <c r="Z42" s="69">
        <f t="shared" si="20"/>
        <v>1.43E-2</v>
      </c>
      <c r="AA42" s="69">
        <f t="shared" si="6"/>
        <v>23.282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7"/>
        <v>0138-11</v>
      </c>
      <c r="AE42" s="94" t="str">
        <f t="shared" si="8"/>
        <v>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 &amp; 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</v>
      </c>
      <c r="AF42" s="91" t="str">
        <f t="shared" si="9"/>
        <v>"C:\Program Files (x86)\AstroGrep\AstroGrep.exe" /spath="%USERPROFILE%\AppData\Local\Temp\OnboardLogs" /stypes="app*4039*20161011*" /stext=" 15:.+((SYSTEM_STATE.+slice.+state.+changed )|(ment ac)|(system.+state.+changed )|(\[timeout)|(PRM\|1\|D)|(kpr)|(kdp)|(\|lc)|(penalty))" /e /r /s</v>
      </c>
      <c r="AG42" s="1" t="str">
        <f t="shared" si="10"/>
        <v>EC</v>
      </c>
      <c r="AH42" s="95" t="str">
        <f t="shared" si="13"/>
        <v>"%USERPROFILE%\Documents\GitHub\eaglep3\Utilities\RefineRTDCRunTimes.py" --tripid 138-11 --locoid 4039 --swversion DE.1.0.7.0 --startMP 204:232963 --initTime 2016-10-11T09:08:33 --startdatetime 2016-10-11T09:11:18 --delay 1 --endMP 204:143 --enddatetime 2016-10-11T09:52:12 --enforcementcount 0 &gt;&gt;C:\Users\stu\Documents\GitHub\eaglep3-reporting\EC\2016-10-11-refined-times.txt</v>
      </c>
      <c r="AI42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{"issue":{"subject":"","project_id":79,"tracker_id":40,"status_id":1,"priority_id":2,"assigned_to_id":23,"start_date":"2016-10-11","description":"","custom_fields":[{"id":1,"name":"Subdivision","value":"EC"},{"id":4,"name":"Milepost","value":"0.0143"},{"id":17,"name":"Train ID","value":"138-11"},{"id":16,"name":"Locomotive ID","value":"4039"},{"id":130,"name":"Impact","value":""},{"id":150,"name":"Time of Event (Mountain Time)","value":"09:52:12"},{"id":151,"name":"Denver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419</v>
      </c>
      <c r="B43" s="7">
        <v>4016</v>
      </c>
      <c r="C43" s="24" t="s">
        <v>106</v>
      </c>
      <c r="D43" s="24" t="s">
        <v>420</v>
      </c>
      <c r="E43" s="15">
        <v>42654.356932870367</v>
      </c>
      <c r="F43" s="15">
        <v>42654.357939814814</v>
      </c>
      <c r="G43" s="7">
        <v>1</v>
      </c>
      <c r="H43" s="15" t="s">
        <v>253</v>
      </c>
      <c r="I43" s="15">
        <v>42654.382789351854</v>
      </c>
      <c r="J43" s="7">
        <v>0</v>
      </c>
      <c r="K43" s="116" t="str">
        <f t="shared" si="0"/>
        <v>4015/4016</v>
      </c>
      <c r="L43" s="24" t="e">
        <f>VLOOKUP(A43,'[2]Trips&amp;Operators'!$C$1:$E$10000,3,FALSE)</f>
        <v>#N/A</v>
      </c>
      <c r="M43" s="6">
        <f t="shared" si="1"/>
        <v>2.4849537039699499E-2</v>
      </c>
      <c r="N43" s="7"/>
      <c r="O43" s="7"/>
      <c r="P43" s="7">
        <f>24*60*SUM($M43:$M43)</f>
        <v>35.783333337167278</v>
      </c>
      <c r="Q43" s="25"/>
      <c r="R43" s="25" t="s">
        <v>314</v>
      </c>
      <c r="S43" s="37">
        <f t="shared" si="2"/>
        <v>1</v>
      </c>
      <c r="T43" s="52" t="str">
        <f t="shared" si="3"/>
        <v>NorthBound</v>
      </c>
      <c r="U43" s="15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07:33:59-0600',mode:absolute,to:'2016-10-11 10:11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3" s="54" t="str">
        <f t="shared" si="5"/>
        <v>Y</v>
      </c>
      <c r="X43" s="163">
        <f t="shared" ref="X43:X46" si="23">VALUE(LEFT(AD43,4))-VALUE(LEFT(AD42,4))</f>
        <v>1</v>
      </c>
      <c r="Y43" s="69">
        <f t="shared" si="19"/>
        <v>0.80920000000000003</v>
      </c>
      <c r="Z43" s="69">
        <f t="shared" si="20"/>
        <v>23.329499999999999</v>
      </c>
      <c r="AA43" s="69">
        <f t="shared" si="6"/>
        <v>22.520299999999999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7"/>
        <v>0139-11</v>
      </c>
      <c r="AE43" s="94" t="str">
        <f t="shared" si="8"/>
        <v>aws s3 cp s3://rtdc.mdm.uploadarchive.raw/RTDC4016/ "%USERPROFILE%\AppData\Local\Temp\OnboardLogs"\RTDC4016\2016-10-11 --exclude "*" --recursive --include "*20161011*" &amp; "%USERPROFILE%\Documents\GitHub\mrs-test-scripts\Headless Mode &amp; Sideloading\WalkAndUnGZ.bat" "%USERPROFILE%\AppData\Local\Temp\OnboardLogs"\RTDC4016\2016-10-11 &amp; 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</v>
      </c>
      <c r="AF43" s="91" t="str">
        <f t="shared" si="9"/>
        <v>"C:\Program Files (x86)\AstroGrep\AstroGrep.exe" /spath="%USERPROFILE%\AppData\Local\Temp\OnboardLogs" /stypes="app*4016*20161011*" /stext=" 15:.+((SYSTEM_STATE.+slice.+state.+changed )|(ment ac)|(system.+state.+changed )|(\[timeout)|(PRM\|1\|D)|(kpr)|(kdp)|(\|lc)|(penalty))" /e /r /s</v>
      </c>
      <c r="AG43" s="1" t="str">
        <f t="shared" si="10"/>
        <v>EC</v>
      </c>
      <c r="AH43" s="95" t="str">
        <f t="shared" si="13"/>
        <v>"%USERPROFILE%\Documents\GitHub\eaglep3\Utilities\RefineRTDCRunTimes.py" --tripid 139-11 --locoid 4016 --swversion DE.1.0.7.0 --startMP 204:8092 --initTime 2016-10-11T08:33:59 --startdatetime 2016-10-11T08:35:26 --delay 1 --endMP 204:233295 --enddatetime 2016-10-11T09:11:13 --enforcementcount 0 &gt;&gt;C:\Users\stu\Documents\GitHub\eaglep3-reporting\EC\2016-10-11-refined-times.txt</v>
      </c>
      <c r="AI43" s="129" t="str">
        <f t="shared" si="14"/>
        <v>echo {"issue":{"subject":"Onboard in-route failure","project_id":79,"tracker_id":40,"status_id":1,"priority_id":2,"assigned_to_id":23,"start_date":"2016-10-11","description":"","custom_fields":[{"id":1,"name":"Subdivision","value":"EC"},{"id":4,"name":"Milepost","value":"23.3295"},{"id":17,"name":"Train ID","value":"139-11"},{"id":16,"name":"Locomotive ID","value":"4016"},{"id":130,"name":"Impact","value":""},{"id":150,"name":"Time of Event (Mountain Time)","value":"09:11:13"},{"id":151,"name":"Denver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421</v>
      </c>
      <c r="B44" s="7">
        <v>4015</v>
      </c>
      <c r="C44" s="24" t="s">
        <v>106</v>
      </c>
      <c r="D44" s="24" t="s">
        <v>238</v>
      </c>
      <c r="E44" s="15">
        <v>42654.38722222222</v>
      </c>
      <c r="F44" s="15">
        <v>42654.39466435185</v>
      </c>
      <c r="G44" s="7">
        <v>6</v>
      </c>
      <c r="H44" s="15" t="s">
        <v>288</v>
      </c>
      <c r="I44" s="15">
        <v>42654.43</v>
      </c>
      <c r="J44" s="7">
        <v>0</v>
      </c>
      <c r="K44" s="116" t="str">
        <f t="shared" si="0"/>
        <v>4015/4016</v>
      </c>
      <c r="L44" s="24" t="str">
        <f>VLOOKUP(A44,'Trips&amp;Operators'!$C$1:$E$10000,3,FALSE)</f>
        <v>KILLION</v>
      </c>
      <c r="M44" s="6">
        <f t="shared" si="1"/>
        <v>3.5335648150066845E-2</v>
      </c>
      <c r="N44" s="7">
        <f>24*60*SUM($M44:$M44)</f>
        <v>50.883333336096257</v>
      </c>
      <c r="O44" s="7"/>
      <c r="P44" s="7"/>
      <c r="Q44" s="25"/>
      <c r="R44" s="25" t="s">
        <v>769</v>
      </c>
      <c r="S44" s="37">
        <f t="shared" si="2"/>
        <v>1</v>
      </c>
      <c r="T44" s="52" t="str">
        <f t="shared" si="3"/>
        <v>Southbound</v>
      </c>
      <c r="U44" s="15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08:17:36-0600',mode:absolute,to:'2016-10-11 11:19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4" s="54" t="str">
        <f t="shared" si="5"/>
        <v>N</v>
      </c>
      <c r="X44" s="163">
        <f t="shared" si="23"/>
        <v>1</v>
      </c>
      <c r="Y44" s="69">
        <f t="shared" si="19"/>
        <v>23.3</v>
      </c>
      <c r="Z44" s="69">
        <f t="shared" si="20"/>
        <v>1.6299999999999999E-2</v>
      </c>
      <c r="AA44" s="69">
        <f t="shared" si="6"/>
        <v>23.2837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7"/>
        <v>0140-11</v>
      </c>
      <c r="AE44" s="94" t="str">
        <f t="shared" si="8"/>
        <v>aws s3 cp s3://rtdc.mdm.uploadarchive.raw/RTDC4015/ "%USERPROFILE%\AppData\Local\Temp\OnboardLogs"\RTDC4015\2016-10-11 --exclude "*" --recursive --include "*20161011*" &amp; "%USERPROFILE%\Documents\GitHub\mrs-test-scripts\Headless Mode &amp; Sideloading\WalkAndUnGZ.bat" "%USERPROFILE%\AppData\Local\Temp\OnboardLogs"\RTDC4015\2016-10-11 &amp; 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</v>
      </c>
      <c r="AF44" s="91" t="str">
        <f t="shared" si="9"/>
        <v>"C:\Program Files (x86)\AstroGrep\AstroGrep.exe" /spath="%USERPROFILE%\AppData\Local\Temp\OnboardLogs" /stypes="app*4015*20161011*" /stext=" 16:.+((SYSTEM_STATE.+slice.+state.+changed )|(ment ac)|(system.+state.+changed )|(\[timeout)|(PRM\|1\|D)|(kpr)|(kdp)|(\|lc)|(penalty))" /e /r /s</v>
      </c>
      <c r="AG44" s="1" t="str">
        <f t="shared" si="10"/>
        <v>EC</v>
      </c>
      <c r="AH44" s="95" t="str">
        <f t="shared" si="13"/>
        <v>"%USERPROFILE%\Documents\GitHub\eaglep3\Utilities\RefineRTDCRunTimes.py" --tripid 140-11 --locoid 4015 --swversion DE.1.0.7.0 --startMP 204:233000 --initTime 2016-10-11T09:17:36 --startdatetime 2016-10-11T09:28:19 --delay 6 --endMP 204:163 --enddatetime 2016-10-11T10:19:12 --enforcementcount 0 &gt;&gt;C:\Users\stu\Documents\GitHub\eaglep3-reporting\EC\2016-10-11-refined-times.txt</v>
      </c>
      <c r="AI44" s="129" t="str">
        <f t="shared" si="14"/>
        <v>echo {"issue":{"subject":"CP 61st network failure from 09:37:46 - 09:39:34","project_id":79,"tracker_id":40,"status_id":1,"priority_id":2,"assigned_to_id":23,"start_date":"2016-10-11","description":"Title says it all - any network issues here?","custom_fields":[{"id":1,"name":"Subdivision","value":"EC"},{"id":4,"name":"Milepost","value":"0.0163"},{"id":17,"name":"Train ID","value":"140-11"},{"id":16,"name":"Locomotive ID","value":"4015"},{"id":130,"name":"Impact","value":"Enforcement"},{"id":150,"name":"Time of Event (Mountain Time)","value":"10:19:12"},{"id":151,"name":"Denver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44" s="55" t="s">
        <v>767</v>
      </c>
      <c r="AK44" s="55" t="s">
        <v>134</v>
      </c>
      <c r="AL44" s="55" t="s">
        <v>139</v>
      </c>
    </row>
    <row r="45" spans="1:38" s="1" customFormat="1" x14ac:dyDescent="0.25">
      <c r="A45" s="39" t="s">
        <v>422</v>
      </c>
      <c r="B45" s="7">
        <v>4031</v>
      </c>
      <c r="C45" s="24" t="s">
        <v>106</v>
      </c>
      <c r="D45" s="24" t="s">
        <v>423</v>
      </c>
      <c r="E45" s="15">
        <v>42654.361516203702</v>
      </c>
      <c r="F45" s="15">
        <v>42654.365023148152</v>
      </c>
      <c r="G45" s="7">
        <v>1</v>
      </c>
      <c r="H45" s="15" t="s">
        <v>226</v>
      </c>
      <c r="I45" s="15">
        <v>42654.391851851855</v>
      </c>
      <c r="J45" s="7">
        <v>0</v>
      </c>
      <c r="K45" s="116" t="str">
        <f t="shared" si="0"/>
        <v>4031/4032</v>
      </c>
      <c r="L45" s="24" t="str">
        <f>VLOOKUP(A45,'Trips&amp;Operators'!$C$1:$E$10000,3,FALSE)</f>
        <v>GRASTON</v>
      </c>
      <c r="M45" s="6">
        <f t="shared" si="1"/>
        <v>2.6828703703358769E-2</v>
      </c>
      <c r="N45" s="7">
        <f>24*60*SUM($M45:$M45)</f>
        <v>38.633333332836628</v>
      </c>
      <c r="O45" s="7"/>
      <c r="P45" s="7"/>
      <c r="Q45" s="25"/>
      <c r="R45" s="25"/>
      <c r="S45" s="37">
        <f t="shared" si="2"/>
        <v>1</v>
      </c>
      <c r="T45" s="52" t="str">
        <f t="shared" si="3"/>
        <v>NorthBound</v>
      </c>
      <c r="U45" s="15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07:40:35-0600',mode:absolute,to:'2016-10-11 10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5" s="54" t="str">
        <f t="shared" si="5"/>
        <v>N</v>
      </c>
      <c r="X45" s="163">
        <f t="shared" si="23"/>
        <v>1</v>
      </c>
      <c r="Y45" s="69">
        <f t="shared" si="19"/>
        <v>4.7100000000000003E-2</v>
      </c>
      <c r="Z45" s="69">
        <f t="shared" si="20"/>
        <v>23.329699999999999</v>
      </c>
      <c r="AA45" s="69">
        <f t="shared" si="6"/>
        <v>23.282599999999999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7"/>
        <v>0141-11</v>
      </c>
      <c r="AE45" s="94" t="str">
        <f t="shared" si="8"/>
        <v>aws s3 cp s3://rtdc.mdm.uploadarchive.raw/RTDC4031/ "%USERPROFILE%\AppData\Local\Temp\OnboardLogs"\RTDC4031\2016-10-11 --exclude "*" --recursive --include "*20161011*" &amp; "%USERPROFILE%\Documents\GitHub\mrs-test-scripts\Headless Mode &amp; Sideloading\WalkAndUnGZ.bat" "%USERPROFILE%\AppData\Local\Temp\OnboardLogs"\RTDC4031\2016-10-11 &amp; 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</v>
      </c>
      <c r="AF45" s="91" t="str">
        <f t="shared" si="9"/>
        <v>"C:\Program Files (x86)\AstroGrep\AstroGrep.exe" /spath="%USERPROFILE%\AppData\Local\Temp\OnboardLogs" /stypes="app*4031*20161011*" /stext=" 15:.+((SYSTEM_STATE.+slice.+state.+changed )|(ment ac)|(system.+state.+changed )|(\[timeout)|(PRM\|1\|D)|(kpr)|(kdp)|(\|lc)|(penalty))" /e /r /s</v>
      </c>
      <c r="AG45" s="1" t="str">
        <f t="shared" si="10"/>
        <v>EC</v>
      </c>
      <c r="AH45" s="95" t="str">
        <f t="shared" si="13"/>
        <v>"%USERPROFILE%\Documents\GitHub\eaglep3\Utilities\RefineRTDCRunTimes.py" --tripid 141-11 --locoid 4031 --swversion DE.1.0.7.0 --startMP 204:471 --initTime 2016-10-11T08:40:35 --startdatetime 2016-10-11T08:45:38 --delay 1 --endMP 204:233297 --enddatetime 2016-10-11T09:24:16 --enforcementcount 0 &gt;&gt;C:\Users\stu\Documents\GitHub\eaglep3-reporting\EC\2016-10-11-refined-times.txt</v>
      </c>
      <c r="AI45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{"issue":{"subject":"","project_id":79,"tracker_id":40,"status_id":1,"priority_id":2,"assigned_to_id":23,"start_date":"2016-10-11","description":"","custom_fields":[{"id":1,"name":"Subdivision","value":"EC"},{"id":4,"name":"Milepost","value":"23.3297"},{"id":17,"name":"Train ID","value":"141-11"},{"id":16,"name":"Locomotive ID","value":"4031"},{"id":130,"name":"Impact","value":""},{"id":150,"name":"Time of Event (Mountain Time)","value":"09:24:16"},{"id":151,"name":"Denver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424</v>
      </c>
      <c r="B46" s="7">
        <v>4032</v>
      </c>
      <c r="C46" s="24" t="s">
        <v>106</v>
      </c>
      <c r="D46" s="24" t="s">
        <v>351</v>
      </c>
      <c r="E46" s="15">
        <v>42654.393437500003</v>
      </c>
      <c r="F46" s="15">
        <v>42654.40388888889</v>
      </c>
      <c r="G46" s="7">
        <v>1</v>
      </c>
      <c r="H46" s="15" t="s">
        <v>425</v>
      </c>
      <c r="I46" s="15">
        <v>42654.437662037039</v>
      </c>
      <c r="J46" s="7">
        <v>0</v>
      </c>
      <c r="K46" s="116" t="str">
        <f t="shared" si="0"/>
        <v>4031/4032</v>
      </c>
      <c r="L46" s="24" t="str">
        <f>VLOOKUP(A46,'Trips&amp;Operators'!$C$1:$E$10000,3,FALSE)</f>
        <v>GRASTON</v>
      </c>
      <c r="M46" s="6">
        <f t="shared" si="1"/>
        <v>3.3773148148611654E-2</v>
      </c>
      <c r="N46" s="7">
        <f>24*60*SUM($M46:$M46)</f>
        <v>48.633333334000781</v>
      </c>
      <c r="O46" s="7"/>
      <c r="P46" s="7"/>
      <c r="Q46" s="25"/>
      <c r="R46" s="25"/>
      <c r="S46" s="37">
        <f t="shared" si="2"/>
        <v>1</v>
      </c>
      <c r="T46" s="52" t="str">
        <f t="shared" si="3"/>
        <v>Southbound</v>
      </c>
      <c r="U46" s="15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08:26:33-0600',mode:absolute,to:'2016-10-11 11:30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6" s="54" t="str">
        <f t="shared" si="5"/>
        <v>N</v>
      </c>
      <c r="X46" s="163">
        <f t="shared" si="23"/>
        <v>1</v>
      </c>
      <c r="Y46" s="69">
        <f t="shared" si="19"/>
        <v>23.2973</v>
      </c>
      <c r="Z46" s="69">
        <f t="shared" si="20"/>
        <v>0.1158</v>
      </c>
      <c r="AA46" s="69">
        <f t="shared" si="6"/>
        <v>23.1815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7"/>
        <v>0142-11</v>
      </c>
      <c r="AE46" s="94" t="str">
        <f t="shared" si="8"/>
        <v>aws s3 cp s3://rtdc.mdm.uploadarchive.raw/RTDC4032/ "%USERPROFILE%\AppData\Local\Temp\OnboardLogs"\RTDC4032\2016-10-11 --exclude "*" --recursive --include "*20161011*" &amp; "%USERPROFILE%\Documents\GitHub\mrs-test-scripts\Headless Mode &amp; Sideloading\WalkAndUnGZ.bat" "%USERPROFILE%\AppData\Local\Temp\OnboardLogs"\RTDC4032\2016-10-11 &amp; 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</v>
      </c>
      <c r="AF46" s="91" t="str">
        <f t="shared" si="9"/>
        <v>"C:\Program Files (x86)\AstroGrep\AstroGrep.exe" /spath="%USERPROFILE%\AppData\Local\Temp\OnboardLogs" /stypes="app*4032*20161011*" /stext=" 16:.+((SYSTEM_STATE.+slice.+state.+changed )|(ment ac)|(system.+state.+changed )|(\[timeout)|(PRM\|1\|D)|(kpr)|(kdp)|(\|lc)|(penalty))" /e /r /s</v>
      </c>
      <c r="AG46" s="1" t="str">
        <f t="shared" si="10"/>
        <v>EC</v>
      </c>
      <c r="AH46" s="95" t="str">
        <f t="shared" si="13"/>
        <v>"%USERPROFILE%\Documents\GitHub\eaglep3\Utilities\RefineRTDCRunTimes.py" --tripid 142-11 --locoid 4032 --swversion DE.1.0.7.0 --startMP 204:232973 --initTime 2016-10-11T09:26:33 --startdatetime 2016-10-11T09:41:36 --delay 1 --endMP 204:1158 --enddatetime 2016-10-11T10:30:14 --enforcementcount 0 &gt;&gt;C:\Users\stu\Documents\GitHub\eaglep3-reporting\EC\2016-10-11-refined-times.txt</v>
      </c>
      <c r="AI46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{"issue":{"subject":"","project_id":79,"tracker_id":40,"status_id":1,"priority_id":2,"assigned_to_id":23,"start_date":"2016-10-11","description":"","custom_fields":[{"id":1,"name":"Subdivision","value":"EC"},{"id":4,"name":"Milepost","value":"0.1158"},{"id":17,"name":"Train ID","value":"142-11"},{"id":16,"name":"Locomotive ID","value":"4032"},{"id":130,"name":"Impact","value":""},{"id":150,"name":"Time of Event (Mountain Time)","value":"10:30:14"},{"id":151,"name":"Denver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426</v>
      </c>
      <c r="B47" s="7">
        <v>4053</v>
      </c>
      <c r="C47" s="24" t="s">
        <v>106</v>
      </c>
      <c r="D47" s="24" t="s">
        <v>248</v>
      </c>
      <c r="E47" s="15">
        <v>42654.374386574076</v>
      </c>
      <c r="F47" s="15">
        <v>42654.376076388886</v>
      </c>
      <c r="G47" s="7">
        <v>1</v>
      </c>
      <c r="H47" s="15" t="s">
        <v>281</v>
      </c>
      <c r="I47" s="15">
        <v>42654.402395833335</v>
      </c>
      <c r="J47" s="7">
        <v>0</v>
      </c>
      <c r="K47" s="116" t="str">
        <f t="shared" si="0"/>
        <v>4053/4054</v>
      </c>
      <c r="L47" s="24" t="str">
        <f>VLOOKUP(A47,'Trips&amp;Operators'!$C$1:$E$10000,3,FALSE)</f>
        <v>HAITHCOX</v>
      </c>
      <c r="M47" s="6">
        <f t="shared" si="1"/>
        <v>2.6319444448745344E-2</v>
      </c>
      <c r="N47" s="7">
        <f>24*60*SUM($M47:$M47)</f>
        <v>37.900000006193295</v>
      </c>
      <c r="O47" s="7"/>
      <c r="P47" s="7"/>
      <c r="Q47" s="25"/>
      <c r="R47" s="25"/>
      <c r="S47" s="37">
        <f t="shared" si="2"/>
        <v>1</v>
      </c>
      <c r="T47" s="52" t="str">
        <f t="shared" si="3"/>
        <v>NorthBound</v>
      </c>
      <c r="U47" s="15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07:59:07-0600',mode:absolute,to:'2016-10-11 10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7" s="54" t="str">
        <f t="shared" si="5"/>
        <v>N</v>
      </c>
      <c r="X47" s="163">
        <f t="shared" ref="X47:X78" si="24">VALUE(LEFT(AD47,4))-VALUE(LEFT(AD46,4))</f>
        <v>1</v>
      </c>
      <c r="Y47" s="69">
        <f t="shared" si="19"/>
        <v>4.4400000000000002E-2</v>
      </c>
      <c r="Z47" s="69">
        <f t="shared" si="20"/>
        <v>23.3306</v>
      </c>
      <c r="AA47" s="69">
        <f t="shared" si="6"/>
        <v>23.286200000000001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7"/>
        <v>0143-11</v>
      </c>
      <c r="AE47" s="94" t="str">
        <f t="shared" si="8"/>
        <v>aws s3 cp s3://rtdc.mdm.uploadarchive.raw/RTDC4053/ "%USERPROFILE%\AppData\Local\Temp\OnboardLogs"\RTDC4053\2016-10-11 --exclude "*" --recursive --include "*20161011*" &amp; "%USERPROFILE%\Documents\GitHub\mrs-test-scripts\Headless Mode &amp; Sideloading\WalkAndUnGZ.bat" "%USERPROFILE%\AppData\Local\Temp\OnboardLogs"\RTDC4053\2016-10-11 &amp; 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</v>
      </c>
      <c r="AF47" s="91" t="str">
        <f t="shared" si="9"/>
        <v>"C:\Program Files (x86)\AstroGrep\AstroGrep.exe" /spath="%USERPROFILE%\AppData\Local\Temp\OnboardLogs" /stypes="app*4053*20161011*" /stext=" 15:.+((SYSTEM_STATE.+slice.+state.+changed )|(ment ac)|(system.+state.+changed )|(\[timeout)|(PRM\|1\|D)|(kpr)|(kdp)|(\|lc)|(penalty))" /e /r /s</v>
      </c>
      <c r="AG47" s="1" t="str">
        <f t="shared" si="10"/>
        <v>EC</v>
      </c>
      <c r="AH47" s="95" t="str">
        <f t="shared" si="13"/>
        <v>"%USERPROFILE%\Documents\GitHub\eaglep3\Utilities\RefineRTDCRunTimes.py" --tripid 143-11 --locoid 4053 --swversion DE.1.0.7.0 --startMP 204:444 --initTime 2016-10-11T08:59:07 --startdatetime 2016-10-11T09:01:33 --delay 1 --endMP 204:233306 --enddatetime 2016-10-11T09:39:27 --enforcementcount 0 &gt;&gt;C:\Users\stu\Documents\GitHub\eaglep3-reporting\EC\2016-10-11-refined-times.txt</v>
      </c>
      <c r="AI47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{"issue":{"subject":"","project_id":79,"tracker_id":40,"status_id":1,"priority_id":2,"assigned_to_id":23,"start_date":"2016-10-11","description":"","custom_fields":[{"id":1,"name":"Subdivision","value":"EC"},{"id":4,"name":"Milepost","value":"23.3306"},{"id":17,"name":"Train ID","value":"143-11"},{"id":16,"name":"Locomotive ID","value":"4053"},{"id":130,"name":"Impact","value":""},{"id":150,"name":"Time of Event (Mountain Time)","value":"09:39:27"},{"id":151,"name":"Denver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427</v>
      </c>
      <c r="B48" s="7">
        <v>4054</v>
      </c>
      <c r="C48" s="24" t="s">
        <v>106</v>
      </c>
      <c r="D48" s="24" t="s">
        <v>251</v>
      </c>
      <c r="E48" s="15">
        <v>42654.410428240742</v>
      </c>
      <c r="F48" s="15">
        <v>42654.414363425924</v>
      </c>
      <c r="G48" s="7">
        <v>2</v>
      </c>
      <c r="H48" s="15" t="s">
        <v>185</v>
      </c>
      <c r="I48" s="15">
        <v>42654.444872685184</v>
      </c>
      <c r="J48" s="7">
        <v>0</v>
      </c>
      <c r="K48" s="116" t="str">
        <f t="shared" si="0"/>
        <v>4053/4054</v>
      </c>
      <c r="L48" s="24" t="str">
        <f>VLOOKUP(A48,'Trips&amp;Operators'!$C$1:$E$10000,3,FALSE)</f>
        <v>HAITHCOX</v>
      </c>
      <c r="M48" s="6">
        <f t="shared" si="1"/>
        <v>3.050925926072523E-2</v>
      </c>
      <c r="N48" s="7">
        <f>24*60*SUM($M48:$M48)</f>
        <v>43.933333335444331</v>
      </c>
      <c r="O48" s="7"/>
      <c r="P48" s="7"/>
      <c r="Q48" s="25"/>
      <c r="R48" s="25"/>
      <c r="S48" s="37">
        <f t="shared" si="2"/>
        <v>1</v>
      </c>
      <c r="T48" s="52" t="str">
        <f t="shared" si="3"/>
        <v>Southbound</v>
      </c>
      <c r="U48" s="15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08:51:01-0600',mode:absolute,to:'2016-10-11 11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8" s="54" t="str">
        <f t="shared" si="5"/>
        <v>N</v>
      </c>
      <c r="X48" s="163">
        <f t="shared" si="24"/>
        <v>1</v>
      </c>
      <c r="Y48" s="69">
        <f t="shared" si="19"/>
        <v>23.299099999999999</v>
      </c>
      <c r="Z48" s="69">
        <f t="shared" si="20"/>
        <v>1.6E-2</v>
      </c>
      <c r="AA48" s="69">
        <f t="shared" si="6"/>
        <v>23.283100000000001</v>
      </c>
      <c r="AB48" s="66" t="str">
        <f>VLOOKUP(A48,Enforcements!$C$7:$K$21,8,0)</f>
        <v>Speed (6)</v>
      </c>
      <c r="AC48" s="62" t="str">
        <f>VLOOKUP(A48,Enforcements!$C$7:$E$21,3,0)</f>
        <v>PERMANENT SPEED RESTRICTION</v>
      </c>
      <c r="AD48" s="63" t="str">
        <f t="shared" si="7"/>
        <v>0144-11</v>
      </c>
      <c r="AE48" s="94" t="str">
        <f t="shared" si="8"/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AF48" s="91" t="str">
        <f t="shared" si="9"/>
        <v>"C:\Program Files (x86)\AstroGrep\AstroGrep.exe" /spath="%USERPROFILE%\AppData\Local\Temp\OnboardLogs" /stypes="app*4054*20161011*" /stext=" 16:.+((SYSTEM_STATE.+slice.+state.+changed )|(ment ac)|(system.+state.+changed )|(\[timeout)|(PRM\|1\|D)|(kpr)|(kdp)|(\|lc)|(penalty))" /e /r /s</v>
      </c>
      <c r="AG48" s="1" t="str">
        <f t="shared" si="10"/>
        <v>EC</v>
      </c>
      <c r="AH48" s="95" t="str">
        <f t="shared" si="13"/>
        <v>"%USERPROFILE%\Documents\GitHub\eaglep3\Utilities\RefineRTDCRunTimes.py" --tripid 144-11 --locoid 4054 --swversion DE.1.0.7.0 --startMP 204:232991 --initTime 2016-10-11T09:51:01 --startdatetime 2016-10-11T09:56:41 --delay 2 --endMP 204:160 --enddatetime 2016-10-11T10:40:37 --enforcementcount 0 &gt;&gt;C:\Users\stu\Documents\GitHub\eaglep3-reporting\EC\2016-10-11-refined-times.txt</v>
      </c>
      <c r="AI48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{"issue":{"subject":"","project_id":79,"tracker_id":40,"status_id":1,"priority_id":2,"assigned_to_id":23,"start_date":"2016-10-11","description":"","custom_fields":[{"id":1,"name":"Subdivision","value":"EC"},{"id":4,"name":"Milepost","value":"0.016"},{"id":17,"name":"Train ID","value":"144-11"},{"id":16,"name":"Locomotive ID","value":"4054"},{"id":130,"name":"Impact","value":""},{"id":150,"name":"Time of Event (Mountain Time)","value":"10:40:37"},{"id":151,"name":"Denver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31" customFormat="1" x14ac:dyDescent="0.25">
      <c r="A49" s="39" t="s">
        <v>428</v>
      </c>
      <c r="B49" s="7">
        <v>4007</v>
      </c>
      <c r="C49" s="24" t="s">
        <v>106</v>
      </c>
      <c r="D49" s="24" t="s">
        <v>429</v>
      </c>
      <c r="E49" s="15">
        <v>42654.419432870367</v>
      </c>
      <c r="F49" s="15">
        <v>42654.423761574071</v>
      </c>
      <c r="G49" s="7">
        <v>6</v>
      </c>
      <c r="H49" s="15" t="s">
        <v>311</v>
      </c>
      <c r="I49" s="15">
        <v>42654.424583333333</v>
      </c>
      <c r="J49" s="7">
        <v>0</v>
      </c>
      <c r="K49" s="116" t="str">
        <f t="shared" si="0"/>
        <v>4007/4008</v>
      </c>
      <c r="L49" s="24" t="str">
        <f>VLOOKUP(A49,'Trips&amp;Operators'!$C$1:$E$10000,3,FALSE)</f>
        <v>SPECTOR</v>
      </c>
      <c r="M49" s="6">
        <f t="shared" si="1"/>
        <v>8.217592621804215E-4</v>
      </c>
      <c r="N49" s="7"/>
      <c r="O49" s="7"/>
      <c r="P49" s="7">
        <f>24*60*SUM($M49:$M50)</f>
        <v>31.233333331765607</v>
      </c>
      <c r="Q49" s="25"/>
      <c r="R49" s="25" t="s">
        <v>768</v>
      </c>
      <c r="S49" s="37">
        <f>SUM(U49:U50)/IF(AG49="EC",12,1)</f>
        <v>1</v>
      </c>
      <c r="T49" s="52" t="str">
        <f t="shared" si="3"/>
        <v>NorthBound</v>
      </c>
      <c r="U49" s="15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09:03:59-0600',mode:absolute,to:'2016-10-11 11:11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9" s="54" t="str">
        <f t="shared" si="5"/>
        <v>Y</v>
      </c>
      <c r="X49" s="163">
        <f t="shared" si="24"/>
        <v>1</v>
      </c>
      <c r="Y49" s="69">
        <f t="shared" ref="Y49:Y77" si="25">RIGHT(D49,LEN(D49)-4)/10000</f>
        <v>23.118300000000001</v>
      </c>
      <c r="Z49" s="69">
        <f t="shared" ref="Z49:Z77" si="26">RIGHT(H49,LEN(H49)-4)/10000</f>
        <v>23.3307</v>
      </c>
      <c r="AA49" s="69">
        <f t="shared" si="6"/>
        <v>0.21239999999999881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7"/>
        <v>0145-11</v>
      </c>
      <c r="AE49" s="94" t="str">
        <f t="shared" si="8"/>
        <v>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 &amp; 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</v>
      </c>
      <c r="AF49" s="91" t="str">
        <f t="shared" si="9"/>
        <v>"C:\Program Files (x86)\AstroGrep\AstroGrep.exe" /spath="%USERPROFILE%\AppData\Local\Temp\OnboardLogs" /stypes="app*4007*20161011*" /stext=" 16:.+((SYSTEM_STATE.+slice.+state.+changed )|(ment ac)|(system.+state.+changed )|(\[timeout)|(PRM\|1\|D)|(kpr)|(kdp)|(\|lc)|(penalty))" /e /r /s</v>
      </c>
      <c r="AG49" s="1" t="str">
        <f t="shared" si="10"/>
        <v>EC</v>
      </c>
      <c r="AH49" s="95" t="str">
        <f t="shared" si="13"/>
        <v>"%USERPROFILE%\Documents\GitHub\eaglep3\Utilities\RefineRTDCRunTimes.py" --tripid 145-11 --locoid 4007 --swversion DE.1.0.7.0 --startMP 204:231183 --initTime 2016-10-11T10:03:59 --startdatetime 2016-10-11T10:10:13 --delay 6 --endMP 204:233307 --enddatetime 2016-10-11T10:11:24 --enforcementcount 0 &gt;&gt;C:\Users\stu\Documents\GitHub\eaglep3-reporting\EC\2016-10-11-refined-times.txt</v>
      </c>
      <c r="AI49" s="129" t="str">
        <f t="shared" si="14"/>
        <v>echo {"issue":{"subject":"CP 40th stuck in STOP due to CP 61st network failure","project_id":79,"tracker_id":40,"status_id":1,"priority_id":2,"assigned_to_id":23,"start_date":"2016-10-11","description":"CP 40th 2N was stuck at STOP likely due to the fact that CP 61st was out of correspondence","custom_fields":[{"id":1,"name":"Subdivision","value":"EC"},{"id":4,"name":"Milepost","value":"23.3307"},{"id":17,"name":"Train ID","value":"145-11"},{"id":16,"name":"Locomotive ID","value":"4007"},{"id":130,"name":"Impact","value":"Unexpected Cut-Out or Disengaged"},{"id":150,"name":"Time of Event (Mountain Time)","value":"10:11:24"},{"id":151,"name":"Denver Issue ID","value":""},{"id":178,"name":"Operational Impact","value":"Yes"},{"id":179,"name":"Denver Segment Assigned","value":"Comms"}]}} | curl -X POST -H "Content-Type: application/json" -H "X-Redmine-API-Key: d6333d4a04012a730768444271f8ca06482dae87" https://secure.xorail.net/redmine/issues.json --data @-</v>
      </c>
      <c r="AJ49" s="55" t="s">
        <v>770</v>
      </c>
      <c r="AK49" s="55" t="s">
        <v>140</v>
      </c>
      <c r="AL49" s="55" t="s">
        <v>145</v>
      </c>
    </row>
    <row r="50" spans="1:38" s="1" customFormat="1" x14ac:dyDescent="0.25">
      <c r="A50" s="39" t="s">
        <v>428</v>
      </c>
      <c r="B50" s="7">
        <v>4007</v>
      </c>
      <c r="C50" s="24" t="s">
        <v>106</v>
      </c>
      <c r="D50" s="24" t="s">
        <v>188</v>
      </c>
      <c r="E50" s="15">
        <v>42654.384513888886</v>
      </c>
      <c r="F50" s="15">
        <v>42654.385439814818</v>
      </c>
      <c r="G50" s="7">
        <v>1</v>
      </c>
      <c r="H50" s="15" t="s">
        <v>430</v>
      </c>
      <c r="I50" s="15">
        <v>42654.406307870369</v>
      </c>
      <c r="J50" s="7">
        <v>0</v>
      </c>
      <c r="K50" s="116" t="str">
        <f t="shared" si="0"/>
        <v>4007/4008</v>
      </c>
      <c r="L50" s="24" t="str">
        <f>VLOOKUP(A50,'Trips&amp;Operators'!$C$1:$E$10000,3,FALSE)</f>
        <v>SPECTOR</v>
      </c>
      <c r="M50" s="6">
        <f t="shared" si="1"/>
        <v>2.0868055551545694E-2</v>
      </c>
      <c r="N50" s="7"/>
      <c r="O50" s="7"/>
      <c r="P50" s="7"/>
      <c r="Q50" s="25"/>
      <c r="R50" s="25"/>
      <c r="S50" s="37"/>
      <c r="T50" s="52" t="str">
        <f t="shared" si="3"/>
        <v>NorthBound</v>
      </c>
      <c r="U50" s="15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08:13:42-0600',mode:absolute,to:'2016-10-11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0" s="54" t="str">
        <f t="shared" si="5"/>
        <v>Y</v>
      </c>
      <c r="X50" s="163">
        <f t="shared" si="24"/>
        <v>0</v>
      </c>
      <c r="Y50" s="69">
        <f t="shared" si="25"/>
        <v>4.53E-2</v>
      </c>
      <c r="Z50" s="69">
        <f t="shared" si="26"/>
        <v>12.304500000000001</v>
      </c>
      <c r="AA50" s="69">
        <f t="shared" si="6"/>
        <v>12.259200000000002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7"/>
        <v>0145-11</v>
      </c>
      <c r="AE50" s="94" t="str">
        <f t="shared" si="8"/>
        <v>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 &amp; 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</v>
      </c>
      <c r="AF50" s="91" t="str">
        <f t="shared" si="9"/>
        <v>"C:\Program Files (x86)\AstroGrep\AstroGrep.exe" /spath="%USERPROFILE%\AppData\Local\Temp\OnboardLogs" /stypes="app*4007*20161011*" /stext=" 15:.+((SYSTEM_STATE.+slice.+state.+changed )|(ment ac)|(system.+state.+changed )|(\[timeout)|(PRM\|1\|D)|(kpr)|(kdp)|(\|lc)|(penalty))" /e /r /s</v>
      </c>
      <c r="AG50" s="1" t="str">
        <f t="shared" si="10"/>
        <v>EC</v>
      </c>
      <c r="AH50" s="95" t="str">
        <f t="shared" si="13"/>
        <v>"%USERPROFILE%\Documents\GitHub\eaglep3\Utilities\RefineRTDCRunTimes.py" --tripid 145-11 --locoid 4007 --swversion DE.1.0.7.0 --startMP 204:453 --initTime 2016-10-11T09:13:42 --startdatetime 2016-10-11T09:15:02 --delay 1 --endMP 204:123045 --enddatetime 2016-10-11T09:45:05 --enforcementcount 0 &gt;&gt;C:\Users\stu\Documents\GitHub\eaglep3-reporting\EC\2016-10-11-refined-times.txt</v>
      </c>
      <c r="AI50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{"issue":{"subject":"","project_id":79,"tracker_id":40,"status_id":1,"priority_id":2,"assigned_to_id":23,"start_date":"2016-10-11","description":"","custom_fields":[{"id":1,"name":"Subdivision","value":"EC"},{"id":4,"name":"Milepost","value":"12.3045"},{"id":17,"name":"Train ID","value":"145-11"},{"id":16,"name":"Locomotive ID","value":"4007"},{"id":130,"name":"Impact","value":""},{"id":150,"name":"Time of Event (Mountain Time)","value":"09:45:05"},{"id":151,"name":"Denver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431</v>
      </c>
      <c r="B51" s="7">
        <v>4008</v>
      </c>
      <c r="C51" s="24" t="s">
        <v>106</v>
      </c>
      <c r="D51" s="24" t="s">
        <v>353</v>
      </c>
      <c r="E51" s="15">
        <v>42654.429351851853</v>
      </c>
      <c r="F51" s="15">
        <v>42654.430972222224</v>
      </c>
      <c r="G51" s="7">
        <v>1</v>
      </c>
      <c r="H51" s="15" t="s">
        <v>252</v>
      </c>
      <c r="I51" s="15">
        <v>42654.456307870372</v>
      </c>
      <c r="J51" s="7">
        <v>0</v>
      </c>
      <c r="K51" s="116" t="str">
        <f t="shared" si="0"/>
        <v>4007/4008</v>
      </c>
      <c r="L51" s="24" t="str">
        <f>VLOOKUP(A51,'Trips&amp;Operators'!$C$1:$E$10000,3,FALSE)</f>
        <v>SPECTOR</v>
      </c>
      <c r="M51" s="6">
        <f t="shared" si="1"/>
        <v>2.5335648148029577E-2</v>
      </c>
      <c r="N51" s="7">
        <f>24*60*SUM($M51:$M51)</f>
        <v>36.483333333162591</v>
      </c>
      <c r="O51" s="7"/>
      <c r="P51" s="7"/>
      <c r="Q51" s="25"/>
      <c r="R51" s="25"/>
      <c r="S51" s="37">
        <f>SUM(U51:U51)/IF(AG51="EC",12,1)</f>
        <v>1</v>
      </c>
      <c r="T51" s="52" t="str">
        <f t="shared" si="3"/>
        <v>Southbound</v>
      </c>
      <c r="U51" s="15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09:18:16-0600',mode:absolute,to:'2016-10-11 11:57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1" s="54" t="str">
        <f t="shared" si="5"/>
        <v>N</v>
      </c>
      <c r="X51" s="163">
        <f t="shared" si="24"/>
        <v>1</v>
      </c>
      <c r="Y51" s="69">
        <f t="shared" si="25"/>
        <v>23.299600000000002</v>
      </c>
      <c r="Z51" s="69">
        <f t="shared" si="26"/>
        <v>1.67E-2</v>
      </c>
      <c r="AA51" s="69">
        <f t="shared" si="6"/>
        <v>23.282900000000001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7"/>
        <v>0146-11</v>
      </c>
      <c r="AE51" s="94" t="str">
        <f t="shared" si="8"/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AF51" s="91" t="str">
        <f t="shared" si="9"/>
        <v>"C:\Program Files (x86)\AstroGrep\AstroGrep.exe" /spath="%USERPROFILE%\AppData\Local\Temp\OnboardLogs" /stypes="app*4008*20161011*" /stext=" 16:.+((SYSTEM_STATE.+slice.+state.+changed )|(ment ac)|(system.+state.+changed )|(\[timeout)|(PRM\|1\|D)|(kpr)|(kdp)|(\|lc)|(penalty))" /e /r /s</v>
      </c>
      <c r="AG51" s="1" t="str">
        <f t="shared" si="10"/>
        <v>EC</v>
      </c>
      <c r="AH51" s="95" t="str">
        <f t="shared" si="13"/>
        <v>"%USERPROFILE%\Documents\GitHub\eaglep3\Utilities\RefineRTDCRunTimes.py" --tripid 146-11 --locoid 4008 --swversion DE.1.0.7.0 --startMP 204:232996 --initTime 2016-10-11T10:18:16 --startdatetime 2016-10-11T10:20:36 --delay 1 --endMP 204:167 --enddatetime 2016-10-11T10:57:05 --enforcementcount 0 &gt;&gt;C:\Users\stu\Documents\GitHub\eaglep3-reporting\EC\2016-10-11-refined-times.txt</v>
      </c>
      <c r="AI51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{"issue":{"subject":"","project_id":79,"tracker_id":40,"status_id":1,"priority_id":2,"assigned_to_id":23,"start_date":"2016-10-11","description":"","custom_fields":[{"id":1,"name":"Subdivision","value":"EC"},{"id":4,"name":"Milepost","value":"0.0167"},{"id":17,"name":"Train ID","value":"146-11"},{"id":16,"name":"Locomotive ID","value":"4008"},{"id":130,"name":"Impact","value":""},{"id":150,"name":"Time of Event (Mountain Time)","value":"10:57:05"},{"id":151,"name":"Denver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432</v>
      </c>
      <c r="B52" s="7">
        <v>4003</v>
      </c>
      <c r="C52" s="24" t="s">
        <v>106</v>
      </c>
      <c r="D52" s="24" t="s">
        <v>194</v>
      </c>
      <c r="E52" s="15">
        <v>42654.395312499997</v>
      </c>
      <c r="F52" s="15">
        <v>42654.396666666667</v>
      </c>
      <c r="G52" s="7">
        <v>1</v>
      </c>
      <c r="H52" s="15" t="s">
        <v>433</v>
      </c>
      <c r="I52" s="15">
        <v>42654.431747685187</v>
      </c>
      <c r="J52" s="7">
        <v>0</v>
      </c>
      <c r="K52" s="116" t="str">
        <f t="shared" si="0"/>
        <v>4003/4004</v>
      </c>
      <c r="L52" s="24" t="str">
        <f>VLOOKUP(A52,'Trips&amp;Operators'!$C$1:$E$10000,3,FALSE)</f>
        <v>DAVIS</v>
      </c>
      <c r="M52" s="6">
        <f t="shared" si="1"/>
        <v>3.5081018519122154E-2</v>
      </c>
      <c r="N52" s="7">
        <f>24*60*SUM($M52:$M52)</f>
        <v>50.516666667535901</v>
      </c>
      <c r="O52" s="7"/>
      <c r="P52" s="7"/>
      <c r="Q52" s="25"/>
      <c r="R52" s="25"/>
      <c r="S52" s="37">
        <f>SUM(U52:U52)/IF(AG52="EC",12,1)</f>
        <v>1</v>
      </c>
      <c r="T52" s="52" t="str">
        <f t="shared" si="3"/>
        <v>NorthBound</v>
      </c>
      <c r="U52" s="15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08:29:15-0600',mode:absolute,to:'2016-10-11 11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2" s="54" t="str">
        <f t="shared" si="5"/>
        <v>N</v>
      </c>
      <c r="X52" s="163">
        <f t="shared" si="24"/>
        <v>1</v>
      </c>
      <c r="Y52" s="69">
        <f t="shared" si="25"/>
        <v>4.5499999999999999E-2</v>
      </c>
      <c r="Z52" s="69">
        <f t="shared" si="26"/>
        <v>23.332699999999999</v>
      </c>
      <c r="AA52" s="69">
        <f t="shared" si="6"/>
        <v>23.287199999999999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7"/>
        <v>0147-11</v>
      </c>
      <c r="AE52" s="94" t="str">
        <f t="shared" si="8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52" s="91" t="str">
        <f t="shared" si="9"/>
        <v>"C:\Program Files (x86)\AstroGrep\AstroGrep.exe" /spath="%USERPROFILE%\AppData\Local\Temp\OnboardLogs" /stypes="app*4003*20161011*" /stext=" 16:.+((SYSTEM_STATE.+slice.+state.+changed )|(ment ac)|(system.+state.+changed )|(\[timeout)|(PRM\|1\|D)|(kpr)|(kdp)|(\|lc)|(penalty))" /e /r /s</v>
      </c>
      <c r="AG52" s="1" t="str">
        <f t="shared" si="10"/>
        <v>EC</v>
      </c>
      <c r="AH52" s="95" t="str">
        <f t="shared" si="13"/>
        <v>"%USERPROFILE%\Documents\GitHub\eaglep3\Utilities\RefineRTDCRunTimes.py" --tripid 147-11 --locoid 4003 --swversion DE.1.0.7.0 --startMP 204:455 --initTime 2016-10-11T09:29:15 --startdatetime 2016-10-11T09:31:12 --delay 1 --endMP 204:233327 --enddatetime 2016-10-11T10:21:43 --enforcementcount 0 &gt;&gt;C:\Users\stu\Documents\GitHub\eaglep3-reporting\EC\2016-10-11-refined-times.txt</v>
      </c>
      <c r="AI52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{"issue":{"subject":"","project_id":79,"tracker_id":40,"status_id":1,"priority_id":2,"assigned_to_id":23,"start_date":"2016-10-11","description":"","custom_fields":[{"id":1,"name":"Subdivision","value":"EC"},{"id":4,"name":"Milepost","value":"23.3327"},{"id":17,"name":"Train ID","value":"147-11"},{"id":16,"name":"Locomotive ID","value":"4003"},{"id":130,"name":"Impact","value":""},{"id":150,"name":"Time of Event (Mountain Time)","value":"10:21:43"},{"id":151,"name":"Denver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434</v>
      </c>
      <c r="B53" s="7">
        <v>4004</v>
      </c>
      <c r="C53" s="24" t="s">
        <v>106</v>
      </c>
      <c r="D53" s="24" t="s">
        <v>435</v>
      </c>
      <c r="E53" s="15">
        <v>42654.434467592589</v>
      </c>
      <c r="F53" s="15">
        <v>42654.435902777775</v>
      </c>
      <c r="G53" s="7">
        <v>1</v>
      </c>
      <c r="H53" s="15" t="s">
        <v>436</v>
      </c>
      <c r="I53" s="15">
        <v>42654.468356481484</v>
      </c>
      <c r="J53" s="7">
        <v>0</v>
      </c>
      <c r="K53" s="116" t="str">
        <f t="shared" si="0"/>
        <v>4003/4004</v>
      </c>
      <c r="L53" s="24" t="str">
        <f>VLOOKUP(A53,'Trips&amp;Operators'!$C$1:$E$10000,3,FALSE)</f>
        <v>DAVIS</v>
      </c>
      <c r="M53" s="6">
        <f t="shared" si="1"/>
        <v>3.2453703708597459E-2</v>
      </c>
      <c r="N53" s="7">
        <f>24*60*SUM($M53:$M53)</f>
        <v>46.733333340380341</v>
      </c>
      <c r="O53" s="7"/>
      <c r="P53" s="7"/>
      <c r="Q53" s="25"/>
      <c r="R53" s="25"/>
      <c r="S53" s="37">
        <f>SUM(U53:U53)/IF(AG53="EC",12,1)</f>
        <v>1</v>
      </c>
      <c r="T53" s="52" t="str">
        <f t="shared" si="3"/>
        <v>Southbound</v>
      </c>
      <c r="U53" s="15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09:25:38-0600',mode:absolute,to:'2016-10-11 12:14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3" s="54" t="str">
        <f t="shared" si="5"/>
        <v>N</v>
      </c>
      <c r="X53" s="163">
        <f t="shared" si="24"/>
        <v>1</v>
      </c>
      <c r="Y53" s="69">
        <f t="shared" si="25"/>
        <v>23.300999999999998</v>
      </c>
      <c r="Z53" s="69">
        <f t="shared" si="26"/>
        <v>1.34E-2</v>
      </c>
      <c r="AA53" s="69">
        <f t="shared" si="6"/>
        <v>23.287599999999998</v>
      </c>
      <c r="AB53" s="66" t="str">
        <f>VLOOKUP(A53,Enforcements!$C$7:$K$21,8,0)</f>
        <v>Signal based authority (5)</v>
      </c>
      <c r="AC53" s="62" t="str">
        <f>VLOOKUP(A53,Enforcements!$C$7:$E$21,3,0)</f>
        <v>SIGNAL</v>
      </c>
      <c r="AD53" s="63" t="str">
        <f t="shared" si="7"/>
        <v>0148-11</v>
      </c>
      <c r="AE53" s="94" t="str">
        <f t="shared" si="8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53" s="91" t="str">
        <f t="shared" si="9"/>
        <v>"C:\Program Files (x86)\AstroGrep\AstroGrep.exe" /spath="%USERPROFILE%\AppData\Local\Temp\OnboardLogs" /stypes="app*4004*20161011*" /stext=" 17:.+((SYSTEM_STATE.+slice.+state.+changed )|(ment ac)|(system.+state.+changed )|(\[timeout)|(PRM\|1\|D)|(kpr)|(kdp)|(\|lc)|(penalty))" /e /r /s</v>
      </c>
      <c r="AG53" s="1" t="str">
        <f t="shared" si="10"/>
        <v>EC</v>
      </c>
      <c r="AH53" s="95" t="str">
        <f t="shared" si="13"/>
        <v>"%USERPROFILE%\Documents\GitHub\eaglep3\Utilities\RefineRTDCRunTimes.py" --tripid 148-11 --locoid 4004 --swversion DE.1.0.7.0 --startMP 204:233010 --initTime 2016-10-11T10:25:38 --startdatetime 2016-10-11T10:27:42 --delay 1 --endMP 204:134 --enddatetime 2016-10-11T11:14:26 --enforcementcount 0 &gt;&gt;C:\Users\stu\Documents\GitHub\eaglep3-reporting\EC\2016-10-11-refined-times.txt</v>
      </c>
      <c r="AI53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{"issue":{"subject":"","project_id":79,"tracker_id":40,"status_id":1,"priority_id":2,"assigned_to_id":23,"start_date":"2016-10-11","description":"","custom_fields":[{"id":1,"name":"Subdivision","value":"EC"},{"id":4,"name":"Milepost","value":"0.0134"},{"id":17,"name":"Train ID","value":"148-11"},{"id":16,"name":"Locomotive ID","value":"4004"},{"id":130,"name":"Impact","value":""},{"id":150,"name":"Time of Event (Mountain Time)","value":"11:14:26"},{"id":151,"name":"Denver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437</v>
      </c>
      <c r="B54" s="7">
        <v>4014</v>
      </c>
      <c r="C54" s="24" t="s">
        <v>106</v>
      </c>
      <c r="D54" s="24" t="s">
        <v>192</v>
      </c>
      <c r="E54" s="15">
        <v>42654.404293981483</v>
      </c>
      <c r="F54" s="15">
        <v>42654.406423611108</v>
      </c>
      <c r="G54" s="7">
        <v>1</v>
      </c>
      <c r="H54" s="15" t="s">
        <v>226</v>
      </c>
      <c r="I54" s="15">
        <v>42654.435381944444</v>
      </c>
      <c r="J54" s="7">
        <v>0</v>
      </c>
      <c r="K54" s="116" t="str">
        <f t="shared" si="0"/>
        <v>4013/4014</v>
      </c>
      <c r="L54" s="24" t="str">
        <f>VLOOKUP(A54,'Trips&amp;Operators'!$C$1:$E$10000,3,FALSE)</f>
        <v>DE LA ROSA</v>
      </c>
      <c r="M54" s="6">
        <f t="shared" si="1"/>
        <v>2.8958333336049691E-2</v>
      </c>
      <c r="N54" s="7">
        <f>24*60*SUM($M54:$M54)</f>
        <v>41.700000003911555</v>
      </c>
      <c r="O54" s="7"/>
      <c r="P54" s="7"/>
      <c r="Q54" s="25"/>
      <c r="R54" s="25"/>
      <c r="S54" s="37">
        <f>SUM(U54:U54)/IF(AG54="EC",12,1)</f>
        <v>1</v>
      </c>
      <c r="T54" s="52" t="str">
        <f t="shared" si="3"/>
        <v>NorthBound</v>
      </c>
      <c r="U54" s="15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08:42:11-0600',mode:absolute,to:'2016-10-11 11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4" s="54" t="str">
        <f t="shared" si="5"/>
        <v>N</v>
      </c>
      <c r="X54" s="163">
        <f t="shared" si="24"/>
        <v>1</v>
      </c>
      <c r="Y54" s="69">
        <f t="shared" si="25"/>
        <v>4.6600000000000003E-2</v>
      </c>
      <c r="Z54" s="69">
        <f t="shared" si="26"/>
        <v>23.329699999999999</v>
      </c>
      <c r="AA54" s="69">
        <f t="shared" si="6"/>
        <v>23.283099999999997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7"/>
        <v>0149-11</v>
      </c>
      <c r="AE54" s="94" t="str">
        <f t="shared" si="8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54" s="91" t="str">
        <f t="shared" si="9"/>
        <v>"C:\Program Files (x86)\AstroGrep\AstroGrep.exe" /spath="%USERPROFILE%\AppData\Local\Temp\OnboardLogs" /stypes="app*4014*20161011*" /stext=" 16:.+((SYSTEM_STATE.+slice.+state.+changed )|(ment ac)|(system.+state.+changed )|(\[timeout)|(PRM\|1\|D)|(kpr)|(kdp)|(\|lc)|(penalty))" /e /r /s</v>
      </c>
      <c r="AG54" s="1" t="str">
        <f t="shared" si="10"/>
        <v>EC</v>
      </c>
      <c r="AH54" s="95" t="str">
        <f t="shared" si="13"/>
        <v>"%USERPROFILE%\Documents\GitHub\eaglep3\Utilities\RefineRTDCRunTimes.py" --tripid 149-11 --locoid 4014 --swversion DE.1.0.7.0 --startMP 204:466 --initTime 2016-10-11T09:42:11 --startdatetime 2016-10-11T09:45:15 --delay 1 --endMP 204:233297 --enddatetime 2016-10-11T10:26:57 --enforcementcount 0 &gt;&gt;C:\Users\stu\Documents\GitHub\eaglep3-reporting\EC\2016-10-11-refined-times.txt</v>
      </c>
      <c r="AI54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{"issue":{"subject":"","project_id":79,"tracker_id":40,"status_id":1,"priority_id":2,"assigned_to_id":23,"start_date":"2016-10-11","description":"","custom_fields":[{"id":1,"name":"Subdivision","value":"EC"},{"id":4,"name":"Milepost","value":"23.3297"},{"id":17,"name":"Train ID","value":"149-11"},{"id":16,"name":"Locomotive ID","value":"4014"},{"id":130,"name":"Impact","value":""},{"id":150,"name":"Time of Event (Mountain Time)","value":"10:26:57"},{"id":151,"name":"Denver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438</v>
      </c>
      <c r="B55" s="7">
        <v>4013</v>
      </c>
      <c r="C55" s="24" t="s">
        <v>106</v>
      </c>
      <c r="D55" s="24" t="s">
        <v>218</v>
      </c>
      <c r="E55" s="15">
        <v>42654.441064814811</v>
      </c>
      <c r="F55" s="15">
        <v>42654.445486111108</v>
      </c>
      <c r="G55" s="7">
        <v>1</v>
      </c>
      <c r="H55" s="15" t="s">
        <v>202</v>
      </c>
      <c r="I55" s="15">
        <v>42654.477210648147</v>
      </c>
      <c r="J55" s="7">
        <v>0</v>
      </c>
      <c r="K55" s="116" t="str">
        <f t="shared" si="0"/>
        <v>4013/4014</v>
      </c>
      <c r="L55" s="24" t="str">
        <f>VLOOKUP(A55,'Trips&amp;Operators'!$C$1:$E$10000,3,FALSE)</f>
        <v>DE LA ROSA</v>
      </c>
      <c r="M55" s="6">
        <f t="shared" si="1"/>
        <v>3.1724537038826384E-2</v>
      </c>
      <c r="N55" s="7">
        <f>24*60*SUM($M55:$M55)</f>
        <v>45.683333335909992</v>
      </c>
      <c r="O55" s="7"/>
      <c r="P55" s="7"/>
      <c r="Q55" s="25"/>
      <c r="R55" s="25"/>
      <c r="S55" s="37">
        <f>SUM(U55:U55)/IF(AG55="EC",12,1)</f>
        <v>1</v>
      </c>
      <c r="T55" s="52" t="str">
        <f t="shared" si="3"/>
        <v>Southbound</v>
      </c>
      <c r="U55" s="15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09:35:08-0600',mode:absolute,to:'2016-10-11 12:27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5" s="54" t="str">
        <f t="shared" si="5"/>
        <v>N</v>
      </c>
      <c r="X55" s="163">
        <f t="shared" si="24"/>
        <v>1</v>
      </c>
      <c r="Y55" s="69">
        <f t="shared" si="25"/>
        <v>23.296900000000001</v>
      </c>
      <c r="Z55" s="69">
        <f t="shared" si="26"/>
        <v>1.4500000000000001E-2</v>
      </c>
      <c r="AA55" s="69">
        <f t="shared" si="6"/>
        <v>23.282399999999999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7"/>
        <v>0150-11</v>
      </c>
      <c r="AE55" s="94" t="str">
        <f t="shared" si="8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55" s="91" t="str">
        <f t="shared" si="9"/>
        <v>"C:\Program Files (x86)\AstroGrep\AstroGrep.exe" /spath="%USERPROFILE%\AppData\Local\Temp\OnboardLogs" /stypes="app*4013*20161011*" /stext=" 17:.+((SYSTEM_STATE.+slice.+state.+changed )|(ment ac)|(system.+state.+changed )|(\[timeout)|(PRM\|1\|D)|(kpr)|(kdp)|(\|lc)|(penalty))" /e /r /s</v>
      </c>
      <c r="AG55" s="1" t="str">
        <f t="shared" si="10"/>
        <v>EC</v>
      </c>
      <c r="AH55" s="95" t="str">
        <f t="shared" si="13"/>
        <v>"%USERPROFILE%\Documents\GitHub\eaglep3\Utilities\RefineRTDCRunTimes.py" --tripid 150-11 --locoid 4013 --swversion DE.1.0.7.0 --startMP 204:232969 --initTime 2016-10-11T10:35:08 --startdatetime 2016-10-11T10:41:30 --delay 1 --endMP 204:145 --enddatetime 2016-10-11T11:27:11 --enforcementcount 0 &gt;&gt;C:\Users\stu\Documents\GitHub\eaglep3-reporting\EC\2016-10-11-refined-times.txt</v>
      </c>
      <c r="AI55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{"issue":{"subject":"","project_id":79,"tracker_id":40,"status_id":1,"priority_id":2,"assigned_to_id":23,"start_date":"2016-10-11","description":"","custom_fields":[{"id":1,"name":"Subdivision","value":"EC"},{"id":4,"name":"Milepost","value":"0.0145"},{"id":17,"name":"Train ID","value":"150-11"},{"id":16,"name":"Locomotive ID","value":"4013"},{"id":130,"name":"Impact","value":""},{"id":150,"name":"Time of Event (Mountain Time)","value":"11:27:11"},{"id":151,"name":"Denver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439</v>
      </c>
      <c r="B56" s="7">
        <v>4040</v>
      </c>
      <c r="C56" s="24" t="s">
        <v>106</v>
      </c>
      <c r="D56" s="24" t="s">
        <v>440</v>
      </c>
      <c r="E56" s="15">
        <v>42654.433749999997</v>
      </c>
      <c r="F56" s="15">
        <v>42654.434398148151</v>
      </c>
      <c r="G56" s="7">
        <v>0</v>
      </c>
      <c r="H56" s="15" t="s">
        <v>302</v>
      </c>
      <c r="I56" s="15">
        <v>42654.443969907406</v>
      </c>
      <c r="J56" s="7">
        <v>0</v>
      </c>
      <c r="K56" s="116" t="str">
        <f t="shared" si="0"/>
        <v>4039/4040</v>
      </c>
      <c r="L56" s="24" t="str">
        <f>VLOOKUP(A56,'Trips&amp;Operators'!$C$1:$E$10000,3,FALSE)</f>
        <v>KILLION</v>
      </c>
      <c r="M56" s="6">
        <f t="shared" si="1"/>
        <v>9.5717592557775788E-3</v>
      </c>
      <c r="N56" s="7"/>
      <c r="O56" s="7"/>
      <c r="P56" s="7">
        <f>24*60*SUM($M56:$M57)</f>
        <v>35.099999990779907</v>
      </c>
      <c r="Q56" s="25"/>
      <c r="R56" s="25" t="s">
        <v>768</v>
      </c>
      <c r="S56" s="37">
        <f>SUM(U56:U57)/IF(AG56="EC",12,1)</f>
        <v>0.83333333333333337</v>
      </c>
      <c r="T56" s="52" t="str">
        <f t="shared" si="3"/>
        <v>NorthBound</v>
      </c>
      <c r="U56" s="15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0</v>
      </c>
      <c r="V5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09:24:36-0600',mode:absolute,to:'2016-10-11 11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6" s="54" t="str">
        <f t="shared" si="5"/>
        <v>Y</v>
      </c>
      <c r="X56" s="163">
        <f t="shared" si="24"/>
        <v>1</v>
      </c>
      <c r="Y56" s="69">
        <f t="shared" si="25"/>
        <v>12.8269</v>
      </c>
      <c r="Z56" s="69">
        <f t="shared" si="26"/>
        <v>23.328700000000001</v>
      </c>
      <c r="AA56" s="69">
        <f t="shared" si="6"/>
        <v>10.501800000000001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7"/>
        <v>0151-11</v>
      </c>
      <c r="AE56" s="94" t="str">
        <f t="shared" si="8"/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56" s="91" t="str">
        <f t="shared" si="9"/>
        <v>"C:\Program Files (x86)\AstroGrep\AstroGrep.exe" /spath="%USERPROFILE%\AppData\Local\Temp\OnboardLogs" /stypes="app*4040*20161011*" /stext=" 16:.+((SYSTEM_STATE.+slice.+state.+changed )|(ment ac)|(system.+state.+changed )|(\[timeout)|(PRM\|1\|D)|(kpr)|(kdp)|(\|lc)|(penalty))" /e /r /s</v>
      </c>
      <c r="AG56" s="1" t="str">
        <f t="shared" si="10"/>
        <v>EC</v>
      </c>
      <c r="AH56" s="95" t="str">
        <f t="shared" si="13"/>
        <v>"%USERPROFILE%\Documents\GitHub\eaglep3\Utilities\RefineRTDCRunTimes.py" --tripid 151-11 --locoid 4040 --swversion DE.1.0.7.0 --startMP 204:128269 --initTime 2016-10-11T10:24:36 --startdatetime 2016-10-11T10:25:32 --delay 0 --endMP 204:233287 --enddatetime 2016-10-11T10:39:19 --enforcementcount 0 &gt;&gt;C:\Users\stu\Documents\GitHub\eaglep3-reporting\EC\2016-10-11-refined-times.txt</v>
      </c>
      <c r="AI56" s="129" t="str">
        <f t="shared" si="14"/>
        <v>echo {"issue":{"subject":"CP 40th stuck in STOP due to CP 61st network failure","project_id":79,"tracker_id":40,"status_id":1,"priority_id":2,"assigned_to_id":23,"start_date":"2016-10-11","description":"CP 40th 2N was stuck at STOP likely due to the fact that CP 61st was out of correspondence","custom_fields":[{"id":1,"name":"Subdivision","value":"EC"},{"id":4,"name":"Milepost","value":"23.3287"},{"id":17,"name":"Train ID","value":"151-11"},{"id":16,"name":"Locomotive ID","value":"4040"},{"id":130,"name":"Impact","value":"Unexpected Cut-Out or Disengaged"},{"id":150,"name":"Time of Event (Mountain Time)","value":"10:39:19"},{"id":151,"name":"Denver Issue ID","value":""},{"id":178,"name":"Operational Impact","value":"Yes"},{"id":179,"name":"Denver Segment Assigned","value":"Comms"}]}} | curl -X POST -H "Content-Type: application/json" -H "X-Redmine-API-Key: d6333d4a04012a730768444271f8ca06482dae87" https://secure.xorail.net/redmine/issues.json --data @-</v>
      </c>
      <c r="AJ56" s="55" t="s">
        <v>770</v>
      </c>
      <c r="AK56" s="55" t="s">
        <v>140</v>
      </c>
      <c r="AL56" s="55" t="s">
        <v>145</v>
      </c>
    </row>
    <row r="57" spans="1:38" s="1" customFormat="1" x14ac:dyDescent="0.25">
      <c r="A57" s="39" t="s">
        <v>439</v>
      </c>
      <c r="B57" s="7">
        <v>4040</v>
      </c>
      <c r="C57" s="24" t="s">
        <v>106</v>
      </c>
      <c r="D57" s="24" t="s">
        <v>423</v>
      </c>
      <c r="E57" s="15">
        <v>42654.413298611114</v>
      </c>
      <c r="F57" s="15">
        <v>42654.414351851854</v>
      </c>
      <c r="G57" s="7">
        <v>1</v>
      </c>
      <c r="H57" s="15" t="s">
        <v>357</v>
      </c>
      <c r="I57" s="15">
        <v>42654.429155092592</v>
      </c>
      <c r="J57" s="7">
        <v>0</v>
      </c>
      <c r="K57" s="116" t="str">
        <f t="shared" si="0"/>
        <v>4039/4040</v>
      </c>
      <c r="L57" s="24" t="str">
        <f>VLOOKUP(A57,'Trips&amp;Operators'!$C$1:$E$10000,3,FALSE)</f>
        <v>KILLION</v>
      </c>
      <c r="M57" s="6">
        <f t="shared" si="1"/>
        <v>1.4803240737819578E-2</v>
      </c>
      <c r="N57" s="7"/>
      <c r="O57" s="7"/>
      <c r="P57" s="7"/>
      <c r="Q57" s="25"/>
      <c r="R57" s="25"/>
      <c r="S57" s="37"/>
      <c r="T57" s="52" t="str">
        <f t="shared" si="3"/>
        <v>NorthBound</v>
      </c>
      <c r="U57" s="15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10</v>
      </c>
      <c r="V5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08:55:09-0600',mode:absolute,to:'2016-10-11 11:17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7" s="54" t="str">
        <f t="shared" si="5"/>
        <v>Y</v>
      </c>
      <c r="X57" s="163">
        <f t="shared" si="24"/>
        <v>0</v>
      </c>
      <c r="Y57" s="69">
        <f t="shared" si="25"/>
        <v>4.7100000000000003E-2</v>
      </c>
      <c r="Z57" s="69">
        <f t="shared" si="26"/>
        <v>8.6374999999999993</v>
      </c>
      <c r="AA57" s="69">
        <f t="shared" si="6"/>
        <v>8.5903999999999989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7"/>
        <v>0151-11</v>
      </c>
      <c r="AE57" s="94" t="str">
        <f t="shared" si="8"/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57" s="91" t="str">
        <f t="shared" si="9"/>
        <v>"C:\Program Files (x86)\AstroGrep\AstroGrep.exe" /spath="%USERPROFILE%\AppData\Local\Temp\OnboardLogs" /stypes="app*4040*20161011*" /stext=" 16:.+((SYSTEM_STATE.+slice.+state.+changed )|(ment ac)|(system.+state.+changed )|(\[timeout)|(PRM\|1\|D)|(kpr)|(kdp)|(\|lc)|(penalty))" /e /r /s</v>
      </c>
      <c r="AG57" s="1" t="str">
        <f t="shared" si="10"/>
        <v>EC</v>
      </c>
      <c r="AH57" s="95" t="str">
        <f t="shared" si="13"/>
        <v>"%USERPROFILE%\Documents\GitHub\eaglep3\Utilities\RefineRTDCRunTimes.py" --tripid 151-11 --locoid 4040 --swversion DE.1.0.7.0 --startMP 204:471 --initTime 2016-10-11T09:55:09 --startdatetime 2016-10-11T09:56:40 --delay 1 --endMP 204:86375 --enddatetime 2016-10-11T10:17:59 --enforcementcount 0 &gt;&gt;C:\Users\stu\Documents\GitHub\eaglep3-reporting\EC\2016-10-11-refined-times.txt</v>
      </c>
      <c r="AI57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{"issue":{"subject":"","project_id":79,"tracker_id":40,"status_id":1,"priority_id":2,"assigned_to_id":23,"start_date":"2016-10-11","description":"","custom_fields":[{"id":1,"name":"Subdivision","value":"EC"},{"id":4,"name":"Milepost","value":"8.6375"},{"id":17,"name":"Train ID","value":"151-11"},{"id":16,"name":"Locomotive ID","value":"4040"},{"id":130,"name":"Impact","value":""},{"id":150,"name":"Time of Event (Mountain Time)","value":"10:17:59"},{"id":151,"name":"Denver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441</v>
      </c>
      <c r="B58" s="7">
        <v>4039</v>
      </c>
      <c r="C58" s="24" t="s">
        <v>106</v>
      </c>
      <c r="D58" s="24" t="s">
        <v>349</v>
      </c>
      <c r="E58" s="15">
        <v>42654.449155092596</v>
      </c>
      <c r="F58" s="15">
        <v>42654.450057870374</v>
      </c>
      <c r="G58" s="7">
        <v>1</v>
      </c>
      <c r="H58" s="15" t="s">
        <v>442</v>
      </c>
      <c r="I58" s="15">
        <v>42654.467395833337</v>
      </c>
      <c r="J58" s="7">
        <v>0</v>
      </c>
      <c r="K58" s="116" t="str">
        <f t="shared" si="0"/>
        <v>4039/4040</v>
      </c>
      <c r="L58" s="24" t="str">
        <f>VLOOKUP(A58,'Trips&amp;Operators'!$C$1:$E$10000,3,FALSE)</f>
        <v>KILLION</v>
      </c>
      <c r="M58" s="6">
        <f t="shared" si="1"/>
        <v>1.7337962963210884E-2</v>
      </c>
      <c r="N58" s="7"/>
      <c r="O58" s="7"/>
      <c r="P58" s="7">
        <f>24*60*SUM($M58:$M59)</f>
        <v>43.550000006798655</v>
      </c>
      <c r="Q58" s="25"/>
      <c r="R58" s="25" t="s">
        <v>771</v>
      </c>
      <c r="S58" s="37">
        <f>SUM(U58:U59)/IF(AG58="EC",12,1)</f>
        <v>0.83333333333333337</v>
      </c>
      <c r="T58" s="52" t="str">
        <f t="shared" si="3"/>
        <v>Southbound</v>
      </c>
      <c r="U58" s="15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0</v>
      </c>
      <c r="V5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09:46:47-0600',mode:absolute,to:'2016-10-11 12:13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8" s="54" t="str">
        <f t="shared" si="5"/>
        <v>Y</v>
      </c>
      <c r="X58" s="163">
        <f t="shared" si="24"/>
        <v>1</v>
      </c>
      <c r="Y58" s="69">
        <f t="shared" si="25"/>
        <v>23.297000000000001</v>
      </c>
      <c r="Z58" s="69">
        <f t="shared" si="26"/>
        <v>12.7857</v>
      </c>
      <c r="AA58" s="69">
        <f t="shared" si="6"/>
        <v>10.5113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7"/>
        <v>0152-11</v>
      </c>
      <c r="AE58" s="94" t="str">
        <f t="shared" si="8"/>
        <v>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 &amp; 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</v>
      </c>
      <c r="AF58" s="91" t="str">
        <f t="shared" si="9"/>
        <v>"C:\Program Files (x86)\AstroGrep\AstroGrep.exe" /spath="%USERPROFILE%\AppData\Local\Temp\OnboardLogs" /stypes="app*4039*20161011*" /stext=" 17:.+((SYSTEM_STATE.+slice.+state.+changed )|(ment ac)|(system.+state.+changed )|(\[timeout)|(PRM\|1\|D)|(kpr)|(kdp)|(\|lc)|(penalty))" /e /r /s</v>
      </c>
      <c r="AG58" s="1" t="str">
        <f t="shared" si="10"/>
        <v>EC</v>
      </c>
      <c r="AH58" s="95" t="str">
        <f t="shared" si="13"/>
        <v>"%USERPROFILE%\Documents\GitHub\eaglep3\Utilities\RefineRTDCRunTimes.py" --tripid 152-11 --locoid 4039 --swversion DE.1.0.7.0 --startMP 204:232970 --initTime 2016-10-11T10:46:47 --startdatetime 2016-10-11T10:48:05 --delay 1 --endMP 204:127857 --enddatetime 2016-10-11T11:13:03 --enforcementcount 0 &gt;&gt;C:\Users\stu\Documents\GitHub\eaglep3-reporting\EC\2016-10-11-refined-times.txt</v>
      </c>
      <c r="AI58" s="129" t="str">
        <f t="shared" si="14"/>
        <v>echo {"issue":{"subject":"Operator pressed PROTECTED BY 2 FLAGGERS for Form C @ MP 10.3738 - was this correct?","project_id":79,"tracker_id":40,"status_id":1,"priority_id":2,"assigned_to_id":23,"start_date":"2016-10-11","description":"Operator pressed YES and then 2 for Form C at MP 10.37. Doesn’t seem correct, but will need confirmation from ops notes","custom_fields":[{"id":1,"name":"Subdivision","value":"EC"},{"id":4,"name":"Milepost","value":"12.7857"},{"id":17,"name":"Train ID","value":"152-11"},{"id":16,"name":"Locomotive ID","value":"4039"},{"id":130,"name":"Impact","value":"Unexpected Cut-Out or Disengaged"},{"id":150,"name":"Time of Event (Mountain Time)","value":"11:13:03"},{"id":151,"name":"Denver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58" s="55" t="s">
        <v>772</v>
      </c>
      <c r="AK58" s="55" t="s">
        <v>140</v>
      </c>
      <c r="AL58" s="55" t="s">
        <v>152</v>
      </c>
    </row>
    <row r="59" spans="1:38" s="1" customFormat="1" x14ac:dyDescent="0.25">
      <c r="A59" s="39" t="s">
        <v>441</v>
      </c>
      <c r="B59" s="7">
        <v>4039</v>
      </c>
      <c r="C59" s="24" t="s">
        <v>106</v>
      </c>
      <c r="D59" s="24" t="s">
        <v>443</v>
      </c>
      <c r="E59" s="15">
        <v>42654.471180555556</v>
      </c>
      <c r="F59" s="15">
        <v>42654.471817129626</v>
      </c>
      <c r="G59" s="7">
        <v>0</v>
      </c>
      <c r="H59" s="15" t="s">
        <v>189</v>
      </c>
      <c r="I59" s="15">
        <v>42654.484722222223</v>
      </c>
      <c r="J59" s="7">
        <v>0</v>
      </c>
      <c r="K59" s="116" t="str">
        <f t="shared" si="0"/>
        <v>4039/4040</v>
      </c>
      <c r="L59" s="24" t="str">
        <f>VLOOKUP(A59,'Trips&amp;Operators'!$C$1:$E$10000,3,FALSE)</f>
        <v>KILLION</v>
      </c>
      <c r="M59" s="6">
        <f t="shared" si="1"/>
        <v>1.2905092597065959E-2</v>
      </c>
      <c r="N59" s="7"/>
      <c r="O59" s="7"/>
      <c r="P59" s="7"/>
      <c r="Q59" s="25"/>
      <c r="R59" s="25"/>
      <c r="S59" s="37"/>
      <c r="T59" s="52" t="str">
        <f t="shared" si="3"/>
        <v>Southbound</v>
      </c>
      <c r="U59" s="15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10</v>
      </c>
      <c r="V5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10:18:30-0600',mode:absolute,to:'2016-10-11 12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9" s="54" t="str">
        <f t="shared" si="5"/>
        <v>Y</v>
      </c>
      <c r="X59" s="163">
        <f t="shared" si="24"/>
        <v>0</v>
      </c>
      <c r="Y59" s="69">
        <f t="shared" si="25"/>
        <v>8.6350999999999996</v>
      </c>
      <c r="Z59" s="69">
        <f t="shared" si="26"/>
        <v>1.4999999999999999E-2</v>
      </c>
      <c r="AA59" s="69">
        <f t="shared" si="6"/>
        <v>8.620099999999999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7"/>
        <v>0152-11</v>
      </c>
      <c r="AE59" s="94" t="str">
        <f t="shared" si="8"/>
        <v>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 &amp; 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</v>
      </c>
      <c r="AF59" s="91" t="str">
        <f t="shared" si="9"/>
        <v>"C:\Program Files (x86)\AstroGrep\AstroGrep.exe" /spath="%USERPROFILE%\AppData\Local\Temp\OnboardLogs" /stypes="app*4039*20161011*" /stext=" 17:.+((SYSTEM_STATE.+slice.+state.+changed )|(ment ac)|(system.+state.+changed )|(\[timeout)|(PRM\|1\|D)|(kpr)|(kdp)|(\|lc)|(penalty))" /e /r /s</v>
      </c>
      <c r="AG59" s="1" t="str">
        <f t="shared" si="10"/>
        <v>EC</v>
      </c>
      <c r="AH59" s="95" t="str">
        <f t="shared" si="13"/>
        <v>"%USERPROFILE%\Documents\GitHub\eaglep3\Utilities\RefineRTDCRunTimes.py" --tripid 152-11 --locoid 4039 --swversion DE.1.0.7.0 --startMP 204:86351 --initTime 2016-10-11T11:18:30 --startdatetime 2016-10-11T11:19:25 --delay 0 --endMP 204:150 --enddatetime 2016-10-11T11:38:00 --enforcementcount 0 &gt;&gt;C:\Users\stu\Documents\GitHub\eaglep3-reporting\EC\2016-10-11-refined-times.txt</v>
      </c>
      <c r="AI59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{"issue":{"subject":"","project_id":79,"tracker_id":40,"status_id":1,"priority_id":2,"assigned_to_id":23,"start_date":"2016-10-11","description":"","custom_fields":[{"id":1,"name":"Subdivision","value":"EC"},{"id":4,"name":"Milepost","value":"0.015"},{"id":17,"name":"Train ID","value":"152-11"},{"id":16,"name":"Locomotive ID","value":"4039"},{"id":130,"name":"Impact","value":""},{"id":150,"name":"Time of Event (Mountain Time)","value":"11:38:00"},{"id":151,"name":"Denver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444</v>
      </c>
      <c r="B60" s="7">
        <v>4029</v>
      </c>
      <c r="C60" s="24" t="s">
        <v>106</v>
      </c>
      <c r="D60" s="24" t="s">
        <v>445</v>
      </c>
      <c r="E60" s="15">
        <v>42654.427673611113</v>
      </c>
      <c r="F60" s="15">
        <v>42654.428888888891</v>
      </c>
      <c r="G60" s="7">
        <v>1</v>
      </c>
      <c r="H60" s="15" t="s">
        <v>446</v>
      </c>
      <c r="I60" s="15">
        <v>42654.431331018517</v>
      </c>
      <c r="J60" s="7">
        <v>2</v>
      </c>
      <c r="K60" s="116" t="str">
        <f t="shared" si="0"/>
        <v>4029/4030</v>
      </c>
      <c r="L60" s="24" t="str">
        <f>VLOOKUP(A60,'Trips&amp;Operators'!$C$1:$E$10000,3,FALSE)</f>
        <v>SANTIZO</v>
      </c>
      <c r="M60" s="6">
        <f t="shared" si="1"/>
        <v>2.4421296257060021E-3</v>
      </c>
      <c r="N60" s="7"/>
      <c r="O60" s="7"/>
      <c r="P60" s="7">
        <f>24*60*SUM($M60:$M61)</f>
        <v>35.066666660131887</v>
      </c>
      <c r="Q60" s="25"/>
      <c r="R60" s="25" t="s">
        <v>773</v>
      </c>
      <c r="S60" s="37">
        <f>SUM(U60:U61)/IF(AG60="EC",12,1)</f>
        <v>1</v>
      </c>
      <c r="T60" s="52" t="str">
        <f t="shared" si="3"/>
        <v>NorthBound</v>
      </c>
      <c r="U60" s="15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09:15:51-0600',mode:absolute,to:'2016-10-11 11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0" s="54" t="str">
        <f t="shared" si="5"/>
        <v>Y</v>
      </c>
      <c r="X60" s="163">
        <f t="shared" si="24"/>
        <v>1</v>
      </c>
      <c r="Y60" s="69">
        <f t="shared" si="25"/>
        <v>0.14749999999999999</v>
      </c>
      <c r="Z60" s="69">
        <f t="shared" si="26"/>
        <v>0.1865</v>
      </c>
      <c r="AA60" s="69">
        <f t="shared" si="6"/>
        <v>3.9000000000000007E-2</v>
      </c>
      <c r="AB60" s="66" t="str">
        <f>VLOOKUP(A60,Enforcements!$C$7:$K$21,8,0)</f>
        <v>Signal based authority (5)</v>
      </c>
      <c r="AC60" s="62" t="str">
        <f>VLOOKUP(A60,Enforcements!$C$7:$E$21,3,0)</f>
        <v>SIGNAL</v>
      </c>
      <c r="AD60" s="63" t="str">
        <f t="shared" si="7"/>
        <v>0153-11</v>
      </c>
      <c r="AE60" s="94" t="str">
        <f t="shared" si="8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60" s="91" t="str">
        <f t="shared" si="9"/>
        <v>"C:\Program Files (x86)\AstroGrep\AstroGrep.exe" /spath="%USERPROFILE%\AppData\Local\Temp\OnboardLogs" /stypes="app*4029*20161011*" /stext=" 16:.+((SYSTEM_STATE.+slice.+state.+changed )|(ment ac)|(system.+state.+changed )|(\[timeout)|(PRM\|1\|D)|(kpr)|(kdp)|(\|lc)|(penalty))" /e /r /s</v>
      </c>
      <c r="AG60" s="1" t="str">
        <f t="shared" si="10"/>
        <v>EC</v>
      </c>
      <c r="AH60" s="95" t="str">
        <f t="shared" si="13"/>
        <v>"%USERPROFILE%\Documents\GitHub\eaglep3\Utilities\RefineRTDCRunTimes.py" --tripid 153-11 --locoid 4029 --swversion DE.1.0.7.0 --startMP 204:1475 --initTime 2016-10-11T10:15:51 --startdatetime 2016-10-11T10:17:36 --delay 1 --endMP 204:1865 --enddatetime 2016-10-11T10:21:07 --enforcementcount 2 &gt;&gt;C:\Users\stu\Documents\GitHub\eaglep3-reporting\EC\2016-10-11-refined-times.txt</v>
      </c>
      <c r="AI60" s="129" t="str">
        <f t="shared" si="14"/>
        <v>echo {"issue":{"subject":"Departure from Main 3","project_id":79,"tracker_id":40,"status_id":1,"priority_id":2,"assigned_to_id":23,"start_date":"2016-10-11","description":"Departure from Main 3, really short exit track","custom_fields":[{"id":1,"name":"Subdivision","value":"EC"},{"id":4,"name":"Milepost","value":"0.1865"},{"id":17,"name":"Train ID","value":"153-11"},{"id":16,"name":"Locomotive ID","value":"4029"},{"id":130,"name":"Impact","value":"Unexpected Cut-Out or Disengaged"},{"id":150,"name":"Time of Event (Mountain Time)","value":"10:21:07"},{"id":151,"name":"Denver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0" s="55" t="s">
        <v>774</v>
      </c>
      <c r="AK60" s="55" t="s">
        <v>140</v>
      </c>
      <c r="AL60" s="55" t="s">
        <v>198</v>
      </c>
    </row>
    <row r="61" spans="1:38" s="1" customFormat="1" x14ac:dyDescent="0.25">
      <c r="A61" s="39" t="s">
        <v>444</v>
      </c>
      <c r="B61" s="7">
        <v>4029</v>
      </c>
      <c r="C61" s="24" t="s">
        <v>106</v>
      </c>
      <c r="D61" s="24" t="s">
        <v>447</v>
      </c>
      <c r="E61" s="15">
        <v>42654.434039351851</v>
      </c>
      <c r="F61" s="15">
        <v>42654.434849537036</v>
      </c>
      <c r="G61" s="7">
        <v>1</v>
      </c>
      <c r="H61" s="15" t="s">
        <v>228</v>
      </c>
      <c r="I61" s="15">
        <v>42654.456759259258</v>
      </c>
      <c r="J61" s="7">
        <v>0</v>
      </c>
      <c r="K61" s="116" t="str">
        <f t="shared" si="0"/>
        <v>4029/4030</v>
      </c>
      <c r="L61" s="24" t="str">
        <f>VLOOKUP(A61,'Trips&amp;Operators'!$C$1:$E$10000,3,FALSE)</f>
        <v>SANTIZO</v>
      </c>
      <c r="M61" s="6">
        <f t="shared" si="1"/>
        <v>2.1909722221607808E-2</v>
      </c>
      <c r="N61" s="7"/>
      <c r="O61" s="7"/>
      <c r="P61" s="7"/>
      <c r="Q61" s="25"/>
      <c r="R61" s="25"/>
      <c r="S61" s="37"/>
      <c r="T61" s="52" t="str">
        <f t="shared" si="3"/>
        <v>NorthBound</v>
      </c>
      <c r="U61" s="15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09:25:01-0600',mode:absolute,to:'2016-10-11 11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1" s="54" t="str">
        <f t="shared" si="5"/>
        <v>Y</v>
      </c>
      <c r="X61" s="163">
        <f t="shared" si="24"/>
        <v>0</v>
      </c>
      <c r="Y61" s="69">
        <f t="shared" si="25"/>
        <v>1.9125000000000001</v>
      </c>
      <c r="Z61" s="69">
        <f t="shared" si="26"/>
        <v>23.329899999999999</v>
      </c>
      <c r="AA61" s="69">
        <f t="shared" si="6"/>
        <v>21.417399999999997</v>
      </c>
      <c r="AB61" s="66" t="str">
        <f>VLOOKUP(A61,Enforcements!$C$7:$K$21,8,0)</f>
        <v>Signal based authority (5)</v>
      </c>
      <c r="AC61" s="62" t="str">
        <f>VLOOKUP(A61,Enforcements!$C$7:$E$21,3,0)</f>
        <v>SIGNAL</v>
      </c>
      <c r="AD61" s="63" t="str">
        <f t="shared" si="7"/>
        <v>0153-11</v>
      </c>
      <c r="AE61" s="94" t="str">
        <f t="shared" si="8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61" s="91" t="str">
        <f t="shared" si="9"/>
        <v>"C:\Program Files (x86)\AstroGrep\AstroGrep.exe" /spath="%USERPROFILE%\AppData\Local\Temp\OnboardLogs" /stypes="app*4029*20161011*" /stext=" 16:.+((SYSTEM_STATE.+slice.+state.+changed )|(ment ac)|(system.+state.+changed )|(\[timeout)|(PRM\|1\|D)|(kpr)|(kdp)|(\|lc)|(penalty))" /e /r /s</v>
      </c>
      <c r="AG61" s="1" t="str">
        <f t="shared" si="10"/>
        <v>EC</v>
      </c>
      <c r="AH61" s="95" t="str">
        <f t="shared" si="13"/>
        <v>"%USERPROFILE%\Documents\GitHub\eaglep3\Utilities\RefineRTDCRunTimes.py" --tripid 153-11 --locoid 4029 --swversion DE.1.0.7.0 --startMP 204:19125 --initTime 2016-10-11T10:25:01 --startdatetime 2016-10-11T10:26:11 --delay 1 --endMP 204:233299 --enddatetime 2016-10-11T10:57:44 --enforcementcount 0 &gt;&gt;C:\Users\stu\Documents\GitHub\eaglep3-reporting\EC\2016-10-11-refined-times.txt</v>
      </c>
      <c r="AI61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{"issue":{"subject":"","project_id":79,"tracker_id":40,"status_id":1,"priority_id":2,"assigned_to_id":23,"start_date":"2016-10-11","description":"","custom_fields":[{"id":1,"name":"Subdivision","value":"EC"},{"id":4,"name":"Milepost","value":"23.3299"},{"id":17,"name":"Train ID","value":"153-11"},{"id":16,"name":"Locomotive ID","value":"4029"},{"id":130,"name":"Impact","value":""},{"id":150,"name":"Time of Event (Mountain Time)","value":"10:57:44"},{"id":151,"name":"Denver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448</v>
      </c>
      <c r="B62" s="7">
        <v>4030</v>
      </c>
      <c r="C62" s="24" t="s">
        <v>106</v>
      </c>
      <c r="D62" s="24" t="s">
        <v>287</v>
      </c>
      <c r="E62" s="15">
        <v>42654.457800925928</v>
      </c>
      <c r="F62" s="15">
        <v>42654.466168981482</v>
      </c>
      <c r="G62" s="7">
        <v>1</v>
      </c>
      <c r="H62" s="15" t="s">
        <v>187</v>
      </c>
      <c r="I62" s="15">
        <v>42654.493414351855</v>
      </c>
      <c r="J62" s="7">
        <v>0</v>
      </c>
      <c r="K62" s="116" t="str">
        <f t="shared" si="0"/>
        <v>4029/4030</v>
      </c>
      <c r="L62" s="24" t="str">
        <f>VLOOKUP(A62,'Trips&amp;Operators'!$C$1:$E$10000,3,FALSE)</f>
        <v>SANTIZO</v>
      </c>
      <c r="M62" s="6">
        <f t="shared" si="1"/>
        <v>2.7245370372838806E-2</v>
      </c>
      <c r="N62" s="7">
        <f t="shared" ref="N62:P69" si="27">24*60*SUM($M62:$M62)</f>
        <v>39.233333336887881</v>
      </c>
      <c r="O62" s="7"/>
      <c r="P62" s="7"/>
      <c r="Q62" s="25"/>
      <c r="R62" s="25"/>
      <c r="S62" s="37">
        <f t="shared" ref="S62:S93" si="28">SUM(U62:U62)/IF(AG62="EC",12,1)</f>
        <v>1</v>
      </c>
      <c r="T62" s="52" t="str">
        <f t="shared" si="3"/>
        <v>Southbound</v>
      </c>
      <c r="U62" s="15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09:59:14-0600',mode:absolute,to:'2016-10-11 12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2" s="54" t="str">
        <f t="shared" si="5"/>
        <v>N</v>
      </c>
      <c r="X62" s="163">
        <f t="shared" si="24"/>
        <v>1</v>
      </c>
      <c r="Y62" s="69">
        <f t="shared" si="25"/>
        <v>23.299199999999999</v>
      </c>
      <c r="Z62" s="69">
        <f t="shared" si="26"/>
        <v>1.47E-2</v>
      </c>
      <c r="AA62" s="69">
        <f t="shared" si="6"/>
        <v>23.284499999999998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7"/>
        <v>0154-11</v>
      </c>
      <c r="AE62" s="94" t="str">
        <f t="shared" si="8"/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AF62" s="91" t="str">
        <f t="shared" si="9"/>
        <v>"C:\Program Files (x86)\AstroGrep\AstroGrep.exe" /spath="%USERPROFILE%\AppData\Local\Temp\OnboardLogs" /stypes="app*4030*20161011*" /stext=" 17:.+((SYSTEM_STATE.+slice.+state.+changed )|(ment ac)|(system.+state.+changed )|(\[timeout)|(PRM\|1\|D)|(kpr)|(kdp)|(\|lc)|(penalty))" /e /r /s</v>
      </c>
      <c r="AG62" s="1" t="str">
        <f t="shared" si="10"/>
        <v>EC</v>
      </c>
      <c r="AH62" s="95" t="str">
        <f t="shared" si="13"/>
        <v>"%USERPROFILE%\Documents\GitHub\eaglep3\Utilities\RefineRTDCRunTimes.py" --tripid 154-11 --locoid 4030 --swversion DE.1.0.7.0 --startMP 204:232992 --initTime 2016-10-11T10:59:14 --startdatetime 2016-10-11T11:11:17 --delay 1 --endMP 204:147 --enddatetime 2016-10-11T11:50:31 --enforcementcount 0 &gt;&gt;C:\Users\stu\Documents\GitHub\eaglep3-reporting\EC\2016-10-11-refined-times.txt</v>
      </c>
      <c r="AI62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{"issue":{"subject":"","project_id":79,"tracker_id":40,"status_id":1,"priority_id":2,"assigned_to_id":23,"start_date":"2016-10-11","description":"","custom_fields":[{"id":1,"name":"Subdivision","value":"EC"},{"id":4,"name":"Milepost","value":"0.0147"},{"id":17,"name":"Train ID","value":"154-11"},{"id":16,"name":"Locomotive ID","value":"4030"},{"id":130,"name":"Impact","value":""},{"id":150,"name":"Time of Event (Mountain Time)","value":"11:50:31"},{"id":151,"name":"Denver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449</v>
      </c>
      <c r="B63" s="7">
        <v>4016</v>
      </c>
      <c r="C63" s="24" t="s">
        <v>106</v>
      </c>
      <c r="D63" s="24" t="s">
        <v>222</v>
      </c>
      <c r="E63" s="15">
        <v>42654.433541666665</v>
      </c>
      <c r="F63" s="15">
        <v>42654.437974537039</v>
      </c>
      <c r="G63" s="7">
        <v>1</v>
      </c>
      <c r="H63" s="15" t="s">
        <v>305</v>
      </c>
      <c r="I63" s="15">
        <v>42654.46398148148</v>
      </c>
      <c r="J63" s="7">
        <v>0</v>
      </c>
      <c r="K63" s="116" t="str">
        <f t="shared" si="0"/>
        <v>4015/4016</v>
      </c>
      <c r="L63" s="24" t="str">
        <f>VLOOKUP(A63,'Trips&amp;Operators'!$C$1:$E$10000,3,FALSE)</f>
        <v>HILLS</v>
      </c>
      <c r="M63" s="6">
        <f t="shared" si="1"/>
        <v>2.6006944441178348E-2</v>
      </c>
      <c r="N63" s="7">
        <f t="shared" si="27"/>
        <v>37.449999995296821</v>
      </c>
      <c r="O63" s="7"/>
      <c r="P63" s="7"/>
      <c r="Q63" s="25"/>
      <c r="R63" s="25"/>
      <c r="S63" s="37">
        <f t="shared" si="28"/>
        <v>1</v>
      </c>
      <c r="T63" s="52" t="str">
        <f t="shared" si="3"/>
        <v>NorthBound</v>
      </c>
      <c r="U63" s="15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09:24:18-0600',mode:absolute,to:'2016-10-11 12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3" s="54" t="str">
        <f t="shared" si="5"/>
        <v>N</v>
      </c>
      <c r="X63" s="163">
        <f t="shared" si="24"/>
        <v>1</v>
      </c>
      <c r="Y63" s="69">
        <f t="shared" si="25"/>
        <v>4.4699999999999997E-2</v>
      </c>
      <c r="Z63" s="69">
        <f t="shared" si="26"/>
        <v>23.331</v>
      </c>
      <c r="AA63" s="69">
        <f t="shared" si="6"/>
        <v>23.286300000000001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7"/>
        <v>0155-11</v>
      </c>
      <c r="AE63" s="94" t="str">
        <f t="shared" si="8"/>
        <v>aws s3 cp s3://rtdc.mdm.uploadarchive.raw/RTDC4016/ "%USERPROFILE%\AppData\Local\Temp\OnboardLogs"\RTDC4016\2016-10-11 --exclude "*" --recursive --include "*20161011*" &amp; "%USERPROFILE%\Documents\GitHub\mrs-test-scripts\Headless Mode &amp; Sideloading\WalkAndUnGZ.bat" "%USERPROFILE%\AppData\Local\Temp\OnboardLogs"\RTDC4016\2016-10-11 &amp; 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</v>
      </c>
      <c r="AF63" s="91" t="str">
        <f t="shared" si="9"/>
        <v>"C:\Program Files (x86)\AstroGrep\AstroGrep.exe" /spath="%USERPROFILE%\AppData\Local\Temp\OnboardLogs" /stypes="app*4016*20161011*" /stext=" 17:.+((SYSTEM_STATE.+slice.+state.+changed )|(ment ac)|(system.+state.+changed )|(\[timeout)|(PRM\|1\|D)|(kpr)|(kdp)|(\|lc)|(penalty))" /e /r /s</v>
      </c>
      <c r="AG63" s="1" t="str">
        <f t="shared" si="10"/>
        <v>EC</v>
      </c>
      <c r="AH63" s="95" t="str">
        <f t="shared" si="13"/>
        <v>"%USERPROFILE%\Documents\GitHub\eaglep3\Utilities\RefineRTDCRunTimes.py" --tripid 155-11 --locoid 4016 --swversion DE.1.0.7.0 --startMP 204:447 --initTime 2016-10-11T10:24:18 --startdatetime 2016-10-11T10:30:41 --delay 1 --endMP 204:233310 --enddatetime 2016-10-11T11:08:08 --enforcementcount 0 &gt;&gt;C:\Users\stu\Documents\GitHub\eaglep3-reporting\EC\2016-10-11-refined-times.txt</v>
      </c>
      <c r="AI63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{"issue":{"subject":"","project_id":79,"tracker_id":40,"status_id":1,"priority_id":2,"assigned_to_id":23,"start_date":"2016-10-11","description":"","custom_fields":[{"id":1,"name":"Subdivision","value":"EC"},{"id":4,"name":"Milepost","value":"23.331"},{"id":17,"name":"Train ID","value":"155-11"},{"id":16,"name":"Locomotive ID","value":"4016"},{"id":130,"name":"Impact","value":""},{"id":150,"name":"Time of Event (Mountain Time)","value":"11:08:08"},{"id":151,"name":"Denver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450</v>
      </c>
      <c r="B64" s="7">
        <v>4015</v>
      </c>
      <c r="C64" s="24" t="s">
        <v>106</v>
      </c>
      <c r="D64" s="24" t="s">
        <v>355</v>
      </c>
      <c r="E64" s="15">
        <v>42654.468217592592</v>
      </c>
      <c r="F64" s="15">
        <v>42654.4765625</v>
      </c>
      <c r="G64" s="7">
        <v>2</v>
      </c>
      <c r="H64" s="15" t="s">
        <v>190</v>
      </c>
      <c r="I64" s="15">
        <v>42654.503553240742</v>
      </c>
      <c r="J64" s="7">
        <v>0</v>
      </c>
      <c r="K64" s="116" t="str">
        <f t="shared" si="0"/>
        <v>4015/4016</v>
      </c>
      <c r="L64" s="24" t="str">
        <f>VLOOKUP(A64,'Trips&amp;Operators'!$C$1:$E$10000,3,FALSE)</f>
        <v>HILLS</v>
      </c>
      <c r="M64" s="6">
        <f t="shared" si="1"/>
        <v>2.6990740741894115E-2</v>
      </c>
      <c r="N64" s="7">
        <f t="shared" si="27"/>
        <v>38.866666668327525</v>
      </c>
      <c r="O64" s="7"/>
      <c r="P64" s="7"/>
      <c r="Q64" s="25"/>
      <c r="R64" s="25"/>
      <c r="S64" s="37">
        <f t="shared" si="28"/>
        <v>1</v>
      </c>
      <c r="T64" s="52" t="str">
        <f t="shared" si="3"/>
        <v>Southbound</v>
      </c>
      <c r="U64" s="15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10:14:14-0600',mode:absolute,to:'2016-10-11 13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4" s="54" t="str">
        <f t="shared" si="5"/>
        <v>N</v>
      </c>
      <c r="X64" s="163">
        <f t="shared" si="24"/>
        <v>1</v>
      </c>
      <c r="Y64" s="69">
        <f t="shared" si="25"/>
        <v>23.301500000000001</v>
      </c>
      <c r="Z64" s="69">
        <f t="shared" si="26"/>
        <v>1.52E-2</v>
      </c>
      <c r="AA64" s="69">
        <f t="shared" si="6"/>
        <v>23.286300000000001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7"/>
        <v>0156-11</v>
      </c>
      <c r="AE64" s="94" t="str">
        <f t="shared" si="8"/>
        <v>aws s3 cp s3://rtdc.mdm.uploadarchive.raw/RTDC4015/ "%USERPROFILE%\AppData\Local\Temp\OnboardLogs"\RTDC4015\2016-10-11 --exclude "*" --recursive --include "*20161011*" &amp; "%USERPROFILE%\Documents\GitHub\mrs-test-scripts\Headless Mode &amp; Sideloading\WalkAndUnGZ.bat" "%USERPROFILE%\AppData\Local\Temp\OnboardLogs"\RTDC4015\2016-10-11 &amp; 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</v>
      </c>
      <c r="AF64" s="91" t="str">
        <f t="shared" si="9"/>
        <v>"C:\Program Files (x86)\AstroGrep\AstroGrep.exe" /spath="%USERPROFILE%\AppData\Local\Temp\OnboardLogs" /stypes="app*4015*20161011*" /stext=" 18:.+((SYSTEM_STATE.+slice.+state.+changed )|(ment ac)|(system.+state.+changed )|(\[timeout)|(PRM\|1\|D)|(kpr)|(kdp)|(\|lc)|(penalty))" /e /r /s</v>
      </c>
      <c r="AG64" s="1" t="str">
        <f t="shared" si="10"/>
        <v>EC</v>
      </c>
      <c r="AH64" s="95" t="str">
        <f t="shared" si="13"/>
        <v>"%USERPROFILE%\Documents\GitHub\eaglep3\Utilities\RefineRTDCRunTimes.py" --tripid 156-11 --locoid 4015 --swversion DE.1.0.7.0 --startMP 204:233015 --initTime 2016-10-11T11:14:14 --startdatetime 2016-10-11T11:26:15 --delay 2 --endMP 204:152 --enddatetime 2016-10-11T12:05:07 --enforcementcount 0 &gt;&gt;C:\Users\stu\Documents\GitHub\eaglep3-reporting\EC\2016-10-11-refined-times.txt</v>
      </c>
      <c r="AI64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{"issue":{"subject":"","project_id":79,"tracker_id":40,"status_id":1,"priority_id":2,"assigned_to_id":23,"start_date":"2016-10-11","description":"","custom_fields":[{"id":1,"name":"Subdivision","value":"EC"},{"id":4,"name":"Milepost","value":"0.0152"},{"id":17,"name":"Train ID","value":"156-11"},{"id":16,"name":"Locomotive ID","value":"4015"},{"id":130,"name":"Impact","value":""},{"id":150,"name":"Time of Event (Mountain Time)","value":"12:05:07"},{"id":151,"name":"Denver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451</v>
      </c>
      <c r="B65" s="7">
        <v>4053</v>
      </c>
      <c r="C65" s="24" t="s">
        <v>106</v>
      </c>
      <c r="D65" s="24" t="s">
        <v>192</v>
      </c>
      <c r="E65" s="15">
        <v>42654.446377314816</v>
      </c>
      <c r="F65" s="15">
        <v>42654.448541666665</v>
      </c>
      <c r="G65" s="7">
        <v>1</v>
      </c>
      <c r="H65" s="15" t="s">
        <v>253</v>
      </c>
      <c r="I65" s="15">
        <v>42654.474016203705</v>
      </c>
      <c r="J65" s="7">
        <v>0</v>
      </c>
      <c r="K65" s="116" t="str">
        <f t="shared" si="0"/>
        <v>4053/4054</v>
      </c>
      <c r="L65" s="24" t="str">
        <f>VLOOKUP(A65,'Trips&amp;Operators'!$C$1:$E$10000,3,FALSE)</f>
        <v>HAITHCOX</v>
      </c>
      <c r="M65" s="6">
        <f t="shared" si="1"/>
        <v>2.5474537040281575E-2</v>
      </c>
      <c r="N65" s="7">
        <f t="shared" si="27"/>
        <v>36.683333338005468</v>
      </c>
      <c r="O65" s="7"/>
      <c r="P65" s="7"/>
      <c r="Q65" s="25"/>
      <c r="R65" s="25"/>
      <c r="S65" s="37">
        <f t="shared" si="28"/>
        <v>1</v>
      </c>
      <c r="T65" s="52" t="str">
        <f t="shared" si="3"/>
        <v>NorthBound</v>
      </c>
      <c r="U65" s="15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09:42:47-0600',mode:absolute,to:'2016-10-11 12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5" s="54" t="str">
        <f t="shared" si="5"/>
        <v>N</v>
      </c>
      <c r="X65" s="163">
        <f t="shared" si="24"/>
        <v>1</v>
      </c>
      <c r="Y65" s="69">
        <f t="shared" si="25"/>
        <v>4.6600000000000003E-2</v>
      </c>
      <c r="Z65" s="69">
        <f t="shared" si="26"/>
        <v>23.329499999999999</v>
      </c>
      <c r="AA65" s="69">
        <f t="shared" si="6"/>
        <v>23.282899999999998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7"/>
        <v>0157-11</v>
      </c>
      <c r="AE65" s="94" t="str">
        <f t="shared" si="8"/>
        <v>aws s3 cp s3://rtdc.mdm.uploadarchive.raw/RTDC4053/ "%USERPROFILE%\AppData\Local\Temp\OnboardLogs"\RTDC4053\2016-10-11 --exclude "*" --recursive --include "*20161011*" &amp; "%USERPROFILE%\Documents\GitHub\mrs-test-scripts\Headless Mode &amp; Sideloading\WalkAndUnGZ.bat" "%USERPROFILE%\AppData\Local\Temp\OnboardLogs"\RTDC4053\2016-10-11 &amp; 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</v>
      </c>
      <c r="AF65" s="91" t="str">
        <f t="shared" si="9"/>
        <v>"C:\Program Files (x86)\AstroGrep\AstroGrep.exe" /spath="%USERPROFILE%\AppData\Local\Temp\OnboardLogs" /stypes="app*4053*20161011*" /stext=" 17:.+((SYSTEM_STATE.+slice.+state.+changed )|(ment ac)|(system.+state.+changed )|(\[timeout)|(PRM\|1\|D)|(kpr)|(kdp)|(\|lc)|(penalty))" /e /r /s</v>
      </c>
      <c r="AG65" s="1" t="str">
        <f t="shared" si="10"/>
        <v>EC</v>
      </c>
      <c r="AH65" s="95" t="str">
        <f t="shared" si="13"/>
        <v>"%USERPROFILE%\Documents\GitHub\eaglep3\Utilities\RefineRTDCRunTimes.py" --tripid 157-11 --locoid 4053 --swversion DE.1.0.7.0 --startMP 204:466 --initTime 2016-10-11T10:42:47 --startdatetime 2016-10-11T10:45:54 --delay 1 --endMP 204:233295 --enddatetime 2016-10-11T11:22:35 --enforcementcount 0 &gt;&gt;C:\Users\stu\Documents\GitHub\eaglep3-reporting\EC\2016-10-11-refined-times.txt</v>
      </c>
      <c r="AI65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{"issue":{"subject":"","project_id":79,"tracker_id":40,"status_id":1,"priority_id":2,"assigned_to_id":23,"start_date":"2016-10-11","description":"","custom_fields":[{"id":1,"name":"Subdivision","value":"EC"},{"id":4,"name":"Milepost","value":"23.3295"},{"id":17,"name":"Train ID","value":"157-11"},{"id":16,"name":"Locomotive ID","value":"4053"},{"id":130,"name":"Impact","value":""},{"id":150,"name":"Time of Event (Mountain Time)","value":"11:22:35"},{"id":151,"name":"Denver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452</v>
      </c>
      <c r="B66" s="7">
        <v>4054</v>
      </c>
      <c r="C66" s="24" t="s">
        <v>106</v>
      </c>
      <c r="D66" s="24" t="s">
        <v>282</v>
      </c>
      <c r="E66" s="15">
        <v>42654.484351851854</v>
      </c>
      <c r="F66" s="15">
        <v>42654.486990740741</v>
      </c>
      <c r="G66" s="7">
        <v>1</v>
      </c>
      <c r="H66" s="15" t="s">
        <v>126</v>
      </c>
      <c r="I66" s="15">
        <v>42654.515532407408</v>
      </c>
      <c r="J66" s="7">
        <v>0</v>
      </c>
      <c r="K66" s="116" t="str">
        <f t="shared" si="0"/>
        <v>4053/4054</v>
      </c>
      <c r="L66" s="24" t="str">
        <f>VLOOKUP(A66,'Trips&amp;Operators'!$C$1:$E$10000,3,FALSE)</f>
        <v>HAITHCOX</v>
      </c>
      <c r="M66" s="6">
        <f t="shared" si="1"/>
        <v>2.8541666666569654E-2</v>
      </c>
      <c r="N66" s="7">
        <f t="shared" si="27"/>
        <v>41.099999999860302</v>
      </c>
      <c r="O66" s="7"/>
      <c r="P66" s="7"/>
      <c r="Q66" s="25"/>
      <c r="R66" s="25"/>
      <c r="S66" s="37">
        <f t="shared" si="28"/>
        <v>1</v>
      </c>
      <c r="T66" s="52" t="str">
        <f t="shared" si="3"/>
        <v>Southbound</v>
      </c>
      <c r="U66" s="15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10:37:28-0600',mode:absolute,to:'2016-10-11 13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6" s="54" t="str">
        <f t="shared" si="5"/>
        <v>N</v>
      </c>
      <c r="X66" s="163">
        <f t="shared" si="24"/>
        <v>1</v>
      </c>
      <c r="Y66" s="69">
        <f t="shared" si="25"/>
        <v>23.296299999999999</v>
      </c>
      <c r="Z66" s="69">
        <f t="shared" si="26"/>
        <v>1.54E-2</v>
      </c>
      <c r="AA66" s="69">
        <f t="shared" si="6"/>
        <v>23.280899999999999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7"/>
        <v>0158-11</v>
      </c>
      <c r="AE66" s="94" t="str">
        <f t="shared" si="8"/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AF66" s="91" t="str">
        <f t="shared" si="9"/>
        <v>"C:\Program Files (x86)\AstroGrep\AstroGrep.exe" /spath="%USERPROFILE%\AppData\Local\Temp\OnboardLogs" /stypes="app*4054*20161011*" /stext=" 18:.+((SYSTEM_STATE.+slice.+state.+changed )|(ment ac)|(system.+state.+changed )|(\[timeout)|(PRM\|1\|D)|(kpr)|(kdp)|(\|lc)|(penalty))" /e /r /s</v>
      </c>
      <c r="AG66" s="1" t="str">
        <f t="shared" si="10"/>
        <v>EC</v>
      </c>
      <c r="AH66" s="95" t="str">
        <f t="shared" si="13"/>
        <v>"%USERPROFILE%\Documents\GitHub\eaglep3\Utilities\RefineRTDCRunTimes.py" --tripid 158-11 --locoid 4054 --swversion DE.1.0.7.0 --startMP 204:232963 --initTime 2016-10-11T11:37:28 --startdatetime 2016-10-11T11:41:16 --delay 1 --endMP 204:154 --enddatetime 2016-10-11T12:22:22 --enforcementcount 0 &gt;&gt;C:\Users\stu\Documents\GitHub\eaglep3-reporting\EC\2016-10-11-refined-times.txt</v>
      </c>
      <c r="AI66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{"issue":{"subject":"","project_id":79,"tracker_id":40,"status_id":1,"priority_id":2,"assigned_to_id":23,"start_date":"2016-10-11","description":"","custom_fields":[{"id":1,"name":"Subdivision","value":"EC"},{"id":4,"name":"Milepost","value":"0.0154"},{"id":17,"name":"Train ID","value":"158-11"},{"id":16,"name":"Locomotive ID","value":"4054"},{"id":130,"name":"Impact","value":""},{"id":150,"name":"Time of Event (Mountain Time)","value":"12:22:22"},{"id":151,"name":"Denver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453</v>
      </c>
      <c r="B67" s="7">
        <v>4007</v>
      </c>
      <c r="C67" s="24" t="s">
        <v>106</v>
      </c>
      <c r="D67" s="24" t="s">
        <v>304</v>
      </c>
      <c r="E67" s="15">
        <v>42654.457662037035</v>
      </c>
      <c r="F67" s="15">
        <v>42654.459085648145</v>
      </c>
      <c r="G67" s="7">
        <v>1</v>
      </c>
      <c r="H67" s="15" t="s">
        <v>454</v>
      </c>
      <c r="I67" s="15">
        <v>42654.484467592592</v>
      </c>
      <c r="J67" s="7">
        <v>0</v>
      </c>
      <c r="K67" s="116" t="str">
        <f t="shared" si="0"/>
        <v>4007/4008</v>
      </c>
      <c r="L67" s="24" t="str">
        <f>VLOOKUP(A67,'Trips&amp;Operators'!$C$1:$E$10000,3,FALSE)</f>
        <v>BARTLETT</v>
      </c>
      <c r="M67" s="6">
        <f t="shared" si="1"/>
        <v>2.5381944447872229E-2</v>
      </c>
      <c r="N67" s="7">
        <f t="shared" si="27"/>
        <v>36.55000000493601</v>
      </c>
      <c r="O67" s="7"/>
      <c r="P67" s="7"/>
      <c r="Q67" s="25"/>
      <c r="R67" s="25"/>
      <c r="S67" s="37">
        <f t="shared" si="28"/>
        <v>1</v>
      </c>
      <c r="T67" s="52" t="str">
        <f t="shared" si="3"/>
        <v>NorthBound</v>
      </c>
      <c r="U67" s="15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09:59:02-0600',mode:absolute,to:'2016-10-11 12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7" s="54" t="str">
        <f t="shared" si="5"/>
        <v>N</v>
      </c>
      <c r="X67" s="163">
        <f t="shared" si="24"/>
        <v>1</v>
      </c>
      <c r="Y67" s="69">
        <f t="shared" si="25"/>
        <v>4.7300000000000002E-2</v>
      </c>
      <c r="Z67" s="69">
        <f t="shared" si="26"/>
        <v>23.334</v>
      </c>
      <c r="AA67" s="69">
        <f t="shared" si="6"/>
        <v>23.2867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7"/>
        <v>0159-11</v>
      </c>
      <c r="AE67" s="94" t="str">
        <f t="shared" si="8"/>
        <v>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 &amp; 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</v>
      </c>
      <c r="AF67" s="91" t="str">
        <f t="shared" si="9"/>
        <v>"C:\Program Files (x86)\AstroGrep\AstroGrep.exe" /spath="%USERPROFILE%\AppData\Local\Temp\OnboardLogs" /stypes="app*4007*20161011*" /stext=" 17:.+((SYSTEM_STATE.+slice.+state.+changed )|(ment ac)|(system.+state.+changed )|(\[timeout)|(PRM\|1\|D)|(kpr)|(kdp)|(\|lc)|(penalty))" /e /r /s</v>
      </c>
      <c r="AG67" s="1" t="str">
        <f t="shared" si="10"/>
        <v>EC</v>
      </c>
      <c r="AH67" s="95" t="str">
        <f t="shared" si="13"/>
        <v>"%USERPROFILE%\Documents\GitHub\eaglep3\Utilities\RefineRTDCRunTimes.py" --tripid 159-11 --locoid 4007 --swversion DE.1.0.7.0 --startMP 204:473 --initTime 2016-10-11T10:59:02 --startdatetime 2016-10-11T11:01:05 --delay 1 --endMP 204:233340 --enddatetime 2016-10-11T11:37:38 --enforcementcount 0 &gt;&gt;C:\Users\stu\Documents\GitHub\eaglep3-reporting\EC\2016-10-11-refined-times.txt</v>
      </c>
      <c r="AI67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{"issue":{"subject":"","project_id":79,"tracker_id":40,"status_id":1,"priority_id":2,"assigned_to_id":23,"start_date":"2016-10-11","description":"","custom_fields":[{"id":1,"name":"Subdivision","value":"EC"},{"id":4,"name":"Milepost","value":"23.334"},{"id":17,"name":"Train ID","value":"159-11"},{"id":16,"name":"Locomotive ID","value":"4007"},{"id":130,"name":"Impact","value":""},{"id":150,"name":"Time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455</v>
      </c>
      <c r="B68" s="7">
        <v>4008</v>
      </c>
      <c r="C68" s="24" t="s">
        <v>106</v>
      </c>
      <c r="D68" s="24" t="s">
        <v>225</v>
      </c>
      <c r="E68" s="15">
        <v>42654.486504629633</v>
      </c>
      <c r="F68" s="15">
        <v>42654.497407407405</v>
      </c>
      <c r="G68" s="7">
        <v>1</v>
      </c>
      <c r="H68" s="15" t="s">
        <v>202</v>
      </c>
      <c r="I68" s="15">
        <v>42654.525578703702</v>
      </c>
      <c r="J68" s="7">
        <v>0</v>
      </c>
      <c r="K68" s="116" t="str">
        <f t="shared" si="0"/>
        <v>4007/4008</v>
      </c>
      <c r="L68" s="24" t="str">
        <f>VLOOKUP(A68,'Trips&amp;Operators'!$C$1:$E$10000,3,FALSE)</f>
        <v>BARTLETT</v>
      </c>
      <c r="M68" s="6">
        <f t="shared" si="1"/>
        <v>2.8171296296932269E-2</v>
      </c>
      <c r="N68" s="7">
        <f t="shared" si="27"/>
        <v>40.566666667582467</v>
      </c>
      <c r="O68" s="7"/>
      <c r="P68" s="7"/>
      <c r="Q68" s="25"/>
      <c r="R68" s="25"/>
      <c r="S68" s="37">
        <f t="shared" si="28"/>
        <v>1</v>
      </c>
      <c r="T68" s="52" t="str">
        <f t="shared" si="3"/>
        <v>Southbound</v>
      </c>
      <c r="U68" s="15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10:40:34-0600',mode:absolute,to:'2016-10-11 13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8" s="54" t="str">
        <f t="shared" si="5"/>
        <v>N</v>
      </c>
      <c r="X68" s="163">
        <f t="shared" si="24"/>
        <v>1</v>
      </c>
      <c r="Y68" s="69">
        <f t="shared" si="25"/>
        <v>23.299800000000001</v>
      </c>
      <c r="Z68" s="69">
        <f t="shared" si="26"/>
        <v>1.4500000000000001E-2</v>
      </c>
      <c r="AA68" s="69">
        <f t="shared" si="6"/>
        <v>23.285299999999999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7"/>
        <v>0160-11</v>
      </c>
      <c r="AE68" s="94" t="str">
        <f t="shared" si="8"/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AF68" s="91" t="str">
        <f t="shared" si="9"/>
        <v>"C:\Program Files (x86)\AstroGrep\AstroGrep.exe" /spath="%USERPROFILE%\AppData\Local\Temp\OnboardLogs" /stypes="app*4008*20161011*" /stext=" 18:.+((SYSTEM_STATE.+slice.+state.+changed )|(ment ac)|(system.+state.+changed )|(\[timeout)|(PRM\|1\|D)|(kpr)|(kdp)|(\|lc)|(penalty))" /e /r /s</v>
      </c>
      <c r="AG68" s="1" t="str">
        <f t="shared" si="10"/>
        <v>EC</v>
      </c>
      <c r="AH68" s="95" t="str">
        <f t="shared" si="13"/>
        <v>"%USERPROFILE%\Documents\GitHub\eaglep3\Utilities\RefineRTDCRunTimes.py" --tripid 160-11 --locoid 4008 --swversion DE.1.0.7.0 --startMP 204:232998 --initTime 2016-10-11T11:40:34 --startdatetime 2016-10-11T11:56:16 --delay 1 --endMP 204:145 --enddatetime 2016-10-11T12:36:50 --enforcementcount 0 &gt;&gt;C:\Users\stu\Documents\GitHub\eaglep3-reporting\EC\2016-10-11-refined-times.txt</v>
      </c>
      <c r="AI68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{"issue":{"subject":"","project_id":79,"tracker_id":40,"status_id":1,"priority_id":2,"assigned_to_id":23,"start_date":"2016-10-11","description":"","custom_fields":[{"id":1,"name":"Subdivision","value":"EC"},{"id":4,"name":"Milepost","value":"0.0145"},{"id":17,"name":"Train ID","value":"160-11"},{"id":16,"name":"Locomotive ID","value":"4008"},{"id":130,"name":"Impact","value":""},{"id":150,"name":"Time of Event (Mountain Time)","value":"12:36:50"},{"id":151,"name":"Denver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785</v>
      </c>
      <c r="B69" s="7">
        <v>4003</v>
      </c>
      <c r="C69" s="24" t="s">
        <v>106</v>
      </c>
      <c r="D69" s="24" t="s">
        <v>225</v>
      </c>
      <c r="E69" s="15">
        <v>42654.486504629633</v>
      </c>
      <c r="F69" s="15">
        <v>42654.480555555558</v>
      </c>
      <c r="G69" s="7">
        <v>1</v>
      </c>
      <c r="H69" s="15" t="s">
        <v>202</v>
      </c>
      <c r="I69" s="15">
        <v>42654.487500000003</v>
      </c>
      <c r="J69" s="7">
        <v>0</v>
      </c>
      <c r="K69" s="116" t="str">
        <f t="shared" si="0"/>
        <v>4003/4004</v>
      </c>
      <c r="L69" s="24" t="e">
        <f>VLOOKUP(A69,'Trips&amp;Operators'!$C$1:$E$10000,3,FALSE)</f>
        <v>#N/A</v>
      </c>
      <c r="M69" s="6">
        <f t="shared" si="1"/>
        <v>6.9444444452528842E-3</v>
      </c>
      <c r="N69" s="7"/>
      <c r="O69" s="7"/>
      <c r="P69" s="7">
        <f t="shared" si="27"/>
        <v>10.000000001164153</v>
      </c>
      <c r="Q69" s="25"/>
      <c r="R69" s="25" t="s">
        <v>792</v>
      </c>
      <c r="S69" s="37">
        <f t="shared" si="28"/>
        <v>0</v>
      </c>
      <c r="T69" s="52" t="str">
        <f t="shared" si="3"/>
        <v>NorthBound</v>
      </c>
      <c r="U69" s="15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10:40:34-0600',mode:absolute,to:'2016-10-11 12:42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9" s="54" t="str">
        <f t="shared" si="5"/>
        <v>N</v>
      </c>
      <c r="X69" s="163">
        <f t="shared" si="24"/>
        <v>1</v>
      </c>
      <c r="Y69" s="69">
        <f t="shared" si="25"/>
        <v>23.299800000000001</v>
      </c>
      <c r="Z69" s="69">
        <f t="shared" si="26"/>
        <v>1.4500000000000001E-2</v>
      </c>
      <c r="AA69" s="69">
        <f t="shared" si="6"/>
        <v>23.285299999999999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7"/>
        <v>0161-11</v>
      </c>
      <c r="AE69" s="94" t="str">
        <f t="shared" si="8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69" s="91" t="str">
        <f t="shared" si="9"/>
        <v>"C:\Program Files (x86)\AstroGrep\AstroGrep.exe" /spath="%USERPROFILE%\AppData\Local\Temp\OnboardLogs" /stypes="app*4003*20161011*" /stext=" 17:.+((SYSTEM_STATE.+slice.+state.+changed )|(ment ac)|(system.+state.+changed )|(\[timeout)|(PRM\|1\|D)|(kpr)|(kdp)|(\|lc)|(penalty))" /e /r /s</v>
      </c>
      <c r="AG69" s="1" t="str">
        <f t="shared" si="10"/>
        <v>EC</v>
      </c>
      <c r="AH69" s="95" t="str">
        <f t="shared" ref="AH69" si="29"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161-11 --locoid 4003 --swversion DE.1.0.7.0 --startMP 204:232998 --initTime 2016-10-11T11:40:34 --startdatetime 2016-10-11T11:32:00 --delay 1 --endMP 204:145 --enddatetime 2016-10-11T11:42:00 --enforcementcount 0 &gt;&gt;C:\Users\stu\Documents\GitHub\eaglep3-reporting\EC\2016-10-11-refined-times.txt</v>
      </c>
      <c r="AI69" s="129" t="str">
        <f t="shared" ref="AI69" si="30"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Z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{"issue":{"subject":"Mismatched operator/train","project_id":79,"tracker_id":40,"status_id":1,"priority_id":2,"assigned_to_id":23,"start_date":"2016-10-11","description":"Init failed due to mismatched operator and train","custom_fields":[{"id":1,"name":"Subdivision","value":"EC"},{"id":4,"name":"Milepost","value":"0.0145"},{"id":17,"name":"Train ID","value":"161-11"},{"id":16,"name":"Locomotive ID","value":"4003"},{"id":130,"name":"Impact","value":"Initialization Problem"},{"id":150,"name":"Time of Event (Mountain Time)","value":"11:42:00"},{"id":151,"name":"Denver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69" s="55" t="s">
        <v>793</v>
      </c>
      <c r="AK69" s="55" t="s">
        <v>142</v>
      </c>
      <c r="AL69" s="55" t="s">
        <v>152</v>
      </c>
    </row>
    <row r="70" spans="1:38" s="1" customFormat="1" x14ac:dyDescent="0.25">
      <c r="A70" s="39" t="s">
        <v>456</v>
      </c>
      <c r="B70" s="7">
        <v>4004</v>
      </c>
      <c r="C70" s="24" t="s">
        <v>106</v>
      </c>
      <c r="D70" s="24" t="s">
        <v>457</v>
      </c>
      <c r="E70" s="15">
        <v>42654.505162037036</v>
      </c>
      <c r="F70" s="15">
        <v>42654.507928240739</v>
      </c>
      <c r="G70" s="7">
        <v>1</v>
      </c>
      <c r="H70" s="15" t="s">
        <v>288</v>
      </c>
      <c r="I70" s="15">
        <v>42654.535798611112</v>
      </c>
      <c r="J70" s="7">
        <v>0</v>
      </c>
      <c r="K70" s="116" t="str">
        <f t="shared" si="0"/>
        <v>4003/4004</v>
      </c>
      <c r="L70" s="24" t="str">
        <f>VLOOKUP(A70,'Trips&amp;Operators'!$C$1:$E$10000,3,FALSE)</f>
        <v>STEWART</v>
      </c>
      <c r="M70" s="6">
        <f t="shared" si="1"/>
        <v>2.7870370373420883E-2</v>
      </c>
      <c r="N70" s="7">
        <f t="shared" ref="N70:N91" si="31">24*60*SUM($M70:$M70)</f>
        <v>40.133333337726071</v>
      </c>
      <c r="O70" s="7"/>
      <c r="P70" s="7"/>
      <c r="Q70" s="25"/>
      <c r="R70" s="25"/>
      <c r="S70" s="37">
        <f t="shared" si="28"/>
        <v>1</v>
      </c>
      <c r="T70" s="52" t="str">
        <f t="shared" si="3"/>
        <v>Southbound</v>
      </c>
      <c r="U70" s="15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11:07:26-0600',mode:absolute,to:'2016-10-11 13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0" s="54" t="str">
        <f t="shared" si="5"/>
        <v>N</v>
      </c>
      <c r="X70" s="163">
        <f t="shared" si="24"/>
        <v>1</v>
      </c>
      <c r="Y70" s="69">
        <f t="shared" si="25"/>
        <v>23.298200000000001</v>
      </c>
      <c r="Z70" s="69">
        <f t="shared" si="26"/>
        <v>1.6299999999999999E-2</v>
      </c>
      <c r="AA70" s="69">
        <f t="shared" si="6"/>
        <v>23.2819</v>
      </c>
      <c r="AB70" s="66" t="str">
        <f>VLOOKUP(A70,Enforcements!$C$7:$K$21,8,0)</f>
        <v>Bulletin (2)</v>
      </c>
      <c r="AC70" s="62" t="str">
        <f>VLOOKUP(A70,Enforcements!$C$7:$E$21,3,0)</f>
        <v>GRADE CROSSING</v>
      </c>
      <c r="AD70" s="63" t="str">
        <f t="shared" si="7"/>
        <v>0162-11</v>
      </c>
      <c r="AE70" s="94" t="str">
        <f t="shared" si="8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70" s="91" t="str">
        <f t="shared" si="9"/>
        <v>"C:\Program Files (x86)\AstroGrep\AstroGrep.exe" /spath="%USERPROFILE%\AppData\Local\Temp\OnboardLogs" /stypes="app*4004*20161011*" /stext=" 18:.+((SYSTEM_STATE.+slice.+state.+changed )|(ment ac)|(system.+state.+changed )|(\[timeout)|(PRM\|1\|D)|(kpr)|(kdp)|(\|lc)|(penalty))" /e /r /s</v>
      </c>
      <c r="AG70" s="1" t="str">
        <f t="shared" si="10"/>
        <v>EC</v>
      </c>
      <c r="AH70" s="95" t="str">
        <f t="shared" si="13"/>
        <v>"%USERPROFILE%\Documents\GitHub\eaglep3\Utilities\RefineRTDCRunTimes.py" --tripid 162-11 --locoid 4004 --swversion DE.1.0.7.0 --startMP 204:232982 --initTime 2016-10-11T12:07:26 --startdatetime 2016-10-11T12:11:25 --delay 1 --endMP 204:163 --enddatetime 2016-10-11T12:51:33 --enforcementcount 0 &gt;&gt;C:\Users\stu\Documents\GitHub\eaglep3-reporting\EC\2016-10-11-refined-times.txt</v>
      </c>
      <c r="AI70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{"issue":{"subject":"","project_id":79,"tracker_id":40,"status_id":1,"priority_id":2,"assigned_to_id":23,"start_date":"2016-10-11","description":"","custom_fields":[{"id":1,"name":"Subdivision","value":"EC"},{"id":4,"name":"Milepost","value":"0.0163"},{"id":17,"name":"Train ID","value":"162-11"},{"id":16,"name":"Locomotive ID","value":"4004"},{"id":130,"name":"Impact","value":""},{"id":150,"name":"Time of Event (Mountain Time)","value":"12:51:33"},{"id":151,"name":"Denver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458</v>
      </c>
      <c r="B71" s="7">
        <v>4014</v>
      </c>
      <c r="C71" s="24" t="s">
        <v>106</v>
      </c>
      <c r="D71" s="24" t="s">
        <v>248</v>
      </c>
      <c r="E71" s="15">
        <v>42654.480231481481</v>
      </c>
      <c r="F71" s="15">
        <v>42654.48201388889</v>
      </c>
      <c r="G71" s="7">
        <v>1</v>
      </c>
      <c r="H71" s="15" t="s">
        <v>459</v>
      </c>
      <c r="I71" s="15">
        <v>42654.507233796299</v>
      </c>
      <c r="J71" s="7">
        <v>0</v>
      </c>
      <c r="K71" s="116" t="str">
        <f t="shared" si="0"/>
        <v>4013/4014</v>
      </c>
      <c r="L71" s="24" t="str">
        <f>VLOOKUP(A71,'Trips&amp;Operators'!$C$1:$E$10000,3,FALSE)</f>
        <v>HELVIE</v>
      </c>
      <c r="M71" s="6">
        <f t="shared" si="1"/>
        <v>2.5219907409336884E-2</v>
      </c>
      <c r="N71" s="7">
        <f t="shared" si="31"/>
        <v>36.316666669445112</v>
      </c>
      <c r="O71" s="7"/>
      <c r="P71" s="7"/>
      <c r="Q71" s="25"/>
      <c r="R71" s="25"/>
      <c r="S71" s="37">
        <f t="shared" si="28"/>
        <v>1</v>
      </c>
      <c r="T71" s="52" t="str">
        <f t="shared" si="3"/>
        <v>NorthBound</v>
      </c>
      <c r="U71" s="15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10:31:32-0600',mode:absolute,to:'2016-10-11 13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1" s="54" t="str">
        <f t="shared" si="5"/>
        <v>N</v>
      </c>
      <c r="X71" s="163">
        <f t="shared" si="24"/>
        <v>1</v>
      </c>
      <c r="Y71" s="69">
        <f t="shared" si="25"/>
        <v>4.4400000000000002E-2</v>
      </c>
      <c r="Z71" s="69">
        <f t="shared" si="26"/>
        <v>23.332100000000001</v>
      </c>
      <c r="AA71" s="69">
        <f t="shared" si="6"/>
        <v>23.287700000000001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7"/>
        <v>0163-11</v>
      </c>
      <c r="AE71" s="94" t="str">
        <f t="shared" si="8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71" s="91" t="str">
        <f t="shared" si="9"/>
        <v>"C:\Program Files (x86)\AstroGrep\AstroGrep.exe" /spath="%USERPROFILE%\AppData\Local\Temp\OnboardLogs" /stypes="app*4014*20161011*" /stext=" 18:.+((SYSTEM_STATE.+slice.+state.+changed )|(ment ac)|(system.+state.+changed )|(\[timeout)|(PRM\|1\|D)|(kpr)|(kdp)|(\|lc)|(penalty))" /e /r /s</v>
      </c>
      <c r="AG71" s="1" t="str">
        <f t="shared" si="10"/>
        <v>EC</v>
      </c>
      <c r="AH71" s="95" t="str">
        <f t="shared" si="13"/>
        <v>"%USERPROFILE%\Documents\GitHub\eaglep3\Utilities\RefineRTDCRunTimes.py" --tripid 163-11 --locoid 4014 --swversion DE.1.0.7.0 --startMP 204:444 --initTime 2016-10-11T11:31:32 --startdatetime 2016-10-11T11:34:06 --delay 1 --endMP 204:233321 --enddatetime 2016-10-11T12:10:25 --enforcementcount 0 &gt;&gt;C:\Users\stu\Documents\GitHub\eaglep3-reporting\EC\2016-10-11-refined-times.txt</v>
      </c>
      <c r="AI71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{"issue":{"subject":"","project_id":79,"tracker_id":40,"status_id":1,"priority_id":2,"assigned_to_id":23,"start_date":"2016-10-11","description":"","custom_fields":[{"id":1,"name":"Subdivision","value":"EC"},{"id":4,"name":"Milepost","value":"23.3321"},{"id":17,"name":"Train ID","value":"163-11"},{"id":16,"name":"Locomotive ID","value":"4014"},{"id":130,"name":"Impact","value":""},{"id":150,"name":"Time of Event (Mountain Time)","value":"12:10:25"},{"id":151,"name":"Denver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460</v>
      </c>
      <c r="B72" s="7">
        <v>4013</v>
      </c>
      <c r="C72" s="24" t="s">
        <v>106</v>
      </c>
      <c r="D72" s="24" t="s">
        <v>353</v>
      </c>
      <c r="E72" s="15">
        <v>42654.513483796298</v>
      </c>
      <c r="F72" s="15">
        <v>42654.518171296295</v>
      </c>
      <c r="G72" s="7">
        <v>1</v>
      </c>
      <c r="H72" s="15" t="s">
        <v>186</v>
      </c>
      <c r="I72" s="15">
        <v>42654.547094907408</v>
      </c>
      <c r="J72" s="7">
        <v>0</v>
      </c>
      <c r="K72" s="116" t="str">
        <f t="shared" si="0"/>
        <v>4013/4014</v>
      </c>
      <c r="L72" s="24" t="str">
        <f>VLOOKUP(A72,'Trips&amp;Operators'!$C$1:$E$10000,3,FALSE)</f>
        <v>HELVIE</v>
      </c>
      <c r="M72" s="6">
        <f t="shared" si="1"/>
        <v>2.8923611112986691E-2</v>
      </c>
      <c r="N72" s="7">
        <f t="shared" si="31"/>
        <v>41.650000002700835</v>
      </c>
      <c r="O72" s="7"/>
      <c r="P72" s="7"/>
      <c r="Q72" s="25"/>
      <c r="R72" s="25"/>
      <c r="S72" s="37">
        <f t="shared" si="28"/>
        <v>1</v>
      </c>
      <c r="T72" s="52" t="str">
        <f t="shared" si="3"/>
        <v>Southbound</v>
      </c>
      <c r="U72" s="15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11:19:25-0600',mode:absolute,to:'2016-10-11 14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2" s="54" t="str">
        <f t="shared" si="5"/>
        <v>N</v>
      </c>
      <c r="X72" s="163">
        <f t="shared" si="24"/>
        <v>1</v>
      </c>
      <c r="Y72" s="69">
        <f t="shared" si="25"/>
        <v>23.299600000000002</v>
      </c>
      <c r="Z72" s="69">
        <f t="shared" si="26"/>
        <v>1.5800000000000002E-2</v>
      </c>
      <c r="AA72" s="69">
        <f t="shared" si="6"/>
        <v>23.283800000000003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7"/>
        <v>0164-11</v>
      </c>
      <c r="AE72" s="94" t="str">
        <f t="shared" si="8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72" s="91" t="str">
        <f t="shared" si="9"/>
        <v>"C:\Program Files (x86)\AstroGrep\AstroGrep.exe" /spath="%USERPROFILE%\AppData\Local\Temp\OnboardLogs" /stypes="app*4013*20161011*" /stext=" 19:.+((SYSTEM_STATE.+slice.+state.+changed )|(ment ac)|(system.+state.+changed )|(\[timeout)|(PRM\|1\|D)|(kpr)|(kdp)|(\|lc)|(penalty))" /e /r /s</v>
      </c>
      <c r="AG72" s="1" t="str">
        <f t="shared" si="10"/>
        <v>EC</v>
      </c>
      <c r="AH72" s="95" t="str">
        <f t="shared" si="13"/>
        <v>"%USERPROFILE%\Documents\GitHub\eaglep3\Utilities\RefineRTDCRunTimes.py" --tripid 164-11 --locoid 4013 --swversion DE.1.0.7.0 --startMP 204:232996 --initTime 2016-10-11T12:19:25 --startdatetime 2016-10-11T12:26:10 --delay 1 --endMP 204:158 --enddatetime 2016-10-11T13:07:49 --enforcementcount 0 &gt;&gt;C:\Users\stu\Documents\GitHub\eaglep3-reporting\EC\2016-10-11-refined-times.txt</v>
      </c>
      <c r="AI72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{"issue":{"subject":"","project_id":79,"tracker_id":40,"status_id":1,"priority_id":2,"assigned_to_id":23,"start_date":"2016-10-11","description":"","custom_fields":[{"id":1,"name":"Subdivision","value":"EC"},{"id":4,"name":"Milepost","value":"0.0158"},{"id":17,"name":"Train ID","value":"164-11"},{"id":16,"name":"Locomotive ID","value":"4013"},{"id":130,"name":"Impact","value":""},{"id":150,"name":"Time of Event (Mountain Time)","value":"13:07:49"},{"id":151,"name":"Denver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461</v>
      </c>
      <c r="B73" s="7">
        <v>4040</v>
      </c>
      <c r="C73" s="24" t="s">
        <v>106</v>
      </c>
      <c r="D73" s="24" t="s">
        <v>197</v>
      </c>
      <c r="E73" s="15">
        <v>42654.48809027778</v>
      </c>
      <c r="F73" s="15">
        <v>42654.49019675926</v>
      </c>
      <c r="G73" s="7">
        <v>2</v>
      </c>
      <c r="H73" s="15" t="s">
        <v>313</v>
      </c>
      <c r="I73" s="15">
        <v>42654.515219907407</v>
      </c>
      <c r="J73" s="7">
        <v>0</v>
      </c>
      <c r="K73" s="116" t="str">
        <f t="shared" si="0"/>
        <v>4039/4040</v>
      </c>
      <c r="L73" s="24" t="str">
        <f>VLOOKUP(A73,'Trips&amp;Operators'!$C$1:$E$10000,3,FALSE)</f>
        <v>BONDS</v>
      </c>
      <c r="M73" s="6">
        <f t="shared" si="1"/>
        <v>2.5023148147738539E-2</v>
      </c>
      <c r="N73" s="7">
        <f t="shared" si="31"/>
        <v>36.033333332743496</v>
      </c>
      <c r="O73" s="7"/>
      <c r="P73" s="7"/>
      <c r="Q73" s="25"/>
      <c r="R73" s="25"/>
      <c r="S73" s="37">
        <f t="shared" si="28"/>
        <v>1</v>
      </c>
      <c r="T73" s="52" t="str">
        <f t="shared" si="3"/>
        <v>NorthBound</v>
      </c>
      <c r="U73" s="15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10:42:51-0600',mode:absolute,to:'2016-10-11 13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3" s="54" t="str">
        <f t="shared" si="5"/>
        <v>N</v>
      </c>
      <c r="X73" s="163">
        <f t="shared" si="24"/>
        <v>1</v>
      </c>
      <c r="Y73" s="69">
        <f t="shared" si="25"/>
        <v>4.6199999999999998E-2</v>
      </c>
      <c r="Z73" s="69">
        <f t="shared" si="26"/>
        <v>23.330300000000001</v>
      </c>
      <c r="AA73" s="69">
        <f t="shared" si="6"/>
        <v>23.284100000000002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7"/>
        <v>0165-11</v>
      </c>
      <c r="AE73" s="94" t="str">
        <f t="shared" si="8"/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73" s="91" t="str">
        <f t="shared" si="9"/>
        <v>"C:\Program Files (x86)\AstroGrep\AstroGrep.exe" /spath="%USERPROFILE%\AppData\Local\Temp\OnboardLogs" /stypes="app*4040*20161011*" /stext=" 18:.+((SYSTEM_STATE.+slice.+state.+changed )|(ment ac)|(system.+state.+changed )|(\[timeout)|(PRM\|1\|D)|(kpr)|(kdp)|(\|lc)|(penalty))" /e /r /s</v>
      </c>
      <c r="AG73" s="1" t="str">
        <f t="shared" si="10"/>
        <v>EC</v>
      </c>
      <c r="AH73" s="95" t="str">
        <f t="shared" si="13"/>
        <v>"%USERPROFILE%\Documents\GitHub\eaglep3\Utilities\RefineRTDCRunTimes.py" --tripid 165-11 --locoid 4040 --swversion DE.1.0.7.0 --startMP 204:462 --initTime 2016-10-11T11:42:51 --startdatetime 2016-10-11T11:45:53 --delay 2 --endMP 204:233303 --enddatetime 2016-10-11T12:21:55 --enforcementcount 0 &gt;&gt;C:\Users\stu\Documents\GitHub\eaglep3-reporting\EC\2016-10-11-refined-times.txt</v>
      </c>
      <c r="AI73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{"issue":{"subject":"","project_id":79,"tracker_id":40,"status_id":1,"priority_id":2,"assigned_to_id":23,"start_date":"2016-10-11","description":"","custom_fields":[{"id":1,"name":"Subdivision","value":"EC"},{"id":4,"name":"Milepost","value":"23.3303"},{"id":17,"name":"Train ID","value":"165-11"},{"id":16,"name":"Locomotive ID","value":"4040"},{"id":130,"name":"Impact","value":""},{"id":150,"name":"Time of Event (Mountain Time)","value":"12:21:55"},{"id":151,"name":"Denver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462</v>
      </c>
      <c r="B74" s="7">
        <v>4039</v>
      </c>
      <c r="C74" s="24" t="s">
        <v>106</v>
      </c>
      <c r="D74" s="24" t="s">
        <v>254</v>
      </c>
      <c r="E74" s="15">
        <v>42654.519479166665</v>
      </c>
      <c r="F74" s="15">
        <v>42654.528749999998</v>
      </c>
      <c r="G74" s="7">
        <v>1</v>
      </c>
      <c r="H74" s="15" t="s">
        <v>436</v>
      </c>
      <c r="I74" s="15">
        <v>42654.559548611112</v>
      </c>
      <c r="J74" s="7">
        <v>0</v>
      </c>
      <c r="K74" s="116" t="str">
        <f t="shared" si="0"/>
        <v>4039/4040</v>
      </c>
      <c r="L74" s="24" t="str">
        <f>VLOOKUP(A74,'Trips&amp;Operators'!$C$1:$E$10000,3,FALSE)</f>
        <v>BONDS</v>
      </c>
      <c r="M74" s="6">
        <f t="shared" si="1"/>
        <v>3.0798611114732921E-2</v>
      </c>
      <c r="N74" s="7">
        <f t="shared" si="31"/>
        <v>44.350000005215406</v>
      </c>
      <c r="O74" s="7"/>
      <c r="P74" s="7"/>
      <c r="Q74" s="25"/>
      <c r="R74" s="25"/>
      <c r="S74" s="37">
        <f t="shared" si="28"/>
        <v>1</v>
      </c>
      <c r="T74" s="52" t="str">
        <f t="shared" si="3"/>
        <v>Southbound</v>
      </c>
      <c r="U74" s="15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11:28:03-0600',mode:absolute,to:'2016-10-11 14:25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4" s="54" t="str">
        <f t="shared" si="5"/>
        <v>N</v>
      </c>
      <c r="X74" s="163">
        <f t="shared" si="24"/>
        <v>1</v>
      </c>
      <c r="Y74" s="69">
        <f t="shared" si="25"/>
        <v>23.298400000000001</v>
      </c>
      <c r="Z74" s="69">
        <f t="shared" si="26"/>
        <v>1.34E-2</v>
      </c>
      <c r="AA74" s="69">
        <f t="shared" si="6"/>
        <v>23.285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7"/>
        <v>0166-11</v>
      </c>
      <c r="AE74" s="94" t="str">
        <f t="shared" si="8"/>
        <v>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 &amp; 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</v>
      </c>
      <c r="AF74" s="91" t="str">
        <f t="shared" si="9"/>
        <v>"C:\Program Files (x86)\AstroGrep\AstroGrep.exe" /spath="%USERPROFILE%\AppData\Local\Temp\OnboardLogs" /stypes="app*4039*20161011*" /stext=" 19:.+((SYSTEM_STATE.+slice.+state.+changed )|(ment ac)|(system.+state.+changed )|(\[timeout)|(PRM\|1\|D)|(kpr)|(kdp)|(\|lc)|(penalty))" /e /r /s</v>
      </c>
      <c r="AG74" s="1" t="str">
        <f t="shared" si="10"/>
        <v>EC</v>
      </c>
      <c r="AH74" s="95" t="str">
        <f t="shared" si="13"/>
        <v>"%USERPROFILE%\Documents\GitHub\eaglep3\Utilities\RefineRTDCRunTimes.py" --tripid 166-11 --locoid 4039 --swversion DE.1.0.7.0 --startMP 204:232984 --initTime 2016-10-11T12:28:03 --startdatetime 2016-10-11T12:41:24 --delay 1 --endMP 204:134 --enddatetime 2016-10-11T13:25:45 --enforcementcount 0 &gt;&gt;C:\Users\stu\Documents\GitHub\eaglep3-reporting\EC\2016-10-11-refined-times.txt</v>
      </c>
      <c r="AI74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{"issue":{"subject":"","project_id":79,"tracker_id":40,"status_id":1,"priority_id":2,"assigned_to_id":23,"start_date":"2016-10-11","description":"","custom_fields":[{"id":1,"name":"Subdivision","value":"EC"},{"id":4,"name":"Milepost","value":"0.0134"},{"id":17,"name":"Train ID","value":"166-11"},{"id":16,"name":"Locomotive ID","value":"4039"},{"id":130,"name":"Impact","value":""},{"id":150,"name":"Time of Event (Mountain Time)","value":"13:25:45"},{"id":151,"name":"Denver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463</v>
      </c>
      <c r="B75" s="7">
        <v>4029</v>
      </c>
      <c r="C75" s="24" t="s">
        <v>106</v>
      </c>
      <c r="D75" s="24" t="s">
        <v>195</v>
      </c>
      <c r="E75" s="15">
        <v>42654.49496527778</v>
      </c>
      <c r="F75" s="15">
        <v>42654.500162037039</v>
      </c>
      <c r="G75" s="7">
        <v>1</v>
      </c>
      <c r="H75" s="15" t="s">
        <v>354</v>
      </c>
      <c r="I75" s="15">
        <v>42654.526469907411</v>
      </c>
      <c r="J75" s="7">
        <v>0</v>
      </c>
      <c r="K75" s="116" t="str">
        <f t="shared" si="0"/>
        <v>4029/4030</v>
      </c>
      <c r="L75" s="24" t="str">
        <f>VLOOKUP(A75,'Trips&amp;Operators'!$C$1:$E$10000,3,FALSE)</f>
        <v>CRAYTON</v>
      </c>
      <c r="M75" s="6">
        <f t="shared" si="1"/>
        <v>2.6307870371965691E-2</v>
      </c>
      <c r="N75" s="7">
        <f t="shared" si="31"/>
        <v>37.883333335630596</v>
      </c>
      <c r="O75" s="7"/>
      <c r="P75" s="7"/>
      <c r="Q75" s="25"/>
      <c r="R75" s="25"/>
      <c r="S75" s="37">
        <f t="shared" si="28"/>
        <v>1</v>
      </c>
      <c r="T75" s="52" t="str">
        <f t="shared" si="3"/>
        <v>NorthBound</v>
      </c>
      <c r="U75" s="15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10:52:45-0600',mode:absolute,to:'2016-10-11 13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5" s="54" t="str">
        <f t="shared" si="5"/>
        <v>N</v>
      </c>
      <c r="X75" s="163">
        <f t="shared" si="24"/>
        <v>1</v>
      </c>
      <c r="Y75" s="69">
        <f t="shared" si="25"/>
        <v>4.58E-2</v>
      </c>
      <c r="Z75" s="69">
        <f t="shared" si="26"/>
        <v>23.33</v>
      </c>
      <c r="AA75" s="69">
        <f t="shared" si="6"/>
        <v>23.284199999999998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7"/>
        <v>0167-11</v>
      </c>
      <c r="AE75" s="94" t="str">
        <f t="shared" si="8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75" s="91" t="str">
        <f t="shared" si="9"/>
        <v>"C:\Program Files (x86)\AstroGrep\AstroGrep.exe" /spath="%USERPROFILE%\AppData\Local\Temp\OnboardLogs" /stypes="app*4029*20161011*" /stext=" 18:.+((SYSTEM_STATE.+slice.+state.+changed )|(ment ac)|(system.+state.+changed )|(\[timeout)|(PRM\|1\|D)|(kpr)|(kdp)|(\|lc)|(penalty))" /e /r /s</v>
      </c>
      <c r="AG75" s="1" t="str">
        <f t="shared" si="10"/>
        <v>EC</v>
      </c>
      <c r="AH75" s="95" t="str">
        <f t="shared" si="13"/>
        <v>"%USERPROFILE%\Documents\GitHub\eaglep3\Utilities\RefineRTDCRunTimes.py" --tripid 167-11 --locoid 4029 --swversion DE.1.0.7.0 --startMP 204:458 --initTime 2016-10-11T11:52:45 --startdatetime 2016-10-11T12:00:14 --delay 1 --endMP 204:233300 --enddatetime 2016-10-11T12:38:07 --enforcementcount 0 &gt;&gt;C:\Users\stu\Documents\GitHub\eaglep3-reporting\EC\2016-10-11-refined-times.txt</v>
      </c>
      <c r="AI75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{"issue":{"subject":"","project_id":79,"tracker_id":40,"status_id":1,"priority_id":2,"assigned_to_id":23,"start_date":"2016-10-11","description":"","custom_fields":[{"id":1,"name":"Subdivision","value":"EC"},{"id":4,"name":"Milepost","value":"23.33"},{"id":17,"name":"Train ID","value":"167-11"},{"id":16,"name":"Locomotive ID","value":"4029"},{"id":130,"name":"Impact","value":""},{"id":150,"name":"Time of Event (Mountain Time)","value":"12:38:07"},{"id":151,"name":"Denver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464</v>
      </c>
      <c r="B76" s="7">
        <v>4030</v>
      </c>
      <c r="C76" s="24" t="s">
        <v>106</v>
      </c>
      <c r="D76" s="24" t="s">
        <v>306</v>
      </c>
      <c r="E76" s="15">
        <v>42654.528958333336</v>
      </c>
      <c r="F76" s="15">
        <v>42654.5390625</v>
      </c>
      <c r="G76" s="7">
        <v>1</v>
      </c>
      <c r="H76" s="15" t="s">
        <v>189</v>
      </c>
      <c r="I76" s="15">
        <v>42654.571192129632</v>
      </c>
      <c r="J76" s="7">
        <v>0</v>
      </c>
      <c r="K76" s="116" t="str">
        <f t="shared" si="0"/>
        <v>4029/4030</v>
      </c>
      <c r="L76" s="24" t="str">
        <f>VLOOKUP(A76,'Trips&amp;Operators'!$C$1:$E$10000,3,FALSE)</f>
        <v>CRAYTON</v>
      </c>
      <c r="M76" s="6">
        <f t="shared" si="1"/>
        <v>3.2129629631526768E-2</v>
      </c>
      <c r="N76" s="7">
        <f t="shared" si="31"/>
        <v>46.266666669398546</v>
      </c>
      <c r="O76" s="7"/>
      <c r="P76" s="7"/>
      <c r="Q76" s="25"/>
      <c r="R76" s="25"/>
      <c r="S76" s="37">
        <f t="shared" si="28"/>
        <v>1</v>
      </c>
      <c r="T76" s="52" t="str">
        <f t="shared" si="3"/>
        <v>Southbound</v>
      </c>
      <c r="U76" s="15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https://search-rtdc-monitor-bjffxe2xuh6vdkpspy63sjmuny.us-east-1.es.amazonaws.com/_plugin/kibana/#/discover/Steve-Slow-Train-Analysis-(2080s-and-2083s)?_g=(refreshInterval:(display:Off,section:0,value:0),time:(from:'2016-10-11 11:41:42-0600',mode:absolute,to:'2016-10-11 14:42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6" s="54" t="str">
        <f t="shared" si="5"/>
        <v>N</v>
      </c>
      <c r="X76" s="163">
        <f t="shared" si="24"/>
        <v>1</v>
      </c>
      <c r="Y76" s="69">
        <f t="shared" si="25"/>
        <v>23.298300000000001</v>
      </c>
      <c r="Z76" s="69">
        <f t="shared" si="26"/>
        <v>1.4999999999999999E-2</v>
      </c>
      <c r="AA76" s="69">
        <f t="shared" si="6"/>
        <v>23.283300000000001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7"/>
        <v>0168-11</v>
      </c>
      <c r="AE76" s="94" t="str">
        <f t="shared" si="8"/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AF76" s="91" t="str">
        <f t="shared" si="9"/>
        <v>"C:\Program Files (x86)\AstroGrep\AstroGrep.exe" /spath="%USERPROFILE%\AppData\Local\Temp\OnboardLogs" /stypes="app*4030*20161011*" /stext=" 19:.+((SYSTEM_STATE.+slice.+state.+changed )|(ment ac)|(system.+state.+changed )|(\[timeout)|(PRM\|1\|D)|(kpr)|(kdp)|(\|lc)|(penalty))" /e /r /s</v>
      </c>
      <c r="AG76" s="1" t="str">
        <f t="shared" si="10"/>
        <v>EC</v>
      </c>
      <c r="AH76" s="95" t="str">
        <f t="shared" si="13"/>
        <v>"%USERPROFILE%\Documents\GitHub\eaglep3\Utilities\RefineRTDCRunTimes.py" --tripid 168-11 --locoid 4030 --swversion DE.1.0.7.0 --startMP 204:232983 --initTime 2016-10-11T12:41:42 --startdatetime 2016-10-11T12:56:15 --delay 1 --endMP 204:150 --enddatetime 2016-10-11T13:42:31 --enforcementcount 0 &gt;&gt;C:\Users\stu\Documents\GitHub\eaglep3-reporting\EC\2016-10-11-refined-times.txt</v>
      </c>
      <c r="AI76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{"issue":{"subject":"","project_id":79,"tracker_id":40,"status_id":1,"priority_id":2,"assigned_to_id":23,"start_date":"2016-10-11","description":"","custom_fields":[{"id":1,"name":"Subdivision","value":"EC"},{"id":4,"name":"Milepost","value":"0.015"},{"id":17,"name":"Train ID","value":"168-11"},{"id":16,"name":"Locomotive ID","value":"4030"},{"id":130,"name":"Impact","value":""},{"id":150,"name":"Time of Event (Mountain Time)","value":"13:42:31"},{"id":151,"name":"Denver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465</v>
      </c>
      <c r="B77" s="7">
        <v>4016</v>
      </c>
      <c r="C77" s="24" t="s">
        <v>106</v>
      </c>
      <c r="D77" s="24" t="s">
        <v>358</v>
      </c>
      <c r="E77" s="15">
        <v>42654.506030092591</v>
      </c>
      <c r="F77" s="15">
        <v>42654.51059027778</v>
      </c>
      <c r="G77" s="7">
        <v>2</v>
      </c>
      <c r="H77" s="15" t="s">
        <v>255</v>
      </c>
      <c r="I77" s="15">
        <v>42654.53633101852</v>
      </c>
      <c r="J77" s="7">
        <v>0</v>
      </c>
      <c r="K77" s="116" t="str">
        <f t="shared" ref="K77:K140" si="32">IF(ISEVEN(B77),(B77-1)&amp;"/"&amp;B77,B77&amp;"/"&amp;(B77+1))</f>
        <v>4015/4016</v>
      </c>
      <c r="L77" s="24" t="str">
        <f>VLOOKUP(A77,'Trips&amp;Operators'!$C$1:$E$10000,3,FALSE)</f>
        <v>CLARK</v>
      </c>
      <c r="M77" s="6">
        <f t="shared" ref="M77:M140" si="33">I77-F77</f>
        <v>2.5740740740729962E-2</v>
      </c>
      <c r="N77" s="7">
        <f t="shared" si="31"/>
        <v>37.066666666651145</v>
      </c>
      <c r="O77" s="7"/>
      <c r="P77" s="7"/>
      <c r="Q77" s="25"/>
      <c r="R77" s="25"/>
      <c r="S77" s="37">
        <f t="shared" si="28"/>
        <v>1</v>
      </c>
      <c r="T77" s="52" t="str">
        <f t="shared" ref="T77:T140" si="34">IF(ISEVEN(LEFT(AD77,4)),"Southbound","NorthBound")</f>
        <v>NorthBound</v>
      </c>
      <c r="U77" s="15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1" t="str">
        <f t="shared" ref="V77:V140" si="35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https://search-rtdc-monitor-bjffxe2xuh6vdkpspy63sjmuny.us-east-1.es.amazonaws.com/_plugin/kibana/#/discover/Steve-Slow-Train-Analysis-(2080s-and-2083s)?_g=(refreshInterval:(display:Off,section:0,value:0),time:(from:'2016-10-11 11:08:41-0600',mode:absolute,to:'2016-10-11 13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7" s="54" t="str">
        <f t="shared" ref="W77:W140" si="36">IF(AA77&lt;IF(AG77="EC",23,5.65),"Y","N")</f>
        <v>N</v>
      </c>
      <c r="X77" s="163">
        <f t="shared" si="24"/>
        <v>1</v>
      </c>
      <c r="Y77" s="69">
        <f t="shared" si="25"/>
        <v>4.82E-2</v>
      </c>
      <c r="Z77" s="69">
        <f t="shared" si="26"/>
        <v>23.328800000000001</v>
      </c>
      <c r="AA77" s="69">
        <f t="shared" ref="AA77:AA140" si="37">ABS(Z77-Y77)</f>
        <v>23.2806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8">IF(LEN(A77)=6,"0"&amp;A77,A77)</f>
        <v>0169-11</v>
      </c>
      <c r="AE77" s="94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"%USERPROFILE%\AppData\Local\Temp\OnboardLogs"\RTDC4016\2016-10-11 --exclude "*" --recursive --include "*20161011*" &amp; "%USERPROFILE%\Documents\GitHub\mrs-test-scripts\Headless Mode &amp; Sideloading\WalkAndUnGZ.bat" "%USERPROFILE%\AppData\Local\Temp\OnboardLogs"\RTDC4016\2016-10-11 &amp; 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</v>
      </c>
      <c r="AF77" s="91" t="str">
        <f t="shared" ref="AF77:AF140" si="40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/stypes="app*4016*20161011*" /stext=" 18:.+((SYSTEM_STATE.+slice.+state.+changed )|(ment ac)|(system.+state.+changed )|(\[timeout)|(PRM\|1\|D)|(kpr)|(kdp)|(\|lc)|(penalty))" /e /r /s</v>
      </c>
      <c r="AG77" s="1" t="str">
        <f t="shared" ref="AG77:AG140" si="41">IFERROR(IF(VALUE(LEFT(AD77,2))&lt;=2,"EC",IF(OR(VALUE(LEFT(AD77,2))=8,VALUE(LEFT(AD77,2))=18),"NW","Other")),"Other")</f>
        <v>EC</v>
      </c>
      <c r="AH77" s="95" t="str">
        <f t="shared" si="13"/>
        <v>"%USERPROFILE%\Documents\GitHub\eaglep3\Utilities\RefineRTDCRunTimes.py" --tripid 169-11 --locoid 4016 --swversion DE.1.0.7.0 --startMP 204:482 --initTime 2016-10-11T12:08:41 --startdatetime 2016-10-11T12:15:15 --delay 2 --endMP 204:233288 --enddatetime 2016-10-11T12:52:19 --enforcementcount 0 &gt;&gt;C:\Users\stu\Documents\GitHub\eaglep3-reporting\EC\2016-10-11-refined-times.txt</v>
      </c>
      <c r="AI77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{"issue":{"subject":"","project_id":79,"tracker_id":40,"status_id":1,"priority_id":2,"assigned_to_id":23,"start_date":"2016-10-11","description":"","custom_fields":[{"id":1,"name":"Subdivision","value":"EC"},{"id":4,"name":"Milepost","value":"23.3288"},{"id":17,"name":"Train ID","value":"169-11"},{"id":16,"name":"Locomotive ID","value":"4016"},{"id":130,"name":"Impact","value":""},{"id":150,"name":"Time of Event (Mountain Time)","value":"12:52:19"},{"id":151,"name":"Denver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466</v>
      </c>
      <c r="B78" s="7">
        <v>4015</v>
      </c>
      <c r="C78" s="24" t="s">
        <v>106</v>
      </c>
      <c r="D78" s="24" t="s">
        <v>358</v>
      </c>
      <c r="E78" s="15">
        <v>42654.506030092591</v>
      </c>
      <c r="F78" s="15">
        <v>42654.549479166664</v>
      </c>
      <c r="G78" s="7">
        <v>2</v>
      </c>
      <c r="H78" s="15" t="s">
        <v>255</v>
      </c>
      <c r="I78" s="15">
        <v>42654.583449074074</v>
      </c>
      <c r="J78" s="7">
        <v>0</v>
      </c>
      <c r="K78" s="116" t="str">
        <f t="shared" si="32"/>
        <v>4015/4016</v>
      </c>
      <c r="L78" s="24" t="str">
        <f>VLOOKUP(A78,'Trips&amp;Operators'!$C$1:$E$10000,3,FALSE)</f>
        <v>CLARK</v>
      </c>
      <c r="M78" s="6">
        <f t="shared" si="33"/>
        <v>3.3969907410209998E-2</v>
      </c>
      <c r="N78" s="7">
        <f t="shared" si="31"/>
        <v>48.916666670702398</v>
      </c>
      <c r="O78" s="7"/>
      <c r="P78" s="7"/>
      <c r="Q78" s="25"/>
      <c r="R78" s="25"/>
      <c r="S78" s="37">
        <f t="shared" si="28"/>
        <v>1</v>
      </c>
      <c r="T78" s="52" t="str">
        <f t="shared" si="34"/>
        <v>Southbound</v>
      </c>
      <c r="U78" s="15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11:08:41-0600',mode:absolute,to:'2016-10-11 15:00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8" s="54" t="str">
        <f t="shared" si="36"/>
        <v>N</v>
      </c>
      <c r="X78" s="163">
        <f t="shared" si="24"/>
        <v>1</v>
      </c>
      <c r="Y78" s="69">
        <v>23.2743</v>
      </c>
      <c r="Z78" s="69">
        <v>1.5599999999999999E-2</v>
      </c>
      <c r="AA78" s="69">
        <f t="shared" si="37"/>
        <v>23.258700000000001</v>
      </c>
      <c r="AB78" s="66" t="str">
        <f>VLOOKUP(A78,Enforcements!$C$7:$K$21,8,0)</f>
        <v>Bulletin (2)</v>
      </c>
      <c r="AC78" s="62" t="str">
        <f>VLOOKUP(A78,Enforcements!$C$7:$E$21,3,0)</f>
        <v>GRADE CROSSING</v>
      </c>
      <c r="AD78" s="63" t="str">
        <f t="shared" si="38"/>
        <v>0170-11</v>
      </c>
      <c r="AE78" s="94" t="str">
        <f t="shared" si="39"/>
        <v>aws s3 cp s3://rtdc.mdm.uploadarchive.raw/RTDC4015/ "%USERPROFILE%\AppData\Local\Temp\OnboardLogs"\RTDC4015\2016-10-11 --exclude "*" --recursive --include "*20161011*" &amp; "%USERPROFILE%\Documents\GitHub\mrs-test-scripts\Headless Mode &amp; Sideloading\WalkAndUnGZ.bat" "%USERPROFILE%\AppData\Local\Temp\OnboardLogs"\RTDC4015\2016-10-11 &amp; 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</v>
      </c>
      <c r="AF78" s="91" t="str">
        <f t="shared" si="40"/>
        <v>"C:\Program Files (x86)\AstroGrep\AstroGrep.exe" /spath="%USERPROFILE%\AppData\Local\Temp\OnboardLogs" /stypes="app*4015*20161011*" /stext=" 20:.+((SYSTEM_STATE.+slice.+state.+changed )|(ment ac)|(system.+state.+changed )|(\[timeout)|(PRM\|1\|D)|(kpr)|(kdp)|(\|lc)|(penalty))" /e /r /s</v>
      </c>
      <c r="AG78" s="1" t="str">
        <f t="shared" si="41"/>
        <v>EC</v>
      </c>
      <c r="AH78" s="95" t="str">
        <f t="shared" ref="AH78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170-11 --locoid 4015 --swversion DE.1.0.7.0 --startMP 204:482 --initTime 2016-10-11T12:08:41 --startdatetime 2016-10-11T13:11:15 --delay 2 --endMP 204:233288 --enddatetime 2016-10-11T14:00:10 --enforcementcount 0 &gt;&gt;C:\Users\stu\Documents\GitHub\eaglep3-reporting\EC\2016-10-11-refined-times.txt</v>
      </c>
      <c r="AI78" s="129" t="str">
        <f t="shared" ref="AI78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{"issue":{"subject":"","project_id":79,"tracker_id":40,"status_id":1,"priority_id":2,"assigned_to_id":23,"start_date":"2016-10-11","description":"","custom_fields":[{"id":1,"name":"Subdivision","value":"EC"},{"id":4,"name":"Milepost","value":"0.0156"},{"id":17,"name":"Train ID","value":"170-11"},{"id":16,"name":"Locomotive ID","value":"4015"},{"id":130,"name":"Impact","value":""},{"id":150,"name":"Time of Event (Mountain Time)","value":"14:00:10"},{"id":151,"name":"Denver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468</v>
      </c>
      <c r="B79" s="7">
        <v>4053</v>
      </c>
      <c r="C79" s="24" t="s">
        <v>106</v>
      </c>
      <c r="D79" s="24" t="s">
        <v>191</v>
      </c>
      <c r="E79" s="15">
        <v>42654.517881944441</v>
      </c>
      <c r="F79" s="15">
        <v>42654.521435185183</v>
      </c>
      <c r="G79" s="7">
        <v>1</v>
      </c>
      <c r="H79" s="15" t="s">
        <v>281</v>
      </c>
      <c r="I79" s="15">
        <v>42654.549328703702</v>
      </c>
      <c r="J79" s="7">
        <v>0</v>
      </c>
      <c r="K79" s="116" t="str">
        <f t="shared" si="32"/>
        <v>4053/4054</v>
      </c>
      <c r="L79" s="24" t="str">
        <f>VLOOKUP(A79,'Trips&amp;Operators'!$C$1:$E$10000,3,FALSE)</f>
        <v>STORY</v>
      </c>
      <c r="M79" s="6">
        <f t="shared" si="33"/>
        <v>2.789351851970423E-2</v>
      </c>
      <c r="N79" s="7">
        <f t="shared" si="31"/>
        <v>40.166666668374091</v>
      </c>
      <c r="O79" s="7"/>
      <c r="P79" s="7"/>
      <c r="Q79" s="25"/>
      <c r="R79" s="25"/>
      <c r="S79" s="37">
        <f t="shared" si="28"/>
        <v>1</v>
      </c>
      <c r="T79" s="52" t="str">
        <f t="shared" si="34"/>
        <v>NorthBound</v>
      </c>
      <c r="U79" s="15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11:25:45-0600',mode:absolute,to:'2016-10-11 14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9" s="54" t="str">
        <f t="shared" si="36"/>
        <v>N</v>
      </c>
      <c r="X79" s="163">
        <f t="shared" ref="X79:X80" si="44">VALUE(LEFT(AD79,4))-VALUE(LEFT(AD78,4))</f>
        <v>1</v>
      </c>
      <c r="Y79" s="69">
        <f t="shared" ref="Y79:Y84" si="45">RIGHT(D79,LEN(D79)-4)/10000</f>
        <v>4.5699999999999998E-2</v>
      </c>
      <c r="Z79" s="69">
        <f t="shared" ref="Z79:Z84" si="46">RIGHT(H79,LEN(H79)-4)/10000</f>
        <v>23.3306</v>
      </c>
      <c r="AA79" s="69">
        <f t="shared" si="37"/>
        <v>23.2849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8"/>
        <v>0171-11</v>
      </c>
      <c r="AE79" s="94" t="str">
        <f t="shared" si="39"/>
        <v>aws s3 cp s3://rtdc.mdm.uploadarchive.raw/RTDC4053/ "%USERPROFILE%\AppData\Local\Temp\OnboardLogs"\RTDC4053\2016-10-11 --exclude "*" --recursive --include "*20161011*" &amp; "%USERPROFILE%\Documents\GitHub\mrs-test-scripts\Headless Mode &amp; Sideloading\WalkAndUnGZ.bat" "%USERPROFILE%\AppData\Local\Temp\OnboardLogs"\RTDC4053\2016-10-11 &amp; 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</v>
      </c>
      <c r="AF79" s="91" t="str">
        <f t="shared" si="40"/>
        <v>"C:\Program Files (x86)\AstroGrep\AstroGrep.exe" /spath="%USERPROFILE%\AppData\Local\Temp\OnboardLogs" /stypes="app*4053*20161011*" /stext=" 19:.+((SYSTEM_STATE.+slice.+state.+changed )|(ment ac)|(system.+state.+changed )|(\[timeout)|(PRM\|1\|D)|(kpr)|(kdp)|(\|lc)|(penalty))" /e /r /s</v>
      </c>
      <c r="AG79" s="1" t="str">
        <f t="shared" si="41"/>
        <v>EC</v>
      </c>
      <c r="AH79" s="95" t="str">
        <f t="shared" si="13"/>
        <v>"%USERPROFILE%\Documents\GitHub\eaglep3\Utilities\RefineRTDCRunTimes.py" --tripid 171-11 --locoid 4053 --swversion DE.1.0.7.0 --startMP 204:457 --initTime 2016-10-11T12:25:45 --startdatetime 2016-10-11T12:30:52 --delay 1 --endMP 204:233306 --enddatetime 2016-10-11T13:11:02 --enforcementcount 0 &gt;&gt;C:\Users\stu\Documents\GitHub\eaglep3-reporting\EC\2016-10-11-refined-times.txt</v>
      </c>
      <c r="AI79" s="129" t="str">
        <f t="shared" si="14"/>
        <v>echo {"issue":{"subject":"","project_id":79,"tracker_id":40,"status_id":1,"priority_id":2,"assigned_to_id":23,"start_date":"2016-10-11","description":"","custom_fields":[{"id":1,"name":"Subdivision","value":"EC"},{"id":4,"name":"Milepost","value":"23.3306"},{"id":17,"name":"Train ID","value":"171-11"},{"id":16,"name":"Locomotive ID","value":"4053"},{"id":130,"name":"Impact","value":""},{"id":150,"name":"Time of Event (Mountain Time)","value":"13:11:02"},{"id":151,"name":"Denver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469</v>
      </c>
      <c r="B80" s="7">
        <v>4054</v>
      </c>
      <c r="C80" s="24" t="s">
        <v>106</v>
      </c>
      <c r="D80" s="24" t="s">
        <v>237</v>
      </c>
      <c r="E80" s="15">
        <v>42654.555081018516</v>
      </c>
      <c r="F80" s="15">
        <v>42654.560347222221</v>
      </c>
      <c r="G80" s="7">
        <v>1</v>
      </c>
      <c r="H80" s="15" t="s">
        <v>186</v>
      </c>
      <c r="I80" s="15">
        <v>42654.588645833333</v>
      </c>
      <c r="J80" s="7">
        <v>0</v>
      </c>
      <c r="K80" s="116" t="str">
        <f t="shared" si="32"/>
        <v>4053/4054</v>
      </c>
      <c r="L80" s="24" t="str">
        <f>VLOOKUP(A80,'Trips&amp;Operators'!$C$1:$E$10000,3,FALSE)</f>
        <v>STORY</v>
      </c>
      <c r="M80" s="6">
        <f t="shared" si="33"/>
        <v>2.8298611112404615E-2</v>
      </c>
      <c r="N80" s="7">
        <f t="shared" si="31"/>
        <v>40.750000001862645</v>
      </c>
      <c r="O80" s="7"/>
      <c r="P80" s="7"/>
      <c r="Q80" s="25"/>
      <c r="R80" s="25"/>
      <c r="S80" s="37">
        <f t="shared" si="28"/>
        <v>1</v>
      </c>
      <c r="T80" s="52" t="str">
        <f t="shared" si="34"/>
        <v>Southbound</v>
      </c>
      <c r="U80" s="15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12:19:19-0600',mode:absolute,to:'2016-10-11 15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0" s="54" t="str">
        <f t="shared" si="36"/>
        <v>N</v>
      </c>
      <c r="X80" s="163">
        <f t="shared" si="44"/>
        <v>1</v>
      </c>
      <c r="Y80" s="69">
        <f t="shared" si="45"/>
        <v>23.2989</v>
      </c>
      <c r="Z80" s="69">
        <f t="shared" si="46"/>
        <v>1.5800000000000002E-2</v>
      </c>
      <c r="AA80" s="69">
        <f t="shared" si="37"/>
        <v>23.283100000000001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8"/>
        <v>0172-11</v>
      </c>
      <c r="AE80" s="94" t="str">
        <f t="shared" si="39"/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AF80" s="91" t="str">
        <f t="shared" si="40"/>
        <v>"C:\Program Files (x86)\AstroGrep\AstroGrep.exe" /spath="%USERPROFILE%\AppData\Local\Temp\OnboardLogs" /stypes="app*4054*20161011*" /stext=" 20:.+((SYSTEM_STATE.+slice.+state.+changed )|(ment ac)|(system.+state.+changed )|(\[timeout)|(PRM\|1\|D)|(kpr)|(kdp)|(\|lc)|(penalty))" /e /r /s</v>
      </c>
      <c r="AG80" s="1" t="str">
        <f t="shared" si="41"/>
        <v>EC</v>
      </c>
      <c r="AH80" s="95" t="str">
        <f t="shared" ref="AH80:AH144" si="47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172-11 --locoid 4054 --swversion DE.1.0.7.0 --startMP 204:232989 --initTime 2016-10-11T13:19:19 --startdatetime 2016-10-11T13:26:54 --delay 1 --endMP 204:158 --enddatetime 2016-10-11T14:07:39 --enforcementcount 0 &gt;&gt;C:\Users\stu\Documents\GitHub\eaglep3-reporting\EC\2016-10-11-refined-times.txt</v>
      </c>
      <c r="AI80" s="129" t="str">
        <f t="shared" ref="AI80:AI144" si="48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{"issue":{"subject":"","project_id":79,"tracker_id":40,"status_id":1,"priority_id":2,"assigned_to_id":23,"start_date":"2016-10-11","description":"","custom_fields":[{"id":1,"name":"Subdivision","value":"EC"},{"id":4,"name":"Milepost","value":"0.0158"},{"id":17,"name":"Train ID","value":"172-11"},{"id":16,"name":"Locomotive ID","value":"4054"},{"id":130,"name":"Impact","value":""},{"id":150,"name":"Time of Event (Mountain Time)","value":"14:07:39"},{"id":151,"name":"Denver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470</v>
      </c>
      <c r="B81" s="7">
        <v>4007</v>
      </c>
      <c r="C81" s="24" t="s">
        <v>106</v>
      </c>
      <c r="D81" s="24" t="s">
        <v>195</v>
      </c>
      <c r="E81" s="15">
        <v>42654.527569444443</v>
      </c>
      <c r="F81" s="15">
        <v>42654.531631944446</v>
      </c>
      <c r="G81" s="7">
        <v>1</v>
      </c>
      <c r="H81" s="15" t="s">
        <v>253</v>
      </c>
      <c r="I81" s="15">
        <v>42654.559583333335</v>
      </c>
      <c r="J81" s="7">
        <v>0</v>
      </c>
      <c r="K81" s="116" t="str">
        <f t="shared" si="32"/>
        <v>4007/4008</v>
      </c>
      <c r="L81" s="24" t="str">
        <f>VLOOKUP(A81,'Trips&amp;Operators'!$C$1:$E$10000,3,FALSE)</f>
        <v>BARTLETT</v>
      </c>
      <c r="M81" s="6">
        <f t="shared" si="33"/>
        <v>2.7951388889050577E-2</v>
      </c>
      <c r="N81" s="7">
        <f t="shared" si="31"/>
        <v>40.250000000232831</v>
      </c>
      <c r="O81" s="7"/>
      <c r="P81" s="7"/>
      <c r="Q81" s="25"/>
      <c r="R81" s="25"/>
      <c r="S81" s="37">
        <f t="shared" si="28"/>
        <v>1</v>
      </c>
      <c r="T81" s="52" t="str">
        <f t="shared" si="34"/>
        <v>NorthBound</v>
      </c>
      <c r="U81" s="15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11:39:42-0600',mode:absolute,to:'2016-10-11 14:25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1" s="54" t="str">
        <f t="shared" si="36"/>
        <v>N</v>
      </c>
      <c r="X81" s="163">
        <f t="shared" ref="X81:X112" si="49">VALUE(LEFT(AD81,4))-VALUE(LEFT(AD80,4))</f>
        <v>1</v>
      </c>
      <c r="Y81" s="69">
        <f t="shared" si="45"/>
        <v>4.58E-2</v>
      </c>
      <c r="Z81" s="69">
        <f t="shared" si="46"/>
        <v>23.329499999999999</v>
      </c>
      <c r="AA81" s="69">
        <f t="shared" si="37"/>
        <v>23.2837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8"/>
        <v>0173-11</v>
      </c>
      <c r="AE81" s="94" t="str">
        <f t="shared" si="39"/>
        <v>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 &amp; 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</v>
      </c>
      <c r="AF81" s="91" t="str">
        <f t="shared" si="40"/>
        <v>"C:\Program Files (x86)\AstroGrep\AstroGrep.exe" /spath="%USERPROFILE%\AppData\Local\Temp\OnboardLogs" /stypes="app*4007*20161011*" /stext=" 19:.+((SYSTEM_STATE.+slice.+state.+changed )|(ment ac)|(system.+state.+changed )|(\[timeout)|(PRM\|1\|D)|(kpr)|(kdp)|(\|lc)|(penalty))" /e /r /s</v>
      </c>
      <c r="AG81" s="1" t="str">
        <f t="shared" si="41"/>
        <v>EC</v>
      </c>
      <c r="AH81" s="95" t="str">
        <f t="shared" si="47"/>
        <v>"%USERPROFILE%\Documents\GitHub\eaglep3\Utilities\RefineRTDCRunTimes.py" --tripid 173-11 --locoid 4007 --swversion DE.1.0.7.0 --startMP 204:458 --initTime 2016-10-11T12:39:42 --startdatetime 2016-10-11T12:45:33 --delay 1 --endMP 204:233295 --enddatetime 2016-10-11T13:25:48 --enforcementcount 0 &gt;&gt;C:\Users\stu\Documents\GitHub\eaglep3-reporting\EC\2016-10-11-refined-times.txt</v>
      </c>
      <c r="AI81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{"issue":{"subject":"","project_id":79,"tracker_id":40,"status_id":1,"priority_id":2,"assigned_to_id":23,"start_date":"2016-10-11","description":"","custom_fields":[{"id":1,"name":"Subdivision","value":"EC"},{"id":4,"name":"Milepost","value":"23.3295"},{"id":17,"name":"Train ID","value":"173-11"},{"id":16,"name":"Locomotive ID","value":"4007"},{"id":130,"name":"Impact","value":""},{"id":150,"name":"Time of Event (Mountain Time)","value":"13:25:48"},{"id":151,"name":"Denver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579</v>
      </c>
      <c r="B82" s="7">
        <v>4008</v>
      </c>
      <c r="C82" s="24" t="s">
        <v>106</v>
      </c>
      <c r="D82" s="24" t="s">
        <v>410</v>
      </c>
      <c r="E82" s="15">
        <v>42654.561655092592</v>
      </c>
      <c r="F82" s="15">
        <v>42654.570625</v>
      </c>
      <c r="G82" s="7">
        <v>1</v>
      </c>
      <c r="H82" s="15" t="s">
        <v>249</v>
      </c>
      <c r="I82" s="15">
        <v>42654.597430555557</v>
      </c>
      <c r="J82" s="7">
        <v>0</v>
      </c>
      <c r="K82" s="116" t="str">
        <f t="shared" si="32"/>
        <v>4007/4008</v>
      </c>
      <c r="L82" s="24" t="str">
        <f>VLOOKUP(A82,'Trips&amp;Operators'!$C$1:$E$10000,3,FALSE)</f>
        <v>BARTLETT</v>
      </c>
      <c r="M82" s="6">
        <f t="shared" si="33"/>
        <v>2.6805555557075422E-2</v>
      </c>
      <c r="N82" s="7">
        <f t="shared" si="31"/>
        <v>38.600000002188608</v>
      </c>
      <c r="O82" s="7"/>
      <c r="P82" s="7"/>
      <c r="Q82" s="25"/>
      <c r="R82" s="25"/>
      <c r="S82" s="37">
        <f t="shared" si="28"/>
        <v>1</v>
      </c>
      <c r="T82" s="52" t="str">
        <f t="shared" si="34"/>
        <v>Southbound</v>
      </c>
      <c r="U82" s="15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12:28:47-0600',mode:absolute,to:'2016-10-11 15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2" s="54" t="str">
        <f t="shared" si="36"/>
        <v>N</v>
      </c>
      <c r="X82" s="163">
        <f t="shared" si="49"/>
        <v>1</v>
      </c>
      <c r="Y82" s="69">
        <f t="shared" si="45"/>
        <v>23.2988</v>
      </c>
      <c r="Z82" s="69">
        <f t="shared" si="46"/>
        <v>1.43E-2</v>
      </c>
      <c r="AA82" s="69">
        <f t="shared" si="37"/>
        <v>23.284500000000001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8"/>
        <v>0174-11</v>
      </c>
      <c r="AE82" s="94" t="str">
        <f t="shared" si="39"/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AF82" s="91" t="str">
        <f t="shared" si="40"/>
        <v>"C:\Program Files (x86)\AstroGrep\AstroGrep.exe" /spath="%USERPROFILE%\AppData\Local\Temp\OnboardLogs" /stypes="app*4008*20161011*" /stext=" 20:.+((SYSTEM_STATE.+slice.+state.+changed )|(ment ac)|(system.+state.+changed )|(\[timeout)|(PRM\|1\|D)|(kpr)|(kdp)|(\|lc)|(penalty))" /e /r /s</v>
      </c>
      <c r="AG82" s="1" t="str">
        <f t="shared" si="41"/>
        <v>EC</v>
      </c>
      <c r="AH82" s="95" t="str">
        <f t="shared" si="47"/>
        <v>"%USERPROFILE%\Documents\GitHub\eaglep3\Utilities\RefineRTDCRunTimes.py" --tripid 174-11 --locoid 4008 --swversion DE.1.0.7.0 --startMP 204:232988 --initTime 2016-10-11T13:28:47 --startdatetime 2016-10-11T13:41:42 --delay 1 --endMP 204:143 --enddatetime 2016-10-11T14:20:18 --enforcementcount 0 &gt;&gt;C:\Users\stu\Documents\GitHub\eaglep3-reporting\EC\2016-10-11-refined-times.txt</v>
      </c>
      <c r="AI82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{"issue":{"subject":"","project_id":79,"tracker_id":40,"status_id":1,"priority_id":2,"assigned_to_id":23,"start_date":"2016-10-11","description":"","custom_fields":[{"id":1,"name":"Subdivision","value":"EC"},{"id":4,"name":"Milepost","value":"0.0143"},{"id":17,"name":"Train ID","value":"174-11"},{"id":16,"name":"Locomotive ID","value":"4008"},{"id":130,"name":"Impact","value":""},{"id":150,"name":"Time of Event (Mountain Time)","value":"14:20:18"},{"id":151,"name":"Denver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471</v>
      </c>
      <c r="B83" s="7">
        <v>4003</v>
      </c>
      <c r="C83" s="24" t="s">
        <v>106</v>
      </c>
      <c r="D83" s="24" t="s">
        <v>227</v>
      </c>
      <c r="E83" s="15">
        <v>42654.537731481483</v>
      </c>
      <c r="F83" s="15">
        <v>42654.542488425926</v>
      </c>
      <c r="G83" s="7">
        <v>6</v>
      </c>
      <c r="H83" s="15" t="s">
        <v>312</v>
      </c>
      <c r="I83" s="15">
        <v>42654.568090277775</v>
      </c>
      <c r="J83" s="7">
        <v>0</v>
      </c>
      <c r="K83" s="116" t="str">
        <f t="shared" si="32"/>
        <v>4003/4004</v>
      </c>
      <c r="L83" s="24" t="str">
        <f>VLOOKUP(A83,'Trips&amp;Operators'!$C$1:$E$10000,3,FALSE)</f>
        <v>STEWART</v>
      </c>
      <c r="M83" s="6">
        <f t="shared" si="33"/>
        <v>2.5601851848477963E-2</v>
      </c>
      <c r="N83" s="7">
        <f t="shared" si="31"/>
        <v>36.866666661808267</v>
      </c>
      <c r="O83" s="7"/>
      <c r="P83" s="7"/>
      <c r="Q83" s="25"/>
      <c r="R83" s="25"/>
      <c r="S83" s="37">
        <f t="shared" si="28"/>
        <v>1</v>
      </c>
      <c r="T83" s="52" t="str">
        <f t="shared" si="34"/>
        <v>NorthBound</v>
      </c>
      <c r="U83" s="15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11:54:20-0600',mode:absolute,to:'2016-10-11 14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3" s="54" t="str">
        <f t="shared" si="36"/>
        <v>N</v>
      </c>
      <c r="X83" s="163">
        <f t="shared" si="49"/>
        <v>1</v>
      </c>
      <c r="Y83" s="69">
        <f t="shared" si="45"/>
        <v>4.6899999999999997E-2</v>
      </c>
      <c r="Z83" s="69">
        <f t="shared" si="46"/>
        <v>23.3323</v>
      </c>
      <c r="AA83" s="69">
        <f t="shared" si="37"/>
        <v>23.285399999999999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8"/>
        <v>0175-11</v>
      </c>
      <c r="AE83" s="94" t="str">
        <f t="shared" si="39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83" s="91" t="str">
        <f t="shared" si="40"/>
        <v>"C:\Program Files (x86)\AstroGrep\AstroGrep.exe" /spath="%USERPROFILE%\AppData\Local\Temp\OnboardLogs" /stypes="app*4003*20161011*" /stext=" 19:.+((SYSTEM_STATE.+slice.+state.+changed )|(ment ac)|(system.+state.+changed )|(\[timeout)|(PRM\|1\|D)|(kpr)|(kdp)|(\|lc)|(penalty))" /e /r /s</v>
      </c>
      <c r="AG83" s="1" t="str">
        <f t="shared" si="41"/>
        <v>EC</v>
      </c>
      <c r="AH83" s="95" t="str">
        <f t="shared" si="47"/>
        <v>"%USERPROFILE%\Documents\GitHub\eaglep3\Utilities\RefineRTDCRunTimes.py" --tripid 175-11 --locoid 4003 --swversion DE.1.0.7.0 --startMP 204:469 --initTime 2016-10-11T12:54:20 --startdatetime 2016-10-11T13:01:11 --delay 6 --endMP 204:233323 --enddatetime 2016-10-11T13:38:03 --enforcementcount 0 &gt;&gt;C:\Users\stu\Documents\GitHub\eaglep3-reporting\EC\2016-10-11-refined-times.txt</v>
      </c>
      <c r="AI83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{"issue":{"subject":"","project_id":79,"tracker_id":40,"status_id":1,"priority_id":2,"assigned_to_id":23,"start_date":"2016-10-11","description":"","custom_fields":[{"id":1,"name":"Subdivision","value":"EC"},{"id":4,"name":"Milepost","value":"23.3323"},{"id":17,"name":"Train ID","value":"175-11"},{"id":16,"name":"Locomotive ID","value":"4003"},{"id":130,"name":"Impact","value":""},{"id":150,"name":"Time of Event (Mountain Time)","value":"13:38:03"},{"id":151,"name":"Denver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540</v>
      </c>
      <c r="B84" s="7">
        <v>4004</v>
      </c>
      <c r="C84" s="24" t="s">
        <v>106</v>
      </c>
      <c r="D84" s="24" t="s">
        <v>234</v>
      </c>
      <c r="E84" s="15">
        <v>42654.576620370368</v>
      </c>
      <c r="F84" s="15">
        <v>42654.580752314818</v>
      </c>
      <c r="G84" s="7">
        <v>1</v>
      </c>
      <c r="H84" s="15" t="s">
        <v>200</v>
      </c>
      <c r="I84" s="15">
        <v>42654.608888888892</v>
      </c>
      <c r="J84" s="7">
        <v>0</v>
      </c>
      <c r="K84" s="116" t="str">
        <f t="shared" si="32"/>
        <v>4003/4004</v>
      </c>
      <c r="L84" s="24" t="str">
        <f>VLOOKUP(A84,'Trips&amp;Operators'!$C$1:$E$10000,3,FALSE)</f>
        <v>STEWART</v>
      </c>
      <c r="M84" s="6">
        <f t="shared" si="33"/>
        <v>2.8136574073869269E-2</v>
      </c>
      <c r="N84" s="7">
        <f t="shared" si="31"/>
        <v>40.516666666371748</v>
      </c>
      <c r="O84" s="7"/>
      <c r="P84" s="7"/>
      <c r="Q84" s="25"/>
      <c r="R84" s="25"/>
      <c r="S84" s="37">
        <f t="shared" si="28"/>
        <v>1</v>
      </c>
      <c r="T84" s="52" t="str">
        <f t="shared" si="34"/>
        <v>Southbound</v>
      </c>
      <c r="U84" s="15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12:50:20-0600',mode:absolute,to:'2016-10-11 15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4" s="54" t="str">
        <f t="shared" si="36"/>
        <v>N</v>
      </c>
      <c r="X84" s="163">
        <f t="shared" si="49"/>
        <v>1</v>
      </c>
      <c r="Y84" s="69">
        <f t="shared" si="45"/>
        <v>23.299299999999999</v>
      </c>
      <c r="Z84" s="69">
        <f t="shared" si="46"/>
        <v>1.5599999999999999E-2</v>
      </c>
      <c r="AA84" s="69">
        <f t="shared" si="37"/>
        <v>23.2837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8"/>
        <v>0176-11</v>
      </c>
      <c r="AE84" s="94" t="str">
        <f t="shared" si="39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84" s="91" t="str">
        <f t="shared" si="40"/>
        <v>"C:\Program Files (x86)\AstroGrep\AstroGrep.exe" /spath="%USERPROFILE%\AppData\Local\Temp\OnboardLogs" /stypes="app*4004*20161011*" /stext=" 20:.+((SYSTEM_STATE.+slice.+state.+changed )|(ment ac)|(system.+state.+changed )|(\[timeout)|(PRM\|1\|D)|(kpr)|(kdp)|(\|lc)|(penalty))" /e /r /s</v>
      </c>
      <c r="AG84" s="1" t="str">
        <f t="shared" si="41"/>
        <v>EC</v>
      </c>
      <c r="AH84" s="95" t="str">
        <f t="shared" si="47"/>
        <v>"%USERPROFILE%\Documents\GitHub\eaglep3\Utilities\RefineRTDCRunTimes.py" --tripid 176-11 --locoid 4004 --swversion DE.1.0.7.0 --startMP 204:232993 --initTime 2016-10-11T13:50:20 --startdatetime 2016-10-11T13:56:17 --delay 1 --endMP 204:156 --enddatetime 2016-10-11T14:36:48 --enforcementcount 0 &gt;&gt;C:\Users\stu\Documents\GitHub\eaglep3-reporting\EC\2016-10-11-refined-times.txt</v>
      </c>
      <c r="AI84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{"issue":{"subject":"","project_id":79,"tracker_id":40,"status_id":1,"priority_id":2,"assigned_to_id":23,"start_date":"2016-10-11","description":"","custom_fields":[{"id":1,"name":"Subdivision","value":"EC"},{"id":4,"name":"Milepost","value":"0.0156"},{"id":17,"name":"Train ID","value":"176-11"},{"id":16,"name":"Locomotive ID","value":"4004"},{"id":130,"name":"Impact","value":""},{"id":150,"name":"Time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472</v>
      </c>
      <c r="B85" s="7">
        <v>4014</v>
      </c>
      <c r="C85" s="24" t="s">
        <v>106</v>
      </c>
      <c r="D85" s="24" t="s">
        <v>234</v>
      </c>
      <c r="E85" s="15">
        <v>42654.576620370368</v>
      </c>
      <c r="F85" s="15">
        <v>42654.552442129629</v>
      </c>
      <c r="G85" s="7">
        <v>1</v>
      </c>
      <c r="H85" s="15" t="s">
        <v>200</v>
      </c>
      <c r="I85" s="15">
        <v>42654.577893518515</v>
      </c>
      <c r="J85" s="7">
        <v>0</v>
      </c>
      <c r="K85" s="116" t="str">
        <f t="shared" si="32"/>
        <v>4013/4014</v>
      </c>
      <c r="L85" s="24" t="str">
        <f>VLOOKUP(A85,'Trips&amp;Operators'!$C$1:$E$10000,3,FALSE)</f>
        <v>HELVIE</v>
      </c>
      <c r="M85" s="6">
        <f t="shared" si="33"/>
        <v>2.545138888672227E-2</v>
      </c>
      <c r="N85" s="7">
        <f t="shared" si="31"/>
        <v>36.649999996880069</v>
      </c>
      <c r="O85" s="7"/>
      <c r="P85" s="7"/>
      <c r="Q85" s="25"/>
      <c r="R85" s="25"/>
      <c r="S85" s="37">
        <f t="shared" si="28"/>
        <v>1</v>
      </c>
      <c r="T85" s="52" t="str">
        <f t="shared" si="34"/>
        <v>NorthBound</v>
      </c>
      <c r="U85" s="15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12:50:20-0600',mode:absolute,to:'2016-10-11 14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5" s="54" t="str">
        <f t="shared" si="36"/>
        <v>N</v>
      </c>
      <c r="X85" s="163">
        <f t="shared" si="49"/>
        <v>1</v>
      </c>
      <c r="Y85" s="69">
        <v>6.9900000000000004E-2</v>
      </c>
      <c r="Z85" s="69">
        <v>23.329699999999999</v>
      </c>
      <c r="AA85" s="69">
        <f t="shared" si="37"/>
        <v>23.259799999999998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8"/>
        <v>0177-11</v>
      </c>
      <c r="AE85" s="94" t="str">
        <f t="shared" si="39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85" s="91" t="str">
        <f t="shared" si="40"/>
        <v>"C:\Program Files (x86)\AstroGrep\AstroGrep.exe" /spath="%USERPROFILE%\AppData\Local\Temp\OnboardLogs" /stypes="app*4014*20161011*" /stext=" 19:.+((SYSTEM_STATE.+slice.+state.+changed )|(ment ac)|(system.+state.+changed )|(\[timeout)|(PRM\|1\|D)|(kpr)|(kdp)|(\|lc)|(penalty))" /e /r /s</v>
      </c>
      <c r="AG85" s="1" t="str">
        <f t="shared" si="41"/>
        <v>EC</v>
      </c>
      <c r="AH85" s="95" t="str">
        <f t="shared" ref="AH85" si="50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177-11 --locoid 4014 --swversion DE.1.0.7.0 --startMP 204:232993 --initTime 2016-10-11T13:50:20 --startdatetime 2016-10-11T13:15:31 --delay 1 --endMP 204:156 --enddatetime 2016-10-11T13:52:10 --enforcementcount 0 &gt;&gt;C:\Users\stu\Documents\GitHub\eaglep3-reporting\EC\2016-10-11-refined-times.txt</v>
      </c>
      <c r="AI85" s="129" t="str">
        <f t="shared" ref="AI85" si="51"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Z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{"issue":{"subject":"","project_id":79,"tracker_id":40,"status_id":1,"priority_id":2,"assigned_to_id":23,"start_date":"2016-10-11","description":"","custom_fields":[{"id":1,"name":"Subdivision","value":"EC"},{"id":4,"name":"Milepost","value":"23.3297"},{"id":17,"name":"Train ID","value":"177-11"},{"id":16,"name":"Locomotive ID","value":"4014"},{"id":130,"name":"Impact","value":""},{"id":150,"name":"Time of Event (Mountain Time)","value":"13:52:10"},{"id":151,"name":"Denver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581</v>
      </c>
      <c r="B86" s="7">
        <v>4013</v>
      </c>
      <c r="C86" s="24" t="s">
        <v>106</v>
      </c>
      <c r="D86" s="24" t="s">
        <v>665</v>
      </c>
      <c r="E86" s="15">
        <v>42654.584039351852</v>
      </c>
      <c r="F86" s="15">
        <v>42654.591168981482</v>
      </c>
      <c r="G86" s="7">
        <v>2</v>
      </c>
      <c r="H86" s="15" t="s">
        <v>288</v>
      </c>
      <c r="I86" s="15">
        <v>42654.620393518519</v>
      </c>
      <c r="J86" s="7">
        <v>0</v>
      </c>
      <c r="K86" s="116" t="str">
        <f t="shared" si="32"/>
        <v>4013/4014</v>
      </c>
      <c r="L86" s="24" t="str">
        <f>VLOOKUP(A86,'Trips&amp;Operators'!$C$1:$E$10000,3,FALSE)</f>
        <v>HELVIE</v>
      </c>
      <c r="M86" s="6">
        <f t="shared" si="33"/>
        <v>2.9224537036498077E-2</v>
      </c>
      <c r="N86" s="7">
        <f t="shared" si="31"/>
        <v>42.083333332557231</v>
      </c>
      <c r="O86" s="7"/>
      <c r="P86" s="7"/>
      <c r="Q86" s="25"/>
      <c r="R86" s="25"/>
      <c r="S86" s="37">
        <f t="shared" si="28"/>
        <v>1</v>
      </c>
      <c r="T86" s="52" t="str">
        <f t="shared" si="34"/>
        <v>Southbound</v>
      </c>
      <c r="U86" s="15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13:01:01-0600',mode:absolute,to:'2016-10-11 15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6" s="54" t="str">
        <f t="shared" si="36"/>
        <v>N</v>
      </c>
      <c r="X86" s="163">
        <f t="shared" si="49"/>
        <v>1</v>
      </c>
      <c r="Y86" s="69">
        <f t="shared" ref="Y86:Y117" si="52">RIGHT(D86,LEN(D86)-4)/10000</f>
        <v>23.297699999999999</v>
      </c>
      <c r="Z86" s="69">
        <f t="shared" ref="Z86:Z117" si="53">RIGHT(H86,LEN(H86)-4)/10000</f>
        <v>1.6299999999999999E-2</v>
      </c>
      <c r="AA86" s="69">
        <f t="shared" si="37"/>
        <v>23.281399999999998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8"/>
        <v>0178-11</v>
      </c>
      <c r="AE86" s="94" t="str">
        <f t="shared" si="39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86" s="91" t="str">
        <f t="shared" si="40"/>
        <v>"C:\Program Files (x86)\AstroGrep\AstroGrep.exe" /spath="%USERPROFILE%\AppData\Local\Temp\OnboardLogs" /stypes="app*4013*20161011*" /stext=" 20:.+((SYSTEM_STATE.+slice.+state.+changed )|(ment ac)|(system.+state.+changed )|(\[timeout)|(PRM\|1\|D)|(kpr)|(kdp)|(\|lc)|(penalty))" /e /r /s</v>
      </c>
      <c r="AG86" s="1" t="str">
        <f t="shared" si="41"/>
        <v>EC</v>
      </c>
      <c r="AH86" s="95" t="str">
        <f t="shared" si="47"/>
        <v>"%USERPROFILE%\Documents\GitHub\eaglep3\Utilities\RefineRTDCRunTimes.py" --tripid 178-11 --locoid 4013 --swversion DE.1.0.7.0 --startMP 204:232977 --initTime 2016-10-11T14:01:01 --startdatetime 2016-10-11T14:11:17 --delay 2 --endMP 204:163 --enddatetime 2016-10-11T14:53:22 --enforcementcount 0 &gt;&gt;C:\Users\stu\Documents\GitHub\eaglep3-reporting\EC\2016-10-11-refined-times.txt</v>
      </c>
      <c r="AI86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{"issue":{"subject":"","project_id":79,"tracker_id":40,"status_id":1,"priority_id":2,"assigned_to_id":23,"start_date":"2016-10-11","description":"","custom_fields":[{"id":1,"name":"Subdivision","value":"EC"},{"id":4,"name":"Milepost","value":"0.0163"},{"id":17,"name":"Train ID","value":"178-11"},{"id":16,"name":"Locomotive ID","value":"4013"},{"id":130,"name":"Impact","value":""},{"id":150,"name":"Time of Event (Mountain Time)","value":"14:53:22"},{"id":151,"name":"Denver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473</v>
      </c>
      <c r="B87" s="7">
        <v>4040</v>
      </c>
      <c r="C87" s="24" t="s">
        <v>106</v>
      </c>
      <c r="D87" s="24" t="s">
        <v>285</v>
      </c>
      <c r="E87" s="15">
        <v>42654.560648148145</v>
      </c>
      <c r="F87" s="15">
        <v>42654.562974537039</v>
      </c>
      <c r="G87" s="7">
        <v>1</v>
      </c>
      <c r="H87" s="15" t="s">
        <v>352</v>
      </c>
      <c r="I87" s="15">
        <v>42654.588171296295</v>
      </c>
      <c r="J87" s="7">
        <v>0</v>
      </c>
      <c r="K87" s="116" t="str">
        <f t="shared" si="32"/>
        <v>4039/4040</v>
      </c>
      <c r="L87" s="24" t="str">
        <f>VLOOKUP(A87,'Trips&amp;Operators'!$C$1:$E$10000,3,FALSE)</f>
        <v>BONDS</v>
      </c>
      <c r="M87" s="6">
        <f t="shared" si="33"/>
        <v>2.5196759255777579E-2</v>
      </c>
      <c r="N87" s="7">
        <f t="shared" si="31"/>
        <v>36.283333328319713</v>
      </c>
      <c r="O87" s="7"/>
      <c r="P87" s="7"/>
      <c r="Q87" s="25"/>
      <c r="R87" s="25"/>
      <c r="S87" s="37">
        <f t="shared" si="28"/>
        <v>1</v>
      </c>
      <c r="T87" s="52" t="str">
        <f t="shared" si="34"/>
        <v>NorthBound</v>
      </c>
      <c r="U87" s="15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12:27:20-0600',mode:absolute,to:'2016-10-11 15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7" s="54" t="str">
        <f t="shared" si="36"/>
        <v>N</v>
      </c>
      <c r="X87" s="163">
        <f t="shared" si="49"/>
        <v>1</v>
      </c>
      <c r="Y87" s="69">
        <f t="shared" si="52"/>
        <v>4.4200000000000003E-2</v>
      </c>
      <c r="Z87" s="69">
        <f t="shared" si="53"/>
        <v>23.331700000000001</v>
      </c>
      <c r="AA87" s="69">
        <f t="shared" si="37"/>
        <v>23.287500000000001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8"/>
        <v>0179-11</v>
      </c>
      <c r="AE87" s="94" t="str">
        <f t="shared" si="39"/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87" s="91" t="str">
        <f t="shared" si="40"/>
        <v>"C:\Program Files (x86)\AstroGrep\AstroGrep.exe" /spath="%USERPROFILE%\AppData\Local\Temp\OnboardLogs" /stypes="app*4040*20161011*" /stext=" 20:.+((SYSTEM_STATE.+slice.+state.+changed )|(ment ac)|(system.+state.+changed )|(\[timeout)|(PRM\|1\|D)|(kpr)|(kdp)|(\|lc)|(penalty))" /e /r /s</v>
      </c>
      <c r="AG87" s="1" t="str">
        <f t="shared" si="41"/>
        <v>EC</v>
      </c>
      <c r="AH87" s="95" t="str">
        <f t="shared" si="47"/>
        <v>"%USERPROFILE%\Documents\GitHub\eaglep3\Utilities\RefineRTDCRunTimes.py" --tripid 179-11 --locoid 4040 --swversion DE.1.0.7.0 --startMP 204:442 --initTime 2016-10-11T13:27:20 --startdatetime 2016-10-11T13:30:41 --delay 1 --endMP 204:233317 --enddatetime 2016-10-11T14:06:58 --enforcementcount 0 &gt;&gt;C:\Users\stu\Documents\GitHub\eaglep3-reporting\EC\2016-10-11-refined-times.txt</v>
      </c>
      <c r="AI87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{"issue":{"subject":"","project_id":79,"tracker_id":40,"status_id":1,"priority_id":2,"assigned_to_id":23,"start_date":"2016-10-11","description":"","custom_fields":[{"id":1,"name":"Subdivision","value":"EC"},{"id":4,"name":"Milepost","value":"23.3317"},{"id":17,"name":"Train ID","value":"179-11"},{"id":16,"name":"Locomotive ID","value":"4040"},{"id":130,"name":"Impact","value":""},{"id":150,"name":"Time of Event (Mountain Time)","value":"14:06:58"},{"id":151,"name":"Denver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583</v>
      </c>
      <c r="B88" s="7">
        <v>4039</v>
      </c>
      <c r="C88" s="24" t="s">
        <v>106</v>
      </c>
      <c r="D88" s="24" t="s">
        <v>666</v>
      </c>
      <c r="E88" s="15">
        <v>42654.592453703706</v>
      </c>
      <c r="F88" s="15">
        <v>42654.601527777777</v>
      </c>
      <c r="G88" s="7">
        <v>1</v>
      </c>
      <c r="H88" s="15" t="s">
        <v>249</v>
      </c>
      <c r="I88" s="15">
        <v>42654.630729166667</v>
      </c>
      <c r="J88" s="7">
        <v>0</v>
      </c>
      <c r="K88" s="116" t="str">
        <f t="shared" si="32"/>
        <v>4039/4040</v>
      </c>
      <c r="L88" s="24" t="str">
        <f>VLOOKUP(A88,'Trips&amp;Operators'!$C$1:$E$10000,3,FALSE)</f>
        <v>BONDS</v>
      </c>
      <c r="M88" s="6">
        <f t="shared" si="33"/>
        <v>2.920138889021473E-2</v>
      </c>
      <c r="N88" s="7">
        <f t="shared" si="31"/>
        <v>42.050000001909211</v>
      </c>
      <c r="O88" s="7"/>
      <c r="P88" s="7"/>
      <c r="Q88" s="25"/>
      <c r="R88" s="25"/>
      <c r="S88" s="37">
        <f t="shared" si="28"/>
        <v>1</v>
      </c>
      <c r="T88" s="52" t="str">
        <f t="shared" si="34"/>
        <v>Southbound</v>
      </c>
      <c r="U88" s="15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13:13:08-0600',mode:absolute,to:'2016-10-11 16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8" s="54" t="str">
        <f t="shared" si="36"/>
        <v>N</v>
      </c>
      <c r="X88" s="163">
        <f t="shared" si="49"/>
        <v>1</v>
      </c>
      <c r="Y88" s="69">
        <f t="shared" si="52"/>
        <v>23.3004</v>
      </c>
      <c r="Z88" s="69">
        <f t="shared" si="53"/>
        <v>1.43E-2</v>
      </c>
      <c r="AA88" s="69">
        <f t="shared" si="37"/>
        <v>23.286100000000001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8"/>
        <v>0180-11</v>
      </c>
      <c r="AE88" s="94" t="str">
        <f t="shared" si="39"/>
        <v>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 &amp; 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</v>
      </c>
      <c r="AF88" s="91" t="str">
        <f t="shared" si="40"/>
        <v>"C:\Program Files (x86)\AstroGrep\AstroGrep.exe" /spath="%USERPROFILE%\AppData\Local\Temp\OnboardLogs" /stypes="app*4039*20161011*" /stext=" 21:.+((SYSTEM_STATE.+slice.+state.+changed )|(ment ac)|(system.+state.+changed )|(\[timeout)|(PRM\|1\|D)|(kpr)|(kdp)|(\|lc)|(penalty))" /e /r /s</v>
      </c>
      <c r="AG88" s="1" t="str">
        <f t="shared" si="41"/>
        <v>EC</v>
      </c>
      <c r="AH88" s="95" t="str">
        <f t="shared" si="47"/>
        <v>"%USERPROFILE%\Documents\GitHub\eaglep3\Utilities\RefineRTDCRunTimes.py" --tripid 180-11 --locoid 4039 --swversion DE.1.0.7.0 --startMP 204:233004 --initTime 2016-10-11T14:13:08 --startdatetime 2016-10-11T14:26:12 --delay 1 --endMP 204:143 --enddatetime 2016-10-11T15:08:15 --enforcementcount 0 &gt;&gt;C:\Users\stu\Documents\GitHub\eaglep3-reporting\EC\2016-10-11-refined-times.txt</v>
      </c>
      <c r="AI88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{"issue":{"subject":"","project_id":79,"tracker_id":40,"status_id":1,"priority_id":2,"assigned_to_id":23,"start_date":"2016-10-11","description":"","custom_fields":[{"id":1,"name":"Subdivision","value":"EC"},{"id":4,"name":"Milepost","value":"0.0143"},{"id":17,"name":"Train ID","value":"180-11"},{"id":16,"name":"Locomotive ID","value":"4039"},{"id":130,"name":"Impact","value":""},{"id":150,"name":"Time of Event (Mountain Time)","value":"15:08:15"},{"id":151,"name":"Denver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580</v>
      </c>
      <c r="B89" s="7">
        <v>4029</v>
      </c>
      <c r="C89" s="24" t="s">
        <v>106</v>
      </c>
      <c r="D89" s="24" t="s">
        <v>222</v>
      </c>
      <c r="E89" s="15">
        <v>42654.572581018518</v>
      </c>
      <c r="F89" s="15">
        <v>42654.574988425928</v>
      </c>
      <c r="G89" s="7">
        <v>1</v>
      </c>
      <c r="H89" s="15" t="s">
        <v>313</v>
      </c>
      <c r="I89" s="15">
        <v>42654.600173611114</v>
      </c>
      <c r="J89" s="7">
        <v>0</v>
      </c>
      <c r="K89" s="116" t="str">
        <f t="shared" si="32"/>
        <v>4029/4030</v>
      </c>
      <c r="L89" s="24" t="str">
        <f>VLOOKUP(A89,'Trips&amp;Operators'!$C$1:$E$10000,3,FALSE)</f>
        <v>CRAYTON</v>
      </c>
      <c r="M89" s="6">
        <f t="shared" si="33"/>
        <v>2.5185185186273884E-2</v>
      </c>
      <c r="N89" s="7">
        <f t="shared" si="31"/>
        <v>36.266666668234393</v>
      </c>
      <c r="O89" s="7"/>
      <c r="P89" s="7"/>
      <c r="Q89" s="25"/>
      <c r="R89" s="25"/>
      <c r="S89" s="37">
        <f t="shared" si="28"/>
        <v>1</v>
      </c>
      <c r="T89" s="52" t="str">
        <f t="shared" si="34"/>
        <v>NorthBound</v>
      </c>
      <c r="U89" s="15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12:44:31-0600',mode:absolute,to:'2016-10-11 15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9" s="54" t="str">
        <f t="shared" si="36"/>
        <v>N</v>
      </c>
      <c r="X89" s="163">
        <f t="shared" si="49"/>
        <v>1</v>
      </c>
      <c r="Y89" s="69">
        <f t="shared" si="52"/>
        <v>4.4699999999999997E-2</v>
      </c>
      <c r="Z89" s="69">
        <f t="shared" si="53"/>
        <v>23.330300000000001</v>
      </c>
      <c r="AA89" s="69">
        <f t="shared" si="37"/>
        <v>23.285600000000002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8"/>
        <v>0181-11</v>
      </c>
      <c r="AE89" s="94" t="str">
        <f t="shared" si="39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89" s="91" t="str">
        <f t="shared" si="40"/>
        <v>"C:\Program Files (x86)\AstroGrep\AstroGrep.exe" /spath="%USERPROFILE%\AppData\Local\Temp\OnboardLogs" /stypes="app*4029*20161011*" /stext=" 20:.+((SYSTEM_STATE.+slice.+state.+changed )|(ment ac)|(system.+state.+changed )|(\[timeout)|(PRM\|1\|D)|(kpr)|(kdp)|(\|lc)|(penalty))" /e /r /s</v>
      </c>
      <c r="AG89" s="1" t="str">
        <f t="shared" si="41"/>
        <v>EC</v>
      </c>
      <c r="AH89" s="95" t="str">
        <f t="shared" si="47"/>
        <v>"%USERPROFILE%\Documents\GitHub\eaglep3\Utilities\RefineRTDCRunTimes.py" --tripid 181-11 --locoid 4029 --swversion DE.1.0.7.0 --startMP 204:447 --initTime 2016-10-11T13:44:31 --startdatetime 2016-10-11T13:47:59 --delay 1 --endMP 204:233303 --enddatetime 2016-10-11T14:24:15 --enforcementcount 0 &gt;&gt;C:\Users\stu\Documents\GitHub\eaglep3-reporting\EC\2016-10-11-refined-times.txt</v>
      </c>
      <c r="AI89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{"issue":{"subject":"","project_id":79,"tracker_id":40,"status_id":1,"priority_id":2,"assigned_to_id":23,"start_date":"2016-10-11","description":"","custom_fields":[{"id":1,"name":"Subdivision","value":"EC"},{"id":4,"name":"Milepost","value":"23.3303"},{"id":17,"name":"Train ID","value":"181-11"},{"id":16,"name":"Locomotive ID","value":"4029"},{"id":130,"name":"Impact","value":""},{"id":150,"name":"Time of Event (Mountain Time)","value":"14:24:15"},{"id":151,"name":"Denver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543</v>
      </c>
      <c r="B90" s="7">
        <v>4030</v>
      </c>
      <c r="C90" s="24" t="s">
        <v>106</v>
      </c>
      <c r="D90" s="24" t="s">
        <v>667</v>
      </c>
      <c r="E90" s="15">
        <v>42654.602152777778</v>
      </c>
      <c r="F90" s="15">
        <v>42654.612511574072</v>
      </c>
      <c r="G90" s="7">
        <v>1</v>
      </c>
      <c r="H90" s="15" t="s">
        <v>184</v>
      </c>
      <c r="I90" s="15">
        <v>42654.645578703705</v>
      </c>
      <c r="J90" s="7">
        <v>0</v>
      </c>
      <c r="K90" s="116" t="str">
        <f t="shared" si="32"/>
        <v>4029/4030</v>
      </c>
      <c r="L90" s="24" t="str">
        <f>VLOOKUP(A90,'Trips&amp;Operators'!$C$1:$E$10000,3,FALSE)</f>
        <v>CRAYTON</v>
      </c>
      <c r="M90" s="6">
        <f t="shared" si="33"/>
        <v>3.3067129632399883E-2</v>
      </c>
      <c r="N90" s="7">
        <f t="shared" si="31"/>
        <v>47.616666670655832</v>
      </c>
      <c r="O90" s="7"/>
      <c r="P90" s="7"/>
      <c r="Q90" s="25"/>
      <c r="R90" s="25"/>
      <c r="S90" s="37">
        <f t="shared" si="28"/>
        <v>1</v>
      </c>
      <c r="T90" s="52" t="str">
        <f t="shared" si="34"/>
        <v>Southbound</v>
      </c>
      <c r="U90" s="15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13:27:06-0600',mode:absolute,to:'2016-10-11 16:29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0" s="54" t="str">
        <f t="shared" si="36"/>
        <v>N</v>
      </c>
      <c r="X90" s="163">
        <f t="shared" si="49"/>
        <v>1</v>
      </c>
      <c r="Y90" s="69">
        <f t="shared" si="52"/>
        <v>23.297999999999998</v>
      </c>
      <c r="Z90" s="69">
        <f t="shared" si="53"/>
        <v>1.49E-2</v>
      </c>
      <c r="AA90" s="69">
        <f t="shared" si="37"/>
        <v>23.283099999999997</v>
      </c>
      <c r="AB90" s="66" t="str">
        <f>VLOOKUP(A90,Enforcements!$C$7:$K$21,8,0)</f>
        <v>Speed (6)</v>
      </c>
      <c r="AC90" s="62" t="str">
        <f>VLOOKUP(A90,Enforcements!$C$7:$E$21,3,0)</f>
        <v>PERMANENT SPEED RESTRICTION</v>
      </c>
      <c r="AD90" s="63" t="str">
        <f t="shared" si="38"/>
        <v>0182-11</v>
      </c>
      <c r="AE90" s="94" t="str">
        <f t="shared" si="39"/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AF90" s="91" t="str">
        <f t="shared" si="40"/>
        <v>"C:\Program Files (x86)\AstroGrep\AstroGrep.exe" /spath="%USERPROFILE%\AppData\Local\Temp\OnboardLogs" /stypes="app*4030*20161011*" /stext=" 21:.+((SYSTEM_STATE.+slice.+state.+changed )|(ment ac)|(system.+state.+changed )|(\[timeout)|(PRM\|1\|D)|(kpr)|(kdp)|(\|lc)|(penalty))" /e /r /s</v>
      </c>
      <c r="AG90" s="1" t="str">
        <f t="shared" si="41"/>
        <v>EC</v>
      </c>
      <c r="AH90" s="95" t="str">
        <f t="shared" si="47"/>
        <v>"%USERPROFILE%\Documents\GitHub\eaglep3\Utilities\RefineRTDCRunTimes.py" --tripid 182-11 --locoid 4030 --swversion DE.1.0.7.0 --startMP 204:232980 --initTime 2016-10-11T14:27:06 --startdatetime 2016-10-11T14:42:01 --delay 1 --endMP 204:149 --enddatetime 2016-10-11T15:29:38 --enforcementcount 0 &gt;&gt;C:\Users\stu\Documents\GitHub\eaglep3-reporting\EC\2016-10-11-refined-times.txt</v>
      </c>
      <c r="AI90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{"issue":{"subject":"","project_id":79,"tracker_id":40,"status_id":1,"priority_id":2,"assigned_to_id":23,"start_date":"2016-10-11","description":"","custom_fields":[{"id":1,"name":"Subdivision","value":"EC"},{"id":4,"name":"Milepost","value":"0.0149"},{"id":17,"name":"Train ID","value":"182-11"},{"id":16,"name":"Locomotive ID","value":"4030"},{"id":130,"name":"Impact","value":""},{"id":150,"name":"Time of Event (Mountain Time)","value":"15:29:38"},{"id":151,"name":"Denver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541</v>
      </c>
      <c r="B91" s="7">
        <v>4016</v>
      </c>
      <c r="C91" s="24" t="s">
        <v>106</v>
      </c>
      <c r="D91" s="24" t="s">
        <v>247</v>
      </c>
      <c r="E91" s="15">
        <v>42654.584421296298</v>
      </c>
      <c r="F91" s="15">
        <v>42654.586296296293</v>
      </c>
      <c r="G91" s="7">
        <v>1</v>
      </c>
      <c r="H91" s="15" t="s">
        <v>668</v>
      </c>
      <c r="I91" s="15">
        <v>42654.625</v>
      </c>
      <c r="J91" s="7">
        <v>0</v>
      </c>
      <c r="K91" s="116" t="str">
        <f t="shared" si="32"/>
        <v>4015/4016</v>
      </c>
      <c r="L91" s="24" t="str">
        <f>VLOOKUP(A91,'Trips&amp;Operators'!$C$1:$E$10000,3,FALSE)</f>
        <v>CLARK</v>
      </c>
      <c r="M91" s="6">
        <f t="shared" si="33"/>
        <v>3.8703703707142267E-2</v>
      </c>
      <c r="N91" s="7">
        <f t="shared" si="31"/>
        <v>55.733333338284865</v>
      </c>
      <c r="O91" s="7"/>
      <c r="P91" s="7"/>
      <c r="Q91" s="25"/>
      <c r="R91" s="25" t="s">
        <v>794</v>
      </c>
      <c r="S91" s="37">
        <f t="shared" si="28"/>
        <v>1</v>
      </c>
      <c r="T91" s="52" t="str">
        <f t="shared" si="34"/>
        <v>NorthBound</v>
      </c>
      <c r="U91" s="15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13:01:34-0600',mode:absolute,to:'2016-10-11 16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1" s="54" t="str">
        <f t="shared" si="36"/>
        <v>N</v>
      </c>
      <c r="X91" s="163">
        <f t="shared" si="49"/>
        <v>1</v>
      </c>
      <c r="Y91" s="69">
        <f t="shared" si="52"/>
        <v>4.7500000000000001E-2</v>
      </c>
      <c r="Z91" s="69">
        <f t="shared" si="53"/>
        <v>23.332999999999998</v>
      </c>
      <c r="AA91" s="69">
        <f t="shared" si="37"/>
        <v>23.285499999999999</v>
      </c>
      <c r="AB91" s="66" t="str">
        <f>VLOOKUP(A91,Enforcements!$C$7:$K$21,8,0)</f>
        <v>Speed (6)</v>
      </c>
      <c r="AC91" s="62" t="str">
        <f>VLOOKUP(A91,Enforcements!$C$7:$E$21,3,0)</f>
        <v>PERMANENT SPEED RESTRICTION</v>
      </c>
      <c r="AD91" s="63" t="str">
        <f t="shared" si="38"/>
        <v>0183-11</v>
      </c>
      <c r="AE91" s="94" t="str">
        <f t="shared" si="39"/>
        <v>aws s3 cp s3://rtdc.mdm.uploadarchive.raw/RTDC4016/ "%USERPROFILE%\AppData\Local\Temp\OnboardLogs"\RTDC4016\2016-10-11 --exclude "*" --recursive --include "*20161011*" &amp; "%USERPROFILE%\Documents\GitHub\mrs-test-scripts\Headless Mode &amp; Sideloading\WalkAndUnGZ.bat" "%USERPROFILE%\AppData\Local\Temp\OnboardLogs"\RTDC4016\2016-10-11 &amp; 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</v>
      </c>
      <c r="AF91" s="91" t="str">
        <f t="shared" si="40"/>
        <v>"C:\Program Files (x86)\AstroGrep\AstroGrep.exe" /spath="%USERPROFILE%\AppData\Local\Temp\OnboardLogs" /stypes="app*4016*20161011*" /stext=" 21:.+((SYSTEM_STATE.+slice.+state.+changed )|(ment ac)|(system.+state.+changed )|(\[timeout)|(PRM\|1\|D)|(kpr)|(kdp)|(\|lc)|(penalty))" /e /r /s</v>
      </c>
      <c r="AG91" s="1" t="str">
        <f t="shared" si="41"/>
        <v>EC</v>
      </c>
      <c r="AH91" s="95" t="str">
        <f t="shared" si="47"/>
        <v>"%USERPROFILE%\Documents\GitHub\eaglep3\Utilities\RefineRTDCRunTimes.py" --tripid 183-11 --locoid 4016 --swversion DE.1.0.7.0 --startMP 204:475 --initTime 2016-10-11T14:01:34 --startdatetime 2016-10-11T14:04:16 --delay 1 --endMP 204:233330 --enddatetime 2016-10-11T15:00:00 --enforcementcount 0 &gt;&gt;C:\Users\stu\Documents\GitHub\eaglep3-reporting\EC\2016-10-11-refined-times.txt</v>
      </c>
      <c r="AI91" s="129" t="str">
        <f t="shared" si="48"/>
        <v>echo {"issue":{"subject":"Mechanical issue - lost air","project_id":79,"tracker_id":40,"status_id":1,"priority_id":2,"assigned_to_id":23,"start_date":"2016-10-11","description":"","custom_fields":[{"id":1,"name":"Subdivision","value":"EC"},{"id":4,"name":"Milepost","value":"23.333"},{"id":17,"name":"Train ID","value":"183-11"},{"id":16,"name":"Locomotive ID","value":"4016"},{"id":130,"name":"Impact","value":""},{"id":150,"name":"Time of Event (Mountain Time)","value":"15:00:00"},{"id":151,"name":"Denver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585</v>
      </c>
      <c r="B92" s="7">
        <v>4015</v>
      </c>
      <c r="C92" s="24" t="s">
        <v>106</v>
      </c>
      <c r="D92" s="24" t="s">
        <v>669</v>
      </c>
      <c r="E92" s="15">
        <v>42654.626921296294</v>
      </c>
      <c r="F92" s="15">
        <v>42654.628877314812</v>
      </c>
      <c r="G92" s="7">
        <v>1</v>
      </c>
      <c r="H92" s="15" t="s">
        <v>670</v>
      </c>
      <c r="I92" s="15">
        <v>42654.658275462964</v>
      </c>
      <c r="J92" s="7">
        <v>0</v>
      </c>
      <c r="K92" s="116" t="str">
        <f t="shared" si="32"/>
        <v>4015/4016</v>
      </c>
      <c r="L92" s="24" t="str">
        <f>VLOOKUP(A92,'Trips&amp;Operators'!$C$1:$E$10000,3,FALSE)</f>
        <v>CLARK</v>
      </c>
      <c r="M92" s="6">
        <f t="shared" si="33"/>
        <v>2.9398148151813075E-2</v>
      </c>
      <c r="N92" s="7"/>
      <c r="O92" s="7"/>
      <c r="P92" s="7">
        <f>24*60*SUM($M92:$M92)</f>
        <v>42.333333338610828</v>
      </c>
      <c r="Q92" s="25"/>
      <c r="R92" s="25" t="s">
        <v>775</v>
      </c>
      <c r="S92" s="37">
        <f t="shared" si="28"/>
        <v>1</v>
      </c>
      <c r="T92" s="52" t="str">
        <f t="shared" si="34"/>
        <v>Southbound</v>
      </c>
      <c r="U92" s="15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14:02:46-0600',mode:absolute,to:'2016-10-11 16:47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2" s="54" t="str">
        <f t="shared" si="36"/>
        <v>Y</v>
      </c>
      <c r="X92" s="163">
        <f t="shared" si="49"/>
        <v>1</v>
      </c>
      <c r="Y92" s="69">
        <f t="shared" si="52"/>
        <v>23.302800000000001</v>
      </c>
      <c r="Z92" s="69">
        <f t="shared" si="53"/>
        <v>0.94889999999999997</v>
      </c>
      <c r="AA92" s="69">
        <f t="shared" si="37"/>
        <v>22.353900000000003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8"/>
        <v>0184-11</v>
      </c>
      <c r="AE92" s="94" t="str">
        <f t="shared" si="39"/>
        <v>aws s3 cp s3://rtdc.mdm.uploadarchive.raw/RTDC4015/ "%USERPROFILE%\AppData\Local\Temp\OnboardLogs"\RTDC4015\2016-10-11 --exclude "*" --recursive --include "*20161011*" &amp; "%USERPROFILE%\Documents\GitHub\mrs-test-scripts\Headless Mode &amp; Sideloading\WalkAndUnGZ.bat" "%USERPROFILE%\AppData\Local\Temp\OnboardLogs"\RTDC4015\2016-10-11 &amp; 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</v>
      </c>
      <c r="AF92" s="91" t="str">
        <f t="shared" si="40"/>
        <v>"C:\Program Files (x86)\AstroGrep\AstroGrep.exe" /spath="%USERPROFILE%\AppData\Local\Temp\OnboardLogs" /stypes="app*4015*20161011*" /stext=" 21:.+((SYSTEM_STATE.+slice.+state.+changed )|(ment ac)|(system.+state.+changed )|(\[timeout)|(PRM\|1\|D)|(kpr)|(kdp)|(\|lc)|(penalty))" /e /r /s</v>
      </c>
      <c r="AG92" s="1" t="str">
        <f t="shared" si="41"/>
        <v>EC</v>
      </c>
      <c r="AH92" s="95" t="str">
        <f t="shared" si="47"/>
        <v>"%USERPROFILE%\Documents\GitHub\eaglep3\Utilities\RefineRTDCRunTimes.py" --tripid 184-11 --locoid 4015 --swversion DE.1.0.7.0 --startMP 204:233028 --initTime 2016-10-11T15:02:46 --startdatetime 2016-10-11T15:05:35 --delay 1 --endMP 204:9489 --enddatetime 2016-10-11T15:47:55 --enforcementcount 0 &gt;&gt;C:\Users\stu\Documents\GitHub\eaglep3-reporting\EC\2016-10-11-refined-times.txt</v>
      </c>
      <c r="AI92" s="129" t="str">
        <f t="shared" si="48"/>
        <v>echo {"issue":{"subject":"Cut out before entering Main 3","project_id":79,"tracker_id":40,"status_id":1,"priority_id":2,"assigned_to_id":23,"start_date":"2016-10-11","description":"Train ended up at (39.754525330196806,-104.99938978232775), which is Main 3. No need to cut out here.","custom_fields":[{"id":1,"name":"Subdivision","value":"EC"},{"id":4,"name":"Milepost","value":"0.9489"},{"id":17,"name":"Train ID","value":"184-11"},{"id":16,"name":"Locomotive ID","value":"4015"},{"id":130,"name":"Impact","value":"Unexpected Cut-Out or Disengaged"},{"id":150,"name":"Time of Event (Mountain Time)","value":"15:47:55"},{"id":151,"name":"Denver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92" s="55" t="s">
        <v>776</v>
      </c>
      <c r="AK92" s="55" t="s">
        <v>140</v>
      </c>
      <c r="AL92" s="55" t="s">
        <v>152</v>
      </c>
    </row>
    <row r="93" spans="1:38" s="1" customFormat="1" x14ac:dyDescent="0.25">
      <c r="A93" s="39" t="s">
        <v>582</v>
      </c>
      <c r="B93" s="7">
        <v>4053</v>
      </c>
      <c r="C93" s="24" t="s">
        <v>106</v>
      </c>
      <c r="D93" s="24" t="s">
        <v>195</v>
      </c>
      <c r="E93" s="15">
        <v>42654.59065972222</v>
      </c>
      <c r="F93" s="15">
        <v>42654.594398148147</v>
      </c>
      <c r="G93" s="7">
        <v>1</v>
      </c>
      <c r="H93" s="15" t="s">
        <v>671</v>
      </c>
      <c r="I93" s="15">
        <v>42654.617650462962</v>
      </c>
      <c r="J93" s="7">
        <v>0</v>
      </c>
      <c r="K93" s="116" t="str">
        <f t="shared" si="32"/>
        <v>4053/4054</v>
      </c>
      <c r="L93" s="24" t="str">
        <f>VLOOKUP(A93,'Trips&amp;Operators'!$C$1:$E$10000,3,FALSE)</f>
        <v>STORY</v>
      </c>
      <c r="M93" s="6">
        <f t="shared" si="33"/>
        <v>2.3252314815181307E-2</v>
      </c>
      <c r="N93" s="7"/>
      <c r="O93" s="7"/>
      <c r="P93" s="7">
        <f>24*60*SUM($M93:$M93)</f>
        <v>33.483333333861083</v>
      </c>
      <c r="Q93" s="25"/>
      <c r="R93" s="25" t="s">
        <v>777</v>
      </c>
      <c r="S93" s="37">
        <f t="shared" si="28"/>
        <v>1</v>
      </c>
      <c r="T93" s="52" t="str">
        <f t="shared" si="34"/>
        <v>NorthBound</v>
      </c>
      <c r="U93" s="15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13:10:33-0600',mode:absolute,to:'2016-10-11 15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3" s="54" t="str">
        <f t="shared" si="36"/>
        <v>Y</v>
      </c>
      <c r="X93" s="163">
        <f t="shared" si="49"/>
        <v>1</v>
      </c>
      <c r="Y93" s="69">
        <f t="shared" si="52"/>
        <v>4.58E-2</v>
      </c>
      <c r="Z93" s="69">
        <f t="shared" si="53"/>
        <v>21.543800000000001</v>
      </c>
      <c r="AA93" s="69">
        <f t="shared" si="37"/>
        <v>21.498000000000001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8"/>
        <v>0185-11</v>
      </c>
      <c r="AE93" s="94" t="str">
        <f t="shared" si="39"/>
        <v>aws s3 cp s3://rtdc.mdm.uploadarchive.raw/RTDC4053/ "%USERPROFILE%\AppData\Local\Temp\OnboardLogs"\RTDC4053\2016-10-11 --exclude "*" --recursive --include "*20161011*" &amp; "%USERPROFILE%\Documents\GitHub\mrs-test-scripts\Headless Mode &amp; Sideloading\WalkAndUnGZ.bat" "%USERPROFILE%\AppData\Local\Temp\OnboardLogs"\RTDC4053\2016-10-11 &amp; 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</v>
      </c>
      <c r="AF93" s="91" t="str">
        <f t="shared" si="40"/>
        <v>"C:\Program Files (x86)\AstroGrep\AstroGrep.exe" /spath="%USERPROFILE%\AppData\Local\Temp\OnboardLogs" /stypes="app*4053*20161011*" /stext=" 20:.+((SYSTEM_STATE.+slice.+state.+changed )|(ment ac)|(system.+state.+changed )|(\[timeout)|(PRM\|1\|D)|(kpr)|(kdp)|(\|lc)|(penalty))" /e /r /s</v>
      </c>
      <c r="AG93" s="1" t="str">
        <f t="shared" si="41"/>
        <v>EC</v>
      </c>
      <c r="AH93" s="95" t="str">
        <f t="shared" si="47"/>
        <v>"%USERPROFILE%\Documents\GitHub\eaglep3\Utilities\RefineRTDCRunTimes.py" --tripid 185-11 --locoid 4053 --swversion DE.1.0.7.0 --startMP 204:458 --initTime 2016-10-11T14:10:33 --startdatetime 2016-10-11T14:15:56 --delay 1 --endMP 204:215438 --enddatetime 2016-10-11T14:49:25 --enforcementcount 0 &gt;&gt;C:\Users\stu\Documents\GitHub\eaglep3-reporting\EC\2016-10-11-refined-times.txt</v>
      </c>
      <c r="AI93" s="129" t="str">
        <f t="shared" si="48"/>
        <v>echo {"issue":{"subject":"No clear requests sent to 78th 2N from 14:57:42 - 14:59:54","project_id":79,"tracker_id":40,"status_id":1,"priority_id":2,"assigned_to_id":23,"start_date":"2016-10-11","description":"There were no clear requests sent to 78th 2N from 14:57:42 - 14:59:54. Was this dispatcher error or was something amiss within TMDS at the time?","custom_fields":[{"id":1,"name":"Subdivision","value":"EC"},{"id":4,"name":"Milepost","value":"21.5438"},{"id":17,"name":"Train ID","value":"185-11"},{"id":16,"name":"Locomotive ID","value":"4053"},{"id":130,"name":"Impact","value":"Unexpected Cut-Out or Disengaged"},{"id":150,"name":"Time of Event (Mountain Time)","value":"14:49:25"},{"id":151,"name":"Denver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93" s="55" t="s">
        <v>778</v>
      </c>
      <c r="AK93" s="55" t="s">
        <v>140</v>
      </c>
      <c r="AL93" s="55" t="s">
        <v>143</v>
      </c>
    </row>
    <row r="94" spans="1:38" s="1" customFormat="1" x14ac:dyDescent="0.25">
      <c r="A94" s="39" t="s">
        <v>546</v>
      </c>
      <c r="B94" s="7">
        <v>4054</v>
      </c>
      <c r="C94" s="24" t="s">
        <v>106</v>
      </c>
      <c r="D94" s="24" t="s">
        <v>672</v>
      </c>
      <c r="E94" s="15">
        <v>42654.629479166666</v>
      </c>
      <c r="F94" s="15">
        <v>42654.633101851854</v>
      </c>
      <c r="G94" s="7">
        <v>5</v>
      </c>
      <c r="H94" s="15" t="s">
        <v>200</v>
      </c>
      <c r="I94" s="15">
        <v>42654.663576388892</v>
      </c>
      <c r="J94" s="7">
        <v>0</v>
      </c>
      <c r="K94" s="116" t="str">
        <f t="shared" si="32"/>
        <v>4053/4054</v>
      </c>
      <c r="L94" s="24" t="str">
        <f>VLOOKUP(A94,'Trips&amp;Operators'!$C$1:$E$10000,3,FALSE)</f>
        <v>STORY</v>
      </c>
      <c r="M94" s="6">
        <f t="shared" si="33"/>
        <v>3.047453703766223E-2</v>
      </c>
      <c r="N94" s="7">
        <f t="shared" ref="N94:N121" si="54">24*60*SUM($M94:$M94)</f>
        <v>43.883333334233612</v>
      </c>
      <c r="O94" s="7"/>
      <c r="P94" s="7"/>
      <c r="Q94" s="25"/>
      <c r="R94" s="25"/>
      <c r="S94" s="37">
        <f t="shared" ref="S94:S125" si="55">SUM(U94:U94)/IF(AG94="EC",12,1)</f>
        <v>1</v>
      </c>
      <c r="T94" s="52" t="str">
        <f t="shared" si="34"/>
        <v>Southbound</v>
      </c>
      <c r="U94" s="15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14:06:27-0600',mode:absolute,to:'2016-10-11 16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4" s="54" t="str">
        <f t="shared" si="36"/>
        <v>N</v>
      </c>
      <c r="X94" s="163">
        <f t="shared" si="49"/>
        <v>1</v>
      </c>
      <c r="Y94" s="69">
        <f t="shared" si="52"/>
        <v>23.2972</v>
      </c>
      <c r="Z94" s="69">
        <f t="shared" si="53"/>
        <v>1.5599999999999999E-2</v>
      </c>
      <c r="AA94" s="69">
        <f t="shared" si="37"/>
        <v>23.281600000000001</v>
      </c>
      <c r="AB94" s="66" t="str">
        <f>VLOOKUP(A94,Enforcements!$C$7:$K$21,8,0)</f>
        <v>Signal based authority (5)</v>
      </c>
      <c r="AC94" s="62" t="str">
        <f>VLOOKUP(A94,Enforcements!$C$7:$E$21,3,0)</f>
        <v>SIGNAL</v>
      </c>
      <c r="AD94" s="63" t="str">
        <f t="shared" si="38"/>
        <v>0186-11</v>
      </c>
      <c r="AE94" s="94" t="str">
        <f t="shared" si="39"/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AF94" s="91" t="str">
        <f t="shared" si="40"/>
        <v>"C:\Program Files (x86)\AstroGrep\AstroGrep.exe" /spath="%USERPROFILE%\AppData\Local\Temp\OnboardLogs" /stypes="app*4054*20161011*" /stext=" 21:.+((SYSTEM_STATE.+slice.+state.+changed )|(ment ac)|(system.+state.+changed )|(\[timeout)|(PRM\|1\|D)|(kpr)|(kdp)|(\|lc)|(penalty))" /e /r /s</v>
      </c>
      <c r="AG94" s="1" t="str">
        <f t="shared" si="41"/>
        <v>EC</v>
      </c>
      <c r="AH94" s="95" t="str">
        <f t="shared" si="47"/>
        <v>"%USERPROFILE%\Documents\GitHub\eaglep3\Utilities\RefineRTDCRunTimes.py" --tripid 186-11 --locoid 4054 --swversion DE.1.0.7.0 --startMP 204:232972 --initTime 2016-10-11T15:06:27 --startdatetime 2016-10-11T15:11:40 --delay 5 --endMP 204:156 --enddatetime 2016-10-11T15:55:33 --enforcementcount 0 &gt;&gt;C:\Users\stu\Documents\GitHub\eaglep3-reporting\EC\2016-10-11-refined-times.txt</v>
      </c>
      <c r="AI94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{"issue":{"subject":"","project_id":79,"tracker_id":40,"status_id":1,"priority_id":2,"assigned_to_id":23,"start_date":"2016-10-11","description":"","custom_fields":[{"id":1,"name":"Subdivision","value":"EC"},{"id":4,"name":"Milepost","value":"0.0156"},{"id":17,"name":"Train ID","value":"186-11"},{"id":16,"name":"Locomotive ID","value":"4054"},{"id":130,"name":"Impact","value":""},{"id":150,"name":"Time of Event (Mountain Time)","value":"15:55:33"},{"id":151,"name":"Denver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584</v>
      </c>
      <c r="B95" s="7">
        <v>4007</v>
      </c>
      <c r="C95" s="24" t="s">
        <v>106</v>
      </c>
      <c r="D95" s="24" t="s">
        <v>247</v>
      </c>
      <c r="E95" s="15">
        <v>42654.6015162037</v>
      </c>
      <c r="F95" s="15">
        <v>42654.604641203703</v>
      </c>
      <c r="G95" s="7">
        <v>1</v>
      </c>
      <c r="H95" s="15" t="s">
        <v>673</v>
      </c>
      <c r="I95" s="15">
        <v>42654.632870370369</v>
      </c>
      <c r="J95" s="7">
        <v>0</v>
      </c>
      <c r="K95" s="116" t="str">
        <f t="shared" si="32"/>
        <v>4007/4008</v>
      </c>
      <c r="L95" s="24" t="str">
        <f>VLOOKUP(A95,'Trips&amp;Operators'!$C$1:$E$10000,3,FALSE)</f>
        <v>BARTLETT</v>
      </c>
      <c r="M95" s="6">
        <f t="shared" si="33"/>
        <v>2.8229166666278616E-2</v>
      </c>
      <c r="N95" s="7">
        <f t="shared" si="54"/>
        <v>40.649999999441206</v>
      </c>
      <c r="O95" s="7"/>
      <c r="P95" s="7"/>
      <c r="Q95" s="25"/>
      <c r="R95" s="25"/>
      <c r="S95" s="37">
        <f t="shared" si="55"/>
        <v>1</v>
      </c>
      <c r="T95" s="52" t="str">
        <f t="shared" si="34"/>
        <v>NorthBound</v>
      </c>
      <c r="U95" s="15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13:26:11-0600',mode:absolute,to:'2016-10-11 16:11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5" s="54" t="str">
        <f t="shared" si="36"/>
        <v>N</v>
      </c>
      <c r="X95" s="163">
        <f t="shared" si="49"/>
        <v>1</v>
      </c>
      <c r="Y95" s="69">
        <f t="shared" si="52"/>
        <v>4.7500000000000001E-2</v>
      </c>
      <c r="Z95" s="69">
        <f t="shared" si="53"/>
        <v>23.334499999999998</v>
      </c>
      <c r="AA95" s="69">
        <f t="shared" si="37"/>
        <v>23.286999999999999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8"/>
        <v>0187-11</v>
      </c>
      <c r="AE95" s="94" t="str">
        <f t="shared" si="39"/>
        <v>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 &amp; 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</v>
      </c>
      <c r="AF95" s="91" t="str">
        <f t="shared" si="40"/>
        <v>"C:\Program Files (x86)\AstroGrep\AstroGrep.exe" /spath="%USERPROFILE%\AppData\Local\Temp\OnboardLogs" /stypes="app*4007*20161011*" /stext=" 21:.+((SYSTEM_STATE.+slice.+state.+changed )|(ment ac)|(system.+state.+changed )|(\[timeout)|(PRM\|1\|D)|(kpr)|(kdp)|(\|lc)|(penalty))" /e /r /s</v>
      </c>
      <c r="AG95" s="1" t="str">
        <f t="shared" si="41"/>
        <v>EC</v>
      </c>
      <c r="AH95" s="95" t="str">
        <f t="shared" si="47"/>
        <v>"%USERPROFILE%\Documents\GitHub\eaglep3\Utilities\RefineRTDCRunTimes.py" --tripid 187-11 --locoid 4007 --swversion DE.1.0.7.0 --startMP 204:475 --initTime 2016-10-11T14:26:11 --startdatetime 2016-10-11T14:30:41 --delay 1 --endMP 204:233345 --enddatetime 2016-10-11T15:11:20 --enforcementcount 0 &gt;&gt;C:\Users\stu\Documents\GitHub\eaglep3-reporting\EC\2016-10-11-refined-times.txt</v>
      </c>
      <c r="AI95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{"issue":{"subject":"","project_id":79,"tracker_id":40,"status_id":1,"priority_id":2,"assigned_to_id":23,"start_date":"2016-10-11","description":"","custom_fields":[{"id":1,"name":"Subdivision","value":"EC"},{"id":4,"name":"Milepost","value":"23.3345"},{"id":17,"name":"Train ID","value":"187-11"},{"id":16,"name":"Locomotive ID","value":"4007"},{"id":130,"name":"Impact","value":""},{"id":150,"name":"Time of Event (Mountain Time)","value":"15:11:20"},{"id":151,"name":"Denver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588</v>
      </c>
      <c r="B96" s="7">
        <v>4008</v>
      </c>
      <c r="C96" s="24" t="s">
        <v>106</v>
      </c>
      <c r="D96" s="24" t="s">
        <v>674</v>
      </c>
      <c r="E96" s="15">
        <v>42654.634548611109</v>
      </c>
      <c r="F96" s="15">
        <v>42654.644456018519</v>
      </c>
      <c r="G96" s="7">
        <v>1</v>
      </c>
      <c r="H96" s="15" t="s">
        <v>189</v>
      </c>
      <c r="I96" s="15">
        <v>42654.674178240741</v>
      </c>
      <c r="J96" s="7">
        <v>0</v>
      </c>
      <c r="K96" s="116" t="str">
        <f t="shared" si="32"/>
        <v>4007/4008</v>
      </c>
      <c r="L96" s="24" t="str">
        <f>VLOOKUP(A96,'Trips&amp;Operators'!$C$1:$E$10000,3,FALSE)</f>
        <v>BARTLETT</v>
      </c>
      <c r="M96" s="6">
        <f t="shared" si="33"/>
        <v>2.9722222221607808E-2</v>
      </c>
      <c r="N96" s="7">
        <f t="shared" si="54"/>
        <v>42.799999999115244</v>
      </c>
      <c r="O96" s="7"/>
      <c r="P96" s="7"/>
      <c r="Q96" s="25"/>
      <c r="R96" s="25"/>
      <c r="S96" s="37">
        <f t="shared" si="55"/>
        <v>1</v>
      </c>
      <c r="T96" s="52" t="str">
        <f t="shared" si="34"/>
        <v>Southbound</v>
      </c>
      <c r="U96" s="15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14:13:45-0600',mode:absolute,to:'2016-10-11 17:10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6" s="54" t="str">
        <f t="shared" si="36"/>
        <v>N</v>
      </c>
      <c r="X96" s="163">
        <f t="shared" si="49"/>
        <v>1</v>
      </c>
      <c r="Y96" s="69">
        <f t="shared" si="52"/>
        <v>23.302600000000002</v>
      </c>
      <c r="Z96" s="69">
        <f t="shared" si="53"/>
        <v>1.4999999999999999E-2</v>
      </c>
      <c r="AA96" s="69">
        <f t="shared" si="37"/>
        <v>23.287600000000001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8"/>
        <v>0188-11</v>
      </c>
      <c r="AE96" s="94" t="str">
        <f t="shared" si="39"/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AF96" s="91" t="str">
        <f t="shared" si="40"/>
        <v>"C:\Program Files (x86)\AstroGrep\AstroGrep.exe" /spath="%USERPROFILE%\AppData\Local\Temp\OnboardLogs" /stypes="app*4008*20161011*" /stext=" 22:.+((SYSTEM_STATE.+slice.+state.+changed )|(ment ac)|(system.+state.+changed )|(\[timeout)|(PRM\|1\|D)|(kpr)|(kdp)|(\|lc)|(penalty))" /e /r /s</v>
      </c>
      <c r="AG96" s="1" t="str">
        <f t="shared" si="41"/>
        <v>EC</v>
      </c>
      <c r="AH96" s="95" t="str">
        <f t="shared" si="47"/>
        <v>"%USERPROFILE%\Documents\GitHub\eaglep3\Utilities\RefineRTDCRunTimes.py" --tripid 188-11 --locoid 4008 --swversion DE.1.0.7.0 --startMP 204:233026 --initTime 2016-10-11T15:13:45 --startdatetime 2016-10-11T15:28:01 --delay 1 --endMP 204:150 --enddatetime 2016-10-11T16:10:49 --enforcementcount 0 &gt;&gt;C:\Users\stu\Documents\GitHub\eaglep3-reporting\EC\2016-10-11-refined-times.txt</v>
      </c>
      <c r="AI96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{"issue":{"subject":"","project_id":79,"tracker_id":40,"status_id":1,"priority_id":2,"assigned_to_id":23,"start_date":"2016-10-11","description":"","custom_fields":[{"id":1,"name":"Subdivision","value":"EC"},{"id":4,"name":"Milepost","value":"0.015"},{"id":17,"name":"Train ID","value":"188-11"},{"id":16,"name":"Locomotive ID","value":"4008"},{"id":130,"name":"Impact","value":""},{"id":150,"name":"Time of Event (Mountain Time)","value":"16:10:49"},{"id":151,"name":"Denver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545</v>
      </c>
      <c r="B97" s="7">
        <v>4003</v>
      </c>
      <c r="C97" s="24" t="s">
        <v>106</v>
      </c>
      <c r="D97" s="24" t="s">
        <v>209</v>
      </c>
      <c r="E97" s="15">
        <v>42654.61241898148</v>
      </c>
      <c r="F97" s="15">
        <v>42654.615023148152</v>
      </c>
      <c r="G97" s="7">
        <v>2</v>
      </c>
      <c r="H97" s="15" t="s">
        <v>675</v>
      </c>
      <c r="I97" s="15">
        <v>42654.645381944443</v>
      </c>
      <c r="J97" s="7">
        <v>0</v>
      </c>
      <c r="K97" s="116" t="str">
        <f t="shared" si="32"/>
        <v>4003/4004</v>
      </c>
      <c r="L97" s="24" t="str">
        <f>VLOOKUP(A97,'Trips&amp;Operators'!$C$1:$E$10000,3,FALSE)</f>
        <v>STEWART</v>
      </c>
      <c r="M97" s="6">
        <f t="shared" si="33"/>
        <v>3.0358796291693579E-2</v>
      </c>
      <c r="N97" s="7">
        <f t="shared" si="54"/>
        <v>43.716666660038754</v>
      </c>
      <c r="O97" s="7"/>
      <c r="P97" s="7"/>
      <c r="Q97" s="25"/>
      <c r="R97" s="25"/>
      <c r="S97" s="37">
        <f t="shared" si="55"/>
        <v>1</v>
      </c>
      <c r="T97" s="52" t="str">
        <f t="shared" si="34"/>
        <v>NorthBound</v>
      </c>
      <c r="U97" s="15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13:41:53-0600',mode:absolute,to:'2016-10-11 16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7" s="54" t="str">
        <f t="shared" si="36"/>
        <v>N</v>
      </c>
      <c r="X97" s="163">
        <f t="shared" si="49"/>
        <v>1</v>
      </c>
      <c r="Y97" s="69">
        <f t="shared" si="52"/>
        <v>4.6399999999999997E-2</v>
      </c>
      <c r="Z97" s="69">
        <f t="shared" si="53"/>
        <v>23.315300000000001</v>
      </c>
      <c r="AA97" s="69">
        <f t="shared" si="37"/>
        <v>23.268900000000002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8"/>
        <v>0189-11</v>
      </c>
      <c r="AE97" s="94" t="str">
        <f t="shared" si="39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97" s="91" t="str">
        <f t="shared" si="40"/>
        <v>"C:\Program Files (x86)\AstroGrep\AstroGrep.exe" /spath="%USERPROFILE%\AppData\Local\Temp\OnboardLogs" /stypes="app*4003*20161011*" /stext=" 21:.+((SYSTEM_STATE.+slice.+state.+changed )|(ment ac)|(system.+state.+changed )|(\[timeout)|(PRM\|1\|D)|(kpr)|(kdp)|(\|lc)|(penalty))" /e /r /s</v>
      </c>
      <c r="AG97" s="1" t="str">
        <f t="shared" si="41"/>
        <v>EC</v>
      </c>
      <c r="AH97" s="95" t="str">
        <f t="shared" si="47"/>
        <v>"%USERPROFILE%\Documents\GitHub\eaglep3\Utilities\RefineRTDCRunTimes.py" --tripid 189-11 --locoid 4003 --swversion DE.1.0.7.0 --startMP 204:464 --initTime 2016-10-11T14:41:53 --startdatetime 2016-10-11T14:45:38 --delay 2 --endMP 204:233153 --enddatetime 2016-10-11T15:29:21 --enforcementcount 0 &gt;&gt;C:\Users\stu\Documents\GitHub\eaglep3-reporting\EC\2016-10-11-refined-times.txt</v>
      </c>
      <c r="AI97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{"issue":{"subject":"","project_id":79,"tracker_id":40,"status_id":1,"priority_id":2,"assigned_to_id":23,"start_date":"2016-10-11","description":"","custom_fields":[{"id":1,"name":"Subdivision","value":"EC"},{"id":4,"name":"Milepost","value":"23.3153"},{"id":17,"name":"Train ID","value":"189-11"},{"id":16,"name":"Locomotive ID","value":"4003"},{"id":130,"name":"Impact","value":""},{"id":150,"name":"Time of Event (Mountain Time)","value":"15:29:21"},{"id":151,"name":"Denver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548</v>
      </c>
      <c r="B98" s="7">
        <v>4004</v>
      </c>
      <c r="C98" s="24" t="s">
        <v>106</v>
      </c>
      <c r="D98" s="24" t="s">
        <v>676</v>
      </c>
      <c r="E98" s="15">
        <v>42654.651469907411</v>
      </c>
      <c r="F98" s="15">
        <v>42654.654328703706</v>
      </c>
      <c r="G98" s="7">
        <v>2</v>
      </c>
      <c r="H98" s="15" t="s">
        <v>677</v>
      </c>
      <c r="I98" s="15">
        <v>42654.68340277778</v>
      </c>
      <c r="J98" s="7">
        <v>0</v>
      </c>
      <c r="K98" s="116" t="str">
        <f t="shared" si="32"/>
        <v>4003/4004</v>
      </c>
      <c r="L98" s="24" t="str">
        <f>VLOOKUP(A98,'Trips&amp;Operators'!$C$1:$E$10000,3,FALSE)</f>
        <v>STEWART</v>
      </c>
      <c r="M98" s="6">
        <f t="shared" si="33"/>
        <v>2.9074074074742384E-2</v>
      </c>
      <c r="N98" s="7">
        <f t="shared" si="54"/>
        <v>41.866666667629033</v>
      </c>
      <c r="O98" s="7"/>
      <c r="P98" s="7"/>
      <c r="Q98" s="25"/>
      <c r="R98" s="25"/>
      <c r="S98" s="37">
        <f t="shared" si="55"/>
        <v>1</v>
      </c>
      <c r="T98" s="52" t="str">
        <f t="shared" si="34"/>
        <v>Southbound</v>
      </c>
      <c r="U98" s="15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14:38:07-0600',mode:absolute,to:'2016-10-11 17:24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8" s="54" t="str">
        <f t="shared" si="36"/>
        <v>N</v>
      </c>
      <c r="X98" s="163">
        <f t="shared" si="49"/>
        <v>1</v>
      </c>
      <c r="Y98" s="69">
        <f t="shared" si="52"/>
        <v>23.285799999999998</v>
      </c>
      <c r="Z98" s="69">
        <f t="shared" si="53"/>
        <v>1.7600000000000001E-2</v>
      </c>
      <c r="AA98" s="69">
        <f t="shared" si="37"/>
        <v>23.268199999999997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8"/>
        <v>0190-11</v>
      </c>
      <c r="AE98" s="94" t="str">
        <f t="shared" si="39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98" s="91" t="str">
        <f t="shared" si="40"/>
        <v>"C:\Program Files (x86)\AstroGrep\AstroGrep.exe" /spath="%USERPROFILE%\AppData\Local\Temp\OnboardLogs" /stypes="app*4004*20161011*" /stext=" 22:.+((SYSTEM_STATE.+slice.+state.+changed )|(ment ac)|(system.+state.+changed )|(\[timeout)|(PRM\|1\|D)|(kpr)|(kdp)|(\|lc)|(penalty))" /e /r /s</v>
      </c>
      <c r="AG98" s="1" t="str">
        <f t="shared" si="41"/>
        <v>EC</v>
      </c>
      <c r="AH98" s="95" t="str">
        <f t="shared" si="47"/>
        <v>"%USERPROFILE%\Documents\GitHub\eaglep3\Utilities\RefineRTDCRunTimes.py" --tripid 190-11 --locoid 4004 --swversion DE.1.0.7.0 --startMP 204:232858 --initTime 2016-10-11T15:38:07 --startdatetime 2016-10-11T15:42:14 --delay 2 --endMP 204:176 --enddatetime 2016-10-11T16:24:06 --enforcementcount 0 &gt;&gt;C:\Users\stu\Documents\GitHub\eaglep3-reporting\EC\2016-10-11-refined-times.txt</v>
      </c>
      <c r="AI98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{"issue":{"subject":"","project_id":79,"tracker_id":40,"status_id":1,"priority_id":2,"assigned_to_id":23,"start_date":"2016-10-11","description":"","custom_fields":[{"id":1,"name":"Subdivision","value":"EC"},{"id":4,"name":"Milepost","value":"0.0176"},{"id":17,"name":"Train ID","value":"190-11"},{"id":16,"name":"Locomotive ID","value":"4004"},{"id":130,"name":"Impact","value":""},{"id":150,"name":"Time of Event (Mountain Time)","value":"16:24:06"},{"id":151,"name":"Denver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1" customFormat="1" x14ac:dyDescent="0.25">
      <c r="A99" s="39" t="s">
        <v>544</v>
      </c>
      <c r="B99" s="7">
        <v>4014</v>
      </c>
      <c r="C99" s="24" t="s">
        <v>106</v>
      </c>
      <c r="D99" s="24" t="s">
        <v>209</v>
      </c>
      <c r="E99" s="15">
        <v>42654.622210648151</v>
      </c>
      <c r="F99" s="15">
        <v>42654.625196759262</v>
      </c>
      <c r="G99" s="7">
        <v>2</v>
      </c>
      <c r="H99" s="15" t="s">
        <v>678</v>
      </c>
      <c r="I99" s="15">
        <v>42654.655034722222</v>
      </c>
      <c r="J99" s="7">
        <v>0</v>
      </c>
      <c r="K99" s="116" t="str">
        <f t="shared" si="32"/>
        <v>4013/4014</v>
      </c>
      <c r="L99" s="24" t="str">
        <f>VLOOKUP(A99,'Trips&amp;Operators'!$C$1:$E$10000,3,FALSE)</f>
        <v>HELVIE</v>
      </c>
      <c r="M99" s="6">
        <f t="shared" si="33"/>
        <v>2.9837962960300501E-2</v>
      </c>
      <c r="N99" s="7">
        <f t="shared" si="54"/>
        <v>42.966666662832722</v>
      </c>
      <c r="O99" s="7"/>
      <c r="P99" s="7"/>
      <c r="Q99" s="25"/>
      <c r="R99" s="25"/>
      <c r="S99" s="37">
        <f t="shared" si="55"/>
        <v>1</v>
      </c>
      <c r="T99" s="52" t="str">
        <f t="shared" si="34"/>
        <v>NorthBound</v>
      </c>
      <c r="U99" s="15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13:55:59-0600',mode:absolute,to:'2016-10-11 16:43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9" s="54" t="str">
        <f t="shared" si="36"/>
        <v>N</v>
      </c>
      <c r="X99" s="163">
        <f t="shared" si="49"/>
        <v>1</v>
      </c>
      <c r="Y99" s="69">
        <f t="shared" si="52"/>
        <v>4.6399999999999997E-2</v>
      </c>
      <c r="Z99" s="69">
        <f t="shared" si="53"/>
        <v>23.325900000000001</v>
      </c>
      <c r="AA99" s="69">
        <f t="shared" si="37"/>
        <v>23.279500000000002</v>
      </c>
      <c r="AB99" s="66" t="str">
        <f>VLOOKUP(A99,Enforcements!$C$7:$K$21,8,0)</f>
        <v>Speed (6)</v>
      </c>
      <c r="AC99" s="62" t="str">
        <f>VLOOKUP(A99,Enforcements!$C$7:$E$21,3,0)</f>
        <v>PERMANENT SPEED RESTRICTION</v>
      </c>
      <c r="AD99" s="63" t="str">
        <f t="shared" si="38"/>
        <v>0191-11</v>
      </c>
      <c r="AE99" s="94" t="str">
        <f t="shared" si="39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99" s="91" t="str">
        <f t="shared" si="40"/>
        <v>"C:\Program Files (x86)\AstroGrep\AstroGrep.exe" /spath="%USERPROFILE%\AppData\Local\Temp\OnboardLogs" /stypes="app*4014*20161011*" /stext=" 21:.+((SYSTEM_STATE.+slice.+state.+changed )|(ment ac)|(system.+state.+changed )|(\[timeout)|(PRM\|1\|D)|(kpr)|(kdp)|(\|lc)|(penalty))" /e /r /s</v>
      </c>
      <c r="AG99" s="1" t="str">
        <f t="shared" si="41"/>
        <v>EC</v>
      </c>
      <c r="AH99" s="95" t="str">
        <f t="shared" si="47"/>
        <v>"%USERPROFILE%\Documents\GitHub\eaglep3\Utilities\RefineRTDCRunTimes.py" --tripid 191-11 --locoid 4014 --swversion DE.1.0.7.0 --startMP 204:464 --initTime 2016-10-11T14:55:59 --startdatetime 2016-10-11T15:00:17 --delay 2 --endMP 204:233259 --enddatetime 2016-10-11T15:43:15 --enforcementcount 0 &gt;&gt;C:\Users\stu\Documents\GitHub\eaglep3-reporting\EC\2016-10-11-refined-times.txt</v>
      </c>
      <c r="AI99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{"issue":{"subject":"","project_id":79,"tracker_id":40,"status_id":1,"priority_id":2,"assigned_to_id":23,"start_date":"2016-10-11","description":"","custom_fields":[{"id":1,"name":"Subdivision","value":"EC"},{"id":4,"name":"Milepost","value":"23.3259"},{"id":17,"name":"Train ID","value":"191-11"},{"id":16,"name":"Locomotive ID","value":"4014"},{"id":130,"name":"Impact","value":""},{"id":150,"name":"Time of Event (Mountain Time)","value":"15:43:15"},{"id":151,"name":"Denver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594</v>
      </c>
      <c r="B100" s="7">
        <v>4013</v>
      </c>
      <c r="C100" s="24" t="s">
        <v>106</v>
      </c>
      <c r="D100" s="24" t="s">
        <v>679</v>
      </c>
      <c r="E100" s="15">
        <v>42654.656793981485</v>
      </c>
      <c r="F100" s="15">
        <v>42654.665266203701</v>
      </c>
      <c r="G100" s="7">
        <v>1</v>
      </c>
      <c r="H100" s="15" t="s">
        <v>350</v>
      </c>
      <c r="I100" s="15">
        <v>42654.695034722223</v>
      </c>
      <c r="J100" s="7">
        <v>0</v>
      </c>
      <c r="K100" s="116" t="str">
        <f t="shared" si="32"/>
        <v>4013/4014</v>
      </c>
      <c r="L100" s="24" t="str">
        <f>VLOOKUP(A100,'Trips&amp;Operators'!$C$1:$E$10000,3,FALSE)</f>
        <v>HELVIE</v>
      </c>
      <c r="M100" s="6">
        <f t="shared" si="33"/>
        <v>2.976851852145046E-2</v>
      </c>
      <c r="N100" s="7">
        <f t="shared" si="54"/>
        <v>42.866666670888662</v>
      </c>
      <c r="O100" s="7"/>
      <c r="P100" s="7"/>
      <c r="Q100" s="25"/>
      <c r="R100" s="25"/>
      <c r="S100" s="37">
        <f t="shared" si="55"/>
        <v>1</v>
      </c>
      <c r="T100" s="52" t="str">
        <f t="shared" si="34"/>
        <v>Southbound</v>
      </c>
      <c r="U100" s="15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14:45:47-0600',mode:absolute,to:'2016-10-11 17:40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0" s="54" t="str">
        <f t="shared" si="36"/>
        <v>N</v>
      </c>
      <c r="X100" s="163">
        <f t="shared" si="49"/>
        <v>1</v>
      </c>
      <c r="Y100" s="69">
        <f t="shared" si="52"/>
        <v>23.295200000000001</v>
      </c>
      <c r="Z100" s="69">
        <f t="shared" si="53"/>
        <v>1.7000000000000001E-2</v>
      </c>
      <c r="AA100" s="69">
        <f t="shared" si="37"/>
        <v>23.278200000000002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8"/>
        <v>0192-11</v>
      </c>
      <c r="AE100" s="94" t="str">
        <f t="shared" si="39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100" s="91" t="str">
        <f t="shared" si="40"/>
        <v>"C:\Program Files (x86)\AstroGrep\AstroGrep.exe" /spath="%USERPROFILE%\AppData\Local\Temp\OnboardLogs" /stypes="app*4013*20161011*" /stext=" 22:.+((SYSTEM_STATE.+slice.+state.+changed )|(ment ac)|(system.+state.+changed )|(\[timeout)|(PRM\|1\|D)|(kpr)|(kdp)|(\|lc)|(penalty))" /e /r /s</v>
      </c>
      <c r="AG100" s="1" t="str">
        <f t="shared" si="41"/>
        <v>EC</v>
      </c>
      <c r="AH100" s="95" t="str">
        <f t="shared" si="47"/>
        <v>"%USERPROFILE%\Documents\GitHub\eaglep3\Utilities\RefineRTDCRunTimes.py" --tripid 192-11 --locoid 4013 --swversion DE.1.0.7.0 --startMP 204:232952 --initTime 2016-10-11T15:45:47 --startdatetime 2016-10-11T15:57:59 --delay 1 --endMP 204:170 --enddatetime 2016-10-11T16:40:51 --enforcementcount 0 &gt;&gt;C:\Users\stu\Documents\GitHub\eaglep3-reporting\EC\2016-10-11-refined-times.txt</v>
      </c>
      <c r="AI100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{"issue":{"subject":"","project_id":79,"tracker_id":40,"status_id":1,"priority_id":2,"assigned_to_id":23,"start_date":"2016-10-11","description":"","custom_fields":[{"id":1,"name":"Subdivision","value":"EC"},{"id":4,"name":"Milepost","value":"0.017"},{"id":17,"name":"Train ID","value":"192-11"},{"id":16,"name":"Locomotive ID","value":"4013"},{"id":130,"name":"Impact","value":""},{"id":150,"name":"Time of Event (Mountain Time)","value":"16:40:51"},{"id":151,"name":"Denver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586</v>
      </c>
      <c r="B101" s="7">
        <v>4040</v>
      </c>
      <c r="C101" s="24" t="s">
        <v>106</v>
      </c>
      <c r="D101" s="24" t="s">
        <v>209</v>
      </c>
      <c r="E101" s="15">
        <v>42654.632175925923</v>
      </c>
      <c r="F101" s="15">
        <v>42654.635810185187</v>
      </c>
      <c r="G101" s="7">
        <v>1</v>
      </c>
      <c r="H101" s="15" t="s">
        <v>680</v>
      </c>
      <c r="I101" s="15">
        <v>42654.662326388891</v>
      </c>
      <c r="J101" s="7">
        <v>0</v>
      </c>
      <c r="K101" s="116" t="str">
        <f t="shared" si="32"/>
        <v>4039/4040</v>
      </c>
      <c r="L101" s="24" t="str">
        <f>VLOOKUP(A101,'Trips&amp;Operators'!$C$1:$E$10000,3,FALSE)</f>
        <v>BONDS</v>
      </c>
      <c r="M101" s="6">
        <f t="shared" si="33"/>
        <v>2.6516203703067731E-2</v>
      </c>
      <c r="N101" s="7">
        <f t="shared" si="54"/>
        <v>38.183333332417533</v>
      </c>
      <c r="O101" s="7"/>
      <c r="P101" s="7"/>
      <c r="Q101" s="25"/>
      <c r="R101" s="25"/>
      <c r="S101" s="37">
        <f t="shared" si="55"/>
        <v>1</v>
      </c>
      <c r="T101" s="52" t="str">
        <f t="shared" si="34"/>
        <v>NorthBound</v>
      </c>
      <c r="U101" s="15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14:10:20-0600',mode:absolute,to:'2016-10-11 16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1" s="54" t="str">
        <f t="shared" si="36"/>
        <v>N</v>
      </c>
      <c r="X101" s="163">
        <f t="shared" si="49"/>
        <v>1</v>
      </c>
      <c r="Y101" s="69">
        <f t="shared" si="52"/>
        <v>4.6399999999999997E-2</v>
      </c>
      <c r="Z101" s="69">
        <f t="shared" si="53"/>
        <v>23.3276</v>
      </c>
      <c r="AA101" s="69">
        <f t="shared" si="37"/>
        <v>23.281200000000002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8"/>
        <v>0193-11</v>
      </c>
      <c r="AE101" s="94" t="str">
        <f t="shared" si="39"/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101" s="91" t="str">
        <f t="shared" si="40"/>
        <v>"C:\Program Files (x86)\AstroGrep\AstroGrep.exe" /spath="%USERPROFILE%\AppData\Local\Temp\OnboardLogs" /stypes="app*4040*20161011*" /stext=" 21:.+((SYSTEM_STATE.+slice.+state.+changed )|(ment ac)|(system.+state.+changed )|(\[timeout)|(PRM\|1\|D)|(kpr)|(kdp)|(\|lc)|(penalty))" /e /r /s</v>
      </c>
      <c r="AG101" s="1" t="str">
        <f t="shared" si="41"/>
        <v>EC</v>
      </c>
      <c r="AH101" s="95" t="str">
        <f t="shared" si="47"/>
        <v>"%USERPROFILE%\Documents\GitHub\eaglep3\Utilities\RefineRTDCRunTimes.py" --tripid 193-11 --locoid 4040 --swversion DE.1.0.7.0 --startMP 204:464 --initTime 2016-10-11T15:10:20 --startdatetime 2016-10-11T15:15:34 --delay 1 --endMP 204:233276 --enddatetime 2016-10-11T15:53:45 --enforcementcount 0 &gt;&gt;C:\Users\stu\Documents\GitHub\eaglep3-reporting\EC\2016-10-11-refined-times.txt</v>
      </c>
      <c r="AI101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{"issue":{"subject":"","project_id":79,"tracker_id":40,"status_id":1,"priority_id":2,"assigned_to_id":23,"start_date":"2016-10-11","description":"","custom_fields":[{"id":1,"name":"Subdivision","value":"EC"},{"id":4,"name":"Milepost","value":"23.3276"},{"id":17,"name":"Train ID","value":"193-11"},{"id":16,"name":"Locomotive ID","value":"4040"},{"id":130,"name":"Impact","value":""},{"id":150,"name":"Time of Event (Mountain Time)","value":"15:53:45"},{"id":151,"name":"Denver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596</v>
      </c>
      <c r="B102" s="7">
        <v>4039</v>
      </c>
      <c r="C102" s="24" t="s">
        <v>106</v>
      </c>
      <c r="D102" s="24" t="s">
        <v>665</v>
      </c>
      <c r="E102" s="15">
        <v>42654.666296296295</v>
      </c>
      <c r="F102" s="15">
        <v>42654.674745370372</v>
      </c>
      <c r="G102" s="7">
        <v>1</v>
      </c>
      <c r="H102" s="15" t="s">
        <v>200</v>
      </c>
      <c r="I102" s="15">
        <v>42654.703055555554</v>
      </c>
      <c r="J102" s="7">
        <v>0</v>
      </c>
      <c r="K102" s="116" t="str">
        <f t="shared" si="32"/>
        <v>4039/4040</v>
      </c>
      <c r="L102" s="24" t="str">
        <f>VLOOKUP(A102,'Trips&amp;Operators'!$C$1:$E$10000,3,FALSE)</f>
        <v>BONDS</v>
      </c>
      <c r="M102" s="6">
        <f t="shared" si="33"/>
        <v>2.8310185181908309E-2</v>
      </c>
      <c r="N102" s="7">
        <f t="shared" si="54"/>
        <v>40.766666661947966</v>
      </c>
      <c r="O102" s="7"/>
      <c r="P102" s="7"/>
      <c r="Q102" s="25"/>
      <c r="R102" s="25"/>
      <c r="S102" s="37">
        <f t="shared" si="55"/>
        <v>1</v>
      </c>
      <c r="T102" s="52" t="str">
        <f t="shared" si="34"/>
        <v>Southbound</v>
      </c>
      <c r="U102" s="15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14:59:28-0600',mode:absolute,to:'2016-10-11 17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2" s="54" t="str">
        <f t="shared" si="36"/>
        <v>N</v>
      </c>
      <c r="X102" s="163">
        <f t="shared" si="49"/>
        <v>1</v>
      </c>
      <c r="Y102" s="69">
        <f t="shared" si="52"/>
        <v>23.297699999999999</v>
      </c>
      <c r="Z102" s="69">
        <f t="shared" si="53"/>
        <v>1.5599999999999999E-2</v>
      </c>
      <c r="AA102" s="69">
        <f t="shared" si="37"/>
        <v>23.2821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8"/>
        <v>0194-11</v>
      </c>
      <c r="AE102" s="94" t="str">
        <f t="shared" si="39"/>
        <v>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 &amp; 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</v>
      </c>
      <c r="AF102" s="91" t="str">
        <f t="shared" si="40"/>
        <v>"C:\Program Files (x86)\AstroGrep\AstroGrep.exe" /spath="%USERPROFILE%\AppData\Local\Temp\OnboardLogs" /stypes="app*4039*20161011*" /stext=" 22:.+((SYSTEM_STATE.+slice.+state.+changed )|(ment ac)|(system.+state.+changed )|(\[timeout)|(PRM\|1\|D)|(kpr)|(kdp)|(\|lc)|(penalty))" /e /r /s</v>
      </c>
      <c r="AG102" s="1" t="str">
        <f t="shared" si="41"/>
        <v>EC</v>
      </c>
      <c r="AH102" s="95" t="str">
        <f t="shared" si="47"/>
        <v>"%USERPROFILE%\Documents\GitHub\eaglep3\Utilities\RefineRTDCRunTimes.py" --tripid 194-11 --locoid 4039 --swversion DE.1.0.7.0 --startMP 204:232977 --initTime 2016-10-11T15:59:28 --startdatetime 2016-10-11T16:11:38 --delay 1 --endMP 204:156 --enddatetime 2016-10-11T16:52:24 --enforcementcount 0 &gt;&gt;C:\Users\stu\Documents\GitHub\eaglep3-reporting\EC\2016-10-11-refined-times.txt</v>
      </c>
      <c r="AI102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{"issue":{"subject":"","project_id":79,"tracker_id":40,"status_id":1,"priority_id":2,"assigned_to_id":23,"start_date":"2016-10-11","description":"","custom_fields":[{"id":1,"name":"Subdivision","value":"EC"},{"id":4,"name":"Milepost","value":"0.0156"},{"id":17,"name":"Train ID","value":"194-11"},{"id":16,"name":"Locomotive ID","value":"4039"},{"id":130,"name":"Impact","value":""},{"id":150,"name":"Time of Event (Mountain Time)","value":"16:52:24"},{"id":151,"name":"Denver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547</v>
      </c>
      <c r="B103" s="7">
        <v>4029</v>
      </c>
      <c r="C103" s="24" t="s">
        <v>106</v>
      </c>
      <c r="D103" s="24" t="s">
        <v>681</v>
      </c>
      <c r="E103" s="15">
        <v>42654.647141203706</v>
      </c>
      <c r="F103" s="15">
        <v>42654.648796296293</v>
      </c>
      <c r="G103" s="7">
        <v>1</v>
      </c>
      <c r="H103" s="15" t="s">
        <v>385</v>
      </c>
      <c r="I103" s="15">
        <v>42654.675011574072</v>
      </c>
      <c r="J103" s="7">
        <v>0</v>
      </c>
      <c r="K103" s="116" t="str">
        <f t="shared" si="32"/>
        <v>4029/4030</v>
      </c>
      <c r="L103" s="24" t="str">
        <f>VLOOKUP(A103,'Trips&amp;Operators'!$C$1:$E$10000,3,FALSE)</f>
        <v>CRAYTON</v>
      </c>
      <c r="M103" s="6">
        <f t="shared" si="33"/>
        <v>2.6215277779556345E-2</v>
      </c>
      <c r="N103" s="7">
        <f t="shared" si="54"/>
        <v>37.750000002561137</v>
      </c>
      <c r="O103" s="7"/>
      <c r="P103" s="7"/>
      <c r="Q103" s="25"/>
      <c r="R103" s="25"/>
      <c r="S103" s="37">
        <f t="shared" si="55"/>
        <v>1</v>
      </c>
      <c r="T103" s="52" t="str">
        <f t="shared" si="34"/>
        <v>NorthBound</v>
      </c>
      <c r="U103" s="15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14:31:53-0600',mode:absolute,to:'2016-10-11 17:12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3" s="54" t="str">
        <f t="shared" si="36"/>
        <v>N</v>
      </c>
      <c r="X103" s="163">
        <f t="shared" si="49"/>
        <v>1</v>
      </c>
      <c r="Y103" s="69">
        <f t="shared" si="52"/>
        <v>4.6699999999999998E-2</v>
      </c>
      <c r="Z103" s="69">
        <f t="shared" si="53"/>
        <v>23.332000000000001</v>
      </c>
      <c r="AA103" s="69">
        <f t="shared" si="37"/>
        <v>23.285299999999999</v>
      </c>
      <c r="AB103" s="66" t="str">
        <f>VLOOKUP(A103,Enforcements!$C$7:$K$21,8,0)</f>
        <v>Speed (6)</v>
      </c>
      <c r="AC103" s="62" t="str">
        <f>VLOOKUP(A103,Enforcements!$C$7:$E$21,3,0)</f>
        <v>PERMANENT SPEED RESTRICTION</v>
      </c>
      <c r="AD103" s="63" t="str">
        <f t="shared" si="38"/>
        <v>0195-11</v>
      </c>
      <c r="AE103" s="94" t="str">
        <f t="shared" si="39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103" s="91" t="str">
        <f t="shared" si="40"/>
        <v>"C:\Program Files (x86)\AstroGrep\AstroGrep.exe" /spath="%USERPROFILE%\AppData\Local\Temp\OnboardLogs" /stypes="app*4029*20161011*" /stext=" 22:.+((SYSTEM_STATE.+slice.+state.+changed )|(ment ac)|(system.+state.+changed )|(\[timeout)|(PRM\|1\|D)|(kpr)|(kdp)|(\|lc)|(penalty))" /e /r /s</v>
      </c>
      <c r="AG103" s="1" t="str">
        <f t="shared" si="41"/>
        <v>EC</v>
      </c>
      <c r="AH103" s="95" t="str">
        <f t="shared" si="47"/>
        <v>"%USERPROFILE%\Documents\GitHub\eaglep3\Utilities\RefineRTDCRunTimes.py" --tripid 195-11 --locoid 4029 --swversion DE.1.0.7.0 --startMP 204:467 --initTime 2016-10-11T15:31:53 --startdatetime 2016-10-11T15:34:16 --delay 1 --endMP 204:233320 --enddatetime 2016-10-11T16:12:01 --enforcementcount 0 &gt;&gt;C:\Users\stu\Documents\GitHub\eaglep3-reporting\EC\2016-10-11-refined-times.txt</v>
      </c>
      <c r="AI103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{"issue":{"subject":"","project_id":79,"tracker_id":40,"status_id":1,"priority_id":2,"assigned_to_id":23,"start_date":"2016-10-11","description":"","custom_fields":[{"id":1,"name":"Subdivision","value":"EC"},{"id":4,"name":"Milepost","value":"23.332"},{"id":17,"name":"Train ID","value":"195-11"},{"id":16,"name":"Locomotive ID","value":"4029"},{"id":130,"name":"Impact","value":""},{"id":150,"name":"Time of Event (Mountain Time)","value":"16:12:01"},{"id":151,"name":"Denver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600</v>
      </c>
      <c r="B104" s="7">
        <v>4030</v>
      </c>
      <c r="C104" s="24" t="s">
        <v>106</v>
      </c>
      <c r="D104" s="24" t="s">
        <v>457</v>
      </c>
      <c r="E104" s="15">
        <v>42654.676585648151</v>
      </c>
      <c r="F104" s="15">
        <v>42654.684861111113</v>
      </c>
      <c r="G104" s="7">
        <v>1</v>
      </c>
      <c r="H104" s="15" t="s">
        <v>126</v>
      </c>
      <c r="I104" s="15">
        <v>42654.712743055556</v>
      </c>
      <c r="J104" s="7">
        <v>0</v>
      </c>
      <c r="K104" s="116" t="str">
        <f t="shared" si="32"/>
        <v>4029/4030</v>
      </c>
      <c r="L104" s="24" t="str">
        <f>VLOOKUP(A104,'Trips&amp;Operators'!$C$1:$E$10000,3,FALSE)</f>
        <v>CRAYTON</v>
      </c>
      <c r="M104" s="6">
        <f t="shared" si="33"/>
        <v>2.7881944442924578E-2</v>
      </c>
      <c r="N104" s="7">
        <f t="shared" si="54"/>
        <v>40.149999997811392</v>
      </c>
      <c r="O104" s="7"/>
      <c r="P104" s="7"/>
      <c r="Q104" s="25"/>
      <c r="R104" s="25"/>
      <c r="S104" s="37">
        <f t="shared" si="55"/>
        <v>1</v>
      </c>
      <c r="T104" s="52" t="str">
        <f t="shared" si="34"/>
        <v>Southbound</v>
      </c>
      <c r="U104" s="15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15:14:17-0600',mode:absolute,to:'2016-10-11 18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4" s="54" t="str">
        <f t="shared" si="36"/>
        <v>N</v>
      </c>
      <c r="X104" s="163">
        <f t="shared" si="49"/>
        <v>1</v>
      </c>
      <c r="Y104" s="69">
        <f t="shared" si="52"/>
        <v>23.298200000000001</v>
      </c>
      <c r="Z104" s="69">
        <f t="shared" si="53"/>
        <v>1.54E-2</v>
      </c>
      <c r="AA104" s="69">
        <f t="shared" si="37"/>
        <v>23.282800000000002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8"/>
        <v>0196-11</v>
      </c>
      <c r="AE104" s="94" t="str">
        <f t="shared" si="39"/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AF104" s="91" t="str">
        <f t="shared" si="40"/>
        <v>"C:\Program Files (x86)\AstroGrep\AstroGrep.exe" /spath="%USERPROFILE%\AppData\Local\Temp\OnboardLogs" /stypes="app*4030*20161011*" /stext=" 23:.+((SYSTEM_STATE.+slice.+state.+changed )|(ment ac)|(system.+state.+changed )|(\[timeout)|(PRM\|1\|D)|(kpr)|(kdp)|(\|lc)|(penalty))" /e /r /s</v>
      </c>
      <c r="AG104" s="1" t="str">
        <f t="shared" si="41"/>
        <v>EC</v>
      </c>
      <c r="AH104" s="95" t="str">
        <f t="shared" si="47"/>
        <v>"%USERPROFILE%\Documents\GitHub\eaglep3\Utilities\RefineRTDCRunTimes.py" --tripid 196-11 --locoid 4030 --swversion DE.1.0.7.0 --startMP 204:232982 --initTime 2016-10-11T16:14:17 --startdatetime 2016-10-11T16:26:12 --delay 1 --endMP 204:154 --enddatetime 2016-10-11T17:06:21 --enforcementcount 0 &gt;&gt;C:\Users\stu\Documents\GitHub\eaglep3-reporting\EC\2016-10-11-refined-times.txt</v>
      </c>
      <c r="AI104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{"issue":{"subject":"","project_id":79,"tracker_id":40,"status_id":1,"priority_id":2,"assigned_to_id":23,"start_date":"2016-10-11","description":"","custom_fields":[{"id":1,"name":"Subdivision","value":"EC"},{"id":4,"name":"Milepost","value":"0.0154"},{"id":17,"name":"Train ID","value":"196-11"},{"id":16,"name":"Locomotive ID","value":"4030"},{"id":130,"name":"Impact","value":""},{"id":150,"name":"Time of Event (Mountain Time)","value":"17:06:21"},{"id":151,"name":"Denver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590</v>
      </c>
      <c r="B105" s="7">
        <v>4031</v>
      </c>
      <c r="C105" s="24" t="s">
        <v>106</v>
      </c>
      <c r="D105" s="24" t="s">
        <v>682</v>
      </c>
      <c r="E105" s="15">
        <v>42654.645648148151</v>
      </c>
      <c r="F105" s="15">
        <v>42654.656481481485</v>
      </c>
      <c r="G105" s="7">
        <v>1</v>
      </c>
      <c r="H105" s="15" t="s">
        <v>221</v>
      </c>
      <c r="I105" s="15">
        <v>42654.683761574073</v>
      </c>
      <c r="J105" s="7">
        <v>0</v>
      </c>
      <c r="K105" s="116" t="str">
        <f t="shared" si="32"/>
        <v>4031/4032</v>
      </c>
      <c r="L105" s="24" t="str">
        <f>VLOOKUP(A105,'Trips&amp;Operators'!$C$1:$E$10000,3,FALSE)</f>
        <v>BRANDNER</v>
      </c>
      <c r="M105" s="6">
        <f t="shared" si="33"/>
        <v>2.7280092588625848E-2</v>
      </c>
      <c r="N105" s="7">
        <f t="shared" si="54"/>
        <v>39.283333327621222</v>
      </c>
      <c r="O105" s="7"/>
      <c r="P105" s="7"/>
      <c r="Q105" s="25"/>
      <c r="R105" s="25"/>
      <c r="S105" s="37">
        <f t="shared" si="55"/>
        <v>1</v>
      </c>
      <c r="T105" s="52" t="str">
        <f t="shared" si="34"/>
        <v>NorthBound</v>
      </c>
      <c r="U105" s="15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14:29:44-0600',mode:absolute,to:'2016-10-11 17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4" t="str">
        <f t="shared" si="36"/>
        <v>N</v>
      </c>
      <c r="X105" s="163">
        <f t="shared" si="49"/>
        <v>1</v>
      </c>
      <c r="Y105" s="69">
        <f t="shared" si="52"/>
        <v>4.9099999999999998E-2</v>
      </c>
      <c r="Z105" s="69">
        <f t="shared" si="53"/>
        <v>23.3308</v>
      </c>
      <c r="AA105" s="69">
        <f t="shared" si="37"/>
        <v>23.281700000000001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8"/>
        <v>0197-11</v>
      </c>
      <c r="AE105" s="94" t="str">
        <f t="shared" si="39"/>
        <v>aws s3 cp s3://rtdc.mdm.uploadarchive.raw/RTDC4031/ "%USERPROFILE%\AppData\Local\Temp\OnboardLogs"\RTDC4031\2016-10-11 --exclude "*" --recursive --include "*20161011*" &amp; "%USERPROFILE%\Documents\GitHub\mrs-test-scripts\Headless Mode &amp; Sideloading\WalkAndUnGZ.bat" "%USERPROFILE%\AppData\Local\Temp\OnboardLogs"\RTDC4031\2016-10-11 &amp; 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</v>
      </c>
      <c r="AF105" s="91" t="str">
        <f t="shared" si="40"/>
        <v>"C:\Program Files (x86)\AstroGrep\AstroGrep.exe" /spath="%USERPROFILE%\AppData\Local\Temp\OnboardLogs" /stypes="app*4031*20161011*" /stext=" 22:.+((SYSTEM_STATE.+slice.+state.+changed )|(ment ac)|(system.+state.+changed )|(\[timeout)|(PRM\|1\|D)|(kpr)|(kdp)|(\|lc)|(penalty))" /e /r /s</v>
      </c>
      <c r="AG105" s="1" t="str">
        <f t="shared" si="41"/>
        <v>EC</v>
      </c>
      <c r="AH105" s="95" t="str">
        <f t="shared" si="47"/>
        <v>"%USERPROFILE%\Documents\GitHub\eaglep3\Utilities\RefineRTDCRunTimes.py" --tripid 197-11 --locoid 4031 --swversion DE.1.0.7.0 --startMP 204:491 --initTime 2016-10-11T15:29:44 --startdatetime 2016-10-11T15:45:20 --delay 1 --endMP 204:233308 --enddatetime 2016-10-11T16:24:37 --enforcementcount 0 &gt;&gt;C:\Users\stu\Documents\GitHub\eaglep3-reporting\EC\2016-10-11-refined-times.txt</v>
      </c>
      <c r="AI105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{"issue":{"subject":"","project_id":79,"tracker_id":40,"status_id":1,"priority_id":2,"assigned_to_id":23,"start_date":"2016-10-11","description":"","custom_fields":[{"id":1,"name":"Subdivision","value":"EC"},{"id":4,"name":"Milepost","value":"23.3308"},{"id":17,"name":"Train ID","value":"197-11"},{"id":16,"name":"Locomotive ID","value":"4031"},{"id":130,"name":"Impact","value":""},{"id":150,"name":"Time of Event (Mountain Time)","value":"16:24:37"},{"id":151,"name":"Denver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602</v>
      </c>
      <c r="B106" s="7">
        <v>4032</v>
      </c>
      <c r="C106" s="24" t="s">
        <v>106</v>
      </c>
      <c r="D106" s="24" t="s">
        <v>251</v>
      </c>
      <c r="E106" s="15">
        <v>42654.687013888892</v>
      </c>
      <c r="F106" s="15">
        <v>42654.695543981485</v>
      </c>
      <c r="G106" s="7">
        <v>1</v>
      </c>
      <c r="H106" s="15" t="s">
        <v>126</v>
      </c>
      <c r="I106" s="15">
        <v>42654.724421296298</v>
      </c>
      <c r="J106" s="7">
        <v>0</v>
      </c>
      <c r="K106" s="116" t="str">
        <f t="shared" si="32"/>
        <v>4031/4032</v>
      </c>
      <c r="L106" s="24" t="str">
        <f>VLOOKUP(A106,'Trips&amp;Operators'!$C$1:$E$10000,3,FALSE)</f>
        <v>BRANDNER</v>
      </c>
      <c r="M106" s="6">
        <f t="shared" si="33"/>
        <v>2.8877314813144039E-2</v>
      </c>
      <c r="N106" s="7">
        <f t="shared" si="54"/>
        <v>41.583333330927417</v>
      </c>
      <c r="O106" s="7"/>
      <c r="P106" s="7"/>
      <c r="Q106" s="25"/>
      <c r="R106" s="25"/>
      <c r="S106" s="37">
        <f t="shared" si="55"/>
        <v>1</v>
      </c>
      <c r="T106" s="52" t="str">
        <f t="shared" si="34"/>
        <v>Southbound</v>
      </c>
      <c r="U106" s="15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15:29:18-0600',mode:absolute,to:'2016-10-11 18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4" t="str">
        <f t="shared" si="36"/>
        <v>N</v>
      </c>
      <c r="X106" s="163">
        <f t="shared" si="49"/>
        <v>1</v>
      </c>
      <c r="Y106" s="69">
        <f t="shared" si="52"/>
        <v>23.299099999999999</v>
      </c>
      <c r="Z106" s="69">
        <f t="shared" si="53"/>
        <v>1.54E-2</v>
      </c>
      <c r="AA106" s="69">
        <f t="shared" si="37"/>
        <v>23.2837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8"/>
        <v>0198-11</v>
      </c>
      <c r="AE106" s="94" t="str">
        <f t="shared" si="39"/>
        <v>aws s3 cp s3://rtdc.mdm.uploadarchive.raw/RTDC4032/ "%USERPROFILE%\AppData\Local\Temp\OnboardLogs"\RTDC4032\2016-10-11 --exclude "*" --recursive --include "*20161011*" &amp; "%USERPROFILE%\Documents\GitHub\mrs-test-scripts\Headless Mode &amp; Sideloading\WalkAndUnGZ.bat" "%USERPROFILE%\AppData\Local\Temp\OnboardLogs"\RTDC4032\2016-10-11 &amp; 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</v>
      </c>
      <c r="AF106" s="91" t="str">
        <f t="shared" si="40"/>
        <v>"C:\Program Files (x86)\AstroGrep\AstroGrep.exe" /spath="%USERPROFILE%\AppData\Local\Temp\OnboardLogs" /stypes="app*4032*20161011*" /stext=" 23:.+((SYSTEM_STATE.+slice.+state.+changed )|(ment ac)|(system.+state.+changed )|(\[timeout)|(PRM\|1\|D)|(kpr)|(kdp)|(\|lc)|(penalty))" /e /r /s</v>
      </c>
      <c r="AG106" s="1" t="str">
        <f t="shared" si="41"/>
        <v>EC</v>
      </c>
      <c r="AH106" s="95" t="str">
        <f t="shared" si="47"/>
        <v>"%USERPROFILE%\Documents\GitHub\eaglep3\Utilities\RefineRTDCRunTimes.py" --tripid 198-11 --locoid 4032 --swversion DE.1.0.7.0 --startMP 204:232991 --initTime 2016-10-11T16:29:18 --startdatetime 2016-10-11T16:41:35 --delay 1 --endMP 204:154 --enddatetime 2016-10-11T17:23:10 --enforcementcount 0 &gt;&gt;C:\Users\stu\Documents\GitHub\eaglep3-reporting\EC\2016-10-11-refined-times.txt</v>
      </c>
      <c r="AI106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{"issue":{"subject":"","project_id":79,"tracker_id":40,"status_id":1,"priority_id":2,"assigned_to_id":23,"start_date":"2016-10-11","description":"","custom_fields":[{"id":1,"name":"Subdivision","value":"EC"},{"id":4,"name":"Milepost","value":"0.0154"},{"id":17,"name":"Train ID","value":"198-11"},{"id":16,"name":"Locomotive ID","value":"4032"},{"id":130,"name":"Impact","value":""},{"id":150,"name":"Time of Event (Mountain Time)","value":"17:23:10"},{"id":151,"name":"Denver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595</v>
      </c>
      <c r="B107" s="7">
        <v>4053</v>
      </c>
      <c r="C107" s="24" t="s">
        <v>106</v>
      </c>
      <c r="D107" s="24" t="s">
        <v>248</v>
      </c>
      <c r="E107" s="15">
        <v>42654.664606481485</v>
      </c>
      <c r="F107" s="15">
        <v>42654.666909722226</v>
      </c>
      <c r="G107" s="7">
        <v>1</v>
      </c>
      <c r="H107" s="15" t="s">
        <v>683</v>
      </c>
      <c r="I107" s="15">
        <v>42654.69195601852</v>
      </c>
      <c r="J107" s="7">
        <v>0</v>
      </c>
      <c r="K107" s="116" t="str">
        <f t="shared" si="32"/>
        <v>4053/4054</v>
      </c>
      <c r="L107" s="24" t="str">
        <f>VLOOKUP(A107,'Trips&amp;Operators'!$C$1:$E$10000,3,FALSE)</f>
        <v>STORY</v>
      </c>
      <c r="M107" s="6">
        <f t="shared" si="33"/>
        <v>2.5046296294021886E-2</v>
      </c>
      <c r="N107" s="7">
        <f t="shared" si="54"/>
        <v>36.066666663391516</v>
      </c>
      <c r="O107" s="7"/>
      <c r="P107" s="7"/>
      <c r="Q107" s="25"/>
      <c r="R107" s="25"/>
      <c r="S107" s="37">
        <f t="shared" si="55"/>
        <v>1</v>
      </c>
      <c r="T107" s="52" t="str">
        <f t="shared" si="34"/>
        <v>NorthBound</v>
      </c>
      <c r="U107" s="15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14:57:02-0600',mode:absolute,to:'2016-10-11 17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7" s="54" t="str">
        <f t="shared" si="36"/>
        <v>N</v>
      </c>
      <c r="X107" s="163">
        <f t="shared" si="49"/>
        <v>1</v>
      </c>
      <c r="Y107" s="69">
        <f t="shared" si="52"/>
        <v>4.4400000000000002E-2</v>
      </c>
      <c r="Z107" s="69">
        <f t="shared" si="53"/>
        <v>23.332599999999999</v>
      </c>
      <c r="AA107" s="69">
        <f t="shared" si="37"/>
        <v>23.2882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8"/>
        <v>0199-11</v>
      </c>
      <c r="AE107" s="94" t="str">
        <f t="shared" si="39"/>
        <v>aws s3 cp s3://rtdc.mdm.uploadarchive.raw/RTDC4053/ "%USERPROFILE%\AppData\Local\Temp\OnboardLogs"\RTDC4053\2016-10-11 --exclude "*" --recursive --include "*20161011*" &amp; "%USERPROFILE%\Documents\GitHub\mrs-test-scripts\Headless Mode &amp; Sideloading\WalkAndUnGZ.bat" "%USERPROFILE%\AppData\Local\Temp\OnboardLogs"\RTDC4053\2016-10-11 &amp; 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</v>
      </c>
      <c r="AF107" s="91" t="str">
        <f t="shared" si="40"/>
        <v>"C:\Program Files (x86)\AstroGrep\AstroGrep.exe" /spath="%USERPROFILE%\AppData\Local\Temp\OnboardLogs" /stypes="app*4053*20161011*" /stext=" 22:.+((SYSTEM_STATE.+slice.+state.+changed )|(ment ac)|(system.+state.+changed )|(\[timeout)|(PRM\|1\|D)|(kpr)|(kdp)|(\|lc)|(penalty))" /e /r /s</v>
      </c>
      <c r="AG107" s="1" t="str">
        <f t="shared" si="41"/>
        <v>EC</v>
      </c>
      <c r="AH107" s="95" t="str">
        <f t="shared" si="47"/>
        <v>"%USERPROFILE%\Documents\GitHub\eaglep3\Utilities\RefineRTDCRunTimes.py" --tripid 199-11 --locoid 4053 --swversion DE.1.0.7.0 --startMP 204:444 --initTime 2016-10-11T15:57:02 --startdatetime 2016-10-11T16:00:21 --delay 1 --endMP 204:233326 --enddatetime 2016-10-11T16:36:25 --enforcementcount 0 &gt;&gt;C:\Users\stu\Documents\GitHub\eaglep3-reporting\EC\2016-10-11-refined-times.txt</v>
      </c>
      <c r="AI107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{"issue":{"subject":"","project_id":79,"tracker_id":40,"status_id":1,"priority_id":2,"assigned_to_id":23,"start_date":"2016-10-11","description":"","custom_fields":[{"id":1,"name":"Subdivision","value":"EC"},{"id":4,"name":"Milepost","value":"23.3326"},{"id":17,"name":"Train ID","value":"199-11"},{"id":16,"name":"Locomotive ID","value":"4053"},{"id":130,"name":"Impact","value":""},{"id":150,"name":"Time of Event (Mountain Time)","value":"16:36:25"},{"id":151,"name":"Denver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606</v>
      </c>
      <c r="B108" s="7">
        <v>4054</v>
      </c>
      <c r="C108" s="24" t="s">
        <v>106</v>
      </c>
      <c r="D108" s="24" t="s">
        <v>355</v>
      </c>
      <c r="E108" s="15">
        <v>42654.700462962966</v>
      </c>
      <c r="F108" s="15">
        <v>42654.705868055556</v>
      </c>
      <c r="G108" s="7">
        <v>2</v>
      </c>
      <c r="H108" s="15" t="s">
        <v>185</v>
      </c>
      <c r="I108" s="15">
        <v>42654.733993055554</v>
      </c>
      <c r="J108" s="7">
        <v>0</v>
      </c>
      <c r="K108" s="116" t="str">
        <f t="shared" si="32"/>
        <v>4053/4054</v>
      </c>
      <c r="L108" s="24" t="str">
        <f>VLOOKUP(A108,'Trips&amp;Operators'!$C$1:$E$10000,3,FALSE)</f>
        <v>STORY</v>
      </c>
      <c r="M108" s="6">
        <f t="shared" si="33"/>
        <v>2.8124999997089617E-2</v>
      </c>
      <c r="N108" s="7">
        <f t="shared" si="54"/>
        <v>40.499999995809048</v>
      </c>
      <c r="O108" s="7"/>
      <c r="P108" s="7"/>
      <c r="Q108" s="25"/>
      <c r="R108" s="25"/>
      <c r="S108" s="37">
        <f t="shared" si="55"/>
        <v>1</v>
      </c>
      <c r="T108" s="52" t="str">
        <f t="shared" si="34"/>
        <v>Southbound</v>
      </c>
      <c r="U108" s="15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15:48:40-0600',mode:absolute,to:'2016-10-11 18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8" s="54" t="str">
        <f t="shared" si="36"/>
        <v>N</v>
      </c>
      <c r="X108" s="163">
        <f t="shared" si="49"/>
        <v>1</v>
      </c>
      <c r="Y108" s="69">
        <f t="shared" si="52"/>
        <v>23.301500000000001</v>
      </c>
      <c r="Z108" s="69">
        <f t="shared" si="53"/>
        <v>1.6E-2</v>
      </c>
      <c r="AA108" s="69">
        <f t="shared" si="37"/>
        <v>23.285500000000003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8"/>
        <v>0200-11</v>
      </c>
      <c r="AE108" s="94" t="str">
        <f t="shared" si="39"/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AF108" s="91" t="str">
        <f t="shared" si="40"/>
        <v>"C:\Program Files (x86)\AstroGrep\AstroGrep.exe" /spath="%USERPROFILE%\AppData\Local\Temp\OnboardLogs" /stypes="app*4054*20161011*" /stext=" 23:.+((SYSTEM_STATE.+slice.+state.+changed )|(ment ac)|(system.+state.+changed )|(\[timeout)|(PRM\|1\|D)|(kpr)|(kdp)|(\|lc)|(penalty))" /e /r /s</v>
      </c>
      <c r="AG108" s="1" t="str">
        <f t="shared" si="41"/>
        <v>EC</v>
      </c>
      <c r="AH108" s="95" t="str">
        <f t="shared" si="47"/>
        <v>"%USERPROFILE%\Documents\GitHub\eaglep3\Utilities\RefineRTDCRunTimes.py" --tripid 200-11 --locoid 4054 --swversion DE.1.0.7.0 --startMP 204:233015 --initTime 2016-10-11T16:48:40 --startdatetime 2016-10-11T16:56:27 --delay 2 --endMP 204:160 --enddatetime 2016-10-11T17:36:57 --enforcementcount 0 &gt;&gt;C:\Users\stu\Documents\GitHub\eaglep3-reporting\EC\2016-10-11-refined-times.txt</v>
      </c>
      <c r="AI108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{"issue":{"subject":"","project_id":79,"tracker_id":40,"status_id":1,"priority_id":2,"assigned_to_id":23,"start_date":"2016-10-11","description":"","custom_fields":[{"id":1,"name":"Subdivision","value":"EC"},{"id":4,"name":"Milepost","value":"0.016"},{"id":17,"name":"Train ID","value":"200-11"},{"id":16,"name":"Locomotive ID","value":"4054"},{"id":130,"name":"Impact","value":""},{"id":150,"name":"Time of Event (Mountain Time)","value":"17:36:57"},{"id":151,"name":"Denver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598</v>
      </c>
      <c r="B109" s="7">
        <v>4007</v>
      </c>
      <c r="C109" s="24" t="s">
        <v>106</v>
      </c>
      <c r="D109" s="24" t="s">
        <v>188</v>
      </c>
      <c r="E109" s="15">
        <v>42654.675625000003</v>
      </c>
      <c r="F109" s="15">
        <v>42654.677430555559</v>
      </c>
      <c r="G109" s="7">
        <v>1</v>
      </c>
      <c r="H109" s="15" t="s">
        <v>354</v>
      </c>
      <c r="I109" s="15">
        <v>42654.70275462963</v>
      </c>
      <c r="J109" s="7">
        <v>0</v>
      </c>
      <c r="K109" s="116" t="str">
        <f t="shared" si="32"/>
        <v>4007/4008</v>
      </c>
      <c r="L109" s="24" t="str">
        <f>VLOOKUP(A109,'Trips&amp;Operators'!$C$1:$E$10000,3,FALSE)</f>
        <v>BARTLETT</v>
      </c>
      <c r="M109" s="6">
        <f t="shared" si="33"/>
        <v>2.5324074071249925E-2</v>
      </c>
      <c r="N109" s="7">
        <f t="shared" si="54"/>
        <v>36.466666662599891</v>
      </c>
      <c r="O109" s="7"/>
      <c r="P109" s="7"/>
      <c r="Q109" s="25"/>
      <c r="R109" s="25"/>
      <c r="S109" s="37">
        <f t="shared" si="55"/>
        <v>1</v>
      </c>
      <c r="T109" s="52" t="str">
        <f t="shared" si="34"/>
        <v>NorthBound</v>
      </c>
      <c r="U109" s="15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15:12:54-0600',mode:absolute,to:'2016-10-11 17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9" s="54" t="str">
        <f t="shared" si="36"/>
        <v>N</v>
      </c>
      <c r="X109" s="163">
        <f t="shared" si="49"/>
        <v>1</v>
      </c>
      <c r="Y109" s="69">
        <f t="shared" si="52"/>
        <v>4.53E-2</v>
      </c>
      <c r="Z109" s="69">
        <f t="shared" si="53"/>
        <v>23.33</v>
      </c>
      <c r="AA109" s="69">
        <f t="shared" si="37"/>
        <v>23.284699999999997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8"/>
        <v>0201-11</v>
      </c>
      <c r="AE109" s="94" t="str">
        <f t="shared" si="39"/>
        <v>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 &amp; 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</v>
      </c>
      <c r="AF109" s="91" t="str">
        <f t="shared" si="40"/>
        <v>"C:\Program Files (x86)\AstroGrep\AstroGrep.exe" /spath="%USERPROFILE%\AppData\Local\Temp\OnboardLogs" /stypes="app*4007*20161011*" /stext=" 22:.+((SYSTEM_STATE.+slice.+state.+changed )|(ment ac)|(system.+state.+changed )|(\[timeout)|(PRM\|1\|D)|(kpr)|(kdp)|(\|lc)|(penalty))" /e /r /s</v>
      </c>
      <c r="AG109" s="1" t="str">
        <f t="shared" si="41"/>
        <v>EC</v>
      </c>
      <c r="AH109" s="95" t="str">
        <f t="shared" si="47"/>
        <v>"%USERPROFILE%\Documents\GitHub\eaglep3\Utilities\RefineRTDCRunTimes.py" --tripid 201-11 --locoid 4007 --swversion DE.1.0.7.0 --startMP 204:453 --initTime 2016-10-11T16:12:54 --startdatetime 2016-10-11T16:15:30 --delay 1 --endMP 204:233300 --enddatetime 2016-10-11T16:51:58 --enforcementcount 0 &gt;&gt;C:\Users\stu\Documents\GitHub\eaglep3-reporting\EC\2016-10-11-refined-times.txt</v>
      </c>
      <c r="AI109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{"issue":{"subject":"","project_id":79,"tracker_id":40,"status_id":1,"priority_id":2,"assigned_to_id":23,"start_date":"2016-10-11","description":"","custom_fields":[{"id":1,"name":"Subdivision","value":"EC"},{"id":4,"name":"Milepost","value":"23.33"},{"id":17,"name":"Train ID","value":"201-11"},{"id":16,"name":"Locomotive ID","value":"4007"},{"id":130,"name":"Impact","value":""},{"id":150,"name":"Time of Event (Mountain Time)","value":"16:51:58"},{"id":151,"name":"Denver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552</v>
      </c>
      <c r="B110" s="7">
        <v>4008</v>
      </c>
      <c r="C110" s="24" t="s">
        <v>106</v>
      </c>
      <c r="D110" s="24" t="s">
        <v>684</v>
      </c>
      <c r="E110" s="15">
        <v>42654.706307870372</v>
      </c>
      <c r="F110" s="15">
        <v>42654.716296296298</v>
      </c>
      <c r="G110" s="7">
        <v>1</v>
      </c>
      <c r="H110" s="15" t="s">
        <v>187</v>
      </c>
      <c r="I110" s="15">
        <v>42654.744027777779</v>
      </c>
      <c r="J110" s="7">
        <v>0</v>
      </c>
      <c r="K110" s="116" t="str">
        <f t="shared" si="32"/>
        <v>4007/4008</v>
      </c>
      <c r="L110" s="24" t="str">
        <f>VLOOKUP(A110,'Trips&amp;Operators'!$C$1:$E$10000,3,FALSE)</f>
        <v>BARTLETT</v>
      </c>
      <c r="M110" s="6">
        <f t="shared" si="33"/>
        <v>2.7731481481168885E-2</v>
      </c>
      <c r="N110" s="7">
        <f t="shared" si="54"/>
        <v>39.933333332883194</v>
      </c>
      <c r="O110" s="7"/>
      <c r="P110" s="7"/>
      <c r="Q110" s="25"/>
      <c r="R110" s="25"/>
      <c r="S110" s="37">
        <f t="shared" si="55"/>
        <v>1</v>
      </c>
      <c r="T110" s="52" t="str">
        <f t="shared" si="34"/>
        <v>Southbound</v>
      </c>
      <c r="U110" s="15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15:57:05-0600',mode:absolute,to:'2016-10-11 18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0" s="54" t="str">
        <f t="shared" si="36"/>
        <v>N</v>
      </c>
      <c r="X110" s="163">
        <f t="shared" si="49"/>
        <v>1</v>
      </c>
      <c r="Y110" s="69">
        <f t="shared" si="52"/>
        <v>23.298100000000002</v>
      </c>
      <c r="Z110" s="69">
        <f t="shared" si="53"/>
        <v>1.47E-2</v>
      </c>
      <c r="AA110" s="69">
        <f t="shared" si="37"/>
        <v>23.2834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8"/>
        <v>0202-11</v>
      </c>
      <c r="AE110" s="94" t="str">
        <f t="shared" si="39"/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AF110" s="91" t="str">
        <f t="shared" si="40"/>
        <v>"C:\Program Files (x86)\AstroGrep\AstroGrep.exe" /spath="%USERPROFILE%\AppData\Local\Temp\OnboardLogs" /stypes="app*4008*20161011*" /stext=" 23:.+((SYSTEM_STATE.+slice.+state.+changed )|(ment ac)|(system.+state.+changed )|(\[timeout)|(PRM\|1\|D)|(kpr)|(kdp)|(\|lc)|(penalty))" /e /r /s</v>
      </c>
      <c r="AG110" s="1" t="str">
        <f t="shared" si="41"/>
        <v>EC</v>
      </c>
      <c r="AH110" s="95" t="str">
        <f t="shared" si="47"/>
        <v>"%USERPROFILE%\Documents\GitHub\eaglep3\Utilities\RefineRTDCRunTimes.py" --tripid 202-11 --locoid 4008 --swversion DE.1.0.7.0 --startMP 204:232981 --initTime 2016-10-11T16:57:05 --startdatetime 2016-10-11T17:11:28 --delay 1 --endMP 204:147 --enddatetime 2016-10-11T17:51:24 --enforcementcount 0 &gt;&gt;C:\Users\stu\Documents\GitHub\eaglep3-reporting\EC\2016-10-11-refined-times.txt</v>
      </c>
      <c r="AI110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{"issue":{"subject":"","project_id":79,"tracker_id":40,"status_id":1,"priority_id":2,"assigned_to_id":23,"start_date":"2016-10-11","description":"","custom_fields":[{"id":1,"name":"Subdivision","value":"EC"},{"id":4,"name":"Milepost","value":"0.0147"},{"id":17,"name":"Train ID","value":"202-11"},{"id":16,"name":"Locomotive ID","value":"4008"},{"id":130,"name":"Impact","value":""},{"id":150,"name":"Time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601</v>
      </c>
      <c r="B111" s="7">
        <v>4003</v>
      </c>
      <c r="C111" s="24" t="s">
        <v>106</v>
      </c>
      <c r="D111" s="24" t="s">
        <v>247</v>
      </c>
      <c r="E111" s="15">
        <v>42654.685312499998</v>
      </c>
      <c r="F111" s="15">
        <v>42654.687465277777</v>
      </c>
      <c r="G111" s="7">
        <v>2</v>
      </c>
      <c r="H111" s="15" t="s">
        <v>348</v>
      </c>
      <c r="I111" s="15">
        <v>42654.713356481479</v>
      </c>
      <c r="J111" s="7">
        <v>0</v>
      </c>
      <c r="K111" s="116" t="str">
        <f t="shared" si="32"/>
        <v>4003/4004</v>
      </c>
      <c r="L111" s="24" t="str">
        <f>VLOOKUP(A111,'Trips&amp;Operators'!$C$1:$E$10000,3,FALSE)</f>
        <v>STEWART</v>
      </c>
      <c r="M111" s="6">
        <f t="shared" si="33"/>
        <v>2.5891203702485655E-2</v>
      </c>
      <c r="N111" s="7">
        <f t="shared" si="54"/>
        <v>37.283333331579342</v>
      </c>
      <c r="O111" s="7"/>
      <c r="P111" s="7"/>
      <c r="Q111" s="25"/>
      <c r="R111" s="25"/>
      <c r="S111" s="37">
        <f t="shared" si="55"/>
        <v>1</v>
      </c>
      <c r="T111" s="52" t="str">
        <f t="shared" si="34"/>
        <v>NorthBound</v>
      </c>
      <c r="U111" s="15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15:26:51-0600',mode:absolute,to:'2016-10-11 18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1" s="54" t="str">
        <f t="shared" si="36"/>
        <v>N</v>
      </c>
      <c r="X111" s="163">
        <f t="shared" si="49"/>
        <v>1</v>
      </c>
      <c r="Y111" s="69">
        <f t="shared" si="52"/>
        <v>4.7500000000000001E-2</v>
      </c>
      <c r="Z111" s="69">
        <f t="shared" si="53"/>
        <v>23.330500000000001</v>
      </c>
      <c r="AA111" s="69">
        <f t="shared" si="37"/>
        <v>23.283000000000001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8"/>
        <v>0203-11</v>
      </c>
      <c r="AE111" s="94" t="str">
        <f t="shared" si="39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111" s="91" t="str">
        <f t="shared" si="40"/>
        <v>"C:\Program Files (x86)\AstroGrep\AstroGrep.exe" /spath="%USERPROFILE%\AppData\Local\Temp\OnboardLogs" /stypes="app*4003*20161011*" /stext=" 23:.+((SYSTEM_STATE.+slice.+state.+changed )|(ment ac)|(system.+state.+changed )|(\[timeout)|(PRM\|1\|D)|(kpr)|(kdp)|(\|lc)|(penalty))" /e /r /s</v>
      </c>
      <c r="AG111" s="1" t="str">
        <f t="shared" si="41"/>
        <v>EC</v>
      </c>
      <c r="AH111" s="95" t="str">
        <f t="shared" si="47"/>
        <v>"%USERPROFILE%\Documents\GitHub\eaglep3\Utilities\RefineRTDCRunTimes.py" --tripid 203-11 --locoid 4003 --swversion DE.1.0.7.0 --startMP 204:475 --initTime 2016-10-11T16:26:51 --startdatetime 2016-10-11T16:29:57 --delay 2 --endMP 204:233305 --enddatetime 2016-10-11T17:07:14 --enforcementcount 0 &gt;&gt;C:\Users\stu\Documents\GitHub\eaglep3-reporting\EC\2016-10-11-refined-times.txt</v>
      </c>
      <c r="AI111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{"issue":{"subject":"","project_id":79,"tracker_id":40,"status_id":1,"priority_id":2,"assigned_to_id":23,"start_date":"2016-10-11","description":"","custom_fields":[{"id":1,"name":"Subdivision","value":"EC"},{"id":4,"name":"Milepost","value":"23.3305"},{"id":17,"name":"Train ID","value":"203-11"},{"id":16,"name":"Locomotive ID","value":"4003"},{"id":130,"name":"Impact","value":""},{"id":150,"name":"Time of Event (Mountain Time)","value":"17:07:14"},{"id":151,"name":"Denver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611</v>
      </c>
      <c r="B112" s="7">
        <v>4004</v>
      </c>
      <c r="C112" s="24" t="s">
        <v>106</v>
      </c>
      <c r="D112" s="24" t="s">
        <v>287</v>
      </c>
      <c r="E112" s="15">
        <v>42654.72351851852</v>
      </c>
      <c r="F112" s="15">
        <v>42654.726574074077</v>
      </c>
      <c r="G112" s="7">
        <v>1</v>
      </c>
      <c r="H112" s="15" t="s">
        <v>685</v>
      </c>
      <c r="I112" s="15">
        <v>42654.754895833335</v>
      </c>
      <c r="J112" s="7">
        <v>0</v>
      </c>
      <c r="K112" s="116" t="str">
        <f t="shared" si="32"/>
        <v>4003/4004</v>
      </c>
      <c r="L112" s="24" t="str">
        <f>VLOOKUP(A112,'Trips&amp;Operators'!$C$1:$E$10000,3,FALSE)</f>
        <v>STEWART</v>
      </c>
      <c r="M112" s="6">
        <f t="shared" si="33"/>
        <v>2.8321759258687962E-2</v>
      </c>
      <c r="N112" s="7">
        <f t="shared" si="54"/>
        <v>40.783333332510665</v>
      </c>
      <c r="O112" s="7"/>
      <c r="P112" s="7"/>
      <c r="Q112" s="25"/>
      <c r="R112" s="25"/>
      <c r="S112" s="37">
        <f t="shared" si="55"/>
        <v>1</v>
      </c>
      <c r="T112" s="52" t="str">
        <f t="shared" si="34"/>
        <v>Southbound</v>
      </c>
      <c r="U112" s="15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16:21:52-0600',mode:absolute,to:'2016-10-11 19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2" s="54" t="str">
        <f t="shared" si="36"/>
        <v>N</v>
      </c>
      <c r="X112" s="163">
        <f t="shared" si="49"/>
        <v>1</v>
      </c>
      <c r="Y112" s="69">
        <f t="shared" si="52"/>
        <v>23.299199999999999</v>
      </c>
      <c r="Z112" s="69">
        <f t="shared" si="53"/>
        <v>1.3899999999999999E-2</v>
      </c>
      <c r="AA112" s="69">
        <f t="shared" si="37"/>
        <v>23.285299999999999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8"/>
        <v>0204-11</v>
      </c>
      <c r="AE112" s="94" t="str">
        <f t="shared" si="39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112" s="91" t="str">
        <f t="shared" si="40"/>
        <v>"C:\Program Files (x86)\AstroGrep\AstroGrep.exe" /spath="%USERPROFILE%\AppData\Local\Temp\OnboardLogs" /stypes="app*4004*20161012*" /stext=" 00:.+((SYSTEM_STATE.+slice.+state.+changed )|(ment ac)|(system.+state.+changed )|(\[timeout)|(PRM\|1\|D)|(kpr)|(kdp)|(\|lc)|(penalty))" /e /r /s</v>
      </c>
      <c r="AG112" s="1" t="str">
        <f t="shared" si="41"/>
        <v>EC</v>
      </c>
      <c r="AH112" s="95" t="str">
        <f t="shared" si="47"/>
        <v>"%USERPROFILE%\Documents\GitHub\eaglep3\Utilities\RefineRTDCRunTimes.py" --tripid 204-11 --locoid 4004 --swversion DE.1.0.7.0 --startMP 204:232992 --initTime 2016-10-11T17:21:52 --startdatetime 2016-10-11T17:26:16 --delay 1 --endMP 204:139 --enddatetime 2016-10-11T18:07:03 --enforcementcount 0 &gt;&gt;C:\Users\stu\Documents\GitHub\eaglep3-reporting\EC\2016-10-11-refined-times.txt</v>
      </c>
      <c r="AI112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{"issue":{"subject":"","project_id":79,"tracker_id":40,"status_id":1,"priority_id":2,"assigned_to_id":23,"start_date":"2016-10-11","description":"","custom_fields":[{"id":1,"name":"Subdivision","value":"EC"},{"id":4,"name":"Milepost","value":"0.0139"},{"id":17,"name":"Train ID","value":"204-11"},{"id":16,"name":"Locomotive ID","value":"4004"},{"id":130,"name":"Impact","value":""},{"id":150,"name":"Time of Event (Mountain Time)","value":"18:07:03"},{"id":151,"name":"Denver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605</v>
      </c>
      <c r="B113" s="7">
        <v>4014</v>
      </c>
      <c r="C113" s="24" t="s">
        <v>106</v>
      </c>
      <c r="D113" s="24" t="s">
        <v>195</v>
      </c>
      <c r="E113" s="15">
        <v>42654.696284722224</v>
      </c>
      <c r="F113" s="15">
        <v>42654.698136574072</v>
      </c>
      <c r="G113" s="7">
        <v>2</v>
      </c>
      <c r="H113" s="15" t="s">
        <v>686</v>
      </c>
      <c r="I113" s="15">
        <v>42654.72252314815</v>
      </c>
      <c r="J113" s="7">
        <v>0</v>
      </c>
      <c r="K113" s="116" t="str">
        <f t="shared" si="32"/>
        <v>4013/4014</v>
      </c>
      <c r="L113" s="24" t="str">
        <f>VLOOKUP(A113,'Trips&amp;Operators'!$C$1:$E$10000,3,FALSE)</f>
        <v>HELVIE</v>
      </c>
      <c r="M113" s="6">
        <f t="shared" si="33"/>
        <v>2.4386574077652767E-2</v>
      </c>
      <c r="N113" s="7">
        <f t="shared" si="54"/>
        <v>35.116666671819985</v>
      </c>
      <c r="O113" s="7"/>
      <c r="P113" s="7"/>
      <c r="Q113" s="25"/>
      <c r="R113" s="25"/>
      <c r="S113" s="37">
        <f t="shared" si="55"/>
        <v>1</v>
      </c>
      <c r="T113" s="52" t="str">
        <f t="shared" si="34"/>
        <v>NorthBound</v>
      </c>
      <c r="U113" s="15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15:42:39-0600',mode:absolute,to:'2016-10-11 18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3" s="54" t="str">
        <f t="shared" si="36"/>
        <v>N</v>
      </c>
      <c r="X113" s="163">
        <f t="shared" ref="X113:X144" si="56">VALUE(LEFT(AD113,4))-VALUE(LEFT(AD112,4))</f>
        <v>1</v>
      </c>
      <c r="Y113" s="69">
        <f t="shared" si="52"/>
        <v>4.58E-2</v>
      </c>
      <c r="Z113" s="69">
        <f t="shared" si="53"/>
        <v>23.330400000000001</v>
      </c>
      <c r="AA113" s="69">
        <f t="shared" si="37"/>
        <v>23.284600000000001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8"/>
        <v>0205-11</v>
      </c>
      <c r="AE113" s="94" t="str">
        <f t="shared" si="39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113" s="91" t="str">
        <f t="shared" si="40"/>
        <v>"C:\Program Files (x86)\AstroGrep\AstroGrep.exe" /spath="%USERPROFILE%\AppData\Local\Temp\OnboardLogs" /stypes="app*4014*20161011*" /stext=" 23:.+((SYSTEM_STATE.+slice.+state.+changed )|(ment ac)|(system.+state.+changed )|(\[timeout)|(PRM\|1\|D)|(kpr)|(kdp)|(\|lc)|(penalty))" /e /r /s</v>
      </c>
      <c r="AG113" s="1" t="str">
        <f t="shared" si="41"/>
        <v>EC</v>
      </c>
      <c r="AH113" s="95" t="str">
        <f t="shared" si="47"/>
        <v>"%USERPROFILE%\Documents\GitHub\eaglep3\Utilities\RefineRTDCRunTimes.py" --tripid 205-11 --locoid 4014 --swversion DE.1.0.7.0 --startMP 204:458 --initTime 2016-10-11T16:42:39 --startdatetime 2016-10-11T16:45:19 --delay 2 --endMP 204:233304 --enddatetime 2016-10-11T17:20:26 --enforcementcount 0 &gt;&gt;C:\Users\stu\Documents\GitHub\eaglep3-reporting\EC\2016-10-11-refined-times.txt</v>
      </c>
      <c r="AI113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{"issue":{"subject":"","project_id":79,"tracker_id":40,"status_id":1,"priority_id":2,"assigned_to_id":23,"start_date":"2016-10-11","description":"","custom_fields":[{"id":1,"name":"Subdivision","value":"EC"},{"id":4,"name":"Milepost","value":"23.3304"},{"id":17,"name":"Train ID","value":"205-11"},{"id":16,"name":"Locomotive ID","value":"4014"},{"id":130,"name":"Impact","value":""},{"id":150,"name":"Time of Event (Mountain Time)","value":"17:20:26"},{"id":151,"name":"Denver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612</v>
      </c>
      <c r="B114" s="7">
        <v>4013</v>
      </c>
      <c r="C114" s="24" t="s">
        <v>106</v>
      </c>
      <c r="D114" s="24" t="s">
        <v>687</v>
      </c>
      <c r="E114" s="15">
        <v>42654.72388888889</v>
      </c>
      <c r="F114" s="15">
        <v>42654.736979166664</v>
      </c>
      <c r="G114" s="7">
        <v>1</v>
      </c>
      <c r="H114" s="15" t="s">
        <v>216</v>
      </c>
      <c r="I114" s="15">
        <v>42654.764374999999</v>
      </c>
      <c r="J114" s="7">
        <v>0</v>
      </c>
      <c r="K114" s="116" t="str">
        <f t="shared" si="32"/>
        <v>4013/4014</v>
      </c>
      <c r="L114" s="24" t="str">
        <f>VLOOKUP(A114,'Trips&amp;Operators'!$C$1:$E$10000,3,FALSE)</f>
        <v>HELVIE</v>
      </c>
      <c r="M114" s="6">
        <f t="shared" si="33"/>
        <v>2.7395833334594499E-2</v>
      </c>
      <c r="N114" s="7">
        <f t="shared" si="54"/>
        <v>39.450000001816079</v>
      </c>
      <c r="O114" s="7"/>
      <c r="P114" s="7"/>
      <c r="Q114" s="25"/>
      <c r="R114" s="25"/>
      <c r="S114" s="37">
        <f t="shared" si="55"/>
        <v>1</v>
      </c>
      <c r="T114" s="52" t="str">
        <f t="shared" si="34"/>
        <v>Southbound</v>
      </c>
      <c r="U114" s="15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16:22:24-0600',mode:absolute,to:'2016-10-11 19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4" s="54" t="str">
        <f t="shared" si="36"/>
        <v>N</v>
      </c>
      <c r="X114" s="163">
        <f t="shared" si="56"/>
        <v>1</v>
      </c>
      <c r="Y114" s="69">
        <f t="shared" si="52"/>
        <v>23.298500000000001</v>
      </c>
      <c r="Z114" s="69">
        <f t="shared" si="53"/>
        <v>1.61E-2</v>
      </c>
      <c r="AA114" s="69">
        <f t="shared" si="37"/>
        <v>23.282399999999999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8"/>
        <v>0206-11</v>
      </c>
      <c r="AE114" s="94" t="str">
        <f t="shared" si="39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114" s="91" t="str">
        <f t="shared" si="40"/>
        <v>"C:\Program Files (x86)\AstroGrep\AstroGrep.exe" /spath="%USERPROFILE%\AppData\Local\Temp\OnboardLogs" /stypes="app*4013*20161012*" /stext=" 00:.+((SYSTEM_STATE.+slice.+state.+changed )|(ment ac)|(system.+state.+changed )|(\[timeout)|(PRM\|1\|D)|(kpr)|(kdp)|(\|lc)|(penalty))" /e /r /s</v>
      </c>
      <c r="AG114" s="1" t="str">
        <f t="shared" si="41"/>
        <v>EC</v>
      </c>
      <c r="AH114" s="95" t="str">
        <f t="shared" si="47"/>
        <v>"%USERPROFILE%\Documents\GitHub\eaglep3\Utilities\RefineRTDCRunTimes.py" --tripid 206-11 --locoid 4013 --swversion DE.1.0.7.0 --startMP 204:232985 --initTime 2016-10-11T17:22:24 --startdatetime 2016-10-11T17:41:15 --delay 1 --endMP 204:161 --enddatetime 2016-10-11T18:20:42 --enforcementcount 0 &gt;&gt;C:\Users\stu\Documents\GitHub\eaglep3-reporting\EC\2016-10-11-refined-times.txt</v>
      </c>
      <c r="AI114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{"issue":{"subject":"","project_id":79,"tracker_id":40,"status_id":1,"priority_id":2,"assigned_to_id":23,"start_date":"2016-10-11","description":"","custom_fields":[{"id":1,"name":"Subdivision","value":"EC"},{"id":4,"name":"Milepost","value":"0.0161"},{"id":17,"name":"Train ID","value":"206-11"},{"id":16,"name":"Locomotive ID","value":"4013"},{"id":130,"name":"Impact","value":""},{"id":150,"name":"Time of Event (Mountain Time)","value":"18:20:42"},{"id":151,"name":"Denver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607</v>
      </c>
      <c r="B115" s="7">
        <v>4040</v>
      </c>
      <c r="C115" s="24" t="s">
        <v>106</v>
      </c>
      <c r="D115" s="24" t="s">
        <v>194</v>
      </c>
      <c r="E115" s="15">
        <v>42654.704340277778</v>
      </c>
      <c r="F115" s="15">
        <v>42654.708749999998</v>
      </c>
      <c r="G115" s="7">
        <v>0</v>
      </c>
      <c r="H115" s="15" t="s">
        <v>311</v>
      </c>
      <c r="I115" s="15">
        <v>42654.7343287037</v>
      </c>
      <c r="J115" s="7">
        <v>0</v>
      </c>
      <c r="K115" s="116" t="str">
        <f t="shared" si="32"/>
        <v>4039/4040</v>
      </c>
      <c r="L115" s="24" t="str">
        <f>VLOOKUP(A115,'Trips&amp;Operators'!$C$1:$E$10000,3,FALSE)</f>
        <v>BONDS</v>
      </c>
      <c r="M115" s="6">
        <f t="shared" si="33"/>
        <v>2.5578703702194616E-2</v>
      </c>
      <c r="N115" s="7">
        <f t="shared" si="54"/>
        <v>36.833333331160247</v>
      </c>
      <c r="O115" s="7"/>
      <c r="P115" s="7"/>
      <c r="Q115" s="25"/>
      <c r="R115" s="25"/>
      <c r="S115" s="37">
        <f t="shared" si="55"/>
        <v>1</v>
      </c>
      <c r="T115" s="52" t="str">
        <f t="shared" si="34"/>
        <v>NorthBound</v>
      </c>
      <c r="U115" s="15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15:54:15-0600',mode:absolute,to:'2016-10-11 18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5" s="54" t="str">
        <f t="shared" si="36"/>
        <v>N</v>
      </c>
      <c r="X115" s="163">
        <f t="shared" si="56"/>
        <v>1</v>
      </c>
      <c r="Y115" s="69">
        <f t="shared" si="52"/>
        <v>4.5499999999999999E-2</v>
      </c>
      <c r="Z115" s="69">
        <f t="shared" si="53"/>
        <v>23.3307</v>
      </c>
      <c r="AA115" s="69">
        <f t="shared" si="37"/>
        <v>23.2852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8"/>
        <v>0207-11</v>
      </c>
      <c r="AE115" s="94" t="str">
        <f t="shared" si="39"/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115" s="91" t="str">
        <f t="shared" si="40"/>
        <v>"C:\Program Files (x86)\AstroGrep\AstroGrep.exe" /spath="%USERPROFILE%\AppData\Local\Temp\OnboardLogs" /stypes="app*4040*20161011*" /stext=" 23:.+((SYSTEM_STATE.+slice.+state.+changed )|(ment ac)|(system.+state.+changed )|(\[timeout)|(PRM\|1\|D)|(kpr)|(kdp)|(\|lc)|(penalty))" /e /r /s</v>
      </c>
      <c r="AG115" s="1" t="str">
        <f t="shared" si="41"/>
        <v>EC</v>
      </c>
      <c r="AH115" s="95" t="str">
        <f t="shared" si="47"/>
        <v>"%USERPROFILE%\Documents\GitHub\eaglep3\Utilities\RefineRTDCRunTimes.py" --tripid 207-11 --locoid 4040 --swversion DE.1.0.7.0 --startMP 204:455 --initTime 2016-10-11T16:54:15 --startdatetime 2016-10-11T17:00:36 --delay 0 --endMP 204:233307 --enddatetime 2016-10-11T17:37:26 --enforcementcount 0 &gt;&gt;C:\Users\stu\Documents\GitHub\eaglep3-reporting\EC\2016-10-11-refined-times.txt</v>
      </c>
      <c r="AI115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{"issue":{"subject":"","project_id":79,"tracker_id":40,"status_id":1,"priority_id":2,"assigned_to_id":23,"start_date":"2016-10-11","description":"","custom_fields":[{"id":1,"name":"Subdivision","value":"EC"},{"id":4,"name":"Milepost","value":"23.3307"},{"id":17,"name":"Train ID","value":"207-11"},{"id":16,"name":"Locomotive ID","value":"4040"},{"id":130,"name":"Impact","value":""},{"id":150,"name":"Time of Event (Mountain Time)","value":"17:37:26"},{"id":151,"name":"Denver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618</v>
      </c>
      <c r="B116" s="7">
        <v>4039</v>
      </c>
      <c r="C116" s="24" t="s">
        <v>106</v>
      </c>
      <c r="D116" s="24" t="s">
        <v>254</v>
      </c>
      <c r="E116" s="15">
        <v>42654.738530092596</v>
      </c>
      <c r="F116" s="15">
        <v>42654.747430555559</v>
      </c>
      <c r="G116" s="7">
        <v>1</v>
      </c>
      <c r="H116" s="15" t="s">
        <v>688</v>
      </c>
      <c r="I116" s="15">
        <v>42654.775370370371</v>
      </c>
      <c r="J116" s="7">
        <v>0</v>
      </c>
      <c r="K116" s="116" t="str">
        <f t="shared" si="32"/>
        <v>4039/4040</v>
      </c>
      <c r="L116" s="24" t="str">
        <f>VLOOKUP(A116,'Trips&amp;Operators'!$C$1:$E$10000,3,FALSE)</f>
        <v>BONDS</v>
      </c>
      <c r="M116" s="6">
        <f t="shared" si="33"/>
        <v>2.7939814812270924E-2</v>
      </c>
      <c r="N116" s="7">
        <f t="shared" si="54"/>
        <v>40.233333329670131</v>
      </c>
      <c r="O116" s="7"/>
      <c r="P116" s="7"/>
      <c r="Q116" s="25"/>
      <c r="R116" s="25"/>
      <c r="S116" s="37">
        <f t="shared" si="55"/>
        <v>1</v>
      </c>
      <c r="T116" s="52" t="str">
        <f t="shared" si="34"/>
        <v>Southbound</v>
      </c>
      <c r="U116" s="15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16:43:29-0600',mode:absolute,to:'2016-10-11 19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6" s="54" t="str">
        <f t="shared" si="36"/>
        <v>N</v>
      </c>
      <c r="X116" s="163">
        <f t="shared" si="56"/>
        <v>1</v>
      </c>
      <c r="Y116" s="69">
        <f t="shared" si="52"/>
        <v>23.298400000000001</v>
      </c>
      <c r="Z116" s="69">
        <f t="shared" si="53"/>
        <v>1.8700000000000001E-2</v>
      </c>
      <c r="AA116" s="69">
        <f t="shared" si="37"/>
        <v>23.279700000000002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8"/>
        <v>0208-11</v>
      </c>
      <c r="AE116" s="94" t="str">
        <f t="shared" si="39"/>
        <v>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 &amp; 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</v>
      </c>
      <c r="AF116" s="91" t="str">
        <f t="shared" si="40"/>
        <v>"C:\Program Files (x86)\AstroGrep\AstroGrep.exe" /spath="%USERPROFILE%\AppData\Local\Temp\OnboardLogs" /stypes="app*4039*20161012*" /stext=" 00:.+((SYSTEM_STATE.+slice.+state.+changed )|(ment ac)|(system.+state.+changed )|(\[timeout)|(PRM\|1\|D)|(kpr)|(kdp)|(\|lc)|(penalty))" /e /r /s</v>
      </c>
      <c r="AG116" s="1" t="str">
        <f t="shared" si="41"/>
        <v>EC</v>
      </c>
      <c r="AH116" s="95" t="str">
        <f t="shared" si="47"/>
        <v>"%USERPROFILE%\Documents\GitHub\eaglep3\Utilities\RefineRTDCRunTimes.py" --tripid 208-11 --locoid 4039 --swversion DE.1.0.7.0 --startMP 204:232984 --initTime 2016-10-11T17:43:29 --startdatetime 2016-10-11T17:56:18 --delay 1 --endMP 204:187 --enddatetime 2016-10-11T18:36:32 --enforcementcount 0 &gt;&gt;C:\Users\stu\Documents\GitHub\eaglep3-reporting\EC\2016-10-11-refined-times.txt</v>
      </c>
      <c r="AI116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{"issue":{"subject":"","project_id":79,"tracker_id":40,"status_id":1,"priority_id":2,"assigned_to_id":23,"start_date":"2016-10-11","description":"","custom_fields":[{"id":1,"name":"Subdivision","value":"EC"},{"id":4,"name":"Milepost","value":"0.0187"},{"id":17,"name":"Train ID","value":"208-11"},{"id":16,"name":"Locomotive ID","value":"4039"},{"id":130,"name":"Impact","value":""},{"id":150,"name":"Time of Event (Mountain Time)","value":"18:36:32"},{"id":151,"name":"Denver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609</v>
      </c>
      <c r="B117" s="7">
        <v>4029</v>
      </c>
      <c r="C117" s="24" t="s">
        <v>106</v>
      </c>
      <c r="D117" s="24" t="s">
        <v>304</v>
      </c>
      <c r="E117" s="15">
        <v>42654.717557870368</v>
      </c>
      <c r="F117" s="15">
        <v>42654.719467592593</v>
      </c>
      <c r="G117" s="7">
        <v>1</v>
      </c>
      <c r="H117" s="15" t="s">
        <v>686</v>
      </c>
      <c r="I117" s="15">
        <v>42654.745486111111</v>
      </c>
      <c r="J117" s="7">
        <v>0</v>
      </c>
      <c r="K117" s="116" t="str">
        <f t="shared" si="32"/>
        <v>4029/4030</v>
      </c>
      <c r="L117" s="24" t="str">
        <f>VLOOKUP(A117,'Trips&amp;Operators'!$C$1:$E$10000,3,FALSE)</f>
        <v>LEVERE</v>
      </c>
      <c r="M117" s="6">
        <f t="shared" si="33"/>
        <v>2.6018518517958E-2</v>
      </c>
      <c r="N117" s="7">
        <f t="shared" si="54"/>
        <v>37.46666666585952</v>
      </c>
      <c r="O117" s="7"/>
      <c r="P117" s="7"/>
      <c r="Q117" s="25"/>
      <c r="R117" s="25"/>
      <c r="S117" s="37">
        <f t="shared" si="55"/>
        <v>1</v>
      </c>
      <c r="T117" s="52" t="str">
        <f t="shared" si="34"/>
        <v>NorthBound</v>
      </c>
      <c r="U117" s="15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16:13:17-0600',mode:absolute,to:'2016-10-11 18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7" s="54" t="str">
        <f t="shared" si="36"/>
        <v>N</v>
      </c>
      <c r="X117" s="163">
        <f t="shared" si="56"/>
        <v>1</v>
      </c>
      <c r="Y117" s="69">
        <f t="shared" si="52"/>
        <v>4.7300000000000002E-2</v>
      </c>
      <c r="Z117" s="69">
        <f t="shared" si="53"/>
        <v>23.330400000000001</v>
      </c>
      <c r="AA117" s="69">
        <f t="shared" si="37"/>
        <v>23.283100000000001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8"/>
        <v>0209-11</v>
      </c>
      <c r="AE117" s="94" t="str">
        <f t="shared" si="39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117" s="91" t="str">
        <f t="shared" si="40"/>
        <v>"C:\Program Files (x86)\AstroGrep\AstroGrep.exe" /spath="%USERPROFILE%\AppData\Local\Temp\OnboardLogs" /stypes="app*4029*20161011*" /stext=" 23:.+((SYSTEM_STATE.+slice.+state.+changed )|(ment ac)|(system.+state.+changed )|(\[timeout)|(PRM\|1\|D)|(kpr)|(kdp)|(\|lc)|(penalty))" /e /r /s</v>
      </c>
      <c r="AG117" s="1" t="str">
        <f t="shared" si="41"/>
        <v>EC</v>
      </c>
      <c r="AH117" s="95" t="str">
        <f t="shared" si="47"/>
        <v>"%USERPROFILE%\Documents\GitHub\eaglep3\Utilities\RefineRTDCRunTimes.py" --tripid 209-11 --locoid 4029 --swversion DE.1.0.7.0 --startMP 204:473 --initTime 2016-10-11T17:13:17 --startdatetime 2016-10-11T17:16:02 --delay 1 --endMP 204:233304 --enddatetime 2016-10-11T17:53:30 --enforcementcount 0 &gt;&gt;C:\Users\stu\Documents\GitHub\eaglep3-reporting\EC\2016-10-11-refined-times.txt</v>
      </c>
      <c r="AI117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{"issue":{"subject":"","project_id":79,"tracker_id":40,"status_id":1,"priority_id":2,"assigned_to_id":23,"start_date":"2016-10-11","description":"","custom_fields":[{"id":1,"name":"Subdivision","value":"EC"},{"id":4,"name":"Milepost","value":"23.3304"},{"id":17,"name":"Train ID","value":"209-11"},{"id":16,"name":"Locomotive ID","value":"4029"},{"id":130,"name":"Impact","value":""},{"id":150,"name":"Time of Event (Mountain Time)","value":"17:53:30"},{"id":151,"name":"Denver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621</v>
      </c>
      <c r="B118" s="7">
        <v>4030</v>
      </c>
      <c r="C118" s="24" t="s">
        <v>106</v>
      </c>
      <c r="D118" s="24" t="s">
        <v>306</v>
      </c>
      <c r="E118" s="15">
        <v>42654.751736111109</v>
      </c>
      <c r="F118" s="15">
        <v>42654.7578125</v>
      </c>
      <c r="G118" s="7">
        <v>1</v>
      </c>
      <c r="H118" s="15" t="s">
        <v>185</v>
      </c>
      <c r="I118" s="15">
        <v>42654.785787037035</v>
      </c>
      <c r="J118" s="7">
        <v>0</v>
      </c>
      <c r="K118" s="116" t="str">
        <f t="shared" si="32"/>
        <v>4029/4030</v>
      </c>
      <c r="L118" s="24" t="str">
        <f>VLOOKUP(A118,'Trips&amp;Operators'!$C$1:$E$10000,3,FALSE)</f>
        <v>LEVERE</v>
      </c>
      <c r="M118" s="6">
        <f t="shared" si="33"/>
        <v>2.7974537035333924E-2</v>
      </c>
      <c r="N118" s="7">
        <f t="shared" si="54"/>
        <v>40.283333330880851</v>
      </c>
      <c r="O118" s="7"/>
      <c r="P118" s="7"/>
      <c r="Q118" s="25"/>
      <c r="R118" s="25"/>
      <c r="S118" s="37">
        <f t="shared" si="55"/>
        <v>1</v>
      </c>
      <c r="T118" s="52" t="str">
        <f t="shared" si="34"/>
        <v>Southbound</v>
      </c>
      <c r="U118" s="15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17:02:30-0600',mode:absolute,to:'2016-10-11 19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8" s="54" t="str">
        <f t="shared" si="36"/>
        <v>N</v>
      </c>
      <c r="X118" s="163">
        <f t="shared" si="56"/>
        <v>1</v>
      </c>
      <c r="Y118" s="69">
        <f t="shared" ref="Y118:Y151" si="57">RIGHT(D118,LEN(D118)-4)/10000</f>
        <v>23.298300000000001</v>
      </c>
      <c r="Z118" s="69">
        <f t="shared" ref="Z118:Z150" si="58">RIGHT(H118,LEN(H118)-4)/10000</f>
        <v>1.6E-2</v>
      </c>
      <c r="AA118" s="69">
        <f t="shared" si="37"/>
        <v>23.282300000000003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8"/>
        <v>0210-11</v>
      </c>
      <c r="AE118" s="94" t="str">
        <f t="shared" si="39"/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AF118" s="91" t="str">
        <f t="shared" si="40"/>
        <v>"C:\Program Files (x86)\AstroGrep\AstroGrep.exe" /spath="%USERPROFILE%\AppData\Local\Temp\OnboardLogs" /stypes="app*4030*20161012*" /stext=" 00:.+((SYSTEM_STATE.+slice.+state.+changed )|(ment ac)|(system.+state.+changed )|(\[timeout)|(PRM\|1\|D)|(kpr)|(kdp)|(\|lc)|(penalty))" /e /r /s</v>
      </c>
      <c r="AG118" s="1" t="str">
        <f t="shared" si="41"/>
        <v>EC</v>
      </c>
      <c r="AH118" s="95" t="str">
        <f t="shared" si="47"/>
        <v>"%USERPROFILE%\Documents\GitHub\eaglep3\Utilities\RefineRTDCRunTimes.py" --tripid 210-11 --locoid 4030 --swversion DE.1.0.7.0 --startMP 204:232983 --initTime 2016-10-11T18:02:30 --startdatetime 2016-10-11T18:11:15 --delay 1 --endMP 204:160 --enddatetime 2016-10-11T18:51:32 --enforcementcount 0 &gt;&gt;C:\Users\stu\Documents\GitHub\eaglep3-reporting\EC\2016-10-11-refined-times.txt</v>
      </c>
      <c r="AI118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{"issue":{"subject":"","project_id":79,"tracker_id":40,"status_id":1,"priority_id":2,"assigned_to_id":23,"start_date":"2016-10-11","description":"","custom_fields":[{"id":1,"name":"Subdivision","value":"EC"},{"id":4,"name":"Milepost","value":"0.016"},{"id":17,"name":"Train ID","value":"210-11"},{"id":16,"name":"Locomotive ID","value":"4030"},{"id":130,"name":"Impact","value":""},{"id":150,"name":"Time of Event (Mountain Time)","value":"18:51:32"},{"id":151,"name":"Denver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614</v>
      </c>
      <c r="B119" s="7">
        <v>4031</v>
      </c>
      <c r="C119" s="24" t="s">
        <v>106</v>
      </c>
      <c r="D119" s="24" t="s">
        <v>247</v>
      </c>
      <c r="E119" s="15">
        <v>42654.727222222224</v>
      </c>
      <c r="F119" s="15">
        <v>42654.72991898148</v>
      </c>
      <c r="G119" s="7">
        <v>1</v>
      </c>
      <c r="H119" s="15" t="s">
        <v>689</v>
      </c>
      <c r="I119" s="15">
        <v>42654.755613425928</v>
      </c>
      <c r="J119" s="7">
        <v>0</v>
      </c>
      <c r="K119" s="116" t="str">
        <f t="shared" si="32"/>
        <v>4031/4032</v>
      </c>
      <c r="L119" s="24" t="str">
        <f>VLOOKUP(A119,'Trips&amp;Operators'!$C$1:$E$10000,3,FALSE)</f>
        <v>CRAYTON</v>
      </c>
      <c r="M119" s="6">
        <f t="shared" si="33"/>
        <v>2.5694444448163267E-2</v>
      </c>
      <c r="N119" s="7">
        <f t="shared" si="54"/>
        <v>37.000000005355105</v>
      </c>
      <c r="O119" s="7"/>
      <c r="P119" s="7"/>
      <c r="Q119" s="25"/>
      <c r="R119" s="25"/>
      <c r="S119" s="37">
        <f t="shared" si="55"/>
        <v>1</v>
      </c>
      <c r="T119" s="52" t="str">
        <f t="shared" si="34"/>
        <v>NorthBound</v>
      </c>
      <c r="U119" s="15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16:27:12-0600',mode:absolute,to:'2016-10-11 19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4" t="str">
        <f t="shared" si="36"/>
        <v>N</v>
      </c>
      <c r="X119" s="163">
        <f t="shared" si="56"/>
        <v>1</v>
      </c>
      <c r="Y119" s="69">
        <f t="shared" si="57"/>
        <v>4.7500000000000001E-2</v>
      </c>
      <c r="Z119" s="69">
        <f t="shared" si="58"/>
        <v>23.330100000000002</v>
      </c>
      <c r="AA119" s="69">
        <f t="shared" si="37"/>
        <v>23.282600000000002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8"/>
        <v>0211-11</v>
      </c>
      <c r="AE119" s="94" t="str">
        <f t="shared" si="39"/>
        <v>aws s3 cp s3://rtdc.mdm.uploadarchive.raw/RTDC4031/ "%USERPROFILE%\AppData\Local\Temp\OnboardLogs"\RTDC4031\2016-10-11 --exclude "*" --recursive --include "*20161011*" &amp; "%USERPROFILE%\Documents\GitHub\mrs-test-scripts\Headless Mode &amp; Sideloading\WalkAndUnGZ.bat" "%USERPROFILE%\AppData\Local\Temp\OnboardLogs"\RTDC4031\2016-10-11 &amp; 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</v>
      </c>
      <c r="AF119" s="91" t="str">
        <f t="shared" si="40"/>
        <v>"C:\Program Files (x86)\AstroGrep\AstroGrep.exe" /spath="%USERPROFILE%\AppData\Local\Temp\OnboardLogs" /stypes="app*4031*20161012*" /stext=" 00:.+((SYSTEM_STATE.+slice.+state.+changed )|(ment ac)|(system.+state.+changed )|(\[timeout)|(PRM\|1\|D)|(kpr)|(kdp)|(\|lc)|(penalty))" /e /r /s</v>
      </c>
      <c r="AG119" s="1" t="str">
        <f t="shared" si="41"/>
        <v>EC</v>
      </c>
      <c r="AH119" s="95" t="str">
        <f t="shared" si="47"/>
        <v>"%USERPROFILE%\Documents\GitHub\eaglep3\Utilities\RefineRTDCRunTimes.py" --tripid 211-11 --locoid 4031 --swversion DE.1.0.7.0 --startMP 204:475 --initTime 2016-10-11T17:27:12 --startdatetime 2016-10-11T17:31:05 --delay 1 --endMP 204:233301 --enddatetime 2016-10-11T18:08:05 --enforcementcount 0 &gt;&gt;C:\Users\stu\Documents\GitHub\eaglep3-reporting\EC\2016-10-11-refined-times.txt</v>
      </c>
      <c r="AI119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{"issue":{"subject":"","project_id":79,"tracker_id":40,"status_id":1,"priority_id":2,"assigned_to_id":23,"start_date":"2016-10-11","description":"","custom_fields":[{"id":1,"name":"Subdivision","value":"EC"},{"id":4,"name":"Milepost","value":"23.3301"},{"id":17,"name":"Train ID","value":"211-11"},{"id":16,"name":"Locomotive ID","value":"4031"},{"id":130,"name":"Impact","value":""},{"id":150,"name":"Time of Event (Mountain Time)","value":"18:08:05"},{"id":151,"name":"Denver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624</v>
      </c>
      <c r="B120" s="7">
        <v>4032</v>
      </c>
      <c r="C120" s="24" t="s">
        <v>106</v>
      </c>
      <c r="D120" s="24" t="s">
        <v>690</v>
      </c>
      <c r="E120" s="15">
        <v>42654.758726851855</v>
      </c>
      <c r="F120" s="15">
        <v>42654.768263888887</v>
      </c>
      <c r="G120" s="7">
        <v>2</v>
      </c>
      <c r="H120" s="15" t="s">
        <v>200</v>
      </c>
      <c r="I120" s="15">
        <v>42654.795497685183</v>
      </c>
      <c r="J120" s="7">
        <v>0</v>
      </c>
      <c r="K120" s="116" t="str">
        <f t="shared" si="32"/>
        <v>4031/4032</v>
      </c>
      <c r="L120" s="24" t="str">
        <f>VLOOKUP(A120,'Trips&amp;Operators'!$C$1:$E$10000,3,FALSE)</f>
        <v>CRAYTON</v>
      </c>
      <c r="M120" s="6">
        <f t="shared" si="33"/>
        <v>2.7233796296059154E-2</v>
      </c>
      <c r="N120" s="7">
        <f t="shared" si="54"/>
        <v>39.216666666325182</v>
      </c>
      <c r="O120" s="7"/>
      <c r="P120" s="7"/>
      <c r="Q120" s="25"/>
      <c r="R120" s="25"/>
      <c r="S120" s="37">
        <f t="shared" si="55"/>
        <v>1</v>
      </c>
      <c r="T120" s="52" t="str">
        <f t="shared" si="34"/>
        <v>Southbound</v>
      </c>
      <c r="U120" s="15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17:12:34-0600',mode:absolute,to:'2016-10-11 20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4" t="str">
        <f t="shared" si="36"/>
        <v>N</v>
      </c>
      <c r="X120" s="163">
        <f t="shared" si="56"/>
        <v>1</v>
      </c>
      <c r="Y120" s="69">
        <f t="shared" si="57"/>
        <v>23.2986</v>
      </c>
      <c r="Z120" s="69">
        <f t="shared" si="58"/>
        <v>1.5599999999999999E-2</v>
      </c>
      <c r="AA120" s="69">
        <f t="shared" si="37"/>
        <v>23.283000000000001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8"/>
        <v>0212-11</v>
      </c>
      <c r="AE120" s="94" t="str">
        <f t="shared" si="39"/>
        <v>aws s3 cp s3://rtdc.mdm.uploadarchive.raw/RTDC4032/ "%USERPROFILE%\AppData\Local\Temp\OnboardLogs"\RTDC4032\2016-10-11 --exclude "*" --recursive --include "*20161011*" &amp; "%USERPROFILE%\Documents\GitHub\mrs-test-scripts\Headless Mode &amp; Sideloading\WalkAndUnGZ.bat" "%USERPROFILE%\AppData\Local\Temp\OnboardLogs"\RTDC4032\2016-10-11 &amp; 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</v>
      </c>
      <c r="AF120" s="91" t="str">
        <f t="shared" si="40"/>
        <v>"C:\Program Files (x86)\AstroGrep\AstroGrep.exe" /spath="%USERPROFILE%\AppData\Local\Temp\OnboardLogs" /stypes="app*4032*20161012*" /stext=" 01:.+((SYSTEM_STATE.+slice.+state.+changed )|(ment ac)|(system.+state.+changed )|(\[timeout)|(PRM\|1\|D)|(kpr)|(kdp)|(\|lc)|(penalty))" /e /r /s</v>
      </c>
      <c r="AG120" s="1" t="str">
        <f t="shared" si="41"/>
        <v>EC</v>
      </c>
      <c r="AH120" s="95" t="str">
        <f t="shared" si="47"/>
        <v>"%USERPROFILE%\Documents\GitHub\eaglep3\Utilities\RefineRTDCRunTimes.py" --tripid 212-11 --locoid 4032 --swversion DE.1.0.7.0 --startMP 204:232986 --initTime 2016-10-11T18:12:34 --startdatetime 2016-10-11T18:26:18 --delay 2 --endMP 204:156 --enddatetime 2016-10-11T19:05:31 --enforcementcount 0 &gt;&gt;C:\Users\stu\Documents\GitHub\eaglep3-reporting\EC\2016-10-11-refined-times.txt</v>
      </c>
      <c r="AI120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{"issue":{"subject":"","project_id":79,"tracker_id":40,"status_id":1,"priority_id":2,"assigned_to_id":23,"start_date":"2016-10-11","description":"","custom_fields":[{"id":1,"name":"Subdivision","value":"EC"},{"id":4,"name":"Milepost","value":"0.0156"},{"id":17,"name":"Train ID","value":"212-11"},{"id":16,"name":"Locomotive ID","value":"4032"},{"id":130,"name":"Impact","value":""},{"id":150,"name":"Time of Event (Mountain Time)","value":"19:05:31"},{"id":151,"name":"Denver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616</v>
      </c>
      <c r="B121" s="7">
        <v>4053</v>
      </c>
      <c r="C121" s="24" t="s">
        <v>106</v>
      </c>
      <c r="D121" s="24" t="s">
        <v>197</v>
      </c>
      <c r="E121" s="15">
        <v>42654.735555555555</v>
      </c>
      <c r="F121" s="15">
        <v>42654.739861111113</v>
      </c>
      <c r="G121" s="7">
        <v>1</v>
      </c>
      <c r="H121" s="15" t="s">
        <v>691</v>
      </c>
      <c r="I121" s="15">
        <v>42654.764282407406</v>
      </c>
      <c r="J121" s="7">
        <v>0</v>
      </c>
      <c r="K121" s="116" t="str">
        <f t="shared" si="32"/>
        <v>4053/4054</v>
      </c>
      <c r="L121" s="24" t="str">
        <f>VLOOKUP(A121,'Trips&amp;Operators'!$C$1:$E$10000,3,FALSE)</f>
        <v>COOLAHAN</v>
      </c>
      <c r="M121" s="6">
        <f t="shared" si="33"/>
        <v>2.4421296293439809E-2</v>
      </c>
      <c r="N121" s="7">
        <f t="shared" si="54"/>
        <v>35.166666662553325</v>
      </c>
      <c r="O121" s="7"/>
      <c r="P121" s="7"/>
      <c r="Q121" s="25"/>
      <c r="R121" s="25"/>
      <c r="S121" s="37">
        <f t="shared" si="55"/>
        <v>1</v>
      </c>
      <c r="T121" s="52" t="str">
        <f t="shared" si="34"/>
        <v>NorthBound</v>
      </c>
      <c r="U121" s="15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16:39:12-0600',mode:absolute,to:'2016-10-11 19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1" s="54" t="str">
        <f t="shared" si="36"/>
        <v>N</v>
      </c>
      <c r="X121" s="163">
        <f t="shared" si="56"/>
        <v>1</v>
      </c>
      <c r="Y121" s="69">
        <f t="shared" si="57"/>
        <v>4.6199999999999998E-2</v>
      </c>
      <c r="Z121" s="69">
        <f t="shared" si="58"/>
        <v>23.3264</v>
      </c>
      <c r="AA121" s="69">
        <f t="shared" si="37"/>
        <v>23.280200000000001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8"/>
        <v>0213-11</v>
      </c>
      <c r="AE121" s="94" t="str">
        <f t="shared" si="39"/>
        <v>aws s3 cp s3://rtdc.mdm.uploadarchive.raw/RTDC4053/ "%USERPROFILE%\AppData\Local\Temp\OnboardLogs"\RTDC4053\2016-10-11 --exclude "*" --recursive --include "*20161011*" &amp; "%USERPROFILE%\Documents\GitHub\mrs-test-scripts\Headless Mode &amp; Sideloading\WalkAndUnGZ.bat" "%USERPROFILE%\AppData\Local\Temp\OnboardLogs"\RTDC4053\2016-10-11 &amp; 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</v>
      </c>
      <c r="AF121" s="91" t="str">
        <f t="shared" si="40"/>
        <v>"C:\Program Files (x86)\AstroGrep\AstroGrep.exe" /spath="%USERPROFILE%\AppData\Local\Temp\OnboardLogs" /stypes="app*4053*20161012*" /stext=" 00:.+((SYSTEM_STATE.+slice.+state.+changed )|(ment ac)|(system.+state.+changed )|(\[timeout)|(PRM\|1\|D)|(kpr)|(kdp)|(\|lc)|(penalty))" /e /r /s</v>
      </c>
      <c r="AG121" s="1" t="str">
        <f t="shared" si="41"/>
        <v>EC</v>
      </c>
      <c r="AH121" s="95" t="str">
        <f t="shared" si="47"/>
        <v>"%USERPROFILE%\Documents\GitHub\eaglep3\Utilities\RefineRTDCRunTimes.py" --tripid 213-11 --locoid 4053 --swversion DE.1.0.7.0 --startMP 204:462 --initTime 2016-10-11T17:39:12 --startdatetime 2016-10-11T17:45:24 --delay 1 --endMP 204:233264 --enddatetime 2016-10-11T18:20:34 --enforcementcount 0 &gt;&gt;C:\Users\stu\Documents\GitHub\eaglep3-reporting\EC\2016-10-11-refined-times.txt</v>
      </c>
      <c r="AI121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{"issue":{"subject":"","project_id":79,"tracker_id":40,"status_id":1,"priority_id":2,"assigned_to_id":23,"start_date":"2016-10-11","description":"","custom_fields":[{"id":1,"name":"Subdivision","value":"EC"},{"id":4,"name":"Milepost","value":"23.3264"},{"id":17,"name":"Train ID","value":"213-11"},{"id":16,"name":"Locomotive ID","value":"4053"},{"id":130,"name":"Impact","value":""},{"id":150,"name":"Time of Event (Mountain Time)","value":"18:20:34"},{"id":151,"name":"Denver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627</v>
      </c>
      <c r="B122" s="7">
        <v>4054</v>
      </c>
      <c r="C122" s="24" t="s">
        <v>106</v>
      </c>
      <c r="D122" s="24" t="s">
        <v>355</v>
      </c>
      <c r="E122" s="15">
        <v>42654.77244212963</v>
      </c>
      <c r="F122" s="15">
        <v>42654.774409722224</v>
      </c>
      <c r="G122" s="7">
        <v>2</v>
      </c>
      <c r="H122" s="15" t="s">
        <v>355</v>
      </c>
      <c r="I122" s="15">
        <v>42654.77443287037</v>
      </c>
      <c r="J122" s="7">
        <v>0</v>
      </c>
      <c r="K122" s="116" t="str">
        <f t="shared" si="32"/>
        <v>4053/4054</v>
      </c>
      <c r="L122" s="24" t="str">
        <f>VLOOKUP(A122,'Trips&amp;Operators'!$C$1:$E$10000,3,FALSE)</f>
        <v>COOLAHAN</v>
      </c>
      <c r="M122" s="6">
        <f t="shared" si="33"/>
        <v>2.314814628334716E-5</v>
      </c>
      <c r="N122" s="7"/>
      <c r="O122" s="7"/>
      <c r="P122" s="7">
        <v>1</v>
      </c>
      <c r="Q122" s="25"/>
      <c r="R122" s="25" t="s">
        <v>314</v>
      </c>
      <c r="S122" s="37">
        <f t="shared" si="55"/>
        <v>0</v>
      </c>
      <c r="T122" s="52" t="str">
        <f t="shared" si="34"/>
        <v>Southbound</v>
      </c>
      <c r="U122" s="15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0</v>
      </c>
      <c r="V122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17:32:19-0600',mode:absolute,to:'2016-10-11 19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2" s="54" t="str">
        <f t="shared" si="36"/>
        <v>Y</v>
      </c>
      <c r="X122" s="163">
        <f t="shared" si="56"/>
        <v>1</v>
      </c>
      <c r="Y122" s="69">
        <f t="shared" si="57"/>
        <v>23.301500000000001</v>
      </c>
      <c r="Z122" s="69">
        <f t="shared" si="58"/>
        <v>23.301500000000001</v>
      </c>
      <c r="AA122" s="69">
        <f t="shared" si="37"/>
        <v>0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8"/>
        <v>0214-11</v>
      </c>
      <c r="AE122" s="94" t="str">
        <f t="shared" si="39"/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AF122" s="91" t="str">
        <f t="shared" si="40"/>
        <v>"C:\Program Files (x86)\AstroGrep\AstroGrep.exe" /spath="%USERPROFILE%\AppData\Local\Temp\OnboardLogs" /stypes="app*4054*20161012*" /stext=" 00:.+((SYSTEM_STATE.+slice.+state.+changed )|(ment ac)|(system.+state.+changed )|(\[timeout)|(PRM\|1\|D)|(kpr)|(kdp)|(\|lc)|(penalty))" /e /r /s</v>
      </c>
      <c r="AG122" s="1" t="str">
        <f t="shared" si="41"/>
        <v>EC</v>
      </c>
      <c r="AH122" s="95" t="str">
        <f t="shared" si="47"/>
        <v>"%USERPROFILE%\Documents\GitHub\eaglep3\Utilities\RefineRTDCRunTimes.py" --tripid 214-11 --locoid 4054 --swversion DE.1.0.7.0 --startMP 204:233015 --initTime 2016-10-11T18:32:19 --startdatetime 2016-10-11T18:35:09 --delay 2 --endMP 204:233015 --enddatetime 2016-10-11T18:35:11 --enforcementcount 0 &gt;&gt;C:\Users\stu\Documents\GitHub\eaglep3-reporting\EC\2016-10-11-refined-times.txt</v>
      </c>
      <c r="AI122" s="129" t="str">
        <f t="shared" si="48"/>
        <v>echo {"issue":{"subject":"Onboard in-route failure","project_id":79,"tracker_id":40,"status_id":1,"priority_id":2,"assigned_to_id":23,"start_date":"2016-10-11","description":"2016-10-11 18:35:22 multiple cpu faults","custom_fields":[{"id":1,"name":"Subdivision","value":"EC"},{"id":4,"name":"Milepost","value":"23.3015"},{"id":17,"name":"Train ID","value":"214-11"},{"id":16,"name":"Locomotive ID","value":"4054"},{"id":130,"name":"Impact","value":"Failed State"},{"id":150,"name":"Time of Event (Mountain Time)","value":"18:35:11"},{"id":151,"name":"Denver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22" s="55" t="s">
        <v>779</v>
      </c>
      <c r="AK122" s="55" t="s">
        <v>137</v>
      </c>
      <c r="AL122" s="55" t="s">
        <v>198</v>
      </c>
    </row>
    <row r="123" spans="1:38" s="23" customFormat="1" x14ac:dyDescent="0.25">
      <c r="A123" s="39" t="s">
        <v>620</v>
      </c>
      <c r="B123" s="7">
        <v>4007</v>
      </c>
      <c r="C123" s="24" t="s">
        <v>106</v>
      </c>
      <c r="D123" s="24" t="s">
        <v>692</v>
      </c>
      <c r="E123" s="15">
        <v>42654.746145833335</v>
      </c>
      <c r="F123" s="15">
        <v>42654.750555555554</v>
      </c>
      <c r="G123" s="7">
        <v>1</v>
      </c>
      <c r="H123" s="15" t="s">
        <v>693</v>
      </c>
      <c r="I123" s="15">
        <v>42654.775682870371</v>
      </c>
      <c r="J123" s="7">
        <v>0</v>
      </c>
      <c r="K123" s="116" t="str">
        <f t="shared" si="32"/>
        <v>4007/4008</v>
      </c>
      <c r="L123" s="24" t="str">
        <f>VLOOKUP(A123,'Trips&amp;Operators'!$C$1:$E$10000,3,FALSE)</f>
        <v>STORY</v>
      </c>
      <c r="M123" s="6">
        <f t="shared" si="33"/>
        <v>2.5127314816927537E-2</v>
      </c>
      <c r="N123" s="7">
        <f t="shared" ref="N123:N150" si="59">24*60*SUM($M123:$M123)</f>
        <v>36.183333336375654</v>
      </c>
      <c r="O123" s="7"/>
      <c r="P123" s="7"/>
      <c r="Q123" s="25"/>
      <c r="R123" s="25"/>
      <c r="S123" s="37">
        <f t="shared" si="55"/>
        <v>1</v>
      </c>
      <c r="T123" s="52" t="str">
        <f t="shared" si="34"/>
        <v>NorthBound</v>
      </c>
      <c r="U123" s="15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16:54:27-0600',mode:absolute,to:'2016-10-11 19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3" s="54" t="str">
        <f t="shared" si="36"/>
        <v>N</v>
      </c>
      <c r="X123" s="163">
        <f t="shared" si="56"/>
        <v>1</v>
      </c>
      <c r="Y123" s="69">
        <f t="shared" si="57"/>
        <v>4.4600000000000001E-2</v>
      </c>
      <c r="Z123" s="69">
        <f t="shared" si="58"/>
        <v>23.331600000000002</v>
      </c>
      <c r="AA123" s="69">
        <f t="shared" si="37"/>
        <v>23.287000000000003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8"/>
        <v>0215-11</v>
      </c>
      <c r="AE123" s="94" t="str">
        <f t="shared" si="39"/>
        <v>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 &amp; 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</v>
      </c>
      <c r="AF123" s="91" t="str">
        <f t="shared" si="40"/>
        <v>"C:\Program Files (x86)\AstroGrep\AstroGrep.exe" /spath="%USERPROFILE%\AppData\Local\Temp\OnboardLogs" /stypes="app*4007*20161012*" /stext=" 00:.+((SYSTEM_STATE.+slice.+state.+changed )|(ment ac)|(system.+state.+changed )|(\[timeout)|(PRM\|1\|D)|(kpr)|(kdp)|(\|lc)|(penalty))" /e /r /s</v>
      </c>
      <c r="AG123" s="1" t="str">
        <f t="shared" si="41"/>
        <v>EC</v>
      </c>
      <c r="AH123" s="95" t="str">
        <f t="shared" si="47"/>
        <v>"%USERPROFILE%\Documents\GitHub\eaglep3\Utilities\RefineRTDCRunTimes.py" --tripid 215-11 --locoid 4007 --swversion DE.1.0.7.0 --startMP 204:446 --initTime 2016-10-11T17:54:27 --startdatetime 2016-10-11T18:00:48 --delay 1 --endMP 204:233316 --enddatetime 2016-10-11T18:36:59 --enforcementcount 0 &gt;&gt;C:\Users\stu\Documents\GitHub\eaglep3-reporting\EC\2016-10-11-refined-times.txt</v>
      </c>
      <c r="AI123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{"issue":{"subject":"","project_id":79,"tracker_id":40,"status_id":1,"priority_id":2,"assigned_to_id":23,"start_date":"2016-10-11","description":"","custom_fields":[{"id":1,"name":"Subdivision","value":"EC"},{"id":4,"name":"Milepost","value":"23.3316"},{"id":17,"name":"Train ID","value":"215-11"},{"id":16,"name":"Locomotive ID","value":"4007"},{"id":130,"name":"Impact","value":""},{"id":150,"name":"Time of Event (Mountain Time)","value":"18:36:59"},{"id":151,"name":"Denver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631</v>
      </c>
      <c r="B124" s="7">
        <v>4008</v>
      </c>
      <c r="C124" s="24" t="s">
        <v>106</v>
      </c>
      <c r="D124" s="24" t="s">
        <v>225</v>
      </c>
      <c r="E124" s="15">
        <v>42654.779976851853</v>
      </c>
      <c r="F124" s="15">
        <v>42654.789247685185</v>
      </c>
      <c r="G124" s="7">
        <v>1</v>
      </c>
      <c r="H124" s="15" t="s">
        <v>694</v>
      </c>
      <c r="I124" s="15">
        <v>42654.816134259258</v>
      </c>
      <c r="J124" s="7">
        <v>0</v>
      </c>
      <c r="K124" s="116" t="str">
        <f t="shared" si="32"/>
        <v>4007/4008</v>
      </c>
      <c r="L124" s="24" t="str">
        <f>VLOOKUP(A124,'Trips&amp;Operators'!$C$1:$E$10000,3,FALSE)</f>
        <v>STORY</v>
      </c>
      <c r="M124" s="6">
        <f t="shared" si="33"/>
        <v>2.6886574072705116E-2</v>
      </c>
      <c r="N124" s="7">
        <f t="shared" si="59"/>
        <v>38.716666664695367</v>
      </c>
      <c r="O124" s="7"/>
      <c r="P124" s="7"/>
      <c r="Q124" s="25"/>
      <c r="R124" s="25"/>
      <c r="S124" s="37">
        <f t="shared" si="55"/>
        <v>1</v>
      </c>
      <c r="T124" s="52" t="str">
        <f t="shared" si="34"/>
        <v>Southbound</v>
      </c>
      <c r="U124" s="15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17:43:10-0600',mode:absolute,to:'2016-10-11 20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4" s="54" t="str">
        <f t="shared" si="36"/>
        <v>N</v>
      </c>
      <c r="X124" s="163">
        <f t="shared" si="56"/>
        <v>1</v>
      </c>
      <c r="Y124" s="69">
        <f t="shared" si="57"/>
        <v>23.299800000000001</v>
      </c>
      <c r="Z124" s="69">
        <f t="shared" si="58"/>
        <v>1.9599999999999999E-2</v>
      </c>
      <c r="AA124" s="69">
        <f t="shared" si="37"/>
        <v>23.280200000000001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8"/>
        <v>0216-11</v>
      </c>
      <c r="AE124" s="94" t="str">
        <f t="shared" si="39"/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AF124" s="91" t="str">
        <f t="shared" si="40"/>
        <v>"C:\Program Files (x86)\AstroGrep\AstroGrep.exe" /spath="%USERPROFILE%\AppData\Local\Temp\OnboardLogs" /stypes="app*4008*20161012*" /stext=" 01:.+((SYSTEM_STATE.+slice.+state.+changed )|(ment ac)|(system.+state.+changed )|(\[timeout)|(PRM\|1\|D)|(kpr)|(kdp)|(\|lc)|(penalty))" /e /r /s</v>
      </c>
      <c r="AG124" s="1" t="str">
        <f t="shared" si="41"/>
        <v>EC</v>
      </c>
      <c r="AH124" s="95" t="str">
        <f t="shared" si="47"/>
        <v>"%USERPROFILE%\Documents\GitHub\eaglep3\Utilities\RefineRTDCRunTimes.py" --tripid 216-11 --locoid 4008 --swversion DE.1.0.7.0 --startMP 204:232998 --initTime 2016-10-11T18:43:10 --startdatetime 2016-10-11T18:56:31 --delay 1 --endMP 204:196 --enddatetime 2016-10-11T19:35:14 --enforcementcount 0 &gt;&gt;C:\Users\stu\Documents\GitHub\eaglep3-reporting\EC\2016-10-11-refined-times.txt</v>
      </c>
      <c r="AI124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{"issue":{"subject":"","project_id":79,"tracker_id":40,"status_id":1,"priority_id":2,"assigned_to_id":23,"start_date":"2016-10-11","description":"","custom_fields":[{"id":1,"name":"Subdivision","value":"EC"},{"id":4,"name":"Milepost","value":"0.0196"},{"id":17,"name":"Train ID","value":"216-11"},{"id":16,"name":"Locomotive ID","value":"4008"},{"id":130,"name":"Impact","value":""},{"id":150,"name":"Time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623</v>
      </c>
      <c r="B125" s="7">
        <v>4003</v>
      </c>
      <c r="C125" s="24" t="s">
        <v>106</v>
      </c>
      <c r="D125" s="24" t="s">
        <v>285</v>
      </c>
      <c r="E125" s="15">
        <v>42654.757280092592</v>
      </c>
      <c r="F125" s="15">
        <v>42654.760763888888</v>
      </c>
      <c r="G125" s="7">
        <v>2</v>
      </c>
      <c r="H125" s="15" t="s">
        <v>226</v>
      </c>
      <c r="I125" s="15">
        <v>42654.786365740743</v>
      </c>
      <c r="J125" s="7">
        <v>0</v>
      </c>
      <c r="K125" s="116" t="str">
        <f t="shared" si="32"/>
        <v>4003/4004</v>
      </c>
      <c r="L125" s="24" t="str">
        <f>VLOOKUP(A125,'Trips&amp;Operators'!$C$1:$E$10000,3,FALSE)</f>
        <v>YANAI</v>
      </c>
      <c r="M125" s="6">
        <f t="shared" si="33"/>
        <v>2.5601851855753921E-2</v>
      </c>
      <c r="N125" s="7">
        <f t="shared" si="59"/>
        <v>36.866666672285646</v>
      </c>
      <c r="O125" s="7"/>
      <c r="P125" s="7"/>
      <c r="Q125" s="25"/>
      <c r="R125" s="25"/>
      <c r="S125" s="37">
        <f t="shared" si="55"/>
        <v>1</v>
      </c>
      <c r="T125" s="52" t="str">
        <f t="shared" si="34"/>
        <v>NorthBound</v>
      </c>
      <c r="U125" s="15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17:10:29-0600',mode:absolute,to:'2016-10-11 19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5" s="54" t="str">
        <f t="shared" si="36"/>
        <v>N</v>
      </c>
      <c r="X125" s="163">
        <f t="shared" si="56"/>
        <v>1</v>
      </c>
      <c r="Y125" s="69">
        <f t="shared" si="57"/>
        <v>4.4200000000000003E-2</v>
      </c>
      <c r="Z125" s="69">
        <f t="shared" si="58"/>
        <v>23.329699999999999</v>
      </c>
      <c r="AA125" s="69">
        <f t="shared" si="37"/>
        <v>23.285499999999999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8"/>
        <v>0217-11</v>
      </c>
      <c r="AE125" s="94" t="str">
        <f t="shared" si="39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125" s="91" t="str">
        <f t="shared" si="40"/>
        <v>"C:\Program Files (x86)\AstroGrep\AstroGrep.exe" /spath="%USERPROFILE%\AppData\Local\Temp\OnboardLogs" /stypes="app*4003*20161012*" /stext=" 00:.+((SYSTEM_STATE.+slice.+state.+changed )|(ment ac)|(system.+state.+changed )|(\[timeout)|(PRM\|1\|D)|(kpr)|(kdp)|(\|lc)|(penalty))" /e /r /s</v>
      </c>
      <c r="AG125" s="1" t="str">
        <f t="shared" si="41"/>
        <v>EC</v>
      </c>
      <c r="AH125" s="95" t="str">
        <f t="shared" si="47"/>
        <v>"%USERPROFILE%\Documents\GitHub\eaglep3\Utilities\RefineRTDCRunTimes.py" --tripid 217-11 --locoid 4003 --swversion DE.1.0.7.0 --startMP 204:442 --initTime 2016-10-11T18:10:29 --startdatetime 2016-10-11T18:15:30 --delay 2 --endMP 204:233297 --enddatetime 2016-10-11T18:52:22 --enforcementcount 0 &gt;&gt;C:\Users\stu\Documents\GitHub\eaglep3-reporting\EC\2016-10-11-refined-times.txt</v>
      </c>
      <c r="AI125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{"issue":{"subject":"","project_id":79,"tracker_id":40,"status_id":1,"priority_id":2,"assigned_to_id":23,"start_date":"2016-10-11","description":"","custom_fields":[{"id":1,"name":"Subdivision","value":"EC"},{"id":4,"name":"Milepost","value":"23.3297"},{"id":17,"name":"Train ID","value":"217-11"},{"id":16,"name":"Locomotive ID","value":"4003"},{"id":130,"name":"Impact","value":""},{"id":150,"name":"Time of Event (Mountain Time)","value":"18:52:22"},{"id":151,"name":"Denver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633</v>
      </c>
      <c r="B126" s="7">
        <v>4004</v>
      </c>
      <c r="C126" s="24" t="s">
        <v>106</v>
      </c>
      <c r="D126" s="24" t="s">
        <v>283</v>
      </c>
      <c r="E126" s="15">
        <v>42654.796689814815</v>
      </c>
      <c r="F126" s="15">
        <v>42654.799537037034</v>
      </c>
      <c r="G126" s="7">
        <v>1</v>
      </c>
      <c r="H126" s="15" t="s">
        <v>184</v>
      </c>
      <c r="I126" s="15">
        <v>42654.825925925928</v>
      </c>
      <c r="J126" s="7">
        <v>0</v>
      </c>
      <c r="K126" s="116" t="str">
        <f t="shared" si="32"/>
        <v>4003/4004</v>
      </c>
      <c r="L126" s="24" t="str">
        <f>VLOOKUP(A126,'Trips&amp;Operators'!$C$1:$E$10000,3,FALSE)</f>
        <v>YANAI</v>
      </c>
      <c r="M126" s="6">
        <f t="shared" si="33"/>
        <v>2.6388888894871343E-2</v>
      </c>
      <c r="N126" s="7">
        <f t="shared" si="59"/>
        <v>38.000000008614734</v>
      </c>
      <c r="O126" s="7"/>
      <c r="P126" s="7"/>
      <c r="Q126" s="25"/>
      <c r="R126" s="25"/>
      <c r="S126" s="37">
        <f t="shared" ref="S126:S150" si="60">SUM(U126:U126)/IF(AG126="EC",12,1)</f>
        <v>1</v>
      </c>
      <c r="T126" s="52" t="str">
        <f t="shared" si="34"/>
        <v>Southbound</v>
      </c>
      <c r="U126" s="15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18:07:14-0600',mode:absolute,to:'2016-10-11 20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6" s="54" t="str">
        <f t="shared" si="36"/>
        <v>N</v>
      </c>
      <c r="X126" s="163">
        <f t="shared" si="56"/>
        <v>1</v>
      </c>
      <c r="Y126" s="69">
        <f t="shared" si="57"/>
        <v>23.2987</v>
      </c>
      <c r="Z126" s="69">
        <f t="shared" si="58"/>
        <v>1.49E-2</v>
      </c>
      <c r="AA126" s="69">
        <f t="shared" si="37"/>
        <v>23.283799999999999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8"/>
        <v>0218-11</v>
      </c>
      <c r="AE126" s="94" t="str">
        <f t="shared" si="39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126" s="91" t="str">
        <f t="shared" si="40"/>
        <v>"C:\Program Files (x86)\AstroGrep\AstroGrep.exe" /spath="%USERPROFILE%\AppData\Local\Temp\OnboardLogs" /stypes="app*4004*20161012*" /stext=" 01:.+((SYSTEM_STATE.+slice.+state.+changed )|(ment ac)|(system.+state.+changed )|(\[timeout)|(PRM\|1\|D)|(kpr)|(kdp)|(\|lc)|(penalty))" /e /r /s</v>
      </c>
      <c r="AG126" s="1" t="str">
        <f t="shared" si="41"/>
        <v>EC</v>
      </c>
      <c r="AH126" s="95" t="str">
        <f t="shared" si="47"/>
        <v>"%USERPROFILE%\Documents\GitHub\eaglep3\Utilities\RefineRTDCRunTimes.py" --tripid 218-11 --locoid 4004 --swversion DE.1.0.7.0 --startMP 204:232987 --initTime 2016-10-11T19:07:14 --startdatetime 2016-10-11T19:11:20 --delay 1 --endMP 204:149 --enddatetime 2016-10-11T19:49:20 --enforcementcount 0 &gt;&gt;C:\Users\stu\Documents\GitHub\eaglep3-reporting\EC\2016-10-11-refined-times.txt</v>
      </c>
      <c r="AI126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{"issue":{"subject":"","project_id":79,"tracker_id":40,"status_id":1,"priority_id":2,"assigned_to_id":23,"start_date":"2016-10-11","description":"","custom_fields":[{"id":1,"name":"Subdivision","value":"EC"},{"id":4,"name":"Milepost","value":"0.0149"},{"id":17,"name":"Train ID","value":"218-11"},{"id":16,"name":"Locomotive ID","value":"4004"},{"id":130,"name":"Impact","value":""},{"id":150,"name":"Time of Event (Mountain Time)","value":"19:49:20"},{"id":151,"name":"Denver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626</v>
      </c>
      <c r="B127" s="7">
        <v>4014</v>
      </c>
      <c r="C127" s="24" t="s">
        <v>106</v>
      </c>
      <c r="D127" s="24" t="s">
        <v>227</v>
      </c>
      <c r="E127" s="15">
        <v>42654.769236111111</v>
      </c>
      <c r="F127" s="15">
        <v>42654.771122685182</v>
      </c>
      <c r="G127" s="7">
        <v>1</v>
      </c>
      <c r="H127" s="15" t="s">
        <v>289</v>
      </c>
      <c r="I127" s="15">
        <v>42654.796655092592</v>
      </c>
      <c r="J127" s="7">
        <v>0</v>
      </c>
      <c r="K127" s="116" t="str">
        <f t="shared" si="32"/>
        <v>4013/4014</v>
      </c>
      <c r="L127" s="24" t="str">
        <f>VLOOKUP(A127,'Trips&amp;Operators'!$C$1:$E$10000,3,FALSE)</f>
        <v>CHANDLER</v>
      </c>
      <c r="M127" s="6">
        <f t="shared" si="33"/>
        <v>2.5532407409627922E-2</v>
      </c>
      <c r="N127" s="7">
        <f t="shared" si="59"/>
        <v>36.766666669864208</v>
      </c>
      <c r="O127" s="7"/>
      <c r="P127" s="7"/>
      <c r="Q127" s="25"/>
      <c r="R127" s="25"/>
      <c r="S127" s="37">
        <f t="shared" si="60"/>
        <v>1</v>
      </c>
      <c r="T127" s="52" t="str">
        <f t="shared" si="34"/>
        <v>NorthBound</v>
      </c>
      <c r="U127" s="15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17:27:42-0600',mode:absolute,to:'2016-10-11 20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7" s="54" t="str">
        <f t="shared" si="36"/>
        <v>N</v>
      </c>
      <c r="X127" s="163">
        <f t="shared" si="56"/>
        <v>1</v>
      </c>
      <c r="Y127" s="69">
        <f t="shared" si="57"/>
        <v>4.6899999999999997E-2</v>
      </c>
      <c r="Z127" s="69">
        <f t="shared" si="58"/>
        <v>23.328900000000001</v>
      </c>
      <c r="AA127" s="69">
        <f t="shared" si="37"/>
        <v>23.282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8"/>
        <v>0219-11</v>
      </c>
      <c r="AE127" s="94" t="str">
        <f t="shared" si="39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127" s="91" t="str">
        <f t="shared" si="40"/>
        <v>"C:\Program Files (x86)\AstroGrep\AstroGrep.exe" /spath="%USERPROFILE%\AppData\Local\Temp\OnboardLogs" /stypes="app*4014*20161012*" /stext=" 01:.+((SYSTEM_STATE.+slice.+state.+changed )|(ment ac)|(system.+state.+changed )|(\[timeout)|(PRM\|1\|D)|(kpr)|(kdp)|(\|lc)|(penalty))" /e /r /s</v>
      </c>
      <c r="AG127" s="1" t="str">
        <f t="shared" si="41"/>
        <v>EC</v>
      </c>
      <c r="AH127" s="95" t="str">
        <f t="shared" si="47"/>
        <v>"%USERPROFILE%\Documents\GitHub\eaglep3\Utilities\RefineRTDCRunTimes.py" --tripid 219-11 --locoid 4014 --swversion DE.1.0.7.0 --startMP 204:469 --initTime 2016-10-11T18:27:42 --startdatetime 2016-10-11T18:30:25 --delay 1 --endMP 204:233289 --enddatetime 2016-10-11T19:07:11 --enforcementcount 0 &gt;&gt;C:\Users\stu\Documents\GitHub\eaglep3-reporting\EC\2016-10-11-refined-times.txt</v>
      </c>
      <c r="AI127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{"issue":{"subject":"","project_id":79,"tracker_id":40,"status_id":1,"priority_id":2,"assigned_to_id":23,"start_date":"2016-10-11","description":"","custom_fields":[{"id":1,"name":"Subdivision","value":"EC"},{"id":4,"name":"Milepost","value":"23.3289"},{"id":17,"name":"Train ID","value":"219-11"},{"id":16,"name":"Locomotive ID","value":"4014"},{"id":130,"name":"Impact","value":""},{"id":150,"name":"Time of Event (Mountain Time)","value":"19:07:11"},{"id":151,"name":"Denver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637</v>
      </c>
      <c r="B128" s="7">
        <v>4013</v>
      </c>
      <c r="C128" s="24" t="s">
        <v>106</v>
      </c>
      <c r="D128" s="24" t="s">
        <v>351</v>
      </c>
      <c r="E128" s="15">
        <v>42654.808668981481</v>
      </c>
      <c r="F128" s="15">
        <v>42654.810277777775</v>
      </c>
      <c r="G128" s="7">
        <v>1</v>
      </c>
      <c r="H128" s="15" t="s">
        <v>695</v>
      </c>
      <c r="I128" s="15">
        <v>42654.838067129633</v>
      </c>
      <c r="J128" s="7">
        <v>0</v>
      </c>
      <c r="K128" s="116" t="str">
        <f t="shared" si="32"/>
        <v>4013/4014</v>
      </c>
      <c r="L128" s="24" t="str">
        <f>VLOOKUP(A128,'Trips&amp;Operators'!$C$1:$E$10000,3,FALSE)</f>
        <v>CHANDLER</v>
      </c>
      <c r="M128" s="6">
        <f t="shared" si="33"/>
        <v>2.7789351857791189E-2</v>
      </c>
      <c r="N128" s="7">
        <f t="shared" si="59"/>
        <v>40.016666675219312</v>
      </c>
      <c r="O128" s="7"/>
      <c r="P128" s="7"/>
      <c r="Q128" s="25"/>
      <c r="R128" s="25"/>
      <c r="S128" s="37">
        <f t="shared" si="60"/>
        <v>1</v>
      </c>
      <c r="T128" s="52" t="str">
        <f t="shared" si="34"/>
        <v>Southbound</v>
      </c>
      <c r="U128" s="15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18:24:29-0600',mode:absolute,to:'2016-10-11 21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8" s="54" t="str">
        <f t="shared" si="36"/>
        <v>N</v>
      </c>
      <c r="X128" s="163">
        <f t="shared" si="56"/>
        <v>1</v>
      </c>
      <c r="Y128" s="69">
        <f t="shared" si="57"/>
        <v>23.2973</v>
      </c>
      <c r="Z128" s="69">
        <f t="shared" si="58"/>
        <v>8.3999999999999995E-3</v>
      </c>
      <c r="AA128" s="69">
        <f t="shared" si="37"/>
        <v>23.288899999999998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8"/>
        <v>0220-11</v>
      </c>
      <c r="AE128" s="94" t="str">
        <f t="shared" si="39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128" s="91" t="str">
        <f t="shared" si="40"/>
        <v>"C:\Program Files (x86)\AstroGrep\AstroGrep.exe" /spath="%USERPROFILE%\AppData\Local\Temp\OnboardLogs" /stypes="app*4013*20161012*" /stext=" 02:.+((SYSTEM_STATE.+slice.+state.+changed )|(ment ac)|(system.+state.+changed )|(\[timeout)|(PRM\|1\|D)|(kpr)|(kdp)|(\|lc)|(penalty))" /e /r /s</v>
      </c>
      <c r="AG128" s="1" t="str">
        <f t="shared" si="41"/>
        <v>EC</v>
      </c>
      <c r="AH128" s="95" t="str">
        <f t="shared" si="47"/>
        <v>"%USERPROFILE%\Documents\GitHub\eaglep3\Utilities\RefineRTDCRunTimes.py" --tripid 220-11 --locoid 4013 --swversion DE.1.0.7.0 --startMP 204:232973 --initTime 2016-10-11T19:24:29 --startdatetime 2016-10-11T19:26:48 --delay 1 --endMP 204:84 --enddatetime 2016-10-11T20:06:49 --enforcementcount 0 &gt;&gt;C:\Users\stu\Documents\GitHub\eaglep3-reporting\EC\2016-10-11-refined-times.txt</v>
      </c>
      <c r="AI128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{"issue":{"subject":"","project_id":79,"tracker_id":40,"status_id":1,"priority_id":2,"assigned_to_id":23,"start_date":"2016-10-11","description":"","custom_fields":[{"id":1,"name":"Subdivision","value":"EC"},{"id":4,"name":"Milepost","value":"0.0084"},{"id":17,"name":"Train ID","value":"220-11"},{"id":16,"name":"Locomotive ID","value":"4013"},{"id":130,"name":"Impact","value":""},{"id":150,"name":"Time of Event (Mountain Time)","value":"20:06:49"},{"id":151,"name":"Denver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632</v>
      </c>
      <c r="B129" s="7">
        <v>4029</v>
      </c>
      <c r="C129" s="24" t="s">
        <v>106</v>
      </c>
      <c r="D129" s="24" t="s">
        <v>191</v>
      </c>
      <c r="E129" s="15">
        <v>42654.788437499999</v>
      </c>
      <c r="F129" s="15">
        <v>42654.791921296295</v>
      </c>
      <c r="G129" s="7">
        <v>1</v>
      </c>
      <c r="H129" s="15" t="s">
        <v>305</v>
      </c>
      <c r="I129" s="15">
        <v>42654.817141203705</v>
      </c>
      <c r="J129" s="7">
        <v>0</v>
      </c>
      <c r="K129" s="116" t="str">
        <f t="shared" si="32"/>
        <v>4029/4030</v>
      </c>
      <c r="L129" s="24" t="str">
        <f>VLOOKUP(A129,'Trips&amp;Operators'!$C$1:$E$10000,3,FALSE)</f>
        <v>LEVERE</v>
      </c>
      <c r="M129" s="6">
        <f t="shared" si="33"/>
        <v>2.5219907409336884E-2</v>
      </c>
      <c r="N129" s="7">
        <f t="shared" si="59"/>
        <v>36.316666669445112</v>
      </c>
      <c r="O129" s="7"/>
      <c r="P129" s="7"/>
      <c r="Q129" s="25"/>
      <c r="R129" s="25"/>
      <c r="S129" s="37">
        <f t="shared" si="60"/>
        <v>1</v>
      </c>
      <c r="T129" s="52" t="str">
        <f t="shared" si="34"/>
        <v>NorthBound</v>
      </c>
      <c r="U129" s="15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17:55:21-0600',mode:absolute,to:'2016-10-11 20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9" s="54" t="str">
        <f t="shared" si="36"/>
        <v>N</v>
      </c>
      <c r="X129" s="163">
        <f t="shared" si="56"/>
        <v>1</v>
      </c>
      <c r="Y129" s="69">
        <f t="shared" si="57"/>
        <v>4.5699999999999998E-2</v>
      </c>
      <c r="Z129" s="69">
        <f t="shared" si="58"/>
        <v>23.331</v>
      </c>
      <c r="AA129" s="69">
        <f t="shared" si="37"/>
        <v>23.285299999999999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8"/>
        <v>0221-11</v>
      </c>
      <c r="AE129" s="94" t="str">
        <f t="shared" si="39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129" s="91" t="str">
        <f t="shared" si="40"/>
        <v>"C:\Program Files (x86)\AstroGrep\AstroGrep.exe" /spath="%USERPROFILE%\AppData\Local\Temp\OnboardLogs" /stypes="app*4029*20161012*" /stext=" 01:.+((SYSTEM_STATE.+slice.+state.+changed )|(ment ac)|(system.+state.+changed )|(\[timeout)|(PRM\|1\|D)|(kpr)|(kdp)|(\|lc)|(penalty))" /e /r /s</v>
      </c>
      <c r="AG129" s="1" t="str">
        <f t="shared" si="41"/>
        <v>EC</v>
      </c>
      <c r="AH129" s="95" t="str">
        <f t="shared" si="47"/>
        <v>"%USERPROFILE%\Documents\GitHub\eaglep3\Utilities\RefineRTDCRunTimes.py" --tripid 221-11 --locoid 4029 --swversion DE.1.0.7.0 --startMP 204:457 --initTime 2016-10-11T18:55:21 --startdatetime 2016-10-11T19:00:22 --delay 1 --endMP 204:233310 --enddatetime 2016-10-11T19:36:41 --enforcementcount 0 &gt;&gt;C:\Users\stu\Documents\GitHub\eaglep3-reporting\EC\2016-10-11-refined-times.txt</v>
      </c>
      <c r="AI129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{"issue":{"subject":"","project_id":79,"tracker_id":40,"status_id":1,"priority_id":2,"assigned_to_id":23,"start_date":"2016-10-11","description":"","custom_fields":[{"id":1,"name":"Subdivision","value":"EC"},{"id":4,"name":"Milepost","value":"23.331"},{"id":17,"name":"Train ID","value":"221-11"},{"id":16,"name":"Locomotive ID","value":"4029"},{"id":130,"name":"Impact","value":""},{"id":150,"name":"Time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641</v>
      </c>
      <c r="B130" s="7">
        <v>4030</v>
      </c>
      <c r="C130" s="24" t="s">
        <v>106</v>
      </c>
      <c r="D130" s="24" t="s">
        <v>234</v>
      </c>
      <c r="E130" s="15">
        <v>42654.824583333335</v>
      </c>
      <c r="F130" s="15">
        <v>42654.830787037034</v>
      </c>
      <c r="G130" s="7">
        <v>2</v>
      </c>
      <c r="H130" s="15" t="s">
        <v>200</v>
      </c>
      <c r="I130" s="15">
        <v>42654.857916666668</v>
      </c>
      <c r="J130" s="7">
        <v>0</v>
      </c>
      <c r="K130" s="116" t="str">
        <f t="shared" si="32"/>
        <v>4029/4030</v>
      </c>
      <c r="L130" s="24" t="str">
        <f>VLOOKUP(A130,'Trips&amp;Operators'!$C$1:$E$10000,3,FALSE)</f>
        <v>LEVERE</v>
      </c>
      <c r="M130" s="6">
        <f t="shared" si="33"/>
        <v>2.7129629634146113E-2</v>
      </c>
      <c r="N130" s="7">
        <f t="shared" si="59"/>
        <v>39.066666673170403</v>
      </c>
      <c r="O130" s="7"/>
      <c r="P130" s="7"/>
      <c r="Q130" s="25"/>
      <c r="R130" s="25"/>
      <c r="S130" s="37">
        <f t="shared" si="60"/>
        <v>1</v>
      </c>
      <c r="T130" s="52" t="str">
        <f t="shared" si="34"/>
        <v>Southbound</v>
      </c>
      <c r="U130" s="15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18:47:24-0600',mode:absolute,to:'2016-10-11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0" s="54" t="str">
        <f t="shared" si="36"/>
        <v>N</v>
      </c>
      <c r="X130" s="163">
        <f t="shared" si="56"/>
        <v>1</v>
      </c>
      <c r="Y130" s="69">
        <f t="shared" si="57"/>
        <v>23.299299999999999</v>
      </c>
      <c r="Z130" s="69">
        <f t="shared" si="58"/>
        <v>1.5599999999999999E-2</v>
      </c>
      <c r="AA130" s="69">
        <f t="shared" si="37"/>
        <v>23.2837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8"/>
        <v>0222-11</v>
      </c>
      <c r="AE130" s="94" t="str">
        <f t="shared" si="39"/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AF130" s="91" t="str">
        <f t="shared" si="40"/>
        <v>"C:\Program Files (x86)\AstroGrep\AstroGrep.exe" /spath="%USERPROFILE%\AppData\Local\Temp\OnboardLogs" /stypes="app*4030*20161012*" /stext=" 02:.+((SYSTEM_STATE.+slice.+state.+changed )|(ment ac)|(system.+state.+changed )|(\[timeout)|(PRM\|1\|D)|(kpr)|(kdp)|(\|lc)|(penalty))" /e /r /s</v>
      </c>
      <c r="AG130" s="1" t="str">
        <f t="shared" si="41"/>
        <v>EC</v>
      </c>
      <c r="AH130" s="95" t="str">
        <f t="shared" si="47"/>
        <v>"%USERPROFILE%\Documents\GitHub\eaglep3\Utilities\RefineRTDCRunTimes.py" --tripid 222-11 --locoid 4030 --swversion DE.1.0.7.0 --startMP 204:232993 --initTime 2016-10-11T19:47:24 --startdatetime 2016-10-11T19:56:20 --delay 2 --endMP 204:156 --enddatetime 2016-10-11T20:35:24 --enforcementcount 0 &gt;&gt;C:\Users\stu\Documents\GitHub\eaglep3-reporting\EC\2016-10-11-refined-times.txt</v>
      </c>
      <c r="AI130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{"issue":{"subject":"","project_id":79,"tracker_id":40,"status_id":1,"priority_id":2,"assigned_to_id":23,"start_date":"2016-10-11","description":"","custom_fields":[{"id":1,"name":"Subdivision","value":"EC"},{"id":4,"name":"Milepost","value":"0.0156"},{"id":17,"name":"Train ID","value":"222-11"},{"id":16,"name":"Locomotive ID","value":"4030"},{"id":130,"name":"Impact","value":""},{"id":150,"name":"Time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638</v>
      </c>
      <c r="B131" s="7">
        <v>4031</v>
      </c>
      <c r="C131" s="24" t="s">
        <v>106</v>
      </c>
      <c r="D131" s="24" t="s">
        <v>195</v>
      </c>
      <c r="E131" s="15">
        <v>42654.80945601852</v>
      </c>
      <c r="F131" s="15">
        <v>42654.812743055554</v>
      </c>
      <c r="G131" s="7">
        <v>2</v>
      </c>
      <c r="H131" s="15" t="s">
        <v>305</v>
      </c>
      <c r="I131" s="15">
        <v>42654.837141203701</v>
      </c>
      <c r="J131" s="7">
        <v>0</v>
      </c>
      <c r="K131" s="116" t="str">
        <f t="shared" si="32"/>
        <v>4031/4032</v>
      </c>
      <c r="L131" s="24" t="str">
        <f>VLOOKUP(A131,'Trips&amp;Operators'!$C$1:$E$10000,3,FALSE)</f>
        <v>COOLAHAN</v>
      </c>
      <c r="M131" s="6">
        <f t="shared" si="33"/>
        <v>2.4398148147156462E-2</v>
      </c>
      <c r="N131" s="7">
        <f t="shared" si="59"/>
        <v>35.133333331905305</v>
      </c>
      <c r="O131" s="7"/>
      <c r="P131" s="7"/>
      <c r="Q131" s="25"/>
      <c r="R131" s="25"/>
      <c r="S131" s="37">
        <f t="shared" si="60"/>
        <v>1</v>
      </c>
      <c r="T131" s="52" t="str">
        <f t="shared" si="34"/>
        <v>NorthBound</v>
      </c>
      <c r="U131" s="15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18:25:37-0600',mode:absolute,to:'2016-10-11 21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1" s="54" t="str">
        <f t="shared" si="36"/>
        <v>N</v>
      </c>
      <c r="X131" s="163">
        <f t="shared" si="56"/>
        <v>1</v>
      </c>
      <c r="Y131" s="69">
        <f t="shared" si="57"/>
        <v>4.58E-2</v>
      </c>
      <c r="Z131" s="69">
        <f t="shared" si="58"/>
        <v>23.331</v>
      </c>
      <c r="AA131" s="69">
        <f t="shared" si="37"/>
        <v>23.2852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8"/>
        <v>0223-11</v>
      </c>
      <c r="AE131" s="94" t="str">
        <f t="shared" si="39"/>
        <v>aws s3 cp s3://rtdc.mdm.uploadarchive.raw/RTDC4031/ "%USERPROFILE%\AppData\Local\Temp\OnboardLogs"\RTDC4031\2016-10-11 --exclude "*" --recursive --include "*20161011*" &amp; "%USERPROFILE%\Documents\GitHub\mrs-test-scripts\Headless Mode &amp; Sideloading\WalkAndUnGZ.bat" "%USERPROFILE%\AppData\Local\Temp\OnboardLogs"\RTDC4031\2016-10-11 &amp; 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</v>
      </c>
      <c r="AF131" s="91" t="str">
        <f t="shared" si="40"/>
        <v>"C:\Program Files (x86)\AstroGrep\AstroGrep.exe" /spath="%USERPROFILE%\AppData\Local\Temp\OnboardLogs" /stypes="app*4031*20161012*" /stext=" 02:.+((SYSTEM_STATE.+slice.+state.+changed )|(ment ac)|(system.+state.+changed )|(\[timeout)|(PRM\|1\|D)|(kpr)|(kdp)|(\|lc)|(penalty))" /e /r /s</v>
      </c>
      <c r="AG131" s="1" t="str">
        <f t="shared" si="41"/>
        <v>EC</v>
      </c>
      <c r="AH131" s="95" t="str">
        <f t="shared" si="47"/>
        <v>"%USERPROFILE%\Documents\GitHub\eaglep3\Utilities\RefineRTDCRunTimes.py" --tripid 223-11 --locoid 4031 --swversion DE.1.0.7.0 --startMP 204:458 --initTime 2016-10-11T19:25:37 --startdatetime 2016-10-11T19:30:21 --delay 2 --endMP 204:233310 --enddatetime 2016-10-11T20:05:29 --enforcementcount 0 &gt;&gt;C:\Users\stu\Documents\GitHub\eaglep3-reporting\EC\2016-10-11-refined-times.txt</v>
      </c>
      <c r="AI131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{"issue":{"subject":"","project_id":79,"tracker_id":40,"status_id":1,"priority_id":2,"assigned_to_id":23,"start_date":"2016-10-11","description":"","custom_fields":[{"id":1,"name":"Subdivision","value":"EC"},{"id":4,"name":"Milepost","value":"23.331"},{"id":17,"name":"Train ID","value":"223-11"},{"id":16,"name":"Locomotive ID","value":"4031"},{"id":130,"name":"Impact","value":""},{"id":150,"name":"Time of Event (Mountain Time)","value":"20:05:29"},{"id":151,"name":"Denver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644</v>
      </c>
      <c r="B132" s="7">
        <v>4032</v>
      </c>
      <c r="C132" s="24" t="s">
        <v>106</v>
      </c>
      <c r="D132" s="24" t="s">
        <v>396</v>
      </c>
      <c r="E132" s="15">
        <v>42654.847025462965</v>
      </c>
      <c r="F132" s="15">
        <v>42654.851793981485</v>
      </c>
      <c r="G132" s="7">
        <v>1</v>
      </c>
      <c r="H132" s="15" t="s">
        <v>677</v>
      </c>
      <c r="I132" s="15">
        <v>42654.877881944441</v>
      </c>
      <c r="J132" s="7">
        <v>0</v>
      </c>
      <c r="K132" s="116" t="str">
        <f t="shared" si="32"/>
        <v>4031/4032</v>
      </c>
      <c r="L132" s="24" t="str">
        <f>VLOOKUP(A132,'Trips&amp;Operators'!$C$1:$E$10000,3,FALSE)</f>
        <v>COOLAHAN</v>
      </c>
      <c r="M132" s="6">
        <f t="shared" si="33"/>
        <v>2.6087962956808042E-2</v>
      </c>
      <c r="N132" s="7">
        <f t="shared" si="59"/>
        <v>37.56666665780358</v>
      </c>
      <c r="O132" s="7"/>
      <c r="P132" s="7"/>
      <c r="Q132" s="25"/>
      <c r="R132" s="25"/>
      <c r="S132" s="37">
        <f t="shared" si="60"/>
        <v>1</v>
      </c>
      <c r="T132" s="52" t="str">
        <f t="shared" si="34"/>
        <v>Southbound</v>
      </c>
      <c r="U132" s="15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19:19:43-0600',mode:absolute,to:'2016-10-11 22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2" s="54" t="str">
        <f t="shared" si="36"/>
        <v>N</v>
      </c>
      <c r="X132" s="163">
        <f t="shared" si="56"/>
        <v>1</v>
      </c>
      <c r="Y132" s="69">
        <f t="shared" si="57"/>
        <v>23.302099999999999</v>
      </c>
      <c r="Z132" s="69">
        <f t="shared" si="58"/>
        <v>1.7600000000000001E-2</v>
      </c>
      <c r="AA132" s="69">
        <f t="shared" si="37"/>
        <v>23.284499999999998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8"/>
        <v>0224-11</v>
      </c>
      <c r="AE132" s="94" t="str">
        <f t="shared" si="39"/>
        <v>aws s3 cp s3://rtdc.mdm.uploadarchive.raw/RTDC4032/ "%USERPROFILE%\AppData\Local\Temp\OnboardLogs"\RTDC4032\2016-10-11 --exclude "*" --recursive --include "*20161011*" &amp; "%USERPROFILE%\Documents\GitHub\mrs-test-scripts\Headless Mode &amp; Sideloading\WalkAndUnGZ.bat" "%USERPROFILE%\AppData\Local\Temp\OnboardLogs"\RTDC4032\2016-10-11 &amp; 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</v>
      </c>
      <c r="AF132" s="91" t="str">
        <f t="shared" si="40"/>
        <v>"C:\Program Files (x86)\AstroGrep\AstroGrep.exe" /spath="%USERPROFILE%\AppData\Local\Temp\OnboardLogs" /stypes="app*4032*20161012*" /stext=" 03:.+((SYSTEM_STATE.+slice.+state.+changed )|(ment ac)|(system.+state.+changed )|(\[timeout)|(PRM\|1\|D)|(kpr)|(kdp)|(\|lc)|(penalty))" /e /r /s</v>
      </c>
      <c r="AG132" s="1" t="str">
        <f t="shared" si="41"/>
        <v>EC</v>
      </c>
      <c r="AH132" s="95" t="str">
        <f t="shared" si="47"/>
        <v>"%USERPROFILE%\Documents\GitHub\eaglep3\Utilities\RefineRTDCRunTimes.py" --tripid 224-11 --locoid 4032 --swversion DE.1.0.7.0 --startMP 204:233021 --initTime 2016-10-11T20:19:43 --startdatetime 2016-10-11T20:26:35 --delay 1 --endMP 204:176 --enddatetime 2016-10-11T21:04:09 --enforcementcount 0 &gt;&gt;C:\Users\stu\Documents\GitHub\eaglep3-reporting\EC\2016-10-11-refined-times.txt</v>
      </c>
      <c r="AI132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{"issue":{"subject":"","project_id":79,"tracker_id":40,"status_id":1,"priority_id":2,"assigned_to_id":23,"start_date":"2016-10-11","description":"","custom_fields":[{"id":1,"name":"Subdivision","value":"EC"},{"id":4,"name":"Milepost","value":"0.0176"},{"id":17,"name":"Train ID","value":"224-11"},{"id":16,"name":"Locomotive ID","value":"4032"},{"id":130,"name":"Impact","value":""},{"id":150,"name":"Time of Event (Mountain Time)","value":"21:04:09"},{"id":151,"name":"Denver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642</v>
      </c>
      <c r="B133" s="7">
        <v>4003</v>
      </c>
      <c r="C133" s="24" t="s">
        <v>106</v>
      </c>
      <c r="D133" s="24" t="s">
        <v>696</v>
      </c>
      <c r="E133" s="15">
        <v>42654.82917824074</v>
      </c>
      <c r="F133" s="15">
        <v>42654.833553240744</v>
      </c>
      <c r="G133" s="7">
        <v>1</v>
      </c>
      <c r="H133" s="15" t="s">
        <v>697</v>
      </c>
      <c r="I133" s="15">
        <v>42654.859270833331</v>
      </c>
      <c r="J133" s="7">
        <v>0</v>
      </c>
      <c r="K133" s="116" t="str">
        <f t="shared" si="32"/>
        <v>4003/4004</v>
      </c>
      <c r="L133" s="24" t="str">
        <f>VLOOKUP(A133,'Trips&amp;Operators'!$C$1:$E$10000,3,FALSE)</f>
        <v>YANAI</v>
      </c>
      <c r="M133" s="6">
        <f t="shared" si="33"/>
        <v>2.5717592587170657E-2</v>
      </c>
      <c r="N133" s="7">
        <f t="shared" si="59"/>
        <v>37.033333325525746</v>
      </c>
      <c r="O133" s="7"/>
      <c r="P133" s="7"/>
      <c r="Q133" s="25"/>
      <c r="R133" s="25"/>
      <c r="S133" s="37">
        <f t="shared" si="60"/>
        <v>1</v>
      </c>
      <c r="T133" s="52" t="str">
        <f t="shared" si="34"/>
        <v>NorthBound</v>
      </c>
      <c r="U133" s="15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18:54:01-0600',mode:absolute,to:'2016-10-11 21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3" s="54" t="str">
        <f t="shared" si="36"/>
        <v>N</v>
      </c>
      <c r="X133" s="163">
        <f t="shared" si="56"/>
        <v>1</v>
      </c>
      <c r="Y133" s="69">
        <f t="shared" si="57"/>
        <v>4.7699999999999999E-2</v>
      </c>
      <c r="Z133" s="69">
        <f t="shared" si="58"/>
        <v>23.3293</v>
      </c>
      <c r="AA133" s="69">
        <f t="shared" si="37"/>
        <v>23.281600000000001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8"/>
        <v>0225-11</v>
      </c>
      <c r="AE133" s="94" t="str">
        <f t="shared" si="39"/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133" s="91" t="str">
        <f t="shared" si="40"/>
        <v>"C:\Program Files (x86)\AstroGrep\AstroGrep.exe" /spath="%USERPROFILE%\AppData\Local\Temp\OnboardLogs" /stypes="app*4003*20161012*" /stext=" 02:.+((SYSTEM_STATE.+slice.+state.+changed )|(ment ac)|(system.+state.+changed )|(\[timeout)|(PRM\|1\|D)|(kpr)|(kdp)|(\|lc)|(penalty))" /e /r /s</v>
      </c>
      <c r="AG133" s="1" t="str">
        <f t="shared" si="41"/>
        <v>EC</v>
      </c>
      <c r="AH133" s="95" t="str">
        <f t="shared" si="47"/>
        <v>"%USERPROFILE%\Documents\GitHub\eaglep3\Utilities\RefineRTDCRunTimes.py" --tripid 225-11 --locoid 4003 --swversion DE.1.0.7.0 --startMP 204:477 --initTime 2016-10-11T19:54:01 --startdatetime 2016-10-11T20:00:19 --delay 1 --endMP 204:233293 --enddatetime 2016-10-11T20:37:21 --enforcementcount 0 &gt;&gt;C:\Users\stu\Documents\GitHub\eaglep3-reporting\EC\2016-10-11-refined-times.txt</v>
      </c>
      <c r="AI133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{"issue":{"subject":"","project_id":79,"tracker_id":40,"status_id":1,"priority_id":2,"assigned_to_id":23,"start_date":"2016-10-11","description":"","custom_fields":[{"id":1,"name":"Subdivision","value":"EC"},{"id":4,"name":"Milepost","value":"23.3293"},{"id":17,"name":"Train ID","value":"225-11"},{"id":16,"name":"Locomotive ID","value":"4003"},{"id":130,"name":"Impact","value":""},{"id":150,"name":"Time of Event (Mountain Time)","value":"20:37:21"},{"id":151,"name":"Denver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646</v>
      </c>
      <c r="B134" s="7">
        <v>4004</v>
      </c>
      <c r="C134" s="24" t="s">
        <v>106</v>
      </c>
      <c r="D134" s="24" t="s">
        <v>234</v>
      </c>
      <c r="E134" s="15">
        <v>42654.868125000001</v>
      </c>
      <c r="F134" s="15">
        <v>42654.872476851851</v>
      </c>
      <c r="G134" s="7">
        <v>1</v>
      </c>
      <c r="H134" s="15" t="s">
        <v>698</v>
      </c>
      <c r="I134" s="15">
        <v>42654.903796296298</v>
      </c>
      <c r="J134" s="7">
        <v>0</v>
      </c>
      <c r="K134" s="116" t="str">
        <f t="shared" si="32"/>
        <v>4003/4004</v>
      </c>
      <c r="L134" s="24" t="str">
        <f>VLOOKUP(A134,'Trips&amp;Operators'!$C$1:$E$10000,3,FALSE)</f>
        <v>YANAI</v>
      </c>
      <c r="M134" s="6">
        <f t="shared" si="33"/>
        <v>3.1319444446125999E-2</v>
      </c>
      <c r="N134" s="7">
        <f t="shared" si="59"/>
        <v>45.100000002421439</v>
      </c>
      <c r="O134" s="7"/>
      <c r="P134" s="7"/>
      <c r="Q134" s="25"/>
      <c r="R134" s="25"/>
      <c r="S134" s="37">
        <f t="shared" si="60"/>
        <v>1</v>
      </c>
      <c r="T134" s="52" t="str">
        <f t="shared" si="34"/>
        <v>Southbound</v>
      </c>
      <c r="U134" s="15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19:50:06-0600',mode:absolute,to:'2016-10-11 22:41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4" s="54" t="str">
        <f t="shared" si="36"/>
        <v>N</v>
      </c>
      <c r="X134" s="163">
        <f t="shared" si="56"/>
        <v>1</v>
      </c>
      <c r="Y134" s="69">
        <f t="shared" si="57"/>
        <v>23.299299999999999</v>
      </c>
      <c r="Z134" s="69">
        <f t="shared" si="58"/>
        <v>1.06E-2</v>
      </c>
      <c r="AA134" s="69">
        <f t="shared" si="37"/>
        <v>23.288699999999999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8"/>
        <v>0226-11</v>
      </c>
      <c r="AE134" s="94" t="str">
        <f t="shared" si="39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134" s="91" t="str">
        <f t="shared" si="40"/>
        <v>"C:\Program Files (x86)\AstroGrep\AstroGrep.exe" /spath="%USERPROFILE%\AppData\Local\Temp\OnboardLogs" /stypes="app*4004*20161012*" /stext=" 03:.+((SYSTEM_STATE.+slice.+state.+changed )|(ment ac)|(system.+state.+changed )|(\[timeout)|(PRM\|1\|D)|(kpr)|(kdp)|(\|lc)|(penalty))" /e /r /s</v>
      </c>
      <c r="AG134" s="1" t="str">
        <f t="shared" si="41"/>
        <v>EC</v>
      </c>
      <c r="AH134" s="95" t="str">
        <f t="shared" si="47"/>
        <v>"%USERPROFILE%\Documents\GitHub\eaglep3\Utilities\RefineRTDCRunTimes.py" --tripid 226-11 --locoid 4004 --swversion DE.1.0.7.0 --startMP 204:232993 --initTime 2016-10-11T20:50:06 --startdatetime 2016-10-11T20:56:22 --delay 1 --endMP 204:106 --enddatetime 2016-10-11T21:41:28 --enforcementcount 0 &gt;&gt;C:\Users\stu\Documents\GitHub\eaglep3-reporting\EC\2016-10-11-refined-times.txt</v>
      </c>
      <c r="AI134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{"issue":{"subject":"","project_id":79,"tracker_id":40,"status_id":1,"priority_id":2,"assigned_to_id":23,"start_date":"2016-10-11","description":"","custom_fields":[{"id":1,"name":"Subdivision","value":"EC"},{"id":4,"name":"Milepost","value":"0.0106"},{"id":17,"name":"Train ID","value":"226-11"},{"id":16,"name":"Locomotive ID","value":"4004"},{"id":130,"name":"Impact","value":""},{"id":150,"name":"Time of Event (Mountain Time)","value":"21:41:28"},{"id":151,"name":"Denver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645</v>
      </c>
      <c r="B135" s="7">
        <v>4014</v>
      </c>
      <c r="C135" s="24" t="s">
        <v>106</v>
      </c>
      <c r="D135" s="24" t="s">
        <v>699</v>
      </c>
      <c r="E135" s="15">
        <v>42654.853518518517</v>
      </c>
      <c r="F135" s="15">
        <v>42654.854756944442</v>
      </c>
      <c r="G135" s="7">
        <v>1</v>
      </c>
      <c r="H135" s="15" t="s">
        <v>226</v>
      </c>
      <c r="I135" s="15">
        <v>42654.883564814816</v>
      </c>
      <c r="J135" s="7">
        <v>0</v>
      </c>
      <c r="K135" s="116" t="str">
        <f t="shared" si="32"/>
        <v>4013/4014</v>
      </c>
      <c r="L135" s="24" t="str">
        <f>VLOOKUP(A135,'Trips&amp;Operators'!$C$1:$E$10000,3,FALSE)</f>
        <v>CHANDLER</v>
      </c>
      <c r="M135" s="6">
        <f t="shared" si="33"/>
        <v>2.8807870374293998E-2</v>
      </c>
      <c r="N135" s="7">
        <f t="shared" si="59"/>
        <v>41.483333338983357</v>
      </c>
      <c r="O135" s="7"/>
      <c r="P135" s="7"/>
      <c r="Q135" s="25"/>
      <c r="R135" s="25"/>
      <c r="S135" s="37">
        <f t="shared" si="60"/>
        <v>1</v>
      </c>
      <c r="T135" s="52" t="str">
        <f t="shared" si="34"/>
        <v>NorthBound</v>
      </c>
      <c r="U135" s="15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19:29:04-0600',mode:absolute,to:'2016-10-11 22:12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5" s="54" t="str">
        <f t="shared" si="36"/>
        <v>N</v>
      </c>
      <c r="X135" s="163">
        <f t="shared" si="56"/>
        <v>1</v>
      </c>
      <c r="Y135" s="69">
        <f t="shared" si="57"/>
        <v>3.8100000000000002E-2</v>
      </c>
      <c r="Z135" s="69">
        <f t="shared" si="58"/>
        <v>23.329699999999999</v>
      </c>
      <c r="AA135" s="69">
        <f t="shared" si="37"/>
        <v>23.291599999999999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8"/>
        <v>0227-11</v>
      </c>
      <c r="AE135" s="94" t="str">
        <f t="shared" si="39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135" s="91" t="str">
        <f t="shared" si="40"/>
        <v>"C:\Program Files (x86)\AstroGrep\AstroGrep.exe" /spath="%USERPROFILE%\AppData\Local\Temp\OnboardLogs" /stypes="app*4014*20161012*" /stext=" 03:.+((SYSTEM_STATE.+slice.+state.+changed )|(ment ac)|(system.+state.+changed )|(\[timeout)|(PRM\|1\|D)|(kpr)|(kdp)|(\|lc)|(penalty))" /e /r /s</v>
      </c>
      <c r="AG135" s="1" t="str">
        <f t="shared" si="41"/>
        <v>EC</v>
      </c>
      <c r="AH135" s="95" t="str">
        <f t="shared" si="47"/>
        <v>"%USERPROFILE%\Documents\GitHub\eaglep3\Utilities\RefineRTDCRunTimes.py" --tripid 227-11 --locoid 4014 --swversion DE.1.0.7.0 --startMP 204:381 --initTime 2016-10-11T20:29:04 --startdatetime 2016-10-11T20:30:51 --delay 1 --endMP 204:233297 --enddatetime 2016-10-11T21:12:20 --enforcementcount 0 &gt;&gt;C:\Users\stu\Documents\GitHub\eaglep3-reporting\EC\2016-10-11-refined-times.txt</v>
      </c>
      <c r="AI135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{"issue":{"subject":"","project_id":79,"tracker_id":40,"status_id":1,"priority_id":2,"assigned_to_id":23,"start_date":"2016-10-11","description":"","custom_fields":[{"id":1,"name":"Subdivision","value":"EC"},{"id":4,"name":"Milepost","value":"23.3297"},{"id":17,"name":"Train ID","value":"227-11"},{"id":16,"name":"Locomotive ID","value":"4014"},{"id":130,"name":"Impact","value":""},{"id":150,"name":"Time of Event (Mountain Time)","value":"21:12:20"},{"id":151,"name":"Denver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558</v>
      </c>
      <c r="B136" s="7">
        <v>4013</v>
      </c>
      <c r="C136" s="24" t="s">
        <v>106</v>
      </c>
      <c r="D136" s="24" t="s">
        <v>684</v>
      </c>
      <c r="E136" s="15">
        <v>42654.892430555556</v>
      </c>
      <c r="F136" s="15">
        <v>42654.893518518518</v>
      </c>
      <c r="G136" s="7">
        <v>1</v>
      </c>
      <c r="H136" s="15" t="s">
        <v>700</v>
      </c>
      <c r="I136" s="15">
        <v>42654.924907407411</v>
      </c>
      <c r="J136" s="7">
        <v>0</v>
      </c>
      <c r="K136" s="116" t="str">
        <f t="shared" si="32"/>
        <v>4013/4014</v>
      </c>
      <c r="L136" s="24" t="str">
        <f>VLOOKUP(A136,'Trips&amp;Operators'!$C$1:$E$10000,3,FALSE)</f>
        <v>CHANDLER</v>
      </c>
      <c r="M136" s="6">
        <f t="shared" si="33"/>
        <v>3.1388888892251998E-2</v>
      </c>
      <c r="N136" s="7">
        <f t="shared" si="59"/>
        <v>45.200000004842877</v>
      </c>
      <c r="O136" s="7"/>
      <c r="P136" s="7"/>
      <c r="Q136" s="25"/>
      <c r="R136" s="25"/>
      <c r="S136" s="37">
        <f t="shared" si="60"/>
        <v>1</v>
      </c>
      <c r="T136" s="52" t="str">
        <f t="shared" si="34"/>
        <v>Southbound</v>
      </c>
      <c r="U136" s="15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20:25:06-0600',mode:absolute,to:'2016-10-11 23:11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6" s="54" t="str">
        <f t="shared" si="36"/>
        <v>N</v>
      </c>
      <c r="X136" s="163">
        <f t="shared" si="56"/>
        <v>1</v>
      </c>
      <c r="Y136" s="69">
        <f t="shared" si="57"/>
        <v>23.298100000000002</v>
      </c>
      <c r="Z136" s="69">
        <f t="shared" si="58"/>
        <v>1.6500000000000001E-2</v>
      </c>
      <c r="AA136" s="69">
        <f t="shared" si="37"/>
        <v>23.281600000000001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8"/>
        <v>0228-11</v>
      </c>
      <c r="AE136" s="94" t="str">
        <f t="shared" si="39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136" s="91" t="str">
        <f t="shared" si="40"/>
        <v>"C:\Program Files (x86)\AstroGrep\AstroGrep.exe" /spath="%USERPROFILE%\AppData\Local\Temp\OnboardLogs" /stypes="app*4013*20161012*" /stext=" 04:.+((SYSTEM_STATE.+slice.+state.+changed )|(ment ac)|(system.+state.+changed )|(\[timeout)|(PRM\|1\|D)|(kpr)|(kdp)|(\|lc)|(penalty))" /e /r /s</v>
      </c>
      <c r="AG136" s="1" t="str">
        <f t="shared" si="41"/>
        <v>EC</v>
      </c>
      <c r="AH136" s="95" t="str">
        <f t="shared" si="47"/>
        <v>"%USERPROFILE%\Documents\GitHub\eaglep3\Utilities\RefineRTDCRunTimes.py" --tripid 228-11 --locoid 4013 --swversion DE.1.0.7.0 --startMP 204:232981 --initTime 2016-10-11T21:25:06 --startdatetime 2016-10-11T21:26:40 --delay 1 --endMP 204:165 --enddatetime 2016-10-11T22:11:52 --enforcementcount 0 &gt;&gt;C:\Users\stu\Documents\GitHub\eaglep3-reporting\EC\2016-10-11-refined-times.txt</v>
      </c>
      <c r="AI136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{"issue":{"subject":"","project_id":79,"tracker_id":40,"status_id":1,"priority_id":2,"assigned_to_id":23,"start_date":"2016-10-11","description":"","custom_fields":[{"id":1,"name":"Subdivision","value":"EC"},{"id":4,"name":"Milepost","value":"0.0165"},{"id":17,"name":"Train ID","value":"228-11"},{"id":16,"name":"Locomotive ID","value":"4013"},{"id":130,"name":"Impact","value":""},{"id":150,"name":"Time of Event (Mountain Time)","value":"22:11:52"},{"id":151,"name":"Denver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647</v>
      </c>
      <c r="B137" s="7">
        <v>4029</v>
      </c>
      <c r="C137" s="24" t="s">
        <v>106</v>
      </c>
      <c r="D137" s="24" t="s">
        <v>195</v>
      </c>
      <c r="E137" s="15">
        <v>42654.87159722222</v>
      </c>
      <c r="F137" s="15">
        <v>42654.877800925926</v>
      </c>
      <c r="G137" s="7">
        <v>1</v>
      </c>
      <c r="H137" s="15" t="s">
        <v>305</v>
      </c>
      <c r="I137" s="15">
        <v>42654.90384259259</v>
      </c>
      <c r="J137" s="7">
        <v>0</v>
      </c>
      <c r="K137" s="116" t="str">
        <f t="shared" si="32"/>
        <v>4029/4030</v>
      </c>
      <c r="L137" s="24" t="str">
        <f>VLOOKUP(A137,'Trips&amp;Operators'!$C$1:$E$10000,3,FALSE)</f>
        <v>LEVERE</v>
      </c>
      <c r="M137" s="6">
        <f t="shared" si="33"/>
        <v>2.6041666664241347E-2</v>
      </c>
      <c r="N137" s="7">
        <f t="shared" si="59"/>
        <v>37.49999999650754</v>
      </c>
      <c r="O137" s="7"/>
      <c r="P137" s="7"/>
      <c r="Q137" s="25"/>
      <c r="R137" s="25"/>
      <c r="S137" s="37">
        <f t="shared" si="60"/>
        <v>1</v>
      </c>
      <c r="T137" s="52" t="str">
        <f t="shared" si="34"/>
        <v>NorthBound</v>
      </c>
      <c r="U137" s="15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19:55:06-0600',mode:absolute,to:'2016-10-11 22:41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7" s="54" t="str">
        <f t="shared" si="36"/>
        <v>N</v>
      </c>
      <c r="X137" s="163">
        <f t="shared" si="56"/>
        <v>1</v>
      </c>
      <c r="Y137" s="69">
        <f t="shared" si="57"/>
        <v>4.58E-2</v>
      </c>
      <c r="Z137" s="69">
        <f t="shared" si="58"/>
        <v>23.331</v>
      </c>
      <c r="AA137" s="69">
        <f t="shared" si="37"/>
        <v>23.2852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8"/>
        <v>0229-11</v>
      </c>
      <c r="AE137" s="94" t="str">
        <f t="shared" si="39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137" s="91" t="str">
        <f t="shared" si="40"/>
        <v>"C:\Program Files (x86)\AstroGrep\AstroGrep.exe" /spath="%USERPROFILE%\AppData\Local\Temp\OnboardLogs" /stypes="app*4029*20161012*" /stext=" 03:.+((SYSTEM_STATE.+slice.+state.+changed )|(ment ac)|(system.+state.+changed )|(\[timeout)|(PRM\|1\|D)|(kpr)|(kdp)|(\|lc)|(penalty))" /e /r /s</v>
      </c>
      <c r="AG137" s="1" t="str">
        <f t="shared" si="41"/>
        <v>EC</v>
      </c>
      <c r="AH137" s="95" t="str">
        <f t="shared" si="47"/>
        <v>"%USERPROFILE%\Documents\GitHub\eaglep3\Utilities\RefineRTDCRunTimes.py" --tripid 229-11 --locoid 4029 --swversion DE.1.0.7.0 --startMP 204:458 --initTime 2016-10-11T20:55:06 --startdatetime 2016-10-11T21:04:02 --delay 1 --endMP 204:233310 --enddatetime 2016-10-11T21:41:32 --enforcementcount 0 &gt;&gt;C:\Users\stu\Documents\GitHub\eaglep3-reporting\EC\2016-10-11-refined-times.txt</v>
      </c>
      <c r="AI137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{"issue":{"subject":"","project_id":79,"tracker_id":40,"status_id":1,"priority_id":2,"assigned_to_id":23,"start_date":"2016-10-11","description":"","custom_fields":[{"id":1,"name":"Subdivision","value":"EC"},{"id":4,"name":"Milepost","value":"23.331"},{"id":17,"name":"Train ID","value":"229-11"},{"id":16,"name":"Locomotive ID","value":"4029"},{"id":130,"name":"Impact","value":""},{"id":150,"name":"Time of Event (Mountain Time)","value":"21:41:32"},{"id":151,"name":"Denver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650</v>
      </c>
      <c r="B138" s="7">
        <v>4030</v>
      </c>
      <c r="C138" s="24" t="s">
        <v>106</v>
      </c>
      <c r="D138" s="24" t="s">
        <v>251</v>
      </c>
      <c r="E138" s="15">
        <v>42654.909618055557</v>
      </c>
      <c r="F138" s="15">
        <v>42654.914201388892</v>
      </c>
      <c r="G138" s="7">
        <v>1</v>
      </c>
      <c r="H138" s="15" t="s">
        <v>187</v>
      </c>
      <c r="I138" s="15">
        <v>42654.944849537038</v>
      </c>
      <c r="J138" s="7">
        <v>0</v>
      </c>
      <c r="K138" s="116" t="str">
        <f t="shared" si="32"/>
        <v>4029/4030</v>
      </c>
      <c r="L138" s="24" t="str">
        <f>VLOOKUP(A138,'Trips&amp;Operators'!$C$1:$E$10000,3,FALSE)</f>
        <v>LEVERE</v>
      </c>
      <c r="M138" s="6">
        <f t="shared" si="33"/>
        <v>3.0648148145701271E-2</v>
      </c>
      <c r="N138" s="7">
        <f t="shared" si="59"/>
        <v>44.13333332980983</v>
      </c>
      <c r="O138" s="7"/>
      <c r="P138" s="7"/>
      <c r="Q138" s="25"/>
      <c r="R138" s="25"/>
      <c r="S138" s="37">
        <f t="shared" si="60"/>
        <v>1</v>
      </c>
      <c r="T138" s="52" t="str">
        <f t="shared" si="34"/>
        <v>Southbound</v>
      </c>
      <c r="U138" s="15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20:49:51-0600',mode:absolute,to:'2016-10-11 23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8" s="54" t="str">
        <f t="shared" si="36"/>
        <v>N</v>
      </c>
      <c r="X138" s="163">
        <f t="shared" si="56"/>
        <v>1</v>
      </c>
      <c r="Y138" s="69">
        <f t="shared" si="57"/>
        <v>23.299099999999999</v>
      </c>
      <c r="Z138" s="69">
        <f t="shared" si="58"/>
        <v>1.47E-2</v>
      </c>
      <c r="AA138" s="69">
        <f t="shared" si="37"/>
        <v>23.284399999999998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8"/>
        <v>0230-11</v>
      </c>
      <c r="AE138" s="94" t="str">
        <f t="shared" si="39"/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AF138" s="91" t="str">
        <f t="shared" si="40"/>
        <v>"C:\Program Files (x86)\AstroGrep\AstroGrep.exe" /spath="%USERPROFILE%\AppData\Local\Temp\OnboardLogs" /stypes="app*4030*20161012*" /stext=" 04:.+((SYSTEM_STATE.+slice.+state.+changed )|(ment ac)|(system.+state.+changed )|(\[timeout)|(PRM\|1\|D)|(kpr)|(kdp)|(\|lc)|(penalty))" /e /r /s</v>
      </c>
      <c r="AG138" s="1" t="str">
        <f t="shared" si="41"/>
        <v>EC</v>
      </c>
      <c r="AH138" s="95" t="str">
        <f t="shared" si="47"/>
        <v>"%USERPROFILE%\Documents\GitHub\eaglep3\Utilities\RefineRTDCRunTimes.py" --tripid 230-11 --locoid 4030 --swversion DE.1.0.7.0 --startMP 204:232991 --initTime 2016-10-11T21:49:51 --startdatetime 2016-10-11T21:56:27 --delay 1 --endMP 204:147 --enddatetime 2016-10-11T22:40:35 --enforcementcount 0 &gt;&gt;C:\Users\stu\Documents\GitHub\eaglep3-reporting\EC\2016-10-11-refined-times.txt</v>
      </c>
      <c r="AI138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{"issue":{"subject":"","project_id":79,"tracker_id":40,"status_id":1,"priority_id":2,"assigned_to_id":23,"start_date":"2016-10-11","description":"","custom_fields":[{"id":1,"name":"Subdivision","value":"EC"},{"id":4,"name":"Milepost","value":"0.0147"},{"id":17,"name":"Train ID","value":"230-11"},{"id":16,"name":"Locomotive ID","value":"4030"},{"id":130,"name":"Impact","value":""},{"id":150,"name":"Time of Event (Mountain Time)","value":"22:40:35"},{"id":151,"name":"Denver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649</v>
      </c>
      <c r="B139" s="7">
        <v>4031</v>
      </c>
      <c r="C139" s="24" t="s">
        <v>106</v>
      </c>
      <c r="D139" s="24" t="s">
        <v>701</v>
      </c>
      <c r="E139" s="15">
        <v>42654.893043981479</v>
      </c>
      <c r="F139" s="15">
        <v>42654.896215277775</v>
      </c>
      <c r="G139" s="7">
        <v>4</v>
      </c>
      <c r="H139" s="15" t="s">
        <v>312</v>
      </c>
      <c r="I139" s="15">
        <v>42654.920590277776</v>
      </c>
      <c r="J139" s="7">
        <v>0</v>
      </c>
      <c r="K139" s="116" t="str">
        <f t="shared" si="32"/>
        <v>4031/4032</v>
      </c>
      <c r="L139" s="24" t="str">
        <f>VLOOKUP(A139,'Trips&amp;Operators'!$C$1:$E$10000,3,FALSE)</f>
        <v>COOLAHAN</v>
      </c>
      <c r="M139" s="6">
        <f t="shared" si="33"/>
        <v>2.4375000000873115E-2</v>
      </c>
      <c r="N139" s="7">
        <f t="shared" si="59"/>
        <v>35.100000001257285</v>
      </c>
      <c r="O139" s="7"/>
      <c r="P139" s="7"/>
      <c r="Q139" s="25"/>
      <c r="R139" s="25"/>
      <c r="S139" s="37">
        <f t="shared" si="60"/>
        <v>1</v>
      </c>
      <c r="T139" s="52" t="str">
        <f t="shared" si="34"/>
        <v>NorthBound</v>
      </c>
      <c r="U139" s="15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20:25:59-0600',mode:absolute,to:'2016-10-11 23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4" t="str">
        <f t="shared" si="36"/>
        <v>N</v>
      </c>
      <c r="X139" s="163">
        <f t="shared" si="56"/>
        <v>1</v>
      </c>
      <c r="Y139" s="69">
        <f t="shared" si="57"/>
        <v>4.3700000000000003E-2</v>
      </c>
      <c r="Z139" s="69">
        <f t="shared" si="58"/>
        <v>23.3323</v>
      </c>
      <c r="AA139" s="69">
        <f t="shared" si="37"/>
        <v>23.288599999999999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8"/>
        <v>0231-11</v>
      </c>
      <c r="AE139" s="94" t="str">
        <f t="shared" si="39"/>
        <v>aws s3 cp s3://rtdc.mdm.uploadarchive.raw/RTDC4031/ "%USERPROFILE%\AppData\Local\Temp\OnboardLogs"\RTDC4031\2016-10-11 --exclude "*" --recursive --include "*20161011*" &amp; "%USERPROFILE%\Documents\GitHub\mrs-test-scripts\Headless Mode &amp; Sideloading\WalkAndUnGZ.bat" "%USERPROFILE%\AppData\Local\Temp\OnboardLogs"\RTDC4031\2016-10-11 &amp; 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</v>
      </c>
      <c r="AF139" s="91" t="str">
        <f t="shared" si="40"/>
        <v>"C:\Program Files (x86)\AstroGrep\AstroGrep.exe" /spath="%USERPROFILE%\AppData\Local\Temp\OnboardLogs" /stypes="app*4031*20161012*" /stext=" 04:.+((SYSTEM_STATE.+slice.+state.+changed )|(ment ac)|(system.+state.+changed )|(\[timeout)|(PRM\|1\|D)|(kpr)|(kdp)|(\|lc)|(penalty))" /e /r /s</v>
      </c>
      <c r="AG139" s="1" t="str">
        <f t="shared" si="41"/>
        <v>EC</v>
      </c>
      <c r="AH139" s="95" t="str">
        <f t="shared" si="47"/>
        <v>"%USERPROFILE%\Documents\GitHub\eaglep3\Utilities\RefineRTDCRunTimes.py" --tripid 231-11 --locoid 4031 --swversion DE.1.0.7.0 --startMP 204:437 --initTime 2016-10-11T21:25:59 --startdatetime 2016-10-11T21:30:33 --delay 4 --endMP 204:233323 --enddatetime 2016-10-11T22:05:39 --enforcementcount 0 &gt;&gt;C:\Users\stu\Documents\GitHub\eaglep3-reporting\EC\2016-10-11-refined-times.txt</v>
      </c>
      <c r="AI139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{"issue":{"subject":"","project_id":79,"tracker_id":40,"status_id":1,"priority_id":2,"assigned_to_id":23,"start_date":"2016-10-11","description":"","custom_fields":[{"id":1,"name":"Subdivision","value":"EC"},{"id":4,"name":"Milepost","value":"23.3323"},{"id":17,"name":"Train ID","value":"231-11"},{"id":16,"name":"Locomotive ID","value":"4031"},{"id":130,"name":"Impact","value":""},{"id":150,"name":"Time of Event (Mountain Time)","value":"22:05:39"},{"id":151,"name":"Denver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560</v>
      </c>
      <c r="B140" s="7">
        <v>4032</v>
      </c>
      <c r="C140" s="24" t="s">
        <v>106</v>
      </c>
      <c r="D140" s="24" t="s">
        <v>702</v>
      </c>
      <c r="E140" s="15">
        <v>42654.930763888886</v>
      </c>
      <c r="F140" s="15">
        <v>42654.934942129628</v>
      </c>
      <c r="G140" s="7">
        <v>1</v>
      </c>
      <c r="H140" s="15" t="s">
        <v>703</v>
      </c>
      <c r="I140" s="15">
        <v>42654.965092592596</v>
      </c>
      <c r="J140" s="7">
        <v>0</v>
      </c>
      <c r="K140" s="116" t="str">
        <f t="shared" si="32"/>
        <v>4031/4032</v>
      </c>
      <c r="L140" s="24" t="str">
        <f>VLOOKUP(A140,'Trips&amp;Operators'!$C$1:$E$10000,3,FALSE)</f>
        <v>COOLAHAN</v>
      </c>
      <c r="M140" s="6">
        <f t="shared" si="33"/>
        <v>3.0150462967867497E-2</v>
      </c>
      <c r="N140" s="7">
        <f t="shared" si="59"/>
        <v>43.416666673729196</v>
      </c>
      <c r="O140" s="7"/>
      <c r="P140" s="7"/>
      <c r="Q140" s="25"/>
      <c r="R140" s="25"/>
      <c r="S140" s="37">
        <f t="shared" si="60"/>
        <v>1</v>
      </c>
      <c r="T140" s="52" t="str">
        <f t="shared" si="34"/>
        <v>Southbound</v>
      </c>
      <c r="U140" s="15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1" t="str">
        <f t="shared" si="35"/>
        <v>https://search-rtdc-monitor-bjffxe2xuh6vdkpspy63sjmuny.us-east-1.es.amazonaws.com/_plugin/kibana/#/discover/Steve-Slow-Train-Analysis-(2080s-and-2083s)?_g=(refreshInterval:(display:Off,section:0,value:0),time:(from:'2016-10-11 21:20:18-0600',mode:absolute,to:'2016-10-12 00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4" t="str">
        <f t="shared" si="36"/>
        <v>N</v>
      </c>
      <c r="X140" s="163">
        <f t="shared" si="56"/>
        <v>1</v>
      </c>
      <c r="Y140" s="69">
        <f t="shared" si="57"/>
        <v>23.300799999999999</v>
      </c>
      <c r="Z140" s="69">
        <f t="shared" si="58"/>
        <v>2.0500000000000001E-2</v>
      </c>
      <c r="AA140" s="69">
        <f t="shared" si="37"/>
        <v>23.2803</v>
      </c>
      <c r="AB140" s="66" t="str">
        <f>VLOOKUP(A140,Enforcements!$C$7:$K$21,8,0)</f>
        <v>Bulletin (2)</v>
      </c>
      <c r="AC140" s="62" t="str">
        <f>VLOOKUP(A140,Enforcements!$C$7:$E$21,3,0)</f>
        <v>GRADE CROSSING</v>
      </c>
      <c r="AD140" s="63" t="str">
        <f t="shared" si="38"/>
        <v>0232-11</v>
      </c>
      <c r="AE140" s="94" t="str">
        <f t="shared" si="39"/>
        <v>aws s3 cp s3://rtdc.mdm.uploadarchive.raw/RTDC4032/ "%USERPROFILE%\AppData\Local\Temp\OnboardLogs"\RTDC4032\2016-10-11 --exclude "*" --recursive --include "*20161011*" &amp; "%USERPROFILE%\Documents\GitHub\mrs-test-scripts\Headless Mode &amp; Sideloading\WalkAndUnGZ.bat" "%USERPROFILE%\AppData\Local\Temp\OnboardLogs"\RTDC4032\2016-10-11 &amp; 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</v>
      </c>
      <c r="AF140" s="91" t="str">
        <f t="shared" si="40"/>
        <v>"C:\Program Files (x86)\AstroGrep\AstroGrep.exe" /spath="%USERPROFILE%\AppData\Local\Temp\OnboardLogs" /stypes="app*4032*20161012*" /stext=" 05:.+((SYSTEM_STATE.+slice.+state.+changed )|(ment ac)|(system.+state.+changed )|(\[timeout)|(PRM\|1\|D)|(kpr)|(kdp)|(\|lc)|(penalty))" /e /r /s</v>
      </c>
      <c r="AG140" s="1" t="str">
        <f t="shared" si="41"/>
        <v>EC</v>
      </c>
      <c r="AH140" s="95" t="str">
        <f t="shared" si="47"/>
        <v>"%USERPROFILE%\Documents\GitHub\eaglep3\Utilities\RefineRTDCRunTimes.py" --tripid 232-11 --locoid 4032 --swversion DE.1.0.7.0 --startMP 204:233008 --initTime 2016-10-11T22:20:18 --startdatetime 2016-10-11T22:26:19 --delay 1 --endMP 204:205 --enddatetime 2016-10-11T23:09:44 --enforcementcount 0 &gt;&gt;C:\Users\stu\Documents\GitHub\eaglep3-reporting\EC\2016-10-11-refined-times.txt</v>
      </c>
      <c r="AI140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{"issue":{"subject":"","project_id":79,"tracker_id":40,"status_id":1,"priority_id":2,"assigned_to_id":23,"start_date":"2016-10-11","description":"","custom_fields":[{"id":1,"name":"Subdivision","value":"EC"},{"id":4,"name":"Milepost","value":"0.0205"},{"id":17,"name":"Train ID","value":"232-11"},{"id":16,"name":"Locomotive ID","value":"4032"},{"id":130,"name":"Impact","value":""},{"id":150,"name":"Time of Event (Mountain Time)","value":"23:09:44"},{"id":151,"name":"Denver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557</v>
      </c>
      <c r="B141" s="7">
        <v>4003</v>
      </c>
      <c r="C141" s="24" t="s">
        <v>106</v>
      </c>
      <c r="D141" s="24" t="s">
        <v>704</v>
      </c>
      <c r="E141" s="15">
        <v>42654.909189814818</v>
      </c>
      <c r="F141" s="15">
        <v>42654.916990740741</v>
      </c>
      <c r="G141" s="7">
        <v>4</v>
      </c>
      <c r="H141" s="15" t="s">
        <v>705</v>
      </c>
      <c r="I141" s="15">
        <v>42654.943298611113</v>
      </c>
      <c r="J141" s="7">
        <v>0</v>
      </c>
      <c r="K141" s="116" t="str">
        <f t="shared" ref="K141:K204" si="61">IF(ISEVEN(B141),(B141-1)&amp;"/"&amp;B141,B141&amp;"/"&amp;(B141+1))</f>
        <v>4003/4004</v>
      </c>
      <c r="L141" s="24" t="str">
        <f>VLOOKUP(A141,'Trips&amp;Operators'!$C$1:$E$10000,3,FALSE)</f>
        <v>PUGH</v>
      </c>
      <c r="M141" s="6">
        <f t="shared" ref="M141:M204" si="62">I141-F141</f>
        <v>2.6307870371965691E-2</v>
      </c>
      <c r="N141" s="7">
        <f t="shared" si="59"/>
        <v>37.883333335630596</v>
      </c>
      <c r="O141" s="7"/>
      <c r="P141" s="7"/>
      <c r="Q141" s="25"/>
      <c r="R141" s="25"/>
      <c r="S141" s="37">
        <f t="shared" si="60"/>
        <v>1</v>
      </c>
      <c r="T141" s="52" t="str">
        <f t="shared" ref="T141:T204" si="63">IF(ISEVEN(LEFT(AD141,4)),"Southbound","NorthBound")</f>
        <v>NorthBound</v>
      </c>
      <c r="U141" s="15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1" t="str">
        <f t="shared" ref="V141:V204" si="64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https://search-rtdc-monitor-bjffxe2xuh6vdkpspy63sjmuny.us-east-1.es.amazonaws.com/_plugin/kibana/#/discover/Steve-Slow-Train-Analysis-(2080s-and-2083s)?_g=(refreshInterval:(display:Off,section:0,value:0),time:(from:'2016-10-11 20:49:14-0600',mode:absolute,to:'2016-10-11 23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1" s="54" t="str">
        <f t="shared" ref="W141:W204" si="65">IF(AA141&lt;IF(AG141="EC",23,5.65),"Y","N")</f>
        <v>N</v>
      </c>
      <c r="X141" s="163">
        <f t="shared" si="56"/>
        <v>1</v>
      </c>
      <c r="Y141" s="69">
        <f t="shared" si="57"/>
        <v>4.0399999999999998E-2</v>
      </c>
      <c r="Z141" s="69">
        <f t="shared" si="58"/>
        <v>23.337199999999999</v>
      </c>
      <c r="AA141" s="69">
        <f t="shared" ref="AA141:AA204" si="66">ABS(Z141-Y141)</f>
        <v>23.296799999999998</v>
      </c>
      <c r="AB141" s="66" t="str">
        <f>VLOOKUP(A141,Enforcements!$C$7:$K$21,8,0)</f>
        <v>Speed (6)</v>
      </c>
      <c r="AC141" s="62" t="str">
        <f>VLOOKUP(A141,Enforcements!$C$7:$E$21,3,0)</f>
        <v>PERMANENT SPEED RESTRICTION</v>
      </c>
      <c r="AD141" s="63" t="str">
        <f t="shared" ref="AD141:AD204" si="67">IF(LEN(A141)=6,"0"&amp;A141,A141)</f>
        <v>0233-11</v>
      </c>
      <c r="AE141" s="94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141" s="91" t="str">
        <f t="shared" ref="AF141:AF204" si="6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/stypes="app*4003*20161012*" /stext=" 04:.+((SYSTEM_STATE.+slice.+state.+changed )|(ment ac)|(system.+state.+changed )|(\[timeout)|(PRM\|1\|D)|(kpr)|(kdp)|(\|lc)|(penalty))" /e /r /s</v>
      </c>
      <c r="AG141" s="1" t="str">
        <f t="shared" ref="AG141:AG204" si="70">IFERROR(IF(VALUE(LEFT(AD141,2))&lt;=2,"EC",IF(OR(VALUE(LEFT(AD141,2))=8,VALUE(LEFT(AD141,2))=18),"NW","Other")),"Other")</f>
        <v>EC</v>
      </c>
      <c r="AH141" s="95" t="str">
        <f t="shared" si="47"/>
        <v>"%USERPROFILE%\Documents\GitHub\eaglep3\Utilities\RefineRTDCRunTimes.py" --tripid 233-11 --locoid 4003 --swversion DE.1.0.7.0 --startMP 204:404 --initTime 2016-10-11T21:49:14 --startdatetime 2016-10-11T22:00:28 --delay 4 --endMP 204:233372 --enddatetime 2016-10-11T22:38:21 --enforcementcount 0 &gt;&gt;C:\Users\stu\Documents\GitHub\eaglep3-reporting\EC\2016-10-11-refined-times.txt</v>
      </c>
      <c r="AI141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{"issue":{"subject":"","project_id":79,"tracker_id":40,"status_id":1,"priority_id":2,"assigned_to_id":23,"start_date":"2016-10-11","description":"","custom_fields":[{"id":1,"name":"Subdivision","value":"EC"},{"id":4,"name":"Milepost","value":"23.3372"},{"id":17,"name":"Train ID","value":"233-11"},{"id":16,"name":"Locomotive ID","value":"4003"},{"id":130,"name":"Impact","value":""},{"id":150,"name":"Time of Event (Mountain Time)","value":"22:38:21"},{"id":151,"name":"Denver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654</v>
      </c>
      <c r="B142" s="7">
        <v>4004</v>
      </c>
      <c r="C142" s="24" t="s">
        <v>106</v>
      </c>
      <c r="D142" s="24" t="s">
        <v>706</v>
      </c>
      <c r="E142" s="15">
        <v>42654.945914351854</v>
      </c>
      <c r="F142" s="15">
        <v>42654.955995370372</v>
      </c>
      <c r="G142" s="7">
        <v>2</v>
      </c>
      <c r="H142" s="15" t="s">
        <v>126</v>
      </c>
      <c r="I142" s="15">
        <v>42654.986134259256</v>
      </c>
      <c r="J142" s="7">
        <v>0</v>
      </c>
      <c r="K142" s="116" t="str">
        <f t="shared" si="61"/>
        <v>4003/4004</v>
      </c>
      <c r="L142" s="24" t="str">
        <f>VLOOKUP(A142,'Trips&amp;Operators'!$C$1:$E$10000,3,FALSE)</f>
        <v>YOUNG</v>
      </c>
      <c r="M142" s="6">
        <f t="shared" si="62"/>
        <v>3.0138888883811887E-2</v>
      </c>
      <c r="N142" s="7">
        <f t="shared" si="59"/>
        <v>43.399999992689118</v>
      </c>
      <c r="O142" s="7"/>
      <c r="P142" s="7"/>
      <c r="Q142" s="25"/>
      <c r="R142" s="25"/>
      <c r="S142" s="37">
        <f t="shared" si="60"/>
        <v>1</v>
      </c>
      <c r="T142" s="52" t="str">
        <f t="shared" si="63"/>
        <v>Southbound</v>
      </c>
      <c r="U142" s="15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21:42:07-0600',mode:absolute,to:'2016-10-12 00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2" s="54" t="str">
        <f t="shared" si="65"/>
        <v>N</v>
      </c>
      <c r="X142" s="163">
        <f t="shared" si="56"/>
        <v>1</v>
      </c>
      <c r="Y142" s="69">
        <f t="shared" si="57"/>
        <v>23.299399999999999</v>
      </c>
      <c r="Z142" s="69">
        <f t="shared" si="58"/>
        <v>1.54E-2</v>
      </c>
      <c r="AA142" s="69">
        <f t="shared" si="66"/>
        <v>23.283999999999999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67"/>
        <v>0234-11</v>
      </c>
      <c r="AE142" s="94" t="str">
        <f t="shared" si="68"/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AF142" s="91" t="str">
        <f t="shared" si="69"/>
        <v>"C:\Program Files (x86)\AstroGrep\AstroGrep.exe" /spath="%USERPROFILE%\AppData\Local\Temp\OnboardLogs" /stypes="app*4004*20161012*" /stext=" 05:.+((SYSTEM_STATE.+slice.+state.+changed )|(ment ac)|(system.+state.+changed )|(\[timeout)|(PRM\|1\|D)|(kpr)|(kdp)|(\|lc)|(penalty))" /e /r /s</v>
      </c>
      <c r="AG142" s="1" t="str">
        <f t="shared" si="70"/>
        <v>EC</v>
      </c>
      <c r="AH142" s="95" t="str">
        <f t="shared" si="47"/>
        <v>"%USERPROFILE%\Documents\GitHub\eaglep3\Utilities\RefineRTDCRunTimes.py" --tripid 234-11 --locoid 4004 --swversion DE.1.0.7.0 --startMP 204:232994 --initTime 2016-10-11T22:42:07 --startdatetime 2016-10-11T22:56:38 --delay 2 --endMP 204:154 --enddatetime 2016-10-11T23:40:02 --enforcementcount 0 &gt;&gt;C:\Users\stu\Documents\GitHub\eaglep3-reporting\EC\2016-10-11-refined-times.txt</v>
      </c>
      <c r="AI142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{"issue":{"subject":"","project_id":79,"tracker_id":40,"status_id":1,"priority_id":2,"assigned_to_id":23,"start_date":"2016-10-11","description":"","custom_fields":[{"id":1,"name":"Subdivision","value":"EC"},{"id":4,"name":"Milepost","value":"0.0154"},{"id":17,"name":"Train ID","value":"234-11"},{"id":16,"name":"Locomotive ID","value":"4004"},{"id":130,"name":"Impact","value":""},{"id":150,"name":"Time of Event (Mountain Time)","value":"23:40:02"},{"id":151,"name":"Denver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652</v>
      </c>
      <c r="B143" s="7">
        <v>4014</v>
      </c>
      <c r="C143" s="24" t="s">
        <v>106</v>
      </c>
      <c r="D143" s="24" t="s">
        <v>358</v>
      </c>
      <c r="E143" s="15">
        <v>42654.936550925922</v>
      </c>
      <c r="F143" s="15">
        <v>42654.937881944446</v>
      </c>
      <c r="G143" s="7">
        <v>1</v>
      </c>
      <c r="H143" s="15" t="s">
        <v>707</v>
      </c>
      <c r="I143" s="15">
        <v>42654.963402777779</v>
      </c>
      <c r="J143" s="7">
        <v>0</v>
      </c>
      <c r="K143" s="116" t="str">
        <f t="shared" si="61"/>
        <v>4013/4014</v>
      </c>
      <c r="L143" s="24" t="str">
        <f>VLOOKUP(A143,'Trips&amp;Operators'!$C$1:$E$10000,3,FALSE)</f>
        <v>CHANDLER</v>
      </c>
      <c r="M143" s="6">
        <f t="shared" si="62"/>
        <v>2.5520833332848269E-2</v>
      </c>
      <c r="N143" s="7">
        <f t="shared" si="59"/>
        <v>36.749999999301508</v>
      </c>
      <c r="O143" s="7"/>
      <c r="P143" s="7"/>
      <c r="Q143" s="25"/>
      <c r="R143" s="25"/>
      <c r="S143" s="37">
        <f t="shared" si="60"/>
        <v>1</v>
      </c>
      <c r="T143" s="52" t="str">
        <f t="shared" si="63"/>
        <v>NorthBound</v>
      </c>
      <c r="U143" s="15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21:28:38-0600',mode:absolute,to:'2016-10-12 00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3" s="54" t="str">
        <f t="shared" si="65"/>
        <v>N</v>
      </c>
      <c r="X143" s="163">
        <f t="shared" si="56"/>
        <v>1</v>
      </c>
      <c r="Y143" s="69">
        <f t="shared" si="57"/>
        <v>4.82E-2</v>
      </c>
      <c r="Z143" s="69">
        <f t="shared" si="58"/>
        <v>23.331399999999999</v>
      </c>
      <c r="AA143" s="69">
        <f t="shared" si="66"/>
        <v>23.283199999999997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67"/>
        <v>0235-11</v>
      </c>
      <c r="AE143" s="94" t="str">
        <f t="shared" si="68"/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AF143" s="91" t="str">
        <f t="shared" si="69"/>
        <v>"C:\Program Files (x86)\AstroGrep\AstroGrep.exe" /spath="%USERPROFILE%\AppData\Local\Temp\OnboardLogs" /stypes="app*4014*20161012*" /stext=" 05:.+((SYSTEM_STATE.+slice.+state.+changed )|(ment ac)|(system.+state.+changed )|(\[timeout)|(PRM\|1\|D)|(kpr)|(kdp)|(\|lc)|(penalty))" /e /r /s</v>
      </c>
      <c r="AG143" s="1" t="str">
        <f t="shared" si="70"/>
        <v>EC</v>
      </c>
      <c r="AH143" s="95" t="str">
        <f t="shared" si="47"/>
        <v>"%USERPROFILE%\Documents\GitHub\eaglep3\Utilities\RefineRTDCRunTimes.py" --tripid 235-11 --locoid 4014 --swversion DE.1.0.7.0 --startMP 204:482 --initTime 2016-10-11T22:28:38 --startdatetime 2016-10-11T22:30:33 --delay 1 --endMP 204:233314 --enddatetime 2016-10-11T23:07:18 --enforcementcount 0 &gt;&gt;C:\Users\stu\Documents\GitHub\eaglep3-reporting\EC\2016-10-11-refined-times.txt</v>
      </c>
      <c r="AI143" s="129" t="str">
        <f t="shared" si="48"/>
        <v>echo {"issue":{"subject":"","project_id":79,"tracker_id":40,"status_id":1,"priority_id":2,"assigned_to_id":23,"start_date":"2016-10-11","description":"","custom_fields":[{"id":1,"name":"Subdivision","value":"EC"},{"id":4,"name":"Milepost","value":"23.3314"},{"id":17,"name":"Train ID","value":"235-11"},{"id":16,"name":"Locomotive ID","value":"4014"},{"id":130,"name":"Impact","value":""},{"id":150,"name":"Time of Event (Mountain Time)","value":"23:07:18"},{"id":151,"name":"Denver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656</v>
      </c>
      <c r="B144" s="7">
        <v>4013</v>
      </c>
      <c r="C144" s="24" t="s">
        <v>106</v>
      </c>
      <c r="D144" s="24" t="s">
        <v>665</v>
      </c>
      <c r="E144" s="15">
        <v>42654.975578703707</v>
      </c>
      <c r="F144" s="15">
        <v>42654.9768287037</v>
      </c>
      <c r="G144" s="7">
        <v>1</v>
      </c>
      <c r="H144" s="15" t="s">
        <v>467</v>
      </c>
      <c r="I144" s="15">
        <v>42655.009641203702</v>
      </c>
      <c r="J144" s="7">
        <v>0</v>
      </c>
      <c r="K144" s="116" t="str">
        <f t="shared" si="61"/>
        <v>4013/4014</v>
      </c>
      <c r="L144" s="24" t="str">
        <f>VLOOKUP(A144,'Trips&amp;Operators'!$C$1:$E$10000,3,FALSE)</f>
        <v>CHANDLER</v>
      </c>
      <c r="M144" s="6">
        <f t="shared" si="62"/>
        <v>3.2812500001455192E-2</v>
      </c>
      <c r="N144" s="7">
        <f t="shared" si="59"/>
        <v>47.250000002095476</v>
      </c>
      <c r="O144" s="7"/>
      <c r="P144" s="7"/>
      <c r="Q144" s="25"/>
      <c r="R144" s="25"/>
      <c r="S144" s="37">
        <f t="shared" si="60"/>
        <v>1</v>
      </c>
      <c r="T144" s="52" t="str">
        <f t="shared" si="63"/>
        <v>Southbound</v>
      </c>
      <c r="U144" s="15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22:24:50-0600',mode:absolute,to:'2016-10-12 01:13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4" s="54" t="str">
        <f t="shared" si="65"/>
        <v>N</v>
      </c>
      <c r="X144" s="163">
        <f t="shared" si="56"/>
        <v>1</v>
      </c>
      <c r="Y144" s="69">
        <f t="shared" si="57"/>
        <v>23.297699999999999</v>
      </c>
      <c r="Z144" s="69">
        <f t="shared" si="58"/>
        <v>1.7399999999999999E-2</v>
      </c>
      <c r="AA144" s="69">
        <f t="shared" si="66"/>
        <v>23.2803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67"/>
        <v>0236-11</v>
      </c>
      <c r="AE144" s="94" t="str">
        <f t="shared" si="68"/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AF144" s="91" t="str">
        <f t="shared" si="69"/>
        <v>"C:\Program Files (x86)\AstroGrep\AstroGrep.exe" /spath="%USERPROFILE%\AppData\Local\Temp\OnboardLogs" /stypes="app*4013*20161012*" /stext=" 06:.+((SYSTEM_STATE.+slice.+state.+changed )|(ment ac)|(system.+state.+changed )|(\[timeout)|(PRM\|1\|D)|(kpr)|(kdp)|(\|lc)|(penalty))" /e /r /s</v>
      </c>
      <c r="AG144" s="1" t="str">
        <f t="shared" si="70"/>
        <v>EC</v>
      </c>
      <c r="AH144" s="95" t="str">
        <f t="shared" si="47"/>
        <v>"%USERPROFILE%\Documents\GitHub\eaglep3\Utilities\RefineRTDCRunTimes.py" --tripid 236-11 --locoid 4013 --swversion DE.1.0.7.0 --startMP 204:232977 --initTime 2016-10-11T23:24:50 --startdatetime 2016-10-11T23:26:38 --delay 1 --endMP 204:174 --enddatetime 2016-10-12T00:13:53 --enforcementcount 0 &gt;&gt;C:\Users\stu\Documents\GitHub\eaglep3-reporting\EC\2016-10-11-refined-times.txt</v>
      </c>
      <c r="AI144" s="129" t="str">
        <f t="shared" si="48"/>
        <v>echo {"issue":{"subject":"","project_id":79,"tracker_id":40,"status_id":1,"priority_id":2,"assigned_to_id":23,"start_date":"2016-10-12","description":"","custom_fields":[{"id":1,"name":"Subdivision","value":"EC"},{"id":4,"name":"Milepost","value":"0.0174"},{"id":17,"name":"Train ID","value":"236-11"},{"id":16,"name":"Locomotive ID","value":"4013"},{"id":130,"name":"Impact","value":""},{"id":150,"name":"Time of Event (Mountain Time)","value":"00:13:53"},{"id":151,"name":"Denver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655</v>
      </c>
      <c r="B145" s="7">
        <v>4029</v>
      </c>
      <c r="C145" s="24" t="s">
        <v>106</v>
      </c>
      <c r="D145" s="24" t="s">
        <v>194</v>
      </c>
      <c r="E145" s="15">
        <v>42654.954432870371</v>
      </c>
      <c r="F145" s="15">
        <v>42654.958923611113</v>
      </c>
      <c r="G145" s="7">
        <v>1</v>
      </c>
      <c r="H145" s="15" t="s">
        <v>253</v>
      </c>
      <c r="I145" s="15">
        <v>42654.984976851854</v>
      </c>
      <c r="J145" s="7">
        <v>0</v>
      </c>
      <c r="K145" s="116" t="str">
        <f t="shared" si="61"/>
        <v>4029/4030</v>
      </c>
      <c r="L145" s="24" t="str">
        <f>VLOOKUP(A145,'Trips&amp;Operators'!$C$1:$E$10000,3,FALSE)</f>
        <v>LEVERE</v>
      </c>
      <c r="M145" s="6">
        <f t="shared" si="62"/>
        <v>2.6053240741021E-2</v>
      </c>
      <c r="N145" s="7">
        <f t="shared" si="59"/>
        <v>37.51666666707024</v>
      </c>
      <c r="O145" s="7"/>
      <c r="P145" s="7"/>
      <c r="Q145" s="25"/>
      <c r="R145" s="25"/>
      <c r="S145" s="37">
        <f t="shared" si="60"/>
        <v>1</v>
      </c>
      <c r="T145" s="52" t="str">
        <f t="shared" si="63"/>
        <v>NorthBound</v>
      </c>
      <c r="U145" s="15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21:54:23-0600',mode:absolute,to:'2016-10-12 00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5" s="54" t="str">
        <f t="shared" si="65"/>
        <v>N</v>
      </c>
      <c r="X145" s="163">
        <f t="shared" ref="X145:X151" si="71">VALUE(LEFT(AD145,4))-VALUE(LEFT(AD144,4))</f>
        <v>1</v>
      </c>
      <c r="Y145" s="69">
        <f t="shared" si="57"/>
        <v>4.5499999999999999E-2</v>
      </c>
      <c r="Z145" s="69">
        <f t="shared" si="58"/>
        <v>23.329499999999999</v>
      </c>
      <c r="AA145" s="69">
        <f t="shared" si="66"/>
        <v>23.283999999999999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67"/>
        <v>0237-11</v>
      </c>
      <c r="AE145" s="94" t="str">
        <f t="shared" si="68"/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AF145" s="91" t="str">
        <f t="shared" si="69"/>
        <v>"C:\Program Files (x86)\AstroGrep\AstroGrep.exe" /spath="%USERPROFILE%\AppData\Local\Temp\OnboardLogs" /stypes="app*4029*20161012*" /stext=" 05:.+((SYSTEM_STATE.+slice.+state.+changed )|(ment ac)|(system.+state.+changed )|(\[timeout)|(PRM\|1\|D)|(kpr)|(kdp)|(\|lc)|(penalty))" /e /r /s</v>
      </c>
      <c r="AG145" s="1" t="str">
        <f t="shared" si="70"/>
        <v>EC</v>
      </c>
      <c r="AH145" s="95" t="str">
        <f t="shared" ref="AH145:AH210" si="72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237-11 --locoid 4029 --swversion DE.1.0.7.0 --startMP 204:455 --initTime 2016-10-11T22:54:23 --startdatetime 2016-10-11T23:00:51 --delay 1 --endMP 204:233295 --enddatetime 2016-10-11T23:38:22 --enforcementcount 0 &gt;&gt;C:\Users\stu\Documents\GitHub\eaglep3-reporting\EC\2016-10-11-refined-times.txt</v>
      </c>
      <c r="AI145" s="129" t="str">
        <f t="shared" ref="AI145:AI210" si="73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{"issue":{"subject":"","project_id":79,"tracker_id":40,"status_id":1,"priority_id":2,"assigned_to_id":23,"start_date":"2016-10-11","description":"","custom_fields":[{"id":1,"name":"Subdivision","value":"EC"},{"id":4,"name":"Milepost","value":"23.3295"},{"id":17,"name":"Train ID","value":"237-11"},{"id":16,"name":"Locomotive ID","value":"4029"},{"id":130,"name":"Impact","value":""},{"id":150,"name":"Time of Event (Mountain Time)","value":"23:38:22"},{"id":151,"name":"Denver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561</v>
      </c>
      <c r="B146" s="7">
        <v>4030</v>
      </c>
      <c r="C146" s="24" t="s">
        <v>106</v>
      </c>
      <c r="D146" s="24" t="s">
        <v>218</v>
      </c>
      <c r="E146" s="15">
        <v>42654.992951388886</v>
      </c>
      <c r="F146" s="15">
        <v>42654.997754629629</v>
      </c>
      <c r="G146" s="7">
        <v>1</v>
      </c>
      <c r="H146" s="15" t="s">
        <v>694</v>
      </c>
      <c r="I146" s="15">
        <v>42655.029143518521</v>
      </c>
      <c r="J146" s="7">
        <v>0</v>
      </c>
      <c r="K146" s="116" t="str">
        <f t="shared" si="61"/>
        <v>4029/4030</v>
      </c>
      <c r="L146" s="24" t="str">
        <f>VLOOKUP(A146,'Trips&amp;Operators'!$C$1:$E$10000,3,FALSE)</f>
        <v>LEVERE</v>
      </c>
      <c r="M146" s="6">
        <f t="shared" si="62"/>
        <v>3.1388888892251998E-2</v>
      </c>
      <c r="N146" s="7">
        <f t="shared" si="59"/>
        <v>45.200000004842877</v>
      </c>
      <c r="O146" s="7"/>
      <c r="P146" s="7"/>
      <c r="Q146" s="25"/>
      <c r="R146" s="25"/>
      <c r="S146" s="37">
        <f t="shared" si="60"/>
        <v>1</v>
      </c>
      <c r="T146" s="52" t="str">
        <f t="shared" si="63"/>
        <v>Southbound</v>
      </c>
      <c r="U146" s="15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22:49:51-0600',mode:absolute,to:'2016-10-12 01:41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6" s="54" t="str">
        <f t="shared" si="65"/>
        <v>N</v>
      </c>
      <c r="X146" s="163">
        <f t="shared" si="71"/>
        <v>1</v>
      </c>
      <c r="Y146" s="69">
        <f t="shared" si="57"/>
        <v>23.296900000000001</v>
      </c>
      <c r="Z146" s="69">
        <f t="shared" si="58"/>
        <v>1.9599999999999999E-2</v>
      </c>
      <c r="AA146" s="69">
        <f t="shared" si="66"/>
        <v>23.2773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67"/>
        <v>0238-11</v>
      </c>
      <c r="AE146" s="94" t="str">
        <f t="shared" si="68"/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AF146" s="91" t="str">
        <f t="shared" si="69"/>
        <v>"C:\Program Files (x86)\AstroGrep\AstroGrep.exe" /spath="%USERPROFILE%\AppData\Local\Temp\OnboardLogs" /stypes="app*4030*20161012*" /stext=" 06:.+((SYSTEM_STATE.+slice.+state.+changed )|(ment ac)|(system.+state.+changed )|(\[timeout)|(PRM\|1\|D)|(kpr)|(kdp)|(\|lc)|(penalty))" /e /r /s</v>
      </c>
      <c r="AG146" s="1" t="str">
        <f t="shared" si="70"/>
        <v>EC</v>
      </c>
      <c r="AH146" s="95" t="str">
        <f t="shared" si="72"/>
        <v>"%USERPROFILE%\Documents\GitHub\eaglep3\Utilities\RefineRTDCRunTimes.py" --tripid 238-11 --locoid 4030 --swversion DE.1.0.7.0 --startMP 204:232969 --initTime 2016-10-11T23:49:51 --startdatetime 2016-10-11T23:56:46 --delay 1 --endMP 204:196 --enddatetime 2016-10-12T00:41:58 --enforcementcount 0 &gt;&gt;C:\Users\stu\Documents\GitHub\eaglep3-reporting\EC\2016-10-11-refined-times.txt</v>
      </c>
      <c r="AI146" s="129" t="str">
        <f t="shared" si="73"/>
        <v>echo {"issue":{"subject":"","project_id":79,"tracker_id":40,"status_id":1,"priority_id":2,"assigned_to_id":23,"start_date":"2016-10-12","description":"","custom_fields":[{"id":1,"name":"Subdivision","value":"EC"},{"id":4,"name":"Milepost","value":"0.0196"},{"id":17,"name":"Train ID","value":"238-11"},{"id":16,"name":"Locomotive ID","value":"4030"},{"id":130,"name":"Impact","value":""},{"id":150,"name":"Time of Event (Mountain Time)","value":"00:41:58"},{"id":151,"name":"Denver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657</v>
      </c>
      <c r="B147" s="7">
        <v>4031</v>
      </c>
      <c r="C147" s="24" t="s">
        <v>106</v>
      </c>
      <c r="D147" s="24" t="s">
        <v>708</v>
      </c>
      <c r="E147" s="15">
        <v>42654.977384259262</v>
      </c>
      <c r="F147" s="15">
        <v>42654.979398148149</v>
      </c>
      <c r="G147" s="7">
        <v>1</v>
      </c>
      <c r="H147" s="15" t="s">
        <v>311</v>
      </c>
      <c r="I147" s="15">
        <v>42655.003912037035</v>
      </c>
      <c r="J147" s="7">
        <v>0</v>
      </c>
      <c r="K147" s="116" t="str">
        <f t="shared" si="61"/>
        <v>4031/4032</v>
      </c>
      <c r="L147" s="24" t="str">
        <f>VLOOKUP(A147,'Trips&amp;Operators'!$C$1:$E$10000,3,FALSE)</f>
        <v>COOLAHAN</v>
      </c>
      <c r="M147" s="6">
        <f t="shared" si="62"/>
        <v>2.4513888885849155E-2</v>
      </c>
      <c r="N147" s="7">
        <f t="shared" si="59"/>
        <v>35.299999995622784</v>
      </c>
      <c r="O147" s="7"/>
      <c r="P147" s="7"/>
      <c r="Q147" s="25"/>
      <c r="R147" s="25"/>
      <c r="S147" s="37">
        <f t="shared" si="60"/>
        <v>1</v>
      </c>
      <c r="T147" s="52" t="str">
        <f t="shared" si="63"/>
        <v>NorthBound</v>
      </c>
      <c r="U147" s="15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22:27:26-0600',mode:absolute,to:'2016-10-12 01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4" t="str">
        <f t="shared" si="65"/>
        <v>N</v>
      </c>
      <c r="X147" s="163">
        <f t="shared" si="71"/>
        <v>1</v>
      </c>
      <c r="Y147" s="69">
        <f t="shared" si="57"/>
        <v>5.0900000000000001E-2</v>
      </c>
      <c r="Z147" s="69">
        <f t="shared" si="58"/>
        <v>23.3307</v>
      </c>
      <c r="AA147" s="69">
        <f t="shared" si="66"/>
        <v>23.279800000000002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67"/>
        <v>0239-11</v>
      </c>
      <c r="AE147" s="94" t="str">
        <f t="shared" si="68"/>
        <v>aws s3 cp s3://rtdc.mdm.uploadarchive.raw/RTDC4031/ "%USERPROFILE%\AppData\Local\Temp\OnboardLogs"\RTDC4031\2016-10-11 --exclude "*" --recursive --include "*20161011*" &amp; "%USERPROFILE%\Documents\GitHub\mrs-test-scripts\Headless Mode &amp; Sideloading\WalkAndUnGZ.bat" "%USERPROFILE%\AppData\Local\Temp\OnboardLogs"\RTDC4031\2016-10-11 &amp; 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</v>
      </c>
      <c r="AF147" s="91" t="str">
        <f t="shared" si="69"/>
        <v>"C:\Program Files (x86)\AstroGrep\AstroGrep.exe" /spath="%USERPROFILE%\AppData\Local\Temp\OnboardLogs" /stypes="app*4031*20161012*" /stext=" 06:.+((SYSTEM_STATE.+slice.+state.+changed )|(ment ac)|(system.+state.+changed )|(\[timeout)|(PRM\|1\|D)|(kpr)|(kdp)|(\|lc)|(penalty))" /e /r /s</v>
      </c>
      <c r="AG147" s="1" t="str">
        <f t="shared" si="70"/>
        <v>EC</v>
      </c>
      <c r="AH147" s="95" t="str">
        <f t="shared" si="72"/>
        <v>"%USERPROFILE%\Documents\GitHub\eaglep3\Utilities\RefineRTDCRunTimes.py" --tripid 239-11 --locoid 4031 --swversion DE.1.0.7.0 --startMP 204:509 --initTime 2016-10-11T23:27:26 --startdatetime 2016-10-11T23:30:20 --delay 1 --endMP 204:233307 --enddatetime 2016-10-12T00:05:38 --enforcementcount 0 &gt;&gt;C:\Users\stu\Documents\GitHub\eaglep3-reporting\EC\2016-10-11-refined-times.txt</v>
      </c>
      <c r="AI147" s="129" t="str">
        <f t="shared" si="73"/>
        <v>echo {"issue":{"subject":"","project_id":79,"tracker_id":40,"status_id":1,"priority_id":2,"assigned_to_id":23,"start_date":"2016-10-12","description":"","custom_fields":[{"id":1,"name":"Subdivision","value":"EC"},{"id":4,"name":"Milepost","value":"23.3307"},{"id":17,"name":"Train ID","value":"239-11"},{"id":16,"name":"Locomotive ID","value":"4031"},{"id":130,"name":"Impact","value":""},{"id":150,"name":"Time of Event (Mountain Time)","value":"00:05:38"},{"id":151,"name":"Denver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562</v>
      </c>
      <c r="B148" s="7">
        <v>4032</v>
      </c>
      <c r="C148" s="24" t="s">
        <v>106</v>
      </c>
      <c r="D148" s="24" t="s">
        <v>457</v>
      </c>
      <c r="E148" s="15">
        <v>42655.015011574076</v>
      </c>
      <c r="F148" s="15">
        <v>42655.018287037034</v>
      </c>
      <c r="G148" s="7">
        <v>1</v>
      </c>
      <c r="H148" s="15" t="s">
        <v>190</v>
      </c>
      <c r="I148" s="15">
        <v>42655.044224537036</v>
      </c>
      <c r="J148" s="7">
        <v>0</v>
      </c>
      <c r="K148" s="116" t="str">
        <f t="shared" si="61"/>
        <v>4031/4032</v>
      </c>
      <c r="L148" s="24" t="str">
        <f>VLOOKUP(A148,'Trips&amp;Operators'!$C$1:$E$10000,3,FALSE)</f>
        <v>COOLAHAN</v>
      </c>
      <c r="M148" s="6">
        <f t="shared" si="62"/>
        <v>2.5937500002328306E-2</v>
      </c>
      <c r="N148" s="7">
        <f t="shared" si="59"/>
        <v>37.350000003352761</v>
      </c>
      <c r="O148" s="7"/>
      <c r="P148" s="7"/>
      <c r="Q148" s="25"/>
      <c r="R148" s="25"/>
      <c r="S148" s="37">
        <f t="shared" si="60"/>
        <v>1</v>
      </c>
      <c r="T148" s="52" t="str">
        <f t="shared" si="63"/>
        <v>Southbound</v>
      </c>
      <c r="U148" s="15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23:21:37-0600',mode:absolute,to:'2016-10-12 02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4" t="str">
        <f t="shared" si="65"/>
        <v>N</v>
      </c>
      <c r="X148" s="163">
        <f t="shared" si="71"/>
        <v>1</v>
      </c>
      <c r="Y148" s="69">
        <f t="shared" si="57"/>
        <v>23.298200000000001</v>
      </c>
      <c r="Z148" s="69">
        <f t="shared" si="58"/>
        <v>1.52E-2</v>
      </c>
      <c r="AA148" s="69">
        <f t="shared" si="66"/>
        <v>23.283000000000001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67"/>
        <v>0240-11</v>
      </c>
      <c r="AE148" s="94" t="str">
        <f t="shared" si="68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148" s="91" t="str">
        <f t="shared" si="69"/>
        <v>"C:\Program Files (x86)\AstroGrep\AstroGrep.exe" /spath="%USERPROFILE%\AppData\Local\Temp\OnboardLogs" /stypes="app*4032*20161012*" /stext=" 07:.+((SYSTEM_STATE.+slice.+state.+changed )|(ment ac)|(system.+state.+changed )|(\[timeout)|(PRM\|1\|D)|(kpr)|(kdp)|(\|lc)|(penalty))" /e /r /s</v>
      </c>
      <c r="AG148" s="1" t="str">
        <f t="shared" si="70"/>
        <v>EC</v>
      </c>
      <c r="AH148" s="95" t="str">
        <f t="shared" si="72"/>
        <v>"%USERPROFILE%\Documents\GitHub\eaglep3\Utilities\RefineRTDCRunTimes.py" --tripid 240-11 --locoid 4032 --swversion DE.1.0.7.0 --startMP 204:232982 --initTime 2016-10-12T00:21:37 --startdatetime 2016-10-12T00:26:20 --delay 1 --endMP 204:152 --enddatetime 2016-10-12T01:03:41 --enforcementcount 0 &gt;&gt;C:\Users\stu\Documents\GitHub\eaglep3-reporting\EC\2016-10-11-refined-times.txt</v>
      </c>
      <c r="AI148" s="129" t="str">
        <f t="shared" si="73"/>
        <v>echo {"issue":{"subject":"","project_id":79,"tracker_id":40,"status_id":1,"priority_id":2,"assigned_to_id":23,"start_date":"2016-10-12","description":"","custom_fields":[{"id":1,"name":"Subdivision","value":"EC"},{"id":4,"name":"Milepost","value":"0.0152"},{"id":17,"name":"Train ID","value":"240-11"},{"id":16,"name":"Locomotive ID","value":"4032"},{"id":130,"name":"Impact","value":""},{"id":150,"name":"Time of Event (Mountain Time)","value":"01:03:41"},{"id":151,"name":"Denver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658</v>
      </c>
      <c r="B149" s="7">
        <v>4003</v>
      </c>
      <c r="C149" s="24" t="s">
        <v>106</v>
      </c>
      <c r="D149" s="24" t="s">
        <v>222</v>
      </c>
      <c r="E149" s="15">
        <v>42654.990347222221</v>
      </c>
      <c r="F149" s="15">
        <v>42655.000162037039</v>
      </c>
      <c r="G149" s="7">
        <v>2</v>
      </c>
      <c r="H149" s="15" t="s">
        <v>289</v>
      </c>
      <c r="I149" s="15">
        <v>42655.025439814817</v>
      </c>
      <c r="J149" s="7">
        <v>0</v>
      </c>
      <c r="K149" s="116" t="str">
        <f t="shared" si="61"/>
        <v>4003/4004</v>
      </c>
      <c r="L149" s="24" t="str">
        <f>VLOOKUP(A149,'Trips&amp;Operators'!$C$1:$E$10000,3,FALSE)</f>
        <v>YANAI</v>
      </c>
      <c r="M149" s="6">
        <f t="shared" si="62"/>
        <v>2.527777777868323E-2</v>
      </c>
      <c r="N149" s="7">
        <f t="shared" si="59"/>
        <v>36.400000001303852</v>
      </c>
      <c r="O149" s="7"/>
      <c r="P149" s="7"/>
      <c r="Q149" s="25"/>
      <c r="R149" s="25"/>
      <c r="S149" s="37">
        <f t="shared" si="60"/>
        <v>1</v>
      </c>
      <c r="T149" s="52" t="str">
        <f t="shared" si="63"/>
        <v>NorthBound</v>
      </c>
      <c r="U149" s="15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22:46:06-0600',mode:absolute,to:'2016-10-12 01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9" s="54" t="str">
        <f t="shared" si="65"/>
        <v>N</v>
      </c>
      <c r="X149" s="163">
        <f t="shared" si="71"/>
        <v>1</v>
      </c>
      <c r="Y149" s="69">
        <f t="shared" si="57"/>
        <v>4.4699999999999997E-2</v>
      </c>
      <c r="Z149" s="69">
        <f t="shared" si="58"/>
        <v>23.328900000000001</v>
      </c>
      <c r="AA149" s="69">
        <f t="shared" si="66"/>
        <v>23.284200000000002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67"/>
        <v>0241-11</v>
      </c>
      <c r="AE149" s="94" t="str">
        <f t="shared" si="68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49" s="91" t="str">
        <f t="shared" si="69"/>
        <v>"C:\Program Files (x86)\AstroGrep\AstroGrep.exe" /spath="%USERPROFILE%\AppData\Local\Temp\OnboardLogs" /stypes="app*4003*20161012*" /stext=" 06:.+((SYSTEM_STATE.+slice.+state.+changed )|(ment ac)|(system.+state.+changed )|(\[timeout)|(PRM\|1\|D)|(kpr)|(kdp)|(\|lc)|(penalty))" /e /r /s</v>
      </c>
      <c r="AG149" s="1" t="str">
        <f t="shared" si="70"/>
        <v>EC</v>
      </c>
      <c r="AH149" s="95" t="str">
        <f t="shared" si="72"/>
        <v>"%USERPROFILE%\Documents\GitHub\eaglep3\Utilities\RefineRTDCRunTimes.py" --tripid 241-11 --locoid 4003 --swversion DE.1.0.7.0 --startMP 204:447 --initTime 2016-10-11T23:46:06 --startdatetime 2016-10-12T00:00:14 --delay 2 --endMP 204:233289 --enddatetime 2016-10-12T00:36:38 --enforcementcount 0 &gt;&gt;C:\Users\stu\Documents\GitHub\eaglep3-reporting\EC\2016-10-11-refined-times.txt</v>
      </c>
      <c r="AI149" s="129" t="str">
        <f t="shared" si="73"/>
        <v>echo {"issue":{"subject":"","project_id":79,"tracker_id":40,"status_id":1,"priority_id":2,"assigned_to_id":23,"start_date":"2016-10-12","description":"","custom_fields":[{"id":1,"name":"Subdivision","value":"EC"},{"id":4,"name":"Milepost","value":"23.3289"},{"id":17,"name":"Train ID","value":"241-11"},{"id":16,"name":"Locomotive ID","value":"4003"},{"id":130,"name":"Impact","value":""},{"id":150,"name":"Time of Event (Mountain Time)","value":"00:36:38"},{"id":151,"name":"Denver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563</v>
      </c>
      <c r="B150" s="7">
        <v>4004</v>
      </c>
      <c r="C150" s="24" t="s">
        <v>106</v>
      </c>
      <c r="D150" s="24" t="s">
        <v>218</v>
      </c>
      <c r="E150" s="15">
        <v>42655.036666666667</v>
      </c>
      <c r="F150" s="15">
        <v>42655.039143518516</v>
      </c>
      <c r="G150" s="7">
        <v>1</v>
      </c>
      <c r="H150" s="15" t="s">
        <v>709</v>
      </c>
      <c r="I150" s="15">
        <v>42655.066122685188</v>
      </c>
      <c r="J150" s="7">
        <v>0</v>
      </c>
      <c r="K150" s="116" t="str">
        <f t="shared" si="61"/>
        <v>4003/4004</v>
      </c>
      <c r="L150" s="24" t="str">
        <f>VLOOKUP(A150,'Trips&amp;Operators'!$C$1:$E$10000,3,FALSE)</f>
        <v>YANAI</v>
      </c>
      <c r="M150" s="6">
        <f t="shared" si="62"/>
        <v>2.697916667239042E-2</v>
      </c>
      <c r="N150" s="7">
        <f t="shared" si="59"/>
        <v>38.850000008242205</v>
      </c>
      <c r="O150" s="7"/>
      <c r="P150" s="7"/>
      <c r="Q150" s="25"/>
      <c r="R150" s="25"/>
      <c r="S150" s="37">
        <f t="shared" si="60"/>
        <v>1</v>
      </c>
      <c r="T150" s="52" t="str">
        <f t="shared" si="63"/>
        <v>Southbound</v>
      </c>
      <c r="U150" s="15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23:52:48-0600',mode:absolute,to:'2016-10-12 02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0" s="54" t="str">
        <f t="shared" si="65"/>
        <v>N</v>
      </c>
      <c r="X150" s="163">
        <f t="shared" si="71"/>
        <v>1</v>
      </c>
      <c r="Y150" s="69">
        <f t="shared" si="57"/>
        <v>23.296900000000001</v>
      </c>
      <c r="Z150" s="69">
        <f t="shared" si="58"/>
        <v>1.0800000000000001E-2</v>
      </c>
      <c r="AA150" s="69">
        <f t="shared" si="66"/>
        <v>23.286100000000001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67"/>
        <v>0242-11</v>
      </c>
      <c r="AE150" s="94" t="str">
        <f t="shared" si="68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0" s="91" t="str">
        <f t="shared" si="69"/>
        <v>"C:\Program Files (x86)\AstroGrep\AstroGrep.exe" /spath="%USERPROFILE%\AppData\Local\Temp\OnboardLogs" /stypes="app*4004*20161012*" /stext=" 07:.+((SYSTEM_STATE.+slice.+state.+changed )|(ment ac)|(system.+state.+changed )|(\[timeout)|(PRM\|1\|D)|(kpr)|(kdp)|(\|lc)|(penalty))" /e /r /s</v>
      </c>
      <c r="AG150" s="1" t="str">
        <f t="shared" si="70"/>
        <v>EC</v>
      </c>
      <c r="AH150" s="95" t="str">
        <f t="shared" si="72"/>
        <v>"%USERPROFILE%\Documents\GitHub\eaglep3\Utilities\RefineRTDCRunTimes.py" --tripid 242-11 --locoid 4004 --swversion DE.1.0.7.0 --startMP 204:232969 --initTime 2016-10-12T00:52:48 --startdatetime 2016-10-12T00:56:22 --delay 1 --endMP 204:108 --enddatetime 2016-10-12T01:35:13 --enforcementcount 0 &gt;&gt;C:\Users\stu\Documents\GitHub\eaglep3-reporting\EC\2016-10-11-refined-times.txt</v>
      </c>
      <c r="AI150" s="129" t="str">
        <f t="shared" si="73"/>
        <v>echo {"issue":{"subject":"","project_id":79,"tracker_id":40,"status_id":1,"priority_id":2,"assigned_to_id":23,"start_date":"2016-10-12","description":"","custom_fields":[{"id":1,"name":"Subdivision","value":"EC"},{"id":4,"name":"Milepost","value":"0.0108"},{"id":17,"name":"Train ID","value":"242-11"},{"id":16,"name":"Locomotive ID","value":"4004"},{"id":130,"name":"Impact","value":""},{"id":150,"name":"Time of Event (Mountain Time)","value":"01:35:13"},{"id":151,"name":"Denver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659</v>
      </c>
      <c r="B151" s="7">
        <v>4014</v>
      </c>
      <c r="C151" s="24" t="s">
        <v>106</v>
      </c>
      <c r="D151" s="24" t="s">
        <v>710</v>
      </c>
      <c r="E151" s="15">
        <v>42655.020601851851</v>
      </c>
      <c r="F151" s="15">
        <v>42655.02171296296</v>
      </c>
      <c r="G151" s="7">
        <v>1</v>
      </c>
      <c r="H151" s="15" t="s">
        <v>289</v>
      </c>
      <c r="I151" s="15">
        <v>42655.039490740739</v>
      </c>
      <c r="J151" s="7">
        <v>0</v>
      </c>
      <c r="K151" s="116" t="str">
        <f t="shared" si="61"/>
        <v>4013/4014</v>
      </c>
      <c r="L151" s="24" t="str">
        <f>VLOOKUP(A151,'Trips&amp;Operators'!$C$1:$E$10000,3,FALSE)</f>
        <v>CHANDLER</v>
      </c>
      <c r="M151" s="6">
        <f t="shared" si="62"/>
        <v>1.7777777778974269E-2</v>
      </c>
      <c r="N151" s="7"/>
      <c r="O151" s="7"/>
      <c r="P151" s="7">
        <f>24*60*SUM($M151:$M152)</f>
        <v>36.700000008568168</v>
      </c>
      <c r="Q151" s="25"/>
      <c r="R151" s="25" t="s">
        <v>780</v>
      </c>
      <c r="S151" s="37">
        <f>SUM(U151:U152)/IF(AG151="EC",12,1)</f>
        <v>1</v>
      </c>
      <c r="T151" s="52" t="str">
        <f t="shared" si="63"/>
        <v>NorthBound</v>
      </c>
      <c r="U151" s="15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23:29:40-0600',mode:absolute,to:'2016-10-12 01:56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1" s="54" t="str">
        <f t="shared" si="65"/>
        <v>Y</v>
      </c>
      <c r="X151" s="163">
        <f t="shared" si="71"/>
        <v>1</v>
      </c>
      <c r="Y151" s="69">
        <f t="shared" si="57"/>
        <v>4.9500000000000002E-2</v>
      </c>
      <c r="Z151" s="69">
        <v>14.4924</v>
      </c>
      <c r="AA151" s="69">
        <f t="shared" si="66"/>
        <v>14.4429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67"/>
        <v>0243-11</v>
      </c>
      <c r="AE151" s="94" t="str">
        <f t="shared" si="68"/>
        <v>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 &amp; aws s3 cp s3://rtdc.mdm.uploadarchive.raw/RTDC4014/ "%USERPROFILE%\AppData\Local\Temp\OnboardLogs"\RTDC4014\2016-10-13 --exclude "*" --recursive --include "*20161013*" &amp; "%USERPROFILE%\Documents\GitHub\mrs-test-scripts\Headless Mode &amp; Sideloading\WalkAndUnGZ.bat" "%USERPROFILE%\AppData\Local\Temp\OnboardLogs"\RTDC4014\2016-10-13</v>
      </c>
      <c r="AF151" s="91" t="str">
        <f t="shared" si="69"/>
        <v>"C:\Program Files (x86)\AstroGrep\AstroGrep.exe" /spath="%USERPROFILE%\AppData\Local\Temp\OnboardLogs" /stypes="app*4014*20161012*" /stext=" 06:.+((SYSTEM_STATE.+slice.+state.+changed )|(ment ac)|(system.+state.+changed )|(\[timeout)|(PRM\|1\|D)|(kpr)|(kdp)|(\|lc)|(penalty))" /e /r /s</v>
      </c>
      <c r="AG151" s="1" t="str">
        <f t="shared" si="70"/>
        <v>EC</v>
      </c>
      <c r="AH151" s="95" t="str">
        <f t="shared" si="72"/>
        <v>"%USERPROFILE%\Documents\GitHub\eaglep3\Utilities\RefineRTDCRunTimes.py" --tripid 243-11 --locoid 4014 --swversion DE.1.0.7.0 --startMP 204:495 --initTime 2016-10-12T00:29:40 --startdatetime 2016-10-12T00:31:16 --delay 1 --endMP 204:233289 --enddatetime 2016-10-12T00:56:52 --enforcementcount 0 &gt;&gt;C:\Users\stu\Documents\GitHub\eaglep3-reporting\EC\2016-10-11-refined-times.txt</v>
      </c>
      <c r="AI151" s="129" t="str">
        <f t="shared" si="73"/>
        <v>echo {"issue":{"subject":"Mechanical issue - Wheel tach slip","project_id":79,"tracker_id":40,"status_id":1,"priority_id":2,"assigned_to_id":23,"start_date":"2016-10-12","description":"Wheel tach slippage detected at 2016-10-12 00:57:52. Made the train go disengaged for about 1 mile","custom_fields":[{"id":1,"name":"Subdivision","value":"EC"},{"id":4,"name":"Milepost","value":"14.4924"},{"id":17,"name":"Train ID","value":"243-11"},{"id":16,"name":"Locomotive ID","value":"4014"},{"id":130,"name":"Impact","value":"Unexpected Cut-Out or Disengaged"},{"id":150,"name":"Time of Event (Mountain Time)","value":"00:56:52"},{"id":151,"name":"Denver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1" s="55" t="s">
        <v>781</v>
      </c>
      <c r="AK151" s="55" t="s">
        <v>140</v>
      </c>
      <c r="AL151" s="55" t="s">
        <v>198</v>
      </c>
    </row>
    <row r="152" spans="1:38" s="23" customFormat="1" x14ac:dyDescent="0.25">
      <c r="A152" s="39" t="s">
        <v>659</v>
      </c>
      <c r="B152" s="7">
        <v>4014</v>
      </c>
      <c r="C152" s="24" t="s">
        <v>106</v>
      </c>
      <c r="D152" s="24" t="s">
        <v>710</v>
      </c>
      <c r="E152" s="15">
        <v>42655.020601851851</v>
      </c>
      <c r="F152" s="15">
        <v>42655.040300925924</v>
      </c>
      <c r="G152" s="7">
        <v>1</v>
      </c>
      <c r="H152" s="15" t="s">
        <v>289</v>
      </c>
      <c r="I152" s="15">
        <v>42655.048009259262</v>
      </c>
      <c r="J152" s="7">
        <v>0</v>
      </c>
      <c r="K152" s="116" t="str">
        <f t="shared" si="61"/>
        <v>4013/4014</v>
      </c>
      <c r="L152" s="24" t="str">
        <f>VLOOKUP(A152,'Trips&amp;Operators'!$C$1:$E$10000,3,FALSE)</f>
        <v>CHANDLER</v>
      </c>
      <c r="M152" s="6">
        <f t="shared" si="62"/>
        <v>7.708333338086959E-3</v>
      </c>
      <c r="N152" s="7"/>
      <c r="O152" s="7"/>
      <c r="P152" s="7"/>
      <c r="Q152" s="25"/>
      <c r="R152" s="25"/>
      <c r="S152" s="37"/>
      <c r="T152" s="52" t="str">
        <f t="shared" si="63"/>
        <v>NorthBound</v>
      </c>
      <c r="U152" s="15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23:29:40-0600',mode:absolute,to:'2016-10-12 02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2" s="54" t="str">
        <f t="shared" si="65"/>
        <v>Y</v>
      </c>
      <c r="X152" s="163">
        <f t="shared" ref="X152:X153" si="74">VALUE(LEFT(AD152,4))-VALUE(LEFT(AD151,4))</f>
        <v>0</v>
      </c>
      <c r="Y152" s="69">
        <v>15.434200000000001</v>
      </c>
      <c r="Z152" s="69">
        <f t="shared" ref="Z152:Z166" si="75">RIGHT(H152,LEN(H152)-4)/10000</f>
        <v>23.328900000000001</v>
      </c>
      <c r="AA152" s="69">
        <f t="shared" si="66"/>
        <v>7.8947000000000003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67"/>
        <v>0243-11</v>
      </c>
      <c r="AE152" s="94" t="str">
        <f t="shared" si="68"/>
        <v>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 &amp; aws s3 cp s3://rtdc.mdm.uploadarchive.raw/RTDC4014/ "%USERPROFILE%\AppData\Local\Temp\OnboardLogs"\RTDC4014\2016-10-13 --exclude "*" --recursive --include "*20161013*" &amp; "%USERPROFILE%\Documents\GitHub\mrs-test-scripts\Headless Mode &amp; Sideloading\WalkAndUnGZ.bat" "%USERPROFILE%\AppData\Local\Temp\OnboardLogs"\RTDC4014\2016-10-13</v>
      </c>
      <c r="AF152" s="91" t="str">
        <f t="shared" si="69"/>
        <v>"C:\Program Files (x86)\AstroGrep\AstroGrep.exe" /spath="%USERPROFILE%\AppData\Local\Temp\OnboardLogs" /stypes="app*4014*20161012*" /stext=" 07:.+((SYSTEM_STATE.+slice.+state.+changed )|(ment ac)|(system.+state.+changed )|(\[timeout)|(PRM\|1\|D)|(kpr)|(kdp)|(\|lc)|(penalty))" /e /r /s</v>
      </c>
      <c r="AG152" s="1" t="str">
        <f t="shared" si="70"/>
        <v>EC</v>
      </c>
      <c r="AH152" s="95" t="str">
        <f t="shared" ref="AH152" si="76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243-11 --locoid 4014 --swversion DE.1.0.7.0 --startMP 204:495 --initTime 2016-10-12T00:29:40 --startdatetime 2016-10-12T00:58:02 --delay 1 --endMP 204:233289 --enddatetime 2016-10-12T01:09:08 --enforcementcount 0 &gt;&gt;C:\Users\stu\Documents\GitHub\eaglep3-reporting\EC\2016-10-11-refined-times.txt</v>
      </c>
      <c r="AI152" s="129" t="str">
        <f t="shared" ref="AI152" si="77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{"issue":{"subject":"","project_id":79,"tracker_id":40,"status_id":1,"priority_id":2,"assigned_to_id":23,"start_date":"2016-10-12","description":"","custom_fields":[{"id":1,"name":"Subdivision","value":"EC"},{"id":4,"name":"Milepost","value":"23.3289"},{"id":17,"name":"Train ID","value":"243-11"},{"id":16,"name":"Locomotive ID","value":"4014"},{"id":130,"name":"Impact","value":""},{"id":150,"name":"Time of Event (Mountain Time)","value":"01:09:08"},{"id":151,"name":"Denver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662</v>
      </c>
      <c r="B153" s="7">
        <v>4013</v>
      </c>
      <c r="C153" s="24" t="s">
        <v>106</v>
      </c>
      <c r="D153" s="24" t="s">
        <v>282</v>
      </c>
      <c r="E153" s="15">
        <v>42655.055300925924</v>
      </c>
      <c r="F153" s="15">
        <v>42655.060266203705</v>
      </c>
      <c r="G153" s="7">
        <v>1</v>
      </c>
      <c r="H153" s="15" t="s">
        <v>711</v>
      </c>
      <c r="I153" s="15">
        <v>42655.076678240737</v>
      </c>
      <c r="J153" s="7">
        <v>0</v>
      </c>
      <c r="K153" s="116" t="str">
        <f t="shared" si="61"/>
        <v>4013/4014</v>
      </c>
      <c r="L153" s="24" t="str">
        <f>VLOOKUP(A153,'Trips&amp;Operators'!$C$1:$E$10000,3,FALSE)</f>
        <v>CHANDLER</v>
      </c>
      <c r="M153" s="6">
        <f t="shared" si="62"/>
        <v>1.6412037031841464E-2</v>
      </c>
      <c r="N153" s="7"/>
      <c r="O153" s="7"/>
      <c r="P153" s="7">
        <f>24*60*SUM($M153:$M153)</f>
        <v>23.633333325851709</v>
      </c>
      <c r="Q153" s="25"/>
      <c r="R153" s="25" t="s">
        <v>782</v>
      </c>
      <c r="S153" s="37">
        <f t="shared" ref="S153:S184" si="78">SUM(U153:U153)/IF(AG153="EC",12,1)</f>
        <v>0.25</v>
      </c>
      <c r="T153" s="52" t="str">
        <f t="shared" si="63"/>
        <v>Southbound</v>
      </c>
      <c r="U153" s="15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3</v>
      </c>
      <c r="V153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https://search-rtdc-monitor-bjffxe2xuh6vdkpspy63sjmuny.us-east-1.es.amazonaws.com/_plugin/kibana/#/discover/Steve-Slow-Train-Analysis-(2080s-and-2083s)?_g=(refreshInterval:(display:Off,section:0,value:0),time:(from:'2016-10-12 00:19:38-0600',mode:absolute,to:'2016-10-12 02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3" s="54" t="str">
        <f t="shared" si="65"/>
        <v>Y</v>
      </c>
      <c r="X153" s="163">
        <f t="shared" si="74"/>
        <v>1</v>
      </c>
      <c r="Y153" s="69">
        <f t="shared" ref="Y153:Y174" si="79">RIGHT(D153,LEN(D153)-4)/10000</f>
        <v>23.296299999999999</v>
      </c>
      <c r="Z153" s="69">
        <f t="shared" si="75"/>
        <v>6.4169</v>
      </c>
      <c r="AA153" s="69">
        <f t="shared" si="66"/>
        <v>16.879399999999997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67"/>
        <v>0244-11</v>
      </c>
      <c r="AE153" s="94" t="str">
        <f t="shared" si="68"/>
        <v>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 &amp; aws s3 cp s3://rtdc.mdm.uploadarchive.raw/RTDC4013/ "%USERPROFILE%\AppData\Local\Temp\OnboardLogs"\RTDC4013\2016-10-13 --exclude "*" --recursive --include "*20161013*" &amp; "%USERPROFILE%\Documents\GitHub\mrs-test-scripts\Headless Mode &amp; Sideloading\WalkAndUnGZ.bat" "%USERPROFILE%\AppData\Local\Temp\OnboardLogs"\RTDC4013\2016-10-13</v>
      </c>
      <c r="AF153" s="91" t="str">
        <f t="shared" si="69"/>
        <v>"C:\Program Files (x86)\AstroGrep\AstroGrep.exe" /spath="%USERPROFILE%\AppData\Local\Temp\OnboardLogs" /stypes="app*4013*20161012*" /stext=" 07:.+((SYSTEM_STATE.+slice.+state.+changed )|(ment ac)|(system.+state.+changed )|(\[timeout)|(PRM\|1\|D)|(kpr)|(kdp)|(\|lc)|(penalty))" /e /r /s</v>
      </c>
      <c r="AG153" s="1" t="str">
        <f t="shared" si="70"/>
        <v>EC</v>
      </c>
      <c r="AH153" s="95" t="str">
        <f t="shared" si="72"/>
        <v>"%USERPROFILE%\Documents\GitHub\eaglep3\Utilities\RefineRTDCRunTimes.py" --tripid 244-11 --locoid 4013 --swversion DE.1.0.7.0 --startMP 204:232963 --initTime 2016-10-12T01:19:38 --startdatetime 2016-10-12T01:26:47 --delay 1 --endMP 204:64169 --enddatetime 2016-10-12T01:50:25 --enforcementcount 0 &gt;&gt;C:\Users\stu\Documents\GitHub\eaglep3-reporting\EC\2016-10-11-refined-times.txt</v>
      </c>
      <c r="AI153" s="129" t="str">
        <f t="shared" si="73"/>
        <v>echo {"issue":{"subject":"18 wheeler knocked crossing arm","project_id":79,"tracker_id":40,"status_id":1,"priority_id":2,"assigned_to_id":23,"start_date":"2016-10-12","description":"","custom_fields":[{"id":1,"name":"Subdivision","value":"EC"},{"id":4,"name":"Milepost","value":"6.4169"},{"id":17,"name":"Train ID","value":"244-11"},{"id":16,"name":"Locomotive ID","value":"4013"},{"id":130,"name":"Impact","value":""},{"id":150,"name":"Time of Event (Mountain Time)","value":"01:50:25"},{"id":151,"name":"Denver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482</v>
      </c>
      <c r="B154" s="7">
        <v>4017</v>
      </c>
      <c r="C154" s="24" t="s">
        <v>106</v>
      </c>
      <c r="D154" s="24" t="s">
        <v>307</v>
      </c>
      <c r="E154" s="15">
        <v>42654.215763888889</v>
      </c>
      <c r="F154" s="15">
        <v>42654.21738425926</v>
      </c>
      <c r="G154" s="7">
        <v>1</v>
      </c>
      <c r="H154" s="15" t="s">
        <v>483</v>
      </c>
      <c r="I154" s="15">
        <v>42654.228275462963</v>
      </c>
      <c r="J154" s="7">
        <v>0</v>
      </c>
      <c r="K154" s="116" t="str">
        <f t="shared" si="61"/>
        <v>4017/4018</v>
      </c>
      <c r="L154" s="24" t="str">
        <f>VLOOKUP(A154,'Trips&amp;Operators'!$C$1:$E$10000,3,FALSE)</f>
        <v>HILLS</v>
      </c>
      <c r="M154" s="6">
        <f t="shared" si="62"/>
        <v>1.0891203703067731E-2</v>
      </c>
      <c r="N154" s="7">
        <f t="shared" ref="N154:N167" si="80">24*60*SUM($M154:$M154)</f>
        <v>15.683333332417533</v>
      </c>
      <c r="O154" s="7"/>
      <c r="P154" s="7"/>
      <c r="Q154" s="25"/>
      <c r="R154" s="25"/>
      <c r="S154" s="37">
        <f t="shared" si="78"/>
        <v>1</v>
      </c>
      <c r="T154" s="52" t="str">
        <f t="shared" si="63"/>
        <v>Southbound</v>
      </c>
      <c r="U154" s="15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04:10:42-0600',mode:absolute,to:'2016-10-11 06:28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4" s="54" t="str">
        <f t="shared" si="65"/>
        <v>N</v>
      </c>
      <c r="X154" s="163">
        <f t="shared" ref="X154:X175" si="81">VALUE(LEFT(AD154,4))-VALUE(LEFT(AD153,4))</f>
        <v>556</v>
      </c>
      <c r="Y154" s="69">
        <f t="shared" si="79"/>
        <v>5.8658000000000001</v>
      </c>
      <c r="Z154" s="69">
        <f t="shared" si="75"/>
        <v>7.0599999999999996E-2</v>
      </c>
      <c r="AA154" s="69">
        <f t="shared" si="66"/>
        <v>5.7952000000000004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67"/>
        <v>0800-11</v>
      </c>
      <c r="AE154" s="94" t="str">
        <f t="shared" si="68"/>
        <v>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 &amp; 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</v>
      </c>
      <c r="AF154" s="91" t="str">
        <f t="shared" si="69"/>
        <v>"C:\Program Files (x86)\AstroGrep\AstroGrep.exe" /spath="%USERPROFILE%\AppData\Local\Temp\OnboardLogs" /stypes="app*4017*20161011*" /stext=" 11:.+((SYSTEM_STATE.+slice.+state.+changed )|(ment ac)|(system.+state.+changed )|(\[timeout)|(PRM\|1\|D)|(kpr)|(kdp)|(\|lc)|(penalty))" /e /r /s</v>
      </c>
      <c r="AG154" s="1" t="str">
        <f t="shared" si="70"/>
        <v>NW</v>
      </c>
      <c r="AH154" s="95" t="str">
        <f t="shared" si="72"/>
        <v>"%USERPROFILE%\Documents\GitHub\eaglep3\Utilities\RefineRTDCRunTimes.py" --tripid 800-11 --locoid 4017 --swversion DE.1.0.7.0 --startMP 300:58658 --initTime 2016-10-11T05:10:42 --startdatetime 2016-10-11T05:13:02 --delay 1 --endMP 204:706 --enddatetime 2016-10-11T05:28:43 --enforcementcount 0 &gt;&gt;C:\Users\stu\Documents\GitHub\eaglep3-reporting\EC\2016-10-11-refined-times.txt</v>
      </c>
      <c r="AI154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{"issue":{"subject":"","project_id":79,"tracker_id":40,"status_id":1,"priority_id":2,"assigned_to_id":23,"start_date":"2016-10-11","description":"","custom_fields":[{"id":1,"name":"Subdivision","value":"NW"},{"id":4,"name":"Milepost","value":"0.0706"},{"id":17,"name":"Train ID","value":"800-11"},{"id":16,"name":"Locomotive ID","value":"4017"},{"id":130,"name":"Impact","value":""},{"id":150,"name":"Time of Event (Mountain Time)","value":"05:28:43"},{"id":151,"name":"Denver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484</v>
      </c>
      <c r="B155" s="7">
        <v>4018</v>
      </c>
      <c r="C155" s="24" t="s">
        <v>106</v>
      </c>
      <c r="D155" s="24" t="s">
        <v>485</v>
      </c>
      <c r="E155" s="15">
        <v>42654.229722222219</v>
      </c>
      <c r="F155" s="15">
        <v>42654.244155092594</v>
      </c>
      <c r="G155" s="7">
        <v>1</v>
      </c>
      <c r="H155" s="15" t="s">
        <v>486</v>
      </c>
      <c r="I155" s="15">
        <v>42654.254421296297</v>
      </c>
      <c r="J155" s="7">
        <v>0</v>
      </c>
      <c r="K155" s="116" t="str">
        <f t="shared" si="61"/>
        <v>4017/4018</v>
      </c>
      <c r="L155" s="24" t="str">
        <f>VLOOKUP(A155,'Trips&amp;Operators'!$C$1:$E$10000,3,FALSE)</f>
        <v>HILLS</v>
      </c>
      <c r="M155" s="6">
        <f t="shared" si="62"/>
        <v>1.0266203702485655E-2</v>
      </c>
      <c r="N155" s="7">
        <f t="shared" si="80"/>
        <v>14.783333331579342</v>
      </c>
      <c r="O155" s="7"/>
      <c r="P155" s="7"/>
      <c r="Q155" s="25"/>
      <c r="R155" s="25"/>
      <c r="S155" s="37">
        <f t="shared" si="78"/>
        <v>1</v>
      </c>
      <c r="T155" s="52" t="str">
        <f t="shared" si="63"/>
        <v>NorthBound</v>
      </c>
      <c r="U155" s="15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04:30:48-0600',mode:absolute,to:'2016-10-11 07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5" s="54" t="str">
        <f t="shared" si="65"/>
        <v>N</v>
      </c>
      <c r="X155" s="163">
        <f t="shared" si="81"/>
        <v>1</v>
      </c>
      <c r="Y155" s="69">
        <f t="shared" si="79"/>
        <v>0.1</v>
      </c>
      <c r="Z155" s="69">
        <f t="shared" si="75"/>
        <v>5.8971</v>
      </c>
      <c r="AA155" s="69">
        <f t="shared" si="66"/>
        <v>5.7971000000000004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67"/>
        <v>0801-11</v>
      </c>
      <c r="AE155" s="94" t="str">
        <f t="shared" si="68"/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AF155" s="91" t="str">
        <f t="shared" si="69"/>
        <v>"C:\Program Files (x86)\AstroGrep\AstroGrep.exe" /spath="%USERPROFILE%\AppData\Local\Temp\OnboardLogs" /stypes="app*4018*20161011*" /stext=" 12:.+((SYSTEM_STATE.+slice.+state.+changed )|(ment ac)|(system.+state.+changed )|(\[timeout)|(PRM\|1\|D)|(kpr)|(kdp)|(\|lc)|(penalty))" /e /r /s</v>
      </c>
      <c r="AG155" s="1" t="str">
        <f t="shared" si="70"/>
        <v>NW</v>
      </c>
      <c r="AH155" s="95" t="str">
        <f t="shared" si="72"/>
        <v>"%USERPROFILE%\Documents\GitHub\eaglep3\Utilities\RefineRTDCRunTimes.py" --tripid 801-11 --locoid 4018 --swversion DE.1.0.7.0 --startMP 204:1000 --initTime 2016-10-11T05:30:48 --startdatetime 2016-10-11T05:51:35 --delay 1 --endMP 300:58971 --enddatetime 2016-10-11T06:06:22 --enforcementcount 0 &gt;&gt;C:\Users\stu\Documents\GitHub\eaglep3-reporting\EC\2016-10-11-refined-times.txt</v>
      </c>
      <c r="AI155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{"issue":{"subject":"","project_id":79,"tracker_id":40,"status_id":1,"priority_id":2,"assigned_to_id":23,"start_date":"2016-10-11","description":"","custom_fields":[{"id":1,"name":"Subdivision","value":"NW"},{"id":4,"name":"Milepost","value":"5.8971"},{"id":17,"name":"Train ID","value":"801-11"},{"id":16,"name":"Locomotive ID","value":"4018"},{"id":130,"name":"Impact","value":""},{"id":150,"name":"Time of Event (Mountain Time)","value":"06:06:22"},{"id":151,"name":"Denver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487</v>
      </c>
      <c r="B156" s="7">
        <v>4017</v>
      </c>
      <c r="C156" s="24" t="s">
        <v>106</v>
      </c>
      <c r="D156" s="24" t="s">
        <v>488</v>
      </c>
      <c r="E156" s="15">
        <v>42654.255578703705</v>
      </c>
      <c r="F156" s="15">
        <v>42654.25712962963</v>
      </c>
      <c r="G156" s="7">
        <v>1</v>
      </c>
      <c r="H156" s="15" t="s">
        <v>368</v>
      </c>
      <c r="I156" s="15">
        <v>42654.268263888887</v>
      </c>
      <c r="J156" s="7">
        <v>0</v>
      </c>
      <c r="K156" s="116" t="str">
        <f t="shared" si="61"/>
        <v>4017/4018</v>
      </c>
      <c r="L156" s="24" t="str">
        <f>VLOOKUP(A156,'Trips&amp;Operators'!$C$1:$E$10000,3,FALSE)</f>
        <v>HILLS</v>
      </c>
      <c r="M156" s="6">
        <f t="shared" si="62"/>
        <v>1.113425925723277E-2</v>
      </c>
      <c r="N156" s="7">
        <f t="shared" si="80"/>
        <v>16.033333330415189</v>
      </c>
      <c r="O156" s="7"/>
      <c r="P156" s="7"/>
      <c r="Q156" s="25"/>
      <c r="R156" s="25"/>
      <c r="S156" s="37">
        <f t="shared" si="78"/>
        <v>1</v>
      </c>
      <c r="T156" s="52" t="str">
        <f t="shared" si="63"/>
        <v>Southbound</v>
      </c>
      <c r="U156" s="15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05:08:02-0600',mode:absolute,to:'2016-10-11 07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6" s="54" t="str">
        <f t="shared" si="65"/>
        <v>N</v>
      </c>
      <c r="X156" s="163">
        <f t="shared" si="81"/>
        <v>1</v>
      </c>
      <c r="Y156" s="69">
        <f t="shared" si="79"/>
        <v>5.8659999999999997</v>
      </c>
      <c r="Z156" s="69">
        <f t="shared" si="75"/>
        <v>6.9099999999999995E-2</v>
      </c>
      <c r="AA156" s="69">
        <f t="shared" si="66"/>
        <v>5.7968999999999999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67"/>
        <v>0802-11</v>
      </c>
      <c r="AE156" s="94" t="str">
        <f t="shared" si="68"/>
        <v>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 &amp; 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</v>
      </c>
      <c r="AF156" s="91" t="str">
        <f t="shared" si="69"/>
        <v>"C:\Program Files (x86)\AstroGrep\AstroGrep.exe" /spath="%USERPROFILE%\AppData\Local\Temp\OnboardLogs" /stypes="app*4017*20161011*" /stext=" 12:.+((SYSTEM_STATE.+slice.+state.+changed )|(ment ac)|(system.+state.+changed )|(\[timeout)|(PRM\|1\|D)|(kpr)|(kdp)|(\|lc)|(penalty))" /e /r /s</v>
      </c>
      <c r="AG156" s="1" t="str">
        <f t="shared" si="70"/>
        <v>NW</v>
      </c>
      <c r="AH156" s="95" t="str">
        <f t="shared" si="72"/>
        <v>"%USERPROFILE%\Documents\GitHub\eaglep3\Utilities\RefineRTDCRunTimes.py" --tripid 802-11 --locoid 4017 --swversion DE.1.0.7.0 --startMP 300:58660 --initTime 2016-10-11T06:08:02 --startdatetime 2016-10-11T06:10:16 --delay 1 --endMP 204:691 --enddatetime 2016-10-11T06:26:18 --enforcementcount 0 &gt;&gt;C:\Users\stu\Documents\GitHub\eaglep3-reporting\EC\2016-10-11-refined-times.txt</v>
      </c>
      <c r="AI156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{"issue":{"subject":"","project_id":79,"tracker_id":40,"status_id":1,"priority_id":2,"assigned_to_id":23,"start_date":"2016-10-11","description":"","custom_fields":[{"id":1,"name":"Subdivision","value":"NW"},{"id":4,"name":"Milepost","value":"0.0691"},{"id":17,"name":"Train ID","value":"802-11"},{"id":16,"name":"Locomotive ID","value":"4017"},{"id":130,"name":"Impact","value":""},{"id":150,"name":"Time of Event (Mountain Time)","value":"06:26:18"},{"id":151,"name":"Denver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489</v>
      </c>
      <c r="B157" s="7">
        <v>4044</v>
      </c>
      <c r="C157" s="24" t="s">
        <v>106</v>
      </c>
      <c r="D157" s="24" t="s">
        <v>490</v>
      </c>
      <c r="E157" s="15">
        <v>42654.261087962965</v>
      </c>
      <c r="F157" s="15">
        <v>42654.264814814815</v>
      </c>
      <c r="G157" s="7">
        <v>1</v>
      </c>
      <c r="H157" s="15" t="s">
        <v>491</v>
      </c>
      <c r="I157" s="15">
        <v>42654.273842592593</v>
      </c>
      <c r="J157" s="7">
        <v>0</v>
      </c>
      <c r="K157" s="116" t="str">
        <f t="shared" si="61"/>
        <v>4043/4044</v>
      </c>
      <c r="L157" s="24" t="str">
        <f>VLOOKUP(A157,'Trips&amp;Operators'!$C$1:$E$10000,3,FALSE)</f>
        <v>LEVIN</v>
      </c>
      <c r="M157" s="6">
        <f t="shared" si="62"/>
        <v>9.0277777781011537E-3</v>
      </c>
      <c r="N157" s="7">
        <f t="shared" si="80"/>
        <v>13.000000000465661</v>
      </c>
      <c r="O157" s="7"/>
      <c r="P157" s="7"/>
      <c r="Q157" s="25"/>
      <c r="R157" s="25"/>
      <c r="S157" s="37">
        <f t="shared" si="78"/>
        <v>1</v>
      </c>
      <c r="T157" s="52" t="str">
        <f t="shared" si="63"/>
        <v>NorthBound</v>
      </c>
      <c r="U157" s="15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05:15:58-0600',mode:absolute,to:'2016-10-11 07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7" s="54" t="str">
        <f t="shared" si="65"/>
        <v>N</v>
      </c>
      <c r="X157" s="163">
        <f t="shared" si="81"/>
        <v>1</v>
      </c>
      <c r="Y157" s="69">
        <f t="shared" si="79"/>
        <v>9.6699999999999994E-2</v>
      </c>
      <c r="Z157" s="69">
        <f t="shared" si="75"/>
        <v>5.8935000000000004</v>
      </c>
      <c r="AA157" s="69">
        <f t="shared" si="66"/>
        <v>5.7968000000000002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67"/>
        <v>0803-11</v>
      </c>
      <c r="AE157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57" s="91" t="str">
        <f t="shared" si="69"/>
        <v>"C:\Program Files (x86)\AstroGrep\AstroGrep.exe" /spath="%USERPROFILE%\AppData\Local\Temp\OnboardLogs" /stypes="app*4044*20161011*" /stext=" 12:.+((SYSTEM_STATE.+slice.+state.+changed )|(ment ac)|(system.+state.+changed )|(\[timeout)|(PRM\|1\|D)|(kpr)|(kdp)|(\|lc)|(penalty))" /e /r /s</v>
      </c>
      <c r="AG157" s="1" t="str">
        <f t="shared" si="70"/>
        <v>NW</v>
      </c>
      <c r="AH157" s="95" t="str">
        <f t="shared" si="72"/>
        <v>"%USERPROFILE%\Documents\GitHub\eaglep3\Utilities\RefineRTDCRunTimes.py" --tripid 803-11 --locoid 4044 --swversion DE.1.0.7.0 --startMP 204:967 --initTime 2016-10-11T06:15:58 --startdatetime 2016-10-11T06:21:20 --delay 1 --endMP 300:58935 --enddatetime 2016-10-11T06:34:20 --enforcementcount 0 &gt;&gt;C:\Users\stu\Documents\GitHub\eaglep3-reporting\EC\2016-10-11-refined-times.txt</v>
      </c>
      <c r="AI157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{"issue":{"subject":"","project_id":79,"tracker_id":40,"status_id":1,"priority_id":2,"assigned_to_id":23,"start_date":"2016-10-11","description":"","custom_fields":[{"id":1,"name":"Subdivision","value":"NW"},{"id":4,"name":"Milepost","value":"5.8935"},{"id":17,"name":"Train ID","value":"803-11"},{"id":16,"name":"Locomotive ID","value":"4044"},{"id":130,"name":"Impact","value":""},{"id":150,"name":"Time of Event (Mountain Time)","value":"06:34:20"},{"id":151,"name":"Denver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492</v>
      </c>
      <c r="B158" s="7">
        <v>4043</v>
      </c>
      <c r="C158" s="24" t="s">
        <v>106</v>
      </c>
      <c r="D158" s="24" t="s">
        <v>361</v>
      </c>
      <c r="E158" s="15">
        <v>42654.274791666663</v>
      </c>
      <c r="F158" s="15">
        <v>42654.277187500003</v>
      </c>
      <c r="G158" s="7">
        <v>1</v>
      </c>
      <c r="H158" s="15" t="s">
        <v>362</v>
      </c>
      <c r="I158" s="15">
        <v>42654.288761574076</v>
      </c>
      <c r="J158" s="7">
        <v>0</v>
      </c>
      <c r="K158" s="116" t="str">
        <f t="shared" si="61"/>
        <v>4043/4044</v>
      </c>
      <c r="L158" s="24" t="str">
        <f>VLOOKUP(A158,'Trips&amp;Operators'!$C$1:$E$10000,3,FALSE)</f>
        <v>LEVIN</v>
      </c>
      <c r="M158" s="6">
        <f t="shared" si="62"/>
        <v>1.1574074072996154E-2</v>
      </c>
      <c r="N158" s="7">
        <f t="shared" si="80"/>
        <v>16.666666665114462</v>
      </c>
      <c r="O158" s="7"/>
      <c r="P158" s="7"/>
      <c r="Q158" s="25"/>
      <c r="R158" s="25"/>
      <c r="S158" s="37">
        <f t="shared" si="78"/>
        <v>1</v>
      </c>
      <c r="T158" s="52" t="str">
        <f t="shared" si="63"/>
        <v>Southbound</v>
      </c>
      <c r="U158" s="15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05:35:42-0600',mode:absolute,to:'2016-10-11 07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8" s="54" t="str">
        <f t="shared" si="65"/>
        <v>N</v>
      </c>
      <c r="X158" s="163">
        <f t="shared" si="81"/>
        <v>1</v>
      </c>
      <c r="Y158" s="69">
        <f t="shared" si="79"/>
        <v>5.8613</v>
      </c>
      <c r="Z158" s="69">
        <f t="shared" si="75"/>
        <v>7.22E-2</v>
      </c>
      <c r="AA158" s="69">
        <f t="shared" si="66"/>
        <v>5.7891000000000004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67"/>
        <v>0804-11</v>
      </c>
      <c r="AE158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58" s="91" t="str">
        <f t="shared" si="69"/>
        <v>"C:\Program Files (x86)\AstroGrep\AstroGrep.exe" /spath="%USERPROFILE%\AppData\Local\Temp\OnboardLogs" /stypes="app*4043*20161011*" /stext=" 12:.+((SYSTEM_STATE.+slice.+state.+changed )|(ment ac)|(system.+state.+changed )|(\[timeout)|(PRM\|1\|D)|(kpr)|(kdp)|(\|lc)|(penalty))" /e /r /s</v>
      </c>
      <c r="AG158" s="1" t="str">
        <f t="shared" si="70"/>
        <v>NW</v>
      </c>
      <c r="AH158" s="95" t="str">
        <f t="shared" si="72"/>
        <v>"%USERPROFILE%\Documents\GitHub\eaglep3\Utilities\RefineRTDCRunTimes.py" --tripid 804-11 --locoid 4043 --swversion DE.1.0.7.0 --startMP 300:58613 --initTime 2016-10-11T06:35:42 --startdatetime 2016-10-11T06:39:09 --delay 1 --endMP 204:722 --enddatetime 2016-10-11T06:55:49 --enforcementcount 0 &gt;&gt;C:\Users\stu\Documents\GitHub\eaglep3-reporting\EC\2016-10-11-refined-times.txt</v>
      </c>
      <c r="AI158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{"issue":{"subject":"","project_id":79,"tracker_id":40,"status_id":1,"priority_id":2,"assigned_to_id":23,"start_date":"2016-10-11","description":"","custom_fields":[{"id":1,"name":"Subdivision","value":"NW"},{"id":4,"name":"Milepost","value":"0.0722"},{"id":17,"name":"Train ID","value":"804-11"},{"id":16,"name":"Locomotive ID","value":"4043"},{"id":130,"name":"Impact","value":""},{"id":150,"name":"Time of Event (Mountain Time)","value":"06:55:49"},{"id":151,"name":"Denver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493</v>
      </c>
      <c r="B159" s="7">
        <v>4018</v>
      </c>
      <c r="C159" s="24" t="s">
        <v>106</v>
      </c>
      <c r="D159" s="24" t="s">
        <v>494</v>
      </c>
      <c r="E159" s="15">
        <v>42654.269733796296</v>
      </c>
      <c r="F159" s="15">
        <v>42654.286122685182</v>
      </c>
      <c r="G159" s="7">
        <v>1</v>
      </c>
      <c r="H159" s="15" t="s">
        <v>495</v>
      </c>
      <c r="I159" s="15">
        <v>42654.295810185184</v>
      </c>
      <c r="J159" s="7">
        <v>0</v>
      </c>
      <c r="K159" s="116" t="str">
        <f t="shared" si="61"/>
        <v>4017/4018</v>
      </c>
      <c r="L159" s="24" t="str">
        <f>VLOOKUP(A159,'Trips&amp;Operators'!$C$1:$E$10000,3,FALSE)</f>
        <v>HILLS</v>
      </c>
      <c r="M159" s="6">
        <f t="shared" si="62"/>
        <v>9.6875000017462298E-3</v>
      </c>
      <c r="N159" s="7">
        <f t="shared" si="80"/>
        <v>13.950000002514571</v>
      </c>
      <c r="O159" s="7"/>
      <c r="P159" s="7"/>
      <c r="Q159" s="25"/>
      <c r="R159" s="25"/>
      <c r="S159" s="37">
        <f t="shared" si="78"/>
        <v>1</v>
      </c>
      <c r="T159" s="52" t="str">
        <f t="shared" si="63"/>
        <v>NorthBound</v>
      </c>
      <c r="U159" s="15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05:28:25-0600',mode:absolute,to:'2016-10-11 08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9" s="54" t="str">
        <f t="shared" si="65"/>
        <v>N</v>
      </c>
      <c r="X159" s="163">
        <f t="shared" si="81"/>
        <v>1</v>
      </c>
      <c r="Y159" s="69">
        <f t="shared" si="79"/>
        <v>9.8500000000000004E-2</v>
      </c>
      <c r="Z159" s="69">
        <f t="shared" si="75"/>
        <v>5.8982000000000001</v>
      </c>
      <c r="AA159" s="69">
        <f t="shared" si="66"/>
        <v>5.7997000000000005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67"/>
        <v>0805-11</v>
      </c>
      <c r="AE159" s="94" t="str">
        <f t="shared" si="68"/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AF159" s="91" t="str">
        <f t="shared" si="69"/>
        <v>"C:\Program Files (x86)\AstroGrep\AstroGrep.exe" /spath="%USERPROFILE%\AppData\Local\Temp\OnboardLogs" /stypes="app*4018*20161011*" /stext=" 13:.+((SYSTEM_STATE.+slice.+state.+changed )|(ment ac)|(system.+state.+changed )|(\[timeout)|(PRM\|1\|D)|(kpr)|(kdp)|(\|lc)|(penalty))" /e /r /s</v>
      </c>
      <c r="AG159" s="1" t="str">
        <f t="shared" si="70"/>
        <v>NW</v>
      </c>
      <c r="AH159" s="95" t="str">
        <f t="shared" si="72"/>
        <v>"%USERPROFILE%\Documents\GitHub\eaglep3\Utilities\RefineRTDCRunTimes.py" --tripid 805-11 --locoid 4018 --swversion DE.1.0.7.0 --startMP 204:985 --initTime 2016-10-11T06:28:25 --startdatetime 2016-10-11T06:52:01 --delay 1 --endMP 300:58982 --enddatetime 2016-10-11T07:05:58 --enforcementcount 0 &gt;&gt;C:\Users\stu\Documents\GitHub\eaglep3-reporting\EC\2016-10-11-refined-times.txt</v>
      </c>
      <c r="AI159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{"issue":{"subject":"","project_id":79,"tracker_id":40,"status_id":1,"priority_id":2,"assigned_to_id":23,"start_date":"2016-10-11","description":"","custom_fields":[{"id":1,"name":"Subdivision","value":"NW"},{"id":4,"name":"Milepost","value":"5.8982"},{"id":17,"name":"Train ID","value":"805-11"},{"id":16,"name":"Locomotive ID","value":"4018"},{"id":130,"name":"Impact","value":""},{"id":150,"name":"Time of Event (Mountain Time)","value":"07:05:58"},{"id":151,"name":"Denver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496</v>
      </c>
      <c r="B160" s="7">
        <v>4017</v>
      </c>
      <c r="C160" s="24" t="s">
        <v>106</v>
      </c>
      <c r="D160" s="24" t="s">
        <v>497</v>
      </c>
      <c r="E160" s="15">
        <v>42654.297002314815</v>
      </c>
      <c r="F160" s="15">
        <v>42654.298449074071</v>
      </c>
      <c r="G160" s="7">
        <v>1</v>
      </c>
      <c r="H160" s="15" t="s">
        <v>498</v>
      </c>
      <c r="I160" s="15">
        <v>42654.309699074074</v>
      </c>
      <c r="J160" s="7">
        <v>0</v>
      </c>
      <c r="K160" s="116" t="str">
        <f t="shared" si="61"/>
        <v>4017/4018</v>
      </c>
      <c r="L160" s="24" t="str">
        <f>VLOOKUP(A160,'Trips&amp;Operators'!$C$1:$E$10000,3,FALSE)</f>
        <v>HILLS</v>
      </c>
      <c r="M160" s="6">
        <f t="shared" si="62"/>
        <v>1.1250000003201421E-2</v>
      </c>
      <c r="N160" s="7">
        <f t="shared" si="80"/>
        <v>16.200000004610047</v>
      </c>
      <c r="O160" s="7"/>
      <c r="P160" s="7"/>
      <c r="Q160" s="25"/>
      <c r="R160" s="25"/>
      <c r="S160" s="37">
        <f t="shared" si="78"/>
        <v>1</v>
      </c>
      <c r="T160" s="52" t="str">
        <f t="shared" si="63"/>
        <v>Southbound</v>
      </c>
      <c r="U160" s="15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06:07:41-0600',mode:absolute,to:'2016-10-11 08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0" s="54" t="str">
        <f t="shared" si="65"/>
        <v>N</v>
      </c>
      <c r="X160" s="163">
        <f t="shared" si="81"/>
        <v>1</v>
      </c>
      <c r="Y160" s="69">
        <f t="shared" si="79"/>
        <v>5.867</v>
      </c>
      <c r="Z160" s="69">
        <f t="shared" si="75"/>
        <v>7.3099999999999998E-2</v>
      </c>
      <c r="AA160" s="69">
        <f t="shared" si="66"/>
        <v>5.7938999999999998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67"/>
        <v>0806-11</v>
      </c>
      <c r="AE160" s="94" t="str">
        <f t="shared" si="68"/>
        <v>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 &amp; 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</v>
      </c>
      <c r="AF160" s="91" t="str">
        <f t="shared" si="69"/>
        <v>"C:\Program Files (x86)\AstroGrep\AstroGrep.exe" /spath="%USERPROFILE%\AppData\Local\Temp\OnboardLogs" /stypes="app*4017*20161011*" /stext=" 13:.+((SYSTEM_STATE.+slice.+state.+changed )|(ment ac)|(system.+state.+changed )|(\[timeout)|(PRM\|1\|D)|(kpr)|(kdp)|(\|lc)|(penalty))" /e /r /s</v>
      </c>
      <c r="AG160" s="1" t="str">
        <f t="shared" si="70"/>
        <v>NW</v>
      </c>
      <c r="AH160" s="95" t="str">
        <f t="shared" si="72"/>
        <v>"%USERPROFILE%\Documents\GitHub\eaglep3\Utilities\RefineRTDCRunTimes.py" --tripid 806-11 --locoid 4017 --swversion DE.1.0.7.0 --startMP 300:58670 --initTime 2016-10-11T07:07:41 --startdatetime 2016-10-11T07:09:46 --delay 1 --endMP 204:731 --enddatetime 2016-10-11T07:25:58 --enforcementcount 0 &gt;&gt;C:\Users\stu\Documents\GitHub\eaglep3-reporting\EC\2016-10-11-refined-times.txt</v>
      </c>
      <c r="AI160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{"issue":{"subject":"","project_id":79,"tracker_id":40,"status_id":1,"priority_id":2,"assigned_to_id":23,"start_date":"2016-10-11","description":"","custom_fields":[{"id":1,"name":"Subdivision","value":"NW"},{"id":4,"name":"Milepost","value":"0.0731"},{"id":17,"name":"Train ID","value":"806-11"},{"id":16,"name":"Locomotive ID","value":"4017"},{"id":130,"name":"Impact","value":""},{"id":150,"name":"Time of Event (Mountain Time)","value":"07:25:58"},{"id":151,"name":"Denver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499</v>
      </c>
      <c r="B161" s="7">
        <v>4044</v>
      </c>
      <c r="C161" s="24" t="s">
        <v>106</v>
      </c>
      <c r="D161" s="24" t="s">
        <v>500</v>
      </c>
      <c r="E161" s="15">
        <v>42654.303703703707</v>
      </c>
      <c r="F161" s="15">
        <v>42654.306435185186</v>
      </c>
      <c r="G161" s="7">
        <v>1</v>
      </c>
      <c r="H161" s="15" t="s">
        <v>501</v>
      </c>
      <c r="I161" s="15">
        <v>42654.315335648149</v>
      </c>
      <c r="J161" s="7">
        <v>0</v>
      </c>
      <c r="K161" s="116" t="str">
        <f t="shared" si="61"/>
        <v>4043/4044</v>
      </c>
      <c r="L161" s="24" t="str">
        <f>VLOOKUP(A161,'Trips&amp;Operators'!$C$1:$E$10000,3,FALSE)</f>
        <v>LEVIN</v>
      </c>
      <c r="M161" s="6">
        <f t="shared" si="62"/>
        <v>8.9004629626288079E-3</v>
      </c>
      <c r="N161" s="7">
        <f t="shared" si="80"/>
        <v>12.816666666185483</v>
      </c>
      <c r="O161" s="7"/>
      <c r="P161" s="7"/>
      <c r="Q161" s="25"/>
      <c r="R161" s="25"/>
      <c r="S161" s="37">
        <f t="shared" si="78"/>
        <v>1</v>
      </c>
      <c r="T161" s="52" t="str">
        <f t="shared" si="63"/>
        <v>NorthBound</v>
      </c>
      <c r="U161" s="15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06:17:20-0600',mode:absolute,to:'2016-10-11 08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1" s="54" t="str">
        <f t="shared" si="65"/>
        <v>N</v>
      </c>
      <c r="X161" s="163">
        <f t="shared" si="81"/>
        <v>1</v>
      </c>
      <c r="Y161" s="69">
        <f t="shared" si="79"/>
        <v>0.1007</v>
      </c>
      <c r="Z161" s="69">
        <f t="shared" si="75"/>
        <v>5.8928000000000003</v>
      </c>
      <c r="AA161" s="69">
        <f t="shared" si="66"/>
        <v>5.7921000000000005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67"/>
        <v>0807-11</v>
      </c>
      <c r="AE161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61" s="91" t="str">
        <f t="shared" si="69"/>
        <v>"C:\Program Files (x86)\AstroGrep\AstroGrep.exe" /spath="%USERPROFILE%\AppData\Local\Temp\OnboardLogs" /stypes="app*4044*20161011*" /stext=" 13:.+((SYSTEM_STATE.+slice.+state.+changed )|(ment ac)|(system.+state.+changed )|(\[timeout)|(PRM\|1\|D)|(kpr)|(kdp)|(\|lc)|(penalty))" /e /r /s</v>
      </c>
      <c r="AG161" s="1" t="str">
        <f t="shared" si="70"/>
        <v>NW</v>
      </c>
      <c r="AH161" s="95" t="str">
        <f t="shared" si="72"/>
        <v>"%USERPROFILE%\Documents\GitHub\eaglep3\Utilities\RefineRTDCRunTimes.py" --tripid 807-11 --locoid 4044 --swversion DE.1.0.7.0 --startMP 204:1007 --initTime 2016-10-11T07:17:20 --startdatetime 2016-10-11T07:21:16 --delay 1 --endMP 300:58928 --enddatetime 2016-10-11T07:34:05 --enforcementcount 0 &gt;&gt;C:\Users\stu\Documents\GitHub\eaglep3-reporting\EC\2016-10-11-refined-times.txt</v>
      </c>
      <c r="AI161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{"issue":{"subject":"","project_id":79,"tracker_id":40,"status_id":1,"priority_id":2,"assigned_to_id":23,"start_date":"2016-10-11","description":"","custom_fields":[{"id":1,"name":"Subdivision","value":"NW"},{"id":4,"name":"Milepost","value":"5.8928"},{"id":17,"name":"Train ID","value":"807-11"},{"id":16,"name":"Locomotive ID","value":"4044"},{"id":130,"name":"Impact","value":""},{"id":150,"name":"Time of Event (Mountain Time)","value":"07:34:05"},{"id":151,"name":"Denver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502</v>
      </c>
      <c r="B162" s="7">
        <v>4043</v>
      </c>
      <c r="C162" s="24" t="s">
        <v>106</v>
      </c>
      <c r="D162" s="24" t="s">
        <v>361</v>
      </c>
      <c r="E162" s="15">
        <v>42654.316307870373</v>
      </c>
      <c r="F162" s="15">
        <v>42654.317418981482</v>
      </c>
      <c r="G162" s="7">
        <v>0</v>
      </c>
      <c r="H162" s="15" t="s">
        <v>363</v>
      </c>
      <c r="I162" s="15">
        <v>42654.330659722225</v>
      </c>
      <c r="J162" s="7">
        <v>0</v>
      </c>
      <c r="K162" s="116" t="str">
        <f t="shared" si="61"/>
        <v>4043/4044</v>
      </c>
      <c r="L162" s="24" t="str">
        <f>VLOOKUP(A162,'Trips&amp;Operators'!$C$1:$E$10000,3,FALSE)</f>
        <v>LEVIN</v>
      </c>
      <c r="M162" s="6">
        <f t="shared" si="62"/>
        <v>1.3240740743640345E-2</v>
      </c>
      <c r="N162" s="7">
        <f t="shared" si="80"/>
        <v>19.066666670842096</v>
      </c>
      <c r="O162" s="7"/>
      <c r="P162" s="7"/>
      <c r="Q162" s="25"/>
      <c r="R162" s="25"/>
      <c r="S162" s="37">
        <f t="shared" si="78"/>
        <v>1</v>
      </c>
      <c r="T162" s="52" t="str">
        <f t="shared" si="63"/>
        <v>Southbound</v>
      </c>
      <c r="U162" s="15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06:35:29-0600',mode:absolute,to:'2016-10-11 08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2" s="54" t="str">
        <f t="shared" si="65"/>
        <v>N</v>
      </c>
      <c r="X162" s="163">
        <f t="shared" si="81"/>
        <v>1</v>
      </c>
      <c r="Y162" s="69">
        <f t="shared" si="79"/>
        <v>5.8613</v>
      </c>
      <c r="Z162" s="69">
        <f t="shared" si="75"/>
        <v>6.8900000000000003E-2</v>
      </c>
      <c r="AA162" s="69">
        <f t="shared" si="66"/>
        <v>5.7923999999999998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67"/>
        <v>0808-11</v>
      </c>
      <c r="AE162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62" s="91" t="str">
        <f t="shared" si="69"/>
        <v>"C:\Program Files (x86)\AstroGrep\AstroGrep.exe" /spath="%USERPROFILE%\AppData\Local\Temp\OnboardLogs" /stypes="app*4043*20161011*" /stext=" 13:.+((SYSTEM_STATE.+slice.+state.+changed )|(ment ac)|(system.+state.+changed )|(\[timeout)|(PRM\|1\|D)|(kpr)|(kdp)|(\|lc)|(penalty))" /e /r /s</v>
      </c>
      <c r="AG162" s="1" t="str">
        <f t="shared" si="70"/>
        <v>NW</v>
      </c>
      <c r="AH162" s="95" t="str">
        <f t="shared" si="72"/>
        <v>"%USERPROFILE%\Documents\GitHub\eaglep3\Utilities\RefineRTDCRunTimes.py" --tripid 808-11 --locoid 4043 --swversion DE.1.0.7.0 --startMP 300:58613 --initTime 2016-10-11T07:35:29 --startdatetime 2016-10-11T07:37:05 --delay 0 --endMP 204:689 --enddatetime 2016-10-11T07:56:09 --enforcementcount 0 &gt;&gt;C:\Users\stu\Documents\GitHub\eaglep3-reporting\EC\2016-10-11-refined-times.txt</v>
      </c>
      <c r="AI162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{"issue":{"subject":"","project_id":79,"tracker_id":40,"status_id":1,"priority_id":2,"assigned_to_id":23,"start_date":"2016-10-11","description":"","custom_fields":[{"id":1,"name":"Subdivision","value":"NW"},{"id":4,"name":"Milepost","value":"0.0689"},{"id":17,"name":"Train ID","value":"808-11"},{"id":16,"name":"Locomotive ID","value":"4043"},{"id":130,"name":"Impact","value":""},{"id":150,"name":"Time of Event (Mountain Time)","value":"07:56:09"},{"id":151,"name":"Denver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503</v>
      </c>
      <c r="B163" s="7">
        <v>4018</v>
      </c>
      <c r="C163" s="24" t="s">
        <v>106</v>
      </c>
      <c r="D163" s="24" t="s">
        <v>504</v>
      </c>
      <c r="E163" s="15">
        <v>42654.311238425929</v>
      </c>
      <c r="F163" s="15">
        <v>42654.327407407407</v>
      </c>
      <c r="G163" s="7">
        <v>1</v>
      </c>
      <c r="H163" s="15" t="s">
        <v>505</v>
      </c>
      <c r="I163" s="15">
        <v>42654.336689814816</v>
      </c>
      <c r="J163" s="7">
        <v>0</v>
      </c>
      <c r="K163" s="116" t="str">
        <f t="shared" si="61"/>
        <v>4017/4018</v>
      </c>
      <c r="L163" s="24" t="str">
        <f>VLOOKUP(A163,'Trips&amp;Operators'!$C$1:$E$10000,3,FALSE)</f>
        <v>HILLS</v>
      </c>
      <c r="M163" s="6">
        <f t="shared" si="62"/>
        <v>9.2824074090458453E-3</v>
      </c>
      <c r="N163" s="7">
        <f t="shared" si="80"/>
        <v>13.366666669026017</v>
      </c>
      <c r="O163" s="7"/>
      <c r="P163" s="7"/>
      <c r="Q163" s="25"/>
      <c r="R163" s="25"/>
      <c r="S163" s="37">
        <f t="shared" si="78"/>
        <v>1</v>
      </c>
      <c r="T163" s="52" t="str">
        <f t="shared" si="63"/>
        <v>NorthBound</v>
      </c>
      <c r="U163" s="15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06:28:11-0600',mode:absolute,to:'2016-10-11 09:04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3" s="54" t="str">
        <f t="shared" si="65"/>
        <v>N</v>
      </c>
      <c r="X163" s="163">
        <f t="shared" si="81"/>
        <v>1</v>
      </c>
      <c r="Y163" s="69">
        <f t="shared" si="79"/>
        <v>0.1016</v>
      </c>
      <c r="Z163" s="69">
        <f t="shared" si="75"/>
        <v>5.9006999999999996</v>
      </c>
      <c r="AA163" s="69">
        <f t="shared" si="66"/>
        <v>5.7990999999999993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67"/>
        <v>0809-11</v>
      </c>
      <c r="AE163" s="94" t="str">
        <f t="shared" si="68"/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AF163" s="91" t="str">
        <f t="shared" si="69"/>
        <v>"C:\Program Files (x86)\AstroGrep\AstroGrep.exe" /spath="%USERPROFILE%\AppData\Local\Temp\OnboardLogs" /stypes="app*4018*20161011*" /stext=" 14:.+((SYSTEM_STATE.+slice.+state.+changed )|(ment ac)|(system.+state.+changed )|(\[timeout)|(PRM\|1\|D)|(kpr)|(kdp)|(\|lc)|(penalty))" /e /r /s</v>
      </c>
      <c r="AG163" s="1" t="str">
        <f t="shared" si="70"/>
        <v>NW</v>
      </c>
      <c r="AH163" s="95" t="str">
        <f t="shared" si="72"/>
        <v>"%USERPROFILE%\Documents\GitHub\eaglep3\Utilities\RefineRTDCRunTimes.py" --tripid 809-11 --locoid 4018 --swversion DE.1.0.7.0 --startMP 204:1016 --initTime 2016-10-11T07:28:11 --startdatetime 2016-10-11T07:51:28 --delay 1 --endMP 300:59007 --enddatetime 2016-10-11T08:04:50 --enforcementcount 0 &gt;&gt;C:\Users\stu\Documents\GitHub\eaglep3-reporting\EC\2016-10-11-refined-times.txt</v>
      </c>
      <c r="AI163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{"issue":{"subject":"","project_id":79,"tracker_id":40,"status_id":1,"priority_id":2,"assigned_to_id":23,"start_date":"2016-10-11","description":"","custom_fields":[{"id":1,"name":"Subdivision","value":"NW"},{"id":4,"name":"Milepost","value":"5.9007"},{"id":17,"name":"Train ID","value":"809-11"},{"id":16,"name":"Locomotive ID","value":"4018"},{"id":130,"name":"Impact","value":""},{"id":150,"name":"Time of Event (Mountain Time)","value":"08:04:50"},{"id":151,"name":"Denver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506</v>
      </c>
      <c r="B164" s="7">
        <v>4017</v>
      </c>
      <c r="C164" s="24" t="s">
        <v>106</v>
      </c>
      <c r="D164" s="24" t="s">
        <v>507</v>
      </c>
      <c r="E164" s="15">
        <v>42654.33766203704</v>
      </c>
      <c r="F164" s="15">
        <v>42654.339224537034</v>
      </c>
      <c r="G164" s="7">
        <v>1</v>
      </c>
      <c r="H164" s="15" t="s">
        <v>308</v>
      </c>
      <c r="I164" s="15">
        <v>42654.351469907408</v>
      </c>
      <c r="J164" s="7">
        <v>0</v>
      </c>
      <c r="K164" s="116" t="str">
        <f t="shared" si="61"/>
        <v>4017/4018</v>
      </c>
      <c r="L164" s="24" t="str">
        <f>VLOOKUP(A164,'Trips&amp;Operators'!$C$1:$E$10000,3,FALSE)</f>
        <v>HILLS</v>
      </c>
      <c r="M164" s="6">
        <f t="shared" si="62"/>
        <v>1.2245370373420883E-2</v>
      </c>
      <c r="N164" s="7">
        <f t="shared" si="80"/>
        <v>17.633333337726071</v>
      </c>
      <c r="O164" s="7"/>
      <c r="P164" s="7"/>
      <c r="Q164" s="25"/>
      <c r="R164" s="25"/>
      <c r="S164" s="37">
        <f t="shared" si="78"/>
        <v>1</v>
      </c>
      <c r="T164" s="52" t="str">
        <f t="shared" si="63"/>
        <v>Southbound</v>
      </c>
      <c r="U164" s="15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07:06:14-0600',mode:absolute,to:'2016-10-11 09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4" s="54" t="str">
        <f t="shared" si="65"/>
        <v>N</v>
      </c>
      <c r="X164" s="163">
        <f t="shared" si="81"/>
        <v>1</v>
      </c>
      <c r="Y164" s="69">
        <f t="shared" si="79"/>
        <v>5.8686999999999996</v>
      </c>
      <c r="Z164" s="69">
        <f t="shared" si="75"/>
        <v>6.8500000000000005E-2</v>
      </c>
      <c r="AA164" s="69">
        <f t="shared" si="66"/>
        <v>5.8001999999999994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67"/>
        <v>0810-11</v>
      </c>
      <c r="AE164" s="94" t="str">
        <f t="shared" si="68"/>
        <v>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 &amp; 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</v>
      </c>
      <c r="AF164" s="91" t="str">
        <f t="shared" si="69"/>
        <v>"C:\Program Files (x86)\AstroGrep\AstroGrep.exe" /spath="%USERPROFILE%\AppData\Local\Temp\OnboardLogs" /stypes="app*4017*20161011*" /stext=" 14:.+((SYSTEM_STATE.+slice.+state.+changed )|(ment ac)|(system.+state.+changed )|(\[timeout)|(PRM\|1\|D)|(kpr)|(kdp)|(\|lc)|(penalty))" /e /r /s</v>
      </c>
      <c r="AG164" s="1" t="str">
        <f t="shared" si="70"/>
        <v>NW</v>
      </c>
      <c r="AH164" s="95" t="str">
        <f t="shared" si="72"/>
        <v>"%USERPROFILE%\Documents\GitHub\eaglep3\Utilities\RefineRTDCRunTimes.py" --tripid 810-11 --locoid 4017 --swversion DE.1.0.7.0 --startMP 300:58687 --initTime 2016-10-11T08:06:14 --startdatetime 2016-10-11T08:08:29 --delay 1 --endMP 204:685 --enddatetime 2016-10-11T08:26:07 --enforcementcount 0 &gt;&gt;C:\Users\stu\Documents\GitHub\eaglep3-reporting\EC\2016-10-11-refined-times.txt</v>
      </c>
      <c r="AI164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{"issue":{"subject":"","project_id":79,"tracker_id":40,"status_id":1,"priority_id":2,"assigned_to_id":23,"start_date":"2016-10-11","description":"","custom_fields":[{"id":1,"name":"Subdivision","value":"NW"},{"id":4,"name":"Milepost","value":"0.0685"},{"id":17,"name":"Train ID","value":"810-11"},{"id":16,"name":"Locomotive ID","value":"4017"},{"id":130,"name":"Impact","value":""},{"id":150,"name":"Time of Event (Mountain Time)","value":"08:26:07"},{"id":151,"name":"Denver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508</v>
      </c>
      <c r="B165" s="7">
        <v>4044</v>
      </c>
      <c r="C165" s="24" t="s">
        <v>106</v>
      </c>
      <c r="D165" s="24" t="s">
        <v>509</v>
      </c>
      <c r="E165" s="15">
        <v>42654.345856481479</v>
      </c>
      <c r="F165" s="15">
        <v>42654.348090277781</v>
      </c>
      <c r="G165" s="7">
        <v>1</v>
      </c>
      <c r="H165" s="15" t="s">
        <v>365</v>
      </c>
      <c r="I165" s="15">
        <v>42654.356886574074</v>
      </c>
      <c r="J165" s="7">
        <v>0</v>
      </c>
      <c r="K165" s="116" t="str">
        <f t="shared" si="61"/>
        <v>4043/4044</v>
      </c>
      <c r="L165" s="24" t="str">
        <f>VLOOKUP(A165,'Trips&amp;Operators'!$C$1:$E$10000,3,FALSE)</f>
        <v>LEVIN</v>
      </c>
      <c r="M165" s="6">
        <f t="shared" si="62"/>
        <v>8.7962962934398092E-3</v>
      </c>
      <c r="N165" s="7">
        <f t="shared" si="80"/>
        <v>12.666666662553325</v>
      </c>
      <c r="O165" s="7"/>
      <c r="P165" s="7"/>
      <c r="Q165" s="25"/>
      <c r="R165" s="25"/>
      <c r="S165" s="37">
        <f t="shared" si="78"/>
        <v>1</v>
      </c>
      <c r="T165" s="52" t="str">
        <f t="shared" si="63"/>
        <v>NorthBound</v>
      </c>
      <c r="U165" s="15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07:18:02-0600',mode:absolute,to:'2016-10-11 09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5" s="54" t="str">
        <f t="shared" si="65"/>
        <v>N</v>
      </c>
      <c r="X165" s="163">
        <f t="shared" si="81"/>
        <v>1</v>
      </c>
      <c r="Y165" s="69">
        <f t="shared" si="79"/>
        <v>9.9199999999999997E-2</v>
      </c>
      <c r="Z165" s="69">
        <f t="shared" si="75"/>
        <v>5.8925999999999998</v>
      </c>
      <c r="AA165" s="69">
        <f t="shared" si="66"/>
        <v>5.7934000000000001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67"/>
        <v>0811-11</v>
      </c>
      <c r="AE165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65" s="91" t="str">
        <f t="shared" si="69"/>
        <v>"C:\Program Files (x86)\AstroGrep\AstroGrep.exe" /spath="%USERPROFILE%\AppData\Local\Temp\OnboardLogs" /stypes="app*4044*20161011*" /stext=" 14:.+((SYSTEM_STATE.+slice.+state.+changed )|(ment ac)|(system.+state.+changed )|(\[timeout)|(PRM\|1\|D)|(kpr)|(kdp)|(\|lc)|(penalty))" /e /r /s</v>
      </c>
      <c r="AG165" s="1" t="str">
        <f t="shared" si="70"/>
        <v>NW</v>
      </c>
      <c r="AH165" s="95" t="str">
        <f t="shared" si="72"/>
        <v>"%USERPROFILE%\Documents\GitHub\eaglep3\Utilities\RefineRTDCRunTimes.py" --tripid 811-11 --locoid 4044 --swversion DE.1.0.7.0 --startMP 204:992 --initTime 2016-10-11T08:18:02 --startdatetime 2016-10-11T08:21:15 --delay 1 --endMP 300:58926 --enddatetime 2016-10-11T08:33:55 --enforcementcount 0 &gt;&gt;C:\Users\stu\Documents\GitHub\eaglep3-reporting\EC\2016-10-11-refined-times.txt</v>
      </c>
      <c r="AI165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{"issue":{"subject":"","project_id":79,"tracker_id":40,"status_id":1,"priority_id":2,"assigned_to_id":23,"start_date":"2016-10-11","description":"","custom_fields":[{"id":1,"name":"Subdivision","value":"NW"},{"id":4,"name":"Milepost","value":"5.8926"},{"id":17,"name":"Train ID","value":"811-11"},{"id":16,"name":"Locomotive ID","value":"4044"},{"id":130,"name":"Impact","value":""},{"id":150,"name":"Time of Event (Mountain Time)","value":"08:33:55"},{"id":151,"name":"Denver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510</v>
      </c>
      <c r="B166" s="7">
        <v>4043</v>
      </c>
      <c r="C166" s="24" t="s">
        <v>106</v>
      </c>
      <c r="D166" s="24" t="s">
        <v>309</v>
      </c>
      <c r="E166" s="15">
        <v>42654.358217592591</v>
      </c>
      <c r="F166" s="15">
        <v>42654.359398148146</v>
      </c>
      <c r="G166" s="7">
        <v>1</v>
      </c>
      <c r="H166" s="15" t="s">
        <v>301</v>
      </c>
      <c r="I166" s="15">
        <v>42654.371157407404</v>
      </c>
      <c r="J166" s="7">
        <v>0</v>
      </c>
      <c r="K166" s="116" t="str">
        <f t="shared" si="61"/>
        <v>4043/4044</v>
      </c>
      <c r="L166" s="24" t="str">
        <f>VLOOKUP(A166,'Trips&amp;Operators'!$C$1:$E$10000,3,FALSE)</f>
        <v>LEVIN</v>
      </c>
      <c r="M166" s="6">
        <f t="shared" si="62"/>
        <v>1.1759259257814847E-2</v>
      </c>
      <c r="N166" s="7">
        <f t="shared" si="80"/>
        <v>16.93333333125338</v>
      </c>
      <c r="O166" s="7"/>
      <c r="P166" s="7"/>
      <c r="Q166" s="25"/>
      <c r="R166" s="25"/>
      <c r="S166" s="37">
        <f t="shared" si="78"/>
        <v>1</v>
      </c>
      <c r="T166" s="52" t="str">
        <f t="shared" si="63"/>
        <v>Southbound</v>
      </c>
      <c r="U166" s="15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07:35:50-0600',mode:absolute,to:'2016-10-11 09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6" s="54" t="str">
        <f t="shared" si="65"/>
        <v>N</v>
      </c>
      <c r="X166" s="163">
        <f t="shared" si="81"/>
        <v>1</v>
      </c>
      <c r="Y166" s="69">
        <f t="shared" si="79"/>
        <v>5.8615000000000004</v>
      </c>
      <c r="Z166" s="69">
        <f t="shared" si="75"/>
        <v>7.1499999999999994E-2</v>
      </c>
      <c r="AA166" s="69">
        <f t="shared" si="66"/>
        <v>5.79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67"/>
        <v>0812-11</v>
      </c>
      <c r="AE166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66" s="91" t="str">
        <f t="shared" si="69"/>
        <v>"C:\Program Files (x86)\AstroGrep\AstroGrep.exe" /spath="%USERPROFILE%\AppData\Local\Temp\OnboardLogs" /stypes="app*4043*20161011*" /stext=" 14:.+((SYSTEM_STATE.+slice.+state.+changed )|(ment ac)|(system.+state.+changed )|(\[timeout)|(PRM\|1\|D)|(kpr)|(kdp)|(\|lc)|(penalty))" /e /r /s</v>
      </c>
      <c r="AG166" s="1" t="str">
        <f t="shared" si="70"/>
        <v>NW</v>
      </c>
      <c r="AH166" s="95" t="str">
        <f t="shared" si="72"/>
        <v>"%USERPROFILE%\Documents\GitHub\eaglep3\Utilities\RefineRTDCRunTimes.py" --tripid 812-11 --locoid 4043 --swversion DE.1.0.7.0 --startMP 300:58615 --initTime 2016-10-11T08:35:50 --startdatetime 2016-10-11T08:37:32 --delay 1 --endMP 204:715 --enddatetime 2016-10-11T08:54:28 --enforcementcount 0 &gt;&gt;C:\Users\stu\Documents\GitHub\eaglep3-reporting\EC\2016-10-11-refined-times.txt</v>
      </c>
      <c r="AI166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{"issue":{"subject":"","project_id":79,"tracker_id":40,"status_id":1,"priority_id":2,"assigned_to_id":23,"start_date":"2016-10-11","description":"","custom_fields":[{"id":1,"name":"Subdivision","value":"NW"},{"id":4,"name":"Milepost","value":"0.0715"},{"id":17,"name":"Train ID","value":"812-11"},{"id":16,"name":"Locomotive ID","value":"4043"},{"id":130,"name":"Impact","value":""},{"id":150,"name":"Time of Event (Mountain Time)","value":"08:54:28"},{"id":151,"name":"Denver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511</v>
      </c>
      <c r="B167" s="7">
        <v>4044</v>
      </c>
      <c r="C167" s="24" t="s">
        <v>106</v>
      </c>
      <c r="D167" s="24" t="s">
        <v>512</v>
      </c>
      <c r="E167" s="15">
        <v>42654.380289351851</v>
      </c>
      <c r="F167" s="15">
        <v>42654.389791666668</v>
      </c>
      <c r="G167" s="7">
        <v>1</v>
      </c>
      <c r="H167" s="15" t="s">
        <v>513</v>
      </c>
      <c r="I167" s="15">
        <v>42654.398958333331</v>
      </c>
      <c r="J167" s="7">
        <v>0</v>
      </c>
      <c r="K167" s="116" t="str">
        <f t="shared" si="61"/>
        <v>4043/4044</v>
      </c>
      <c r="L167" s="24" t="str">
        <f>VLOOKUP(A167,'Trips&amp;Operators'!$C$1:$E$10000,3,FALSE)</f>
        <v>LEVIN</v>
      </c>
      <c r="M167" s="6">
        <f t="shared" si="62"/>
        <v>9.1666666630771942E-3</v>
      </c>
      <c r="N167" s="7">
        <f t="shared" si="80"/>
        <v>13.19999999483116</v>
      </c>
      <c r="O167" s="7"/>
      <c r="P167" s="7"/>
      <c r="Q167" s="25"/>
      <c r="R167" s="25"/>
      <c r="S167" s="37">
        <f t="shared" si="78"/>
        <v>1</v>
      </c>
      <c r="T167" s="52" t="str">
        <f t="shared" si="63"/>
        <v>NorthBound</v>
      </c>
      <c r="U167" s="15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08:07:37-0600',mode:absolute,to:'2016-10-11 10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7" s="54" t="str">
        <f t="shared" si="65"/>
        <v>N</v>
      </c>
      <c r="X167" s="163">
        <f t="shared" si="81"/>
        <v>1</v>
      </c>
      <c r="Y167" s="69">
        <f t="shared" si="79"/>
        <v>9.9900000000000003E-2</v>
      </c>
      <c r="Z167" s="69">
        <v>5.8933</v>
      </c>
      <c r="AA167" s="69">
        <f t="shared" si="66"/>
        <v>5.7934000000000001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67"/>
        <v>0813-11</v>
      </c>
      <c r="AE167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67" s="91" t="str">
        <f t="shared" si="69"/>
        <v>"C:\Program Files (x86)\AstroGrep\AstroGrep.exe" /spath="%USERPROFILE%\AppData\Local\Temp\OnboardLogs" /stypes="app*4044*20161011*" /stext=" 15:.+((SYSTEM_STATE.+slice.+state.+changed )|(ment ac)|(system.+state.+changed )|(\[timeout)|(PRM\|1\|D)|(kpr)|(kdp)|(\|lc)|(penalty))" /e /r /s</v>
      </c>
      <c r="AG167" s="1" t="str">
        <f t="shared" si="70"/>
        <v>NW</v>
      </c>
      <c r="AH167" s="95" t="str">
        <f t="shared" si="72"/>
        <v>"%USERPROFILE%\Documents\GitHub\eaglep3\Utilities\RefineRTDCRunTimes.py" --tripid 813-11 --locoid 4044 --swversion DE.1.0.7.0 --startMP 204:999 --initTime 2016-10-11T09:07:37 --startdatetime 2016-10-11T09:21:18 --delay 1 --endMP 300:33813 --enddatetime 2016-10-11T09:34:30 --enforcementcount 0 &gt;&gt;C:\Users\stu\Documents\GitHub\eaglep3-reporting\EC\2016-10-11-refined-times.txt</v>
      </c>
      <c r="AI167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{"issue":{"subject":"","project_id":79,"tracker_id":40,"status_id":1,"priority_id":2,"assigned_to_id":23,"start_date":"2016-10-11","description":"","custom_fields":[{"id":1,"name":"Subdivision","value":"NW"},{"id":4,"name":"Milepost","value":"5.8933"},{"id":17,"name":"Train ID","value":"813-11"},{"id":16,"name":"Locomotive ID","value":"4044"},{"id":130,"name":"Impact","value":""},{"id":150,"name":"Time of Event (Mountain Time)","value":"09:34:30"},{"id":151,"name":"Denver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514</v>
      </c>
      <c r="B168" s="7">
        <v>4043</v>
      </c>
      <c r="C168" s="24" t="s">
        <v>106</v>
      </c>
      <c r="D168" s="24" t="s">
        <v>515</v>
      </c>
      <c r="E168" s="15">
        <v>42654.399942129632</v>
      </c>
      <c r="F168" s="15">
        <v>42654.442326388889</v>
      </c>
      <c r="G168" s="7">
        <v>1</v>
      </c>
      <c r="H168" s="15" t="s">
        <v>515</v>
      </c>
      <c r="I168" s="15">
        <v>42654.454398148147</v>
      </c>
      <c r="J168" s="7">
        <v>0</v>
      </c>
      <c r="K168" s="116" t="str">
        <f t="shared" si="61"/>
        <v>4043/4044</v>
      </c>
      <c r="L168" s="24" t="str">
        <f>VLOOKUP(A168,'Trips&amp;Operators'!$C$1:$E$10000,3,FALSE)</f>
        <v>LEVIN</v>
      </c>
      <c r="M168" s="6">
        <f t="shared" si="62"/>
        <v>1.2071759258105885E-2</v>
      </c>
      <c r="N168" s="7"/>
      <c r="O168" s="7"/>
      <c r="P168" s="7">
        <f>24*60*SUM($M168:$M168)</f>
        <v>17.383333331672475</v>
      </c>
      <c r="Q168" s="25"/>
      <c r="R168" s="25" t="s">
        <v>314</v>
      </c>
      <c r="S168" s="37">
        <f t="shared" si="78"/>
        <v>0</v>
      </c>
      <c r="T168" s="52" t="str">
        <f t="shared" si="63"/>
        <v>Southbound</v>
      </c>
      <c r="U168" s="15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08:35:55-0600',mode:absolute,to:'2016-10-11 11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8" s="54" t="str">
        <f t="shared" si="65"/>
        <v>Y</v>
      </c>
      <c r="X168" s="163">
        <f t="shared" si="81"/>
        <v>1</v>
      </c>
      <c r="Y168" s="69">
        <f t="shared" si="79"/>
        <v>5.86</v>
      </c>
      <c r="Z168" s="69">
        <f t="shared" ref="Z168:Z174" si="82">RIGHT(H168,LEN(H168)-4)/10000</f>
        <v>5.86</v>
      </c>
      <c r="AA168" s="69">
        <f t="shared" si="66"/>
        <v>0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67"/>
        <v>0814-11</v>
      </c>
      <c r="AE168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68" s="91" t="str">
        <f t="shared" si="69"/>
        <v>"C:\Program Files (x86)\AstroGrep\AstroGrep.exe" /spath="%USERPROFILE%\AppData\Local\Temp\OnboardLogs" /stypes="app*4043*20161011*" /stext=" 16:.+((SYSTEM_STATE.+slice.+state.+changed )|(ment ac)|(system.+state.+changed )|(\[timeout)|(PRM\|1\|D)|(kpr)|(kdp)|(\|lc)|(penalty))" /e /r /s</v>
      </c>
      <c r="AG168" s="1" t="str">
        <f t="shared" si="70"/>
        <v>NW</v>
      </c>
      <c r="AH168" s="95" t="str">
        <f t="shared" si="72"/>
        <v>"%USERPROFILE%\Documents\GitHub\eaglep3\Utilities\RefineRTDCRunTimes.py" --tripid 814-11 --locoid 4043 --swversion DE.1.0.7.0 --startMP 300:58600 --initTime 2016-10-11T09:35:55 --startdatetime 2016-10-11T10:36:57 --delay 1 --endMP 300:58600 --enddatetime 2016-10-11T10:54:20 --enforcementcount 0 &gt;&gt;C:\Users\stu\Documents\GitHub\eaglep3-reporting\EC\2016-10-11-refined-times.txt</v>
      </c>
      <c r="AI168" s="129" t="str">
        <f t="shared" si="73"/>
        <v>echo {"issue":{"subject":"Onboard in-route failure","project_id":79,"tracker_id":40,"status_id":1,"priority_id":2,"assigned_to_id":23,"start_date":"2016-10-11","description":"2016-10-11 09:39:15 multiple cpu faults","custom_fields":[{"id":1,"name":"Subdivision","value":"NW"},{"id":4,"name":"Milepost","value":"5.86"},{"id":17,"name":"Train ID","value":"814-11"},{"id":16,"name":"Locomotive ID","value":"4043"},{"id":130,"name":"Impact","value":"Failed State"},{"id":150,"name":"Time of Event (Mountain Time)","value":"10:54:20"},{"id":151,"name":"Denver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68" s="55" t="s">
        <v>783</v>
      </c>
      <c r="AK168" s="55" t="s">
        <v>137</v>
      </c>
      <c r="AL168" s="55" t="s">
        <v>198</v>
      </c>
    </row>
    <row r="169" spans="1:38" s="23" customFormat="1" x14ac:dyDescent="0.25">
      <c r="A169" s="39" t="s">
        <v>516</v>
      </c>
      <c r="B169" s="7">
        <v>4044</v>
      </c>
      <c r="C169" s="24" t="s">
        <v>106</v>
      </c>
      <c r="D169" s="24" t="s">
        <v>485</v>
      </c>
      <c r="E169" s="15">
        <v>42654.429560185185</v>
      </c>
      <c r="F169" s="15">
        <v>42654.431423611109</v>
      </c>
      <c r="G169" s="7">
        <v>1</v>
      </c>
      <c r="H169" s="15" t="s">
        <v>367</v>
      </c>
      <c r="I169" s="15">
        <v>42654.440289351849</v>
      </c>
      <c r="J169" s="7">
        <v>0</v>
      </c>
      <c r="K169" s="116" t="str">
        <f t="shared" si="61"/>
        <v>4043/4044</v>
      </c>
      <c r="L169" s="24" t="str">
        <f>VLOOKUP(A169,'Trips&amp;Operators'!$C$1:$E$10000,3,FALSE)</f>
        <v>LEVIN</v>
      </c>
      <c r="M169" s="6">
        <f t="shared" si="62"/>
        <v>8.8657407395658083E-3</v>
      </c>
      <c r="N169" s="7">
        <f t="shared" ref="N169:N190" si="83">24*60*SUM($M169:$M169)</f>
        <v>12.766666664974764</v>
      </c>
      <c r="O169" s="7"/>
      <c r="P169" s="7"/>
      <c r="Q169" s="25"/>
      <c r="R169" s="25"/>
      <c r="S169" s="37">
        <f t="shared" si="78"/>
        <v>1</v>
      </c>
      <c r="T169" s="52" t="str">
        <f t="shared" si="63"/>
        <v>NorthBound</v>
      </c>
      <c r="U169" s="15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09:18:34-0600',mode:absolute,to:'2016-10-11 11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9" s="54" t="str">
        <f t="shared" si="65"/>
        <v>N</v>
      </c>
      <c r="X169" s="163">
        <f t="shared" si="81"/>
        <v>1</v>
      </c>
      <c r="Y169" s="69">
        <f t="shared" si="79"/>
        <v>0.1</v>
      </c>
      <c r="Z169" s="69">
        <f t="shared" si="82"/>
        <v>5.8924000000000003</v>
      </c>
      <c r="AA169" s="69">
        <f t="shared" si="66"/>
        <v>5.7924000000000007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67"/>
        <v>0815-11</v>
      </c>
      <c r="AE169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69" s="91" t="str">
        <f t="shared" si="69"/>
        <v>"C:\Program Files (x86)\AstroGrep\AstroGrep.exe" /spath="%USERPROFILE%\AppData\Local\Temp\OnboardLogs" /stypes="app*4044*20161011*" /stext=" 16:.+((SYSTEM_STATE.+slice.+state.+changed )|(ment ac)|(system.+state.+changed )|(\[timeout)|(PRM\|1\|D)|(kpr)|(kdp)|(\|lc)|(penalty))" /e /r /s</v>
      </c>
      <c r="AG169" s="1" t="str">
        <f t="shared" si="70"/>
        <v>NW</v>
      </c>
      <c r="AH169" s="95" t="str">
        <f t="shared" si="72"/>
        <v>"%USERPROFILE%\Documents\GitHub\eaglep3\Utilities\RefineRTDCRunTimes.py" --tripid 815-11 --locoid 4044 --swversion DE.1.0.7.0 --startMP 204:1000 --initTime 2016-10-11T10:18:34 --startdatetime 2016-10-11T10:21:15 --delay 1 --endMP 300:58924 --enddatetime 2016-10-11T10:34:01 --enforcementcount 0 &gt;&gt;C:\Users\stu\Documents\GitHub\eaglep3-reporting\EC\2016-10-11-refined-times.txt</v>
      </c>
      <c r="AI169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{"issue":{"subject":"","project_id":79,"tracker_id":40,"status_id":1,"priority_id":2,"assigned_to_id":23,"start_date":"2016-10-11","description":"","custom_fields":[{"id":1,"name":"Subdivision","value":"NW"},{"id":4,"name":"Milepost","value":"5.8924"},{"id":17,"name":"Train ID","value":"815-11"},{"id":16,"name":"Locomotive ID","value":"4044"},{"id":130,"name":"Impact","value":""},{"id":150,"name":"Time of Event (Mountain Time)","value":"10:34:01"},{"id":151,"name":"Denver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517</v>
      </c>
      <c r="B170" s="7">
        <v>4043</v>
      </c>
      <c r="C170" s="24" t="s">
        <v>106</v>
      </c>
      <c r="D170" s="24" t="s">
        <v>262</v>
      </c>
      <c r="E170" s="15">
        <v>42654.441180555557</v>
      </c>
      <c r="F170" s="15">
        <v>42654.442326388889</v>
      </c>
      <c r="G170" s="7">
        <v>0</v>
      </c>
      <c r="H170" s="15" t="s">
        <v>518</v>
      </c>
      <c r="I170" s="15">
        <v>42654.454398148147</v>
      </c>
      <c r="J170" s="7">
        <v>0</v>
      </c>
      <c r="K170" s="116" t="str">
        <f t="shared" si="61"/>
        <v>4043/4044</v>
      </c>
      <c r="L170" s="24" t="str">
        <f>VLOOKUP(A170,'Trips&amp;Operators'!$C$1:$E$10000,3,FALSE)</f>
        <v>LEVIN</v>
      </c>
      <c r="M170" s="6">
        <f t="shared" si="62"/>
        <v>1.2071759258105885E-2</v>
      </c>
      <c r="N170" s="7">
        <f t="shared" si="83"/>
        <v>17.383333331672475</v>
      </c>
      <c r="O170" s="7"/>
      <c r="P170" s="7"/>
      <c r="Q170" s="25"/>
      <c r="R170" s="25"/>
      <c r="S170" s="37">
        <f t="shared" si="78"/>
        <v>1</v>
      </c>
      <c r="T170" s="52" t="str">
        <f t="shared" si="63"/>
        <v>Southbound</v>
      </c>
      <c r="U170" s="15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09:35:18-0600',mode:absolute,to:'2016-10-11 11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0" s="54" t="str">
        <f t="shared" si="65"/>
        <v>N</v>
      </c>
      <c r="X170" s="163">
        <f t="shared" si="81"/>
        <v>1</v>
      </c>
      <c r="Y170" s="69">
        <f t="shared" si="79"/>
        <v>5.8609</v>
      </c>
      <c r="Z170" s="69">
        <f t="shared" si="82"/>
        <v>7.1300000000000002E-2</v>
      </c>
      <c r="AA170" s="69">
        <f t="shared" si="66"/>
        <v>5.7896000000000001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67"/>
        <v>0816-11</v>
      </c>
      <c r="AE170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70" s="91" t="str">
        <f t="shared" si="69"/>
        <v>"C:\Program Files (x86)\AstroGrep\AstroGrep.exe" /spath="%USERPROFILE%\AppData\Local\Temp\OnboardLogs" /stypes="app*4043*20161011*" /stext=" 16:.+((SYSTEM_STATE.+slice.+state.+changed )|(ment ac)|(system.+state.+changed )|(\[timeout)|(PRM\|1\|D)|(kpr)|(kdp)|(\|lc)|(penalty))" /e /r /s</v>
      </c>
      <c r="AG170" s="1" t="str">
        <f t="shared" si="70"/>
        <v>NW</v>
      </c>
      <c r="AH170" s="95" t="str">
        <f t="shared" si="72"/>
        <v>"%USERPROFILE%\Documents\GitHub\eaglep3\Utilities\RefineRTDCRunTimes.py" --tripid 816-11 --locoid 4043 --swversion DE.1.0.7.0 --startMP 300:58609 --initTime 2016-10-11T10:35:18 --startdatetime 2016-10-11T10:36:57 --delay 0 --endMP 204:713 --enddatetime 2016-10-11T10:54:20 --enforcementcount 0 &gt;&gt;C:\Users\stu\Documents\GitHub\eaglep3-reporting\EC\2016-10-11-refined-times.txt</v>
      </c>
      <c r="AI170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{"issue":{"subject":"","project_id":79,"tracker_id":40,"status_id":1,"priority_id":2,"assigned_to_id":23,"start_date":"2016-10-11","description":"","custom_fields":[{"id":1,"name":"Subdivision","value":"NW"},{"id":4,"name":"Milepost","value":"0.0713"},{"id":17,"name":"Train ID","value":"816-11"},{"id":16,"name":"Locomotive ID","value":"4043"},{"id":130,"name":"Impact","value":""},{"id":150,"name":"Time of Event (Mountain Time)","value":"10:54:20"},{"id":151,"name":"Denver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519</v>
      </c>
      <c r="B171" s="7">
        <v>4044</v>
      </c>
      <c r="C171" s="24" t="s">
        <v>106</v>
      </c>
      <c r="D171" s="24" t="s">
        <v>520</v>
      </c>
      <c r="E171" s="15">
        <v>42654.470312500001</v>
      </c>
      <c r="F171" s="15">
        <v>42654.473090277781</v>
      </c>
      <c r="G171" s="7">
        <v>1</v>
      </c>
      <c r="H171" s="15" t="s">
        <v>360</v>
      </c>
      <c r="I171" s="15">
        <v>42654.481851851851</v>
      </c>
      <c r="J171" s="7">
        <v>0</v>
      </c>
      <c r="K171" s="116" t="str">
        <f t="shared" si="61"/>
        <v>4043/4044</v>
      </c>
      <c r="L171" s="24" t="str">
        <f>VLOOKUP(A171,'Trips&amp;Operators'!$C$1:$E$10000,3,FALSE)</f>
        <v>LEVIN</v>
      </c>
      <c r="M171" s="6">
        <f t="shared" si="62"/>
        <v>8.7615740703768097E-3</v>
      </c>
      <c r="N171" s="7">
        <f t="shared" si="83"/>
        <v>12.616666661342606</v>
      </c>
      <c r="O171" s="7"/>
      <c r="P171" s="7"/>
      <c r="Q171" s="25"/>
      <c r="R171" s="25"/>
      <c r="S171" s="37">
        <f t="shared" si="78"/>
        <v>1</v>
      </c>
      <c r="T171" s="52" t="str">
        <f t="shared" si="63"/>
        <v>NorthBound</v>
      </c>
      <c r="U171" s="15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10:17:15-0600',mode:absolute,to:'2016-10-11 12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1" s="54" t="str">
        <f t="shared" si="65"/>
        <v>N</v>
      </c>
      <c r="X171" s="163">
        <f t="shared" si="81"/>
        <v>1</v>
      </c>
      <c r="Y171" s="69">
        <f t="shared" si="79"/>
        <v>0.10059999999999999</v>
      </c>
      <c r="Z171" s="69">
        <f t="shared" si="82"/>
        <v>5.8929</v>
      </c>
      <c r="AA171" s="69">
        <f t="shared" si="66"/>
        <v>5.7923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67"/>
        <v>0817-11</v>
      </c>
      <c r="AE171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71" s="91" t="str">
        <f t="shared" si="69"/>
        <v>"C:\Program Files (x86)\AstroGrep\AstroGrep.exe" /spath="%USERPROFILE%\AppData\Local\Temp\OnboardLogs" /stypes="app*4044*20161011*" /stext=" 17:.+((SYSTEM_STATE.+slice.+state.+changed )|(ment ac)|(system.+state.+changed )|(\[timeout)|(PRM\|1\|D)|(kpr)|(kdp)|(\|lc)|(penalty))" /e /r /s</v>
      </c>
      <c r="AG171" s="1" t="str">
        <f t="shared" si="70"/>
        <v>NW</v>
      </c>
      <c r="AH171" s="95" t="str">
        <f t="shared" si="72"/>
        <v>"%USERPROFILE%\Documents\GitHub\eaglep3\Utilities\RefineRTDCRunTimes.py" --tripid 817-11 --locoid 4044 --swversion DE.1.0.7.0 --startMP 204:1006 --initTime 2016-10-11T11:17:15 --startdatetime 2016-10-11T11:21:15 --delay 1 --endMP 300:58929 --enddatetime 2016-10-11T11:33:52 --enforcementcount 0 &gt;&gt;C:\Users\stu\Documents\GitHub\eaglep3-reporting\EC\2016-10-11-refined-times.txt</v>
      </c>
      <c r="AI171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{"issue":{"subject":"","project_id":79,"tracker_id":40,"status_id":1,"priority_id":2,"assigned_to_id":23,"start_date":"2016-10-11","description":"","custom_fields":[{"id":1,"name":"Subdivision","value":"NW"},{"id":4,"name":"Milepost","value":"5.8929"},{"id":17,"name":"Train ID","value":"817-11"},{"id":16,"name":"Locomotive ID","value":"4044"},{"id":130,"name":"Impact","value":""},{"id":150,"name":"Time of Event (Mountain Time)","value":"11:33:52"},{"id":151,"name":"Denver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521</v>
      </c>
      <c r="B172" s="7">
        <v>4043</v>
      </c>
      <c r="C172" s="24" t="s">
        <v>106</v>
      </c>
      <c r="D172" s="24" t="s">
        <v>522</v>
      </c>
      <c r="E172" s="15">
        <v>42654.482824074075</v>
      </c>
      <c r="F172" s="15">
        <v>42654.4841087963</v>
      </c>
      <c r="G172" s="7">
        <v>1</v>
      </c>
      <c r="H172" s="15" t="s">
        <v>523</v>
      </c>
      <c r="I172" s="15">
        <v>42654.496203703704</v>
      </c>
      <c r="J172" s="7">
        <v>0</v>
      </c>
      <c r="K172" s="116" t="str">
        <f t="shared" si="61"/>
        <v>4043/4044</v>
      </c>
      <c r="L172" s="24" t="str">
        <f>VLOOKUP(A172,'Trips&amp;Operators'!$C$1:$E$10000,3,FALSE)</f>
        <v>LEVIN</v>
      </c>
      <c r="M172" s="6">
        <f t="shared" si="62"/>
        <v>1.2094907404389232E-2</v>
      </c>
      <c r="N172" s="7">
        <f t="shared" si="83"/>
        <v>17.416666662320495</v>
      </c>
      <c r="O172" s="7"/>
      <c r="P172" s="7"/>
      <c r="Q172" s="25"/>
      <c r="R172" s="25"/>
      <c r="S172" s="37">
        <f t="shared" si="78"/>
        <v>1</v>
      </c>
      <c r="T172" s="52" t="str">
        <f t="shared" si="63"/>
        <v>Southbound</v>
      </c>
      <c r="U172" s="15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10:35:16-0600',mode:absolute,to:'2016-10-11 12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2" s="54" t="str">
        <f t="shared" si="65"/>
        <v>N</v>
      </c>
      <c r="X172" s="163">
        <f t="shared" si="81"/>
        <v>1</v>
      </c>
      <c r="Y172" s="69">
        <f t="shared" si="79"/>
        <v>5.8620999999999999</v>
      </c>
      <c r="Z172" s="69">
        <f t="shared" si="82"/>
        <v>7.3300000000000004E-2</v>
      </c>
      <c r="AA172" s="69">
        <f t="shared" si="66"/>
        <v>5.7888000000000002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67"/>
        <v>0818-11</v>
      </c>
      <c r="AE172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72" s="91" t="str">
        <f t="shared" si="69"/>
        <v>"C:\Program Files (x86)\AstroGrep\AstroGrep.exe" /spath="%USERPROFILE%\AppData\Local\Temp\OnboardLogs" /stypes="app*4043*20161011*" /stext=" 17:.+((SYSTEM_STATE.+slice.+state.+changed )|(ment ac)|(system.+state.+changed )|(\[timeout)|(PRM\|1\|D)|(kpr)|(kdp)|(\|lc)|(penalty))" /e /r /s</v>
      </c>
      <c r="AG172" s="1" t="str">
        <f t="shared" si="70"/>
        <v>NW</v>
      </c>
      <c r="AH172" s="95" t="str">
        <f t="shared" si="72"/>
        <v>"%USERPROFILE%\Documents\GitHub\eaglep3\Utilities\RefineRTDCRunTimes.py" --tripid 818-11 --locoid 4043 --swversion DE.1.0.7.0 --startMP 300:58621 --initTime 2016-10-11T11:35:16 --startdatetime 2016-10-11T11:37:07 --delay 1 --endMP 204:733 --enddatetime 2016-10-11T11:54:32 --enforcementcount 0 &gt;&gt;C:\Users\stu\Documents\GitHub\eaglep3-reporting\EC\2016-10-11-refined-times.txt</v>
      </c>
      <c r="AI172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{"issue":{"subject":"","project_id":79,"tracker_id":40,"status_id":1,"priority_id":2,"assigned_to_id":23,"start_date":"2016-10-11","description":"","custom_fields":[{"id":1,"name":"Subdivision","value":"NW"},{"id":4,"name":"Milepost","value":"0.0733"},{"id":17,"name":"Train ID","value":"818-11"},{"id":16,"name":"Locomotive ID","value":"4043"},{"id":130,"name":"Impact","value":""},{"id":150,"name":"Time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524</v>
      </c>
      <c r="B173" s="7">
        <v>4044</v>
      </c>
      <c r="C173" s="24" t="s">
        <v>106</v>
      </c>
      <c r="D173" s="24" t="s">
        <v>525</v>
      </c>
      <c r="E173" s="15">
        <v>42654.511504629627</v>
      </c>
      <c r="F173" s="15">
        <v>42654.514745370368</v>
      </c>
      <c r="G173" s="7">
        <v>1</v>
      </c>
      <c r="H173" s="15" t="s">
        <v>360</v>
      </c>
      <c r="I173" s="15">
        <v>42654.524131944447</v>
      </c>
      <c r="J173" s="7">
        <v>0</v>
      </c>
      <c r="K173" s="116" t="str">
        <f t="shared" si="61"/>
        <v>4043/4044</v>
      </c>
      <c r="L173" s="24" t="str">
        <f>VLOOKUP(A173,'Trips&amp;Operators'!$C$1:$E$10000,3,FALSE)</f>
        <v>LEVIN</v>
      </c>
      <c r="M173" s="6">
        <f t="shared" si="62"/>
        <v>9.3865740782348439E-3</v>
      </c>
      <c r="N173" s="7">
        <f t="shared" si="83"/>
        <v>13.516666672658175</v>
      </c>
      <c r="O173" s="7"/>
      <c r="P173" s="7"/>
      <c r="Q173" s="25"/>
      <c r="R173" s="25"/>
      <c r="S173" s="37">
        <f t="shared" si="78"/>
        <v>1</v>
      </c>
      <c r="T173" s="52" t="str">
        <f t="shared" si="63"/>
        <v>NorthBound</v>
      </c>
      <c r="U173" s="15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11:16:34-0600',mode:absolute,to:'2016-10-11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3" s="54" t="str">
        <f t="shared" si="65"/>
        <v>N</v>
      </c>
      <c r="X173" s="163">
        <f t="shared" si="81"/>
        <v>1</v>
      </c>
      <c r="Y173" s="69">
        <f t="shared" si="79"/>
        <v>0.1021</v>
      </c>
      <c r="Z173" s="69">
        <f t="shared" si="82"/>
        <v>5.8929</v>
      </c>
      <c r="AA173" s="69">
        <f t="shared" si="66"/>
        <v>5.7907999999999999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67"/>
        <v>0819-11</v>
      </c>
      <c r="AE173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73" s="91" t="str">
        <f t="shared" si="69"/>
        <v>"C:\Program Files (x86)\AstroGrep\AstroGrep.exe" /spath="%USERPROFILE%\AppData\Local\Temp\OnboardLogs" /stypes="app*4044*20161011*" /stext=" 18:.+((SYSTEM_STATE.+slice.+state.+changed )|(ment ac)|(system.+state.+changed )|(\[timeout)|(PRM\|1\|D)|(kpr)|(kdp)|(\|lc)|(penalty))" /e /r /s</v>
      </c>
      <c r="AG173" s="1" t="str">
        <f t="shared" si="70"/>
        <v>NW</v>
      </c>
      <c r="AH173" s="95" t="str">
        <f t="shared" si="72"/>
        <v>"%USERPROFILE%\Documents\GitHub\eaglep3\Utilities\RefineRTDCRunTimes.py" --tripid 819-11 --locoid 4044 --swversion DE.1.0.7.0 --startMP 204:1021 --initTime 2016-10-11T12:16:34 --startdatetime 2016-10-11T12:21:14 --delay 1 --endMP 300:58929 --enddatetime 2016-10-11T12:34:45 --enforcementcount 0 &gt;&gt;C:\Users\stu\Documents\GitHub\eaglep3-reporting\EC\2016-10-11-refined-times.txt</v>
      </c>
      <c r="AI173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{"issue":{"subject":"","project_id":79,"tracker_id":40,"status_id":1,"priority_id":2,"assigned_to_id":23,"start_date":"2016-10-11","description":"","custom_fields":[{"id":1,"name":"Subdivision","value":"NW"},{"id":4,"name":"Milepost","value":"5.8929"},{"id":17,"name":"Train ID","value":"819-11"},{"id":16,"name":"Locomotive ID","value":"4044"},{"id":130,"name":"Impact","value":""},{"id":150,"name":"Time of Event (Mountain Time)","value":"12:34:45"},{"id":151,"name":"Denver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526</v>
      </c>
      <c r="B174" s="7">
        <v>4043</v>
      </c>
      <c r="C174" s="24" t="s">
        <v>106</v>
      </c>
      <c r="D174" s="24" t="s">
        <v>361</v>
      </c>
      <c r="E174" s="15">
        <v>42654.525567129633</v>
      </c>
      <c r="F174" s="15">
        <v>42654.526782407411</v>
      </c>
      <c r="G174" s="7">
        <v>1</v>
      </c>
      <c r="H174" s="15" t="s">
        <v>527</v>
      </c>
      <c r="I174" s="15">
        <v>42654.538043981483</v>
      </c>
      <c r="J174" s="7">
        <v>0</v>
      </c>
      <c r="K174" s="116" t="str">
        <f t="shared" si="61"/>
        <v>4043/4044</v>
      </c>
      <c r="L174" s="24" t="str">
        <f>VLOOKUP(A174,'Trips&amp;Operators'!$C$1:$E$10000,3,FALSE)</f>
        <v>LEVIN</v>
      </c>
      <c r="M174" s="6">
        <f t="shared" si="62"/>
        <v>1.1261574072705116E-2</v>
      </c>
      <c r="N174" s="7">
        <f t="shared" si="83"/>
        <v>16.216666664695367</v>
      </c>
      <c r="O174" s="7"/>
      <c r="P174" s="7"/>
      <c r="Q174" s="25"/>
      <c r="R174" s="25"/>
      <c r="S174" s="37">
        <f t="shared" si="78"/>
        <v>1</v>
      </c>
      <c r="T174" s="52" t="str">
        <f t="shared" si="63"/>
        <v>Southbound</v>
      </c>
      <c r="U174" s="15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11:36:49-0600',mode:absolute,to:'2016-10-11 13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4" s="54" t="str">
        <f t="shared" si="65"/>
        <v>N</v>
      </c>
      <c r="X174" s="163">
        <f t="shared" si="81"/>
        <v>1</v>
      </c>
      <c r="Y174" s="69">
        <f t="shared" si="79"/>
        <v>5.8613</v>
      </c>
      <c r="Z174" s="69">
        <f t="shared" si="82"/>
        <v>7.4300000000000005E-2</v>
      </c>
      <c r="AA174" s="69">
        <f t="shared" si="66"/>
        <v>5.7869999999999999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67"/>
        <v>0820-11</v>
      </c>
      <c r="AE174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74" s="91" t="str">
        <f t="shared" si="69"/>
        <v>"C:\Program Files (x86)\AstroGrep\AstroGrep.exe" /spath="%USERPROFILE%\AppData\Local\Temp\OnboardLogs" /stypes="app*4043*20161011*" /stext=" 18:.+((SYSTEM_STATE.+slice.+state.+changed )|(ment ac)|(system.+state.+changed )|(\[timeout)|(PRM\|1\|D)|(kpr)|(kdp)|(\|lc)|(penalty))" /e /r /s</v>
      </c>
      <c r="AG174" s="1" t="str">
        <f t="shared" si="70"/>
        <v>NW</v>
      </c>
      <c r="AH174" s="95" t="str">
        <f t="shared" si="72"/>
        <v>"%USERPROFILE%\Documents\GitHub\eaglep3\Utilities\RefineRTDCRunTimes.py" --tripid 820-11 --locoid 4043 --swversion DE.1.0.7.0 --startMP 300:58613 --initTime 2016-10-11T12:36:49 --startdatetime 2016-10-11T12:38:34 --delay 1 --endMP 204:743 --enddatetime 2016-10-11T12:54:47 --enforcementcount 0 &gt;&gt;C:\Users\stu\Documents\GitHub\eaglep3-reporting\EC\2016-10-11-refined-times.txt</v>
      </c>
      <c r="AI174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{"issue":{"subject":"","project_id":79,"tracker_id":40,"status_id":1,"priority_id":2,"assigned_to_id":23,"start_date":"2016-10-11","description":"","custom_fields":[{"id":1,"name":"Subdivision","value":"NW"},{"id":4,"name":"Milepost","value":"0.0743"},{"id":17,"name":"Train ID","value":"820-11"},{"id":16,"name":"Locomotive ID","value":"4043"},{"id":130,"name":"Impact","value":""},{"id":150,"name":"Time of Event (Mountain Time)","value":"12:54:47"},{"id":151,"name":"Denver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528</v>
      </c>
      <c r="B175" s="7">
        <v>4044</v>
      </c>
      <c r="C175" s="24" t="s">
        <v>106</v>
      </c>
      <c r="D175" s="24" t="s">
        <v>361</v>
      </c>
      <c r="E175" s="15">
        <v>42654.525567129633</v>
      </c>
      <c r="F175" s="15">
        <v>42654.556504629632</v>
      </c>
      <c r="G175" s="7">
        <v>1</v>
      </c>
      <c r="H175" s="15" t="s">
        <v>527</v>
      </c>
      <c r="I175" s="15">
        <v>42654.567187499997</v>
      </c>
      <c r="J175" s="7">
        <v>0</v>
      </c>
      <c r="K175" s="116" t="str">
        <f t="shared" si="61"/>
        <v>4043/4044</v>
      </c>
      <c r="L175" s="24" t="str">
        <f>VLOOKUP(A175,'Trips&amp;Operators'!$C$1:$E$10000,3,FALSE)</f>
        <v>BRUDER</v>
      </c>
      <c r="M175" s="6">
        <f t="shared" si="62"/>
        <v>1.0682870364689734E-2</v>
      </c>
      <c r="N175" s="7">
        <f t="shared" si="83"/>
        <v>15.383333325153217</v>
      </c>
      <c r="O175" s="7"/>
      <c r="P175" s="7"/>
      <c r="Q175" s="25"/>
      <c r="R175" s="25"/>
      <c r="S175" s="37">
        <f t="shared" si="78"/>
        <v>1</v>
      </c>
      <c r="T175" s="52" t="str">
        <f t="shared" si="63"/>
        <v>NorthBound</v>
      </c>
      <c r="U175" s="15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11:36:49-0600',mode:absolute,to:'2016-10-11 14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5" s="54" t="str">
        <f t="shared" si="65"/>
        <v>N</v>
      </c>
      <c r="X175" s="163">
        <f t="shared" si="81"/>
        <v>1</v>
      </c>
      <c r="Y175" s="69">
        <v>0.1032</v>
      </c>
      <c r="Z175" s="69">
        <v>5.8954000000000004</v>
      </c>
      <c r="AA175" s="69">
        <f t="shared" si="66"/>
        <v>5.7922000000000002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67"/>
        <v>0821-11</v>
      </c>
      <c r="AE175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75" s="91" t="str">
        <f t="shared" si="69"/>
        <v>"C:\Program Files (x86)\AstroGrep\AstroGrep.exe" /spath="%USERPROFILE%\AppData\Local\Temp\OnboardLogs" /stypes="app*4044*20161011*" /stext=" 19:.+((SYSTEM_STATE.+slice.+state.+changed )|(ment ac)|(system.+state.+changed )|(\[timeout)|(PRM\|1\|D)|(kpr)|(kdp)|(\|lc)|(penalty))" /e /r /s</v>
      </c>
      <c r="AG175" s="1" t="str">
        <f t="shared" si="70"/>
        <v>NW</v>
      </c>
      <c r="AH175" s="95" t="str">
        <f t="shared" ref="AH175" si="84">refinertdcruntimes&amp;" --tripid "&amp;A175&amp;" --locoid "&amp;B175&amp;" --swversion "&amp;C175&amp;" --startMP "&amp;D175&amp;" --initTime "&amp;TEXT(E175,"yyyy-mm-ddTHH:MM:SS")&amp;" --startdatetime "&amp;TEXT(F175,"yyyy-mm-ddTHH:MM:SS")&amp;" --delay "&amp;G175&amp;" --endMP "&amp;H175&amp;" --enddatetime "&amp;TEXT(I175,"yyyy-mm-ddTHH:MM:SS")&amp;" --enforcementcount "&amp;J175&amp;IF(outputrefinedruntimes," &gt;&gt;"&amp;RefinedRTDCRunTimesOutputFile,"")</f>
        <v>"%USERPROFILE%\Documents\GitHub\eaglep3\Utilities\RefineRTDCRunTimes.py" --tripid 821-11 --locoid 4044 --swversion DE.1.0.7.0 --startMP 300:58613 --initTime 2016-10-11T12:36:49 --startdatetime 2016-10-11T13:21:22 --delay 1 --endMP 204:743 --enddatetime 2016-10-11T13:36:45 --enforcementcount 0 &gt;&gt;C:\Users\stu\Documents\GitHub\eaglep3-reporting\EC\2016-10-11-refined-times.txt</v>
      </c>
      <c r="AI175" s="129" t="str">
        <f t="shared" ref="AI175" si="85">"echo {""issue"":{""subject"":"""&amp;R175&amp;""",""project_id"":79,""tracker_id"":40,""status_id"":"&amp;redmine_status&amp;",""priority_id"":"&amp;redmine_priority&amp;",""assigned_to_id"":"&amp;redmine_assignee&amp;",""start_date"":"""&amp;TEXT(I175,"YYYY-mm-dd")&amp;""",""description"":"""&amp;AJ175&amp;""",""custom_fields"":[{""id"":1,""name"":""Subdivision"",""value"":"""&amp;AG175&amp;"""},{""id"":4,""name"":""Milepost"",""value"":"""&amp;Z175&amp;"""},{""id"":17,""name"":""Train ID"",""value"":"""&amp;A175&amp;"""},{""id"":16,""name"":""Locomotive ID"",""value"":"""&amp;B175&amp;"""},{""id"":130,""name"":""Impact"",""value"":"""&amp;AK175&amp;"""},{""id"":150,""name"":""Time of Event (Mountain Time)"",""value"":"""&amp;TEXT(I175,"hh:mm:ss")&amp;"""},{""id"":151,""name"":""Denver Issue ID"",""value"":"""&amp;"""},{""id"":178,""name"":""Operational Impact"",""value"":"""&amp;redmine_op_impact&amp;"""},{""id"":179,""name"":""Denver Segment Assigned"",""value"":"""&amp;AL175&amp;"""}]}}"&amp;"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{"issue":{"subject":"","project_id":79,"tracker_id":40,"status_id":1,"priority_id":2,"assigned_to_id":23,"start_date":"2016-10-11","description":"","custom_fields":[{"id":1,"name":"Subdivision","value":"NW"},{"id":4,"name":"Milepost","value":"5.8954"},{"id":17,"name":"Train ID","value":"821-11"},{"id":16,"name":"Locomotive ID","value":"4044"},{"id":130,"name":"Impact","value":""},{"id":150,"name":"Time of Event (Mountain Time)","value":"13:36:45"},{"id":151,"name":"Denver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529</v>
      </c>
      <c r="B176" s="7">
        <v>4043</v>
      </c>
      <c r="C176" s="24" t="s">
        <v>106</v>
      </c>
      <c r="D176" s="24" t="s">
        <v>364</v>
      </c>
      <c r="E176" s="15">
        <v>42654.568564814814</v>
      </c>
      <c r="F176" s="15">
        <v>42654.570289351854</v>
      </c>
      <c r="G176" s="7">
        <v>1</v>
      </c>
      <c r="H176" s="15" t="s">
        <v>366</v>
      </c>
      <c r="I176" s="15">
        <v>42654.579826388886</v>
      </c>
      <c r="J176" s="7">
        <v>0</v>
      </c>
      <c r="K176" s="116" t="str">
        <f t="shared" si="61"/>
        <v>4043/4044</v>
      </c>
      <c r="L176" s="24" t="str">
        <f>VLOOKUP(A176,'Trips&amp;Operators'!$C$1:$E$10000,3,FALSE)</f>
        <v>BRUDER</v>
      </c>
      <c r="M176" s="6">
        <f t="shared" si="62"/>
        <v>9.5370370327145793E-3</v>
      </c>
      <c r="N176" s="7">
        <f t="shared" si="83"/>
        <v>13.733333327108994</v>
      </c>
      <c r="O176" s="7"/>
      <c r="P176" s="7"/>
      <c r="Q176" s="25"/>
      <c r="R176" s="25"/>
      <c r="S176" s="37">
        <f t="shared" si="78"/>
        <v>1</v>
      </c>
      <c r="T176" s="52" t="str">
        <f t="shared" si="63"/>
        <v>Southbound</v>
      </c>
      <c r="U176" s="15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12:38:44-0600',mode:absolute,to:'2016-10-11 14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6" s="54" t="str">
        <f t="shared" si="65"/>
        <v>N</v>
      </c>
      <c r="X176" s="163">
        <f t="shared" ref="X176:X177" si="86">VALUE(LEFT(AD176,4))-VALUE(LEFT(AD175,4))</f>
        <v>1</v>
      </c>
      <c r="Y176" s="69">
        <f t="shared" ref="Y176:Y220" si="87">RIGHT(D176,LEN(D176)-4)/10000</f>
        <v>5.8639999999999999</v>
      </c>
      <c r="Z176" s="69">
        <f t="shared" ref="Z176:Z220" si="88">RIGHT(H176,LEN(H176)-4)/10000</f>
        <v>6.7699999999999996E-2</v>
      </c>
      <c r="AA176" s="69">
        <f t="shared" si="66"/>
        <v>5.7962999999999996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67"/>
        <v>0822-11</v>
      </c>
      <c r="AE176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76" s="91" t="str">
        <f t="shared" si="69"/>
        <v>"C:\Program Files (x86)\AstroGrep\AstroGrep.exe" /spath="%USERPROFILE%\AppData\Local\Temp\OnboardLogs" /stypes="app*4043*20161011*" /stext=" 19:.+((SYSTEM_STATE.+slice.+state.+changed )|(ment ac)|(system.+state.+changed )|(\[timeout)|(PRM\|1\|D)|(kpr)|(kdp)|(\|lc)|(penalty))" /e /r /s</v>
      </c>
      <c r="AG176" s="1" t="str">
        <f t="shared" si="70"/>
        <v>NW</v>
      </c>
      <c r="AH176" s="95" t="str">
        <f t="shared" si="72"/>
        <v>"%USERPROFILE%\Documents\GitHub\eaglep3\Utilities\RefineRTDCRunTimes.py" --tripid 822-11 --locoid 4043 --swversion DE.1.0.7.0 --startMP 300:58640 --initTime 2016-10-11T13:38:44 --startdatetime 2016-10-11T13:41:13 --delay 1 --endMP 204:677 --enddatetime 2016-10-11T13:54:57 --enforcementcount 0 &gt;&gt;C:\Users\stu\Documents\GitHub\eaglep3-reporting\EC\2016-10-11-refined-times.txt</v>
      </c>
      <c r="AI176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{"issue":{"subject":"","project_id":79,"tracker_id":40,"status_id":1,"priority_id":2,"assigned_to_id":23,"start_date":"2016-10-11","description":"","custom_fields":[{"id":1,"name":"Subdivision","value":"NW"},{"id":4,"name":"Milepost","value":"0.0677"},{"id":17,"name":"Train ID","value":"822-11"},{"id":16,"name":"Locomotive ID","value":"4043"},{"id":130,"name":"Impact","value":""},{"id":150,"name":"Time of Event (Mountain Time)","value":"13:54:57"},{"id":151,"name":"Denver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539</v>
      </c>
      <c r="B177" s="7">
        <v>4044</v>
      </c>
      <c r="C177" s="24" t="s">
        <v>106</v>
      </c>
      <c r="D177" s="24" t="s">
        <v>490</v>
      </c>
      <c r="E177" s="15">
        <v>42654.592662037037</v>
      </c>
      <c r="F177" s="15">
        <v>42654.598240740743</v>
      </c>
      <c r="G177" s="7">
        <v>2</v>
      </c>
      <c r="H177" s="15" t="s">
        <v>735</v>
      </c>
      <c r="I177" s="15">
        <v>42654.607465277775</v>
      </c>
      <c r="J177" s="7">
        <v>0</v>
      </c>
      <c r="K177" s="116" t="str">
        <f t="shared" si="61"/>
        <v>4043/4044</v>
      </c>
      <c r="L177" s="24" t="str">
        <f>VLOOKUP(A177,'Trips&amp;Operators'!$C$1:$E$10000,3,FALSE)</f>
        <v>BRUDER</v>
      </c>
      <c r="M177" s="6">
        <f t="shared" si="62"/>
        <v>9.2245370324235409E-3</v>
      </c>
      <c r="N177" s="7">
        <f t="shared" si="83"/>
        <v>13.283333326689899</v>
      </c>
      <c r="O177" s="7"/>
      <c r="P177" s="7"/>
      <c r="Q177" s="25"/>
      <c r="R177" s="25"/>
      <c r="S177" s="37">
        <f t="shared" si="78"/>
        <v>1</v>
      </c>
      <c r="T177" s="52" t="str">
        <f t="shared" si="63"/>
        <v>NorthBound</v>
      </c>
      <c r="U177" s="15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13:13:26-0600',mode:absolute,to:'2016-10-11 15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7" s="54" t="str">
        <f t="shared" si="65"/>
        <v>N</v>
      </c>
      <c r="X177" s="163">
        <f t="shared" si="86"/>
        <v>1</v>
      </c>
      <c r="Y177" s="69">
        <f t="shared" si="87"/>
        <v>9.6699999999999994E-2</v>
      </c>
      <c r="Z177" s="69">
        <f t="shared" si="88"/>
        <v>5.8949999999999996</v>
      </c>
      <c r="AA177" s="69">
        <f t="shared" si="66"/>
        <v>5.7982999999999993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67"/>
        <v>0823-11</v>
      </c>
      <c r="AE177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77" s="91" t="str">
        <f t="shared" si="69"/>
        <v>"C:\Program Files (x86)\AstroGrep\AstroGrep.exe" /spath="%USERPROFILE%\AppData\Local\Temp\OnboardLogs" /stypes="app*4044*20161011*" /stext=" 20:.+((SYSTEM_STATE.+slice.+state.+changed )|(ment ac)|(system.+state.+changed )|(\[timeout)|(PRM\|1\|D)|(kpr)|(kdp)|(\|lc)|(penalty))" /e /r /s</v>
      </c>
      <c r="AG177" s="1" t="str">
        <f t="shared" si="70"/>
        <v>NW</v>
      </c>
      <c r="AH177" s="95" t="str">
        <f t="shared" si="72"/>
        <v>"%USERPROFILE%\Documents\GitHub\eaglep3\Utilities\RefineRTDCRunTimes.py" --tripid 823-11 --locoid 4044 --swversion DE.1.0.7.0 --startMP 204:967 --initTime 2016-10-11T14:13:26 --startdatetime 2016-10-11T14:21:28 --delay 2 --endMP 300:58950 --enddatetime 2016-10-11T14:34:45 --enforcementcount 0 &gt;&gt;C:\Users\stu\Documents\GitHub\eaglep3-reporting\EC\2016-10-11-refined-times.txt</v>
      </c>
      <c r="AI177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{"issue":{"subject":"","project_id":79,"tracker_id":40,"status_id":1,"priority_id":2,"assigned_to_id":23,"start_date":"2016-10-11","description":"","custom_fields":[{"id":1,"name":"Subdivision","value":"NW"},{"id":4,"name":"Milepost","value":"5.895"},{"id":17,"name":"Train ID","value":"823-11"},{"id":16,"name":"Locomotive ID","value":"4044"},{"id":130,"name":"Impact","value":""},{"id":150,"name":"Time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542</v>
      </c>
      <c r="B178" s="7">
        <v>4043</v>
      </c>
      <c r="C178" s="24" t="s">
        <v>106</v>
      </c>
      <c r="D178" s="24" t="s">
        <v>736</v>
      </c>
      <c r="E178" s="15">
        <v>42654.608854166669</v>
      </c>
      <c r="F178" s="15">
        <v>42654.610567129632</v>
      </c>
      <c r="G178" s="7">
        <v>1</v>
      </c>
      <c r="H178" s="15" t="s">
        <v>308</v>
      </c>
      <c r="I178" s="15">
        <v>42654.623252314814</v>
      </c>
      <c r="J178" s="7">
        <v>0</v>
      </c>
      <c r="K178" s="116" t="str">
        <f t="shared" si="61"/>
        <v>4043/4044</v>
      </c>
      <c r="L178" s="24" t="str">
        <f>VLOOKUP(A178,'Trips&amp;Operators'!$C$1:$E$10000,3,FALSE)</f>
        <v>BRUDER</v>
      </c>
      <c r="M178" s="6">
        <f t="shared" si="62"/>
        <v>1.2685185181908309E-2</v>
      </c>
      <c r="N178" s="7">
        <f t="shared" si="83"/>
        <v>18.266666661947966</v>
      </c>
      <c r="O178" s="7"/>
      <c r="P178" s="7"/>
      <c r="Q178" s="25"/>
      <c r="R178" s="25"/>
      <c r="S178" s="37">
        <f t="shared" si="78"/>
        <v>1</v>
      </c>
      <c r="T178" s="52" t="str">
        <f t="shared" si="63"/>
        <v>Southbound</v>
      </c>
      <c r="U178" s="15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13:36:45-0600',mode:absolute,to:'2016-10-11 15:57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8" s="54" t="str">
        <f t="shared" si="65"/>
        <v>N</v>
      </c>
      <c r="X178" s="163">
        <f t="shared" ref="X178:X220" si="89">VALUE(LEFT(AD178,4))-VALUE(LEFT(AD177,4))</f>
        <v>1</v>
      </c>
      <c r="Y178" s="69">
        <f t="shared" si="87"/>
        <v>5.8630000000000004</v>
      </c>
      <c r="Z178" s="69">
        <f t="shared" si="88"/>
        <v>6.8500000000000005E-2</v>
      </c>
      <c r="AA178" s="69">
        <f t="shared" si="66"/>
        <v>5.7945000000000002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67"/>
        <v>0824-11</v>
      </c>
      <c r="AE178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78" s="91" t="str">
        <f t="shared" si="69"/>
        <v>"C:\Program Files (x86)\AstroGrep\AstroGrep.exe" /spath="%USERPROFILE%\AppData\Local\Temp\OnboardLogs" /stypes="app*4043*20161011*" /stext=" 20:.+((SYSTEM_STATE.+slice.+state.+changed )|(ment ac)|(system.+state.+changed )|(\[timeout)|(PRM\|1\|D)|(kpr)|(kdp)|(\|lc)|(penalty))" /e /r /s</v>
      </c>
      <c r="AG178" s="1" t="str">
        <f t="shared" si="70"/>
        <v>NW</v>
      </c>
      <c r="AH178" s="95" t="str">
        <f t="shared" si="72"/>
        <v>"%USERPROFILE%\Documents\GitHub\eaglep3\Utilities\RefineRTDCRunTimes.py" --tripid 824-11 --locoid 4043 --swversion DE.1.0.7.0 --startMP 300:58630 --initTime 2016-10-11T14:36:45 --startdatetime 2016-10-11T14:39:13 --delay 1 --endMP 204:685 --enddatetime 2016-10-11T14:57:29 --enforcementcount 0 &gt;&gt;C:\Users\stu\Documents\GitHub\eaglep3-reporting\EC\2016-10-11-refined-times.txt</v>
      </c>
      <c r="AI178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{"issue":{"subject":"","project_id":79,"tracker_id":40,"status_id":1,"priority_id":2,"assigned_to_id":23,"start_date":"2016-10-11","description":"","custom_fields":[{"id":1,"name":"Subdivision","value":"NW"},{"id":4,"name":"Milepost","value":"0.0685"},{"id":17,"name":"Train ID","value":"824-11"},{"id":16,"name":"Locomotive ID","value":"4043"},{"id":130,"name":"Impact","value":""},{"id":150,"name":"Time of Event (Mountain Time)","value":"14:57:29"},{"id":151,"name":"Denver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587</v>
      </c>
      <c r="B179" s="7">
        <v>4044</v>
      </c>
      <c r="C179" s="24" t="s">
        <v>106</v>
      </c>
      <c r="D179" s="24" t="s">
        <v>737</v>
      </c>
      <c r="E179" s="15">
        <v>42654.633784722224</v>
      </c>
      <c r="F179" s="15">
        <v>42654.639803240738</v>
      </c>
      <c r="G179" s="7">
        <v>1</v>
      </c>
      <c r="H179" s="15" t="s">
        <v>365</v>
      </c>
      <c r="I179" s="15">
        <v>42654.649687500001</v>
      </c>
      <c r="J179" s="7">
        <v>0</v>
      </c>
      <c r="K179" s="116" t="str">
        <f t="shared" si="61"/>
        <v>4043/4044</v>
      </c>
      <c r="L179" s="24" t="str">
        <f>VLOOKUP(A179,'Trips&amp;Operators'!$C$1:$E$10000,3,FALSE)</f>
        <v>BRUDER</v>
      </c>
      <c r="M179" s="6">
        <f t="shared" si="62"/>
        <v>9.8842592633445747E-3</v>
      </c>
      <c r="N179" s="7">
        <f t="shared" si="83"/>
        <v>14.233333339216188</v>
      </c>
      <c r="O179" s="7"/>
      <c r="P179" s="7"/>
      <c r="Q179" s="25"/>
      <c r="R179" s="25"/>
      <c r="S179" s="37">
        <f t="shared" si="78"/>
        <v>1</v>
      </c>
      <c r="T179" s="52" t="str">
        <f t="shared" si="63"/>
        <v>NorthBound</v>
      </c>
      <c r="U179" s="15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14:12:39-0600',mode:absolute,to:'2016-10-11 16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9" s="54" t="str">
        <f t="shared" si="65"/>
        <v>N</v>
      </c>
      <c r="X179" s="163">
        <f t="shared" si="89"/>
        <v>1</v>
      </c>
      <c r="Y179" s="69">
        <f t="shared" si="87"/>
        <v>9.69E-2</v>
      </c>
      <c r="Z179" s="69">
        <f t="shared" si="88"/>
        <v>5.8925999999999998</v>
      </c>
      <c r="AA179" s="69">
        <f t="shared" si="66"/>
        <v>5.7957000000000001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67"/>
        <v>0825-11</v>
      </c>
      <c r="AE179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79" s="91" t="str">
        <f t="shared" si="69"/>
        <v>"C:\Program Files (x86)\AstroGrep\AstroGrep.exe" /spath="%USERPROFILE%\AppData\Local\Temp\OnboardLogs" /stypes="app*4044*20161011*" /stext=" 21:.+((SYSTEM_STATE.+slice.+state.+changed )|(ment ac)|(system.+state.+changed )|(\[timeout)|(PRM\|1\|D)|(kpr)|(kdp)|(\|lc)|(penalty))" /e /r /s</v>
      </c>
      <c r="AG179" s="1" t="str">
        <f t="shared" si="70"/>
        <v>NW</v>
      </c>
      <c r="AH179" s="95" t="str">
        <f t="shared" si="72"/>
        <v>"%USERPROFILE%\Documents\GitHub\eaglep3\Utilities\RefineRTDCRunTimes.py" --tripid 825-11 --locoid 4044 --swversion DE.1.0.7.0 --startMP 204:969 --initTime 2016-10-11T15:12:39 --startdatetime 2016-10-11T15:21:19 --delay 1 --endMP 300:58926 --enddatetime 2016-10-11T15:35:33 --enforcementcount 0 &gt;&gt;C:\Users\stu\Documents\GitHub\eaglep3-reporting\EC\2016-10-11-refined-times.txt</v>
      </c>
      <c r="AI179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{"issue":{"subject":"","project_id":79,"tracker_id":40,"status_id":1,"priority_id":2,"assigned_to_id":23,"start_date":"2016-10-11","description":"","custom_fields":[{"id":1,"name":"Subdivision","value":"NW"},{"id":4,"name":"Milepost","value":"5.8926"},{"id":17,"name":"Train ID","value":"825-11"},{"id":16,"name":"Locomotive ID","value":"4044"},{"id":130,"name":"Impact","value":""},{"id":150,"name":"Time of Event (Mountain Time)","value":"15:35:33"},{"id":151,"name":"Denver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592</v>
      </c>
      <c r="B180" s="7">
        <v>4043</v>
      </c>
      <c r="C180" s="24" t="s">
        <v>106</v>
      </c>
      <c r="D180" s="24" t="s">
        <v>522</v>
      </c>
      <c r="E180" s="15">
        <v>42654.650879629633</v>
      </c>
      <c r="F180" s="15">
        <v>42654.652314814812</v>
      </c>
      <c r="G180" s="7">
        <v>1</v>
      </c>
      <c r="H180" s="15" t="s">
        <v>366</v>
      </c>
      <c r="I180" s="15">
        <v>42654.663495370369</v>
      </c>
      <c r="J180" s="7">
        <v>0</v>
      </c>
      <c r="K180" s="116" t="str">
        <f t="shared" si="61"/>
        <v>4043/4044</v>
      </c>
      <c r="L180" s="24" t="str">
        <f>VLOOKUP(A180,'Trips&amp;Operators'!$C$1:$E$10000,3,FALSE)</f>
        <v>BRUDER</v>
      </c>
      <c r="M180" s="6">
        <f t="shared" si="62"/>
        <v>1.1180555557075422E-2</v>
      </c>
      <c r="N180" s="7">
        <f t="shared" si="83"/>
        <v>16.100000002188608</v>
      </c>
      <c r="O180" s="7"/>
      <c r="P180" s="7"/>
      <c r="Q180" s="25"/>
      <c r="R180" s="25"/>
      <c r="S180" s="37">
        <f t="shared" si="78"/>
        <v>1</v>
      </c>
      <c r="T180" s="52" t="str">
        <f t="shared" si="63"/>
        <v>Southbound</v>
      </c>
      <c r="U180" s="15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14:37:16-0600',mode:absolute,to:'2016-10-11 16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0" s="54" t="str">
        <f t="shared" si="65"/>
        <v>N</v>
      </c>
      <c r="X180" s="163">
        <f t="shared" si="89"/>
        <v>1</v>
      </c>
      <c r="Y180" s="69">
        <f t="shared" si="87"/>
        <v>5.8620999999999999</v>
      </c>
      <c r="Z180" s="69">
        <f t="shared" si="88"/>
        <v>6.7699999999999996E-2</v>
      </c>
      <c r="AA180" s="69">
        <f t="shared" si="66"/>
        <v>5.7943999999999996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67"/>
        <v>0826-11</v>
      </c>
      <c r="AE180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80" s="91" t="str">
        <f t="shared" si="69"/>
        <v>"C:\Program Files (x86)\AstroGrep\AstroGrep.exe" /spath="%USERPROFILE%\AppData\Local\Temp\OnboardLogs" /stypes="app*4043*20161011*" /stext=" 21:.+((SYSTEM_STATE.+slice.+state.+changed )|(ment ac)|(system.+state.+changed )|(\[timeout)|(PRM\|1\|D)|(kpr)|(kdp)|(\|lc)|(penalty))" /e /r /s</v>
      </c>
      <c r="AG180" s="1" t="str">
        <f t="shared" si="70"/>
        <v>NW</v>
      </c>
      <c r="AH180" s="95" t="str">
        <f t="shared" si="72"/>
        <v>"%USERPROFILE%\Documents\GitHub\eaglep3\Utilities\RefineRTDCRunTimes.py" --tripid 826-11 --locoid 4043 --swversion DE.1.0.7.0 --startMP 300:58621 --initTime 2016-10-11T15:37:16 --startdatetime 2016-10-11T15:39:20 --delay 1 --endMP 204:677 --enddatetime 2016-10-11T15:55:26 --enforcementcount 0 &gt;&gt;C:\Users\stu\Documents\GitHub\eaglep3-reporting\EC\2016-10-11-refined-times.txt</v>
      </c>
      <c r="AI180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{"issue":{"subject":"","project_id":79,"tracker_id":40,"status_id":1,"priority_id":2,"assigned_to_id":23,"start_date":"2016-10-11","description":"","custom_fields":[{"id":1,"name":"Subdivision","value":"NW"},{"id":4,"name":"Milepost","value":"0.0677"},{"id":17,"name":"Train ID","value":"826-11"},{"id":16,"name":"Locomotive ID","value":"4043"},{"id":130,"name":"Impact","value":""},{"id":150,"name":"Time of Event (Mountain Time)","value":"15:55:26"},{"id":151,"name":"Denver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593</v>
      </c>
      <c r="B181" s="7">
        <v>4018</v>
      </c>
      <c r="C181" s="24" t="s">
        <v>106</v>
      </c>
      <c r="D181" s="24" t="s">
        <v>500</v>
      </c>
      <c r="E181" s="15">
        <v>42654.65351851852</v>
      </c>
      <c r="F181" s="15">
        <v>42654.660636574074</v>
      </c>
      <c r="G181" s="7">
        <v>2</v>
      </c>
      <c r="H181" s="15" t="s">
        <v>738</v>
      </c>
      <c r="I181" s="15">
        <v>42654.670949074076</v>
      </c>
      <c r="J181" s="7">
        <v>0</v>
      </c>
      <c r="K181" s="116" t="str">
        <f t="shared" si="61"/>
        <v>4017/4018</v>
      </c>
      <c r="L181" s="24" t="str">
        <f>VLOOKUP(A181,'Trips&amp;Operators'!$C$1:$E$10000,3,FALSE)</f>
        <v>STURGEON</v>
      </c>
      <c r="M181" s="6">
        <f t="shared" si="62"/>
        <v>1.0312500002328306E-2</v>
      </c>
      <c r="N181" s="7">
        <f t="shared" si="83"/>
        <v>14.850000003352761</v>
      </c>
      <c r="O181" s="7"/>
      <c r="P181" s="7"/>
      <c r="Q181" s="25"/>
      <c r="R181" s="25"/>
      <c r="S181" s="37">
        <f t="shared" si="78"/>
        <v>1</v>
      </c>
      <c r="T181" s="52" t="str">
        <f t="shared" si="63"/>
        <v>NorthBound</v>
      </c>
      <c r="U181" s="15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14:41:04-0600',mode:absolute,to:'2016-10-11 17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1" s="54" t="str">
        <f t="shared" si="65"/>
        <v>N</v>
      </c>
      <c r="X181" s="163">
        <f t="shared" si="89"/>
        <v>1</v>
      </c>
      <c r="Y181" s="69">
        <f t="shared" si="87"/>
        <v>0.1007</v>
      </c>
      <c r="Z181" s="69">
        <f t="shared" si="88"/>
        <v>5.8920000000000003</v>
      </c>
      <c r="AA181" s="69">
        <f t="shared" si="66"/>
        <v>5.7913000000000006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67"/>
        <v>0827-11</v>
      </c>
      <c r="AE181" s="94" t="str">
        <f t="shared" si="68"/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AF181" s="91" t="str">
        <f t="shared" si="69"/>
        <v>"C:\Program Files (x86)\AstroGrep\AstroGrep.exe" /spath="%USERPROFILE%\AppData\Local\Temp\OnboardLogs" /stypes="app*4018*20161011*" /stext=" 22:.+((SYSTEM_STATE.+slice.+state.+changed )|(ment ac)|(system.+state.+changed )|(\[timeout)|(PRM\|1\|D)|(kpr)|(kdp)|(\|lc)|(penalty))" /e /r /s</v>
      </c>
      <c r="AG181" s="1" t="str">
        <f t="shared" si="70"/>
        <v>NW</v>
      </c>
      <c r="AH181" s="95" t="str">
        <f t="shared" si="72"/>
        <v>"%USERPROFILE%\Documents\GitHub\eaglep3\Utilities\RefineRTDCRunTimes.py" --tripid 827-11 --locoid 4018 --swversion DE.1.0.7.0 --startMP 204:1007 --initTime 2016-10-11T15:41:04 --startdatetime 2016-10-11T15:51:19 --delay 2 --endMP 300:58920 --enddatetime 2016-10-11T16:06:10 --enforcementcount 0 &gt;&gt;C:\Users\stu\Documents\GitHub\eaglep3-reporting\EC\2016-10-11-refined-times.txt</v>
      </c>
      <c r="AI181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{"issue":{"subject":"","project_id":79,"tracker_id":40,"status_id":1,"priority_id":2,"assigned_to_id":23,"start_date":"2016-10-11","description":"","custom_fields":[{"id":1,"name":"Subdivision","value":"NW"},{"id":4,"name":"Milepost","value":"5.892"},{"id":17,"name":"Train ID","value":"827-11"},{"id":16,"name":"Locomotive ID","value":"4018"},{"id":130,"name":"Impact","value":""},{"id":150,"name":"Time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597</v>
      </c>
      <c r="B182" s="7">
        <v>4017</v>
      </c>
      <c r="C182" s="24" t="s">
        <v>106</v>
      </c>
      <c r="D182" s="24" t="s">
        <v>739</v>
      </c>
      <c r="E182" s="15">
        <v>42654.672268518516</v>
      </c>
      <c r="F182" s="15">
        <v>42654.674155092594</v>
      </c>
      <c r="G182" s="7">
        <v>1</v>
      </c>
      <c r="H182" s="15" t="s">
        <v>308</v>
      </c>
      <c r="I182" s="15">
        <v>42654.685428240744</v>
      </c>
      <c r="J182" s="7">
        <v>0</v>
      </c>
      <c r="K182" s="116" t="str">
        <f t="shared" si="61"/>
        <v>4017/4018</v>
      </c>
      <c r="L182" s="24" t="str">
        <f>VLOOKUP(A182,'Trips&amp;Operators'!$C$1:$E$10000,3,FALSE)</f>
        <v>STURGEON</v>
      </c>
      <c r="M182" s="6">
        <f t="shared" si="62"/>
        <v>1.1273148149484769E-2</v>
      </c>
      <c r="N182" s="7">
        <f t="shared" si="83"/>
        <v>16.233333335258067</v>
      </c>
      <c r="O182" s="7"/>
      <c r="P182" s="7"/>
      <c r="Q182" s="25"/>
      <c r="R182" s="25"/>
      <c r="S182" s="37">
        <f t="shared" si="78"/>
        <v>1</v>
      </c>
      <c r="T182" s="52" t="str">
        <f t="shared" si="63"/>
        <v>Southbound</v>
      </c>
      <c r="U182" s="15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15:08:04-0600',mode:absolute,to:'2016-10-11 17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2" s="54" t="str">
        <f t="shared" si="65"/>
        <v>N</v>
      </c>
      <c r="X182" s="163">
        <f t="shared" si="89"/>
        <v>1</v>
      </c>
      <c r="Y182" s="69">
        <f t="shared" si="87"/>
        <v>5.8608000000000002</v>
      </c>
      <c r="Z182" s="69">
        <f t="shared" si="88"/>
        <v>6.8500000000000005E-2</v>
      </c>
      <c r="AA182" s="69">
        <f t="shared" si="66"/>
        <v>5.7923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67"/>
        <v>0828-11</v>
      </c>
      <c r="AE182" s="94" t="str">
        <f t="shared" si="68"/>
        <v>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 &amp; 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</v>
      </c>
      <c r="AF182" s="91" t="str">
        <f t="shared" si="69"/>
        <v>"C:\Program Files (x86)\AstroGrep\AstroGrep.exe" /spath="%USERPROFILE%\AppData\Local\Temp\OnboardLogs" /stypes="app*4017*20161011*" /stext=" 22:.+((SYSTEM_STATE.+slice.+state.+changed )|(ment ac)|(system.+state.+changed )|(\[timeout)|(PRM\|1\|D)|(kpr)|(kdp)|(\|lc)|(penalty))" /e /r /s</v>
      </c>
      <c r="AG182" s="1" t="str">
        <f t="shared" si="70"/>
        <v>NW</v>
      </c>
      <c r="AH182" s="95" t="str">
        <f t="shared" si="72"/>
        <v>"%USERPROFILE%\Documents\GitHub\eaglep3\Utilities\RefineRTDCRunTimes.py" --tripid 828-11 --locoid 4017 --swversion DE.1.0.7.0 --startMP 300:58608 --initTime 2016-10-11T16:08:04 --startdatetime 2016-10-11T16:10:47 --delay 1 --endMP 204:685 --enddatetime 2016-10-11T16:27:01 --enforcementcount 0 &gt;&gt;C:\Users\stu\Documents\GitHub\eaglep3-reporting\EC\2016-10-11-refined-times.txt</v>
      </c>
      <c r="AI182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{"issue":{"subject":"","project_id":79,"tracker_id":40,"status_id":1,"priority_id":2,"assigned_to_id":23,"start_date":"2016-10-11","description":"","custom_fields":[{"id":1,"name":"Subdivision","value":"NW"},{"id":4,"name":"Milepost","value":"0.0685"},{"id":17,"name":"Train ID","value":"828-11"},{"id":16,"name":"Locomotive ID","value":"4017"},{"id":130,"name":"Impact","value":""},{"id":150,"name":"Time of Event (Mountain Time)","value":"16:27:01"},{"id":151,"name":"Denver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599</v>
      </c>
      <c r="B183" s="7">
        <v>4044</v>
      </c>
      <c r="C183" s="24" t="s">
        <v>106</v>
      </c>
      <c r="D183" s="24" t="s">
        <v>740</v>
      </c>
      <c r="E183" s="15">
        <v>42654.675763888888</v>
      </c>
      <c r="F183" s="15">
        <v>42654.681516203702</v>
      </c>
      <c r="G183" s="7">
        <v>1</v>
      </c>
      <c r="H183" s="15" t="s">
        <v>741</v>
      </c>
      <c r="I183" s="15">
        <v>42654.69085648148</v>
      </c>
      <c r="J183" s="7">
        <v>0</v>
      </c>
      <c r="K183" s="116" t="str">
        <f t="shared" si="61"/>
        <v>4043/4044</v>
      </c>
      <c r="L183" s="24" t="str">
        <f>VLOOKUP(A183,'Trips&amp;Operators'!$C$1:$E$10000,3,FALSE)</f>
        <v>BRUDER</v>
      </c>
      <c r="M183" s="6">
        <f t="shared" si="62"/>
        <v>9.340277778392192E-3</v>
      </c>
      <c r="N183" s="7">
        <f t="shared" si="83"/>
        <v>13.450000000884756</v>
      </c>
      <c r="O183" s="7"/>
      <c r="P183" s="7"/>
      <c r="Q183" s="25"/>
      <c r="R183" s="25"/>
      <c r="S183" s="37">
        <f t="shared" si="78"/>
        <v>1</v>
      </c>
      <c r="T183" s="52" t="str">
        <f t="shared" si="63"/>
        <v>NorthBound</v>
      </c>
      <c r="U183" s="15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15:13:06-0600',mode:absolute,to:'2016-10-11 17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3" s="54" t="str">
        <f t="shared" si="65"/>
        <v>N</v>
      </c>
      <c r="X183" s="163">
        <f t="shared" si="89"/>
        <v>1</v>
      </c>
      <c r="Y183" s="69">
        <f t="shared" si="87"/>
        <v>9.64E-2</v>
      </c>
      <c r="Z183" s="69">
        <f t="shared" si="88"/>
        <v>5.8943000000000003</v>
      </c>
      <c r="AA183" s="69">
        <f t="shared" si="66"/>
        <v>5.7979000000000003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67"/>
        <v>0829-11</v>
      </c>
      <c r="AE183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83" s="91" t="str">
        <f t="shared" si="69"/>
        <v>"C:\Program Files (x86)\AstroGrep\AstroGrep.exe" /spath="%USERPROFILE%\AppData\Local\Temp\OnboardLogs" /stypes="app*4044*20161011*" /stext=" 22:.+((SYSTEM_STATE.+slice.+state.+changed )|(ment ac)|(system.+state.+changed )|(\[timeout)|(PRM\|1\|D)|(kpr)|(kdp)|(\|lc)|(penalty))" /e /r /s</v>
      </c>
      <c r="AG183" s="1" t="str">
        <f t="shared" si="70"/>
        <v>NW</v>
      </c>
      <c r="AH183" s="95" t="str">
        <f t="shared" si="72"/>
        <v>"%USERPROFILE%\Documents\GitHub\eaglep3\Utilities\RefineRTDCRunTimes.py" --tripid 829-11 --locoid 4044 --swversion DE.1.0.7.0 --startMP 204:964 --initTime 2016-10-11T16:13:06 --startdatetime 2016-10-11T16:21:23 --delay 1 --endMP 300:58943 --enddatetime 2016-10-11T16:34:50 --enforcementcount 0 &gt;&gt;C:\Users\stu\Documents\GitHub\eaglep3-reporting\EC\2016-10-11-refined-times.txt</v>
      </c>
      <c r="AI183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{"issue":{"subject":"","project_id":79,"tracker_id":40,"status_id":1,"priority_id":2,"assigned_to_id":23,"start_date":"2016-10-11","description":"","custom_fields":[{"id":1,"name":"Subdivision","value":"NW"},{"id":4,"name":"Milepost","value":"5.8943"},{"id":17,"name":"Train ID","value":"829-11"},{"id":16,"name":"Locomotive ID","value":"4044"},{"id":130,"name":"Impact","value":""},{"id":150,"name":"Time of Event (Mountain Time)","value":"16:34:50"},{"id":151,"name":"Denver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603</v>
      </c>
      <c r="B184" s="7">
        <v>4043</v>
      </c>
      <c r="C184" s="24" t="s">
        <v>106</v>
      </c>
      <c r="D184" s="24" t="s">
        <v>742</v>
      </c>
      <c r="E184" s="15">
        <v>42654.692465277774</v>
      </c>
      <c r="F184" s="15">
        <v>42654.693981481483</v>
      </c>
      <c r="G184" s="7">
        <v>1</v>
      </c>
      <c r="H184" s="15" t="s">
        <v>743</v>
      </c>
      <c r="I184" s="15">
        <v>42654.707094907404</v>
      </c>
      <c r="J184" s="7">
        <v>0</v>
      </c>
      <c r="K184" s="116" t="str">
        <f t="shared" si="61"/>
        <v>4043/4044</v>
      </c>
      <c r="L184" s="24" t="str">
        <f>VLOOKUP(A184,'Trips&amp;Operators'!$C$1:$E$10000,3,FALSE)</f>
        <v>BRUDER</v>
      </c>
      <c r="M184" s="6">
        <f t="shared" si="62"/>
        <v>1.3113425920892041E-2</v>
      </c>
      <c r="N184" s="7">
        <f t="shared" si="83"/>
        <v>18.883333326084539</v>
      </c>
      <c r="O184" s="7"/>
      <c r="P184" s="7"/>
      <c r="Q184" s="25"/>
      <c r="R184" s="25"/>
      <c r="S184" s="37">
        <f t="shared" si="78"/>
        <v>1</v>
      </c>
      <c r="T184" s="52" t="str">
        <f t="shared" si="63"/>
        <v>Southbound</v>
      </c>
      <c r="U184" s="15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15:37:09-0600',mode:absolute,to:'2016-10-11 17:58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4" s="54" t="str">
        <f t="shared" si="65"/>
        <v>N</v>
      </c>
      <c r="X184" s="163">
        <f t="shared" si="89"/>
        <v>1</v>
      </c>
      <c r="Y184" s="69">
        <f t="shared" si="87"/>
        <v>5.8632</v>
      </c>
      <c r="Z184" s="69">
        <f t="shared" si="88"/>
        <v>6.8199999999999997E-2</v>
      </c>
      <c r="AA184" s="69">
        <f t="shared" si="66"/>
        <v>5.7949999999999999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67"/>
        <v>0830-11</v>
      </c>
      <c r="AE184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84" s="91" t="str">
        <f t="shared" si="69"/>
        <v>"C:\Program Files (x86)\AstroGrep\AstroGrep.exe" /spath="%USERPROFILE%\AppData\Local\Temp\OnboardLogs" /stypes="app*4043*20161011*" /stext=" 22:.+((SYSTEM_STATE.+slice.+state.+changed )|(ment ac)|(system.+state.+changed )|(\[timeout)|(PRM\|1\|D)|(kpr)|(kdp)|(\|lc)|(penalty))" /e /r /s</v>
      </c>
      <c r="AG184" s="1" t="str">
        <f t="shared" si="70"/>
        <v>NW</v>
      </c>
      <c r="AH184" s="95" t="str">
        <f t="shared" si="72"/>
        <v>"%USERPROFILE%\Documents\GitHub\eaglep3\Utilities\RefineRTDCRunTimes.py" --tripid 830-11 --locoid 4043 --swversion DE.1.0.7.0 --startMP 300:58632 --initTime 2016-10-11T16:37:09 --startdatetime 2016-10-11T16:39:20 --delay 1 --endMP 204:682 --enddatetime 2016-10-11T16:58:13 --enforcementcount 0 &gt;&gt;C:\Users\stu\Documents\GitHub\eaglep3-reporting\EC\2016-10-11-refined-times.txt</v>
      </c>
      <c r="AI184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{"issue":{"subject":"","project_id":79,"tracker_id":40,"status_id":1,"priority_id":2,"assigned_to_id":23,"start_date":"2016-10-11","description":"","custom_fields":[{"id":1,"name":"Subdivision","value":"NW"},{"id":4,"name":"Milepost","value":"0.0682"},{"id":17,"name":"Train ID","value":"830-11"},{"id":16,"name":"Locomotive ID","value":"4043"},{"id":130,"name":"Impact","value":""},{"id":150,"name":"Time of Event (Mountain Time)","value":"16:58:13"},{"id":151,"name":"Denver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604</v>
      </c>
      <c r="B185" s="7">
        <v>4018</v>
      </c>
      <c r="C185" s="24" t="s">
        <v>106</v>
      </c>
      <c r="D185" s="24" t="s">
        <v>494</v>
      </c>
      <c r="E185" s="15">
        <v>42654.695925925924</v>
      </c>
      <c r="F185" s="15">
        <v>42654.702326388891</v>
      </c>
      <c r="G185" s="7">
        <v>1</v>
      </c>
      <c r="H185" s="15" t="s">
        <v>738</v>
      </c>
      <c r="I185" s="15">
        <v>42654.712812500002</v>
      </c>
      <c r="J185" s="7">
        <v>0</v>
      </c>
      <c r="K185" s="116" t="str">
        <f t="shared" si="61"/>
        <v>4017/4018</v>
      </c>
      <c r="L185" s="24" t="str">
        <f>VLOOKUP(A185,'Trips&amp;Operators'!$C$1:$E$10000,3,FALSE)</f>
        <v>STURGEON</v>
      </c>
      <c r="M185" s="6">
        <f t="shared" si="62"/>
        <v>1.0486111110367347E-2</v>
      </c>
      <c r="N185" s="7">
        <f t="shared" si="83"/>
        <v>15.099999998928979</v>
      </c>
      <c r="O185" s="7"/>
      <c r="P185" s="7"/>
      <c r="Q185" s="25"/>
      <c r="R185" s="25"/>
      <c r="S185" s="37">
        <f t="shared" ref="S185:S220" si="90">SUM(U185:U185)/IF(AG185="EC",12,1)</f>
        <v>1</v>
      </c>
      <c r="T185" s="52" t="str">
        <f t="shared" si="63"/>
        <v>NorthBound</v>
      </c>
      <c r="U185" s="15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15:42:08-0600',mode:absolute,to:'2016-10-11 18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5" s="54" t="str">
        <f t="shared" si="65"/>
        <v>N</v>
      </c>
      <c r="X185" s="163">
        <f t="shared" si="89"/>
        <v>1</v>
      </c>
      <c r="Y185" s="69">
        <f t="shared" si="87"/>
        <v>9.8500000000000004E-2</v>
      </c>
      <c r="Z185" s="69">
        <f t="shared" si="88"/>
        <v>5.8920000000000003</v>
      </c>
      <c r="AA185" s="69">
        <f t="shared" si="66"/>
        <v>5.7935000000000008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67"/>
        <v>0831-11</v>
      </c>
      <c r="AE185" s="94" t="str">
        <f t="shared" si="68"/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AF185" s="91" t="str">
        <f t="shared" si="69"/>
        <v>"C:\Program Files (x86)\AstroGrep\AstroGrep.exe" /spath="%USERPROFILE%\AppData\Local\Temp\OnboardLogs" /stypes="app*4018*20161011*" /stext=" 23:.+((SYSTEM_STATE.+slice.+state.+changed )|(ment ac)|(system.+state.+changed )|(\[timeout)|(PRM\|1\|D)|(kpr)|(kdp)|(\|lc)|(penalty))" /e /r /s</v>
      </c>
      <c r="AG185" s="1" t="str">
        <f t="shared" si="70"/>
        <v>NW</v>
      </c>
      <c r="AH185" s="95" t="str">
        <f t="shared" si="72"/>
        <v>"%USERPROFILE%\Documents\GitHub\eaglep3\Utilities\RefineRTDCRunTimes.py" --tripid 831-11 --locoid 4018 --swversion DE.1.0.7.0 --startMP 204:985 --initTime 2016-10-11T16:42:08 --startdatetime 2016-10-11T16:51:21 --delay 1 --endMP 300:58920 --enddatetime 2016-10-11T17:06:27 --enforcementcount 0 &gt;&gt;C:\Users\stu\Documents\GitHub\eaglep3-reporting\EC\2016-10-11-refined-times.txt</v>
      </c>
      <c r="AI185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{"issue":{"subject":"","project_id":79,"tracker_id":40,"status_id":1,"priority_id":2,"assigned_to_id":23,"start_date":"2016-10-11","description":"","custom_fields":[{"id":1,"name":"Subdivision","value":"NW"},{"id":4,"name":"Milepost","value":"5.892"},{"id":17,"name":"Train ID","value":"831-11"},{"id":16,"name":"Locomotive ID","value":"4018"},{"id":130,"name":"Impact","value":""},{"id":150,"name":"Time of Event (Mountain Time)","value":"17:06:27"},{"id":151,"name":"Denver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608</v>
      </c>
      <c r="B186" s="7">
        <v>4017</v>
      </c>
      <c r="C186" s="24" t="s">
        <v>106</v>
      </c>
      <c r="D186" s="24" t="s">
        <v>262</v>
      </c>
      <c r="E186" s="15">
        <v>42654.714062500003</v>
      </c>
      <c r="F186" s="15">
        <v>42654.71603009259</v>
      </c>
      <c r="G186" s="7">
        <v>1</v>
      </c>
      <c r="H186" s="15" t="s">
        <v>744</v>
      </c>
      <c r="I186" s="15">
        <v>42654.727152777778</v>
      </c>
      <c r="J186" s="7">
        <v>0</v>
      </c>
      <c r="K186" s="116" t="str">
        <f t="shared" si="61"/>
        <v>4017/4018</v>
      </c>
      <c r="L186" s="24" t="str">
        <f>VLOOKUP(A186,'Trips&amp;Operators'!$C$1:$E$10000,3,FALSE)</f>
        <v>STURGEON</v>
      </c>
      <c r="M186" s="6">
        <f t="shared" si="62"/>
        <v>1.1122685187729076E-2</v>
      </c>
      <c r="N186" s="7">
        <f t="shared" si="83"/>
        <v>16.016666670329869</v>
      </c>
      <c r="O186" s="7"/>
      <c r="P186" s="7"/>
      <c r="Q186" s="25"/>
      <c r="R186" s="25"/>
      <c r="S186" s="37">
        <f t="shared" si="90"/>
        <v>1</v>
      </c>
      <c r="T186" s="52" t="str">
        <f t="shared" si="63"/>
        <v>Southbound</v>
      </c>
      <c r="U186" s="15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16:08:15-0600',mode:absolute,to:'2016-10-11 18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6" s="54" t="str">
        <f t="shared" si="65"/>
        <v>N</v>
      </c>
      <c r="X186" s="163">
        <f t="shared" si="89"/>
        <v>1</v>
      </c>
      <c r="Y186" s="69">
        <f t="shared" si="87"/>
        <v>5.8609</v>
      </c>
      <c r="Z186" s="69">
        <f t="shared" si="88"/>
        <v>6.8000000000000005E-2</v>
      </c>
      <c r="AA186" s="69">
        <f t="shared" si="66"/>
        <v>5.7929000000000004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67"/>
        <v>0832-11</v>
      </c>
      <c r="AE186" s="94" t="str">
        <f t="shared" si="68"/>
        <v>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 &amp; 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</v>
      </c>
      <c r="AF186" s="91" t="str">
        <f t="shared" si="69"/>
        <v>"C:\Program Files (x86)\AstroGrep\AstroGrep.exe" /spath="%USERPROFILE%\AppData\Local\Temp\OnboardLogs" /stypes="app*4017*20161011*" /stext=" 23:.+((SYSTEM_STATE.+slice.+state.+changed )|(ment ac)|(system.+state.+changed )|(\[timeout)|(PRM\|1\|D)|(kpr)|(kdp)|(\|lc)|(penalty))" /e /r /s</v>
      </c>
      <c r="AG186" s="1" t="str">
        <f t="shared" si="70"/>
        <v>NW</v>
      </c>
      <c r="AH186" s="95" t="str">
        <f t="shared" si="72"/>
        <v>"%USERPROFILE%\Documents\GitHub\eaglep3\Utilities\RefineRTDCRunTimes.py" --tripid 832-11 --locoid 4017 --swversion DE.1.0.7.0 --startMP 300:58609 --initTime 2016-10-11T17:08:15 --startdatetime 2016-10-11T17:11:05 --delay 1 --endMP 204:680 --enddatetime 2016-10-11T17:27:06 --enforcementcount 0 &gt;&gt;C:\Users\stu\Documents\GitHub\eaglep3-reporting\EC\2016-10-11-refined-times.txt</v>
      </c>
      <c r="AI186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{"issue":{"subject":"","project_id":79,"tracker_id":40,"status_id":1,"priority_id":2,"assigned_to_id":23,"start_date":"2016-10-11","description":"","custom_fields":[{"id":1,"name":"Subdivision","value":"NW"},{"id":4,"name":"Milepost","value":"0.068"},{"id":17,"name":"Train ID","value":"832-11"},{"id":16,"name":"Locomotive ID","value":"4017"},{"id":130,"name":"Impact","value":""},{"id":150,"name":"Time of Event (Mountain Time)","value":"17:27:06"},{"id":151,"name":"Denver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610</v>
      </c>
      <c r="B187" s="7">
        <v>4044</v>
      </c>
      <c r="C187" s="24" t="s">
        <v>106</v>
      </c>
      <c r="D187" s="24" t="s">
        <v>745</v>
      </c>
      <c r="E187" s="15">
        <v>42654.719398148147</v>
      </c>
      <c r="F187" s="15">
        <v>42654.723136574074</v>
      </c>
      <c r="G187" s="7">
        <v>1</v>
      </c>
      <c r="H187" s="15" t="s">
        <v>735</v>
      </c>
      <c r="I187" s="15">
        <v>42654.732511574075</v>
      </c>
      <c r="J187" s="7">
        <v>0</v>
      </c>
      <c r="K187" s="116" t="str">
        <f t="shared" si="61"/>
        <v>4043/4044</v>
      </c>
      <c r="L187" s="24" t="str">
        <f>VLOOKUP(A187,'Trips&amp;Operators'!$C$1:$E$10000,3,FALSE)</f>
        <v>BRUDER</v>
      </c>
      <c r="M187" s="6">
        <f t="shared" si="62"/>
        <v>9.3750000014551915E-3</v>
      </c>
      <c r="N187" s="7">
        <f t="shared" si="83"/>
        <v>13.500000002095476</v>
      </c>
      <c r="O187" s="7"/>
      <c r="P187" s="7"/>
      <c r="Q187" s="25"/>
      <c r="R187" s="25"/>
      <c r="S187" s="37">
        <f t="shared" si="90"/>
        <v>1</v>
      </c>
      <c r="T187" s="52" t="str">
        <f t="shared" si="63"/>
        <v>NorthBound</v>
      </c>
      <c r="U187" s="15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16:15:56-0600',mode:absolute,to:'2016-10-11 18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7" s="54" t="str">
        <f t="shared" si="65"/>
        <v>N</v>
      </c>
      <c r="X187" s="163">
        <f t="shared" si="89"/>
        <v>1</v>
      </c>
      <c r="Y187" s="69">
        <f t="shared" si="87"/>
        <v>9.6500000000000002E-2</v>
      </c>
      <c r="Z187" s="69">
        <f t="shared" si="88"/>
        <v>5.8949999999999996</v>
      </c>
      <c r="AA187" s="69">
        <f t="shared" si="66"/>
        <v>5.7984999999999998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67"/>
        <v>0833-11</v>
      </c>
      <c r="AE187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87" s="91" t="str">
        <f t="shared" si="69"/>
        <v>"C:\Program Files (x86)\AstroGrep\AstroGrep.exe" /spath="%USERPROFILE%\AppData\Local\Temp\OnboardLogs" /stypes="app*4044*20161011*" /stext=" 23:.+((SYSTEM_STATE.+slice.+state.+changed )|(ment ac)|(system.+state.+changed )|(\[timeout)|(PRM\|1\|D)|(kpr)|(kdp)|(\|lc)|(penalty))" /e /r /s</v>
      </c>
      <c r="AG187" s="1" t="str">
        <f t="shared" si="70"/>
        <v>NW</v>
      </c>
      <c r="AH187" s="95" t="str">
        <f t="shared" si="72"/>
        <v>"%USERPROFILE%\Documents\GitHub\eaglep3\Utilities\RefineRTDCRunTimes.py" --tripid 833-11 --locoid 4044 --swversion DE.1.0.7.0 --startMP 204:965 --initTime 2016-10-11T17:15:56 --startdatetime 2016-10-11T17:21:19 --delay 1 --endMP 300:58950 --enddatetime 2016-10-11T17:34:49 --enforcementcount 0 &gt;&gt;C:\Users\stu\Documents\GitHub\eaglep3-reporting\EC\2016-10-11-refined-times.txt</v>
      </c>
      <c r="AI187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{"issue":{"subject":"","project_id":79,"tracker_id":40,"status_id":1,"priority_id":2,"assigned_to_id":23,"start_date":"2016-10-11","description":"","custom_fields":[{"id":1,"name":"Subdivision","value":"NW"},{"id":4,"name":"Milepost","value":"5.895"},{"id":17,"name":"Train ID","value":"833-11"},{"id":16,"name":"Locomotive ID","value":"4044"},{"id":130,"name":"Impact","value":""},{"id":150,"name":"Time of Event (Mountain Time)","value":"17:34:49"},{"id":151,"name":"Denver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615</v>
      </c>
      <c r="B188" s="7">
        <v>4043</v>
      </c>
      <c r="C188" s="24" t="s">
        <v>106</v>
      </c>
      <c r="D188" s="24" t="s">
        <v>746</v>
      </c>
      <c r="E188" s="15">
        <v>42654.733935185184</v>
      </c>
      <c r="F188" s="15">
        <v>42654.735636574071</v>
      </c>
      <c r="G188" s="7">
        <v>1</v>
      </c>
      <c r="H188" s="15" t="s">
        <v>363</v>
      </c>
      <c r="I188" s="15">
        <v>42654.747615740744</v>
      </c>
      <c r="J188" s="7">
        <v>0</v>
      </c>
      <c r="K188" s="116" t="str">
        <f t="shared" si="61"/>
        <v>4043/4044</v>
      </c>
      <c r="L188" s="24" t="str">
        <f>VLOOKUP(A188,'Trips&amp;Operators'!$C$1:$E$10000,3,FALSE)</f>
        <v>BRUDER</v>
      </c>
      <c r="M188" s="6">
        <f t="shared" si="62"/>
        <v>1.1979166672972497E-2</v>
      </c>
      <c r="N188" s="7">
        <f t="shared" si="83"/>
        <v>17.250000009080395</v>
      </c>
      <c r="O188" s="7"/>
      <c r="P188" s="7"/>
      <c r="Q188" s="25"/>
      <c r="R188" s="25"/>
      <c r="S188" s="37">
        <f t="shared" si="90"/>
        <v>1</v>
      </c>
      <c r="T188" s="52" t="str">
        <f t="shared" si="63"/>
        <v>Southbound</v>
      </c>
      <c r="U188" s="15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16:36:52-0600',mode:absolute,to:'2016-10-11 18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8" s="54" t="str">
        <f t="shared" si="65"/>
        <v>N</v>
      </c>
      <c r="X188" s="163">
        <f t="shared" si="89"/>
        <v>1</v>
      </c>
      <c r="Y188" s="69">
        <f t="shared" si="87"/>
        <v>5.8640999999999996</v>
      </c>
      <c r="Z188" s="69">
        <f t="shared" si="88"/>
        <v>6.8900000000000003E-2</v>
      </c>
      <c r="AA188" s="69">
        <f t="shared" si="66"/>
        <v>5.7951999999999995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67"/>
        <v>0834-11</v>
      </c>
      <c r="AE188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88" s="91" t="str">
        <f t="shared" si="69"/>
        <v>"C:\Program Files (x86)\AstroGrep\AstroGrep.exe" /spath="%USERPROFILE%\AppData\Local\Temp\OnboardLogs" /stypes="app*4043*20161011*" /stext=" 23:.+((SYSTEM_STATE.+slice.+state.+changed )|(ment ac)|(system.+state.+changed )|(\[timeout)|(PRM\|1\|D)|(kpr)|(kdp)|(\|lc)|(penalty))" /e /r /s</v>
      </c>
      <c r="AG188" s="1" t="str">
        <f t="shared" si="70"/>
        <v>NW</v>
      </c>
      <c r="AH188" s="95" t="str">
        <f t="shared" si="72"/>
        <v>"%USERPROFILE%\Documents\GitHub\eaglep3\Utilities\RefineRTDCRunTimes.py" --tripid 834-11 --locoid 4043 --swversion DE.1.0.7.0 --startMP 300:58641 --initTime 2016-10-11T17:36:52 --startdatetime 2016-10-11T17:39:19 --delay 1 --endMP 204:689 --enddatetime 2016-10-11T17:56:34 --enforcementcount 0 &gt;&gt;C:\Users\stu\Documents\GitHub\eaglep3-reporting\EC\2016-10-11-refined-times.txt</v>
      </c>
      <c r="AI188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{"issue":{"subject":"","project_id":79,"tracker_id":40,"status_id":1,"priority_id":2,"assigned_to_id":23,"start_date":"2016-10-11","description":"","custom_fields":[{"id":1,"name":"Subdivision","value":"NW"},{"id":4,"name":"Milepost","value":"0.0689"},{"id":17,"name":"Train ID","value":"834-11"},{"id":16,"name":"Locomotive ID","value":"4043"},{"id":130,"name":"Impact","value":""},{"id":150,"name":"Time of Event (Mountain Time)","value":"17:56:34"},{"id":151,"name":"Denver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553</v>
      </c>
      <c r="B189" s="7">
        <v>4018</v>
      </c>
      <c r="C189" s="24" t="s">
        <v>106</v>
      </c>
      <c r="D189" s="24" t="s">
        <v>745</v>
      </c>
      <c r="E189" s="15">
        <v>42654.738159722219</v>
      </c>
      <c r="F189" s="15">
        <v>42654.744097222225</v>
      </c>
      <c r="G189" s="7">
        <v>1</v>
      </c>
      <c r="H189" s="15" t="s">
        <v>365</v>
      </c>
      <c r="I189" s="15">
        <v>42654.754004629627</v>
      </c>
      <c r="J189" s="7">
        <v>0</v>
      </c>
      <c r="K189" s="116" t="str">
        <f t="shared" si="61"/>
        <v>4017/4018</v>
      </c>
      <c r="L189" s="24" t="str">
        <f>VLOOKUP(A189,'Trips&amp;Operators'!$C$1:$E$10000,3,FALSE)</f>
        <v>STURGEON</v>
      </c>
      <c r="M189" s="6">
        <f t="shared" si="62"/>
        <v>9.9074074023519643E-3</v>
      </c>
      <c r="N189" s="7">
        <f t="shared" si="83"/>
        <v>14.266666659386829</v>
      </c>
      <c r="O189" s="7"/>
      <c r="P189" s="7"/>
      <c r="Q189" s="25"/>
      <c r="R189" s="25"/>
      <c r="S189" s="37">
        <f t="shared" si="90"/>
        <v>1</v>
      </c>
      <c r="T189" s="52" t="str">
        <f t="shared" si="63"/>
        <v>NorthBound</v>
      </c>
      <c r="U189" s="15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16:42:57-0600',mode:absolute,to:'2016-10-11 19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9" s="54" t="str">
        <f t="shared" si="65"/>
        <v>N</v>
      </c>
      <c r="X189" s="163">
        <f t="shared" si="89"/>
        <v>1</v>
      </c>
      <c r="Y189" s="69">
        <f t="shared" si="87"/>
        <v>9.6500000000000002E-2</v>
      </c>
      <c r="Z189" s="69">
        <f t="shared" si="88"/>
        <v>5.8925999999999998</v>
      </c>
      <c r="AA189" s="69">
        <f t="shared" si="66"/>
        <v>5.7961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67"/>
        <v>0835-11</v>
      </c>
      <c r="AE189" s="94" t="str">
        <f t="shared" si="68"/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AF189" s="91" t="str">
        <f t="shared" si="69"/>
        <v>"C:\Program Files (x86)\AstroGrep\AstroGrep.exe" /spath="%USERPROFILE%\AppData\Local\Temp\OnboardLogs" /stypes="app*4018*20161012*" /stext=" 00:.+((SYSTEM_STATE.+slice.+state.+changed )|(ment ac)|(system.+state.+changed )|(\[timeout)|(PRM\|1\|D)|(kpr)|(kdp)|(\|lc)|(penalty))" /e /r /s</v>
      </c>
      <c r="AG189" s="1" t="str">
        <f t="shared" si="70"/>
        <v>NW</v>
      </c>
      <c r="AH189" s="95" t="str">
        <f t="shared" si="72"/>
        <v>"%USERPROFILE%\Documents\GitHub\eaglep3\Utilities\RefineRTDCRunTimes.py" --tripid 835-11 --locoid 4018 --swversion DE.1.0.7.0 --startMP 204:965 --initTime 2016-10-11T17:42:57 --startdatetime 2016-10-11T17:51:30 --delay 1 --endMP 300:58926 --enddatetime 2016-10-11T18:05:46 --enforcementcount 0 &gt;&gt;C:\Users\stu\Documents\GitHub\eaglep3-reporting\EC\2016-10-11-refined-times.txt</v>
      </c>
      <c r="AI189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{"issue":{"subject":"","project_id":79,"tracker_id":40,"status_id":1,"priority_id":2,"assigned_to_id":23,"start_date":"2016-10-11","description":"","custom_fields":[{"id":1,"name":"Subdivision","value":"NW"},{"id":4,"name":"Milepost","value":"5.8926"},{"id":17,"name":"Train ID","value":"835-11"},{"id":16,"name":"Locomotive ID","value":"4018"},{"id":130,"name":"Impact","value":""},{"id":150,"name":"Time of Event (Mountain Time)","value":"18:05:46"},{"id":151,"name":"Denver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622</v>
      </c>
      <c r="B190" s="7">
        <v>4017</v>
      </c>
      <c r="C190" s="24" t="s">
        <v>106</v>
      </c>
      <c r="D190" s="24" t="s">
        <v>739</v>
      </c>
      <c r="E190" s="15">
        <v>42654.755995370368</v>
      </c>
      <c r="F190" s="15">
        <v>42654.757557870369</v>
      </c>
      <c r="G190" s="7">
        <v>1</v>
      </c>
      <c r="H190" s="15" t="s">
        <v>747</v>
      </c>
      <c r="I190" s="15">
        <v>42654.768807870372</v>
      </c>
      <c r="J190" s="7">
        <v>0</v>
      </c>
      <c r="K190" s="116" t="str">
        <f t="shared" si="61"/>
        <v>4017/4018</v>
      </c>
      <c r="L190" s="24" t="str">
        <f>VLOOKUP(A190,'Trips&amp;Operators'!$C$1:$E$10000,3,FALSE)</f>
        <v>STURGEON</v>
      </c>
      <c r="M190" s="6">
        <f t="shared" si="62"/>
        <v>1.1250000003201421E-2</v>
      </c>
      <c r="N190" s="7">
        <f t="shared" si="83"/>
        <v>16.200000004610047</v>
      </c>
      <c r="O190" s="7"/>
      <c r="P190" s="7"/>
      <c r="Q190" s="25"/>
      <c r="R190" s="25"/>
      <c r="S190" s="37">
        <f t="shared" si="90"/>
        <v>1</v>
      </c>
      <c r="T190" s="52" t="str">
        <f t="shared" si="63"/>
        <v>Southbound</v>
      </c>
      <c r="U190" s="15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17:08:38-0600',mode:absolute,to:'2016-10-11 19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0" s="54" t="str">
        <f t="shared" si="65"/>
        <v>N</v>
      </c>
      <c r="X190" s="163">
        <f t="shared" si="89"/>
        <v>1</v>
      </c>
      <c r="Y190" s="69">
        <f t="shared" si="87"/>
        <v>5.8608000000000002</v>
      </c>
      <c r="Z190" s="69">
        <f t="shared" si="88"/>
        <v>6.6799999999999998E-2</v>
      </c>
      <c r="AA190" s="69">
        <f t="shared" si="66"/>
        <v>5.7940000000000005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67"/>
        <v>0836-11</v>
      </c>
      <c r="AE190" s="94" t="str">
        <f t="shared" si="68"/>
        <v>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 &amp; 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</v>
      </c>
      <c r="AF190" s="91" t="str">
        <f t="shared" si="69"/>
        <v>"C:\Program Files (x86)\AstroGrep\AstroGrep.exe" /spath="%USERPROFILE%\AppData\Local\Temp\OnboardLogs" /stypes="app*4017*20161012*" /stext=" 00:.+((SYSTEM_STATE.+slice.+state.+changed )|(ment ac)|(system.+state.+changed )|(\[timeout)|(PRM\|1\|D)|(kpr)|(kdp)|(\|lc)|(penalty))" /e /r /s</v>
      </c>
      <c r="AG190" s="1" t="str">
        <f t="shared" si="70"/>
        <v>NW</v>
      </c>
      <c r="AH190" s="95" t="str">
        <f t="shared" si="72"/>
        <v>"%USERPROFILE%\Documents\GitHub\eaglep3\Utilities\RefineRTDCRunTimes.py" --tripid 836-11 --locoid 4017 --swversion DE.1.0.7.0 --startMP 300:58608 --initTime 2016-10-11T18:08:38 --startdatetime 2016-10-11T18:10:53 --delay 1 --endMP 204:668 --enddatetime 2016-10-11T18:27:05 --enforcementcount 0 &gt;&gt;C:\Users\stu\Documents\GitHub\eaglep3-reporting\EC\2016-10-11-refined-times.txt</v>
      </c>
      <c r="AI190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{"issue":{"subject":"","project_id":79,"tracker_id":40,"status_id":1,"priority_id":2,"assigned_to_id":23,"start_date":"2016-10-11","description":"","custom_fields":[{"id":1,"name":"Subdivision","value":"NW"},{"id":4,"name":"Milepost","value":"0.0668"},{"id":17,"name":"Train ID","value":"836-11"},{"id":16,"name":"Locomotive ID","value":"4017"},{"id":130,"name":"Impact","value":""},{"id":150,"name":"Time of Event (Mountain Time)","value":"18:27:05"},{"id":151,"name":"Denver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554</v>
      </c>
      <c r="B191" s="7">
        <v>4044</v>
      </c>
      <c r="C191" s="24" t="s">
        <v>106</v>
      </c>
      <c r="D191" s="24" t="s">
        <v>748</v>
      </c>
      <c r="E191" s="15">
        <v>42654.758437500001</v>
      </c>
      <c r="F191" s="15">
        <v>42654.764814814815</v>
      </c>
      <c r="G191" s="7">
        <v>1</v>
      </c>
      <c r="H191" s="15" t="s">
        <v>749</v>
      </c>
      <c r="I191" s="15">
        <v>42654.769745370373</v>
      </c>
      <c r="J191" s="7">
        <v>0</v>
      </c>
      <c r="K191" s="116" t="str">
        <f t="shared" si="61"/>
        <v>4043/4044</v>
      </c>
      <c r="L191" s="24" t="str">
        <f>VLOOKUP(A191,'Trips&amp;Operators'!$C$1:$E$10000,3,FALSE)</f>
        <v>BRUDER</v>
      </c>
      <c r="M191" s="6">
        <f t="shared" si="62"/>
        <v>4.9305555585306138E-3</v>
      </c>
      <c r="N191" s="7"/>
      <c r="O191" s="7"/>
      <c r="P191" s="7">
        <f>24*60*SUM($M191:$M191)</f>
        <v>7.1000000042840838</v>
      </c>
      <c r="Q191" s="25"/>
      <c r="R191" s="25" t="s">
        <v>373</v>
      </c>
      <c r="S191" s="37">
        <f t="shared" si="90"/>
        <v>1</v>
      </c>
      <c r="T191" s="52" t="str">
        <f t="shared" si="63"/>
        <v>NorthBound</v>
      </c>
      <c r="U191" s="15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17:12:09-0600',mode:absolute,to:'2016-10-11 19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1" s="54" t="str">
        <f t="shared" si="65"/>
        <v>Y</v>
      </c>
      <c r="X191" s="163">
        <f t="shared" si="89"/>
        <v>1</v>
      </c>
      <c r="Y191" s="69">
        <f t="shared" si="87"/>
        <v>9.7100000000000006E-2</v>
      </c>
      <c r="Z191" s="69">
        <f t="shared" si="88"/>
        <v>3.1194999999999999</v>
      </c>
      <c r="AA191" s="69">
        <f t="shared" si="66"/>
        <v>3.0223999999999998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67"/>
        <v>0837-11</v>
      </c>
      <c r="AE191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91" s="91" t="str">
        <f t="shared" si="69"/>
        <v>"C:\Program Files (x86)\AstroGrep\AstroGrep.exe" /spath="%USERPROFILE%\AppData\Local\Temp\OnboardLogs" /stypes="app*4044*20161012*" /stext=" 00:.+((SYSTEM_STATE.+slice.+state.+changed )|(ment ac)|(system.+state.+changed )|(\[timeout)|(PRM\|1\|D)|(kpr)|(kdp)|(\|lc)|(penalty))" /e /r /s</v>
      </c>
      <c r="AG191" s="1" t="str">
        <f t="shared" si="70"/>
        <v>NW</v>
      </c>
      <c r="AH191" s="95" t="str">
        <f t="shared" si="72"/>
        <v>"%USERPROFILE%\Documents\GitHub\eaglep3\Utilities\RefineRTDCRunTimes.py" --tripid 837-11 --locoid 4044 --swversion DE.1.0.7.0 --startMP 204:971 --initTime 2016-10-11T18:12:09 --startdatetime 2016-10-11T18:21:20 --delay 1 --endMP 300:31195 --enddatetime 2016-10-11T18:28:26 --enforcementcount 0 &gt;&gt;C:\Users\stu\Documents\GitHub\eaglep3-reporting\EC\2016-10-11-refined-times.txt</v>
      </c>
      <c r="AI191" s="129" t="str">
        <f t="shared" si="73"/>
        <v>echo {"issue":{"subject":"Wi-MAX outage","project_id":79,"tracker_id":40,"status_id":1,"priority_id":2,"assigned_to_id":23,"start_date":"2016-10-11","description":"","custom_fields":[{"id":1,"name":"Subdivision","value":"NW"},{"id":4,"name":"Milepost","value":"3.1195"},{"id":17,"name":"Train ID","value":"837-11"},{"id":16,"name":"Locomotive ID","value":"4044"},{"id":130,"name":"Impact","value":""},{"id":150,"name":"Time of Event (Mountain Time)","value":"18:28:26"},{"id":151,"name":"Denver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628</v>
      </c>
      <c r="B192" s="7">
        <v>4043</v>
      </c>
      <c r="C192" s="24" t="s">
        <v>106</v>
      </c>
      <c r="D192" s="24" t="s">
        <v>750</v>
      </c>
      <c r="E192" s="15">
        <v>42654.776562500003</v>
      </c>
      <c r="F192" s="15">
        <v>42654.777858796297</v>
      </c>
      <c r="G192" s="7">
        <v>1</v>
      </c>
      <c r="H192" s="15" t="s">
        <v>751</v>
      </c>
      <c r="I192" s="15">
        <v>42654.789143518516</v>
      </c>
      <c r="J192" s="7">
        <v>0</v>
      </c>
      <c r="K192" s="116" t="str">
        <f t="shared" si="61"/>
        <v>4043/4044</v>
      </c>
      <c r="L192" s="24" t="str">
        <f>VLOOKUP(A192,'Trips&amp;Operators'!$C$1:$E$10000,3,FALSE)</f>
        <v>BRUDER</v>
      </c>
      <c r="M192" s="6">
        <f t="shared" si="62"/>
        <v>1.1284722218988463E-2</v>
      </c>
      <c r="N192" s="7">
        <f t="shared" ref="N192:N220" si="91">24*60*SUM($M192:$M192)</f>
        <v>16.249999995343387</v>
      </c>
      <c r="O192" s="7"/>
      <c r="P192" s="7"/>
      <c r="Q192" s="25"/>
      <c r="R192" s="25"/>
      <c r="S192" s="37">
        <f t="shared" si="90"/>
        <v>1</v>
      </c>
      <c r="T192" s="52" t="str">
        <f t="shared" si="63"/>
        <v>Southbound</v>
      </c>
      <c r="U192" s="15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17:38:15-0600',mode:absolute,to:'2016-10-11 19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2" s="54" t="str">
        <f t="shared" si="65"/>
        <v>N</v>
      </c>
      <c r="X192" s="163">
        <f t="shared" si="89"/>
        <v>1</v>
      </c>
      <c r="Y192" s="69">
        <f t="shared" si="87"/>
        <v>5.8647</v>
      </c>
      <c r="Z192" s="69">
        <f t="shared" si="88"/>
        <v>6.9599999999999995E-2</v>
      </c>
      <c r="AA192" s="69">
        <f t="shared" si="66"/>
        <v>5.7950999999999997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67"/>
        <v>0838-11</v>
      </c>
      <c r="AE192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92" s="91" t="str">
        <f t="shared" si="69"/>
        <v>"C:\Program Files (x86)\AstroGrep\AstroGrep.exe" /spath="%USERPROFILE%\AppData\Local\Temp\OnboardLogs" /stypes="app*4043*20161012*" /stext=" 00:.+((SYSTEM_STATE.+slice.+state.+changed )|(ment ac)|(system.+state.+changed )|(\[timeout)|(PRM\|1\|D)|(kpr)|(kdp)|(\|lc)|(penalty))" /e /r /s</v>
      </c>
      <c r="AG192" s="1" t="str">
        <f t="shared" si="70"/>
        <v>NW</v>
      </c>
      <c r="AH192" s="95" t="str">
        <f t="shared" si="72"/>
        <v>"%USERPROFILE%\Documents\GitHub\eaglep3\Utilities\RefineRTDCRunTimes.py" --tripid 838-11 --locoid 4043 --swversion DE.1.0.7.0 --startMP 300:58647 --initTime 2016-10-11T18:38:15 --startdatetime 2016-10-11T18:40:07 --delay 1 --endMP 204:696 --enddatetime 2016-10-11T18:56:22 --enforcementcount 0 &gt;&gt;C:\Users\stu\Documents\GitHub\eaglep3-reporting\EC\2016-10-11-refined-times.txt</v>
      </c>
      <c r="AI192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{"issue":{"subject":"","project_id":79,"tracker_id":40,"status_id":1,"priority_id":2,"assigned_to_id":23,"start_date":"2016-10-11","description":"","custom_fields":[{"id":1,"name":"Subdivision","value":"NW"},{"id":4,"name":"Milepost","value":"0.0696"},{"id":17,"name":"Train ID","value":"838-11"},{"id":16,"name":"Locomotive ID","value":"4043"},{"id":130,"name":"Impact","value":""},{"id":150,"name":"Time of Event (Mountain Time)","value":"18:56:22"},{"id":151,"name":"Denver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630</v>
      </c>
      <c r="B193" s="7">
        <v>4018</v>
      </c>
      <c r="C193" s="24" t="s">
        <v>106</v>
      </c>
      <c r="D193" s="24" t="s">
        <v>490</v>
      </c>
      <c r="E193" s="15">
        <v>42654.778796296298</v>
      </c>
      <c r="F193" s="15">
        <v>42654.78564814815</v>
      </c>
      <c r="G193" s="7">
        <v>1</v>
      </c>
      <c r="H193" s="15" t="s">
        <v>752</v>
      </c>
      <c r="I193" s="15">
        <v>42654.796956018516</v>
      </c>
      <c r="J193" s="7">
        <v>0</v>
      </c>
      <c r="K193" s="116" t="str">
        <f t="shared" si="61"/>
        <v>4017/4018</v>
      </c>
      <c r="L193" s="24" t="str">
        <f>VLOOKUP(A193,'Trips&amp;Operators'!$C$1:$E$10000,3,FALSE)</f>
        <v>STURGEON</v>
      </c>
      <c r="M193" s="6">
        <f t="shared" si="62"/>
        <v>1.130787036527181E-2</v>
      </c>
      <c r="N193" s="7">
        <f t="shared" si="91"/>
        <v>16.283333325991407</v>
      </c>
      <c r="O193" s="7"/>
      <c r="P193" s="7"/>
      <c r="Q193" s="25"/>
      <c r="R193" s="25"/>
      <c r="S193" s="37">
        <f t="shared" si="90"/>
        <v>1</v>
      </c>
      <c r="T193" s="52" t="str">
        <f t="shared" si="63"/>
        <v>NorthBound</v>
      </c>
      <c r="U193" s="15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17:41:28-0600',mode:absolute,to:'2016-10-11 20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3" s="54" t="str">
        <f t="shared" si="65"/>
        <v>N</v>
      </c>
      <c r="X193" s="163">
        <f t="shared" si="89"/>
        <v>1</v>
      </c>
      <c r="Y193" s="69">
        <f t="shared" si="87"/>
        <v>9.6699999999999994E-2</v>
      </c>
      <c r="Z193" s="69">
        <f t="shared" si="88"/>
        <v>5.8917999999999999</v>
      </c>
      <c r="AA193" s="69">
        <f t="shared" si="66"/>
        <v>5.7950999999999997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67"/>
        <v>0839-11</v>
      </c>
      <c r="AE193" s="94" t="str">
        <f t="shared" si="68"/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AF193" s="91" t="str">
        <f t="shared" si="69"/>
        <v>"C:\Program Files (x86)\AstroGrep\AstroGrep.exe" /spath="%USERPROFILE%\AppData\Local\Temp\OnboardLogs" /stypes="app*4018*20161012*" /stext=" 01:.+((SYSTEM_STATE.+slice.+state.+changed )|(ment ac)|(system.+state.+changed )|(\[timeout)|(PRM\|1\|D)|(kpr)|(kdp)|(\|lc)|(penalty))" /e /r /s</v>
      </c>
      <c r="AG193" s="1" t="str">
        <f t="shared" si="70"/>
        <v>NW</v>
      </c>
      <c r="AH193" s="95" t="str">
        <f t="shared" si="72"/>
        <v>"%USERPROFILE%\Documents\GitHub\eaglep3\Utilities\RefineRTDCRunTimes.py" --tripid 839-11 --locoid 4018 --swversion DE.1.0.7.0 --startMP 204:967 --initTime 2016-10-11T18:41:28 --startdatetime 2016-10-11T18:51:20 --delay 1 --endMP 300:58918 --enddatetime 2016-10-11T19:07:37 --enforcementcount 0 &gt;&gt;C:\Users\stu\Documents\GitHub\eaglep3-reporting\EC\2016-10-11-refined-times.txt</v>
      </c>
      <c r="AI193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{"issue":{"subject":"","project_id":79,"tracker_id":40,"status_id":1,"priority_id":2,"assigned_to_id":23,"start_date":"2016-10-11","description":"","custom_fields":[{"id":1,"name":"Subdivision","value":"NW"},{"id":4,"name":"Milepost","value":"5.8918"},{"id":17,"name":"Train ID","value":"839-11"},{"id":16,"name":"Locomotive ID","value":"4018"},{"id":130,"name":"Impact","value":""},{"id":150,"name":"Time of Event (Mountain Time)","value":"19:07:37"},{"id":151,"name":"Denver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639</v>
      </c>
      <c r="B194" s="7">
        <v>4043</v>
      </c>
      <c r="C194" s="24" t="s">
        <v>106</v>
      </c>
      <c r="D194" s="24" t="s">
        <v>753</v>
      </c>
      <c r="E194" s="15">
        <v>42654.817037037035</v>
      </c>
      <c r="F194" s="15">
        <v>42654.818738425929</v>
      </c>
      <c r="G194" s="7">
        <v>1</v>
      </c>
      <c r="H194" s="15" t="s">
        <v>363</v>
      </c>
      <c r="I194" s="15">
        <v>42654.829583333332</v>
      </c>
      <c r="J194" s="7">
        <v>0</v>
      </c>
      <c r="K194" s="116" t="str">
        <f t="shared" si="61"/>
        <v>4043/4044</v>
      </c>
      <c r="L194" s="24" t="str">
        <f>VLOOKUP(A194,'Trips&amp;Operators'!$C$1:$E$10000,3,FALSE)</f>
        <v>BRUDER</v>
      </c>
      <c r="M194" s="6">
        <f t="shared" si="62"/>
        <v>1.0844907403225079E-2</v>
      </c>
      <c r="N194" s="7">
        <f t="shared" si="91"/>
        <v>15.616666660644114</v>
      </c>
      <c r="O194" s="7"/>
      <c r="P194" s="7"/>
      <c r="Q194" s="25"/>
      <c r="R194" s="25"/>
      <c r="S194" s="37">
        <f t="shared" si="90"/>
        <v>1</v>
      </c>
      <c r="T194" s="52" t="str">
        <f t="shared" si="63"/>
        <v>Southbound</v>
      </c>
      <c r="U194" s="15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18:36:32-0600',mode:absolute,to:'2016-10-11 20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4" s="54" t="str">
        <f t="shared" si="65"/>
        <v>N</v>
      </c>
      <c r="X194" s="163">
        <f t="shared" si="89"/>
        <v>1</v>
      </c>
      <c r="Y194" s="69">
        <f t="shared" si="87"/>
        <v>5.8623000000000003</v>
      </c>
      <c r="Z194" s="69">
        <f t="shared" si="88"/>
        <v>6.8900000000000003E-2</v>
      </c>
      <c r="AA194" s="69">
        <f t="shared" si="66"/>
        <v>5.7934000000000001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67"/>
        <v>0840-11</v>
      </c>
      <c r="AE194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94" s="91" t="str">
        <f t="shared" si="69"/>
        <v>"C:\Program Files (x86)\AstroGrep\AstroGrep.exe" /spath="%USERPROFILE%\AppData\Local\Temp\OnboardLogs" /stypes="app*4043*20161012*" /stext=" 01:.+((SYSTEM_STATE.+slice.+state.+changed )|(ment ac)|(system.+state.+changed )|(\[timeout)|(PRM\|1\|D)|(kpr)|(kdp)|(\|lc)|(penalty))" /e /r /s</v>
      </c>
      <c r="AG194" s="1" t="str">
        <f t="shared" si="70"/>
        <v>NW</v>
      </c>
      <c r="AH194" s="95" t="str">
        <f t="shared" si="72"/>
        <v>"%USERPROFILE%\Documents\GitHub\eaglep3\Utilities\RefineRTDCRunTimes.py" --tripid 840-11 --locoid 4043 --swversion DE.1.0.7.0 --startMP 300:58623 --initTime 2016-10-11T19:36:32 --startdatetime 2016-10-11T19:38:59 --delay 1 --endMP 204:689 --enddatetime 2016-10-11T19:54:36 --enforcementcount 0 &gt;&gt;C:\Users\stu\Documents\GitHub\eaglep3-reporting\EC\2016-10-11-refined-times.txt</v>
      </c>
      <c r="AI194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{"issue":{"subject":"","project_id":79,"tracker_id":40,"status_id":1,"priority_id":2,"assigned_to_id":23,"start_date":"2016-10-11","description":"","custom_fields":[{"id":1,"name":"Subdivision","value":"NW"},{"id":4,"name":"Milepost","value":"0.0689"},{"id":17,"name":"Train ID","value":"840-11"},{"id":16,"name":"Locomotive ID","value":"4043"},{"id":130,"name":"Impact","value":""},{"id":150,"name":"Time of Event (Mountain Time)","value":"19:54:36"},{"id":151,"name":"Denver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635</v>
      </c>
      <c r="B195" s="7">
        <v>4044</v>
      </c>
      <c r="C195" s="24" t="s">
        <v>106</v>
      </c>
      <c r="D195" s="24" t="s">
        <v>754</v>
      </c>
      <c r="E195" s="15">
        <v>42654.801446759258</v>
      </c>
      <c r="F195" s="15">
        <v>42654.806504629632</v>
      </c>
      <c r="G195" s="7">
        <v>1</v>
      </c>
      <c r="H195" s="15" t="s">
        <v>755</v>
      </c>
      <c r="I195" s="15">
        <v>42654.815659722219</v>
      </c>
      <c r="J195" s="7">
        <v>0</v>
      </c>
      <c r="K195" s="116" t="str">
        <f t="shared" si="61"/>
        <v>4043/4044</v>
      </c>
      <c r="L195" s="24" t="str">
        <f>VLOOKUP(A195,'Trips&amp;Operators'!$C$1:$E$10000,3,FALSE)</f>
        <v>BRUDER</v>
      </c>
      <c r="M195" s="6">
        <f t="shared" si="62"/>
        <v>9.1550925862975419E-3</v>
      </c>
      <c r="N195" s="7">
        <f t="shared" si="91"/>
        <v>13.18333332426846</v>
      </c>
      <c r="O195" s="7"/>
      <c r="P195" s="7"/>
      <c r="Q195" s="25"/>
      <c r="R195" s="25"/>
      <c r="S195" s="37">
        <f t="shared" si="90"/>
        <v>1</v>
      </c>
      <c r="T195" s="52" t="str">
        <f t="shared" si="63"/>
        <v>NorthBound</v>
      </c>
      <c r="U195" s="15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18:14:05-0600',mode:absolute,to:'2016-10-11 20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5" s="54" t="str">
        <f t="shared" si="65"/>
        <v>N</v>
      </c>
      <c r="X195" s="163">
        <f t="shared" si="89"/>
        <v>1</v>
      </c>
      <c r="Y195" s="69">
        <f t="shared" si="87"/>
        <v>9.7600000000000006E-2</v>
      </c>
      <c r="Z195" s="69">
        <f t="shared" si="88"/>
        <v>5.8933</v>
      </c>
      <c r="AA195" s="69">
        <f t="shared" si="66"/>
        <v>5.7957000000000001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67"/>
        <v>0841-11</v>
      </c>
      <c r="AE195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95" s="91" t="str">
        <f t="shared" si="69"/>
        <v>"C:\Program Files (x86)\AstroGrep\AstroGrep.exe" /spath="%USERPROFILE%\AppData\Local\Temp\OnboardLogs" /stypes="app*4044*20161012*" /stext=" 01:.+((SYSTEM_STATE.+slice.+state.+changed )|(ment ac)|(system.+state.+changed )|(\[timeout)|(PRM\|1\|D)|(kpr)|(kdp)|(\|lc)|(penalty))" /e /r /s</v>
      </c>
      <c r="AG195" s="1" t="str">
        <f t="shared" si="70"/>
        <v>NW</v>
      </c>
      <c r="AH195" s="95" t="str">
        <f t="shared" si="72"/>
        <v>"%USERPROFILE%\Documents\GitHub\eaglep3\Utilities\RefineRTDCRunTimes.py" --tripid 841-11 --locoid 4044 --swversion DE.1.0.7.0 --startMP 204:976 --initTime 2016-10-11T19:14:05 --startdatetime 2016-10-11T19:21:22 --delay 1 --endMP 300:58933 --enddatetime 2016-10-11T19:34:33 --enforcementcount 0 &gt;&gt;C:\Users\stu\Documents\GitHub\eaglep3-reporting\EC\2016-10-11-refined-times.txt</v>
      </c>
      <c r="AI195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{"issue":{"subject":"","project_id":79,"tracker_id":40,"status_id":1,"priority_id":2,"assigned_to_id":23,"start_date":"2016-10-11","description":"","custom_fields":[{"id":1,"name":"Subdivision","value":"NW"},{"id":4,"name":"Milepost","value":"5.8933"},{"id":17,"name":"Train ID","value":"841-11"},{"id":16,"name":"Locomotive ID","value":"4044"},{"id":130,"name":"Impact","value":""},{"id":150,"name":"Time of Event (Mountain Time)","value":"19:34:33"},{"id":151,"name":"Denver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555</v>
      </c>
      <c r="B196" s="7">
        <v>4043</v>
      </c>
      <c r="C196" s="24" t="s">
        <v>106</v>
      </c>
      <c r="D196" s="24" t="s">
        <v>309</v>
      </c>
      <c r="E196" s="15">
        <v>42654.858900462961</v>
      </c>
      <c r="F196" s="15">
        <v>42654.860324074078</v>
      </c>
      <c r="G196" s="7">
        <v>1</v>
      </c>
      <c r="H196" s="15" t="s">
        <v>756</v>
      </c>
      <c r="I196" s="15">
        <v>42654.871759259258</v>
      </c>
      <c r="J196" s="7">
        <v>0</v>
      </c>
      <c r="K196" s="116" t="str">
        <f t="shared" si="61"/>
        <v>4043/4044</v>
      </c>
      <c r="L196" s="24" t="str">
        <f>VLOOKUP(A196,'Trips&amp;Operators'!$C$1:$E$10000,3,FALSE)</f>
        <v>BRUDER</v>
      </c>
      <c r="M196" s="6">
        <f t="shared" si="62"/>
        <v>1.1435185180744156E-2</v>
      </c>
      <c r="N196" s="7">
        <f t="shared" si="91"/>
        <v>16.466666660271585</v>
      </c>
      <c r="O196" s="7"/>
      <c r="P196" s="7"/>
      <c r="Q196" s="25"/>
      <c r="R196" s="25"/>
      <c r="S196" s="37">
        <f t="shared" si="90"/>
        <v>1</v>
      </c>
      <c r="T196" s="52" t="str">
        <f t="shared" si="63"/>
        <v>Southbound</v>
      </c>
      <c r="U196" s="15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19:36:49-0600',mode:absolute,to:'2016-10-11 21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6" s="54" t="str">
        <f t="shared" si="65"/>
        <v>N</v>
      </c>
      <c r="X196" s="163">
        <f t="shared" si="89"/>
        <v>1</v>
      </c>
      <c r="Y196" s="69">
        <f t="shared" si="87"/>
        <v>5.8615000000000004</v>
      </c>
      <c r="Z196" s="69">
        <f t="shared" si="88"/>
        <v>6.6600000000000006E-2</v>
      </c>
      <c r="AA196" s="69">
        <f t="shared" si="66"/>
        <v>5.7949000000000002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67"/>
        <v>0842-11</v>
      </c>
      <c r="AE196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96" s="91" t="str">
        <f t="shared" si="69"/>
        <v>"C:\Program Files (x86)\AstroGrep\AstroGrep.exe" /spath="%USERPROFILE%\AppData\Local\Temp\OnboardLogs" /stypes="app*4043*20161012*" /stext=" 02:.+((SYSTEM_STATE.+slice.+state.+changed )|(ment ac)|(system.+state.+changed )|(\[timeout)|(PRM\|1\|D)|(kpr)|(kdp)|(\|lc)|(penalty))" /e /r /s</v>
      </c>
      <c r="AG196" s="1" t="str">
        <f t="shared" si="70"/>
        <v>NW</v>
      </c>
      <c r="AH196" s="95" t="str">
        <f t="shared" si="72"/>
        <v>"%USERPROFILE%\Documents\GitHub\eaglep3\Utilities\RefineRTDCRunTimes.py" --tripid 842-11 --locoid 4043 --swversion DE.1.0.7.0 --startMP 300:58615 --initTime 2016-10-11T20:36:49 --startdatetime 2016-10-11T20:38:52 --delay 1 --endMP 204:666 --enddatetime 2016-10-11T20:55:20 --enforcementcount 0 &gt;&gt;C:\Users\stu\Documents\GitHub\eaglep3-reporting\EC\2016-10-11-refined-times.txt</v>
      </c>
      <c r="AI196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{"issue":{"subject":"","project_id":79,"tracker_id":40,"status_id":1,"priority_id":2,"assigned_to_id":23,"start_date":"2016-10-11","description":"","custom_fields":[{"id":1,"name":"Subdivision","value":"NW"},{"id":4,"name":"Milepost","value":"0.0666"},{"id":17,"name":"Train ID","value":"842-11"},{"id":16,"name":"Locomotive ID","value":"4043"},{"id":130,"name":"Impact","value":""},{"id":150,"name":"Time of Event (Mountain Time)","value":"20:55:20"},{"id":151,"name":"Denver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643</v>
      </c>
      <c r="B197" s="7">
        <v>4044</v>
      </c>
      <c r="C197" s="24" t="s">
        <v>106</v>
      </c>
      <c r="D197" s="24" t="s">
        <v>757</v>
      </c>
      <c r="E197" s="15">
        <v>42654.840254629627</v>
      </c>
      <c r="F197" s="15">
        <v>42654.848321759258</v>
      </c>
      <c r="G197" s="7">
        <v>1</v>
      </c>
      <c r="H197" s="15" t="s">
        <v>360</v>
      </c>
      <c r="I197" s="15">
        <v>42654.85769675926</v>
      </c>
      <c r="J197" s="7">
        <v>0</v>
      </c>
      <c r="K197" s="116" t="str">
        <f t="shared" si="61"/>
        <v>4043/4044</v>
      </c>
      <c r="L197" s="24" t="str">
        <f>VLOOKUP(A197,'Trips&amp;Operators'!$C$1:$E$10000,3,FALSE)</f>
        <v>BRUDER</v>
      </c>
      <c r="M197" s="6">
        <f t="shared" si="62"/>
        <v>9.3750000014551915E-3</v>
      </c>
      <c r="N197" s="7">
        <f t="shared" si="91"/>
        <v>13.500000002095476</v>
      </c>
      <c r="O197" s="7"/>
      <c r="P197" s="7"/>
      <c r="Q197" s="25"/>
      <c r="R197" s="25"/>
      <c r="S197" s="37">
        <f t="shared" si="90"/>
        <v>1</v>
      </c>
      <c r="T197" s="52" t="str">
        <f t="shared" si="63"/>
        <v>NorthBound</v>
      </c>
      <c r="U197" s="15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19:09:58-0600',mode:absolute,to:'2016-10-11 21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7" s="54" t="str">
        <f t="shared" si="65"/>
        <v>N</v>
      </c>
      <c r="X197" s="163">
        <f t="shared" si="89"/>
        <v>1</v>
      </c>
      <c r="Y197" s="69">
        <f t="shared" si="87"/>
        <v>9.6199999999999994E-2</v>
      </c>
      <c r="Z197" s="69">
        <f t="shared" si="88"/>
        <v>5.8929</v>
      </c>
      <c r="AA197" s="69">
        <f t="shared" si="66"/>
        <v>5.7967000000000004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67"/>
        <v>0843-11</v>
      </c>
      <c r="AE197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97" s="91" t="str">
        <f t="shared" si="69"/>
        <v>"C:\Program Files (x86)\AstroGrep\AstroGrep.exe" /spath="%USERPROFILE%\AppData\Local\Temp\OnboardLogs" /stypes="app*4044*20161012*" /stext=" 02:.+((SYSTEM_STATE.+slice.+state.+changed )|(ment ac)|(system.+state.+changed )|(\[timeout)|(PRM\|1\|D)|(kpr)|(kdp)|(\|lc)|(penalty))" /e /r /s</v>
      </c>
      <c r="AG197" s="1" t="str">
        <f t="shared" si="70"/>
        <v>NW</v>
      </c>
      <c r="AH197" s="95" t="str">
        <f t="shared" si="72"/>
        <v>"%USERPROFILE%\Documents\GitHub\eaglep3\Utilities\RefineRTDCRunTimes.py" --tripid 843-11 --locoid 4044 --swversion DE.1.0.7.0 --startMP 204:962 --initTime 2016-10-11T20:09:58 --startdatetime 2016-10-11T20:21:35 --delay 1 --endMP 300:58929 --enddatetime 2016-10-11T20:35:05 --enforcementcount 0 &gt;&gt;C:\Users\stu\Documents\GitHub\eaglep3-reporting\EC\2016-10-11-refined-times.txt</v>
      </c>
      <c r="AI197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{"issue":{"subject":"","project_id":79,"tracker_id":40,"status_id":1,"priority_id":2,"assigned_to_id":23,"start_date":"2016-10-11","description":"","custom_fields":[{"id":1,"name":"Subdivision","value":"NW"},{"id":4,"name":"Milepost","value":"5.8929"},{"id":17,"name":"Train ID","value":"843-11"},{"id":16,"name":"Locomotive ID","value":"4044"},{"id":130,"name":"Impact","value":""},{"id":150,"name":"Time of Event (Mountain Time)","value":"20:35:05"},{"id":151,"name":"Denver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556</v>
      </c>
      <c r="B198" s="7">
        <v>4043</v>
      </c>
      <c r="C198" s="24" t="s">
        <v>106</v>
      </c>
      <c r="D198" s="24" t="s">
        <v>361</v>
      </c>
      <c r="E198" s="15">
        <v>42654.901562500003</v>
      </c>
      <c r="F198" s="15">
        <v>42654.904062499998</v>
      </c>
      <c r="G198" s="7">
        <v>3</v>
      </c>
      <c r="H198" s="15" t="s">
        <v>758</v>
      </c>
      <c r="I198" s="15">
        <v>42654.915925925925</v>
      </c>
      <c r="J198" s="7">
        <v>0</v>
      </c>
      <c r="K198" s="116" t="str">
        <f t="shared" si="61"/>
        <v>4043/4044</v>
      </c>
      <c r="L198" s="24" t="str">
        <f>VLOOKUP(A198,'Trips&amp;Operators'!$C$1:$E$10000,3,FALSE)</f>
        <v>STURGEON</v>
      </c>
      <c r="M198" s="6">
        <f t="shared" si="62"/>
        <v>1.1863425927003846E-2</v>
      </c>
      <c r="N198" s="7">
        <f t="shared" si="91"/>
        <v>17.083333334885538</v>
      </c>
      <c r="O198" s="7"/>
      <c r="P198" s="7"/>
      <c r="Q198" s="25"/>
      <c r="R198" s="25"/>
      <c r="S198" s="37">
        <f t="shared" si="90"/>
        <v>1</v>
      </c>
      <c r="T198" s="52" t="str">
        <f t="shared" si="63"/>
        <v>Southbound</v>
      </c>
      <c r="U198" s="15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20:38:15-0600',mode:absolute,to:'2016-10-11 22:58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8" s="54" t="str">
        <f t="shared" si="65"/>
        <v>N</v>
      </c>
      <c r="X198" s="163">
        <f t="shared" si="89"/>
        <v>1</v>
      </c>
      <c r="Y198" s="69">
        <f t="shared" si="87"/>
        <v>5.8613</v>
      </c>
      <c r="Z198" s="69">
        <f t="shared" si="88"/>
        <v>7.5899999999999995E-2</v>
      </c>
      <c r="AA198" s="69">
        <f t="shared" si="66"/>
        <v>5.7854000000000001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67"/>
        <v>0844-11</v>
      </c>
      <c r="AE198" s="94" t="str">
        <f t="shared" si="68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198" s="91" t="str">
        <f t="shared" si="69"/>
        <v>"C:\Program Files (x86)\AstroGrep\AstroGrep.exe" /spath="%USERPROFILE%\AppData\Local\Temp\OnboardLogs" /stypes="app*4043*20161012*" /stext=" 03:.+((SYSTEM_STATE.+slice.+state.+changed )|(ment ac)|(system.+state.+changed )|(\[timeout)|(PRM\|1\|D)|(kpr)|(kdp)|(\|lc)|(penalty))" /e /r /s</v>
      </c>
      <c r="AG198" s="1" t="str">
        <f t="shared" si="70"/>
        <v>NW</v>
      </c>
      <c r="AH198" s="95" t="str">
        <f t="shared" si="72"/>
        <v>"%USERPROFILE%\Documents\GitHub\eaglep3\Utilities\RefineRTDCRunTimes.py" --tripid 844-11 --locoid 4043 --swversion DE.1.0.7.0 --startMP 300:58613 --initTime 2016-10-11T21:38:15 --startdatetime 2016-10-11T21:41:51 --delay 3 --endMP 204:759 --enddatetime 2016-10-11T21:58:56 --enforcementcount 0 &gt;&gt;C:\Users\stu\Documents\GitHub\eaglep3-reporting\EC\2016-10-11-refined-times.txt</v>
      </c>
      <c r="AI198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{"issue":{"subject":"","project_id":79,"tracker_id":40,"status_id":1,"priority_id":2,"assigned_to_id":23,"start_date":"2016-10-11","description":"","custom_fields":[{"id":1,"name":"Subdivision","value":"NW"},{"id":4,"name":"Milepost","value":"0.0759"},{"id":17,"name":"Train ID","value":"844-11"},{"id":16,"name":"Locomotive ID","value":"4043"},{"id":130,"name":"Impact","value":""},{"id":150,"name":"Time of Event (Mountain Time)","value":"21:58:56"},{"id":151,"name":"Denver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648</v>
      </c>
      <c r="B199" s="7">
        <v>4044</v>
      </c>
      <c r="C199" s="24" t="s">
        <v>106</v>
      </c>
      <c r="D199" s="24" t="s">
        <v>740</v>
      </c>
      <c r="E199" s="15">
        <v>42654.874803240738</v>
      </c>
      <c r="F199" s="15">
        <v>42654.889826388891</v>
      </c>
      <c r="G199" s="7">
        <v>3</v>
      </c>
      <c r="H199" s="15" t="s">
        <v>365</v>
      </c>
      <c r="I199" s="15">
        <v>42654.900370370371</v>
      </c>
      <c r="J199" s="7">
        <v>0</v>
      </c>
      <c r="K199" s="116" t="str">
        <f t="shared" si="61"/>
        <v>4043/4044</v>
      </c>
      <c r="L199" s="24" t="str">
        <f>VLOOKUP(A199,'Trips&amp;Operators'!$C$1:$E$10000,3,FALSE)</f>
        <v>STURGEON</v>
      </c>
      <c r="M199" s="6">
        <f t="shared" si="62"/>
        <v>1.0543981479713693E-2</v>
      </c>
      <c r="N199" s="7">
        <f t="shared" si="91"/>
        <v>15.183333330787718</v>
      </c>
      <c r="O199" s="7"/>
      <c r="P199" s="7"/>
      <c r="Q199" s="25"/>
      <c r="R199" s="25"/>
      <c r="S199" s="37">
        <f t="shared" si="90"/>
        <v>1</v>
      </c>
      <c r="T199" s="52" t="str">
        <f t="shared" si="63"/>
        <v>NorthBound</v>
      </c>
      <c r="U199" s="15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19:59:43-0600',mode:absolute,to:'2016-10-11 22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9" s="54" t="str">
        <f t="shared" si="65"/>
        <v>N</v>
      </c>
      <c r="X199" s="163">
        <f t="shared" si="89"/>
        <v>1</v>
      </c>
      <c r="Y199" s="69">
        <f t="shared" si="87"/>
        <v>9.64E-2</v>
      </c>
      <c r="Z199" s="69">
        <f t="shared" si="88"/>
        <v>5.8925999999999998</v>
      </c>
      <c r="AA199" s="69">
        <f t="shared" si="66"/>
        <v>5.7961999999999998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67"/>
        <v>0845-11</v>
      </c>
      <c r="AE199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199" s="91" t="str">
        <f t="shared" si="69"/>
        <v>"C:\Program Files (x86)\AstroGrep\AstroGrep.exe" /spath="%USERPROFILE%\AppData\Local\Temp\OnboardLogs" /stypes="app*4044*20161012*" /stext=" 03:.+((SYSTEM_STATE.+slice.+state.+changed )|(ment ac)|(system.+state.+changed )|(\[timeout)|(PRM\|1\|D)|(kpr)|(kdp)|(\|lc)|(penalty))" /e /r /s</v>
      </c>
      <c r="AG199" s="1" t="str">
        <f t="shared" si="70"/>
        <v>NW</v>
      </c>
      <c r="AH199" s="95" t="str">
        <f t="shared" si="72"/>
        <v>"%USERPROFILE%\Documents\GitHub\eaglep3\Utilities\RefineRTDCRunTimes.py" --tripid 845-11 --locoid 4044 --swversion DE.1.0.7.0 --startMP 204:964 --initTime 2016-10-11T20:59:43 --startdatetime 2016-10-11T21:21:21 --delay 3 --endMP 300:58926 --enddatetime 2016-10-11T21:36:32 --enforcementcount 0 &gt;&gt;C:\Users\stu\Documents\GitHub\eaglep3-reporting\EC\2016-10-11-refined-times.txt</v>
      </c>
      <c r="AI199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{"issue":{"subject":"","project_id":79,"tracker_id":40,"status_id":1,"priority_id":2,"assigned_to_id":23,"start_date":"2016-10-11","description":"","custom_fields":[{"id":1,"name":"Subdivision","value":"NW"},{"id":4,"name":"Milepost","value":"5.8926"},{"id":17,"name":"Train ID","value":"845-11"},{"id":16,"name":"Locomotive ID","value":"4044"},{"id":130,"name":"Impact","value":""},{"id":150,"name":"Time of Event (Mountain Time)","value":"21:36:32"},{"id":151,"name":"Denver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651</v>
      </c>
      <c r="B200" s="7">
        <v>4044</v>
      </c>
      <c r="C200" s="24" t="s">
        <v>106</v>
      </c>
      <c r="D200" s="24" t="s">
        <v>759</v>
      </c>
      <c r="E200" s="15">
        <v>42654.925798611112</v>
      </c>
      <c r="F200" s="15">
        <v>42654.931469907409</v>
      </c>
      <c r="G200" s="7">
        <v>1</v>
      </c>
      <c r="H200" s="15" t="s">
        <v>501</v>
      </c>
      <c r="I200" s="15">
        <v>42654.941655092596</v>
      </c>
      <c r="J200" s="7">
        <v>0</v>
      </c>
      <c r="K200" s="116" t="str">
        <f t="shared" si="61"/>
        <v>4043/4044</v>
      </c>
      <c r="L200" s="24" t="str">
        <f>VLOOKUP(A200,'Trips&amp;Operators'!$C$1:$E$10000,3,FALSE)</f>
        <v>STURGEON</v>
      </c>
      <c r="M200" s="6">
        <f t="shared" si="62"/>
        <v>1.0185185186855961E-2</v>
      </c>
      <c r="N200" s="7">
        <f t="shared" si="91"/>
        <v>14.666666669072583</v>
      </c>
      <c r="O200" s="7"/>
      <c r="P200" s="7"/>
      <c r="Q200" s="25"/>
      <c r="R200" s="25"/>
      <c r="S200" s="37">
        <f t="shared" si="90"/>
        <v>1</v>
      </c>
      <c r="T200" s="52" t="str">
        <f t="shared" si="63"/>
        <v>NorthBound</v>
      </c>
      <c r="U200" s="15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21:13:09-0600',mode:absolute,to:'2016-10-11 23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0" s="54" t="str">
        <f t="shared" si="65"/>
        <v>N</v>
      </c>
      <c r="X200" s="163">
        <f t="shared" si="89"/>
        <v>2</v>
      </c>
      <c r="Y200" s="69">
        <f t="shared" si="87"/>
        <v>0.10440000000000001</v>
      </c>
      <c r="Z200" s="69">
        <f t="shared" si="88"/>
        <v>5.8928000000000003</v>
      </c>
      <c r="AA200" s="69">
        <f t="shared" si="66"/>
        <v>5.7884000000000002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67"/>
        <v>0847-11</v>
      </c>
      <c r="AE200" s="94" t="str">
        <f t="shared" si="68"/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AF200" s="91" t="str">
        <f t="shared" si="69"/>
        <v>"C:\Program Files (x86)\AstroGrep\AstroGrep.exe" /spath="%USERPROFILE%\AppData\Local\Temp\OnboardLogs" /stypes="app*4044*20161012*" /stext=" 04:.+((SYSTEM_STATE.+slice.+state.+changed )|(ment ac)|(system.+state.+changed )|(\[timeout)|(PRM\|1\|D)|(kpr)|(kdp)|(\|lc)|(penalty))" /e /r /s</v>
      </c>
      <c r="AG200" s="1" t="str">
        <f t="shared" si="70"/>
        <v>NW</v>
      </c>
      <c r="AH200" s="95" t="str">
        <f t="shared" si="72"/>
        <v>"%USERPROFILE%\Documents\GitHub\eaglep3\Utilities\RefineRTDCRunTimes.py" --tripid 847-11 --locoid 4044 --swversion DE.1.0.7.0 --startMP 204:1044 --initTime 2016-10-11T22:13:09 --startdatetime 2016-10-11T22:21:19 --delay 1 --endMP 300:58928 --enddatetime 2016-10-11T22:35:59 --enforcementcount 0 &gt;&gt;C:\Users\stu\Documents\GitHub\eaglep3-reporting\EC\2016-10-11-refined-times.txt</v>
      </c>
      <c r="AI200" s="129" t="str">
        <f t="shared" si="73"/>
        <v>echo {"issue":{"subject":"","project_id":79,"tracker_id":40,"status_id":1,"priority_id":2,"assigned_to_id":23,"start_date":"2016-10-11","description":"","custom_fields":[{"id":1,"name":"Subdivision","value":"NW"},{"id":4,"name":"Milepost","value":"5.8928"},{"id":17,"name":"Train ID","value":"847-11"},{"id":16,"name":"Locomotive ID","value":"4044"},{"id":130,"name":"Impact","value":""},{"id":150,"name":"Time of Event (Mountain Time)","value":"22:35:59"},{"id":151,"name":"Denver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629</v>
      </c>
      <c r="B201" s="7">
        <v>4040</v>
      </c>
      <c r="C201" s="24" t="s">
        <v>106</v>
      </c>
      <c r="D201" s="24" t="s">
        <v>712</v>
      </c>
      <c r="E201" s="15">
        <v>42654.777372685188</v>
      </c>
      <c r="F201" s="15">
        <v>42654.778587962966</v>
      </c>
      <c r="G201" s="7">
        <v>1</v>
      </c>
      <c r="H201" s="15" t="s">
        <v>713</v>
      </c>
      <c r="I201" s="15">
        <v>42654.783680555556</v>
      </c>
      <c r="J201" s="7">
        <v>0</v>
      </c>
      <c r="K201" s="116" t="str">
        <f t="shared" si="61"/>
        <v>4039/4040</v>
      </c>
      <c r="L201" s="24" t="str">
        <f>VLOOKUP(A201,'Trips&amp;Operators'!$C$1:$E$10000,3,FALSE)</f>
        <v>BONDS</v>
      </c>
      <c r="M201" s="6">
        <f t="shared" si="62"/>
        <v>5.0925925897900015E-3</v>
      </c>
      <c r="N201" s="7">
        <f t="shared" si="91"/>
        <v>7.3333333292976022</v>
      </c>
      <c r="O201" s="7"/>
      <c r="P201" s="7"/>
      <c r="Q201" s="25"/>
      <c r="R201" s="25"/>
      <c r="S201" s="37">
        <f t="shared" si="90"/>
        <v>1</v>
      </c>
      <c r="T201" s="52" t="str">
        <f t="shared" si="63"/>
        <v>NorthBound</v>
      </c>
      <c r="U201" s="15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17:39:25-0600',mode:absolute,to:'2016-10-11 19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1" s="54" t="str">
        <f t="shared" si="65"/>
        <v>Y</v>
      </c>
      <c r="X201" s="163">
        <f t="shared" si="89"/>
        <v>-544</v>
      </c>
      <c r="Y201" s="69">
        <f t="shared" si="87"/>
        <v>4.8800000000000003E-2</v>
      </c>
      <c r="Z201" s="69">
        <f t="shared" si="88"/>
        <v>2.3308</v>
      </c>
      <c r="AA201" s="69">
        <f t="shared" si="66"/>
        <v>2.282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67"/>
        <v>0303-11</v>
      </c>
      <c r="AE201" s="94" t="str">
        <f t="shared" si="68"/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AF201" s="91" t="str">
        <f t="shared" si="69"/>
        <v>"C:\Program Files (x86)\AstroGrep\AstroGrep.exe" /spath="%USERPROFILE%\AppData\Local\Temp\OnboardLogs" /stypes="app*4040*20161012*" /stext=" 00:.+((SYSTEM_STATE.+slice.+state.+changed )|(ment ac)|(system.+state.+changed )|(\[timeout)|(PRM\|1\|D)|(kpr)|(kdp)|(\|lc)|(penalty))" /e /r /s</v>
      </c>
      <c r="AG201" s="1" t="str">
        <f t="shared" si="70"/>
        <v>Other</v>
      </c>
      <c r="AH201" s="95" t="str">
        <f t="shared" si="72"/>
        <v>"%USERPROFILE%\Documents\GitHub\eaglep3\Utilities\RefineRTDCRunTimes.py" --tripid 303-11 --locoid 4040 --swversion DE.1.0.7.0 --startMP 204:488 --initTime 2016-10-11T18:39:25 --startdatetime 2016-10-11T18:41:10 --delay 1 --endMP 300:23308 --enddatetime 2016-10-11T18:48:30 --enforcementcount 0 &gt;&gt;C:\Users\stu\Documents\GitHub\eaglep3-reporting\EC\2016-10-11-refined-times.txt</v>
      </c>
      <c r="AI201" s="129" t="str">
        <f t="shared" si="73"/>
        <v>echo {"issue":{"subject":"","project_id":79,"tracker_id":40,"status_id":1,"priority_id":2,"assigned_to_id":23,"start_date":"2016-10-11","description":"","custom_fields":[{"id":1,"name":"Subdivision","value":"Other"},{"id":4,"name":"Milepost","value":"2.3308"},{"id":17,"name":"Train ID","value":"303-11"},{"id":16,"name":"Locomotive ID","value":"4040"},{"id":130,"name":"Impact","value":""},{"id":150,"name":"Time of Event (Mountain Time)","value":"18:48:30"},{"id":151,"name":"Denver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636</v>
      </c>
      <c r="B202" s="7">
        <v>4053</v>
      </c>
      <c r="C202" s="24" t="s">
        <v>106</v>
      </c>
      <c r="D202" s="24" t="s">
        <v>197</v>
      </c>
      <c r="E202" s="15">
        <v>42654.808113425926</v>
      </c>
      <c r="F202" s="15">
        <v>25568.708333333332</v>
      </c>
      <c r="G202" s="7">
        <v>1</v>
      </c>
      <c r="H202" s="15" t="s">
        <v>714</v>
      </c>
      <c r="I202" s="15">
        <v>25568.708333333332</v>
      </c>
      <c r="J202" s="7">
        <v>0</v>
      </c>
      <c r="K202" s="116" t="str">
        <f t="shared" si="61"/>
        <v>4053/4054</v>
      </c>
      <c r="L202" s="24" t="str">
        <f>VLOOKUP(A202,'Trips&amp;Operators'!$C$1:$E$10000,3,FALSE)</f>
        <v>CRAYTON</v>
      </c>
      <c r="M202" s="6">
        <f t="shared" si="62"/>
        <v>0</v>
      </c>
      <c r="N202" s="7">
        <f t="shared" si="91"/>
        <v>0</v>
      </c>
      <c r="O202" s="7"/>
      <c r="P202" s="7"/>
      <c r="Q202" s="25"/>
      <c r="R202" s="25"/>
      <c r="S202" s="37">
        <f t="shared" si="90"/>
        <v>1</v>
      </c>
      <c r="T202" s="52" t="str">
        <f t="shared" si="63"/>
        <v>NorthBound</v>
      </c>
      <c r="U202" s="15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18:23:41-0600',mode:absolute,to:'1969-12-31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2" s="54" t="str">
        <f t="shared" si="65"/>
        <v>Y</v>
      </c>
      <c r="X202" s="163">
        <f t="shared" si="89"/>
        <v>2</v>
      </c>
      <c r="Y202" s="69">
        <f t="shared" si="87"/>
        <v>4.6199999999999998E-2</v>
      </c>
      <c r="Z202" s="69">
        <f t="shared" si="88"/>
        <v>2.3306</v>
      </c>
      <c r="AA202" s="69">
        <f t="shared" si="66"/>
        <v>2.2844000000000002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67"/>
        <v>0305-11</v>
      </c>
      <c r="AE202" s="94" t="str">
        <f t="shared" si="68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2" s="91" t="str">
        <f t="shared" si="69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2" s="1" t="str">
        <f t="shared" si="70"/>
        <v>Other</v>
      </c>
      <c r="AH202" s="95" t="str">
        <f t="shared" si="72"/>
        <v>"%USERPROFILE%\Documents\GitHub\eaglep3\Utilities\RefineRTDCRunTimes.py" --tripid 305-11 --locoid 4053 --swversion DE.1.0.7.0 --startMP 204:462 --initTime 2016-10-11T19:23:41 --startdatetime 1969-12-31T17:00:00 --delay 1 --endMP 300:23306 --enddatetime 1969-12-31T17:00:00 --enforcementcount 0 &gt;&gt;C:\Users\stu\Documents\GitHub\eaglep3-reporting\EC\2016-10-11-refined-times.txt</v>
      </c>
      <c r="AI202" s="12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ID","value":"305-11"},{"id":16,"name":"Locomotive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640</v>
      </c>
      <c r="B203" s="7">
        <v>4007</v>
      </c>
      <c r="C203" s="24" t="s">
        <v>106</v>
      </c>
      <c r="D203" s="24" t="s">
        <v>715</v>
      </c>
      <c r="E203" s="15">
        <v>42654.818206018521</v>
      </c>
      <c r="F203" s="15">
        <v>25568.708333333332</v>
      </c>
      <c r="G203" s="7">
        <v>2</v>
      </c>
      <c r="H203" s="15" t="s">
        <v>716</v>
      </c>
      <c r="I203" s="15">
        <v>25568.708333333332</v>
      </c>
      <c r="J203" s="7">
        <v>0</v>
      </c>
      <c r="K203" s="116" t="str">
        <f t="shared" si="61"/>
        <v>4007/4008</v>
      </c>
      <c r="L203" s="24" t="str">
        <f>VLOOKUP(A203,'Trips&amp;Operators'!$C$1:$E$10000,3,FALSE)</f>
        <v>STORY</v>
      </c>
      <c r="M203" s="6">
        <f t="shared" si="62"/>
        <v>0</v>
      </c>
      <c r="N203" s="7">
        <f t="shared" si="91"/>
        <v>0</v>
      </c>
      <c r="O203" s="7"/>
      <c r="P203" s="7"/>
      <c r="Q203" s="25"/>
      <c r="R203" s="25"/>
      <c r="S203" s="37">
        <f t="shared" si="90"/>
        <v>1</v>
      </c>
      <c r="T203" s="52" t="str">
        <f t="shared" si="63"/>
        <v>NorthBound</v>
      </c>
      <c r="U203" s="15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18:38:13-0600',mode:absolute,to:'1969-12-31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3" s="54" t="str">
        <f t="shared" si="65"/>
        <v>Y</v>
      </c>
      <c r="X203" s="163">
        <f t="shared" si="89"/>
        <v>2</v>
      </c>
      <c r="Y203" s="69">
        <f t="shared" si="87"/>
        <v>4.7800000000000002E-2</v>
      </c>
      <c r="Z203" s="69">
        <f t="shared" si="88"/>
        <v>2.3313999999999999</v>
      </c>
      <c r="AA203" s="69">
        <f t="shared" si="66"/>
        <v>2.2835999999999999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67"/>
        <v>0307-11</v>
      </c>
      <c r="AE203" s="94" t="str">
        <f t="shared" si="68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3" s="91" t="str">
        <f t="shared" si="69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03" s="1" t="str">
        <f t="shared" si="70"/>
        <v>Other</v>
      </c>
      <c r="AH203" s="95" t="str">
        <f t="shared" si="72"/>
        <v>"%USERPROFILE%\Documents\GitHub\eaglep3\Utilities\RefineRTDCRunTimes.py" --tripid 307-11 --locoid 4007 --swversion DE.1.0.7.0 --startMP 204:478 --initTime 2016-10-11T19:38:13 --startdatetime 1969-12-31T17:00:00 --delay 2 --endMP 300:23314 --enddatetime 1969-12-31T17:00:00 --enforcementcount 0 &gt;&gt;C:\Users\stu\Documents\GitHub\eaglep3-reporting\EC\2016-10-11-refined-times.txt</v>
      </c>
      <c r="AI203" s="12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ID","value":"307-11"},{"id":16,"name":"Locomotive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s="23" customFormat="1" x14ac:dyDescent="0.25">
      <c r="A204" s="39" t="s">
        <v>660</v>
      </c>
      <c r="B204" s="7">
        <v>4029</v>
      </c>
      <c r="C204" s="24" t="s">
        <v>106</v>
      </c>
      <c r="D204" s="24" t="s">
        <v>717</v>
      </c>
      <c r="E204" s="15">
        <v>42655.032812500001</v>
      </c>
      <c r="F204" s="15">
        <v>25568.708333333332</v>
      </c>
      <c r="G204" s="7">
        <v>2</v>
      </c>
      <c r="H204" s="15" t="s">
        <v>718</v>
      </c>
      <c r="I204" s="15">
        <v>25568.708333333332</v>
      </c>
      <c r="J204" s="7">
        <v>0</v>
      </c>
      <c r="K204" s="116" t="str">
        <f t="shared" si="61"/>
        <v>4029/4030</v>
      </c>
      <c r="L204" s="24" t="str">
        <f>VLOOKUP(A204,'Trips&amp;Operators'!$C$1:$E$10000,3,FALSE)</f>
        <v>LEVERE</v>
      </c>
      <c r="M204" s="6">
        <f t="shared" si="62"/>
        <v>0</v>
      </c>
      <c r="N204" s="7">
        <f t="shared" si="91"/>
        <v>0</v>
      </c>
      <c r="O204" s="7"/>
      <c r="P204" s="7"/>
      <c r="Q204" s="25"/>
      <c r="R204" s="25"/>
      <c r="S204" s="37">
        <f t="shared" si="90"/>
        <v>1</v>
      </c>
      <c r="T204" s="52" t="str">
        <f t="shared" si="63"/>
        <v>NorthBound</v>
      </c>
      <c r="U204" s="15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1" t="str">
        <f t="shared" si="64"/>
        <v>https://search-rtdc-monitor-bjffxe2xuh6vdkpspy63sjmuny.us-east-1.es.amazonaws.com/_plugin/kibana/#/discover/Steve-Slow-Train-Analysis-(2080s-and-2083s)?_g=(refreshInterval:(display:Off,section:0,value:0),time:(from:'2016-10-11 23:47:15-0600',mode:absolute,to:'1969-12-31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4" s="54" t="str">
        <f t="shared" si="65"/>
        <v>Y</v>
      </c>
      <c r="X204" s="163">
        <f t="shared" si="89"/>
        <v>2</v>
      </c>
      <c r="Y204" s="69">
        <f t="shared" si="87"/>
        <v>5.0799999999999998E-2</v>
      </c>
      <c r="Z204" s="69">
        <f t="shared" si="88"/>
        <v>1.6813</v>
      </c>
      <c r="AA204" s="69">
        <f t="shared" si="66"/>
        <v>1.6305000000000001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67"/>
        <v>0309-11</v>
      </c>
      <c r="AE204" s="94" t="str">
        <f t="shared" si="68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4" s="91" t="str">
        <f t="shared" si="69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04" s="1" t="str">
        <f t="shared" si="70"/>
        <v>Other</v>
      </c>
      <c r="AH204" s="95" t="str">
        <f t="shared" si="72"/>
        <v>"%USERPROFILE%\Documents\GitHub\eaglep3\Utilities\RefineRTDCRunTimes.py" --tripid 309-11 --locoid 4029 --swversion DE.1.0.7.0 --startMP 204:508 --initTime 2016-10-12T00:47:15 --startdatetime 1969-12-31T17:00:00 --delay 2 --endMP 300:16813 --enddatetime 1969-12-31T17:00:00 --enforcementcount 0 &gt;&gt;C:\Users\stu\Documents\GitHub\eaglep3-reporting\EC\2016-10-11-refined-times.txt</v>
      </c>
      <c r="AI204" s="12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{"issue":{"subject":"","project_id":79,"tracker_id":40,"status_id":1,"priority_id":2,"assigned_to_id":23,"start_date":"1969-12-31","description":"","custom_fields":[{"id":1,"name":"Subdivision","value":"Other"},{"id":4,"name":"Milepost","value":"1.6813"},{"id":17,"name":"Train ID","value":"309-11"},{"id":16,"name":"Locomotive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661</v>
      </c>
      <c r="B205" s="7">
        <v>4031</v>
      </c>
      <c r="C205" s="24" t="s">
        <v>106</v>
      </c>
      <c r="D205" s="24" t="s">
        <v>195</v>
      </c>
      <c r="E205" s="15">
        <v>42655.046574074076</v>
      </c>
      <c r="F205" s="15">
        <v>25568.708333333332</v>
      </c>
      <c r="G205" s="7">
        <v>1</v>
      </c>
      <c r="H205" s="15" t="s">
        <v>714</v>
      </c>
      <c r="I205" s="15">
        <v>25568.708333333332</v>
      </c>
      <c r="J205" s="7">
        <v>0</v>
      </c>
      <c r="K205" s="116" t="str">
        <f t="shared" ref="K205:K220" si="92">IF(ISEVEN(B205),(B205-1)&amp;"/"&amp;B205,B205&amp;"/"&amp;(B205+1))</f>
        <v>4031/4032</v>
      </c>
      <c r="L205" s="24" t="str">
        <f>VLOOKUP(A205,'Trips&amp;Operators'!$C$1:$E$10000,3,FALSE)</f>
        <v>COOLAHAN</v>
      </c>
      <c r="M205" s="6">
        <f t="shared" ref="M205:M220" si="93">I205-F205</f>
        <v>0</v>
      </c>
      <c r="N205" s="7">
        <f t="shared" si="91"/>
        <v>0</v>
      </c>
      <c r="O205" s="7"/>
      <c r="P205" s="7"/>
      <c r="Q205" s="25"/>
      <c r="R205" s="25"/>
      <c r="S205" s="37">
        <f t="shared" si="90"/>
        <v>1</v>
      </c>
      <c r="T205" s="52" t="str">
        <f t="shared" ref="T205:T220" si="94">IF(ISEVEN(LEFT(AD205,4)),"Southbound","NorthBound")</f>
        <v>NorthBound</v>
      </c>
      <c r="U205" s="15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1" t="str">
        <f t="shared" ref="V205:V220" si="95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https://search-rtdc-monitor-bjffxe2xuh6vdkpspy63sjmuny.us-east-1.es.amazonaws.com/_plugin/kibana/#/discover/Steve-Slow-Train-Analysis-(2080s-and-2083s)?_g=(refreshInterval:(display:Off,section:0,value:0),time:(from:'2016-10-12 00:07:04-0600',mode:absolute,to:'1969-12-31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5" s="54" t="str">
        <f t="shared" ref="W205:W220" si="96">IF(AA205&lt;IF(AG205="EC",23,5.65),"Y","N")</f>
        <v>Y</v>
      </c>
      <c r="X205" s="163">
        <f t="shared" si="89"/>
        <v>2</v>
      </c>
      <c r="Y205" s="69">
        <f t="shared" si="87"/>
        <v>4.58E-2</v>
      </c>
      <c r="Z205" s="69">
        <f t="shared" si="88"/>
        <v>2.3306</v>
      </c>
      <c r="AA205" s="69">
        <f t="shared" ref="AA205:AA268" si="97">ABS(Z205-Y205)</f>
        <v>2.2848000000000002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20" si="98">IF(LEN(A205)=6,"0"&amp;A205,A205)</f>
        <v>0311-11</v>
      </c>
      <c r="AE205" s="94" t="str">
        <f t="shared" ref="AE205:AE220" si="9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5" s="91" t="str">
        <f t="shared" ref="AF205:AF220" si="10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205" s="1" t="str">
        <f t="shared" ref="AG205:AG220" si="101">IFERROR(IF(VALUE(LEFT(AD205,2))&lt;=2,"EC",IF(OR(VALUE(LEFT(AD205,2))=8,VALUE(LEFT(AD205,2))=18),"NW","Other")),"Other")</f>
        <v>Other</v>
      </c>
      <c r="AH205" s="95" t="str">
        <f t="shared" si="72"/>
        <v>"%USERPROFILE%\Documents\GitHub\eaglep3\Utilities\RefineRTDCRunTimes.py" --tripid 311-11 --locoid 4031 --swversion DE.1.0.7.0 --startMP 204:458 --initTime 2016-10-12T01:07:04 --startdatetime 1969-12-31T17:00:00 --delay 1 --endMP 300:23306 --enddatetime 1969-12-31T17:00:00 --enforcementcount 0 &gt;&gt;C:\Users\stu\Documents\GitHub\eaglep3-reporting\EC\2016-10-11-refined-times.txt</v>
      </c>
      <c r="AI205" s="12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ID","value":"311-11"},{"id":16,"name":"Locomotive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663</v>
      </c>
      <c r="B206" s="7">
        <v>4003</v>
      </c>
      <c r="C206" s="24" t="s">
        <v>106</v>
      </c>
      <c r="D206" s="24" t="s">
        <v>719</v>
      </c>
      <c r="E206" s="15">
        <v>42655.067870370367</v>
      </c>
      <c r="F206" s="15">
        <v>42655.069386574076</v>
      </c>
      <c r="G206" s="7">
        <v>1</v>
      </c>
      <c r="H206" s="15" t="s">
        <v>720</v>
      </c>
      <c r="I206" s="15">
        <v>42655.07366898148</v>
      </c>
      <c r="J206" s="7">
        <v>0</v>
      </c>
      <c r="K206" s="116" t="str">
        <f t="shared" si="92"/>
        <v>4003/4004</v>
      </c>
      <c r="L206" s="24" t="str">
        <f>VLOOKUP(A206,'Trips&amp;Operators'!$C$1:$E$10000,3,FALSE)</f>
        <v>YANAI</v>
      </c>
      <c r="M206" s="6">
        <f t="shared" si="93"/>
        <v>4.2824074043892324E-3</v>
      </c>
      <c r="N206" s="7">
        <f t="shared" si="91"/>
        <v>6.1666666623204947</v>
      </c>
      <c r="O206" s="7"/>
      <c r="P206" s="7"/>
      <c r="Q206" s="25"/>
      <c r="R206" s="25"/>
      <c r="S206" s="37">
        <f t="shared" si="90"/>
        <v>1</v>
      </c>
      <c r="T206" s="52" t="str">
        <f t="shared" si="94"/>
        <v>NorthBound</v>
      </c>
      <c r="U206" s="15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https://search-rtdc-monitor-bjffxe2xuh6vdkpspy63sjmuny.us-east-1.es.amazonaws.com/_plugin/kibana/#/discover/Steve-Slow-Train-Analysis-(2080s-and-2083s)?_g=(refreshInterval:(display:Off,section:0,value:0),time:(from:'2016-10-12 00:37:44-0600',mode:absolute,to:'2016-10-12 02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6" s="54" t="str">
        <f t="shared" si="96"/>
        <v>Y</v>
      </c>
      <c r="X206" s="163">
        <f t="shared" si="89"/>
        <v>2</v>
      </c>
      <c r="Y206" s="69">
        <f t="shared" si="87"/>
        <v>3.9699999999999999E-2</v>
      </c>
      <c r="Z206" s="69">
        <f t="shared" si="88"/>
        <v>2.3083</v>
      </c>
      <c r="AA206" s="69">
        <f t="shared" si="97"/>
        <v>2.2686000000000002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98"/>
        <v>0313-11</v>
      </c>
      <c r="AE206" s="94" t="str">
        <f t="shared" si="99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206" s="91" t="str">
        <f t="shared" si="100"/>
        <v>"C:\Program Files (x86)\AstroGrep\AstroGrep.exe" /spath="%USERPROFILE%\AppData\Local\Temp\OnboardLogs" /stypes="app*4003*20161012*" /stext=" 07:.+((SYSTEM_STATE.+slice.+state.+changed )|(ment ac)|(system.+state.+changed )|(\[timeout)|(PRM\|1\|D)|(kpr)|(kdp)|(\|lc)|(penalty))" /e /r /s</v>
      </c>
      <c r="AG206" s="1" t="str">
        <f t="shared" si="101"/>
        <v>Other</v>
      </c>
      <c r="AH206" s="95" t="str">
        <f t="shared" si="72"/>
        <v>"%USERPROFILE%\Documents\GitHub\eaglep3\Utilities\RefineRTDCRunTimes.py" --tripid 313-11 --locoid 4003 --swversion DE.1.0.7.0 --startMP 204:397 --initTime 2016-10-12T01:37:44 --startdatetime 2016-10-12T01:39:55 --delay 1 --endMP 300:23083 --enddatetime 2016-10-12T01:46:05 --enforcementcount 0 &gt;&gt;C:\Users\stu\Documents\GitHub\eaglep3-reporting\EC\2016-10-11-refined-times.txt</v>
      </c>
      <c r="AI206" s="129" t="str">
        <f t="shared" si="73"/>
        <v>echo {"issue":{"subject":"","project_id":79,"tracker_id":40,"status_id":1,"priority_id":2,"assigned_to_id":23,"start_date":"2016-10-12","description":"","custom_fields":[{"id":1,"name":"Subdivision","value":"Other"},{"id":4,"name":"Milepost","value":"2.3083"},{"id":17,"name":"Train ID","value":"313-11"},{"id":16,"name":"Locomotive ID","value":"4003"},{"id":130,"name":"Impact","value":""},{"id":150,"name":"Time of Event (Mountain Time)","value":"01:46:05"},{"id":151,"name":"Denver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664</v>
      </c>
      <c r="B207" s="7">
        <v>4014</v>
      </c>
      <c r="C207" s="24" t="s">
        <v>106</v>
      </c>
      <c r="D207" s="24" t="s">
        <v>721</v>
      </c>
      <c r="E207" s="15">
        <v>42655.107245370367</v>
      </c>
      <c r="F207" s="15">
        <v>42655.108506944445</v>
      </c>
      <c r="G207" s="7">
        <v>1</v>
      </c>
      <c r="H207" s="15" t="s">
        <v>722</v>
      </c>
      <c r="I207" s="15">
        <v>42655.11414351852</v>
      </c>
      <c r="J207" s="7">
        <v>0</v>
      </c>
      <c r="K207" s="116" t="str">
        <f t="shared" si="92"/>
        <v>4013/4014</v>
      </c>
      <c r="L207" s="24" t="str">
        <f>VLOOKUP(A207,'Trips&amp;Operators'!$C$1:$E$10000,3,FALSE)</f>
        <v>CHANDLER</v>
      </c>
      <c r="M207" s="6">
        <f t="shared" si="93"/>
        <v>5.6365740747423843E-3</v>
      </c>
      <c r="N207" s="7">
        <f t="shared" si="91"/>
        <v>8.1166666676290333</v>
      </c>
      <c r="O207" s="7"/>
      <c r="P207" s="7"/>
      <c r="Q207" s="25"/>
      <c r="R207" s="25"/>
      <c r="S207" s="37">
        <f t="shared" si="90"/>
        <v>1</v>
      </c>
      <c r="T207" s="52" t="str">
        <f t="shared" si="94"/>
        <v>NorthBound</v>
      </c>
      <c r="U207" s="15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https://search-rtdc-monitor-bjffxe2xuh6vdkpspy63sjmuny.us-east-1.es.amazonaws.com/_plugin/kibana/#/discover/Steve-Slow-Train-Analysis-(2080s-and-2083s)?_g=(refreshInterval:(display:Off,section:0,value:0),time:(from:'2016-10-12 01:34:26-0600',mode:absolute,to:'2016-10-12 03:44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7" s="54" t="str">
        <f t="shared" si="96"/>
        <v>Y</v>
      </c>
      <c r="X207" s="163">
        <f t="shared" si="89"/>
        <v>2</v>
      </c>
      <c r="Y207" s="69">
        <f t="shared" si="87"/>
        <v>3.7400000000000003E-2</v>
      </c>
      <c r="Z207" s="69">
        <f t="shared" si="88"/>
        <v>2.2233999999999998</v>
      </c>
      <c r="AA207" s="69">
        <f t="shared" si="97"/>
        <v>2.1859999999999999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98"/>
        <v>0315-11</v>
      </c>
      <c r="AE207" s="94" t="str">
        <f t="shared" si="99"/>
        <v>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 &amp; aws s3 cp s3://rtdc.mdm.uploadarchive.raw/RTDC4014/ "%USERPROFILE%\AppData\Local\Temp\OnboardLogs"\RTDC4014\2016-10-13 --exclude "*" --recursive --include "*20161013*" &amp; "%USERPROFILE%\Documents\GitHub\mrs-test-scripts\Headless Mode &amp; Sideloading\WalkAndUnGZ.bat" "%USERPROFILE%\AppData\Local\Temp\OnboardLogs"\RTDC4014\2016-10-13</v>
      </c>
      <c r="AF207" s="91" t="str">
        <f t="shared" si="100"/>
        <v>"C:\Program Files (x86)\AstroGrep\AstroGrep.exe" /spath="%USERPROFILE%\AppData\Local\Temp\OnboardLogs" /stypes="app*4014*20161012*" /stext=" 08:.+((SYSTEM_STATE.+slice.+state.+changed )|(ment ac)|(system.+state.+changed )|(\[timeout)|(PRM\|1\|D)|(kpr)|(kdp)|(\|lc)|(penalty))" /e /r /s</v>
      </c>
      <c r="AG207" s="1" t="str">
        <f t="shared" si="101"/>
        <v>Other</v>
      </c>
      <c r="AH207" s="95" t="str">
        <f t="shared" si="72"/>
        <v>"%USERPROFILE%\Documents\GitHub\eaglep3\Utilities\RefineRTDCRunTimes.py" --tripid 315-11 --locoid 4014 --swversion DE.1.0.7.0 --startMP 204:374 --initTime 2016-10-12T02:34:26 --startdatetime 2016-10-12T02:36:15 --delay 1 --endMP 300:22234 --enddatetime 2016-10-12T02:44:22 --enforcementcount 0 &gt;&gt;C:\Users\stu\Documents\GitHub\eaglep3-reporting\EC\2016-10-11-refined-times.txt</v>
      </c>
      <c r="AI207" s="129" t="str">
        <f t="shared" si="73"/>
        <v>echo {"issue":{"subject":"","project_id":79,"tracker_id":40,"status_id":1,"priority_id":2,"assigned_to_id":23,"start_date":"2016-10-12","description":"","custom_fields":[{"id":1,"name":"Subdivision","value":"Other"},{"id":4,"name":"Milepost","value":"2.2234"},{"id":17,"name":"Train ID","value":"315-11"},{"id":16,"name":"Locomotive ID","value":"4014"},{"id":130,"name":"Impact","value":""},{"id":150,"name":"Time of Event (Mountain Time)","value":"02:44:22"},{"id":151,"name":"Denver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530</v>
      </c>
      <c r="B208" s="7">
        <v>4018</v>
      </c>
      <c r="C208" s="24" t="s">
        <v>106</v>
      </c>
      <c r="D208" s="24" t="s">
        <v>359</v>
      </c>
      <c r="E208" s="15">
        <v>42654.353958333333</v>
      </c>
      <c r="F208" s="15">
        <v>42654.355729166666</v>
      </c>
      <c r="G208" s="7">
        <v>1</v>
      </c>
      <c r="H208" s="15" t="s">
        <v>531</v>
      </c>
      <c r="I208" s="15">
        <v>42654.36246527778</v>
      </c>
      <c r="J208" s="7">
        <v>0</v>
      </c>
      <c r="K208" s="116" t="str">
        <f t="shared" si="92"/>
        <v>4017/4018</v>
      </c>
      <c r="L208" s="24" t="str">
        <f>VLOOKUP(A208,'Trips&amp;Operators'!$C$1:$E$10000,3,FALSE)</f>
        <v>HILLS</v>
      </c>
      <c r="M208" s="6">
        <f t="shared" si="93"/>
        <v>6.7361111141508445E-3</v>
      </c>
      <c r="N208" s="7">
        <f t="shared" si="91"/>
        <v>9.7000000043772161</v>
      </c>
      <c r="O208" s="7"/>
      <c r="P208" s="7"/>
      <c r="Q208" s="25"/>
      <c r="R208" s="25"/>
      <c r="S208" s="37">
        <f t="shared" si="90"/>
        <v>1</v>
      </c>
      <c r="T208" s="52" t="str">
        <f t="shared" si="94"/>
        <v>NorthBound</v>
      </c>
      <c r="U208" s="15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07:29:42-0600',mode:absolute,to:'2016-10-11 09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8" s="54" t="str">
        <f t="shared" si="96"/>
        <v>Y</v>
      </c>
      <c r="X208" s="163">
        <f t="shared" si="89"/>
        <v>588</v>
      </c>
      <c r="Y208" s="69">
        <f t="shared" si="87"/>
        <v>9.74E-2</v>
      </c>
      <c r="Z208" s="69">
        <f t="shared" si="88"/>
        <v>2.3544</v>
      </c>
      <c r="AA208" s="69">
        <f t="shared" si="97"/>
        <v>2.2570000000000001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98"/>
        <v>0903-11</v>
      </c>
      <c r="AE208" s="94" t="str">
        <f t="shared" si="99"/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AF208" s="91" t="str">
        <f t="shared" si="100"/>
        <v>"C:\Program Files (x86)\AstroGrep\AstroGrep.exe" /spath="%USERPROFILE%\AppData\Local\Temp\OnboardLogs" /stypes="app*4018*20161011*" /stext=" 14:.+((SYSTEM_STATE.+slice.+state.+changed )|(ment ac)|(system.+state.+changed )|(\[timeout)|(PRM\|1\|D)|(kpr)|(kdp)|(\|lc)|(penalty))" /e /r /s</v>
      </c>
      <c r="AG208" s="1" t="str">
        <f t="shared" si="101"/>
        <v>Other</v>
      </c>
      <c r="AH208" s="95" t="str">
        <f t="shared" si="72"/>
        <v>"%USERPROFILE%\Documents\GitHub\eaglep3\Utilities\RefineRTDCRunTimes.py" --tripid 903-11 --locoid 4018 --swversion DE.1.0.7.0 --startMP 204:974 --initTime 2016-10-11T08:29:42 --startdatetime 2016-10-11T08:32:15 --delay 1 --endMP 300:23544 --enddatetime 2016-10-11T08:41:57 --enforcementcount 0 &gt;&gt;C:\Users\stu\Documents\GitHub\eaglep3-reporting\EC\2016-10-11-refined-times.txt</v>
      </c>
      <c r="AI208" s="129" t="str">
        <f t="shared" si="73"/>
        <v>echo {"issue":{"subject":"","project_id":79,"tracker_id":40,"status_id":1,"priority_id":2,"assigned_to_id":23,"start_date":"2016-10-11","description":"","custom_fields":[{"id":1,"name":"Subdivision","value":"Other"},{"id":4,"name":"Milepost","value":"2.3544"},{"id":17,"name":"Train ID","value":"903-11"},{"id":16,"name":"Locomotive ID","value":"4018"},{"id":130,"name":"Impact","value":""},{"id":150,"name":"Time of Event (Mountain Time)","value":"08:41:57"},{"id":151,"name":"Denver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589</v>
      </c>
      <c r="B209" s="7">
        <v>4017</v>
      </c>
      <c r="C209" s="24" t="s">
        <v>106</v>
      </c>
      <c r="D209" s="24" t="s">
        <v>760</v>
      </c>
      <c r="E209" s="15">
        <v>42654.639594907407</v>
      </c>
      <c r="F209" s="15">
        <v>42654.640960648147</v>
      </c>
      <c r="G209" s="7">
        <v>1</v>
      </c>
      <c r="H209" s="15" t="s">
        <v>761</v>
      </c>
      <c r="I209" s="15">
        <v>42654.648252314815</v>
      </c>
      <c r="J209" s="7">
        <v>0</v>
      </c>
      <c r="K209" s="116" t="str">
        <f t="shared" si="92"/>
        <v>4017/4018</v>
      </c>
      <c r="L209" s="24" t="str">
        <f>VLOOKUP(A209,'Trips&amp;Operators'!$C$1:$E$10000,3,FALSE)</f>
        <v>STURGEON</v>
      </c>
      <c r="M209" s="6">
        <f t="shared" si="93"/>
        <v>7.291666668606922E-3</v>
      </c>
      <c r="N209" s="7">
        <f t="shared" si="91"/>
        <v>10.500000002793968</v>
      </c>
      <c r="O209" s="7"/>
      <c r="P209" s="7"/>
      <c r="Q209" s="25"/>
      <c r="R209" s="25"/>
      <c r="S209" s="37">
        <f t="shared" si="90"/>
        <v>1</v>
      </c>
      <c r="T209" s="52" t="str">
        <f t="shared" si="94"/>
        <v>Southbound</v>
      </c>
      <c r="U209" s="15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14:21:01-0600',mode:absolute,to:'2016-10-11 16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9" s="54" t="str">
        <f t="shared" si="96"/>
        <v>Y</v>
      </c>
      <c r="X209" s="163">
        <f t="shared" si="89"/>
        <v>1</v>
      </c>
      <c r="Y209" s="69">
        <f t="shared" si="87"/>
        <v>2.3357999999999999</v>
      </c>
      <c r="Z209" s="69">
        <f t="shared" si="88"/>
        <v>7.1900000000000006E-2</v>
      </c>
      <c r="AA209" s="69">
        <f t="shared" si="97"/>
        <v>2.2639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98"/>
        <v>0904-11</v>
      </c>
      <c r="AE209" s="94" t="str">
        <f t="shared" si="99"/>
        <v>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 &amp; 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</v>
      </c>
      <c r="AF209" s="91" t="str">
        <f t="shared" si="100"/>
        <v>"C:\Program Files (x86)\AstroGrep\AstroGrep.exe" /spath="%USERPROFILE%\AppData\Local\Temp\OnboardLogs" /stypes="app*4017*20161011*" /stext=" 21:.+((SYSTEM_STATE.+slice.+state.+changed )|(ment ac)|(system.+state.+changed )|(\[timeout)|(PRM\|1\|D)|(kpr)|(kdp)|(\|lc)|(penalty))" /e /r /s</v>
      </c>
      <c r="AG209" s="1" t="str">
        <f t="shared" si="101"/>
        <v>Other</v>
      </c>
      <c r="AH209" s="95" t="str">
        <f t="shared" si="72"/>
        <v>"%USERPROFILE%\Documents\GitHub\eaglep3\Utilities\RefineRTDCRunTimes.py" --tripid 904-11 --locoid 4017 --swversion DE.1.0.7.0 --startMP 300:23358 --initTime 2016-10-11T15:21:01 --startdatetime 2016-10-11T15:22:59 --delay 1 --endMP 204:719 --enddatetime 2016-10-11T15:33:29 --enforcementcount 0 &gt;&gt;C:\Users\stu\Documents\GitHub\eaglep3-reporting\EC\2016-10-11-refined-times.txt</v>
      </c>
      <c r="AI209" s="129" t="str">
        <f t="shared" si="73"/>
        <v>echo {"issue":{"subject":"","project_id":79,"tracker_id":40,"status_id":1,"priority_id":2,"assigned_to_id":23,"start_date":"2016-10-11","description":"","custom_fields":[{"id":1,"name":"Subdivision","value":"Other"},{"id":4,"name":"Milepost","value":"0.0719"},{"id":17,"name":"Train ID","value":"904-11"},{"id":16,"name":"Locomotive ID","value":"4017"},{"id":130,"name":"Impact","value":""},{"id":150,"name":"Time of Event (Mountain Time)","value":"15:33:29"},{"id":151,"name":"Denver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634</v>
      </c>
      <c r="B210" s="7">
        <v>4017</v>
      </c>
      <c r="C210" s="24" t="s">
        <v>106</v>
      </c>
      <c r="D210" s="24" t="s">
        <v>762</v>
      </c>
      <c r="E210" s="15">
        <v>42654.797974537039</v>
      </c>
      <c r="F210" s="15">
        <v>25568.708333333332</v>
      </c>
      <c r="G210" s="7">
        <v>1</v>
      </c>
      <c r="H210" s="15" t="s">
        <v>763</v>
      </c>
      <c r="I210" s="15">
        <v>25568.708333333332</v>
      </c>
      <c r="J210" s="7">
        <v>0</v>
      </c>
      <c r="K210" s="116" t="str">
        <f t="shared" si="92"/>
        <v>4017/4018</v>
      </c>
      <c r="L210" s="24" t="str">
        <f>VLOOKUP(A210,'Trips&amp;Operators'!$C$1:$E$10000,3,FALSE)</f>
        <v>STURGEON</v>
      </c>
      <c r="M210" s="6">
        <f t="shared" si="93"/>
        <v>0</v>
      </c>
      <c r="N210" s="7">
        <f t="shared" si="91"/>
        <v>0</v>
      </c>
      <c r="O210" s="7"/>
      <c r="P210" s="7"/>
      <c r="Q210" s="25"/>
      <c r="R210" s="25"/>
      <c r="S210" s="37">
        <f t="shared" si="90"/>
        <v>0</v>
      </c>
      <c r="T210" s="52" t="str">
        <f t="shared" si="94"/>
        <v>Southbound</v>
      </c>
      <c r="U210" s="15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18:09:05-0600',mode:absolute,to:'1969-12-31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0" s="54" t="str">
        <f t="shared" si="96"/>
        <v>Y</v>
      </c>
      <c r="X210" s="163">
        <f t="shared" si="89"/>
        <v>2</v>
      </c>
      <c r="Y210" s="69">
        <f t="shared" si="87"/>
        <v>5.8604000000000003</v>
      </c>
      <c r="Z210" s="69">
        <f t="shared" si="88"/>
        <v>2.8788</v>
      </c>
      <c r="AA210" s="69">
        <f t="shared" si="97"/>
        <v>2.9816000000000003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98"/>
        <v>0906-11</v>
      </c>
      <c r="AE210" s="94" t="str">
        <f t="shared" si="99"/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10" s="91" t="str">
        <f t="shared" si="100"/>
        <v>"C:\Program Files (x86)\AstroGrep\AstroGrep.exe" /spath="%USERPROFILE%\AppData\Local\Temp\OnboardLogs" /stypes="app*4017*19691231*" /stext=" 23:.+((SYSTEM_STATE.+slice.+state.+changed )|(ment ac)|(system.+state.+changed )|(\[timeout)|(PRM\|1\|D)|(kpr)|(kdp)|(\|lc)|(penalty))" /e /r /s</v>
      </c>
      <c r="AG210" s="1" t="str">
        <f t="shared" si="101"/>
        <v>Other</v>
      </c>
      <c r="AH210" s="95" t="str">
        <f t="shared" si="72"/>
        <v>"%USERPROFILE%\Documents\GitHub\eaglep3\Utilities\RefineRTDCRunTimes.py" --tripid 906-11 --locoid 4017 --swversion DE.1.0.7.0 --startMP 300:58604 --initTime 2016-10-11T19:09:05 --startdatetime 1969-12-31T17:00:00 --delay 1 --endMP 300:28788 --enddatetime 1969-12-31T17:00:00 --enforcementcount 0 &gt;&gt;C:\Users\stu\Documents\GitHub\eaglep3-reporting\EC\2016-10-11-refined-times.txt</v>
      </c>
      <c r="AI210" s="12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{"issue":{"subject":"","project_id":79,"tracker_id":40,"status_id":1,"priority_id":2,"assigned_to_id":23,"start_date":"1969-12-31","description":"","custom_fields":[{"id":1,"name":"Subdivision","value":"Other"},{"id":4,"name":"Milepost","value":"2.8788"},{"id":17,"name":"Train ID","value":"906-11"},{"id":16,"name":"Locomotive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653</v>
      </c>
      <c r="B211" s="7">
        <v>4043</v>
      </c>
      <c r="C211" s="24" t="s">
        <v>106</v>
      </c>
      <c r="D211" s="24" t="s">
        <v>739</v>
      </c>
      <c r="E211" s="15">
        <v>42654.943287037036</v>
      </c>
      <c r="F211" s="15">
        <v>42654.945057870369</v>
      </c>
      <c r="G211" s="7">
        <v>1</v>
      </c>
      <c r="H211" s="15" t="s">
        <v>764</v>
      </c>
      <c r="I211" s="15">
        <v>42654.950173611112</v>
      </c>
      <c r="J211" s="7">
        <v>0</v>
      </c>
      <c r="K211" s="116" t="str">
        <f t="shared" si="92"/>
        <v>4043/4044</v>
      </c>
      <c r="L211" s="24" t="str">
        <f>VLOOKUP(A211,'Trips&amp;Operators'!$C$1:$E$10000,3,FALSE)</f>
        <v>STURGEON</v>
      </c>
      <c r="M211" s="6">
        <f t="shared" si="93"/>
        <v>5.1157407433493063E-3</v>
      </c>
      <c r="N211" s="7">
        <f t="shared" si="91"/>
        <v>7.3666666704230011</v>
      </c>
      <c r="O211" s="7"/>
      <c r="P211" s="7"/>
      <c r="Q211" s="25"/>
      <c r="R211" s="25"/>
      <c r="S211" s="37">
        <f t="shared" si="90"/>
        <v>0</v>
      </c>
      <c r="T211" s="52" t="str">
        <f t="shared" si="94"/>
        <v>Southbound</v>
      </c>
      <c r="U211" s="15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21:38:20-0600',mode:absolute,to:'2016-10-11 23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1" s="54" t="str">
        <f t="shared" si="96"/>
        <v>Y</v>
      </c>
      <c r="X211" s="163">
        <f t="shared" si="89"/>
        <v>2</v>
      </c>
      <c r="Y211" s="69">
        <f t="shared" si="87"/>
        <v>5.8608000000000002</v>
      </c>
      <c r="Z211" s="69">
        <f t="shared" si="88"/>
        <v>2.1745999999999999</v>
      </c>
      <c r="AA211" s="69">
        <f t="shared" si="97"/>
        <v>3.6862000000000004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98"/>
        <v>0908-11</v>
      </c>
      <c r="AE211" s="94" t="str">
        <f t="shared" si="99"/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AF211" s="91" t="str">
        <f t="shared" si="100"/>
        <v>"C:\Program Files (x86)\AstroGrep\AstroGrep.exe" /spath="%USERPROFILE%\AppData\Local\Temp\OnboardLogs" /stypes="app*4043*20161012*" /stext=" 04:.+((SYSTEM_STATE.+slice.+state.+changed )|(ment ac)|(system.+state.+changed )|(\[timeout)|(PRM\|1\|D)|(kpr)|(kdp)|(\|lc)|(penalty))" /e /r /s</v>
      </c>
      <c r="AG211" s="1" t="str">
        <f t="shared" si="101"/>
        <v>Other</v>
      </c>
      <c r="AH211" s="95" t="str">
        <f t="shared" ref="AH211:AH220" si="102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908-11 --locoid 4043 --swversion DE.1.0.7.0 --startMP 300:58608 --initTime 2016-10-11T22:38:20 --startdatetime 2016-10-11T22:40:53 --delay 1 --endMP 300:21746 --enddatetime 2016-10-11T22:48:15 --enforcementcount 0 &gt;&gt;C:\Users\stu\Documents\GitHub\eaglep3-reporting\EC\2016-10-11-refined-times.txt</v>
      </c>
      <c r="AI211" s="129" t="str">
        <f t="shared" ref="AI211:AI220" si="103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{"issue":{"subject":"","project_id":79,"tracker_id":40,"status_id":1,"priority_id":2,"assigned_to_id":23,"start_date":"2016-10-11","description":"","custom_fields":[{"id":1,"name":"Subdivision","value":"Other"},{"id":4,"name":"Milepost","value":"2.1746"},{"id":17,"name":"Train ID","value":"908-11"},{"id":16,"name":"Locomotive ID","value":"4043"},{"id":130,"name":"Impact","value":""},{"id":150,"name":"Time of Event (Mountain Time)","value":"22:48:15"},{"id":151,"name":"Denver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474</v>
      </c>
      <c r="B212" s="7">
        <v>4027</v>
      </c>
      <c r="C212" s="24" t="s">
        <v>106</v>
      </c>
      <c r="D212" s="24" t="s">
        <v>193</v>
      </c>
      <c r="E212" s="15">
        <v>42654.473217592589</v>
      </c>
      <c r="F212" s="15">
        <v>42654.474652777775</v>
      </c>
      <c r="G212" s="7">
        <v>1</v>
      </c>
      <c r="H212" s="15" t="s">
        <v>475</v>
      </c>
      <c r="I212" s="15">
        <v>42654.480740740742</v>
      </c>
      <c r="J212" s="7">
        <v>0</v>
      </c>
      <c r="K212" s="116" t="str">
        <f t="shared" si="92"/>
        <v>4027/4028</v>
      </c>
      <c r="L212" s="24" t="str">
        <f>VLOOKUP(A212,'Trips&amp;Operators'!$C$1:$E$10000,3,FALSE)</f>
        <v>DAVIS</v>
      </c>
      <c r="M212" s="6">
        <f t="shared" si="93"/>
        <v>6.0879629672854207E-3</v>
      </c>
      <c r="N212" s="7">
        <f t="shared" si="91"/>
        <v>8.7666666728910059</v>
      </c>
      <c r="O212" s="7"/>
      <c r="P212" s="7"/>
      <c r="Q212" s="25"/>
      <c r="R212" s="25"/>
      <c r="S212" s="37">
        <f t="shared" si="90"/>
        <v>0</v>
      </c>
      <c r="T212" s="52" t="e">
        <f t="shared" si="94"/>
        <v>#VALUE!</v>
      </c>
      <c r="U212" s="15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10:21:26-0600',mode:absolute,to:'2016-10-11 12:32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2" s="54" t="str">
        <f t="shared" si="96"/>
        <v>Y</v>
      </c>
      <c r="X212" s="163" t="e">
        <f t="shared" si="89"/>
        <v>#VALUE!</v>
      </c>
      <c r="Y212" s="69">
        <f t="shared" si="87"/>
        <v>4.5100000000000001E-2</v>
      </c>
      <c r="Z212" s="69">
        <f t="shared" si="88"/>
        <v>2.5583999999999998</v>
      </c>
      <c r="AA212" s="69">
        <f t="shared" si="97"/>
        <v>2.5132999999999996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98"/>
        <v>51-11</v>
      </c>
      <c r="AE212" s="94" t="str">
        <f t="shared" si="99"/>
        <v>aws s3 cp s3://rtdc.mdm.uploadarchive.raw/RTDC4027/ "%USERPROFILE%\AppData\Local\Temp\OnboardLogs"\RTDC4027\2016-10-11 --exclude "*" --recursive --include "*20161011*" &amp; "%USERPROFILE%\Documents\GitHub\mrs-test-scripts\Headless Mode &amp; Sideloading\WalkAndUnGZ.bat" "%USERPROFILE%\AppData\Local\Temp\OnboardLogs"\RTDC4027\2016-10-11 &amp; aws s3 cp s3://rtdc.mdm.uploadarchive.raw/RTDC4027/ "%USERPROFILE%\AppData\Local\Temp\OnboardLogs"\RTDC4027\2016-10-12 --exclude "*" --recursive --include "*20161012*" &amp; "%USERPROFILE%\Documents\GitHub\mrs-test-scripts\Headless Mode &amp; Sideloading\WalkAndUnGZ.bat" "%USERPROFILE%\AppData\Local\Temp\OnboardLogs"\RTDC4027\2016-10-12</v>
      </c>
      <c r="AF212" s="91" t="str">
        <f t="shared" si="100"/>
        <v>"C:\Program Files (x86)\AstroGrep\AstroGrep.exe" /spath="%USERPROFILE%\AppData\Local\Temp\OnboardLogs" /stypes="app*4027*20161011*" /stext=" 17:.+((SYSTEM_STATE.+slice.+state.+changed )|(ment ac)|(system.+state.+changed )|(\[timeout)|(PRM\|1\|D)|(kpr)|(kdp)|(\|lc)|(penalty))" /e /r /s</v>
      </c>
      <c r="AG212" s="1" t="str">
        <f t="shared" si="101"/>
        <v>Other</v>
      </c>
      <c r="AH212" s="95" t="str">
        <f t="shared" si="102"/>
        <v>"%USERPROFILE%\Documents\GitHub\eaglep3\Utilities\RefineRTDCRunTimes.py" --tripid 51-11 --locoid 4027 --swversion DE.1.0.7.0 --startMP 204:451 --initTime 2016-10-11T11:21:26 --startdatetime 2016-10-11T11:23:30 --delay 1 --endMP 300:25584 --enddatetime 2016-10-11T11:32:16 --enforcementcount 0 &gt;&gt;C:\Users\stu\Documents\GitHub\eaglep3-reporting\EC\2016-10-11-refined-times.txt</v>
      </c>
      <c r="AI212" s="129" t="str">
        <f t="shared" si="103"/>
        <v>echo {"issue":{"subject":"","project_id":79,"tracker_id":40,"status_id":1,"priority_id":2,"assigned_to_id":23,"start_date":"2016-10-11","description":"","custom_fields":[{"id":1,"name":"Subdivision","value":"Other"},{"id":4,"name":"Milepost","value":"2.5584"},{"id":17,"name":"Train ID","value":"51-11"},{"id":16,"name":"Locomotive ID","value":"4027"},{"id":130,"name":"Impact","value":""},{"id":150,"name":"Time of Event (Mountain Time)","value":"11:32:16"},{"id":151,"name":"Denver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476</v>
      </c>
      <c r="B213" s="7">
        <v>4019</v>
      </c>
      <c r="C213" s="24" t="s">
        <v>106</v>
      </c>
      <c r="D213" s="24" t="s">
        <v>477</v>
      </c>
      <c r="E213" s="15">
        <v>42654.464085648149</v>
      </c>
      <c r="F213" s="15">
        <v>42654.465775462966</v>
      </c>
      <c r="G213" s="7">
        <v>1</v>
      </c>
      <c r="H213" s="15" t="s">
        <v>478</v>
      </c>
      <c r="I213" s="15">
        <v>42654.47184027778</v>
      </c>
      <c r="J213" s="7">
        <v>0</v>
      </c>
      <c r="K213" s="116" t="str">
        <f t="shared" si="92"/>
        <v>4019/4020</v>
      </c>
      <c r="L213" s="24" t="str">
        <f>VLOOKUP(A213,'Trips&amp;Operators'!$C$1:$E$10000,3,FALSE)</f>
        <v>HELVIE</v>
      </c>
      <c r="M213" s="6">
        <f t="shared" si="93"/>
        <v>6.064814813726116E-3</v>
      </c>
      <c r="N213" s="7">
        <f t="shared" si="91"/>
        <v>8.733333331765607</v>
      </c>
      <c r="O213" s="7"/>
      <c r="P213" s="7"/>
      <c r="Q213" s="25"/>
      <c r="R213" s="25"/>
      <c r="S213" s="37">
        <f t="shared" si="90"/>
        <v>0</v>
      </c>
      <c r="T213" s="52" t="e">
        <f t="shared" si="94"/>
        <v>#VALUE!</v>
      </c>
      <c r="U213" s="15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10:08:17-0600',mode:absolute,to:'2016-10-11 12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3" s="54" t="str">
        <f t="shared" si="96"/>
        <v>Y</v>
      </c>
      <c r="X213" s="163" t="e">
        <f t="shared" si="89"/>
        <v>#VALUE!</v>
      </c>
      <c r="Y213" s="69">
        <f t="shared" si="87"/>
        <v>2.3233000000000001</v>
      </c>
      <c r="Z213" s="69">
        <f t="shared" si="88"/>
        <v>9.6299999999999997E-2</v>
      </c>
      <c r="AA213" s="69">
        <f t="shared" si="97"/>
        <v>2.2270000000000003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98"/>
        <v>52-11</v>
      </c>
      <c r="AE213" s="94" t="str">
        <f t="shared" si="99"/>
        <v>aws s3 cp s3://rtdc.mdm.uploadarchive.raw/RTDC4019/ "%USERPROFILE%\AppData\Local\Temp\OnboardLogs"\RTDC4019\2016-10-11 --exclude "*" --recursive --include "*20161011*" &amp; "%USERPROFILE%\Documents\GitHub\mrs-test-scripts\Headless Mode &amp; Sideloading\WalkAndUnGZ.bat" "%USERPROFILE%\AppData\Local\Temp\OnboardLogs"\RTDC4019\2016-10-11 &amp; 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</v>
      </c>
      <c r="AF213" s="91" t="str">
        <f t="shared" si="100"/>
        <v>"C:\Program Files (x86)\AstroGrep\AstroGrep.exe" /spath="%USERPROFILE%\AppData\Local\Temp\OnboardLogs" /stypes="app*4019*20161011*" /stext=" 17:.+((SYSTEM_STATE.+slice.+state.+changed )|(ment ac)|(system.+state.+changed )|(\[timeout)|(PRM\|1\|D)|(kpr)|(kdp)|(\|lc)|(penalty))" /e /r /s</v>
      </c>
      <c r="AG213" s="1" t="str">
        <f t="shared" si="101"/>
        <v>Other</v>
      </c>
      <c r="AH213" s="95" t="str">
        <f t="shared" si="102"/>
        <v>"%USERPROFILE%\Documents\GitHub\eaglep3\Utilities\RefineRTDCRunTimes.py" --tripid 52-11 --locoid 4019 --swversion DE.1.0.7.0 --startMP 300:23233 --initTime 2016-10-11T11:08:17 --startdatetime 2016-10-11T11:10:43 --delay 1 --endMP 204:963 --enddatetime 2016-10-11T11:19:27 --enforcementcount 0 &gt;&gt;C:\Users\stu\Documents\GitHub\eaglep3-reporting\EC\2016-10-11-refined-times.txt</v>
      </c>
      <c r="AI213" s="129" t="str">
        <f t="shared" si="103"/>
        <v>echo {"issue":{"subject":"","project_id":79,"tracker_id":40,"status_id":1,"priority_id":2,"assigned_to_id":23,"start_date":"2016-10-11","description":"","custom_fields":[{"id":1,"name":"Subdivision","value":"Other"},{"id":4,"name":"Milepost","value":"0.0963"},{"id":17,"name":"Train ID","value":"52-11"},{"id":16,"name":"Locomotive ID","value":"4019"},{"id":130,"name":"Impact","value":""},{"id":150,"name":"Time of Event (Mountain Time)","value":"11:19:27"},{"id":151,"name":"Denver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479</v>
      </c>
      <c r="B214" s="7">
        <v>4020</v>
      </c>
      <c r="C214" s="24" t="s">
        <v>106</v>
      </c>
      <c r="D214" s="24" t="s">
        <v>480</v>
      </c>
      <c r="E214" s="15">
        <v>42654.491516203707</v>
      </c>
      <c r="F214" s="15">
        <v>42654.496516203704</v>
      </c>
      <c r="G214" s="7">
        <v>1</v>
      </c>
      <c r="H214" s="15" t="s">
        <v>481</v>
      </c>
      <c r="I214" s="15">
        <v>42654.502152777779</v>
      </c>
      <c r="J214" s="7">
        <v>0</v>
      </c>
      <c r="K214" s="116" t="str">
        <f t="shared" si="92"/>
        <v>4019/4020</v>
      </c>
      <c r="L214" s="24" t="str">
        <f>VLOOKUP(A214,'Trips&amp;Operators'!$C$1:$E$10000,3,FALSE)</f>
        <v>DE LA ROSA</v>
      </c>
      <c r="M214" s="6">
        <f t="shared" si="93"/>
        <v>5.6365740747423843E-3</v>
      </c>
      <c r="N214" s="7">
        <f t="shared" si="91"/>
        <v>8.1166666676290333</v>
      </c>
      <c r="O214" s="7"/>
      <c r="P214" s="7"/>
      <c r="Q214" s="25"/>
      <c r="R214" s="25"/>
      <c r="S214" s="37">
        <f t="shared" si="90"/>
        <v>0</v>
      </c>
      <c r="T214" s="52" t="e">
        <f t="shared" si="94"/>
        <v>#VALUE!</v>
      </c>
      <c r="U214" s="15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10:47:47-0600',mode:absolute,to:'2016-10-11 13:03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4" s="54" t="str">
        <f t="shared" si="96"/>
        <v>Y</v>
      </c>
      <c r="X214" s="163" t="e">
        <f t="shared" si="89"/>
        <v>#VALUE!</v>
      </c>
      <c r="Y214" s="69">
        <f t="shared" si="87"/>
        <v>0.1283</v>
      </c>
      <c r="Z214" s="69">
        <f t="shared" si="88"/>
        <v>2.4243000000000001</v>
      </c>
      <c r="AA214" s="69">
        <f t="shared" si="97"/>
        <v>2.2960000000000003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98"/>
        <v>53-11</v>
      </c>
      <c r="AE214" s="94" t="str">
        <f t="shared" si="99"/>
        <v>aws s3 cp s3://rtdc.mdm.uploadarchive.raw/RTDC4020/ "%USERPROFILE%\AppData\Local\Temp\OnboardLogs"\RTDC4020\2016-10-11 --exclude "*" --recursive --include "*20161011*" &amp; "%USERPROFILE%\Documents\GitHub\mrs-test-scripts\Headless Mode &amp; Sideloading\WalkAndUnGZ.bat" "%USERPROFILE%\AppData\Local\Temp\OnboardLogs"\RTDC4020\2016-10-11 &amp; aws s3 cp s3://rtdc.mdm.uploadarchive.raw/RTDC4020/ "%USERPROFILE%\AppData\Local\Temp\OnboardLogs"\RTDC4020\2016-10-12 --exclude "*" --recursive --include "*20161012*" &amp; "%USERPROFILE%\Documents\GitHub\mrs-test-scripts\Headless Mode &amp; Sideloading\WalkAndUnGZ.bat" "%USERPROFILE%\AppData\Local\Temp\OnboardLogs"\RTDC4020\2016-10-12</v>
      </c>
      <c r="AF214" s="91" t="str">
        <f t="shared" si="100"/>
        <v>"C:\Program Files (x86)\AstroGrep\AstroGrep.exe" /spath="%USERPROFILE%\AppData\Local\Temp\OnboardLogs" /stypes="app*4020*20161011*" /stext=" 18:.+((SYSTEM_STATE.+slice.+state.+changed )|(ment ac)|(system.+state.+changed )|(\[timeout)|(PRM\|1\|D)|(kpr)|(kdp)|(\|lc)|(penalty))" /e /r /s</v>
      </c>
      <c r="AG214" s="1" t="str">
        <f t="shared" si="101"/>
        <v>Other</v>
      </c>
      <c r="AH214" s="95" t="str">
        <f t="shared" si="102"/>
        <v>"%USERPROFILE%\Documents\GitHub\eaglep3\Utilities\RefineRTDCRunTimes.py" --tripid 53-11 --locoid 4020 --swversion DE.1.0.7.0 --startMP 204:1283 --initTime 2016-10-11T11:47:47 --startdatetime 2016-10-11T11:54:59 --delay 1 --endMP 300:24243 --enddatetime 2016-10-11T12:03:06 --enforcementcount 0 &gt;&gt;C:\Users\stu\Documents\GitHub\eaglep3-reporting\EC\2016-10-11-refined-times.txt</v>
      </c>
      <c r="AI214" s="129" t="str">
        <f t="shared" si="103"/>
        <v>echo {"issue":{"subject":"","project_id":79,"tracker_id":40,"status_id":1,"priority_id":2,"assigned_to_id":23,"start_date":"2016-10-11","description":"","custom_fields":[{"id":1,"name":"Subdivision","value":"Other"},{"id":4,"name":"Milepost","value":"2.4243"},{"id":17,"name":"Train ID","value":"53-11"},{"id":16,"name":"Locomotive ID","value":"4020"},{"id":130,"name":"Impact","value":""},{"id":150,"name":"Time of Event (Mountain Time)","value":"12:03:06"},{"id":151,"name":"Denver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549</v>
      </c>
      <c r="B215" s="7">
        <v>4019</v>
      </c>
      <c r="C215" s="24" t="s">
        <v>106</v>
      </c>
      <c r="D215" s="24" t="s">
        <v>723</v>
      </c>
      <c r="E215" s="15">
        <v>42654.697534722225</v>
      </c>
      <c r="F215" s="15">
        <v>42654.698750000003</v>
      </c>
      <c r="G215" s="7">
        <v>1</v>
      </c>
      <c r="H215" s="15" t="s">
        <v>724</v>
      </c>
      <c r="I215" s="15">
        <v>42654.705567129633</v>
      </c>
      <c r="J215" s="7">
        <v>0</v>
      </c>
      <c r="K215" s="116" t="str">
        <f t="shared" si="92"/>
        <v>4019/4020</v>
      </c>
      <c r="L215" s="24" t="str">
        <f>VLOOKUP(A215,'Trips&amp;Operators'!$C$1:$E$10000,3,FALSE)</f>
        <v>LEVERE</v>
      </c>
      <c r="M215" s="6">
        <f t="shared" si="93"/>
        <v>6.8171296297805384E-3</v>
      </c>
      <c r="N215" s="7">
        <f t="shared" si="91"/>
        <v>9.8166666668839753</v>
      </c>
      <c r="O215" s="7"/>
      <c r="P215" s="7"/>
      <c r="Q215" s="25"/>
      <c r="R215" s="25"/>
      <c r="S215" s="37">
        <f t="shared" si="90"/>
        <v>0</v>
      </c>
      <c r="T215" s="52" t="e">
        <f t="shared" si="94"/>
        <v>#VALUE!</v>
      </c>
      <c r="U215" s="15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15:44:27-0600',mode:absolute,to:'2016-10-11 17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5" s="54" t="str">
        <f t="shared" si="96"/>
        <v>Y</v>
      </c>
      <c r="X215" s="163" t="e">
        <f t="shared" si="89"/>
        <v>#VALUE!</v>
      </c>
      <c r="Y215" s="69">
        <f t="shared" si="87"/>
        <v>2.3334000000000001</v>
      </c>
      <c r="Z215" s="69">
        <f t="shared" si="88"/>
        <v>1.1900000000000001E-2</v>
      </c>
      <c r="AA215" s="69">
        <f t="shared" si="97"/>
        <v>2.3215000000000003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98"/>
        <v>54-11</v>
      </c>
      <c r="AE215" s="94" t="str">
        <f t="shared" si="99"/>
        <v>aws s3 cp s3://rtdc.mdm.uploadarchive.raw/RTDC4019/ "%USERPROFILE%\AppData\Local\Temp\OnboardLogs"\RTDC4019\2016-10-11 --exclude "*" --recursive --include "*20161011*" &amp; "%USERPROFILE%\Documents\GitHub\mrs-test-scripts\Headless Mode &amp; Sideloading\WalkAndUnGZ.bat" "%USERPROFILE%\AppData\Local\Temp\OnboardLogs"\RTDC4019\2016-10-11 &amp; 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</v>
      </c>
      <c r="AF215" s="91" t="str">
        <f t="shared" si="100"/>
        <v>"C:\Program Files (x86)\AstroGrep\AstroGrep.exe" /spath="%USERPROFILE%\AppData\Local\Temp\OnboardLogs" /stypes="app*4019*20161011*" /stext=" 22:.+((SYSTEM_STATE.+slice.+state.+changed )|(ment ac)|(system.+state.+changed )|(\[timeout)|(PRM\|1\|D)|(kpr)|(kdp)|(\|lc)|(penalty))" /e /r /s</v>
      </c>
      <c r="AG215" s="1" t="str">
        <f t="shared" si="101"/>
        <v>Other</v>
      </c>
      <c r="AH215" s="95" t="str">
        <f t="shared" si="102"/>
        <v>"%USERPROFILE%\Documents\GitHub\eaglep3\Utilities\RefineRTDCRunTimes.py" --tripid 54-11 --locoid 4019 --swversion DE.1.0.7.0 --startMP 300:23334 --initTime 2016-10-11T16:44:27 --startdatetime 2016-10-11T16:46:12 --delay 1 --endMP 204:119 --enddatetime 2016-10-11T16:56:01 --enforcementcount 0 &gt;&gt;C:\Users\stu\Documents\GitHub\eaglep3-reporting\EC\2016-10-11-refined-times.txt</v>
      </c>
      <c r="AI215" s="129" t="str">
        <f t="shared" si="103"/>
        <v>echo {"issue":{"subject":"","project_id":79,"tracker_id":40,"status_id":1,"priority_id":2,"assigned_to_id":23,"start_date":"2016-10-11","description":"","custom_fields":[{"id":1,"name":"Subdivision","value":"Other"},{"id":4,"name":"Milepost","value":"0.0119"},{"id":17,"name":"Train ID","value":"54-11"},{"id":16,"name":"Locomotive ID","value":"4019"},{"id":130,"name":"Impact","value":""},{"id":150,"name":"Time of Event (Mountain Time)","value":"16:56:01"},{"id":151,"name":"Denver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613</v>
      </c>
      <c r="B216" s="7">
        <v>4020</v>
      </c>
      <c r="C216" s="24" t="s">
        <v>106</v>
      </c>
      <c r="D216" s="24" t="s">
        <v>725</v>
      </c>
      <c r="E216" s="15">
        <v>42654.725462962961</v>
      </c>
      <c r="F216" s="15">
        <v>42654.727627314816</v>
      </c>
      <c r="G216" s="7">
        <v>1</v>
      </c>
      <c r="H216" s="15" t="s">
        <v>726</v>
      </c>
      <c r="I216" s="15">
        <v>42654.733738425923</v>
      </c>
      <c r="J216" s="7">
        <v>0</v>
      </c>
      <c r="K216" s="116" t="str">
        <f t="shared" si="92"/>
        <v>4019/4020</v>
      </c>
      <c r="L216" s="24" t="str">
        <f>VLOOKUP(A216,'Trips&amp;Operators'!$C$1:$E$10000,3,FALSE)</f>
        <v>CLARK</v>
      </c>
      <c r="M216" s="6">
        <f t="shared" si="93"/>
        <v>6.1111111062928103E-3</v>
      </c>
      <c r="N216" s="7">
        <f t="shared" si="91"/>
        <v>8.7999999930616468</v>
      </c>
      <c r="O216" s="7"/>
      <c r="P216" s="7"/>
      <c r="Q216" s="25"/>
      <c r="R216" s="25"/>
      <c r="S216" s="37">
        <f t="shared" si="90"/>
        <v>0</v>
      </c>
      <c r="T216" s="52" t="e">
        <f t="shared" si="94"/>
        <v>#VALUE!</v>
      </c>
      <c r="U216" s="15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16:24:40-0600',mode:absolute,to:'2016-10-11 18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6" s="54" t="str">
        <f t="shared" si="96"/>
        <v>Y</v>
      </c>
      <c r="X216" s="163" t="e">
        <f t="shared" si="89"/>
        <v>#VALUE!</v>
      </c>
      <c r="Y216" s="69">
        <f t="shared" si="87"/>
        <v>4.2299999999999997E-2</v>
      </c>
      <c r="Z216" s="69">
        <f t="shared" si="88"/>
        <v>2.2854000000000001</v>
      </c>
      <c r="AA216" s="69">
        <f t="shared" si="97"/>
        <v>2.2431000000000001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98"/>
        <v>55-11</v>
      </c>
      <c r="AE216" s="94" t="str">
        <f t="shared" si="99"/>
        <v>aws s3 cp s3://rtdc.mdm.uploadarchive.raw/RTDC4020/ "%USERPROFILE%\AppData\Local\Temp\OnboardLogs"\RTDC4020\2016-10-11 --exclude "*" --recursive --include "*20161011*" &amp; "%USERPROFILE%\Documents\GitHub\mrs-test-scripts\Headless Mode &amp; Sideloading\WalkAndUnGZ.bat" "%USERPROFILE%\AppData\Local\Temp\OnboardLogs"\RTDC4020\2016-10-11 &amp; aws s3 cp s3://rtdc.mdm.uploadarchive.raw/RTDC4020/ "%USERPROFILE%\AppData\Local\Temp\OnboardLogs"\RTDC4020\2016-10-12 --exclude "*" --recursive --include "*20161012*" &amp; "%USERPROFILE%\Documents\GitHub\mrs-test-scripts\Headless Mode &amp; Sideloading\WalkAndUnGZ.bat" "%USERPROFILE%\AppData\Local\Temp\OnboardLogs"\RTDC4020\2016-10-12</v>
      </c>
      <c r="AF216" s="91" t="str">
        <f t="shared" si="100"/>
        <v>"C:\Program Files (x86)\AstroGrep\AstroGrep.exe" /spath="%USERPROFILE%\AppData\Local\Temp\OnboardLogs" /stypes="app*4020*20161011*" /stext=" 23:.+((SYSTEM_STATE.+slice.+state.+changed )|(ment ac)|(system.+state.+changed )|(\[timeout)|(PRM\|1\|D)|(kpr)|(kdp)|(\|lc)|(penalty))" /e /r /s</v>
      </c>
      <c r="AG216" s="1" t="str">
        <f t="shared" si="101"/>
        <v>Other</v>
      </c>
      <c r="AH216" s="95" t="str">
        <f t="shared" si="102"/>
        <v>"%USERPROFILE%\Documents\GitHub\eaglep3\Utilities\RefineRTDCRunTimes.py" --tripid 55-11 --locoid 4020 --swversion DE.1.0.7.0 --startMP 204:423 --initTime 2016-10-11T17:24:40 --startdatetime 2016-10-11T17:27:47 --delay 1 --endMP 300:22854 --enddatetime 2016-10-11T17:36:35 --enforcementcount 0 &gt;&gt;C:\Users\stu\Documents\GitHub\eaglep3-reporting\EC\2016-10-11-refined-times.txt</v>
      </c>
      <c r="AI216" s="129" t="str">
        <f t="shared" si="103"/>
        <v>echo {"issue":{"subject":"","project_id":79,"tracker_id":40,"status_id":1,"priority_id":2,"assigned_to_id":23,"start_date":"2016-10-11","description":"","custom_fields":[{"id":1,"name":"Subdivision","value":"Other"},{"id":4,"name":"Milepost","value":"2.2854"},{"id":17,"name":"Train ID","value":"55-11"},{"id":16,"name":"Locomotive ID","value":"4020"},{"id":130,"name":"Impact","value":""},{"id":150,"name":"Time of Event (Mountain Time)","value":"17:36:35"},{"id":151,"name":"Denver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617</v>
      </c>
      <c r="B217" s="7">
        <v>4045</v>
      </c>
      <c r="C217" s="24" t="s">
        <v>106</v>
      </c>
      <c r="D217" s="24" t="s">
        <v>727</v>
      </c>
      <c r="E217" s="15">
        <v>42654.736030092594</v>
      </c>
      <c r="F217" s="15">
        <v>42654.737939814811</v>
      </c>
      <c r="G217" s="7">
        <v>1</v>
      </c>
      <c r="H217" s="15" t="s">
        <v>728</v>
      </c>
      <c r="I217" s="15">
        <v>42654.743877314817</v>
      </c>
      <c r="J217" s="7">
        <v>0</v>
      </c>
      <c r="K217" s="116" t="str">
        <f t="shared" si="92"/>
        <v>4045/4046</v>
      </c>
      <c r="L217" s="24" t="str">
        <f>VLOOKUP(A217,'Trips&amp;Operators'!$C$1:$E$10000,3,FALSE)</f>
        <v>YOUNG</v>
      </c>
      <c r="M217" s="6">
        <f t="shared" si="93"/>
        <v>5.9375000055297278E-3</v>
      </c>
      <c r="N217" s="7">
        <f t="shared" si="91"/>
        <v>8.550000007962808</v>
      </c>
      <c r="O217" s="7"/>
      <c r="P217" s="7"/>
      <c r="Q217" s="25"/>
      <c r="R217" s="25"/>
      <c r="S217" s="37">
        <f t="shared" si="90"/>
        <v>0</v>
      </c>
      <c r="T217" s="52" t="e">
        <f t="shared" si="94"/>
        <v>#VALUE!</v>
      </c>
      <c r="U217" s="15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16:39:53-0600',mode:absolute,to:'2016-10-11 18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7" s="54" t="str">
        <f t="shared" si="96"/>
        <v>Y</v>
      </c>
      <c r="X217" s="163" t="e">
        <f t="shared" si="89"/>
        <v>#VALUE!</v>
      </c>
      <c r="Y217" s="69">
        <f t="shared" si="87"/>
        <v>2.2227000000000001</v>
      </c>
      <c r="Z217" s="69">
        <f t="shared" si="88"/>
        <v>8.6499999999999994E-2</v>
      </c>
      <c r="AA217" s="69">
        <f t="shared" si="97"/>
        <v>2.1362000000000001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98"/>
        <v>56-11</v>
      </c>
      <c r="AE217" s="94" t="str">
        <f t="shared" si="99"/>
        <v>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 &amp; 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</v>
      </c>
      <c r="AF217" s="91" t="str">
        <f t="shared" si="100"/>
        <v>"C:\Program Files (x86)\AstroGrep\AstroGrep.exe" /spath="%USERPROFILE%\AppData\Local\Temp\OnboardLogs" /stypes="app*4045*20161011*" /stext=" 23:.+((SYSTEM_STATE.+slice.+state.+changed )|(ment ac)|(system.+state.+changed )|(\[timeout)|(PRM\|1\|D)|(kpr)|(kdp)|(\|lc)|(penalty))" /e /r /s</v>
      </c>
      <c r="AG217" s="1" t="str">
        <f t="shared" si="101"/>
        <v>Other</v>
      </c>
      <c r="AH217" s="95" t="str">
        <f t="shared" si="102"/>
        <v>"%USERPROFILE%\Documents\GitHub\eaglep3\Utilities\RefineRTDCRunTimes.py" --tripid 56-11 --locoid 4045 --swversion DE.1.0.7.0 --startMP 300:22227 --initTime 2016-10-11T17:39:53 --startdatetime 2016-10-11T17:42:38 --delay 1 --endMP 204:865 --enddatetime 2016-10-11T17:51:11 --enforcementcount 0 &gt;&gt;C:\Users\stu\Documents\GitHub\eaglep3-reporting\EC\2016-10-11-refined-times.txt</v>
      </c>
      <c r="AI217" s="129" t="str">
        <f t="shared" si="103"/>
        <v>echo {"issue":{"subject":"","project_id":79,"tracker_id":40,"status_id":1,"priority_id":2,"assigned_to_id":23,"start_date":"2016-10-11","description":"","custom_fields":[{"id":1,"name":"Subdivision","value":"Other"},{"id":4,"name":"Milepost","value":"0.0865"},{"id":17,"name":"Train ID","value":"56-11"},{"id":16,"name":"Locomotive ID","value":"4045"},{"id":130,"name":"Impact","value":""},{"id":150,"name":"Time of Event (Mountain Time)","value":"17:51:11"},{"id":151,"name":"Denver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619</v>
      </c>
      <c r="B218" s="7">
        <v>4016</v>
      </c>
      <c r="C218" s="24" t="s">
        <v>106</v>
      </c>
      <c r="D218" s="24" t="s">
        <v>729</v>
      </c>
      <c r="E218" s="15">
        <v>42654.740335648145</v>
      </c>
      <c r="F218" s="15">
        <v>25568.708333333332</v>
      </c>
      <c r="G218" s="7">
        <v>2</v>
      </c>
      <c r="H218" s="15" t="s">
        <v>730</v>
      </c>
      <c r="I218" s="15">
        <v>25568.708333333332</v>
      </c>
      <c r="J218" s="7">
        <v>0</v>
      </c>
      <c r="K218" s="116" t="str">
        <f t="shared" si="92"/>
        <v>4015/4016</v>
      </c>
      <c r="L218" s="24" t="str">
        <f>VLOOKUP(A218,'Trips&amp;Operators'!$C$1:$E$10000,3,FALSE)</f>
        <v>BRANDNER</v>
      </c>
      <c r="M218" s="6">
        <f t="shared" si="93"/>
        <v>0</v>
      </c>
      <c r="N218" s="7">
        <f t="shared" si="91"/>
        <v>0</v>
      </c>
      <c r="O218" s="7"/>
      <c r="P218" s="7"/>
      <c r="Q218" s="25"/>
      <c r="R218" s="25"/>
      <c r="S218" s="37">
        <f t="shared" si="90"/>
        <v>0</v>
      </c>
      <c r="T218" s="52" t="e">
        <f t="shared" si="94"/>
        <v>#VALUE!</v>
      </c>
      <c r="U218" s="15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16:46:05-0600',mode:absolute,to:'1969-12-31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8" s="54" t="str">
        <f t="shared" si="96"/>
        <v>Y</v>
      </c>
      <c r="X218" s="163" t="e">
        <f t="shared" si="89"/>
        <v>#VALUE!</v>
      </c>
      <c r="Y218" s="69">
        <f t="shared" si="87"/>
        <v>0.1479</v>
      </c>
      <c r="Z218" s="69">
        <f t="shared" si="88"/>
        <v>2.3302</v>
      </c>
      <c r="AA218" s="69">
        <f t="shared" si="97"/>
        <v>2.1823000000000001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98"/>
        <v>57-11</v>
      </c>
      <c r="AE218" s="94" t="str">
        <f t="shared" si="99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8" s="91" t="str">
        <f t="shared" si="100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8" s="1" t="str">
        <f t="shared" si="101"/>
        <v>Other</v>
      </c>
      <c r="AH218" s="95" t="str">
        <f t="shared" si="102"/>
        <v>"%USERPROFILE%\Documents\GitHub\eaglep3\Utilities\RefineRTDCRunTimes.py" --tripid 57-11 --locoid 4016 --swversion DE.1.0.7.0 --startMP 204:1479 --initTime 2016-10-11T17:46:05 --startdatetime 1969-12-31T17:00:00 --delay 2 --endMP 300:23302 --enddatetime 1969-12-31T17:00:00 --enforcementcount 0 &gt;&gt;C:\Users\stu\Documents\GitHub\eaglep3-reporting\EC\2016-10-11-refined-times.txt</v>
      </c>
      <c r="AI218" s="129" t="str">
        <f t="shared" si="10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ID","value":"57-11"},{"id":16,"name":"Locomotive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550</v>
      </c>
      <c r="B219" s="7">
        <v>4028</v>
      </c>
      <c r="C219" s="24" t="s">
        <v>106</v>
      </c>
      <c r="D219" s="24" t="s">
        <v>731</v>
      </c>
      <c r="E219" s="15">
        <v>42654.734502314815</v>
      </c>
      <c r="F219" s="15">
        <v>25568.708333333332</v>
      </c>
      <c r="G219" s="7">
        <v>7</v>
      </c>
      <c r="H219" s="15" t="s">
        <v>732</v>
      </c>
      <c r="I219" s="15">
        <v>25568.708333333332</v>
      </c>
      <c r="J219" s="7">
        <v>0</v>
      </c>
      <c r="K219" s="116" t="str">
        <f t="shared" si="92"/>
        <v>4027/4028</v>
      </c>
      <c r="L219" s="24" t="str">
        <f>VLOOKUP(A219,'Trips&amp;Operators'!$C$1:$E$10000,3,FALSE)</f>
        <v>YANAI</v>
      </c>
      <c r="M219" s="6">
        <f t="shared" si="93"/>
        <v>0</v>
      </c>
      <c r="N219" s="7">
        <f t="shared" si="91"/>
        <v>0</v>
      </c>
      <c r="O219" s="7"/>
      <c r="P219" s="7"/>
      <c r="Q219" s="25"/>
      <c r="R219" s="25"/>
      <c r="S219" s="37">
        <f t="shared" si="90"/>
        <v>0</v>
      </c>
      <c r="T219" s="52" t="e">
        <f t="shared" si="94"/>
        <v>#VALUE!</v>
      </c>
      <c r="U219" s="15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16:37:41-0600',mode:absolute,to:'1969-12-31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9" s="54" t="str">
        <f t="shared" si="96"/>
        <v>Y</v>
      </c>
      <c r="X219" s="163" t="e">
        <f t="shared" si="89"/>
        <v>#VALUE!</v>
      </c>
      <c r="Y219" s="69">
        <f t="shared" si="87"/>
        <v>2.4253999999999998</v>
      </c>
      <c r="Z219" s="69">
        <f t="shared" si="88"/>
        <v>2.375</v>
      </c>
      <c r="AA219" s="69">
        <f t="shared" si="97"/>
        <v>5.0399999999999778E-2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98"/>
        <v>60-11</v>
      </c>
      <c r="AE219" s="94" t="str">
        <f t="shared" si="99"/>
        <v>aws s3 cp s3://rtdc.mdm.uploadarchive.raw/RTDC4028/ "%USERPROFILE%\AppData\Local\Temp\OnboardLogs"\RTDC4028\1969-12-31 --exclude "*" --recursive --include "*19691231*" &amp; "%USERPROFILE%\Documents\GitHub\mrs-test-scripts\Headless Mode &amp; Sideloading\WalkAndUnGZ.bat" "%USERPROFILE%\AppData\Local\Temp\OnboardLogs"\RTDC4028\1969-12-31 &amp; aws s3 cp s3://rtdc.mdm.uploadarchive.raw/RTDC4028/ "%USERPROFILE%\AppData\Local\Temp\OnboardLogs"\RTDC4028\1970-01-01 --exclude "*" --recursive --include "*19700101*" &amp; "%USERPROFILE%\Documents\GitHub\mrs-test-scripts\Headless Mode &amp; Sideloading\WalkAndUnGZ.bat" "%USERPROFILE%\AppData\Local\Temp\OnboardLogs"\RTDC4028\1970-01-01</v>
      </c>
      <c r="AF219" s="91" t="str">
        <f t="shared" si="100"/>
        <v>"C:\Program Files (x86)\AstroGrep\AstroGrep.exe" /spath="%USERPROFILE%\AppData\Local\Temp\OnboardLogs" /stypes="app*4028*19691231*" /stext=" 23:.+((SYSTEM_STATE.+slice.+state.+changed )|(ment ac)|(system.+state.+changed )|(\[timeout)|(PRM\|1\|D)|(kpr)|(kdp)|(\|lc)|(penalty))" /e /r /s</v>
      </c>
      <c r="AG219" s="1" t="str">
        <f t="shared" si="101"/>
        <v>Other</v>
      </c>
      <c r="AH219" s="95" t="str">
        <f t="shared" si="102"/>
        <v>"%USERPROFILE%\Documents\GitHub\eaglep3\Utilities\RefineRTDCRunTimes.py" --tripid 60-11 --locoid 4028 --swversion DE.1.0.7.0 --startMP 300:24254 --initTime 2016-10-11T17:37:41 --startdatetime 1969-12-31T17:00:00 --delay 7 --endMP 300:23750 --enddatetime 1969-12-31T17:00:00 --enforcementcount 0 &gt;&gt;C:\Users\stu\Documents\GitHub\eaglep3-reporting\EC\2016-10-11-refined-times.txt</v>
      </c>
      <c r="AI219" s="129" t="str">
        <f t="shared" si="103"/>
        <v>echo {"issue":{"subject":"","project_id":79,"tracker_id":40,"status_id":1,"priority_id":2,"assigned_to_id":23,"start_date":"1969-12-31","description":"","custom_fields":[{"id":1,"name":"Subdivision","value":"Other"},{"id":4,"name":"Milepost","value":"2.375"},{"id":17,"name":"Train ID","value":"60-11"},{"id":16,"name":"Locomotive ID","value":"4028"},{"id":130,"name":"Impact","value":""},{"id":150,"name":"Time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625</v>
      </c>
      <c r="B220" s="7">
        <v>4027</v>
      </c>
      <c r="C220" s="24" t="s">
        <v>106</v>
      </c>
      <c r="D220" s="24" t="s">
        <v>733</v>
      </c>
      <c r="E220" s="15">
        <v>42654.760636574072</v>
      </c>
      <c r="F220" s="15">
        <v>25568.708333333332</v>
      </c>
      <c r="G220" s="7">
        <v>5</v>
      </c>
      <c r="H220" s="15" t="s">
        <v>734</v>
      </c>
      <c r="I220" s="15">
        <v>25568.708333333332</v>
      </c>
      <c r="J220" s="7">
        <v>0</v>
      </c>
      <c r="K220" s="116" t="str">
        <f t="shared" si="92"/>
        <v>4027/4028</v>
      </c>
      <c r="L220" s="24" t="str">
        <f>VLOOKUP(A220,'Trips&amp;Operators'!$C$1:$E$10000,3,FALSE)</f>
        <v>STEWART</v>
      </c>
      <c r="M220" s="6">
        <f t="shared" si="93"/>
        <v>0</v>
      </c>
      <c r="N220" s="7">
        <f t="shared" si="91"/>
        <v>0</v>
      </c>
      <c r="O220" s="7"/>
      <c r="P220" s="7"/>
      <c r="Q220" s="25"/>
      <c r="R220" s="25"/>
      <c r="S220" s="37">
        <f t="shared" si="90"/>
        <v>0</v>
      </c>
      <c r="T220" s="52" t="e">
        <f t="shared" si="94"/>
        <v>#VALUE!</v>
      </c>
      <c r="U220" s="15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1" t="str">
        <f t="shared" si="95"/>
        <v>https://search-rtdc-monitor-bjffxe2xuh6vdkpspy63sjmuny.us-east-1.es.amazonaws.com/_plugin/kibana/#/discover/Steve-Slow-Train-Analysis-(2080s-and-2083s)?_g=(refreshInterval:(display:Off,section:0,value:0),time:(from:'2016-10-11 17:15:19-0600',mode:absolute,to:'1969-12-31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0" s="54" t="str">
        <f t="shared" si="96"/>
        <v>Y</v>
      </c>
      <c r="X220" s="163" t="e">
        <f t="shared" si="89"/>
        <v>#VALUE!</v>
      </c>
      <c r="Y220" s="69">
        <f t="shared" si="87"/>
        <v>3.6499999999999998E-2</v>
      </c>
      <c r="Z220" s="69">
        <f t="shared" si="88"/>
        <v>2.4214000000000002</v>
      </c>
      <c r="AA220" s="69">
        <f t="shared" si="97"/>
        <v>2.3849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98"/>
        <v>61-11</v>
      </c>
      <c r="AE220" s="94" t="str">
        <f t="shared" si="99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0" s="91" t="str">
        <f t="shared" si="100"/>
        <v>"C:\Program Files (x86)\AstroGrep\AstroGrep.exe" /spath="%USERPROFILE%\AppData\Local\Temp\OnboardLogs" /stypes="app*4027*19691231*" /stext=" 23:.+((SYSTEM_STATE.+slice.+state.+changed )|(ment ac)|(system.+state.+changed )|(\[timeout)|(PRM\|1\|D)|(kpr)|(kdp)|(\|lc)|(penalty))" /e /r /s</v>
      </c>
      <c r="AG220" s="1" t="str">
        <f t="shared" si="101"/>
        <v>Other</v>
      </c>
      <c r="AH220" s="95" t="str">
        <f t="shared" si="102"/>
        <v>"%USERPROFILE%\Documents\GitHub\eaglep3\Utilities\RefineRTDCRunTimes.py" --tripid 61-11 --locoid 4027 --swversion DE.1.0.7.0 --startMP 204:365 --initTime 2016-10-11T18:15:19 --startdatetime 1969-12-31T17:00:00 --delay 5 --endMP 300:24214 --enddatetime 1969-12-31T17:00:00 --enforcementcount 0 &gt;&gt;C:\Users\stu\Documents\GitHub\eaglep3-reporting\EC\2016-10-11-refined-times.txt</v>
      </c>
      <c r="AI220" s="129" t="str">
        <f t="shared" si="103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ID","value":"61-11"},{"id":16,"name":"Locomotive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16"/>
      <c r="L221" s="24"/>
      <c r="M221" s="6"/>
      <c r="N221" s="7"/>
      <c r="O221" s="7"/>
      <c r="P221" s="7"/>
      <c r="Q221" s="25"/>
      <c r="R221" s="25"/>
      <c r="S221" s="37"/>
      <c r="T221" s="52"/>
      <c r="U221" s="158"/>
      <c r="V221" s="101"/>
      <c r="W221" s="54"/>
      <c r="X221" s="163"/>
      <c r="Y221" s="69"/>
      <c r="Z221" s="69"/>
      <c r="AA221" s="69"/>
      <c r="AB221" s="66"/>
      <c r="AC221" s="62"/>
      <c r="AD221" s="63"/>
      <c r="AE221" s="94"/>
      <c r="AF221" s="91"/>
      <c r="AG221" s="1"/>
      <c r="AI221" s="12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16"/>
      <c r="L222" s="24"/>
      <c r="M222" s="6"/>
      <c r="N222" s="7"/>
      <c r="O222" s="7"/>
      <c r="P222" s="7"/>
      <c r="Q222" s="25"/>
      <c r="R222" s="25"/>
      <c r="S222" s="37"/>
      <c r="T222" s="52"/>
      <c r="U222" s="158"/>
      <c r="V222" s="101"/>
      <c r="W222" s="54"/>
      <c r="X222" s="163"/>
      <c r="Y222" s="69"/>
      <c r="Z222" s="69"/>
      <c r="AA222" s="69"/>
      <c r="AB222" s="66"/>
      <c r="AC222" s="62"/>
      <c r="AD222" s="63"/>
      <c r="AE222" s="94"/>
      <c r="AF222" s="91"/>
      <c r="AG222" s="1"/>
      <c r="AI222" s="12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16"/>
      <c r="L223" s="24"/>
      <c r="M223" s="6"/>
      <c r="N223" s="7"/>
      <c r="O223" s="7"/>
      <c r="P223" s="7"/>
      <c r="Q223" s="25"/>
      <c r="R223" s="25"/>
      <c r="S223" s="37"/>
      <c r="T223" s="52"/>
      <c r="U223" s="158"/>
      <c r="V223" s="101"/>
      <c r="W223" s="54"/>
      <c r="X223" s="163"/>
      <c r="Y223" s="69"/>
      <c r="Z223" s="69"/>
      <c r="AA223" s="69"/>
      <c r="AB223" s="66"/>
      <c r="AC223" s="62"/>
      <c r="AD223" s="63"/>
      <c r="AE223" s="94"/>
      <c r="AF223" s="91"/>
      <c r="AG223" s="1"/>
      <c r="AI223" s="12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16"/>
      <c r="L224" s="24"/>
      <c r="M224" s="6"/>
      <c r="N224" s="7"/>
      <c r="O224" s="7"/>
      <c r="P224" s="7"/>
      <c r="Q224" s="25"/>
      <c r="R224" s="25"/>
      <c r="S224" s="37"/>
      <c r="T224" s="52"/>
      <c r="U224" s="158"/>
      <c r="V224" s="101"/>
      <c r="W224" s="54"/>
      <c r="X224" s="163"/>
      <c r="Y224" s="69"/>
      <c r="Z224" s="69"/>
      <c r="AA224" s="69"/>
      <c r="AB224" s="66"/>
      <c r="AC224" s="62"/>
      <c r="AD224" s="63"/>
      <c r="AE224" s="94"/>
      <c r="AF224" s="91"/>
      <c r="AG224" s="1"/>
      <c r="AI224" s="12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16"/>
      <c r="L225" s="24"/>
      <c r="M225" s="6"/>
      <c r="N225" s="7"/>
      <c r="O225" s="7"/>
      <c r="P225" s="7"/>
      <c r="Q225" s="25"/>
      <c r="R225" s="25"/>
      <c r="S225" s="37"/>
      <c r="T225" s="52"/>
      <c r="U225" s="158"/>
      <c r="V225" s="101"/>
      <c r="W225" s="54"/>
      <c r="X225" s="163"/>
      <c r="Y225" s="69"/>
      <c r="Z225" s="69"/>
      <c r="AA225" s="69"/>
      <c r="AB225" s="66"/>
      <c r="AC225" s="62"/>
      <c r="AD225" s="63"/>
      <c r="AE225" s="94"/>
      <c r="AF225" s="91"/>
      <c r="AG225" s="1"/>
      <c r="AI225" s="12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16"/>
      <c r="L226" s="24"/>
      <c r="M226" s="6"/>
      <c r="N226" s="7"/>
      <c r="O226" s="7"/>
      <c r="P226" s="7"/>
      <c r="Q226" s="25"/>
      <c r="R226" s="25"/>
      <c r="S226" s="37"/>
      <c r="T226" s="52"/>
      <c r="U226" s="158"/>
      <c r="V226" s="101"/>
      <c r="W226" s="54"/>
      <c r="X226" s="163"/>
      <c r="Y226" s="69"/>
      <c r="Z226" s="69"/>
      <c r="AA226" s="69"/>
      <c r="AB226" s="66"/>
      <c r="AC226" s="62"/>
      <c r="AD226" s="63"/>
      <c r="AE226" s="94"/>
      <c r="AF226" s="91"/>
      <c r="AG226" s="1"/>
      <c r="AI226" s="129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6"/>
      <c r="L227" s="24"/>
      <c r="M227" s="6"/>
      <c r="N227" s="7"/>
      <c r="O227" s="7"/>
      <c r="P227" s="7"/>
      <c r="Q227" s="25"/>
      <c r="R227" s="25"/>
      <c r="S227" s="37"/>
      <c r="T227" s="52"/>
      <c r="U227" s="158"/>
      <c r="V227" s="101"/>
      <c r="W227" s="54"/>
      <c r="X227" s="163"/>
      <c r="Y227" s="69"/>
      <c r="Z227" s="69"/>
      <c r="AA227" s="69"/>
      <c r="AB227" s="66"/>
      <c r="AC227" s="62"/>
      <c r="AD227" s="63"/>
      <c r="AE227" s="94"/>
      <c r="AF227" s="91"/>
      <c r="AG227" s="1"/>
      <c r="AI227" s="12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6"/>
      <c r="L228" s="24"/>
      <c r="M228" s="6"/>
      <c r="N228" s="7"/>
      <c r="O228" s="7"/>
      <c r="P228" s="7"/>
      <c r="Q228" s="25"/>
      <c r="R228" s="25"/>
      <c r="S228" s="37"/>
      <c r="T228" s="52"/>
      <c r="U228" s="158"/>
      <c r="V228" s="101"/>
      <c r="W228" s="54"/>
      <c r="X228" s="163"/>
      <c r="Y228" s="69"/>
      <c r="Z228" s="69"/>
      <c r="AA228" s="69"/>
      <c r="AB228" s="66"/>
      <c r="AC228" s="62"/>
      <c r="AD228" s="63"/>
      <c r="AE228" s="94"/>
      <c r="AF228" s="91"/>
      <c r="AG228" s="1"/>
      <c r="AI228" s="12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6"/>
      <c r="L229" s="24"/>
      <c r="M229" s="6"/>
      <c r="N229" s="7"/>
      <c r="O229" s="7"/>
      <c r="P229" s="7"/>
      <c r="Q229" s="25"/>
      <c r="R229" s="25"/>
      <c r="S229" s="37"/>
      <c r="T229" s="52"/>
      <c r="U229" s="158"/>
      <c r="V229" s="101"/>
      <c r="W229" s="54"/>
      <c r="X229" s="163"/>
      <c r="Y229" s="69"/>
      <c r="Z229" s="69"/>
      <c r="AA229" s="69"/>
      <c r="AB229" s="66"/>
      <c r="AC229" s="62"/>
      <c r="AD229" s="63"/>
      <c r="AE229" s="94"/>
      <c r="AF229" s="91"/>
      <c r="AG229" s="1"/>
      <c r="AI229" s="12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6"/>
      <c r="L230" s="24"/>
      <c r="M230" s="6"/>
      <c r="N230" s="7"/>
      <c r="O230" s="7"/>
      <c r="P230" s="7"/>
      <c r="Q230" s="25"/>
      <c r="R230" s="25"/>
      <c r="S230" s="37"/>
      <c r="T230" s="52"/>
      <c r="U230" s="158"/>
      <c r="V230" s="101"/>
      <c r="W230" s="54"/>
      <c r="X230" s="163"/>
      <c r="Y230" s="69"/>
      <c r="Z230" s="69"/>
      <c r="AA230" s="69"/>
      <c r="AB230" s="66"/>
      <c r="AC230" s="62"/>
      <c r="AD230" s="63"/>
      <c r="AE230" s="94"/>
      <c r="AF230" s="91"/>
      <c r="AG230" s="1"/>
      <c r="AI230" s="12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6"/>
      <c r="L231" s="24"/>
      <c r="M231" s="6"/>
      <c r="N231" s="7"/>
      <c r="O231" s="7"/>
      <c r="P231" s="7"/>
      <c r="Q231" s="25"/>
      <c r="R231" s="25"/>
      <c r="S231" s="37"/>
      <c r="T231" s="52"/>
      <c r="U231" s="158"/>
      <c r="V231" s="101"/>
      <c r="W231" s="54"/>
      <c r="X231" s="163"/>
      <c r="Y231" s="69"/>
      <c r="Z231" s="69"/>
      <c r="AA231" s="69"/>
      <c r="AB231" s="66"/>
      <c r="AC231" s="62"/>
      <c r="AD231" s="63"/>
      <c r="AE231" s="94"/>
      <c r="AF231" s="91"/>
      <c r="AG231" s="1"/>
      <c r="AI231" s="12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6"/>
      <c r="L232" s="24"/>
      <c r="M232" s="6"/>
      <c r="N232" s="7"/>
      <c r="O232" s="7"/>
      <c r="P232" s="7"/>
      <c r="Q232" s="25"/>
      <c r="R232" s="25"/>
      <c r="S232" s="37"/>
      <c r="T232" s="52"/>
      <c r="U232" s="158"/>
      <c r="V232" s="101"/>
      <c r="W232" s="54"/>
      <c r="X232" s="163"/>
      <c r="Y232" s="69"/>
      <c r="Z232" s="69"/>
      <c r="AA232" s="69"/>
      <c r="AB232" s="66"/>
      <c r="AC232" s="62"/>
      <c r="AD232" s="63"/>
      <c r="AE232" s="94"/>
      <c r="AF232" s="91"/>
      <c r="AG232" s="1"/>
      <c r="AI232" s="12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6"/>
      <c r="L233" s="24"/>
      <c r="M233" s="6"/>
      <c r="N233" s="7"/>
      <c r="O233" s="7"/>
      <c r="P233" s="7"/>
      <c r="Q233" s="25"/>
      <c r="R233" s="25"/>
      <c r="S233" s="37"/>
      <c r="T233" s="52"/>
      <c r="U233" s="158"/>
      <c r="V233" s="101"/>
      <c r="W233" s="54"/>
      <c r="X233" s="163"/>
      <c r="Y233" s="69"/>
      <c r="Z233" s="69"/>
      <c r="AA233" s="69"/>
      <c r="AB233" s="66"/>
      <c r="AC233" s="62"/>
      <c r="AD233" s="63"/>
      <c r="AE233" s="94"/>
      <c r="AF233" s="91"/>
      <c r="AG233" s="1"/>
      <c r="AI233" s="12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6"/>
      <c r="L234" s="24"/>
      <c r="M234" s="6"/>
      <c r="N234" s="7"/>
      <c r="O234" s="7"/>
      <c r="P234" s="7"/>
      <c r="Q234" s="25"/>
      <c r="R234" s="25"/>
      <c r="S234" s="37"/>
      <c r="T234" s="52"/>
      <c r="U234" s="158"/>
      <c r="V234" s="101"/>
      <c r="W234" s="54"/>
      <c r="X234" s="163"/>
      <c r="Y234" s="69"/>
      <c r="Z234" s="69"/>
      <c r="AA234" s="69"/>
      <c r="AB234" s="66"/>
      <c r="AC234" s="62"/>
      <c r="AD234" s="63"/>
      <c r="AE234" s="94"/>
      <c r="AF234" s="91"/>
      <c r="AG234" s="1"/>
      <c r="AI234" s="12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6"/>
      <c r="L235" s="24"/>
      <c r="M235" s="6"/>
      <c r="N235" s="7"/>
      <c r="O235" s="7"/>
      <c r="P235" s="7"/>
      <c r="Q235" s="25"/>
      <c r="R235" s="25"/>
      <c r="S235" s="37"/>
      <c r="T235" s="52"/>
      <c r="U235" s="158"/>
      <c r="V235" s="101"/>
      <c r="W235" s="54"/>
      <c r="X235" s="163"/>
      <c r="Y235" s="69"/>
      <c r="Z235" s="69"/>
      <c r="AA235" s="69"/>
      <c r="AB235" s="66"/>
      <c r="AC235" s="62"/>
      <c r="AD235" s="63"/>
      <c r="AE235" s="94"/>
      <c r="AF235" s="91"/>
      <c r="AG235" s="1"/>
      <c r="AI235" s="12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6"/>
      <c r="L236" s="24"/>
      <c r="M236" s="6"/>
      <c r="N236" s="7"/>
      <c r="O236" s="7"/>
      <c r="P236" s="7"/>
      <c r="Q236" s="25"/>
      <c r="R236" s="25"/>
      <c r="S236" s="37"/>
      <c r="T236" s="52"/>
      <c r="U236" s="158"/>
      <c r="V236" s="101"/>
      <c r="W236" s="54"/>
      <c r="X236" s="163"/>
      <c r="Y236" s="69"/>
      <c r="Z236" s="69"/>
      <c r="AA236" s="69"/>
      <c r="AB236" s="66"/>
      <c r="AC236" s="62"/>
      <c r="AD236" s="63"/>
      <c r="AE236" s="94"/>
      <c r="AF236" s="91"/>
      <c r="AG236" s="1"/>
      <c r="AI236" s="12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6"/>
      <c r="L237" s="24"/>
      <c r="M237" s="6"/>
      <c r="N237" s="7"/>
      <c r="O237" s="7"/>
      <c r="P237" s="7"/>
      <c r="Q237" s="25"/>
      <c r="R237" s="25"/>
      <c r="S237" s="37"/>
      <c r="T237" s="52"/>
      <c r="U237" s="158"/>
      <c r="V237" s="101"/>
      <c r="W237" s="54"/>
      <c r="X237" s="163"/>
      <c r="Y237" s="69"/>
      <c r="Z237" s="69"/>
      <c r="AA237" s="69"/>
      <c r="AB237" s="66"/>
      <c r="AC237" s="62"/>
      <c r="AD237" s="63"/>
      <c r="AE237" s="94"/>
      <c r="AF237" s="91"/>
      <c r="AG237" s="1"/>
      <c r="AI237" s="12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6"/>
      <c r="L238" s="24"/>
      <c r="M238" s="6"/>
      <c r="N238" s="7"/>
      <c r="O238" s="7"/>
      <c r="P238" s="7"/>
      <c r="Q238" s="25"/>
      <c r="R238" s="25"/>
      <c r="S238" s="37"/>
      <c r="T238" s="52"/>
      <c r="U238" s="158"/>
      <c r="V238" s="101"/>
      <c r="W238" s="54"/>
      <c r="X238" s="163"/>
      <c r="Y238" s="69"/>
      <c r="Z238" s="69"/>
      <c r="AA238" s="69"/>
      <c r="AB238" s="66"/>
      <c r="AC238" s="62"/>
      <c r="AD238" s="63"/>
      <c r="AE238" s="94"/>
      <c r="AF238" s="91"/>
      <c r="AG238" s="1"/>
      <c r="AI238" s="12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6"/>
      <c r="L239" s="24"/>
      <c r="M239" s="6"/>
      <c r="N239" s="7"/>
      <c r="O239" s="7"/>
      <c r="P239" s="7"/>
      <c r="Q239" s="25"/>
      <c r="R239" s="25"/>
      <c r="S239" s="37"/>
      <c r="T239" s="52"/>
      <c r="U239" s="158"/>
      <c r="V239" s="101"/>
      <c r="W239" s="54"/>
      <c r="X239" s="163"/>
      <c r="Y239" s="69"/>
      <c r="Z239" s="69"/>
      <c r="AA239" s="69"/>
      <c r="AB239" s="66"/>
      <c r="AC239" s="62"/>
      <c r="AD239" s="63"/>
      <c r="AE239" s="94"/>
      <c r="AF239" s="91"/>
      <c r="AG239" s="1"/>
      <c r="AI239" s="129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6"/>
      <c r="L240" s="24"/>
      <c r="M240" s="6"/>
      <c r="N240" s="7"/>
      <c r="O240" s="7"/>
      <c r="P240" s="7"/>
      <c r="Q240" s="25"/>
      <c r="R240" s="25"/>
      <c r="S240" s="37"/>
      <c r="T240" s="52"/>
      <c r="U240" s="158"/>
      <c r="V240" s="101"/>
      <c r="W240" s="54"/>
      <c r="X240" s="163"/>
      <c r="Y240" s="69"/>
      <c r="Z240" s="69"/>
      <c r="AA240" s="69"/>
      <c r="AB240" s="66"/>
      <c r="AC240" s="62"/>
      <c r="AD240" s="63"/>
      <c r="AE240" s="94"/>
      <c r="AF240" s="91"/>
      <c r="AG240" s="1"/>
      <c r="AI240" s="129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6"/>
      <c r="L241" s="24"/>
      <c r="M241" s="6"/>
      <c r="N241" s="7"/>
      <c r="O241" s="7"/>
      <c r="P241" s="7"/>
      <c r="Q241" s="25"/>
      <c r="R241" s="25"/>
      <c r="S241" s="37"/>
      <c r="T241" s="52"/>
      <c r="U241" s="158"/>
      <c r="V241" s="101"/>
      <c r="W241" s="54"/>
      <c r="X241" s="163"/>
      <c r="Y241" s="69"/>
      <c r="Z241" s="69"/>
      <c r="AA241" s="69"/>
      <c r="AB241" s="66"/>
      <c r="AC241" s="62"/>
      <c r="AD241" s="63"/>
      <c r="AE241" s="94"/>
      <c r="AF241" s="91"/>
      <c r="AG241" s="1"/>
      <c r="AI241" s="129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6"/>
      <c r="L242" s="24"/>
      <c r="M242" s="6"/>
      <c r="N242" s="7"/>
      <c r="O242" s="7"/>
      <c r="P242" s="7"/>
      <c r="Q242" s="25"/>
      <c r="R242" s="25"/>
      <c r="S242" s="37"/>
      <c r="T242" s="52"/>
      <c r="U242" s="158"/>
      <c r="V242" s="101"/>
      <c r="W242" s="54"/>
      <c r="X242" s="163"/>
      <c r="Y242" s="69"/>
      <c r="Z242" s="69"/>
      <c r="AA242" s="69"/>
      <c r="AB242" s="66"/>
      <c r="AC242" s="62"/>
      <c r="AD242" s="63"/>
      <c r="AE242" s="94"/>
      <c r="AF242" s="91"/>
      <c r="AG242" s="1"/>
      <c r="AI242" s="129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6"/>
      <c r="L243" s="24"/>
      <c r="M243" s="6"/>
      <c r="N243" s="7"/>
      <c r="O243" s="7"/>
      <c r="P243" s="7"/>
      <c r="Q243" s="25"/>
      <c r="R243" s="25"/>
      <c r="S243" s="37"/>
      <c r="T243" s="52"/>
      <c r="U243" s="158"/>
      <c r="V243" s="101"/>
      <c r="W243" s="54"/>
      <c r="X243" s="163"/>
      <c r="Y243" s="69"/>
      <c r="Z243" s="69"/>
      <c r="AA243" s="69"/>
      <c r="AB243" s="66"/>
      <c r="AC243" s="62"/>
      <c r="AD243" s="63"/>
      <c r="AE243" s="94"/>
      <c r="AF243" s="91"/>
      <c r="AG243" s="1"/>
      <c r="AI243" s="129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6"/>
      <c r="L244" s="24"/>
      <c r="M244" s="6"/>
      <c r="N244" s="7"/>
      <c r="O244" s="7"/>
      <c r="P244" s="7"/>
      <c r="Q244" s="25"/>
      <c r="R244" s="25"/>
      <c r="S244" s="37"/>
      <c r="T244" s="52"/>
      <c r="U244" s="158"/>
      <c r="V244" s="101"/>
      <c r="W244" s="54"/>
      <c r="X244" s="163"/>
      <c r="Y244" s="69"/>
      <c r="Z244" s="69"/>
      <c r="AA244" s="69"/>
      <c r="AB244" s="66"/>
      <c r="AC244" s="62"/>
      <c r="AD244" s="63"/>
      <c r="AE244" s="94"/>
      <c r="AF244" s="91"/>
      <c r="AG244" s="1"/>
      <c r="AI244" s="129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6"/>
      <c r="L245" s="24"/>
      <c r="M245" s="6"/>
      <c r="N245" s="7"/>
      <c r="O245" s="7"/>
      <c r="P245" s="7"/>
      <c r="Q245" s="25"/>
      <c r="R245" s="25"/>
      <c r="S245" s="37"/>
      <c r="T245" s="52"/>
      <c r="U245" s="158"/>
      <c r="V245" s="101"/>
      <c r="W245" s="54"/>
      <c r="X245" s="163"/>
      <c r="Y245" s="69"/>
      <c r="Z245" s="69"/>
      <c r="AA245" s="69"/>
      <c r="AB245" s="66"/>
      <c r="AC245" s="62"/>
      <c r="AD245" s="63"/>
      <c r="AE245" s="94"/>
      <c r="AF245" s="91"/>
      <c r="AG245" s="1"/>
      <c r="AI245" s="129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6"/>
      <c r="L246" s="24"/>
      <c r="M246" s="6"/>
      <c r="N246" s="7"/>
      <c r="O246" s="7"/>
      <c r="P246" s="7"/>
      <c r="Q246" s="25"/>
      <c r="R246" s="25"/>
      <c r="S246" s="37"/>
      <c r="T246" s="52"/>
      <c r="U246" s="158"/>
      <c r="V246" s="101"/>
      <c r="W246" s="54"/>
      <c r="X246" s="163"/>
      <c r="Y246" s="69"/>
      <c r="Z246" s="69"/>
      <c r="AA246" s="69"/>
      <c r="AB246" s="66"/>
      <c r="AC246" s="62"/>
      <c r="AD246" s="63"/>
      <c r="AE246" s="94"/>
      <c r="AF246" s="91"/>
      <c r="AG246" s="1"/>
      <c r="AI246" s="129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6"/>
      <c r="L247" s="24"/>
      <c r="M247" s="6"/>
      <c r="N247" s="7"/>
      <c r="O247" s="7"/>
      <c r="P247" s="7"/>
      <c r="Q247" s="25"/>
      <c r="R247" s="25"/>
      <c r="S247" s="37"/>
      <c r="T247" s="52"/>
      <c r="U247" s="158"/>
      <c r="V247" s="101"/>
      <c r="W247" s="54"/>
      <c r="X247" s="163"/>
      <c r="Y247" s="69"/>
      <c r="Z247" s="69"/>
      <c r="AA247" s="69"/>
      <c r="AB247" s="66"/>
      <c r="AC247" s="62"/>
      <c r="AD247" s="63"/>
      <c r="AE247" s="94"/>
      <c r="AF247" s="91"/>
      <c r="AG247" s="1"/>
      <c r="AI247" s="129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6"/>
      <c r="L248" s="24"/>
      <c r="M248" s="6"/>
      <c r="N248" s="7"/>
      <c r="O248" s="7"/>
      <c r="P248" s="7"/>
      <c r="Q248" s="25"/>
      <c r="R248" s="25"/>
      <c r="S248" s="37"/>
      <c r="T248" s="52"/>
      <c r="U248" s="158"/>
      <c r="V248" s="101"/>
      <c r="W248" s="54"/>
      <c r="X248" s="163"/>
      <c r="Y248" s="69"/>
      <c r="Z248" s="69"/>
      <c r="AA248" s="69"/>
      <c r="AB248" s="66"/>
      <c r="AC248" s="62"/>
      <c r="AD248" s="63"/>
      <c r="AE248" s="94"/>
      <c r="AF248" s="91"/>
      <c r="AG248" s="1"/>
      <c r="AI248" s="129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6"/>
      <c r="L249" s="24"/>
      <c r="M249" s="6"/>
      <c r="N249" s="7"/>
      <c r="O249" s="7"/>
      <c r="P249" s="7"/>
      <c r="Q249" s="25"/>
      <c r="R249" s="25"/>
      <c r="S249" s="37"/>
      <c r="T249" s="52"/>
      <c r="U249" s="158"/>
      <c r="V249" s="101"/>
      <c r="W249" s="54"/>
      <c r="X249" s="163"/>
      <c r="Y249" s="69"/>
      <c r="Z249" s="69"/>
      <c r="AA249" s="69"/>
      <c r="AB249" s="66"/>
      <c r="AC249" s="62"/>
      <c r="AD249" s="63"/>
      <c r="AE249" s="94"/>
      <c r="AF249" s="91"/>
      <c r="AG249" s="1"/>
      <c r="AI249" s="129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6"/>
      <c r="L250" s="24"/>
      <c r="M250" s="6"/>
      <c r="N250" s="7"/>
      <c r="O250" s="7"/>
      <c r="P250" s="7"/>
      <c r="Q250" s="25"/>
      <c r="R250" s="25"/>
      <c r="S250" s="37"/>
      <c r="T250" s="52"/>
      <c r="U250" s="158"/>
      <c r="V250" s="101"/>
      <c r="W250" s="54"/>
      <c r="X250" s="163"/>
      <c r="Y250" s="69"/>
      <c r="Z250" s="69"/>
      <c r="AA250" s="69"/>
      <c r="AB250" s="66"/>
      <c r="AC250" s="62"/>
      <c r="AD250" s="63"/>
      <c r="AE250" s="94"/>
      <c r="AF250" s="91"/>
      <c r="AG250" s="1"/>
      <c r="AI250" s="129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6"/>
      <c r="L251" s="24"/>
      <c r="M251" s="6"/>
      <c r="N251" s="7"/>
      <c r="O251" s="7"/>
      <c r="P251" s="7"/>
      <c r="Q251" s="25"/>
      <c r="R251" s="25"/>
      <c r="S251" s="37"/>
      <c r="T251" s="52"/>
      <c r="U251" s="158"/>
      <c r="V251" s="101"/>
      <c r="W251" s="54"/>
      <c r="X251" s="163"/>
      <c r="Y251" s="69"/>
      <c r="Z251" s="69"/>
      <c r="AA251" s="69"/>
      <c r="AB251" s="66"/>
      <c r="AC251" s="62"/>
      <c r="AD251" s="63"/>
      <c r="AE251" s="94"/>
      <c r="AF251" s="91"/>
      <c r="AG251" s="1"/>
      <c r="AI251" s="129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6"/>
      <c r="L252" s="24"/>
      <c r="M252" s="6"/>
      <c r="N252" s="7"/>
      <c r="O252" s="7"/>
      <c r="P252" s="7"/>
      <c r="Q252" s="25"/>
      <c r="R252" s="25"/>
      <c r="S252" s="37"/>
      <c r="T252" s="52"/>
      <c r="U252" s="158"/>
      <c r="V252" s="101"/>
      <c r="W252" s="54"/>
      <c r="X252" s="163"/>
      <c r="Y252" s="69"/>
      <c r="Z252" s="69"/>
      <c r="AA252" s="69"/>
      <c r="AB252" s="66"/>
      <c r="AC252" s="62"/>
      <c r="AD252" s="63"/>
      <c r="AE252" s="94"/>
      <c r="AF252" s="91"/>
      <c r="AG252" s="1"/>
      <c r="AI252" s="129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6"/>
      <c r="L253" s="24"/>
      <c r="M253" s="6"/>
      <c r="N253" s="7"/>
      <c r="O253" s="7"/>
      <c r="P253" s="7"/>
      <c r="Q253" s="25"/>
      <c r="R253" s="25"/>
      <c r="S253" s="37"/>
      <c r="T253" s="52"/>
      <c r="U253" s="158"/>
      <c r="V253" s="101"/>
      <c r="W253" s="54"/>
      <c r="X253" s="163"/>
      <c r="Y253" s="69"/>
      <c r="Z253" s="69"/>
      <c r="AA253" s="69"/>
      <c r="AB253" s="66"/>
      <c r="AC253" s="62"/>
      <c r="AD253" s="63"/>
      <c r="AE253" s="94"/>
      <c r="AF253" s="91"/>
      <c r="AG253" s="1"/>
      <c r="AI253" s="129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6"/>
      <c r="L254" s="24"/>
      <c r="M254" s="6"/>
      <c r="N254" s="7"/>
      <c r="O254" s="7"/>
      <c r="P254" s="7"/>
      <c r="Q254" s="25"/>
      <c r="R254" s="25"/>
      <c r="S254" s="37"/>
      <c r="T254" s="52"/>
      <c r="U254" s="158"/>
      <c r="V254" s="101"/>
      <c r="W254" s="54"/>
      <c r="X254" s="163"/>
      <c r="Y254" s="69"/>
      <c r="Z254" s="69"/>
      <c r="AA254" s="69"/>
      <c r="AB254" s="66"/>
      <c r="AC254" s="62"/>
      <c r="AD254" s="63"/>
      <c r="AE254" s="94"/>
      <c r="AF254" s="91"/>
      <c r="AG254" s="1"/>
      <c r="AI254" s="129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6"/>
      <c r="L255" s="24"/>
      <c r="M255" s="6"/>
      <c r="N255" s="7"/>
      <c r="O255" s="7"/>
      <c r="P255" s="7"/>
      <c r="Q255" s="25"/>
      <c r="R255" s="25"/>
      <c r="S255" s="37"/>
      <c r="T255" s="52"/>
      <c r="U255" s="158"/>
      <c r="V255" s="101"/>
      <c r="W255" s="54"/>
      <c r="X255" s="163"/>
      <c r="Y255" s="69"/>
      <c r="Z255" s="69"/>
      <c r="AA255" s="69"/>
      <c r="AB255" s="66"/>
      <c r="AC255" s="62"/>
      <c r="AD255" s="63"/>
      <c r="AE255" s="94"/>
      <c r="AF255" s="91"/>
      <c r="AG255" s="1"/>
      <c r="AI255" s="129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16"/>
      <c r="L256" s="24"/>
      <c r="M256" s="6"/>
      <c r="N256" s="7"/>
      <c r="O256" s="7"/>
      <c r="P256" s="7"/>
      <c r="Q256" s="25"/>
      <c r="R256" s="25"/>
      <c r="S256" s="37"/>
      <c r="T256" s="52"/>
      <c r="U256" s="158"/>
      <c r="V256" s="101"/>
      <c r="W256" s="54"/>
      <c r="X256" s="163"/>
      <c r="Y256" s="69"/>
      <c r="Z256" s="69"/>
      <c r="AA256" s="69"/>
      <c r="AB256" s="66"/>
      <c r="AC256" s="62"/>
      <c r="AD256" s="63"/>
      <c r="AE256" s="94"/>
      <c r="AF256" s="91"/>
      <c r="AG256" s="1"/>
      <c r="AI256" s="129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16"/>
      <c r="L257" s="24"/>
      <c r="M257" s="6"/>
      <c r="N257" s="7"/>
      <c r="O257" s="7"/>
      <c r="P257" s="7"/>
      <c r="Q257" s="25"/>
      <c r="R257" s="25"/>
      <c r="S257" s="37"/>
      <c r="T257" s="52"/>
      <c r="U257" s="158"/>
      <c r="V257" s="101"/>
      <c r="W257" s="54"/>
      <c r="X257" s="163"/>
      <c r="Y257" s="69"/>
      <c r="Z257" s="69"/>
      <c r="AA257" s="69"/>
      <c r="AB257" s="66"/>
      <c r="AC257" s="62"/>
      <c r="AD257" s="63"/>
      <c r="AE257" s="94"/>
      <c r="AF257" s="91"/>
      <c r="AG257" s="1"/>
      <c r="AI257" s="129"/>
      <c r="AJ257" s="55"/>
      <c r="AK257" s="55"/>
      <c r="AL257" s="55"/>
    </row>
  </sheetData>
  <autoFilter ref="A12:AG257"/>
  <sortState ref="A13:AH200">
    <sortCondition ref="AG13:AG200"/>
    <sortCondition ref="AD13:AD200"/>
  </sortState>
  <mergeCells count="1">
    <mergeCell ref="A11:P11"/>
  </mergeCells>
  <conditionalFormatting sqref="W11:W12 W13:X15 W17:W21 W22:X1048576">
    <cfRule type="cellIs" dxfId="23" priority="338" operator="equal">
      <formula>"Y"</formula>
    </cfRule>
  </conditionalFormatting>
  <conditionalFormatting sqref="X13:X15 X22:X1048576">
    <cfRule type="cellIs" dxfId="22" priority="321" operator="greaterThan">
      <formula>1</formula>
    </cfRule>
  </conditionalFormatting>
  <conditionalFormatting sqref="X12:X15 X22:X1048576">
    <cfRule type="cellIs" dxfId="21" priority="318" operator="equal">
      <formula>0</formula>
    </cfRule>
  </conditionalFormatting>
  <conditionalFormatting sqref="A13:S15 A17:S26 S27 S43 A28:S42 S16 A44:S257">
    <cfRule type="expression" dxfId="20" priority="312" stopIfTrue="1">
      <formula>$P13&gt;0</formula>
    </cfRule>
    <cfRule type="expression" dxfId="19" priority="313" stopIfTrue="1">
      <formula>$O13&gt;0</formula>
    </cfRule>
  </conditionalFormatting>
  <conditionalFormatting sqref="W16:X16 X17:X21">
    <cfRule type="cellIs" dxfId="18" priority="12" operator="equal">
      <formula>"Y"</formula>
    </cfRule>
  </conditionalFormatting>
  <conditionalFormatting sqref="X16:X21">
    <cfRule type="cellIs" dxfId="17" priority="11" operator="greaterThan">
      <formula>1</formula>
    </cfRule>
  </conditionalFormatting>
  <conditionalFormatting sqref="X16:X21">
    <cfRule type="cellIs" dxfId="16" priority="10" operator="equal">
      <formula>0</formula>
    </cfRule>
  </conditionalFormatting>
  <conditionalFormatting sqref="A16:R16">
    <cfRule type="expression" dxfId="15" priority="7" stopIfTrue="1">
      <formula>$P16&gt;0</formula>
    </cfRule>
    <cfRule type="expression" dxfId="14" priority="8" stopIfTrue="1">
      <formula>$O16&gt;0</formula>
    </cfRule>
  </conditionalFormatting>
  <conditionalFormatting sqref="A27:R27">
    <cfRule type="expression" dxfId="13" priority="4" stopIfTrue="1">
      <formula>$P27&gt;0</formula>
    </cfRule>
    <cfRule type="expression" dxfId="12" priority="5" stopIfTrue="1">
      <formula>$O27&gt;0</formula>
    </cfRule>
  </conditionalFormatting>
  <conditionalFormatting sqref="A43:R43">
    <cfRule type="expression" dxfId="11" priority="1" stopIfTrue="1">
      <formula>$P43&gt;0</formula>
    </cfRule>
    <cfRule type="expression" dxfId="10" priority="2" stopIfTrue="1">
      <formula>$O43&gt;0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4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A13:S15 A17:S26 S27 S43 A28:S42 S16 A44:S257</xm:sqref>
        </x14:conditionalFormatting>
        <x14:conditionalFormatting xmlns:xm="http://schemas.microsoft.com/office/excel/2006/main">
          <x14:cfRule type="expression" priority="9" stopIfTrue="1" id="{DAB58597-1FA5-4C7C-A3A8-62B066022EB4}">
            <xm:f>IF($AG16="EC",OR($N16&gt;'[Train Runs and Enforcements 2016-10-11b.xlsm]Variables'!#REF!,$N16&lt;'[Train Runs and Enforcements 2016-10-11b.xlsm]Variables'!#REF!),OR($N16&gt;'[Train Runs and Enforcements 2016-10-11b.xlsm]Variables'!#REF!,$N16&lt;'[Train Runs and Enforcements 2016-10-11b.xlsm]Variables'!#REF!))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A16:R16</xm:sqref>
        </x14:conditionalFormatting>
        <x14:conditionalFormatting xmlns:xm="http://schemas.microsoft.com/office/excel/2006/main">
          <x14:cfRule type="expression" priority="6" stopIfTrue="1" id="{9367A2F4-B2CC-4B22-9EA4-86487DCF21B2}">
            <xm:f>IF($AG27="EC",OR($N27&gt;'[Train Runs and Enforcements 2016-10-11b.xlsm]Variables'!#REF!,$N27&lt;'[Train Runs and Enforcements 2016-10-11b.xlsm]Variables'!#REF!),OR($N27&gt;'[Train Runs and Enforcements 2016-10-11b.xlsm]Variables'!#REF!,$N27&lt;'[Train Runs and Enforcements 2016-10-11b.xlsm]Variables'!#REF!))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A27:R27</xm:sqref>
        </x14:conditionalFormatting>
        <x14:conditionalFormatting xmlns:xm="http://schemas.microsoft.com/office/excel/2006/main">
          <x14:cfRule type="expression" priority="3" stopIfTrue="1" id="{4DCB2D4D-7CCF-4C5B-B89B-5D37A56ABEAE}">
            <xm:f>IF($AG43="EC",OR($N43&gt;'[Train Runs and Enforcements 2016-10-11b.xlsm]Variables'!#REF!,$N43&lt;'[Train Runs and Enforcements 2016-10-11b.xlsm]Variables'!#REF!),OR($N43&gt;'[Train Runs and Enforcements 2016-10-11b.xlsm]Variables'!#REF!,$N43&lt;'[Train Runs and Enforcements 2016-10-11b.xlsm]Variables'!#REF!))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A43:R43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'Redmine List Values'!$A$2:$A$7</xm:f>
          </x14:formula1>
          <xm:sqref>AK13:AK15 AK17:AK257</xm:sqref>
        </x14:dataValidation>
        <x14:dataValidation type="list" allowBlank="1" showInputMessage="1" showErrorMessage="1">
          <x14:formula1>
            <xm:f>'Redmine List Values'!$C$2:$C$20</xm:f>
          </x14:formula1>
          <xm:sqref>AL13:AL15 AL17:AL257</xm:sqref>
        </x14:dataValidation>
        <x14:dataValidation type="list" allowBlank="1" showInputMessage="1" showErrorMessage="1">
          <x14:formula1>
            <xm:f>'[2]Redmine List Values'!#REF!</xm:f>
          </x14:formula1>
          <xm:sqref>AL16</xm:sqref>
        </x14:dataValidation>
        <x14:dataValidation type="list" allowBlank="1" showInputMessage="1" showErrorMessage="1">
          <x14:formula1>
            <xm:f>'[2]Redmine List Values'!#REF!</xm:f>
          </x14:formula1>
          <xm:sqref>AK16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A2" sqref="A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1" customWidth="1"/>
    <col min="13" max="13" width="7.85546875" style="2" customWidth="1"/>
    <col min="14" max="14" width="11.85546875" style="30" customWidth="1"/>
    <col min="15" max="15" width="5.140625" style="156" customWidth="1"/>
    <col min="16" max="16" width="30.7109375" customWidth="1"/>
    <col min="17" max="17" width="5" hidden="1" customWidth="1"/>
    <col min="18" max="18" width="5.5703125" style="92" customWidth="1"/>
    <col min="19" max="19" width="5.5703125" style="104" customWidth="1"/>
    <col min="20" max="20" width="6" style="89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0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1"/>
      <c r="M1" s="2"/>
      <c r="N1" s="30"/>
      <c r="O1" s="156"/>
      <c r="R1" s="92"/>
      <c r="S1" s="104"/>
      <c r="T1" s="89"/>
      <c r="V1" s="50"/>
      <c r="AC1" s="170"/>
    </row>
    <row r="2" spans="1:29" s="23" customFormat="1" x14ac:dyDescent="0.25">
      <c r="A2" s="8"/>
      <c r="F2" s="2"/>
      <c r="G2" s="2"/>
      <c r="H2" s="2"/>
      <c r="I2" s="2"/>
      <c r="K2" s="2"/>
      <c r="L2" s="142" t="s">
        <v>87</v>
      </c>
      <c r="M2" s="146"/>
      <c r="N2" s="117"/>
      <c r="O2" s="166">
        <f>COUNTIF($O$7:$O$369,"=Y")</f>
        <v>7</v>
      </c>
      <c r="P2" s="118"/>
      <c r="R2" s="92"/>
      <c r="S2" s="104"/>
      <c r="T2" s="89"/>
      <c r="V2" s="50"/>
      <c r="AC2" s="171"/>
    </row>
    <row r="3" spans="1:29" s="23" customFormat="1" ht="15.75" thickBot="1" x14ac:dyDescent="0.3">
      <c r="A3" s="8"/>
      <c r="F3" s="2"/>
      <c r="G3" s="2"/>
      <c r="H3" s="2"/>
      <c r="I3" s="2"/>
      <c r="K3" s="2"/>
      <c r="L3" s="143" t="s">
        <v>88</v>
      </c>
      <c r="M3" s="147"/>
      <c r="N3" s="119"/>
      <c r="O3" s="167">
        <f>COUNTA($O$7:$O$369)-O2</f>
        <v>45</v>
      </c>
      <c r="P3" s="118"/>
      <c r="R3" s="92"/>
      <c r="S3" s="104"/>
      <c r="T3" s="89"/>
      <c r="V3" s="50"/>
      <c r="AC3" s="171"/>
    </row>
    <row r="4" spans="1:29" s="23" customFormat="1" x14ac:dyDescent="0.25">
      <c r="A4" s="8"/>
      <c r="F4" s="2"/>
      <c r="G4" s="2"/>
      <c r="H4" s="2"/>
      <c r="I4" s="2"/>
      <c r="K4" s="2"/>
      <c r="L4" s="71"/>
      <c r="M4" s="2"/>
      <c r="N4" s="30"/>
      <c r="O4" s="156"/>
      <c r="R4" s="92"/>
      <c r="S4" s="104"/>
      <c r="T4" s="89"/>
      <c r="V4" s="50"/>
      <c r="AC4" s="171"/>
    </row>
    <row r="5" spans="1:29" s="11" customFormat="1" ht="15" customHeight="1" x14ac:dyDescent="0.25">
      <c r="A5" s="187" t="str">
        <f>"Eagle P3 Braking Events - "&amp;TEXT(Variables!$A$2,"YYYY-mm-dd")</f>
        <v>Eagle P3 Braking Events - 2016-10-11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2"/>
      <c r="R5" s="102"/>
      <c r="S5" s="105"/>
      <c r="T5" s="107"/>
      <c r="V5" s="51"/>
      <c r="AC5" s="172"/>
    </row>
    <row r="6" spans="1:29" s="141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167</v>
      </c>
      <c r="J6" s="131" t="s">
        <v>30</v>
      </c>
      <c r="K6" s="132" t="s">
        <v>29</v>
      </c>
      <c r="L6" s="144" t="s">
        <v>28</v>
      </c>
      <c r="M6" s="132" t="s">
        <v>168</v>
      </c>
      <c r="N6" s="133" t="s">
        <v>47</v>
      </c>
      <c r="O6" s="168" t="s">
        <v>27</v>
      </c>
      <c r="P6" s="131" t="s">
        <v>24</v>
      </c>
      <c r="Q6" s="134"/>
      <c r="R6" s="135" t="s">
        <v>96</v>
      </c>
      <c r="S6" s="136" t="s">
        <v>61</v>
      </c>
      <c r="T6" s="137" t="s">
        <v>95</v>
      </c>
      <c r="U6" s="131" t="s">
        <v>90</v>
      </c>
      <c r="V6" s="138" t="s">
        <v>91</v>
      </c>
      <c r="W6" s="134" t="s">
        <v>103</v>
      </c>
      <c r="X6" s="134" t="s">
        <v>104</v>
      </c>
      <c r="Y6" s="139" t="s">
        <v>157</v>
      </c>
      <c r="Z6" s="140" t="s">
        <v>158</v>
      </c>
      <c r="AA6" s="140" t="s">
        <v>131</v>
      </c>
      <c r="AB6" s="140" t="s">
        <v>159</v>
      </c>
      <c r="AC6" s="173" t="s">
        <v>201</v>
      </c>
    </row>
    <row r="7" spans="1:29" s="1" customFormat="1" x14ac:dyDescent="0.25">
      <c r="A7" s="38">
        <v>42654.573865740742</v>
      </c>
      <c r="B7" s="33" t="s">
        <v>537</v>
      </c>
      <c r="C7" s="33" t="s">
        <v>466</v>
      </c>
      <c r="D7" s="33" t="s">
        <v>49</v>
      </c>
      <c r="E7" s="33" t="s">
        <v>163</v>
      </c>
      <c r="F7" s="49">
        <v>0</v>
      </c>
      <c r="G7" s="49">
        <v>191</v>
      </c>
      <c r="H7" s="49">
        <v>48976</v>
      </c>
      <c r="I7" s="49">
        <v>48563</v>
      </c>
      <c r="J7" s="33" t="s">
        <v>162</v>
      </c>
      <c r="K7" s="49">
        <v>48048</v>
      </c>
      <c r="L7" s="145" t="s">
        <v>53</v>
      </c>
      <c r="M7" s="148">
        <f t="shared" ref="M7:M38" si="0">CONVERT((I7-K7)/10000,"mi","ft")*IF(L7="Increasing Mileposts (1)",-1,1)</f>
        <v>271.92</v>
      </c>
      <c r="N7" s="87" t="str">
        <f>VLOOKUP(C7,'Trips&amp;Operators'!$C$1:$E$99999,3,FALSE)</f>
        <v>CLARK</v>
      </c>
      <c r="O7" s="169" t="s">
        <v>86</v>
      </c>
      <c r="P7" s="10" t="s">
        <v>786</v>
      </c>
      <c r="Q7" s="33"/>
      <c r="R7" s="103" t="str">
        <f>VLOOKUP(C7,'Train Runs'!$A$13:$AE$10010,31,0)</f>
        <v>aws s3 cp s3://rtdc.mdm.uploadarchive.raw/RTDC4015/ "%USERPROFILE%\AppData\Local\Temp\OnboardLogs"\RTDC4015\2016-10-11 --exclude "*" --recursive --include "*20161011*" &amp; "%USERPROFILE%\Documents\GitHub\mrs-test-scripts\Headless Mode &amp; Sideloading\WalkAndUnGZ.bat" "%USERPROFILE%\AppData\Local\Temp\OnboardLogs"\RTDC4015\2016-10-11 &amp; 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</v>
      </c>
      <c r="S7" s="106" t="str">
        <f>VLOOKUP(C7,'Train Runs'!$A$13:$AE$10010,22,0)</f>
        <v>https://search-rtdc-monitor-bjffxe2xuh6vdkpspy63sjmuny.us-east-1.es.amazonaws.com/_plugin/kibana/#/discover/Steve-Slow-Train-Analysis-(2080s-and-2083s)?_g=(refreshInterval:(display:Off,section:0,value:0),time:(from:'2016-10-11 11:08:41-0600',mode:absolute,to:'2016-10-11 15:00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7" s="108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/stypes="*4015*201610111*" /stext=" 19:.+((SYSTEM_STATE.+slice.+state.+changed )|(ment ac)|(system.+state.+changed )|(\[timeout)|(PRM\|1\|D)|(kpr)|(kdp)|(\|lc)|(penalty))" /e /r /s</v>
      </c>
      <c r="U7" s="9" t="str">
        <f t="shared" ref="U7:U38" si="2">MID(B7,13,4)</f>
        <v>4015</v>
      </c>
      <c r="V7" s="38">
        <f t="shared" ref="V7:V38" si="3">A7+6/24</f>
        <v>42654.823865740742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2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C","project_id":79,"tracker_id":40,"status_id":1,"priority_id":2,"assigned_to_id":23,"start_date":"2016-10-11","description":"","custom_fields":[{"id":1,"name":"Subdivision","value":"EC"},{"id":4,"name":"Milepost","value":"4.8048"},{"id":17,"name":"Train ID","value":"170-11"},{"id":16,"name":"Locomotive ID","value":"4015"},{"id":130,"name":"Impact","value":""},{"id":150,"name":"Time of Event (Mountain Time)","value":"13:46:22"},{"id":151,"name":"Denver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0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"%USERPROFILE%\AppData\Local\Temp\OnboardLogs"\RTDC4015\*4015*201610111* | grep -SE "((Enforcement Ac)|(PRM))" -</v>
      </c>
    </row>
    <row r="8" spans="1:29" s="1" customFormat="1" x14ac:dyDescent="0.25">
      <c r="A8" s="38">
        <v>42654.523344907408</v>
      </c>
      <c r="B8" s="33" t="s">
        <v>224</v>
      </c>
      <c r="C8" s="33" t="s">
        <v>456</v>
      </c>
      <c r="D8" s="33" t="s">
        <v>105</v>
      </c>
      <c r="E8" s="33" t="s">
        <v>163</v>
      </c>
      <c r="F8" s="49">
        <v>0</v>
      </c>
      <c r="G8" s="49">
        <v>320</v>
      </c>
      <c r="H8" s="49">
        <v>78440</v>
      </c>
      <c r="I8" s="49">
        <v>77995</v>
      </c>
      <c r="J8" s="33" t="s">
        <v>162</v>
      </c>
      <c r="K8" s="49">
        <v>78469</v>
      </c>
      <c r="L8" s="145" t="s">
        <v>53</v>
      </c>
      <c r="M8" s="148">
        <f t="shared" si="0"/>
        <v>-250.27199999999999</v>
      </c>
      <c r="N8" s="87" t="str">
        <f>VLOOKUP(C8,'Trips&amp;Operators'!$C$1:$E$99999,3,FALSE)</f>
        <v>STEWART</v>
      </c>
      <c r="O8" s="169" t="s">
        <v>86</v>
      </c>
      <c r="P8" s="10" t="s">
        <v>315</v>
      </c>
      <c r="Q8" s="33"/>
      <c r="R8" s="103" t="str">
        <f>VLOOKUP(C8,'Train Runs'!$A$13:$AE$10010,31,0)</f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S8" s="106" t="str">
        <f>VLOOKUP(C8,'Train Runs'!$A$13:$AE$10010,22,0)</f>
        <v>https://search-rtdc-monitor-bjffxe2xuh6vdkpspy63sjmuny.us-east-1.es.amazonaws.com/_plugin/kibana/#/discover/Steve-Slow-Train-Analysis-(2080s-and-2083s)?_g=(refreshInterval:(display:Off,section:0,value:0),time:(from:'2016-10-11 11:07:26-0600',mode:absolute,to:'2016-10-11 13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8" s="108" t="str">
        <f t="shared" si="1"/>
        <v>"C:\Program Files (x86)\AstroGrep\AstroGrep.exe" /spath="%USERPROFILE%\AppData\Local\Temp\OnboardLogs" /stypes="*4004*201610111*" /stext=" 18:.+((SYSTEM_STATE.+slice.+state.+changed )|(ment ac)|(system.+state.+changed )|(\[timeout)|(PRM\|1\|D)|(kpr)|(kdp)|(\|lc)|(penalty))" /e /r /s</v>
      </c>
      <c r="U8" s="9" t="str">
        <f t="shared" si="2"/>
        <v>4004</v>
      </c>
      <c r="V8" s="38">
        <f t="shared" si="3"/>
        <v>42654.773344907408</v>
      </c>
      <c r="W8" s="52" t="str">
        <f t="shared" si="4"/>
        <v>EC</v>
      </c>
      <c r="X8" s="52" t="str">
        <f t="shared" si="5"/>
        <v>KEEP</v>
      </c>
      <c r="Y8" s="129" t="str">
        <f t="shared" si="6"/>
        <v>echo {"issue":{"subject":"Early arrival","project_id":79,"tracker_id":40,"status_id":1,"priority_id":2,"assigned_to_id":23,"start_date":"2016-10-11","description":"","custom_fields":[{"id":1,"name":"Subdivision","value":"EC"},{"id":4,"name":"Milepost","value":"7.8469"},{"id":17,"name":"Train ID","value":"162-11"},{"id":16,"name":"Locomotive ID","value":"4004"},{"id":130,"name":"Impact","value":""},{"id":150,"name":"Time of Event (Mountain Time)","value":"12:33:37"},{"id":151,"name":"Denver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0" t="str">
        <f t="shared" si="7"/>
        <v>grep -hSE -A100 "Enforcement Action" "%USERPROFILE%\AppData\Local\Temp\OnboardLogs"\RTDC4004\*4004*201610111* | grep -SE "((Enforcement Ac)|(PRM))" -</v>
      </c>
    </row>
    <row r="9" spans="1:29" s="1" customFormat="1" x14ac:dyDescent="0.25">
      <c r="A9" s="38">
        <v>42654.95113425926</v>
      </c>
      <c r="B9" s="33" t="s">
        <v>559</v>
      </c>
      <c r="C9" s="33" t="s">
        <v>560</v>
      </c>
      <c r="D9" s="33" t="s">
        <v>212</v>
      </c>
      <c r="E9" s="33" t="s">
        <v>163</v>
      </c>
      <c r="F9" s="49">
        <v>0</v>
      </c>
      <c r="G9" s="49">
        <v>380</v>
      </c>
      <c r="H9" s="49">
        <v>78403</v>
      </c>
      <c r="I9" s="49">
        <v>77254</v>
      </c>
      <c r="J9" s="33" t="s">
        <v>162</v>
      </c>
      <c r="K9" s="49">
        <v>78469</v>
      </c>
      <c r="L9" s="145" t="s">
        <v>53</v>
      </c>
      <c r="M9" s="148">
        <f t="shared" si="0"/>
        <v>-641.52</v>
      </c>
      <c r="N9" s="87" t="str">
        <f>VLOOKUP(C9,'Trips&amp;Operators'!$C$1:$E$99999,3,FALSE)</f>
        <v>COOLAHAN</v>
      </c>
      <c r="O9" s="169" t="s">
        <v>86</v>
      </c>
      <c r="P9" s="10" t="s">
        <v>315</v>
      </c>
      <c r="Q9" s="33"/>
      <c r="R9" s="103" t="str">
        <f>VLOOKUP(C9,'Train Runs'!$A$13:$AE$10010,31,0)</f>
        <v>aws s3 cp s3://rtdc.mdm.uploadarchive.raw/RTDC4032/ "%USERPROFILE%\AppData\Local\Temp\OnboardLogs"\RTDC4032\2016-10-11 --exclude "*" --recursive --include "*20161011*" &amp; "%USERPROFILE%\Documents\GitHub\mrs-test-scripts\Headless Mode &amp; Sideloading\WalkAndUnGZ.bat" "%USERPROFILE%\AppData\Local\Temp\OnboardLogs"\RTDC4032\2016-10-11 &amp; 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</v>
      </c>
      <c r="S9" s="106" t="str">
        <f>VLOOKUP(C9,'Train Runs'!$A$13:$AE$10010,22,0)</f>
        <v>https://search-rtdc-monitor-bjffxe2xuh6vdkpspy63sjmuny.us-east-1.es.amazonaws.com/_plugin/kibana/#/discover/Steve-Slow-Train-Analysis-(2080s-and-2083s)?_g=(refreshInterval:(display:Off,section:0,value:0),time:(from:'2016-10-11 21:20:18-0600',mode:absolute,to:'2016-10-12 00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9" s="108" t="str">
        <f t="shared" si="1"/>
        <v>"C:\Program Files (x86)\AstroGrep\AstroGrep.exe" /spath="%USERPROFILE%\AppData\Local\Temp\OnboardLogs" /stypes="*4032*201610120*" /stext=" 04:.+((SYSTEM_STATE.+slice.+state.+changed )|(ment ac)|(system.+state.+changed )|(\[timeout)|(PRM\|1\|D)|(kpr)|(kdp)|(\|lc)|(penalty))" /e /r /s</v>
      </c>
      <c r="U9" s="9" t="str">
        <f t="shared" si="2"/>
        <v>4032</v>
      </c>
      <c r="V9" s="38">
        <f t="shared" si="3"/>
        <v>42655.20113425926</v>
      </c>
      <c r="W9" s="52" t="str">
        <f t="shared" si="4"/>
        <v>EC</v>
      </c>
      <c r="X9" s="52" t="str">
        <f t="shared" si="5"/>
        <v>KEEP</v>
      </c>
      <c r="Y9" s="129" t="str">
        <f t="shared" si="6"/>
        <v>echo {"issue":{"subject":"Early arrival","project_id":79,"tracker_id":40,"status_id":1,"priority_id":2,"assigned_to_id":23,"start_date":"2016-10-11","description":"","custom_fields":[{"id":1,"name":"Subdivision","value":"EC"},{"id":4,"name":"Milepost","value":"7.8469"},{"id":17,"name":"Train ID","value":"232-11"},{"id":16,"name":"Locomotive ID","value":"4032"},{"id":130,"name":"Impact","value":""},{"id":150,"name":"Time of Event (Mountain Time)","value":"22:49:38"},{"id":151,"name":"Denver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0" t="str">
        <f t="shared" si="7"/>
        <v>grep -hSE -A100 "Enforcement Action" "%USERPROFILE%\AppData\Local\Temp\OnboardLogs"\RTDC4032\*4032*201610120* | grep -SE "((Enforcement Ac)|(PRM))" -</v>
      </c>
    </row>
    <row r="10" spans="1:29" s="1" customFormat="1" x14ac:dyDescent="0.25">
      <c r="A10" s="38">
        <v>42654.650324074071</v>
      </c>
      <c r="B10" s="33" t="s">
        <v>298</v>
      </c>
      <c r="C10" s="33" t="s">
        <v>547</v>
      </c>
      <c r="D10" s="33" t="s">
        <v>105</v>
      </c>
      <c r="E10" s="33" t="s">
        <v>56</v>
      </c>
      <c r="F10" s="49">
        <v>200</v>
      </c>
      <c r="G10" s="49">
        <v>264</v>
      </c>
      <c r="H10" s="49">
        <v>5470</v>
      </c>
      <c r="I10" s="49">
        <v>6173</v>
      </c>
      <c r="J10" s="33" t="s">
        <v>57</v>
      </c>
      <c r="K10" s="49">
        <v>4677</v>
      </c>
      <c r="L10" s="145" t="s">
        <v>52</v>
      </c>
      <c r="M10" s="148">
        <f t="shared" si="0"/>
        <v>-789.88800000000003</v>
      </c>
      <c r="N10" s="87" t="str">
        <f>VLOOKUP(C10,'Trips&amp;Operators'!$C$1:$E$99999,3,FALSE)</f>
        <v>CRAYTON</v>
      </c>
      <c r="O10" s="169" t="s">
        <v>86</v>
      </c>
      <c r="P10" s="10"/>
      <c r="Q10" s="33"/>
      <c r="R10" s="103" t="str">
        <f>VLOOKUP(C10,'Train Runs'!$A$13:$AE$10010,31,0)</f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S10" s="106" t="str">
        <f>VLOOKUP(C10,'Train Runs'!$A$13:$AE$10010,22,0)</f>
        <v>https://search-rtdc-monitor-bjffxe2xuh6vdkpspy63sjmuny.us-east-1.es.amazonaws.com/_plugin/kibana/#/discover/Steve-Slow-Train-Analysis-(2080s-and-2083s)?_g=(refreshInterval:(display:Off,section:0,value:0),time:(from:'2016-10-11 14:31:53-0600',mode:absolute,to:'2016-10-11 17:12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0" s="108" t="str">
        <f t="shared" si="1"/>
        <v>"C:\Program Files (x86)\AstroGrep\AstroGrep.exe" /spath="%USERPROFILE%\AppData\Local\Temp\OnboardLogs" /stypes="*4029*201610112*" /stext=" 21:.+((SYSTEM_STATE.+slice.+state.+changed )|(ment ac)|(system.+state.+changed )|(\[timeout)|(PRM\|1\|D)|(kpr)|(kdp)|(\|lc)|(penalty))" /e /r /s</v>
      </c>
      <c r="U10" s="9" t="str">
        <f t="shared" si="2"/>
        <v>4029</v>
      </c>
      <c r="V10" s="38">
        <f t="shared" si="3"/>
        <v>42654.900324074071</v>
      </c>
      <c r="W10" s="52" t="str">
        <f t="shared" si="4"/>
        <v>EC</v>
      </c>
      <c r="X10" s="52" t="str">
        <f t="shared" si="5"/>
        <v>KEEP</v>
      </c>
      <c r="Y10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{"issue":{"subject":"","project_id":79,"tracker_id":40,"status_id":1,"priority_id":2,"assigned_to_id":23,"start_date":"2016-10-11","description":"","custom_fields":[{"id":1,"name":"Subdivision","value":"EC"},{"id":4,"name":"Milepost","value":"0.4677"},{"id":17,"name":"Train ID","value":"195-11"},{"id":16,"name":"Locomotive ID","value":"4029"},{"id":130,"name":"Impact","value":""},{"id":150,"name":"Time of Event (Mountain Time)","value":"15:36:28"},{"id":151,"name":"Denver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0" t="str">
        <f t="shared" si="7"/>
        <v>grep -hSE -A100 "Enforcement Action" "%USERPROFILE%\AppData\Local\Temp\OnboardLogs"\RTDC4029\*4029*201610112* | grep -SE "((Enforcement Ac)|(PRM))" -</v>
      </c>
    </row>
    <row r="11" spans="1:29" s="1" customFormat="1" x14ac:dyDescent="0.25">
      <c r="A11" s="38">
        <v>42654.91878472222</v>
      </c>
      <c r="B11" s="33" t="s">
        <v>223</v>
      </c>
      <c r="C11" s="33" t="s">
        <v>557</v>
      </c>
      <c r="D11" s="33" t="s">
        <v>105</v>
      </c>
      <c r="E11" s="33" t="s">
        <v>56</v>
      </c>
      <c r="F11" s="49">
        <v>200</v>
      </c>
      <c r="G11" s="49">
        <v>254</v>
      </c>
      <c r="H11" s="49">
        <v>5436</v>
      </c>
      <c r="I11" s="49">
        <v>6011</v>
      </c>
      <c r="J11" s="33" t="s">
        <v>57</v>
      </c>
      <c r="K11" s="49">
        <v>4677</v>
      </c>
      <c r="L11" s="145" t="s">
        <v>52</v>
      </c>
      <c r="M11" s="148">
        <f t="shared" si="0"/>
        <v>-704.35199999999998</v>
      </c>
      <c r="N11" s="87" t="str">
        <f>VLOOKUP(C11,'Trips&amp;Operators'!$C$1:$E$99999,3,FALSE)</f>
        <v>PUGH</v>
      </c>
      <c r="O11" s="169" t="s">
        <v>86</v>
      </c>
      <c r="P11" s="10"/>
      <c r="Q11" s="33"/>
      <c r="R11" s="103" t="str">
        <f>VLOOKUP(C11,'Train Runs'!$A$13:$AE$10010,31,0)</f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S11" s="106" t="str">
        <f>VLOOKUP(C11,'Train Runs'!$A$13:$AE$10010,22,0)</f>
        <v>https://search-rtdc-monitor-bjffxe2xuh6vdkpspy63sjmuny.us-east-1.es.amazonaws.com/_plugin/kibana/#/discover/Steve-Slow-Train-Analysis-(2080s-and-2083s)?_g=(refreshInterval:(display:Off,section:0,value:0),time:(from:'2016-10-11 20:49:14-0600',mode:absolute,to:'2016-10-11 23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1" s="108" t="str">
        <f t="shared" si="1"/>
        <v>"C:\Program Files (x86)\AstroGrep\AstroGrep.exe" /spath="%USERPROFILE%\AppData\Local\Temp\OnboardLogs" /stypes="*4003*201610120*" /stext=" 04:.+((SYSTEM_STATE.+slice.+state.+changed )|(ment ac)|(system.+state.+changed )|(\[timeout)|(PRM\|1\|D)|(kpr)|(kdp)|(\|lc)|(penalty))" /e /r /s</v>
      </c>
      <c r="U11" s="9" t="str">
        <f t="shared" si="2"/>
        <v>4003</v>
      </c>
      <c r="V11" s="38">
        <f t="shared" si="3"/>
        <v>42655.16878472222</v>
      </c>
      <c r="W11" s="52" t="str">
        <f t="shared" si="4"/>
        <v>EC</v>
      </c>
      <c r="X11" s="52" t="str">
        <f t="shared" si="5"/>
        <v>KEEP</v>
      </c>
      <c r="Y11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{"issue":{"subject":"","project_id":79,"tracker_id":40,"status_id":1,"priority_id":2,"assigned_to_id":23,"start_date":"2016-10-11","description":"","custom_fields":[{"id":1,"name":"Subdivision","value":"EC"},{"id":4,"name":"Milepost","value":"0.4677"},{"id":17,"name":"Train ID","value":"233-11"},{"id":16,"name":"Locomotive ID","value":"4003"},{"id":130,"name":"Impact","value":""},{"id":150,"name":"Time of Event (Mountain Time)","value":"22:03:03"},{"id":151,"name":"Denver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0" t="str">
        <f t="shared" si="7"/>
        <v>grep -hSE -A100 "Enforcement Action" "%USERPROFILE%\AppData\Local\Temp\OnboardLogs"\RTDC4003\*4003*201610120* | grep -SE "((Enforcement Ac)|(PRM))" -</v>
      </c>
    </row>
    <row r="12" spans="1:29" s="1" customFormat="1" x14ac:dyDescent="0.25">
      <c r="A12" s="38">
        <v>42654.297291666669</v>
      </c>
      <c r="B12" s="33" t="s">
        <v>534</v>
      </c>
      <c r="C12" s="33" t="s">
        <v>403</v>
      </c>
      <c r="D12" s="33" t="s">
        <v>105</v>
      </c>
      <c r="E12" s="33" t="s">
        <v>56</v>
      </c>
      <c r="F12" s="49">
        <v>400</v>
      </c>
      <c r="G12" s="49">
        <v>452</v>
      </c>
      <c r="H12" s="49">
        <v>119721</v>
      </c>
      <c r="I12" s="49">
        <v>121011</v>
      </c>
      <c r="J12" s="33" t="s">
        <v>57</v>
      </c>
      <c r="K12" s="49">
        <v>116838</v>
      </c>
      <c r="L12" s="145" t="s">
        <v>52</v>
      </c>
      <c r="M12" s="148">
        <f t="shared" si="0"/>
        <v>-2203.3440000000001</v>
      </c>
      <c r="N12" s="87" t="str">
        <f>VLOOKUP(C12,'Trips&amp;Operators'!$C$1:$E$99999,3,FALSE)</f>
        <v>ROBINSON</v>
      </c>
      <c r="O12" s="169" t="s">
        <v>86</v>
      </c>
      <c r="P12" s="10"/>
      <c r="Q12" s="33"/>
      <c r="R12" s="103" t="str">
        <f>VLOOKUP(C12,'Train Runs'!$A$13:$AE$10010,31,0)</f>
        <v>aws s3 cp s3://rtdc.mdm.uploadarchive.raw/RTDC4016/ "%USERPROFILE%\AppData\Local\Temp\OnboardLogs"\RTDC4016\2016-10-11 --exclude "*" --recursive --include "*20161011*" &amp; "%USERPROFILE%\Documents\GitHub\mrs-test-scripts\Headless Mode &amp; Sideloading\WalkAndUnGZ.bat" "%USERPROFILE%\AppData\Local\Temp\OnboardLogs"\RTDC4016\2016-10-11 &amp; 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</v>
      </c>
      <c r="S12" s="106" t="str">
        <f>VLOOKUP(C12,'Train Runs'!$A$13:$AE$10010,22,0)</f>
        <v>https://search-rtdc-monitor-bjffxe2xuh6vdkpspy63sjmuny.us-east-1.es.amazonaws.com/_plugin/kibana/#/discover/Steve-Slow-Train-Analysis-(2080s-and-2083s)?_g=(refreshInterval:(display:Off,section:0,value:0),time:(from:'2016-10-11 05:41:09-0600',mode:absolute,to:'2016-10-11 08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2" s="108" t="str">
        <f t="shared" si="1"/>
        <v>"C:\Program Files (x86)\AstroGrep\AstroGrep.exe" /spath="%USERPROFILE%\AppData\Local\Temp\OnboardLogs" /stypes="*4016*201610111*" /stext=" 13:.+((SYSTEM_STATE.+slice.+state.+changed )|(ment ac)|(system.+state.+changed )|(\[timeout)|(PRM\|1\|D)|(kpr)|(kdp)|(\|lc)|(penalty))" /e /r /s</v>
      </c>
      <c r="U12" s="9" t="str">
        <f t="shared" si="2"/>
        <v>4016</v>
      </c>
      <c r="V12" s="38">
        <f t="shared" si="3"/>
        <v>42654.547291666669</v>
      </c>
      <c r="W12" s="52" t="str">
        <f t="shared" si="4"/>
        <v>EC</v>
      </c>
      <c r="X12" s="52" t="str">
        <f t="shared" si="5"/>
        <v>KEEP</v>
      </c>
      <c r="Y12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{"issue":{"subject":"","project_id":79,"tracker_id":40,"status_id":1,"priority_id":2,"assigned_to_id":23,"start_date":"2016-10-11","description":"","custom_fields":[{"id":1,"name":"Subdivision","value":"EC"},{"id":4,"name":"Milepost","value":"11.6838"},{"id":17,"name":"Train ID","value":"125-11"},{"id":16,"name":"Locomotive ID","value":"4016"},{"id":130,"name":"Impact","value":""},{"id":150,"name":"Time of Event (Mountain Time)","value":"07:08:06"},{"id":151,"name":"Denver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0" t="str">
        <f t="shared" si="7"/>
        <v>grep -hSE -A100 "Enforcement Action" "%USERPROFILE%\AppData\Local\Temp\OnboardLogs"\RTDC4016\*4016*201610111* | grep -SE "((Enforcement Ac)|(PRM))" -</v>
      </c>
    </row>
    <row r="13" spans="1:29" s="1" customFormat="1" x14ac:dyDescent="0.25">
      <c r="A13" s="38">
        <v>42654.643761574072</v>
      </c>
      <c r="B13" s="33" t="s">
        <v>270</v>
      </c>
      <c r="C13" s="33" t="s">
        <v>544</v>
      </c>
      <c r="D13" s="33" t="s">
        <v>105</v>
      </c>
      <c r="E13" s="33" t="s">
        <v>56</v>
      </c>
      <c r="F13" s="49">
        <v>400</v>
      </c>
      <c r="G13" s="49">
        <v>451</v>
      </c>
      <c r="H13" s="49">
        <v>119361</v>
      </c>
      <c r="I13" s="49">
        <v>120572</v>
      </c>
      <c r="J13" s="33" t="s">
        <v>57</v>
      </c>
      <c r="K13" s="49">
        <v>116838</v>
      </c>
      <c r="L13" s="145" t="s">
        <v>52</v>
      </c>
      <c r="M13" s="148">
        <f t="shared" si="0"/>
        <v>-1971.5519999999999</v>
      </c>
      <c r="N13" s="87" t="str">
        <f>VLOOKUP(C13,'Trips&amp;Operators'!$C$1:$E$99999,3,FALSE)</f>
        <v>HELVIE</v>
      </c>
      <c r="O13" s="169" t="s">
        <v>86</v>
      </c>
      <c r="P13" s="10"/>
      <c r="Q13" s="33"/>
      <c r="R13" s="103" t="str">
        <f>VLOOKUP(C13,'Train Runs'!$A$13:$AE$10010,31,0)</f>
        <v>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 &amp; 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</v>
      </c>
      <c r="S13" s="106" t="str">
        <f>VLOOKUP(C13,'Train Runs'!$A$13:$AE$10010,22,0)</f>
        <v>https://search-rtdc-monitor-bjffxe2xuh6vdkpspy63sjmuny.us-east-1.es.amazonaws.com/_plugin/kibana/#/discover/Steve-Slow-Train-Analysis-(2080s-and-2083s)?_g=(refreshInterval:(display:Off,section:0,value:0),time:(from:'2016-10-11 13:55:59-0600',mode:absolute,to:'2016-10-11 16:43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3" s="108" t="str">
        <f t="shared" si="1"/>
        <v>"C:\Program Files (x86)\AstroGrep\AstroGrep.exe" /spath="%USERPROFILE%\AppData\Local\Temp\OnboardLogs" /stypes="*4014*201610112*" /stext=" 21:.+((SYSTEM_STATE.+slice.+state.+changed )|(ment ac)|(system.+state.+changed )|(\[timeout)|(PRM\|1\|D)|(kpr)|(kdp)|(\|lc)|(penalty))" /e /r /s</v>
      </c>
      <c r="U13" s="9" t="str">
        <f t="shared" si="2"/>
        <v>4014</v>
      </c>
      <c r="V13" s="38">
        <f t="shared" si="3"/>
        <v>42654.893761574072</v>
      </c>
      <c r="W13" s="52" t="str">
        <f t="shared" si="4"/>
        <v>EC</v>
      </c>
      <c r="X13" s="52" t="str">
        <f t="shared" si="5"/>
        <v>KEEP</v>
      </c>
      <c r="Y13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{"issue":{"subject":"","project_id":79,"tracker_id":40,"status_id":1,"priority_id":2,"assigned_to_id":23,"start_date":"2016-10-11","description":"","custom_fields":[{"id":1,"name":"Subdivision","value":"EC"},{"id":4,"name":"Milepost","value":"11.6838"},{"id":17,"name":"Train ID","value":"191-11"},{"id":16,"name":"Locomotive ID","value":"4014"},{"id":130,"name":"Impact","value":""},{"id":150,"name":"Time of Event (Mountain Time)","value":"15:27:01"},{"id":151,"name":"Denver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0" t="str">
        <f t="shared" si="7"/>
        <v>grep -hSE -A100 "Enforcement Action" "%USERPROFILE%\AppData\Local\Temp\OnboardLogs"\RTDC4014\*4014*201610112* | grep -SE "((Enforcement Ac)|(PRM))" -</v>
      </c>
    </row>
    <row r="14" spans="1:29" s="1" customFormat="1" x14ac:dyDescent="0.25">
      <c r="A14" s="38">
        <v>42654.422210648147</v>
      </c>
      <c r="B14" s="33" t="s">
        <v>538</v>
      </c>
      <c r="C14" s="33" t="s">
        <v>427</v>
      </c>
      <c r="D14" s="33" t="s">
        <v>105</v>
      </c>
      <c r="E14" s="33" t="s">
        <v>56</v>
      </c>
      <c r="F14" s="49">
        <v>600</v>
      </c>
      <c r="G14" s="49">
        <v>651</v>
      </c>
      <c r="H14" s="49">
        <v>184435</v>
      </c>
      <c r="I14" s="49">
        <v>181510</v>
      </c>
      <c r="J14" s="33" t="s">
        <v>57</v>
      </c>
      <c r="K14" s="49">
        <v>190834</v>
      </c>
      <c r="L14" s="145" t="s">
        <v>53</v>
      </c>
      <c r="M14" s="148">
        <f t="shared" si="0"/>
        <v>-4923.0720000000001</v>
      </c>
      <c r="N14" s="87" t="str">
        <f>VLOOKUP(C14,'Trips&amp;Operators'!$C$1:$E$99999,3,FALSE)</f>
        <v>HAITHCOX</v>
      </c>
      <c r="O14" s="169" t="s">
        <v>86</v>
      </c>
      <c r="P14" s="10"/>
      <c r="Q14" s="33"/>
      <c r="R14" s="103" t="str">
        <f>VLOOKUP(C14,'Train Runs'!$A$13:$AE$10010,31,0)</f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S14" s="106" t="str">
        <f>VLOOKUP(C14,'Train Runs'!$A$13:$AE$10010,22,0)</f>
        <v>https://search-rtdc-monitor-bjffxe2xuh6vdkpspy63sjmuny.us-east-1.es.amazonaws.com/_plugin/kibana/#/discover/Steve-Slow-Train-Analysis-(2080s-and-2083s)?_g=(refreshInterval:(display:Off,section:0,value:0),time:(from:'2016-10-11 08:51:01-0600',mode:absolute,to:'2016-10-11 11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4" s="108" t="str">
        <f t="shared" si="1"/>
        <v>"C:\Program Files (x86)\AstroGrep\AstroGrep.exe" /spath="%USERPROFILE%\AppData\Local\Temp\OnboardLogs" /stypes="*4054*201610111*" /stext=" 16:.+((SYSTEM_STATE.+slice.+state.+changed )|(ment ac)|(system.+state.+changed )|(\[timeout)|(PRM\|1\|D)|(kpr)|(kdp)|(\|lc)|(penalty))" /e /r /s</v>
      </c>
      <c r="U14" s="9" t="str">
        <f t="shared" si="2"/>
        <v>4054</v>
      </c>
      <c r="V14" s="38">
        <f t="shared" si="3"/>
        <v>42654.672210648147</v>
      </c>
      <c r="W14" s="52" t="str">
        <f t="shared" si="4"/>
        <v>EC</v>
      </c>
      <c r="X14" s="52" t="str">
        <f t="shared" si="5"/>
        <v>KEEP</v>
      </c>
      <c r="Y14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{"issue":{"subject":"","project_id":79,"tracker_id":40,"status_id":1,"priority_id":2,"assigned_to_id":23,"start_date":"2016-10-11","description":"","custom_fields":[{"id":1,"name":"Subdivision","value":"EC"},{"id":4,"name":"Milepost","value":"19.0834"},{"id":17,"name":"Train ID","value":"144-11"},{"id":16,"name":"Locomotive ID","value":"4054"},{"id":130,"name":"Impact","value":""},{"id":150,"name":"Time of Event (Mountain Time)","value":"10:07:59"},{"id":151,"name":"Denver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0" t="str">
        <f t="shared" si="7"/>
        <v>grep -hSE -A100 "Enforcement Action" "%USERPROFILE%\AppData\Local\Temp\OnboardLogs"\RTDC4054\*4054*201610111* | grep -SE "((Enforcement Ac)|(PRM))" -</v>
      </c>
    </row>
    <row r="15" spans="1:29" s="1" customFormat="1" x14ac:dyDescent="0.25">
      <c r="A15" s="38">
        <v>42654.621354166666</v>
      </c>
      <c r="B15" s="33" t="s">
        <v>295</v>
      </c>
      <c r="C15" s="33" t="s">
        <v>543</v>
      </c>
      <c r="D15" s="33" t="s">
        <v>49</v>
      </c>
      <c r="E15" s="33" t="s">
        <v>56</v>
      </c>
      <c r="F15" s="49">
        <v>750</v>
      </c>
      <c r="G15" s="49">
        <v>800</v>
      </c>
      <c r="H15" s="49">
        <v>202169</v>
      </c>
      <c r="I15" s="49">
        <v>198191</v>
      </c>
      <c r="J15" s="33" t="s">
        <v>57</v>
      </c>
      <c r="K15" s="49">
        <v>200464</v>
      </c>
      <c r="L15" s="145" t="s">
        <v>53</v>
      </c>
      <c r="M15" s="148">
        <f t="shared" si="0"/>
        <v>-1200.144</v>
      </c>
      <c r="N15" s="87" t="str">
        <f>VLOOKUP(C15,'Trips&amp;Operators'!$C$1:$E$99999,3,FALSE)</f>
        <v>CRAYTON</v>
      </c>
      <c r="O15" s="169" t="s">
        <v>86</v>
      </c>
      <c r="P15" s="10"/>
      <c r="Q15" s="33"/>
      <c r="R15" s="103" t="str">
        <f>VLOOKUP(C15,'Train Runs'!$A$13:$AE$10010,31,0)</f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S15" s="106" t="str">
        <f>VLOOKUP(C15,'Train Runs'!$A$13:$AE$10010,22,0)</f>
        <v>https://search-rtdc-monitor-bjffxe2xuh6vdkpspy63sjmuny.us-east-1.es.amazonaws.com/_plugin/kibana/#/discover/Steve-Slow-Train-Analysis-(2080s-and-2083s)?_g=(refreshInterval:(display:Off,section:0,value:0),time:(from:'2016-10-11 13:27:06-0600',mode:absolute,to:'2016-10-11 16:29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5" s="108" t="str">
        <f t="shared" si="1"/>
        <v>"C:\Program Files (x86)\AstroGrep\AstroGrep.exe" /spath="%USERPROFILE%\AppData\Local\Temp\OnboardLogs" /stypes="*4030*201610112*" /stext=" 20:.+((SYSTEM_STATE.+slice.+state.+changed )|(ment ac)|(system.+state.+changed )|(\[timeout)|(PRM\|1\|D)|(kpr)|(kdp)|(\|lc)|(penalty))" /e /r /s</v>
      </c>
      <c r="U15" s="9" t="str">
        <f t="shared" si="2"/>
        <v>4030</v>
      </c>
      <c r="V15" s="38">
        <f t="shared" si="3"/>
        <v>42654.871354166666</v>
      </c>
      <c r="W15" s="52" t="str">
        <f t="shared" si="4"/>
        <v>EC</v>
      </c>
      <c r="X15" s="52" t="str">
        <f t="shared" si="5"/>
        <v>KEEP</v>
      </c>
      <c r="Y15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{"issue":{"subject":"","project_id":79,"tracker_id":40,"status_id":1,"priority_id":2,"assigned_to_id":23,"start_date":"2016-10-11","description":"","custom_fields":[{"id":1,"name":"Subdivision","value":"EC"},{"id":4,"name":"Milepost","value":"20.0464"},{"id":17,"name":"Train ID","value":"182-11"},{"id":16,"name":"Locomotive ID","value":"4030"},{"id":130,"name":"Impact","value":""},{"id":150,"name":"Time of Event (Mountain Time)","value":"14:54:45"},{"id":151,"name":"Denver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0" t="str">
        <f t="shared" si="7"/>
        <v>grep -hSE -A100 "Enforcement Action" "%USERPROFILE%\AppData\Local\Temp\OnboardLogs"\RTDC4030\*4030*201610112* | grep -SE "((Enforcement Ac)|(PRM))" -</v>
      </c>
    </row>
    <row r="16" spans="1:29" s="1" customFormat="1" x14ac:dyDescent="0.25">
      <c r="A16" s="38">
        <v>42654.609548611108</v>
      </c>
      <c r="B16" s="33" t="s">
        <v>534</v>
      </c>
      <c r="C16" s="33" t="s">
        <v>541</v>
      </c>
      <c r="D16" s="33" t="s">
        <v>49</v>
      </c>
      <c r="E16" s="33" t="s">
        <v>56</v>
      </c>
      <c r="F16" s="49">
        <v>350</v>
      </c>
      <c r="G16" s="49">
        <v>489</v>
      </c>
      <c r="H16" s="49">
        <v>223047</v>
      </c>
      <c r="I16" s="49">
        <v>224335</v>
      </c>
      <c r="J16" s="33" t="s">
        <v>57</v>
      </c>
      <c r="K16" s="49">
        <v>224578</v>
      </c>
      <c r="L16" s="145" t="s">
        <v>52</v>
      </c>
      <c r="M16" s="148">
        <f t="shared" si="0"/>
        <v>128.304</v>
      </c>
      <c r="N16" s="87" t="str">
        <f>VLOOKUP(C16,'Trips&amp;Operators'!$C$1:$E$99999,3,FALSE)</f>
        <v>CLARK</v>
      </c>
      <c r="O16" s="169" t="s">
        <v>86</v>
      </c>
      <c r="P16" s="10"/>
      <c r="Q16" s="33"/>
      <c r="R16" s="103" t="str">
        <f>VLOOKUP(C16,'Train Runs'!$A$13:$AE$10010,31,0)</f>
        <v>aws s3 cp s3://rtdc.mdm.uploadarchive.raw/RTDC4016/ "%USERPROFILE%\AppData\Local\Temp\OnboardLogs"\RTDC4016\2016-10-11 --exclude "*" --recursive --include "*20161011*" &amp; "%USERPROFILE%\Documents\GitHub\mrs-test-scripts\Headless Mode &amp; Sideloading\WalkAndUnGZ.bat" "%USERPROFILE%\AppData\Local\Temp\OnboardLogs"\RTDC4016\2016-10-11 &amp; 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</v>
      </c>
      <c r="S16" s="106" t="str">
        <f>VLOOKUP(C16,'Train Runs'!$A$13:$AE$10010,22,0)</f>
        <v>https://search-rtdc-monitor-bjffxe2xuh6vdkpspy63sjmuny.us-east-1.es.amazonaws.com/_plugin/kibana/#/discover/Steve-Slow-Train-Analysis-(2080s-and-2083s)?_g=(refreshInterval:(display:Off,section:0,value:0),time:(from:'2016-10-11 13:01:34-0600',mode:absolute,to:'2016-10-11 16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6" s="108" t="str">
        <f t="shared" si="1"/>
        <v>"C:\Program Files (x86)\AstroGrep\AstroGrep.exe" /spath="%USERPROFILE%\AppData\Local\Temp\OnboardLogs" /stypes="*4016*201610112*" /stext=" 20:.+((SYSTEM_STATE.+slice.+state.+changed )|(ment ac)|(system.+state.+changed )|(\[timeout)|(PRM\|1\|D)|(kpr)|(kdp)|(\|lc)|(penalty))" /e /r /s</v>
      </c>
      <c r="U16" s="9" t="str">
        <f t="shared" si="2"/>
        <v>4016</v>
      </c>
      <c r="V16" s="38">
        <f t="shared" si="3"/>
        <v>42654.859548611108</v>
      </c>
      <c r="W16" s="52" t="str">
        <f t="shared" si="4"/>
        <v>EC</v>
      </c>
      <c r="X16" s="52" t="str">
        <f t="shared" si="5"/>
        <v>KEEP</v>
      </c>
      <c r="Y16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{"issue":{"subject":"","project_id":79,"tracker_id":40,"status_id":1,"priority_id":2,"assigned_to_id":23,"start_date":"2016-10-11","description":"","custom_fields":[{"id":1,"name":"Subdivision","value":"EC"},{"id":4,"name":"Milepost","value":"22.4578"},{"id":17,"name":"Train ID","value":"183-11"},{"id":16,"name":"Locomotive ID","value":"4016"},{"id":130,"name":"Impact","value":""},{"id":150,"name":"Time of Event (Mountain Time)","value":"14:37:45"},{"id":151,"name":"Denver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0" t="str">
        <f t="shared" si="7"/>
        <v>grep -hSE -A100 "Enforcement Action" "%USERPROFILE%\AppData\Local\Temp\OnboardLogs"\RTDC4016\*4016*201610112* | grep -SE "((Enforcement Ac)|(PRM))" -</v>
      </c>
    </row>
    <row r="17" spans="1:29" s="1" customFormat="1" x14ac:dyDescent="0.25">
      <c r="A17" s="38">
        <v>42654.430717592593</v>
      </c>
      <c r="B17" s="33" t="s">
        <v>298</v>
      </c>
      <c r="C17" s="33" t="s">
        <v>444</v>
      </c>
      <c r="D17" s="33" t="s">
        <v>105</v>
      </c>
      <c r="E17" s="33" t="s">
        <v>54</v>
      </c>
      <c r="F17" s="49">
        <v>0</v>
      </c>
      <c r="G17" s="49">
        <v>67</v>
      </c>
      <c r="H17" s="49">
        <v>1816</v>
      </c>
      <c r="I17" s="49">
        <v>1880</v>
      </c>
      <c r="J17" s="33" t="s">
        <v>55</v>
      </c>
      <c r="K17" s="49">
        <v>1692</v>
      </c>
      <c r="L17" s="145" t="s">
        <v>52</v>
      </c>
      <c r="M17" s="148">
        <f t="shared" si="0"/>
        <v>-99.263999999999996</v>
      </c>
      <c r="N17" s="87" t="str">
        <f>VLOOKUP(C17,'Trips&amp;Operators'!$C$1:$E$99999,3,FALSE)</f>
        <v>SANTIZO</v>
      </c>
      <c r="O17" s="169" t="s">
        <v>86</v>
      </c>
      <c r="P17" s="10" t="s">
        <v>773</v>
      </c>
      <c r="Q17" s="33"/>
      <c r="R17" s="103" t="str">
        <f>VLOOKUP(C17,'Train Runs'!$A$13:$AE$10010,31,0)</f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S17" s="106" t="str">
        <f>VLOOKUP(C17,'Train Runs'!$A$13:$AE$10010,22,0)</f>
        <v>https://search-rtdc-monitor-bjffxe2xuh6vdkpspy63sjmuny.us-east-1.es.amazonaws.com/_plugin/kibana/#/discover/Steve-Slow-Train-Analysis-(2080s-and-2083s)?_g=(refreshInterval:(display:Off,section:0,value:0),time:(from:'2016-10-11 09:15:51-0600',mode:absolute,to:'2016-10-11 11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7" s="108" t="str">
        <f t="shared" si="1"/>
        <v>"C:\Program Files (x86)\AstroGrep\AstroGrep.exe" /spath="%USERPROFILE%\AppData\Local\Temp\OnboardLogs" /stypes="*4029*201610111*" /stext=" 16:.+((SYSTEM_STATE.+slice.+state.+changed )|(ment ac)|(system.+state.+changed )|(\[timeout)|(PRM\|1\|D)|(kpr)|(kdp)|(\|lc)|(penalty))" /e /r /s</v>
      </c>
      <c r="U17" s="9" t="str">
        <f t="shared" si="2"/>
        <v>4029</v>
      </c>
      <c r="V17" s="38">
        <f t="shared" si="3"/>
        <v>42654.680717592593</v>
      </c>
      <c r="W17" s="52" t="str">
        <f t="shared" si="4"/>
        <v>EC</v>
      </c>
      <c r="X17" s="52" t="str">
        <f t="shared" si="5"/>
        <v>KEEP</v>
      </c>
      <c r="Y17" s="129" t="str">
        <f t="shared" si="6"/>
        <v>echo {"issue":{"subject":"Departure from Main 3","project_id":79,"tracker_id":40,"status_id":1,"priority_id":2,"assigned_to_id":23,"start_date":"2016-10-11","description":"","custom_fields":[{"id":1,"name":"Subdivision","value":"EC"},{"id":4,"name":"Milepost","value":"0.1692"},{"id":17,"name":"Train ID","value":"153-11"},{"id":16,"name":"Locomotive ID","value":"4029"},{"id":130,"name":"Impact","value":""},{"id":150,"name":"Time of Event (Mountain Time)","value":"10:20:14"},{"id":151,"name":"Denver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0" t="str">
        <f t="shared" si="7"/>
        <v>grep -hSE -A100 "Enforcement Action" "%USERPROFILE%\AppData\Local\Temp\OnboardLogs"\RTDC4029\*4029*201610111* | grep -SE "((Enforcement Ac)|(PRM))" -</v>
      </c>
    </row>
    <row r="18" spans="1:29" s="1" customFormat="1" x14ac:dyDescent="0.25">
      <c r="A18" s="38">
        <v>42654.43105324074</v>
      </c>
      <c r="B18" s="33" t="s">
        <v>298</v>
      </c>
      <c r="C18" s="33" t="s">
        <v>444</v>
      </c>
      <c r="D18" s="33" t="s">
        <v>105</v>
      </c>
      <c r="E18" s="33" t="s">
        <v>54</v>
      </c>
      <c r="F18" s="49">
        <v>0</v>
      </c>
      <c r="G18" s="49">
        <v>4</v>
      </c>
      <c r="H18" s="49">
        <v>1884</v>
      </c>
      <c r="I18" s="49">
        <v>1895</v>
      </c>
      <c r="J18" s="33" t="s">
        <v>55</v>
      </c>
      <c r="K18" s="49">
        <v>1692</v>
      </c>
      <c r="L18" s="145" t="s">
        <v>52</v>
      </c>
      <c r="M18" s="148">
        <f t="shared" si="0"/>
        <v>-107.184</v>
      </c>
      <c r="N18" s="87" t="str">
        <f>VLOOKUP(C18,'Trips&amp;Operators'!$C$1:$E$99999,3,FALSE)</f>
        <v>SANTIZO</v>
      </c>
      <c r="O18" s="169" t="s">
        <v>86</v>
      </c>
      <c r="P18" s="10" t="s">
        <v>773</v>
      </c>
      <c r="Q18" s="33"/>
      <c r="R18" s="103" t="str">
        <f>VLOOKUP(C18,'Train Runs'!$A$13:$AE$10010,31,0)</f>
        <v>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 &amp; aws s3 cp s3://rtdc.mdm.uploadarchive.raw/RTDC4029/ "%USERPROFILE%\AppData\Local\Temp\OnboardLogs"\RTDC4029\2016-10-12 --exclude "*" --recursive --include "*20161012*" &amp; "%USERPROFILE%\Documents\GitHub\mrs-test-scripts\Headless Mode &amp; Sideloading\WalkAndUnGZ.bat" "%USERPROFILE%\AppData\Local\Temp\OnboardLogs"\RTDC4029\2016-10-12</v>
      </c>
      <c r="S18" s="106" t="str">
        <f>VLOOKUP(C18,'Train Runs'!$A$13:$AE$10010,22,0)</f>
        <v>https://search-rtdc-monitor-bjffxe2xuh6vdkpspy63sjmuny.us-east-1.es.amazonaws.com/_plugin/kibana/#/discover/Steve-Slow-Train-Analysis-(2080s-and-2083s)?_g=(refreshInterval:(display:Off,section:0,value:0),time:(from:'2016-10-11 09:15:51-0600',mode:absolute,to:'2016-10-11 11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8" s="108" t="str">
        <f t="shared" si="1"/>
        <v>"C:\Program Files (x86)\AstroGrep\AstroGrep.exe" /spath="%USERPROFILE%\AppData\Local\Temp\OnboardLogs" /stypes="*4029*201610111*" /stext=" 16:.+((SYSTEM_STATE.+slice.+state.+changed )|(ment ac)|(system.+state.+changed )|(\[timeout)|(PRM\|1\|D)|(kpr)|(kdp)|(\|lc)|(penalty))" /e /r /s</v>
      </c>
      <c r="U18" s="9" t="str">
        <f t="shared" si="2"/>
        <v>4029</v>
      </c>
      <c r="V18" s="38">
        <f t="shared" si="3"/>
        <v>42654.68105324074</v>
      </c>
      <c r="W18" s="52" t="str">
        <f t="shared" si="4"/>
        <v>EC</v>
      </c>
      <c r="X18" s="52" t="str">
        <f t="shared" si="5"/>
        <v>KEEP</v>
      </c>
      <c r="Y18" s="129" t="str">
        <f t="shared" si="6"/>
        <v>echo {"issue":{"subject":"Departure from Main 3","project_id":79,"tracker_id":40,"status_id":1,"priority_id":2,"assigned_to_id":23,"start_date":"2016-10-11","description":"","custom_fields":[{"id":1,"name":"Subdivision","value":"EC"},{"id":4,"name":"Milepost","value":"0.1692"},{"id":17,"name":"Train ID","value":"153-11"},{"id":16,"name":"Locomotive ID","value":"4029"},{"id":130,"name":"Impact","value":""},{"id":150,"name":"Time of Event (Mountain Time)","value":"10:20:43"},{"id":151,"name":"Denver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0" t="str">
        <f t="shared" si="7"/>
        <v>grep -hSE -A100 "Enforcement Action" "%USERPROFILE%\AppData\Local\Temp\OnboardLogs"\RTDC4029\*4029*201610111* | grep -SE "((Enforcement Ac)|(PRM))" -</v>
      </c>
    </row>
    <row r="19" spans="1:29" s="1" customFormat="1" x14ac:dyDescent="0.25">
      <c r="A19" s="38">
        <v>42654.445902777778</v>
      </c>
      <c r="B19" s="33" t="s">
        <v>224</v>
      </c>
      <c r="C19" s="33" t="s">
        <v>434</v>
      </c>
      <c r="D19" s="33" t="s">
        <v>49</v>
      </c>
      <c r="E19" s="33" t="s">
        <v>54</v>
      </c>
      <c r="F19" s="49">
        <v>0</v>
      </c>
      <c r="G19" s="49">
        <v>376</v>
      </c>
      <c r="H19" s="49">
        <v>129134</v>
      </c>
      <c r="I19" s="49">
        <v>128273</v>
      </c>
      <c r="J19" s="33" t="s">
        <v>55</v>
      </c>
      <c r="K19" s="49">
        <v>127587</v>
      </c>
      <c r="L19" s="145" t="s">
        <v>53</v>
      </c>
      <c r="M19" s="148">
        <f t="shared" si="0"/>
        <v>362.20800000000003</v>
      </c>
      <c r="N19" s="87" t="str">
        <f>VLOOKUP(C19,'Trips&amp;Operators'!$C$1:$E$99999,3,FALSE)</f>
        <v>DAVIS</v>
      </c>
      <c r="O19" s="169" t="s">
        <v>86</v>
      </c>
      <c r="P19" s="10" t="s">
        <v>374</v>
      </c>
      <c r="Q19" s="33"/>
      <c r="R19" s="103" t="str">
        <f>VLOOKUP(C19,'Train Runs'!$A$13:$AE$10010,31,0)</f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S19" s="106" t="str">
        <f>VLOOKUP(C19,'Train Runs'!$A$13:$AE$10010,22,0)</f>
        <v>https://search-rtdc-monitor-bjffxe2xuh6vdkpspy63sjmuny.us-east-1.es.amazonaws.com/_plugin/kibana/#/discover/Steve-Slow-Train-Analysis-(2080s-and-2083s)?_g=(refreshInterval:(display:Off,section:0,value:0),time:(from:'2016-10-11 09:25:38-0600',mode:absolute,to:'2016-10-11 12:14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9" s="108" t="str">
        <f t="shared" si="1"/>
        <v>"C:\Program Files (x86)\AstroGrep\AstroGrep.exe" /spath="%USERPROFILE%\AppData\Local\Temp\OnboardLogs" /stypes="*4004*201610111*" /stext=" 16:.+((SYSTEM_STATE.+slice.+state.+changed )|(ment ac)|(system.+state.+changed )|(\[timeout)|(PRM\|1\|D)|(kpr)|(kdp)|(\|lc)|(penalty))" /e /r /s</v>
      </c>
      <c r="U19" s="9" t="str">
        <f t="shared" si="2"/>
        <v>4004</v>
      </c>
      <c r="V19" s="38">
        <f t="shared" si="3"/>
        <v>42654.695902777778</v>
      </c>
      <c r="W19" s="52" t="str">
        <f t="shared" si="4"/>
        <v>EC</v>
      </c>
      <c r="X19" s="52" t="str">
        <f t="shared" si="5"/>
        <v>KEEP</v>
      </c>
      <c r="Y19" s="129" t="str">
        <f t="shared" si="6"/>
        <v>echo {"issue":{"subject":"40th 4S STOP, cleared afterward","project_id":79,"tracker_id":40,"status_id":1,"priority_id":2,"assigned_to_id":23,"start_date":"2016-10-11","description":"","custom_fields":[{"id":1,"name":"Subdivision","value":"EC"},{"id":4,"name":"Milepost","value":"12.7587"},{"id":17,"name":"Train ID","value":"148-11"},{"id":16,"name":"Locomotive ID","value":"4004"},{"id":130,"name":"Impact","value":""},{"id":150,"name":"Time of Event (Mountain Time)","value":"10:42:06"},{"id":151,"name":"Denver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0" t="str">
        <f t="shared" si="7"/>
        <v>grep -hSE -A100 "Enforcement Action" "%USERPROFILE%\AppData\Local\Temp\OnboardLogs"\RTDC4004\*4004*201610111* | grep -SE "((Enforcement Ac)|(PRM))" -</v>
      </c>
    </row>
    <row r="20" spans="1:29" x14ac:dyDescent="0.25">
      <c r="A20" s="38">
        <v>42654.645462962966</v>
      </c>
      <c r="B20" s="33" t="s">
        <v>538</v>
      </c>
      <c r="C20" s="33" t="s">
        <v>546</v>
      </c>
      <c r="D20" s="33" t="s">
        <v>49</v>
      </c>
      <c r="E20" s="33" t="s">
        <v>54</v>
      </c>
      <c r="F20" s="49">
        <v>0</v>
      </c>
      <c r="G20" s="49">
        <v>477</v>
      </c>
      <c r="H20" s="49">
        <v>130745</v>
      </c>
      <c r="I20" s="49">
        <v>129178</v>
      </c>
      <c r="J20" s="33" t="s">
        <v>55</v>
      </c>
      <c r="K20" s="49">
        <v>127587</v>
      </c>
      <c r="L20" s="145" t="s">
        <v>53</v>
      </c>
      <c r="M20" s="148">
        <f t="shared" si="0"/>
        <v>840.048</v>
      </c>
      <c r="N20" s="87" t="str">
        <f>VLOOKUP(C20,'Trips&amp;Operators'!$C$1:$E$99999,3,FALSE)</f>
        <v>STORY</v>
      </c>
      <c r="O20" s="169" t="s">
        <v>86</v>
      </c>
      <c r="P20" s="10" t="s">
        <v>374</v>
      </c>
      <c r="Q20" s="33"/>
      <c r="R20" s="103" t="str">
        <f>VLOOKUP(C20,'Train Runs'!$A$13:$AE$10010,31,0)</f>
        <v>aws s3 cp s3://rtdc.mdm.uploadarchive.raw/RTDC4054/ "%USERPROFILE%\AppData\Local\Temp\OnboardLogs"\RTDC4054\2016-10-11 --exclude "*" --recursive --include "*20161011*" &amp; "%USERPROFILE%\Documents\GitHub\mrs-test-scripts\Headless Mode &amp; Sideloading\WalkAndUnGZ.bat" "%USERPROFILE%\AppData\Local\Temp\OnboardLogs"\RTDC4054\2016-10-11 &amp; 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</v>
      </c>
      <c r="S20" s="106" t="str">
        <f>VLOOKUP(C20,'Train Runs'!$A$13:$AE$10010,22,0)</f>
        <v>https://search-rtdc-monitor-bjffxe2xuh6vdkpspy63sjmuny.us-east-1.es.amazonaws.com/_plugin/kibana/#/discover/Steve-Slow-Train-Analysis-(2080s-and-2083s)?_g=(refreshInterval:(display:Off,section:0,value:0),time:(from:'2016-10-11 14:06:27-0600',mode:absolute,to:'2016-10-11 16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0" s="108" t="str">
        <f t="shared" si="1"/>
        <v>"C:\Program Files (x86)\AstroGrep\AstroGrep.exe" /spath="%USERPROFILE%\AppData\Local\Temp\OnboardLogs" /stypes="*4054*201610112*" /stext=" 21:.+((SYSTEM_STATE.+slice.+state.+changed )|(ment ac)|(system.+state.+changed )|(\[timeout)|(PRM\|1\|D)|(kpr)|(kdp)|(\|lc)|(penalty))" /e /r /s</v>
      </c>
      <c r="U20" s="9" t="str">
        <f t="shared" si="2"/>
        <v>4054</v>
      </c>
      <c r="V20" s="38">
        <f t="shared" si="3"/>
        <v>42654.895462962966</v>
      </c>
      <c r="W20" s="52" t="str">
        <f t="shared" si="4"/>
        <v>EC</v>
      </c>
      <c r="X20" s="52" t="str">
        <f t="shared" si="5"/>
        <v>KEEP</v>
      </c>
      <c r="Y20" s="129" t="str">
        <f t="shared" si="6"/>
        <v>echo {"issue":{"subject":"40th 4S STOP, cleared afterward","project_id":79,"tracker_id":40,"status_id":1,"priority_id":2,"assigned_to_id":23,"start_date":"2016-10-11","description":"","custom_fields":[{"id":1,"name":"Subdivision","value":"EC"},{"id":4,"name":"Milepost","value":"12.7587"},{"id":17,"name":"Train ID","value":"186-11"},{"id":16,"name":"Locomotive ID","value":"4054"},{"id":130,"name":"Impact","value":""},{"id":150,"name":"Time of Event (Mountain Time)","value":"15:29:28"},{"id":151,"name":"Denver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0" t="str">
        <f t="shared" si="7"/>
        <v>grep -hSE -A100 "Enforcement Action" "%USERPROFILE%\AppData\Local\Temp\OnboardLogs"\RTDC4054\*4054*201610112* | grep -SE "((Enforcement Ac)|(PRM))" -</v>
      </c>
    </row>
    <row r="21" spans="1:29" s="1" customFormat="1" x14ac:dyDescent="0.25">
      <c r="A21" s="38">
        <v>42654.29178240741</v>
      </c>
      <c r="B21" s="33" t="s">
        <v>279</v>
      </c>
      <c r="C21" s="33" t="s">
        <v>399</v>
      </c>
      <c r="D21" s="33" t="s">
        <v>49</v>
      </c>
      <c r="E21" s="33" t="s">
        <v>54</v>
      </c>
      <c r="F21" s="49">
        <v>0</v>
      </c>
      <c r="G21" s="49">
        <v>597</v>
      </c>
      <c r="H21" s="49">
        <v>190649</v>
      </c>
      <c r="I21" s="49">
        <v>193119</v>
      </c>
      <c r="J21" s="33" t="s">
        <v>55</v>
      </c>
      <c r="K21" s="49">
        <v>190738</v>
      </c>
      <c r="L21" s="145" t="s">
        <v>52</v>
      </c>
      <c r="M21" s="148">
        <f t="shared" si="0"/>
        <v>-1257.1679999999999</v>
      </c>
      <c r="N21" s="87" t="str">
        <f>VLOOKUP(C21,'Trips&amp;Operators'!$C$1:$E$99999,3,FALSE)</f>
        <v>KILLION</v>
      </c>
      <c r="O21" s="169" t="s">
        <v>246</v>
      </c>
      <c r="P21" s="10" t="s">
        <v>765</v>
      </c>
      <c r="Q21" s="33"/>
      <c r="R21" s="103" t="str">
        <f>VLOOKUP(C21,'Train Runs'!$A$13:$AE$10010,31,0)</f>
        <v>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 &amp; 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</v>
      </c>
      <c r="S21" s="106" t="str">
        <f>VLOOKUP(C21,'Train Runs'!$A$13:$AE$10010,22,0)</f>
        <v>https://search-rtdc-monitor-bjffxe2xuh6vdkpspy63sjmuny.us-east-1.es.amazonaws.com/_plugin/kibana/#/discover/Steve-Slow-Train-Analysis-(2080s-and-2083s)?_g=(refreshInterval:(display:Off,section:0,value:0),time:(from:'2016-10-11 05:26:33-0600',mode:absolute,to:'2016-10-11 08:00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1" s="108" t="str">
        <f t="shared" si="1"/>
        <v>"C:\Program Files (x86)\AstroGrep\AstroGrep.exe" /spath="%USERPROFILE%\AppData\Local\Temp\OnboardLogs" /stypes="*4040*201610111*" /stext=" 13:.+((SYSTEM_STATE.+slice.+state.+changed )|(ment ac)|(system.+state.+changed )|(\[timeout)|(PRM\|1\|D)|(kpr)|(kdp)|(\|lc)|(penalty))" /e /r /s</v>
      </c>
      <c r="U21" s="9" t="str">
        <f t="shared" si="2"/>
        <v>4040</v>
      </c>
      <c r="V21" s="38">
        <f t="shared" si="3"/>
        <v>42654.54178240741</v>
      </c>
      <c r="W21" s="52" t="str">
        <f t="shared" si="4"/>
        <v>EC</v>
      </c>
      <c r="X21" s="52" t="str">
        <f t="shared" si="5"/>
        <v>KEEP</v>
      </c>
      <c r="Y21" s="129" t="str">
        <f t="shared" si="6"/>
        <v>echo {"issue":{"subject":"Premature downgrade at Pena 2N","project_id":79,"tracker_id":40,"status_id":1,"priority_id":2,"assigned_to_id":23,"start_date":"2016-10-11","description":"","custom_fields":[{"id":1,"name":"Subdivision","value":"EC"},{"id":4,"name":"Milepost","value":"19.0738"},{"id":17,"name":"Train ID","value":"123-11"},{"id":16,"name":"Locomotive ID","value":"4040"},{"id":130,"name":"Impact","value":""},{"id":150,"name":"Time of Event (Mountain Time)","value":"07:00:10"},{"id":151,"name":"Denver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0" t="str">
        <f t="shared" si="7"/>
        <v>grep -hSE -A100 "Enforcement Action" "%USERPROFILE%\AppData\Local\Temp\OnboardLogs"\RTDC4040\*4040*201610111* | grep -SE "((Enforcement Ac)|(PRM))" -</v>
      </c>
    </row>
    <row r="22" spans="1:29" x14ac:dyDescent="0.25">
      <c r="A22" s="38">
        <v>42654.401631944442</v>
      </c>
      <c r="B22" s="33" t="s">
        <v>537</v>
      </c>
      <c r="C22" s="33" t="s">
        <v>421</v>
      </c>
      <c r="D22" s="33" t="s">
        <v>49</v>
      </c>
      <c r="E22" s="33" t="s">
        <v>535</v>
      </c>
      <c r="F22" s="49">
        <v>0</v>
      </c>
      <c r="G22" s="49">
        <v>402</v>
      </c>
      <c r="H22" s="49">
        <v>157767</v>
      </c>
      <c r="I22" s="49">
        <v>0</v>
      </c>
      <c r="J22" s="33" t="s">
        <v>536</v>
      </c>
      <c r="K22" s="49">
        <v>156300</v>
      </c>
      <c r="L22" s="145" t="s">
        <v>53</v>
      </c>
      <c r="M22" s="148">
        <f t="shared" si="0"/>
        <v>-82526.399999999994</v>
      </c>
      <c r="N22" s="87" t="str">
        <f>VLOOKUP(C22,'Trips&amp;Operators'!$C$1:$E$99999,3,FALSE)</f>
        <v>KILLION</v>
      </c>
      <c r="O22" s="169" t="s">
        <v>246</v>
      </c>
      <c r="P22" s="10" t="s">
        <v>787</v>
      </c>
      <c r="Q22" s="33"/>
      <c r="R22" s="103" t="str">
        <f>VLOOKUP(C22,'Train Runs'!$A$13:$AE$10010,31,0)</f>
        <v>aws s3 cp s3://rtdc.mdm.uploadarchive.raw/RTDC4015/ "%USERPROFILE%\AppData\Local\Temp\OnboardLogs"\RTDC4015\2016-10-11 --exclude "*" --recursive --include "*20161011*" &amp; "%USERPROFILE%\Documents\GitHub\mrs-test-scripts\Headless Mode &amp; Sideloading\WalkAndUnGZ.bat" "%USERPROFILE%\AppData\Local\Temp\OnboardLogs"\RTDC4015\2016-10-11 &amp; 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</v>
      </c>
      <c r="S22" s="106" t="str">
        <f>VLOOKUP(C22,'Train Runs'!$A$13:$AE$10010,22,0)</f>
        <v>https://search-rtdc-monitor-bjffxe2xuh6vdkpspy63sjmuny.us-east-1.es.amazonaws.com/_plugin/kibana/#/discover/Steve-Slow-Train-Analysis-(2080s-and-2083s)?_g=(refreshInterval:(display:Off,section:0,value:0),time:(from:'2016-10-11 08:17:36-0600',mode:absolute,to:'2016-10-11 11:19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2" s="108" t="str">
        <f t="shared" si="1"/>
        <v>"C:\Program Files (x86)\AstroGrep\AstroGrep.exe" /spath="%USERPROFILE%\AppData\Local\Temp\OnboardLogs" /stypes="*4015*201610111*" /stext=" 15:.+((SYSTEM_STATE.+slice.+state.+changed )|(ment ac)|(system.+state.+changed )|(\[timeout)|(PRM\|1\|D)|(kpr)|(kdp)|(\|lc)|(penalty))" /e /r /s</v>
      </c>
      <c r="U22" s="9" t="str">
        <f t="shared" si="2"/>
        <v>4015</v>
      </c>
      <c r="V22" s="38">
        <f t="shared" si="3"/>
        <v>42654.651631944442</v>
      </c>
      <c r="W22" s="52" t="str">
        <f t="shared" si="4"/>
        <v>EC</v>
      </c>
      <c r="X22" s="52" t="str">
        <f t="shared" si="5"/>
        <v>KEEP</v>
      </c>
      <c r="Y22" s="129" t="str">
        <f t="shared" si="6"/>
        <v>echo {"issue":{"subject":"CP 61st reset","project_id":79,"tracker_id":40,"status_id":1,"priority_id":2,"assigned_to_id":23,"start_date":"2016-10-11","description":"","custom_fields":[{"id":1,"name":"Subdivision","value":"EC"},{"id":4,"name":"Milepost","value":"15.63"},{"id":17,"name":"Train ID","value":"140-11"},{"id":16,"name":"Locomotive ID","value":"4015"},{"id":130,"name":"Impact","value":""},{"id":150,"name":"Time of Event (Mountain Time)","value":"09:38:21"},{"id":151,"name":"Denver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0" t="str">
        <f t="shared" si="7"/>
        <v>grep -hSE -A100 "Enforcement Action" "%USERPROFILE%\AppData\Local\Temp\OnboardLogs"\RTDC4015\*4015*201610111* | grep -SE "((Enforcement Ac)|(PRM))" -</v>
      </c>
    </row>
    <row r="23" spans="1:29" x14ac:dyDescent="0.25">
      <c r="A23" s="38">
        <v>42654.379988425928</v>
      </c>
      <c r="B23" s="33" t="s">
        <v>231</v>
      </c>
      <c r="C23" s="33" t="s">
        <v>412</v>
      </c>
      <c r="D23" s="33" t="s">
        <v>49</v>
      </c>
      <c r="E23" s="33" t="s">
        <v>50</v>
      </c>
      <c r="F23" s="49">
        <v>0</v>
      </c>
      <c r="G23" s="49">
        <v>91</v>
      </c>
      <c r="H23" s="49">
        <v>356</v>
      </c>
      <c r="I23" s="49">
        <v>247</v>
      </c>
      <c r="J23" s="33" t="s">
        <v>51</v>
      </c>
      <c r="K23" s="49">
        <v>1</v>
      </c>
      <c r="L23" s="145" t="s">
        <v>53</v>
      </c>
      <c r="M23" s="148">
        <f t="shared" si="0"/>
        <v>129.88800000000001</v>
      </c>
      <c r="N23" s="87" t="str">
        <f>VLOOKUP(C23,'Trips&amp;Operators'!$C$1:$E$99999,3,FALSE)</f>
        <v>SPECTOR</v>
      </c>
      <c r="O23" s="169" t="s">
        <v>86</v>
      </c>
      <c r="P23" s="10"/>
      <c r="Q23" s="33"/>
      <c r="R23" s="103" t="str">
        <f>VLOOKUP(C23,'Train Runs'!$A$13:$AE$10010,31,0)</f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S23" s="106" t="str">
        <f>VLOOKUP(C23,'Train Runs'!$A$13:$AE$10010,22,0)</f>
        <v>https://search-rtdc-monitor-bjffxe2xuh6vdkpspy63sjmuny.us-east-1.es.amazonaws.com/_plugin/kibana/#/discover/Steve-Slow-Train-Analysis-(2080s-and-2083s)?_g=(refreshInterval:(display:Off,section:0,value:0),time:(from:'2016-10-11 07:21:36-0600',mode:absolute,to:'2016-10-11 10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3" s="108" t="str">
        <f t="shared" si="1"/>
        <v>"C:\Program Files (x86)\AstroGrep\AstroGrep.exe" /spath="%USERPROFILE%\AppData\Local\Temp\OnboardLogs" /stypes="*4008*201610111*" /stext=" 15:.+((SYSTEM_STATE.+slice.+state.+changed )|(ment ac)|(system.+state.+changed )|(\[timeout)|(PRM\|1\|D)|(kpr)|(kdp)|(\|lc)|(penalty))" /e /r /s</v>
      </c>
      <c r="U23" s="9" t="str">
        <f t="shared" si="2"/>
        <v>4008</v>
      </c>
      <c r="V23" s="38">
        <f t="shared" si="3"/>
        <v>42654.629988425928</v>
      </c>
      <c r="W23" s="52" t="str">
        <f t="shared" si="4"/>
        <v>EC</v>
      </c>
      <c r="X23" s="52" t="str">
        <f t="shared" si="5"/>
        <v>KEEP</v>
      </c>
      <c r="Y23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{"issue":{"subject":"","project_id":79,"tracker_id":40,"status_id":1,"priority_id":2,"assigned_to_id":23,"start_date":"2016-10-11","description":"","custom_fields":[{"id":1,"name":"Subdivision","value":"EC"},{"id":4,"name":"Milepost","value":"0.0001"},{"id":17,"name":"Train ID","value":"132-11"},{"id":16,"name":"Locomotive ID","value":"4008"},{"id":130,"name":"Impact","value":""},{"id":150,"name":"Time of Event (Mountain Time)","value":"09:07:11"},{"id":151,"name":"Denver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0" t="str">
        <f t="shared" si="7"/>
        <v>grep -hSE -A100 "Enforcement Action" "%USERPROFILE%\AppData\Local\Temp\OnboardLogs"\RTDC4008\*4008*201610111* | grep -SE "((Enforcement Ac)|(PRM))" -</v>
      </c>
    </row>
    <row r="24" spans="1:29" x14ac:dyDescent="0.25">
      <c r="A24" s="38">
        <v>42654.380439814813</v>
      </c>
      <c r="B24" s="33" t="s">
        <v>231</v>
      </c>
      <c r="C24" s="33" t="s">
        <v>412</v>
      </c>
      <c r="D24" s="33" t="s">
        <v>49</v>
      </c>
      <c r="E24" s="33" t="s">
        <v>50</v>
      </c>
      <c r="F24" s="49">
        <v>0</v>
      </c>
      <c r="G24" s="49">
        <v>45</v>
      </c>
      <c r="H24" s="49">
        <v>143</v>
      </c>
      <c r="I24" s="49">
        <v>114</v>
      </c>
      <c r="J24" s="33" t="s">
        <v>51</v>
      </c>
      <c r="K24" s="49">
        <v>1</v>
      </c>
      <c r="L24" s="145" t="s">
        <v>53</v>
      </c>
      <c r="M24" s="148">
        <f t="shared" si="0"/>
        <v>59.664000000000001</v>
      </c>
      <c r="N24" s="87" t="str">
        <f>VLOOKUP(C24,'Trips&amp;Operators'!$C$1:$E$99999,3,FALSE)</f>
        <v>SPECTOR</v>
      </c>
      <c r="O24" s="169" t="s">
        <v>86</v>
      </c>
      <c r="P24" s="10"/>
      <c r="Q24" s="33"/>
      <c r="R24" s="103" t="str">
        <f>VLOOKUP(C24,'Train Runs'!$A$13:$AE$10010,31,0)</f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S24" s="106" t="str">
        <f>VLOOKUP(C24,'Train Runs'!$A$13:$AE$10010,22,0)</f>
        <v>https://search-rtdc-monitor-bjffxe2xuh6vdkpspy63sjmuny.us-east-1.es.amazonaws.com/_plugin/kibana/#/discover/Steve-Slow-Train-Analysis-(2080s-and-2083s)?_g=(refreshInterval:(display:Off,section:0,value:0),time:(from:'2016-10-11 07:21:36-0600',mode:absolute,to:'2016-10-11 10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4" s="108" t="str">
        <f t="shared" si="1"/>
        <v>"C:\Program Files (x86)\AstroGrep\AstroGrep.exe" /spath="%USERPROFILE%\AppData\Local\Temp\OnboardLogs" /stypes="*4008*201610111*" /stext=" 15:.+((SYSTEM_STATE.+slice.+state.+changed )|(ment ac)|(system.+state.+changed )|(\[timeout)|(PRM\|1\|D)|(kpr)|(kdp)|(\|lc)|(penalty))" /e /r /s</v>
      </c>
      <c r="U24" s="9" t="str">
        <f t="shared" si="2"/>
        <v>4008</v>
      </c>
      <c r="V24" s="38">
        <f t="shared" si="3"/>
        <v>42654.630439814813</v>
      </c>
      <c r="W24" s="52" t="str">
        <f t="shared" si="4"/>
        <v>EC</v>
      </c>
      <c r="X24" s="52" t="str">
        <f t="shared" si="5"/>
        <v>KEEP</v>
      </c>
      <c r="Y24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{"issue":{"subject":"","project_id":79,"tracker_id":40,"status_id":1,"priority_id":2,"assigned_to_id":23,"start_date":"2016-10-11","description":"","custom_fields":[{"id":1,"name":"Subdivision","value":"EC"},{"id":4,"name":"Milepost","value":"0.0001"},{"id":17,"name":"Train ID","value":"132-11"},{"id":16,"name":"Locomotive ID","value":"4008"},{"id":130,"name":"Impact","value":""},{"id":150,"name":"Time of Event (Mountain Time)","value":"09:07:50"},{"id":151,"name":"Denver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0" t="str">
        <f t="shared" si="7"/>
        <v>grep -hSE -A100 "Enforcement Action" "%USERPROFILE%\AppData\Local\Temp\OnboardLogs"\RTDC4008\*4008*201610111* | grep -SE "((Enforcement Ac)|(PRM))" -</v>
      </c>
    </row>
    <row r="25" spans="1:29" ht="15" customHeight="1" x14ac:dyDescent="0.25">
      <c r="A25" s="38">
        <v>42654.456307870372</v>
      </c>
      <c r="B25" s="33" t="s">
        <v>231</v>
      </c>
      <c r="C25" s="33" t="s">
        <v>431</v>
      </c>
      <c r="D25" s="33" t="s">
        <v>49</v>
      </c>
      <c r="E25" s="33" t="s">
        <v>50</v>
      </c>
      <c r="F25" s="49">
        <v>0</v>
      </c>
      <c r="G25" s="49">
        <v>57</v>
      </c>
      <c r="H25" s="49">
        <v>205</v>
      </c>
      <c r="I25" s="49">
        <v>134</v>
      </c>
      <c r="J25" s="33" t="s">
        <v>51</v>
      </c>
      <c r="K25" s="49">
        <v>1</v>
      </c>
      <c r="L25" s="145" t="s">
        <v>53</v>
      </c>
      <c r="M25" s="148">
        <f t="shared" si="0"/>
        <v>70.224000000000004</v>
      </c>
      <c r="N25" s="87" t="str">
        <f>VLOOKUP(C25,'Trips&amp;Operators'!$C$1:$E$99999,3,FALSE)</f>
        <v>SPECTOR</v>
      </c>
      <c r="O25" s="169" t="s">
        <v>86</v>
      </c>
      <c r="P25" s="10"/>
      <c r="Q25" s="33"/>
      <c r="R25" s="103" t="str">
        <f>VLOOKUP(C25,'Train Runs'!$A$13:$AE$10010,31,0)</f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S25" s="106" t="str">
        <f>VLOOKUP(C25,'Train Runs'!$A$13:$AE$10010,22,0)</f>
        <v>https://search-rtdc-monitor-bjffxe2xuh6vdkpspy63sjmuny.us-east-1.es.amazonaws.com/_plugin/kibana/#/discover/Steve-Slow-Train-Analysis-(2080s-and-2083s)?_g=(refreshInterval:(display:Off,section:0,value:0),time:(from:'2016-10-11 09:18:16-0600',mode:absolute,to:'2016-10-11 11:57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5" s="108" t="str">
        <f t="shared" si="1"/>
        <v>"C:\Program Files (x86)\AstroGrep\AstroGrep.exe" /spath="%USERPROFILE%\AppData\Local\Temp\OnboardLogs" /stypes="*4008*201610111*" /stext=" 16:.+((SYSTEM_STATE.+slice.+state.+changed )|(ment ac)|(system.+state.+changed )|(\[timeout)|(PRM\|1\|D)|(kpr)|(kdp)|(\|lc)|(penalty))" /e /r /s</v>
      </c>
      <c r="U25" s="9" t="str">
        <f t="shared" si="2"/>
        <v>4008</v>
      </c>
      <c r="V25" s="38">
        <f t="shared" si="3"/>
        <v>42654.706307870372</v>
      </c>
      <c r="W25" s="52" t="str">
        <f t="shared" si="4"/>
        <v>EC</v>
      </c>
      <c r="X25" s="52" t="str">
        <f t="shared" si="5"/>
        <v>KEEP</v>
      </c>
      <c r="Y25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{"issue":{"subject":"","project_id":79,"tracker_id":40,"status_id":1,"priority_id":2,"assigned_to_id":23,"start_date":"2016-10-11","description":"","custom_fields":[{"id":1,"name":"Subdivision","value":"EC"},{"id":4,"name":"Milepost","value":"0.0001"},{"id":17,"name":"Train ID","value":"146-11"},{"id":16,"name":"Locomotive ID","value":"4008"},{"id":130,"name":"Impact","value":""},{"id":150,"name":"Time of Event (Mountain Time)","value":"10:57:05"},{"id":151,"name":"Denver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0" t="str">
        <f t="shared" si="7"/>
        <v>grep -hSE -A100 "Enforcement Action" "%USERPROFILE%\AppData\Local\Temp\OnboardLogs"\RTDC4008\*4008*201610111* | grep -SE "((Enforcement Ac)|(PRM))" -</v>
      </c>
    </row>
    <row r="26" spans="1:29" x14ac:dyDescent="0.25">
      <c r="A26" s="38">
        <v>42654.493414351855</v>
      </c>
      <c r="B26" s="33" t="s">
        <v>295</v>
      </c>
      <c r="C26" s="33" t="s">
        <v>448</v>
      </c>
      <c r="D26" s="33" t="s">
        <v>49</v>
      </c>
      <c r="E26" s="33" t="s">
        <v>50</v>
      </c>
      <c r="F26" s="49">
        <v>0</v>
      </c>
      <c r="G26" s="49">
        <v>66</v>
      </c>
      <c r="H26" s="49">
        <v>249</v>
      </c>
      <c r="I26" s="49">
        <v>118</v>
      </c>
      <c r="J26" s="33" t="s">
        <v>51</v>
      </c>
      <c r="K26" s="49">
        <v>1</v>
      </c>
      <c r="L26" s="145" t="s">
        <v>53</v>
      </c>
      <c r="M26" s="148">
        <f t="shared" si="0"/>
        <v>61.776000000000003</v>
      </c>
      <c r="N26" s="87" t="str">
        <f>VLOOKUP(C26,'Trips&amp;Operators'!$C$1:$E$99999,3,FALSE)</f>
        <v>SANTIZO</v>
      </c>
      <c r="O26" s="169" t="s">
        <v>86</v>
      </c>
      <c r="P26" s="10"/>
      <c r="Q26" s="33"/>
      <c r="R26" s="103" t="str">
        <f>VLOOKUP(C26,'Train Runs'!$A$13:$AE$10010,31,0)</f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S26" s="106" t="str">
        <f>VLOOKUP(C26,'Train Runs'!$A$13:$AE$10010,22,0)</f>
        <v>https://search-rtdc-monitor-bjffxe2xuh6vdkpspy63sjmuny.us-east-1.es.amazonaws.com/_plugin/kibana/#/discover/Steve-Slow-Train-Analysis-(2080s-and-2083s)?_g=(refreshInterval:(display:Off,section:0,value:0),time:(from:'2016-10-11 09:59:14-0600',mode:absolute,to:'2016-10-11 12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6" s="108" t="str">
        <f t="shared" si="1"/>
        <v>"C:\Program Files (x86)\AstroGrep\AstroGrep.exe" /spath="%USERPROFILE%\AppData\Local\Temp\OnboardLogs" /stypes="*4030*201610111*" /stext=" 17:.+((SYSTEM_STATE.+slice.+state.+changed )|(ment ac)|(system.+state.+changed )|(\[timeout)|(PRM\|1\|D)|(kpr)|(kdp)|(\|lc)|(penalty))" /e /r /s</v>
      </c>
      <c r="U26" s="9" t="str">
        <f t="shared" si="2"/>
        <v>4030</v>
      </c>
      <c r="V26" s="38">
        <f t="shared" si="3"/>
        <v>42654.743414351855</v>
      </c>
      <c r="W26" s="52" t="str">
        <f t="shared" si="4"/>
        <v>EC</v>
      </c>
      <c r="X26" s="52" t="str">
        <f t="shared" si="5"/>
        <v>KEEP</v>
      </c>
      <c r="Y26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{"issue":{"subject":"","project_id":79,"tracker_id":40,"status_id":1,"priority_id":2,"assigned_to_id":23,"start_date":"2016-10-11","description":"","custom_fields":[{"id":1,"name":"Subdivision","value":"EC"},{"id":4,"name":"Milepost","value":"0.0001"},{"id":17,"name":"Train ID","value":"154-11"},{"id":16,"name":"Locomotive ID","value":"4030"},{"id":130,"name":"Impact","value":""},{"id":150,"name":"Time of Event (Mountain Time)","value":"11:50:31"},{"id":151,"name":"Denver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0" t="str">
        <f t="shared" si="7"/>
        <v>grep -hSE -A100 "Enforcement Action" "%USERPROFILE%\AppData\Local\Temp\OnboardLogs"\RTDC4030\*4030*201610111* | grep -SE "((Enforcement Ac)|(PRM))" -</v>
      </c>
    </row>
    <row r="27" spans="1:29" x14ac:dyDescent="0.25">
      <c r="A27" s="38">
        <v>42654.608900462961</v>
      </c>
      <c r="B27" s="33" t="s">
        <v>224</v>
      </c>
      <c r="C27" s="33" t="s">
        <v>540</v>
      </c>
      <c r="D27" s="33" t="s">
        <v>49</v>
      </c>
      <c r="E27" s="33" t="s">
        <v>50</v>
      </c>
      <c r="F27" s="49">
        <v>0</v>
      </c>
      <c r="G27" s="49">
        <v>35</v>
      </c>
      <c r="H27" s="49">
        <v>147</v>
      </c>
      <c r="I27" s="49">
        <v>119</v>
      </c>
      <c r="J27" s="33" t="s">
        <v>51</v>
      </c>
      <c r="K27" s="49">
        <v>1</v>
      </c>
      <c r="L27" s="145" t="s">
        <v>53</v>
      </c>
      <c r="M27" s="148">
        <f t="shared" si="0"/>
        <v>62.304000000000002</v>
      </c>
      <c r="N27" s="87" t="str">
        <f>VLOOKUP(C27,'Trips&amp;Operators'!$C$1:$E$99999,3,FALSE)</f>
        <v>STEWART</v>
      </c>
      <c r="O27" s="169" t="s">
        <v>86</v>
      </c>
      <c r="P27" s="10"/>
      <c r="Q27" s="33"/>
      <c r="R27" s="103" t="str">
        <f>VLOOKUP(C27,'Train Runs'!$A$13:$AE$10010,31,0)</f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S27" s="106" t="str">
        <f>VLOOKUP(C27,'Train Runs'!$A$13:$AE$10010,22,0)</f>
        <v>https://search-rtdc-monitor-bjffxe2xuh6vdkpspy63sjmuny.us-east-1.es.amazonaws.com/_plugin/kibana/#/discover/Steve-Slow-Train-Analysis-(2080s-and-2083s)?_g=(refreshInterval:(display:Off,section:0,value:0),time:(from:'2016-10-11 12:50:20-0600',mode:absolute,to:'2016-10-11 15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7" s="108" t="str">
        <f t="shared" si="1"/>
        <v>"C:\Program Files (x86)\AstroGrep\AstroGrep.exe" /spath="%USERPROFILE%\AppData\Local\Temp\OnboardLogs" /stypes="*4004*201610112*" /stext=" 20:.+((SYSTEM_STATE.+slice.+state.+changed )|(ment ac)|(system.+state.+changed )|(\[timeout)|(PRM\|1\|D)|(kpr)|(kdp)|(\|lc)|(penalty))" /e /r /s</v>
      </c>
      <c r="U27" s="9" t="str">
        <f t="shared" si="2"/>
        <v>4004</v>
      </c>
      <c r="V27" s="38">
        <f t="shared" si="3"/>
        <v>42654.858900462961</v>
      </c>
      <c r="W27" s="52" t="str">
        <f t="shared" si="4"/>
        <v>EC</v>
      </c>
      <c r="X27" s="52" t="str">
        <f t="shared" si="5"/>
        <v>KEEP</v>
      </c>
      <c r="Y27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{"issue":{"subject":"","project_id":79,"tracker_id":40,"status_id":1,"priority_id":2,"assigned_to_id":23,"start_date":"2016-10-11","description":"","custom_fields":[{"id":1,"name":"Subdivision","value":"EC"},{"id":4,"name":"Milepost","value":"0.0001"},{"id":17,"name":"Train ID","value":"176-11"},{"id":16,"name":"Locomotive ID","value":"4004"},{"id":130,"name":"Impact","value":""},{"id":150,"name":"Time of Event (Mountain Time)","value":"14:36:49"},{"id":151,"name":"Denver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0" t="str">
        <f t="shared" si="7"/>
        <v>grep -hSE -A100 "Enforcement Action" "%USERPROFILE%\AppData\Local\Temp\OnboardLogs"\RTDC4004\*4004*201610112* | grep -SE "((Enforcement Ac)|(PRM))" -</v>
      </c>
    </row>
    <row r="28" spans="1:29" x14ac:dyDescent="0.25">
      <c r="A28" s="38">
        <v>42654.68341435185</v>
      </c>
      <c r="B28" s="33" t="s">
        <v>224</v>
      </c>
      <c r="C28" s="33" t="s">
        <v>548</v>
      </c>
      <c r="D28" s="33" t="s">
        <v>49</v>
      </c>
      <c r="E28" s="33" t="s">
        <v>50</v>
      </c>
      <c r="F28" s="49">
        <v>0</v>
      </c>
      <c r="G28" s="49">
        <v>57</v>
      </c>
      <c r="H28" s="49">
        <v>180</v>
      </c>
      <c r="I28" s="49">
        <v>139</v>
      </c>
      <c r="J28" s="33" t="s">
        <v>51</v>
      </c>
      <c r="K28" s="49">
        <v>1</v>
      </c>
      <c r="L28" s="145" t="s">
        <v>53</v>
      </c>
      <c r="M28" s="148">
        <f t="shared" si="0"/>
        <v>72.864000000000004</v>
      </c>
      <c r="N28" s="87" t="str">
        <f>VLOOKUP(C28,'Trips&amp;Operators'!$C$1:$E$99999,3,FALSE)</f>
        <v>STEWART</v>
      </c>
      <c r="O28" s="169" t="s">
        <v>86</v>
      </c>
      <c r="P28" s="10"/>
      <c r="Q28" s="33"/>
      <c r="R28" s="103" t="str">
        <f>VLOOKUP(C28,'Train Runs'!$A$13:$AE$10010,31,0)</f>
        <v>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 &amp; 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</v>
      </c>
      <c r="S28" s="106" t="str">
        <f>VLOOKUP(C28,'Train Runs'!$A$13:$AE$10010,22,0)</f>
        <v>https://search-rtdc-monitor-bjffxe2xuh6vdkpspy63sjmuny.us-east-1.es.amazonaws.com/_plugin/kibana/#/discover/Steve-Slow-Train-Analysis-(2080s-and-2083s)?_g=(refreshInterval:(display:Off,section:0,value:0),time:(from:'2016-10-11 14:38:07-0600',mode:absolute,to:'2016-10-11 17:24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8" s="108" t="str">
        <f t="shared" si="1"/>
        <v>"C:\Program Files (x86)\AstroGrep\AstroGrep.exe" /spath="%USERPROFILE%\AppData\Local\Temp\OnboardLogs" /stypes="*4004*201610112*" /stext=" 22:.+((SYSTEM_STATE.+slice.+state.+changed )|(ment ac)|(system.+state.+changed )|(\[timeout)|(PRM\|1\|D)|(kpr)|(kdp)|(\|lc)|(penalty))" /e /r /s</v>
      </c>
      <c r="U28" s="9" t="str">
        <f t="shared" si="2"/>
        <v>4004</v>
      </c>
      <c r="V28" s="38">
        <f t="shared" si="3"/>
        <v>42654.93341435185</v>
      </c>
      <c r="W28" s="52" t="str">
        <f t="shared" si="4"/>
        <v>EC</v>
      </c>
      <c r="X28" s="52" t="str">
        <f t="shared" si="5"/>
        <v>KEEP</v>
      </c>
      <c r="Y28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{"issue":{"subject":"","project_id":79,"tracker_id":40,"status_id":1,"priority_id":2,"assigned_to_id":23,"start_date":"2016-10-11","description":"","custom_fields":[{"id":1,"name":"Subdivision","value":"EC"},{"id":4,"name":"Milepost","value":"0.0001"},{"id":17,"name":"Train ID","value":"190-11"},{"id":16,"name":"Locomotive ID","value":"4004"},{"id":130,"name":"Impact","value":""},{"id":150,"name":"Time of Event (Mountain Time)","value":"16:24:07"},{"id":151,"name":"Denver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0" t="str">
        <f t="shared" si="7"/>
        <v>grep -hSE -A100 "Enforcement Action" "%USERPROFILE%\AppData\Local\Temp\OnboardLogs"\RTDC4004\*4004*201610112* | grep -SE "((Enforcement Ac)|(PRM))" -</v>
      </c>
    </row>
    <row r="29" spans="1:29" x14ac:dyDescent="0.25">
      <c r="A29" s="38">
        <v>42654.744027777779</v>
      </c>
      <c r="B29" s="33" t="s">
        <v>231</v>
      </c>
      <c r="C29" s="33" t="s">
        <v>552</v>
      </c>
      <c r="D29" s="33" t="s">
        <v>49</v>
      </c>
      <c r="E29" s="33" t="s">
        <v>50</v>
      </c>
      <c r="F29" s="49">
        <v>0</v>
      </c>
      <c r="G29" s="49">
        <v>47</v>
      </c>
      <c r="H29" s="49">
        <v>154</v>
      </c>
      <c r="I29" s="49">
        <v>119</v>
      </c>
      <c r="J29" s="33" t="s">
        <v>51</v>
      </c>
      <c r="K29" s="49">
        <v>1</v>
      </c>
      <c r="L29" s="145" t="s">
        <v>53</v>
      </c>
      <c r="M29" s="148">
        <f t="shared" si="0"/>
        <v>62.304000000000002</v>
      </c>
      <c r="N29" s="87" t="str">
        <f>VLOOKUP(C29,'Trips&amp;Operators'!$C$1:$E$99999,3,FALSE)</f>
        <v>BARTLETT</v>
      </c>
      <c r="O29" s="169" t="s">
        <v>86</v>
      </c>
      <c r="P29" s="10"/>
      <c r="Q29" s="33"/>
      <c r="R29" s="103" t="str">
        <f>VLOOKUP(C29,'Train Runs'!$A$13:$AE$10010,31,0)</f>
        <v>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 &amp; 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</v>
      </c>
      <c r="S29" s="106" t="str">
        <f>VLOOKUP(C29,'Train Runs'!$A$13:$AE$10010,22,0)</f>
        <v>https://search-rtdc-monitor-bjffxe2xuh6vdkpspy63sjmuny.us-east-1.es.amazonaws.com/_plugin/kibana/#/discover/Steve-Slow-Train-Analysis-(2080s-and-2083s)?_g=(refreshInterval:(display:Off,section:0,value:0),time:(from:'2016-10-11 15:57:05-0600',mode:absolute,to:'2016-10-11 18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9" s="108" t="str">
        <f t="shared" si="1"/>
        <v>"C:\Program Files (x86)\AstroGrep\AstroGrep.exe" /spath="%USERPROFILE%\AppData\Local\Temp\OnboardLogs" /stypes="*4008*201610112*" /stext=" 23:.+((SYSTEM_STATE.+slice.+state.+changed )|(ment ac)|(system.+state.+changed )|(\[timeout)|(PRM\|1\|D)|(kpr)|(kdp)|(\|lc)|(penalty))" /e /r /s</v>
      </c>
      <c r="U29" s="9" t="str">
        <f t="shared" si="2"/>
        <v>4008</v>
      </c>
      <c r="V29" s="38">
        <f t="shared" si="3"/>
        <v>42654.994027777779</v>
      </c>
      <c r="W29" s="52" t="str">
        <f t="shared" si="4"/>
        <v>EC</v>
      </c>
      <c r="X29" s="52" t="str">
        <f t="shared" si="5"/>
        <v>KEEP</v>
      </c>
      <c r="Y29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{"issue":{"subject":"","project_id":79,"tracker_id":40,"status_id":1,"priority_id":2,"assigned_to_id":23,"start_date":"2016-10-11","description":"","custom_fields":[{"id":1,"name":"Subdivision","value":"EC"},{"id":4,"name":"Milepost","value":"0.0001"},{"id":17,"name":"Train ID","value":"202-11"},{"id":16,"name":"Locomotive ID","value":"4008"},{"id":130,"name":"Impact","value":""},{"id":150,"name":"Time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0" t="str">
        <f t="shared" si="7"/>
        <v>grep -hSE -A100 "Enforcement Action" "%USERPROFILE%\AppData\Local\Temp\OnboardLogs"\RTDC4008\*4008*201610112* | grep -SE "((Enforcement Ac)|(PRM))" -</v>
      </c>
    </row>
    <row r="30" spans="1:29" x14ac:dyDescent="0.25">
      <c r="A30" s="38">
        <v>42654.92491898148</v>
      </c>
      <c r="B30" s="33" t="s">
        <v>265</v>
      </c>
      <c r="C30" s="33" t="s">
        <v>558</v>
      </c>
      <c r="D30" s="33" t="s">
        <v>49</v>
      </c>
      <c r="E30" s="33" t="s">
        <v>50</v>
      </c>
      <c r="F30" s="49">
        <v>0</v>
      </c>
      <c r="G30" s="49">
        <v>59</v>
      </c>
      <c r="H30" s="49">
        <v>180</v>
      </c>
      <c r="I30" s="49">
        <v>130</v>
      </c>
      <c r="J30" s="33" t="s">
        <v>51</v>
      </c>
      <c r="K30" s="49">
        <v>1</v>
      </c>
      <c r="L30" s="145" t="s">
        <v>53</v>
      </c>
      <c r="M30" s="148">
        <f t="shared" si="0"/>
        <v>68.111999999999995</v>
      </c>
      <c r="N30" s="87" t="str">
        <f>VLOOKUP(C30,'Trips&amp;Operators'!$C$1:$E$99999,3,FALSE)</f>
        <v>CHANDLER</v>
      </c>
      <c r="O30" s="169" t="s">
        <v>86</v>
      </c>
      <c r="P30" s="10"/>
      <c r="Q30" s="33"/>
      <c r="R30" s="103" t="str">
        <f>VLOOKUP(C30,'Train Runs'!$A$13:$AE$10010,31,0)</f>
        <v>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 &amp; aws s3 cp s3://rtdc.mdm.uploadarchive.raw/RTDC4013/ "%USERPROFILE%\AppData\Local\Temp\OnboardLogs"\RTDC4013\2016-10-12 --exclude "*" --recursive --include "*20161012*" &amp; "%USERPROFILE%\Documents\GitHub\mrs-test-scripts\Headless Mode &amp; Sideloading\WalkAndUnGZ.bat" "%USERPROFILE%\AppData\Local\Temp\OnboardLogs"\RTDC4013\2016-10-12</v>
      </c>
      <c r="S30" s="106" t="str">
        <f>VLOOKUP(C30,'Train Runs'!$A$13:$AE$10010,22,0)</f>
        <v>https://search-rtdc-monitor-bjffxe2xuh6vdkpspy63sjmuny.us-east-1.es.amazonaws.com/_plugin/kibana/#/discover/Steve-Slow-Train-Analysis-(2080s-and-2083s)?_g=(refreshInterval:(display:Off,section:0,value:0),time:(from:'2016-10-11 20:25:06-0600',mode:absolute,to:'2016-10-11 23:11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0" s="108" t="str">
        <f t="shared" si="1"/>
        <v>"C:\Program Files (x86)\AstroGrep\AstroGrep.exe" /spath="%USERPROFILE%\AppData\Local\Temp\OnboardLogs" /stypes="*4013*201610120*" /stext=" 04:.+((SYSTEM_STATE.+slice.+state.+changed )|(ment ac)|(system.+state.+changed )|(\[timeout)|(PRM\|1\|D)|(kpr)|(kdp)|(\|lc)|(penalty))" /e /r /s</v>
      </c>
      <c r="U30" s="9" t="str">
        <f t="shared" si="2"/>
        <v>4013</v>
      </c>
      <c r="V30" s="38">
        <f t="shared" si="3"/>
        <v>42655.17491898148</v>
      </c>
      <c r="W30" s="52" t="str">
        <f t="shared" si="4"/>
        <v>EC</v>
      </c>
      <c r="X30" s="52" t="str">
        <f t="shared" si="5"/>
        <v>KEEP</v>
      </c>
      <c r="Y30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{"issue":{"subject":"","project_id":79,"tracker_id":40,"status_id":1,"priority_id":2,"assigned_to_id":23,"start_date":"2016-10-11","description":"","custom_fields":[{"id":1,"name":"Subdivision","value":"EC"},{"id":4,"name":"Milepost","value":"0.0001"},{"id":17,"name":"Train ID","value":"228-11"},{"id":16,"name":"Locomotive ID","value":"4013"},{"id":130,"name":"Impact","value":""},{"id":150,"name":"Time of Event (Mountain Time)","value":"22:11:53"},{"id":151,"name":"Denver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0" t="str">
        <f t="shared" si="7"/>
        <v>grep -hSE -A100 "Enforcement Action" "%USERPROFILE%\AppData\Local\Temp\OnboardLogs"\RTDC4013\*4013*201610120* | grep -SE "((Enforcement Ac)|(PRM))" -</v>
      </c>
    </row>
    <row r="31" spans="1:29" ht="15" customHeight="1" x14ac:dyDescent="0.25">
      <c r="A31" s="38">
        <v>42655.029143518521</v>
      </c>
      <c r="B31" s="33" t="s">
        <v>295</v>
      </c>
      <c r="C31" s="33" t="s">
        <v>561</v>
      </c>
      <c r="D31" s="33" t="s">
        <v>49</v>
      </c>
      <c r="E31" s="33" t="s">
        <v>50</v>
      </c>
      <c r="F31" s="49">
        <v>0</v>
      </c>
      <c r="G31" s="49">
        <v>65</v>
      </c>
      <c r="H31" s="49">
        <v>223</v>
      </c>
      <c r="I31" s="49">
        <v>169</v>
      </c>
      <c r="J31" s="33" t="s">
        <v>51</v>
      </c>
      <c r="K31" s="49">
        <v>1</v>
      </c>
      <c r="L31" s="145" t="s">
        <v>53</v>
      </c>
      <c r="M31" s="148">
        <f t="shared" si="0"/>
        <v>88.703999999999994</v>
      </c>
      <c r="N31" s="87" t="str">
        <f>VLOOKUP(C31,'Trips&amp;Operators'!$C$1:$E$99999,3,FALSE)</f>
        <v>LEVERE</v>
      </c>
      <c r="O31" s="169" t="s">
        <v>86</v>
      </c>
      <c r="P31" s="10"/>
      <c r="Q31" s="33"/>
      <c r="R31" s="103" t="str">
        <f>VLOOKUP(C31,'Train Runs'!$A$13:$AE$10010,31,0)</f>
        <v>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 &amp; 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</v>
      </c>
      <c r="S31" s="106" t="str">
        <f>VLOOKUP(C31,'Train Runs'!$A$13:$AE$10010,22,0)</f>
        <v>https://search-rtdc-monitor-bjffxe2xuh6vdkpspy63sjmuny.us-east-1.es.amazonaws.com/_plugin/kibana/#/discover/Steve-Slow-Train-Analysis-(2080s-and-2083s)?_g=(refreshInterval:(display:Off,section:0,value:0),time:(from:'2016-10-11 22:49:51-0600',mode:absolute,to:'2016-10-12 01:41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1" s="108" t="str">
        <f t="shared" si="1"/>
        <v>"C:\Program Files (x86)\AstroGrep\AstroGrep.exe" /spath="%USERPROFILE%\AppData\Local\Temp\OnboardLogs" /stypes="*4030*201610120*" /stext=" 06:.+((SYSTEM_STATE.+slice.+state.+changed )|(ment ac)|(system.+state.+changed )|(\[timeout)|(PRM\|1\|D)|(kpr)|(kdp)|(\|lc)|(penalty))" /e /r /s</v>
      </c>
      <c r="U31" s="9" t="str">
        <f t="shared" si="2"/>
        <v>4030</v>
      </c>
      <c r="V31" s="38">
        <f t="shared" si="3"/>
        <v>42655.279143518521</v>
      </c>
      <c r="W31" s="52" t="str">
        <f t="shared" si="4"/>
        <v>EC</v>
      </c>
      <c r="X31" s="52" t="str">
        <f t="shared" si="5"/>
        <v>KEEP</v>
      </c>
      <c r="Y31" s="129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ID","value":"238-11"},{"id":16,"name":"Locomotive ID","value":"4030"},{"id":130,"name":"Impact","value":""},{"id":150,"name":"Time of Event (Mountain Time)","value":"00:41:58"},{"id":151,"name":"Denver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0" t="str">
        <f t="shared" si="7"/>
        <v>grep -hSE -A100 "Enforcement Action" "%USERPROFILE%\AppData\Local\Temp\OnboardLogs"\RTDC4030\*4030*201610120* | grep -SE "((Enforcement Ac)|(PRM))" -</v>
      </c>
    </row>
    <row r="32" spans="1:29" x14ac:dyDescent="0.25">
      <c r="A32" s="38">
        <v>42655.044224537036</v>
      </c>
      <c r="B32" s="33" t="s">
        <v>559</v>
      </c>
      <c r="C32" s="33" t="s">
        <v>562</v>
      </c>
      <c r="D32" s="33" t="s">
        <v>49</v>
      </c>
      <c r="E32" s="33" t="s">
        <v>50</v>
      </c>
      <c r="F32" s="49">
        <v>0</v>
      </c>
      <c r="G32" s="49">
        <v>52</v>
      </c>
      <c r="H32" s="49">
        <v>165</v>
      </c>
      <c r="I32" s="49">
        <v>119</v>
      </c>
      <c r="J32" s="33" t="s">
        <v>51</v>
      </c>
      <c r="K32" s="49">
        <v>1</v>
      </c>
      <c r="L32" s="145" t="s">
        <v>53</v>
      </c>
      <c r="M32" s="148">
        <f t="shared" si="0"/>
        <v>62.304000000000002</v>
      </c>
      <c r="N32" s="87" t="str">
        <f>VLOOKUP(C32,'Trips&amp;Operators'!$C$1:$E$99999,3,FALSE)</f>
        <v>COOLAHAN</v>
      </c>
      <c r="O32" s="169" t="s">
        <v>86</v>
      </c>
      <c r="P32" s="10"/>
      <c r="Q32" s="33"/>
      <c r="R32" s="103" t="str">
        <f>VLOOKUP(C32,'Train Runs'!$A$13:$AE$10010,31,0)</f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S32" s="106" t="str">
        <f>VLOOKUP(C32,'Train Runs'!$A$13:$AE$10010,22,0)</f>
        <v>https://search-rtdc-monitor-bjffxe2xuh6vdkpspy63sjmuny.us-east-1.es.amazonaws.com/_plugin/kibana/#/discover/Steve-Slow-Train-Analysis-(2080s-and-2083s)?_g=(refreshInterval:(display:Off,section:0,value:0),time:(from:'2016-10-11 23:21:37-0600',mode:absolute,to:'2016-10-12 02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2" s="108" t="str">
        <f t="shared" si="1"/>
        <v>"C:\Program Files (x86)\AstroGrep\AstroGrep.exe" /spath="%USERPROFILE%\AppData\Local\Temp\OnboardLogs" /stypes="*4032*201610120*" /stext=" 07:.+((SYSTEM_STATE.+slice.+state.+changed )|(ment ac)|(system.+state.+changed )|(\[timeout)|(PRM\|1\|D)|(kpr)|(kdp)|(\|lc)|(penalty))" /e /r /s</v>
      </c>
      <c r="U32" s="9" t="str">
        <f t="shared" si="2"/>
        <v>4032</v>
      </c>
      <c r="V32" s="38">
        <f t="shared" si="3"/>
        <v>42655.294224537036</v>
      </c>
      <c r="W32" s="52" t="str">
        <f t="shared" si="4"/>
        <v>EC</v>
      </c>
      <c r="X32" s="52" t="str">
        <f t="shared" si="5"/>
        <v>KEEP</v>
      </c>
      <c r="Y32" s="129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ID","value":"240-11"},{"id":16,"name":"Locomotive ID","value":"4032"},{"id":130,"name":"Impact","value":""},{"id":150,"name":"Time of Event (Mountain Time)","value":"01:03:41"},{"id":151,"name":"Denver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0" t="str">
        <f t="shared" si="7"/>
        <v>grep -hSE -A100 "Enforcement Action" "%USERPROFILE%\AppData\Local\Temp\OnboardLogs"\RTDC4032\*4032*201610120* | grep -SE "((Enforcement Ac)|(PRM))" -</v>
      </c>
    </row>
    <row r="33" spans="1:29" ht="15" customHeight="1" x14ac:dyDescent="0.25">
      <c r="A33" s="38">
        <v>42655.066134259258</v>
      </c>
      <c r="B33" s="33" t="s">
        <v>224</v>
      </c>
      <c r="C33" s="33" t="s">
        <v>563</v>
      </c>
      <c r="D33" s="33" t="s">
        <v>49</v>
      </c>
      <c r="E33" s="33" t="s">
        <v>50</v>
      </c>
      <c r="F33" s="49">
        <v>0</v>
      </c>
      <c r="G33" s="49">
        <v>40</v>
      </c>
      <c r="H33" s="49">
        <v>111</v>
      </c>
      <c r="I33" s="49">
        <v>77</v>
      </c>
      <c r="J33" s="33" t="s">
        <v>51</v>
      </c>
      <c r="K33" s="49">
        <v>1</v>
      </c>
      <c r="L33" s="145" t="s">
        <v>53</v>
      </c>
      <c r="M33" s="148">
        <f t="shared" si="0"/>
        <v>40.128</v>
      </c>
      <c r="N33" s="87" t="str">
        <f>VLOOKUP(C33,'Trips&amp;Operators'!$C$1:$E$99999,3,FALSE)</f>
        <v>YANAI</v>
      </c>
      <c r="O33" s="169" t="s">
        <v>86</v>
      </c>
      <c r="P33" s="10"/>
      <c r="Q33" s="33"/>
      <c r="R33" s="103" t="str">
        <f>VLOOKUP(C33,'Train Runs'!$A$13:$AE$10010,31,0)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33" s="106" t="str">
        <f>VLOOKUP(C33,'Train Runs'!$A$13:$AE$10010,22,0)</f>
        <v>https://search-rtdc-monitor-bjffxe2xuh6vdkpspy63sjmuny.us-east-1.es.amazonaws.com/_plugin/kibana/#/discover/Steve-Slow-Train-Analysis-(2080s-and-2083s)?_g=(refreshInterval:(display:Off,section:0,value:0),time:(from:'2016-10-11 23:52:48-0600',mode:absolute,to:'2016-10-12 02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3" s="108" t="str">
        <f t="shared" si="1"/>
        <v>"C:\Program Files (x86)\AstroGrep\AstroGrep.exe" /spath="%USERPROFILE%\AppData\Local\Temp\OnboardLogs" /stypes="*4004*201610120*" /stext=" 07:.+((SYSTEM_STATE.+slice.+state.+changed )|(ment ac)|(system.+state.+changed )|(\[timeout)|(PRM\|1\|D)|(kpr)|(kdp)|(\|lc)|(penalty))" /e /r /s</v>
      </c>
      <c r="U33" s="9" t="str">
        <f t="shared" si="2"/>
        <v>4004</v>
      </c>
      <c r="V33" s="38">
        <f t="shared" si="3"/>
        <v>42655.316134259258</v>
      </c>
      <c r="W33" s="52" t="str">
        <f t="shared" si="4"/>
        <v>EC</v>
      </c>
      <c r="X33" s="52" t="str">
        <f t="shared" si="5"/>
        <v>KEEP</v>
      </c>
      <c r="Y33" s="129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ID","value":"242-11"},{"id":16,"name":"Locomotive ID","value":"4004"},{"id":130,"name":"Impact","value":""},{"id":150,"name":"Time of Event (Mountain Time)","value":"01:35:14"},{"id":151,"name":"Denver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0" t="str">
        <f t="shared" si="7"/>
        <v>grep -hSE -A100 "Enforcement Action" "%USERPROFILE%\AppData\Local\Temp\OnboardLogs"\RTDC4004\*4004*201610120* | grep -SE "((Enforcement Ac)|(PRM))" -</v>
      </c>
    </row>
    <row r="34" spans="1:29" x14ac:dyDescent="0.25">
      <c r="A34" s="38">
        <v>42654.625</v>
      </c>
      <c r="B34" s="33" t="s">
        <v>534</v>
      </c>
      <c r="C34" s="33" t="s">
        <v>541</v>
      </c>
      <c r="D34" s="33" t="s">
        <v>49</v>
      </c>
      <c r="E34" s="33" t="s">
        <v>50</v>
      </c>
      <c r="F34" s="49">
        <v>0</v>
      </c>
      <c r="G34" s="49">
        <v>62</v>
      </c>
      <c r="H34" s="49">
        <v>233309</v>
      </c>
      <c r="I34" s="49">
        <v>233359</v>
      </c>
      <c r="J34" s="33" t="s">
        <v>51</v>
      </c>
      <c r="K34" s="49">
        <v>233491</v>
      </c>
      <c r="L34" s="145" t="s">
        <v>52</v>
      </c>
      <c r="M34" s="148">
        <f t="shared" si="0"/>
        <v>69.695999999999998</v>
      </c>
      <c r="N34" s="87" t="str">
        <f>VLOOKUP(C34,'Trips&amp;Operators'!$C$1:$E$99999,3,FALSE)</f>
        <v>CLARK</v>
      </c>
      <c r="O34" s="169" t="s">
        <v>86</v>
      </c>
      <c r="P34" s="10"/>
      <c r="Q34" s="33"/>
      <c r="R34" s="103" t="str">
        <f>VLOOKUP(C34,'Train Runs'!$A$13:$AE$10010,31,0)</f>
        <v>aws s3 cp s3://rtdc.mdm.uploadarchive.raw/RTDC4016/ "%USERPROFILE%\AppData\Local\Temp\OnboardLogs"\RTDC4016\2016-10-11 --exclude "*" --recursive --include "*20161011*" &amp; "%USERPROFILE%\Documents\GitHub\mrs-test-scripts\Headless Mode &amp; Sideloading\WalkAndUnGZ.bat" "%USERPROFILE%\AppData\Local\Temp\OnboardLogs"\RTDC4016\2016-10-11 &amp; 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</v>
      </c>
      <c r="S34" s="106" t="str">
        <f>VLOOKUP(C34,'Train Runs'!$A$13:$AE$10010,22,0)</f>
        <v>https://search-rtdc-monitor-bjffxe2xuh6vdkpspy63sjmuny.us-east-1.es.amazonaws.com/_plugin/kibana/#/discover/Steve-Slow-Train-Analysis-(2080s-and-2083s)?_g=(refreshInterval:(display:Off,section:0,value:0),time:(from:'2016-10-11 13:01:34-0600',mode:absolute,to:'2016-10-11 16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4" s="108" t="str">
        <f t="shared" si="1"/>
        <v>"C:\Program Files (x86)\AstroGrep\AstroGrep.exe" /spath="%USERPROFILE%\AppData\Local\Temp\OnboardLogs" /stypes="*4016*201610112*" /stext=" 21:.+((SYSTEM_STATE.+slice.+state.+changed )|(ment ac)|(system.+state.+changed )|(\[timeout)|(PRM\|1\|D)|(kpr)|(kdp)|(\|lc)|(penalty))" /e /r /s</v>
      </c>
      <c r="U34" s="9" t="str">
        <f t="shared" si="2"/>
        <v>4016</v>
      </c>
      <c r="V34" s="38">
        <f t="shared" si="3"/>
        <v>42654.875</v>
      </c>
      <c r="W34" s="52" t="str">
        <f t="shared" si="4"/>
        <v>EC</v>
      </c>
      <c r="X34" s="52" t="str">
        <f t="shared" si="5"/>
        <v>KEEP</v>
      </c>
      <c r="Y34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{"issue":{"subject":"","project_id":79,"tracker_id":40,"status_id":1,"priority_id":2,"assigned_to_id":23,"start_date":"2016-10-11","description":"","custom_fields":[{"id":1,"name":"Subdivision","value":"EC"},{"id":4,"name":"Milepost","value":"23.3491"},{"id":17,"name":"Train ID","value":"183-11"},{"id":16,"name":"Locomotive ID","value":"4016"},{"id":130,"name":"Impact","value":""},{"id":150,"name":"Time of Event (Mountain Time)","value":"15:00:00"},{"id":151,"name":"Denver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0" t="str">
        <f t="shared" si="7"/>
        <v>grep -hSE -A100 "Enforcement Action" "%USERPROFILE%\AppData\Local\Temp\OnboardLogs"\RTDC4016\*4016*201610112* | grep -SE "((Enforcement Ac)|(PRM))" -</v>
      </c>
    </row>
    <row r="35" spans="1:29" x14ac:dyDescent="0.25">
      <c r="A35" s="38">
        <v>42654.645381944443</v>
      </c>
      <c r="B35" s="33" t="s">
        <v>223</v>
      </c>
      <c r="C35" s="33" t="s">
        <v>545</v>
      </c>
      <c r="D35" s="33" t="s">
        <v>49</v>
      </c>
      <c r="E35" s="33" t="s">
        <v>50</v>
      </c>
      <c r="F35" s="49">
        <v>0</v>
      </c>
      <c r="G35" s="49">
        <v>110</v>
      </c>
      <c r="H35" s="49">
        <v>233051</v>
      </c>
      <c r="I35" s="49">
        <v>233198</v>
      </c>
      <c r="J35" s="33" t="s">
        <v>51</v>
      </c>
      <c r="K35" s="49">
        <v>233491</v>
      </c>
      <c r="L35" s="145" t="s">
        <v>52</v>
      </c>
      <c r="M35" s="148">
        <f t="shared" si="0"/>
        <v>154.70400000000001</v>
      </c>
      <c r="N35" s="87" t="str">
        <f>VLOOKUP(C35,'Trips&amp;Operators'!$C$1:$E$99999,3,FALSE)</f>
        <v>STEWART</v>
      </c>
      <c r="O35" s="169" t="s">
        <v>86</v>
      </c>
      <c r="P35" s="10"/>
      <c r="Q35" s="33"/>
      <c r="R35" s="103" t="str">
        <f>VLOOKUP(C35,'Train Runs'!$A$13:$AE$10010,31,0)</f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S35" s="106" t="str">
        <f>VLOOKUP(C35,'Train Runs'!$A$13:$AE$10010,22,0)</f>
        <v>https://search-rtdc-monitor-bjffxe2xuh6vdkpspy63sjmuny.us-east-1.es.amazonaws.com/_plugin/kibana/#/discover/Steve-Slow-Train-Analysis-(2080s-and-2083s)?_g=(refreshInterval:(display:Off,section:0,value:0),time:(from:'2016-10-11 13:41:53-0600',mode:absolute,to:'2016-10-11 16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5" s="108" t="str">
        <f t="shared" si="1"/>
        <v>"C:\Program Files (x86)\AstroGrep\AstroGrep.exe" /spath="%USERPROFILE%\AppData\Local\Temp\OnboardLogs" /stypes="*4003*201610112*" /stext=" 21:.+((SYSTEM_STATE.+slice.+state.+changed )|(ment ac)|(system.+state.+changed )|(\[timeout)|(PRM\|1\|D)|(kpr)|(kdp)|(\|lc)|(penalty))" /e /r /s</v>
      </c>
      <c r="U35" s="9" t="str">
        <f t="shared" si="2"/>
        <v>4003</v>
      </c>
      <c r="V35" s="38">
        <f t="shared" si="3"/>
        <v>42654.895381944443</v>
      </c>
      <c r="W35" s="52" t="str">
        <f t="shared" si="4"/>
        <v>EC</v>
      </c>
      <c r="X35" s="52" t="str">
        <f t="shared" si="5"/>
        <v>KEEP</v>
      </c>
      <c r="Y35" s="129" t="str">
        <f t="shared" si="6"/>
        <v>echo {"issue":{"subject":"","project_id":79,"tracker_id":40,"status_id":1,"priority_id":2,"assigned_to_id":23,"start_date":"2016-10-11","description":"","custom_fields":[{"id":1,"name":"Subdivision","value":"EC"},{"id":4,"name":"Milepost","value":"23.3491"},{"id":17,"name":"Train ID","value":"189-11"},{"id":16,"name":"Locomotive ID","value":"4003"},{"id":130,"name":"Impact","value":""},{"id":150,"name":"Time of Event (Mountain Time)","value":"15:29:21"},{"id":151,"name":"Denver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0" t="str">
        <f t="shared" si="7"/>
        <v>grep -hSE -A100 "Enforcement Action" "%USERPROFILE%\AppData\Local\Temp\OnboardLogs"\RTDC4003\*4003*201610112* | grep -SE "((Enforcement Ac)|(PRM))" -</v>
      </c>
    </row>
    <row r="36" spans="1:29" x14ac:dyDescent="0.25">
      <c r="A36" s="38">
        <v>42654.326921296299</v>
      </c>
      <c r="B36" s="33" t="s">
        <v>275</v>
      </c>
      <c r="C36" s="33" t="s">
        <v>502</v>
      </c>
      <c r="D36" s="33" t="s">
        <v>49</v>
      </c>
      <c r="E36" s="33" t="s">
        <v>163</v>
      </c>
      <c r="F36" s="49">
        <v>0</v>
      </c>
      <c r="G36" s="49">
        <v>287</v>
      </c>
      <c r="H36" s="49">
        <v>15941</v>
      </c>
      <c r="I36" s="49">
        <v>15427</v>
      </c>
      <c r="J36" s="33" t="s">
        <v>162</v>
      </c>
      <c r="K36" s="49">
        <v>15777</v>
      </c>
      <c r="L36" s="145" t="s">
        <v>53</v>
      </c>
      <c r="M36" s="148">
        <f t="shared" si="0"/>
        <v>-184.8</v>
      </c>
      <c r="N36" s="87" t="str">
        <f>VLOOKUP(C36,'Trips&amp;Operators'!$C$1:$E$99999,3,FALSE)</f>
        <v>LEVIN</v>
      </c>
      <c r="O36" s="169" t="s">
        <v>86</v>
      </c>
      <c r="P36" s="10" t="s">
        <v>315</v>
      </c>
      <c r="Q36" s="33"/>
      <c r="R36" s="103" t="str">
        <f>VLOOKUP(C36,'Train Runs'!$A$13:$AE$10010,31,0)</f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S36" s="106" t="str">
        <f>VLOOKUP(C36,'Train Runs'!$A$13:$AE$10010,22,0)</f>
        <v>https://search-rtdc-monitor-bjffxe2xuh6vdkpspy63sjmuny.us-east-1.es.amazonaws.com/_plugin/kibana/#/discover/Steve-Slow-Train-Analysis-(2080s-and-2083s)?_g=(refreshInterval:(display:Off,section:0,value:0),time:(from:'2016-10-11 06:35:29-0600',mode:absolute,to:'2016-10-11 08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6" s="108" t="str">
        <f t="shared" si="1"/>
        <v>"C:\Program Files (x86)\AstroGrep\AstroGrep.exe" /spath="%USERPROFILE%\AppData\Local\Temp\OnboardLogs" /stypes="*4043*201610111*" /stext=" 13:.+((SYSTEM_STATE.+slice.+state.+changed )|(ment ac)|(system.+state.+changed )|(\[timeout)|(PRM\|1\|D)|(kpr)|(kdp)|(\|lc)|(penalty))" /e /r /s</v>
      </c>
      <c r="U36" s="9" t="str">
        <f t="shared" si="2"/>
        <v>4043</v>
      </c>
      <c r="V36" s="38">
        <f t="shared" si="3"/>
        <v>42654.576921296299</v>
      </c>
      <c r="W36" s="52" t="str">
        <f t="shared" si="4"/>
        <v>NW</v>
      </c>
      <c r="X36" s="52" t="str">
        <f t="shared" si="5"/>
        <v>KEEP</v>
      </c>
      <c r="Y36" s="129" t="str">
        <f t="shared" si="6"/>
        <v>echo {"issue":{"subject":"Early arrival","project_id":79,"tracker_id":40,"status_id":1,"priority_id":2,"assigned_to_id":23,"start_date":"2016-10-11","description":"","custom_fields":[{"id":1,"name":"Subdivision","value":"NW"},{"id":4,"name":"Milepost","value":"1.5777"},{"id":17,"name":"Train ID","value":"808-11"},{"id":16,"name":"Locomotive ID","value":"4043"},{"id":130,"name":"Impact","value":""},{"id":150,"name":"Time of Event (Mountain Time)","value":"07:50:46"},{"id":151,"name":"Denver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0" t="str">
        <f t="shared" si="7"/>
        <v>grep -hSE -A100 "Enforcement Action" "%USERPROFILE%\AppData\Local\Temp\OnboardLogs"\RTDC4043\*4043*201610111* | grep -SE "((Enforcement Ac)|(PRM))" -</v>
      </c>
    </row>
    <row r="37" spans="1:29" ht="15" customHeight="1" x14ac:dyDescent="0.25">
      <c r="A37" s="38">
        <v>42654.618368055555</v>
      </c>
      <c r="B37" s="33" t="s">
        <v>275</v>
      </c>
      <c r="C37" s="33" t="s">
        <v>542</v>
      </c>
      <c r="D37" s="33" t="s">
        <v>49</v>
      </c>
      <c r="E37" s="33" t="s">
        <v>163</v>
      </c>
      <c r="F37" s="49">
        <v>0</v>
      </c>
      <c r="G37" s="49">
        <v>303</v>
      </c>
      <c r="H37" s="49">
        <v>16202</v>
      </c>
      <c r="I37" s="49">
        <v>15749</v>
      </c>
      <c r="J37" s="33" t="s">
        <v>162</v>
      </c>
      <c r="K37" s="49">
        <v>15777</v>
      </c>
      <c r="L37" s="145" t="s">
        <v>53</v>
      </c>
      <c r="M37" s="148">
        <f t="shared" si="0"/>
        <v>-14.784000000000001</v>
      </c>
      <c r="N37" s="87" t="str">
        <f>VLOOKUP(C37,'Trips&amp;Operators'!$C$1:$E$99999,3,FALSE)</f>
        <v>BRUDER</v>
      </c>
      <c r="O37" s="169" t="s">
        <v>86</v>
      </c>
      <c r="P37" s="10" t="s">
        <v>315</v>
      </c>
      <c r="Q37" s="33"/>
      <c r="R37" s="103" t="str">
        <f>VLOOKUP(C37,'Train Runs'!$A$13:$AE$10010,31,0)</f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S37" s="106" t="str">
        <f>VLOOKUP(C37,'Train Runs'!$A$13:$AE$10010,22,0)</f>
        <v>https://search-rtdc-monitor-bjffxe2xuh6vdkpspy63sjmuny.us-east-1.es.amazonaws.com/_plugin/kibana/#/discover/Steve-Slow-Train-Analysis-(2080s-and-2083s)?_g=(refreshInterval:(display:Off,section:0,value:0),time:(from:'2016-10-11 13:36:45-0600',mode:absolute,to:'2016-10-11 15:57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7" s="108" t="str">
        <f t="shared" si="1"/>
        <v>"C:\Program Files (x86)\AstroGrep\AstroGrep.exe" /spath="%USERPROFILE%\AppData\Local\Temp\OnboardLogs" /stypes="*4043*201610112*" /stext=" 20:.+((SYSTEM_STATE.+slice.+state.+changed )|(ment ac)|(system.+state.+changed )|(\[timeout)|(PRM\|1\|D)|(kpr)|(kdp)|(\|lc)|(penalty))" /e /r /s</v>
      </c>
      <c r="U37" s="9" t="str">
        <f t="shared" si="2"/>
        <v>4043</v>
      </c>
      <c r="V37" s="38">
        <f t="shared" si="3"/>
        <v>42654.868368055555</v>
      </c>
      <c r="W37" s="52" t="str">
        <f t="shared" si="4"/>
        <v>NW</v>
      </c>
      <c r="X37" s="52" t="str">
        <f t="shared" si="5"/>
        <v>KEEP</v>
      </c>
      <c r="Y37" s="129" t="str">
        <f t="shared" si="6"/>
        <v>echo {"issue":{"subject":"Early arrival","project_id":79,"tracker_id":40,"status_id":1,"priority_id":2,"assigned_to_id":23,"start_date":"2016-10-11","description":"","custom_fields":[{"id":1,"name":"Subdivision","value":"NW"},{"id":4,"name":"Milepost","value":"1.5777"},{"id":17,"name":"Train ID","value":"824-11"},{"id":16,"name":"Locomotive ID","value":"4043"},{"id":130,"name":"Impact","value":""},{"id":150,"name":"Time of Event (Mountain Time)","value":"14:50:27"},{"id":151,"name":"Denver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0" t="str">
        <f t="shared" si="7"/>
        <v>grep -hSE -A100 "Enforcement Action" "%USERPROFILE%\AppData\Local\Temp\OnboardLogs"\RTDC4043\*4043*201610112* | grep -SE "((Enforcement Ac)|(PRM))" -</v>
      </c>
    </row>
    <row r="38" spans="1:29" x14ac:dyDescent="0.25">
      <c r="A38" s="38">
        <v>42654.910196759258</v>
      </c>
      <c r="B38" s="33" t="s">
        <v>275</v>
      </c>
      <c r="C38" s="33" t="s">
        <v>556</v>
      </c>
      <c r="D38" s="33" t="s">
        <v>49</v>
      </c>
      <c r="E38" s="33" t="s">
        <v>163</v>
      </c>
      <c r="F38" s="49">
        <v>0</v>
      </c>
      <c r="G38" s="49">
        <v>306</v>
      </c>
      <c r="H38" s="49">
        <v>16368</v>
      </c>
      <c r="I38" s="49">
        <v>15794</v>
      </c>
      <c r="J38" s="33" t="s">
        <v>162</v>
      </c>
      <c r="K38" s="49">
        <v>15777</v>
      </c>
      <c r="L38" s="145" t="s">
        <v>53</v>
      </c>
      <c r="M38" s="148">
        <f t="shared" si="0"/>
        <v>8.9760000000000009</v>
      </c>
      <c r="N38" s="87" t="str">
        <f>VLOOKUP(C38,'Trips&amp;Operators'!$C$1:$E$99999,3,FALSE)</f>
        <v>STURGEON</v>
      </c>
      <c r="O38" s="169" t="s">
        <v>86</v>
      </c>
      <c r="P38" s="10" t="s">
        <v>315</v>
      </c>
      <c r="Q38" s="33"/>
      <c r="R38" s="103" t="str">
        <f>VLOOKUP(C38,'Train Runs'!$A$13:$AE$10010,31,0)</f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S38" s="106" t="str">
        <f>VLOOKUP(C38,'Train Runs'!$A$13:$AE$10010,22,0)</f>
        <v>https://search-rtdc-monitor-bjffxe2xuh6vdkpspy63sjmuny.us-east-1.es.amazonaws.com/_plugin/kibana/#/discover/Steve-Slow-Train-Analysis-(2080s-and-2083s)?_g=(refreshInterval:(display:Off,section:0,value:0),time:(from:'2016-10-11 20:38:15-0600',mode:absolute,to:'2016-10-11 22:58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8" s="108" t="str">
        <f t="shared" si="1"/>
        <v>"C:\Program Files (x86)\AstroGrep\AstroGrep.exe" /spath="%USERPROFILE%\AppData\Local\Temp\OnboardLogs" /stypes="*4043*201610120*" /stext=" 03:.+((SYSTEM_STATE.+slice.+state.+changed )|(ment ac)|(system.+state.+changed )|(\[timeout)|(PRM\|1\|D)|(kpr)|(kdp)|(\|lc)|(penalty))" /e /r /s</v>
      </c>
      <c r="U38" s="9" t="str">
        <f t="shared" si="2"/>
        <v>4043</v>
      </c>
      <c r="V38" s="38">
        <f t="shared" si="3"/>
        <v>42655.160196759258</v>
      </c>
      <c r="W38" s="52" t="str">
        <f t="shared" si="4"/>
        <v>NW</v>
      </c>
      <c r="X38" s="52" t="str">
        <f t="shared" si="5"/>
        <v>KEEP</v>
      </c>
      <c r="Y38" s="129" t="str">
        <f t="shared" si="6"/>
        <v>echo {"issue":{"subject":"Early arrival","project_id":79,"tracker_id":40,"status_id":1,"priority_id":2,"assigned_to_id":23,"start_date":"2016-10-11","description":"","custom_fields":[{"id":1,"name":"Subdivision","value":"NW"},{"id":4,"name":"Milepost","value":"1.5777"},{"id":17,"name":"Train ID","value":"844-11"},{"id":16,"name":"Locomotive ID","value":"4043"},{"id":130,"name":"Impact","value":""},{"id":150,"name":"Time of Event (Mountain Time)","value":"21:50:41"},{"id":151,"name":"Denver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0" t="str">
        <f t="shared" si="7"/>
        <v>grep -hSE -A100 "Enforcement Action" "%USERPROFILE%\AppData\Local\Temp\OnboardLogs"\RTDC4043\*4043*201610120* | grep -SE "((Enforcement Ac)|(PRM))" -</v>
      </c>
    </row>
    <row r="39" spans="1:29" x14ac:dyDescent="0.25">
      <c r="A39" s="38">
        <v>42654.397094907406</v>
      </c>
      <c r="B39" s="33" t="s">
        <v>232</v>
      </c>
      <c r="C39" s="33" t="s">
        <v>511</v>
      </c>
      <c r="D39" s="33" t="s">
        <v>49</v>
      </c>
      <c r="E39" s="33" t="s">
        <v>56</v>
      </c>
      <c r="F39" s="49">
        <v>150</v>
      </c>
      <c r="G39" s="49">
        <v>306</v>
      </c>
      <c r="H39" s="49">
        <v>56255</v>
      </c>
      <c r="I39" s="49">
        <v>56790</v>
      </c>
      <c r="J39" s="33" t="s">
        <v>57</v>
      </c>
      <c r="K39" s="49">
        <v>57008</v>
      </c>
      <c r="L39" s="145" t="s">
        <v>52</v>
      </c>
      <c r="M39" s="148">
        <f t="shared" ref="M39:M70" si="8">CONVERT((I39-K39)/10000,"mi","ft")*IF(L39="Increasing Mileposts (1)",-1,1)</f>
        <v>115.104</v>
      </c>
      <c r="N39" s="87" t="str">
        <f>VLOOKUP(C39,'Trips&amp;Operators'!$C$1:$E$99999,3,FALSE)</f>
        <v>LEVIN</v>
      </c>
      <c r="O39" s="169" t="s">
        <v>86</v>
      </c>
      <c r="P39" s="10"/>
      <c r="Q39" s="33"/>
      <c r="R39" s="103" t="str">
        <f>VLOOKUP(C39,'Train Runs'!$A$13:$AE$10010,31,0)</f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S39" s="106" t="str">
        <f>VLOOKUP(C39,'Train Runs'!$A$13:$AE$10010,22,0)</f>
        <v>https://search-rtdc-monitor-bjffxe2xuh6vdkpspy63sjmuny.us-east-1.es.amazonaws.com/_plugin/kibana/#/discover/Steve-Slow-Train-Analysis-(2080s-and-2083s)?_g=(refreshInterval:(display:Off,section:0,value:0),time:(from:'2016-10-11 08:07:37-0600',mode:absolute,to:'2016-10-11 10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9" s="108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/stypes="*4044*201610111*" /stext=" 15:.+((SYSTEM_STATE.+slice.+state.+changed )|(ment ac)|(system.+state.+changed )|(\[timeout)|(PRM\|1\|D)|(kpr)|(kdp)|(\|lc)|(penalty))" /e /r /s</v>
      </c>
      <c r="U39" s="9" t="str">
        <f t="shared" ref="U39:U58" si="10">MID(B39,13,4)</f>
        <v>4044</v>
      </c>
      <c r="V39" s="38">
        <f t="shared" ref="V39:V58" si="11">A39+6/24</f>
        <v>42654.647094907406</v>
      </c>
      <c r="W39" s="52" t="str">
        <f t="shared" ref="W39:W58" si="12">IF(VALUE(LEFT(IF(LEN(C39)=6,"0"&amp;C39,C39),2))&lt;=2,"EC",IF(OR(VALUE(LEFT(IF(LEN(C39)=6,"0"&amp;C39,C39),2))=8,VALUE(LEFT(IF(LEN(C39)=6,"0"&amp;C39,C39),2))=18),"NW","Other"))</f>
        <v>NW</v>
      </c>
      <c r="X39" s="52" t="str">
        <f t="shared" ref="X39:X58" si="13">IF(AND(E39="TRACK WARRANT AUTHORITY",G39&lt;10),"OMIT","KEEP")</f>
        <v>KEEP</v>
      </c>
      <c r="Y39" s="129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{"issue":{"subject":"","project_id":79,"tracker_id":40,"status_id":1,"priority_id":2,"assigned_to_id":23,"start_date":"2016-10-11","description":"","custom_fields":[{"id":1,"name":"Subdivision","value":"NW"},{"id":4,"name":"Milepost","value":"5.7008"},{"id":17,"name":"Train ID","value":"813-11"},{"id":16,"name":"Locomotive ID","value":"4044"},{"id":130,"name":"Impact","value":""},{"id":150,"name":"Time of Event (Mountain Time)","value":"09:31:49"},{"id":151,"name":"Denver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0" t="str">
        <f t="shared" ref="AC39:AC58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"%USERPROFILE%\AppData\Local\Temp\OnboardLogs"\RTDC4044\*4044*201610111* | grep -SE "((Enforcement Ac)|(PRM))" -</v>
      </c>
    </row>
    <row r="40" spans="1:29" x14ac:dyDescent="0.25">
      <c r="A40" s="38">
        <v>42654.558333333334</v>
      </c>
      <c r="B40" s="33" t="s">
        <v>232</v>
      </c>
      <c r="C40" s="33" t="s">
        <v>528</v>
      </c>
      <c r="D40" s="33" t="s">
        <v>49</v>
      </c>
      <c r="E40" s="33" t="s">
        <v>54</v>
      </c>
      <c r="F40" s="49">
        <v>0</v>
      </c>
      <c r="G40" s="49">
        <v>271</v>
      </c>
      <c r="H40" s="49">
        <v>7264</v>
      </c>
      <c r="I40" s="49">
        <v>8002</v>
      </c>
      <c r="J40" s="33" t="s">
        <v>55</v>
      </c>
      <c r="K40" s="49">
        <v>9499</v>
      </c>
      <c r="L40" s="145" t="s">
        <v>52</v>
      </c>
      <c r="M40" s="148">
        <f t="shared" si="8"/>
        <v>790.41600000000005</v>
      </c>
      <c r="N40" s="87" t="str">
        <f>VLOOKUP(C40,'Trips&amp;Operators'!$C$1:$E$99999,3,FALSE)</f>
        <v>BRUDER</v>
      </c>
      <c r="O40" s="169" t="s">
        <v>246</v>
      </c>
      <c r="P40" s="10" t="s">
        <v>788</v>
      </c>
      <c r="Q40" s="33"/>
      <c r="R40" s="103" t="str">
        <f>VLOOKUP(C40,'Train Runs'!$A$13:$AE$10010,31,0)</f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S40" s="106" t="str">
        <f>VLOOKUP(C40,'Train Runs'!$A$13:$AE$10010,22,0)</f>
        <v>https://search-rtdc-monitor-bjffxe2xuh6vdkpspy63sjmuny.us-east-1.es.amazonaws.com/_plugin/kibana/#/discover/Steve-Slow-Train-Analysis-(2080s-and-2083s)?_g=(refreshInterval:(display:Off,section:0,value:0),time:(from:'2016-10-11 11:36:49-0600',mode:absolute,to:'2016-10-11 14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0" s="108" t="str">
        <f t="shared" si="9"/>
        <v>"C:\Program Files (x86)\AstroGrep\AstroGrep.exe" /spath="%USERPROFILE%\AppData\Local\Temp\OnboardLogs" /stypes="*4044*201610111*" /stext=" 19:.+((SYSTEM_STATE.+slice.+state.+changed )|(ment ac)|(system.+state.+changed )|(\[timeout)|(PRM\|1\|D)|(kpr)|(kdp)|(\|lc)|(penalty))" /e /r /s</v>
      </c>
      <c r="U40" s="9" t="str">
        <f t="shared" si="10"/>
        <v>4044</v>
      </c>
      <c r="V40" s="38">
        <f t="shared" si="11"/>
        <v>42654.808333333334</v>
      </c>
      <c r="W40" s="52" t="str">
        <f t="shared" si="12"/>
        <v>NW</v>
      </c>
      <c r="X40" s="52" t="str">
        <f t="shared" si="13"/>
        <v>KEEP</v>
      </c>
      <c r="Y40" s="129" t="str">
        <f t="shared" si="14"/>
        <v>echo {"issue":{"subject":"Triplex-induced comm failure","project_id":79,"tracker_id":40,"status_id":1,"priority_id":2,"assigned_to_id":23,"start_date":"2016-10-11","description":"Primary-secondary slice switch caused a brief comm outage and an enforcement","custom_fields":[{"id":1,"name":"Subdivision","value":"NW"},{"id":4,"name":"Milepost","value":"0.9499"},{"id":17,"name":"Train ID","value":"821-11"},{"id":16,"name":"Locomotive ID","value":"4044"},{"id":130,"name":"Impact","value":"Enforcement"},{"id":150,"name":"Time of Event (Mountain Time)","value":"13:24:00"},{"id":151,"name":"Denver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0" s="55" t="s">
        <v>791</v>
      </c>
      <c r="AA40" s="55" t="s">
        <v>134</v>
      </c>
      <c r="AB40" s="23" t="s">
        <v>198</v>
      </c>
      <c r="AC40" s="170" t="str">
        <f t="shared" si="15"/>
        <v>grep -hSE -A100 "Enforcement Action" "%USERPROFILE%\AppData\Local\Temp\OnboardLogs"\RTDC4044\*4044*201610111* | grep -SE "((Enforcement Ac)|(PRM))" -</v>
      </c>
    </row>
    <row r="41" spans="1:29" x14ac:dyDescent="0.25">
      <c r="A41" s="38">
        <v>42654.867731481485</v>
      </c>
      <c r="B41" s="33" t="s">
        <v>275</v>
      </c>
      <c r="C41" s="33" t="s">
        <v>555</v>
      </c>
      <c r="D41" s="33" t="s">
        <v>49</v>
      </c>
      <c r="E41" s="33" t="s">
        <v>54</v>
      </c>
      <c r="F41" s="49">
        <v>0</v>
      </c>
      <c r="G41" s="49">
        <v>447</v>
      </c>
      <c r="H41" s="49">
        <v>18496</v>
      </c>
      <c r="I41" s="49">
        <v>16859</v>
      </c>
      <c r="J41" s="33" t="s">
        <v>55</v>
      </c>
      <c r="K41" s="49">
        <v>16590</v>
      </c>
      <c r="L41" s="145" t="s">
        <v>53</v>
      </c>
      <c r="M41" s="148">
        <f t="shared" si="8"/>
        <v>142.03200000000001</v>
      </c>
      <c r="N41" s="87" t="str">
        <f>VLOOKUP(C41,'Trips&amp;Operators'!$C$1:$E$99999,3,FALSE)</f>
        <v>BRUDER</v>
      </c>
      <c r="O41" s="169" t="s">
        <v>246</v>
      </c>
      <c r="P41" s="10" t="s">
        <v>373</v>
      </c>
      <c r="Q41" s="33"/>
      <c r="R41" s="103" t="str">
        <f>VLOOKUP(C41,'Train Runs'!$A$13:$AE$10010,31,0)</f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S41" s="106" t="str">
        <f>VLOOKUP(C41,'Train Runs'!$A$13:$AE$10010,22,0)</f>
        <v>https://search-rtdc-monitor-bjffxe2xuh6vdkpspy63sjmuny.us-east-1.es.amazonaws.com/_plugin/kibana/#/discover/Steve-Slow-Train-Analysis-(2080s-and-2083s)?_g=(refreshInterval:(display:Off,section:0,value:0),time:(from:'2016-10-11 19:36:49-0600',mode:absolute,to:'2016-10-11 21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1" s="108" t="str">
        <f t="shared" si="9"/>
        <v>"C:\Program Files (x86)\AstroGrep\AstroGrep.exe" /spath="%USERPROFILE%\AppData\Local\Temp\OnboardLogs" /stypes="*4043*201610120*" /stext=" 02:.+((SYSTEM_STATE.+slice.+state.+changed )|(ment ac)|(system.+state.+changed )|(\[timeout)|(PRM\|1\|D)|(kpr)|(kdp)|(\|lc)|(penalty))" /e /r /s</v>
      </c>
      <c r="U41" s="9" t="str">
        <f t="shared" si="10"/>
        <v>4043</v>
      </c>
      <c r="V41" s="38">
        <f t="shared" si="11"/>
        <v>42655.117731481485</v>
      </c>
      <c r="W41" s="52" t="str">
        <f t="shared" si="12"/>
        <v>NW</v>
      </c>
      <c r="X41" s="52" t="str">
        <f t="shared" si="13"/>
        <v>KEEP</v>
      </c>
      <c r="Y41" s="129" t="str">
        <f t="shared" si="14"/>
        <v>echo {"issue":{"subject":"Wi-MAX outage","project_id":79,"tracker_id":40,"status_id":1,"priority_id":2,"assigned_to_id":23,"start_date":"2016-10-11","description":"http://stevetu21.github.io/eaglep3/load_kml.html?kml=http://rtdc.gmaps-snips.s3.amazonaws.com/6bb5bf66-316a-465e-85c8-db8320c53589.kml","custom_fields":[{"id":1,"name":"Subdivision","value":"NW"},{"id":4,"name":"Milepost","value":"1.659"},{"id":17,"name":"Train ID","value":"842-11"},{"id":16,"name":"Locomotive ID","value":"4043"},{"id":130,"name":"Impact","value":"Enforcement"},{"id":150,"name":"Time of Event (Mountain Time)","value":"20:49:32"},{"id":151,"name":"Denver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1" s="185" t="s">
        <v>789</v>
      </c>
      <c r="AA41" s="55" t="s">
        <v>134</v>
      </c>
      <c r="AB41" s="23" t="s">
        <v>147</v>
      </c>
      <c r="AC41" s="170" t="str">
        <f t="shared" si="15"/>
        <v>grep -hSE -A100 "Enforcement Action" "%USERPROFILE%\AppData\Local\Temp\OnboardLogs"\RTDC4043\*4043*201610120* | grep -SE "((Enforcement Ac)|(PRM))" -</v>
      </c>
    </row>
    <row r="42" spans="1:29" x14ac:dyDescent="0.25">
      <c r="A42" s="38">
        <v>42654.324884259258</v>
      </c>
      <c r="B42" s="33" t="s">
        <v>275</v>
      </c>
      <c r="C42" s="33" t="s">
        <v>502</v>
      </c>
      <c r="D42" s="33" t="s">
        <v>49</v>
      </c>
      <c r="E42" s="33" t="s">
        <v>54</v>
      </c>
      <c r="F42" s="49">
        <v>0</v>
      </c>
      <c r="G42" s="49">
        <v>575</v>
      </c>
      <c r="H42" s="49">
        <v>31004</v>
      </c>
      <c r="I42" s="49">
        <v>28627</v>
      </c>
      <c r="J42" s="33" t="s">
        <v>55</v>
      </c>
      <c r="K42" s="49">
        <v>27253</v>
      </c>
      <c r="L42" s="145" t="s">
        <v>53</v>
      </c>
      <c r="M42" s="148">
        <f t="shared" si="8"/>
        <v>725.47199999999998</v>
      </c>
      <c r="N42" s="87" t="str">
        <f>VLOOKUP(C42,'Trips&amp;Operators'!$C$1:$E$99999,3,FALSE)</f>
        <v>LEVIN</v>
      </c>
      <c r="O42" s="169" t="s">
        <v>86</v>
      </c>
      <c r="P42" s="10" t="s">
        <v>375</v>
      </c>
      <c r="Q42" s="33"/>
      <c r="R42" s="103" t="str">
        <f>VLOOKUP(C42,'Train Runs'!$A$13:$AE$10010,31,0)</f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S42" s="106" t="str">
        <f>VLOOKUP(C42,'Train Runs'!$A$13:$AE$10010,22,0)</f>
        <v>https://search-rtdc-monitor-bjffxe2xuh6vdkpspy63sjmuny.us-east-1.es.amazonaws.com/_plugin/kibana/#/discover/Steve-Slow-Train-Analysis-(2080s-and-2083s)?_g=(refreshInterval:(display:Off,section:0,value:0),time:(from:'2016-10-11 06:35:29-0600',mode:absolute,to:'2016-10-11 08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2" s="108" t="str">
        <f t="shared" si="9"/>
        <v>"C:\Program Files (x86)\AstroGrep\AstroGrep.exe" /spath="%USERPROFILE%\AppData\Local\Temp\OnboardLogs" /stypes="*4043*201610111*" /stext=" 13:.+((SYSTEM_STATE.+slice.+state.+changed )|(ment ac)|(system.+state.+changed )|(\[timeout)|(PRM\|1\|D)|(kpr)|(kdp)|(\|lc)|(penalty))" /e /r /s</v>
      </c>
      <c r="U42" s="9" t="str">
        <f t="shared" si="10"/>
        <v>4043</v>
      </c>
      <c r="V42" s="38">
        <f t="shared" si="11"/>
        <v>42654.574884259258</v>
      </c>
      <c r="W42" s="52" t="str">
        <f t="shared" si="12"/>
        <v>NW</v>
      </c>
      <c r="X42" s="52" t="str">
        <f t="shared" si="13"/>
        <v>KEEP</v>
      </c>
      <c r="Y42" s="129" t="str">
        <f t="shared" si="14"/>
        <v>echo {"issue":{"subject":"RESTRICTED aspect","project_id":79,"tracker_id":40,"status_id":1,"priority_id":2,"assigned_to_id":23,"start_date":"2016-10-11","description":"","custom_fields":[{"id":1,"name":"Subdivision","value":"NW"},{"id":4,"name":"Milepost","value":"2.7253"},{"id":17,"name":"Train ID","value":"808-11"},{"id":16,"name":"Locomotive ID","value":"4043"},{"id":130,"name":"Impact","value":""},{"id":150,"name":"Time of Event (Mountain Time)","value":"07:47:50"},{"id":151,"name":"Denver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0" t="str">
        <f t="shared" si="15"/>
        <v>grep -hSE -A100 "Enforcement Action" "%USERPROFILE%\AppData\Local\Temp\OnboardLogs"\RTDC4043\*4043*201610111* | grep -SE "((Enforcement Ac)|(PRM))" -</v>
      </c>
    </row>
    <row r="43" spans="1:29" x14ac:dyDescent="0.25">
      <c r="A43" s="38">
        <v>42654.616689814815</v>
      </c>
      <c r="B43" s="33" t="s">
        <v>275</v>
      </c>
      <c r="C43" s="33" t="s">
        <v>542</v>
      </c>
      <c r="D43" s="33" t="s">
        <v>105</v>
      </c>
      <c r="E43" s="33" t="s">
        <v>54</v>
      </c>
      <c r="F43" s="49">
        <v>0</v>
      </c>
      <c r="G43" s="49">
        <v>556</v>
      </c>
      <c r="H43" s="49">
        <v>27185</v>
      </c>
      <c r="I43" s="49">
        <v>25251</v>
      </c>
      <c r="J43" s="33" t="s">
        <v>55</v>
      </c>
      <c r="K43" s="49">
        <v>27253</v>
      </c>
      <c r="L43" s="145" t="s">
        <v>53</v>
      </c>
      <c r="M43" s="148">
        <f t="shared" si="8"/>
        <v>-1057.056</v>
      </c>
      <c r="N43" s="87" t="str">
        <f>VLOOKUP(C43,'Trips&amp;Operators'!$C$1:$E$99999,3,FALSE)</f>
        <v>BRUDER</v>
      </c>
      <c r="O43" s="169" t="s">
        <v>86</v>
      </c>
      <c r="P43" s="10" t="s">
        <v>375</v>
      </c>
      <c r="Q43" s="33"/>
      <c r="R43" s="103" t="str">
        <f>VLOOKUP(C43,'Train Runs'!$A$13:$AE$10010,31,0)</f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S43" s="106" t="str">
        <f>VLOOKUP(C43,'Train Runs'!$A$13:$AE$10010,22,0)</f>
        <v>https://search-rtdc-monitor-bjffxe2xuh6vdkpspy63sjmuny.us-east-1.es.amazonaws.com/_plugin/kibana/#/discover/Steve-Slow-Train-Analysis-(2080s-and-2083s)?_g=(refreshInterval:(display:Off,section:0,value:0),time:(from:'2016-10-11 13:36:45-0600',mode:absolute,to:'2016-10-11 15:57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3" s="108" t="str">
        <f t="shared" si="9"/>
        <v>"C:\Program Files (x86)\AstroGrep\AstroGrep.exe" /spath="%USERPROFILE%\AppData\Local\Temp\OnboardLogs" /stypes="*4043*201610112*" /stext=" 20:.+((SYSTEM_STATE.+slice.+state.+changed )|(ment ac)|(system.+state.+changed )|(\[timeout)|(PRM\|1\|D)|(kpr)|(kdp)|(\|lc)|(penalty))" /e /r /s</v>
      </c>
      <c r="U43" s="9" t="str">
        <f t="shared" si="10"/>
        <v>4043</v>
      </c>
      <c r="V43" s="38">
        <f t="shared" si="11"/>
        <v>42654.866689814815</v>
      </c>
      <c r="W43" s="52" t="str">
        <f t="shared" si="12"/>
        <v>NW</v>
      </c>
      <c r="X43" s="52" t="str">
        <f t="shared" si="13"/>
        <v>KEEP</v>
      </c>
      <c r="Y43" s="129" t="str">
        <f t="shared" si="14"/>
        <v>echo {"issue":{"subject":"RESTRICTED aspect","project_id":79,"tracker_id":40,"status_id":1,"priority_id":2,"assigned_to_id":23,"start_date":"2016-10-11","description":"","custom_fields":[{"id":1,"name":"Subdivision","value":"NW"},{"id":4,"name":"Milepost","value":"2.7253"},{"id":17,"name":"Train ID","value":"824-11"},{"id":16,"name":"Locomotive ID","value":"4043"},{"id":130,"name":"Impact","value":""},{"id":150,"name":"Time of Event (Mountain Time)","value":"14:48:02"},{"id":151,"name":"Denver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0" t="str">
        <f t="shared" si="15"/>
        <v>grep -hSE -A100 "Enforcement Action" "%USERPROFILE%\AppData\Local\Temp\OnboardLogs"\RTDC4043\*4043*201610112* | grep -SE "((Enforcement Ac)|(PRM))" -</v>
      </c>
    </row>
    <row r="44" spans="1:29" x14ac:dyDescent="0.25">
      <c r="A44" s="38">
        <v>42654.770115740743</v>
      </c>
      <c r="B44" s="33" t="s">
        <v>232</v>
      </c>
      <c r="C44" s="33" t="s">
        <v>554</v>
      </c>
      <c r="D44" s="33" t="s">
        <v>105</v>
      </c>
      <c r="E44" s="33" t="s">
        <v>54</v>
      </c>
      <c r="F44" s="49">
        <v>0</v>
      </c>
      <c r="G44" s="49">
        <v>3</v>
      </c>
      <c r="H44" s="49">
        <v>31178</v>
      </c>
      <c r="I44" s="49">
        <v>31225</v>
      </c>
      <c r="J44" s="33" t="s">
        <v>55</v>
      </c>
      <c r="K44" s="49">
        <v>29691</v>
      </c>
      <c r="L44" s="145" t="s">
        <v>52</v>
      </c>
      <c r="M44" s="148">
        <f t="shared" si="8"/>
        <v>-809.952</v>
      </c>
      <c r="N44" s="87" t="str">
        <f>VLOOKUP(C44,'Trips&amp;Operators'!$C$1:$E$99999,3,FALSE)</f>
        <v>BRUDER</v>
      </c>
      <c r="O44" s="169" t="s">
        <v>246</v>
      </c>
      <c r="P44" s="10" t="s">
        <v>373</v>
      </c>
      <c r="Q44" s="33"/>
      <c r="R44" s="103" t="str">
        <f>VLOOKUP(C44,'Train Runs'!$A$13:$AE$10010,31,0)</f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S44" s="106" t="str">
        <f>VLOOKUP(C44,'Train Runs'!$A$13:$AE$10010,22,0)</f>
        <v>https://search-rtdc-monitor-bjffxe2xuh6vdkpspy63sjmuny.us-east-1.es.amazonaws.com/_plugin/kibana/#/discover/Steve-Slow-Train-Analysis-(2080s-and-2083s)?_g=(refreshInterval:(display:Off,section:0,value:0),time:(from:'2016-10-11 17:12:09-0600',mode:absolute,to:'2016-10-11 19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4" s="108" t="str">
        <f t="shared" si="9"/>
        <v>"C:\Program Files (x86)\AstroGrep\AstroGrep.exe" /spath="%USERPROFILE%\AppData\Local\Temp\OnboardLogs" /stypes="*4044*201610120*" /stext=" 00:.+((SYSTEM_STATE.+slice.+state.+changed )|(ment ac)|(system.+state.+changed )|(\[timeout)|(PRM\|1\|D)|(kpr)|(kdp)|(\|lc)|(penalty))" /e /r /s</v>
      </c>
      <c r="U44" s="9" t="str">
        <f t="shared" si="10"/>
        <v>4044</v>
      </c>
      <c r="V44" s="38">
        <f t="shared" si="11"/>
        <v>42655.020115740743</v>
      </c>
      <c r="W44" s="52" t="str">
        <f t="shared" si="12"/>
        <v>NW</v>
      </c>
      <c r="X44" s="52" t="str">
        <f t="shared" si="13"/>
        <v>KEEP</v>
      </c>
      <c r="Y44" s="129" t="str">
        <f t="shared" si="14"/>
        <v>echo {"issue":{"subject":"Wi-MAX outage","project_id":79,"tracker_id":40,"status_id":1,"priority_id":2,"assigned_to_id":23,"start_date":"2016-10-11","description":"","custom_fields":[{"id":1,"name":"Subdivision","value":"NW"},{"id":4,"name":"Milepost","value":"2.9691"},{"id":17,"name":"Train ID","value":"837-11"},{"id":16,"name":"Locomotive ID","value":"4044"},{"id":130,"name":"Impact","value":""},{"id":150,"name":"Time of Event (Mountain Time)","value":"18:28:58"},{"id":151,"name":"Denver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0" t="str">
        <f t="shared" si="15"/>
        <v>grep -hSE -A100 "Enforcement Action" "%USERPROFILE%\AppData\Local\Temp\OnboardLogs"\RTDC4044\*4044*201610120* | grep -SE "((Enforcement Ac)|(PRM))" -</v>
      </c>
    </row>
    <row r="45" spans="1:29" x14ac:dyDescent="0.25">
      <c r="A45" s="38">
        <v>42654.562094907407</v>
      </c>
      <c r="B45" s="33" t="s">
        <v>232</v>
      </c>
      <c r="C45" s="33" t="s">
        <v>528</v>
      </c>
      <c r="D45" s="33" t="s">
        <v>49</v>
      </c>
      <c r="E45" s="33" t="s">
        <v>535</v>
      </c>
      <c r="F45" s="49">
        <v>0</v>
      </c>
      <c r="G45" s="49">
        <v>613</v>
      </c>
      <c r="H45" s="49">
        <v>28202</v>
      </c>
      <c r="I45" s="49">
        <v>30672</v>
      </c>
      <c r="J45" s="33" t="s">
        <v>536</v>
      </c>
      <c r="K45" s="49">
        <v>29691</v>
      </c>
      <c r="L45" s="145" t="s">
        <v>52</v>
      </c>
      <c r="M45" s="148">
        <f t="shared" si="8"/>
        <v>-517.96799999999996</v>
      </c>
      <c r="N45" s="87" t="str">
        <f>VLOOKUP(C45,'Trips&amp;Operators'!$C$1:$E$99999,3,FALSE)</f>
        <v>BRUDER</v>
      </c>
      <c r="O45" s="169" t="s">
        <v>246</v>
      </c>
      <c r="P45" s="10" t="s">
        <v>373</v>
      </c>
      <c r="Q45" s="33"/>
      <c r="R45" s="103" t="str">
        <f>VLOOKUP(C45,'Train Runs'!$A$13:$AE$10010,31,0)</f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S45" s="106" t="str">
        <f>VLOOKUP(C45,'Train Runs'!$A$13:$AE$10010,22,0)</f>
        <v>https://search-rtdc-monitor-bjffxe2xuh6vdkpspy63sjmuny.us-east-1.es.amazonaws.com/_plugin/kibana/#/discover/Steve-Slow-Train-Analysis-(2080s-and-2083s)?_g=(refreshInterval:(display:Off,section:0,value:0),time:(from:'2016-10-11 11:36:49-0600',mode:absolute,to:'2016-10-11 14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5" s="108" t="str">
        <f t="shared" si="9"/>
        <v>"C:\Program Files (x86)\AstroGrep\AstroGrep.exe" /spath="%USERPROFILE%\AppData\Local\Temp\OnboardLogs" /stypes="*4044*201610111*" /stext=" 19:.+((SYSTEM_STATE.+slice.+state.+changed )|(ment ac)|(system.+state.+changed )|(\[timeout)|(PRM\|1\|D)|(kpr)|(kdp)|(\|lc)|(penalty))" /e /r /s</v>
      </c>
      <c r="U45" s="9" t="str">
        <f t="shared" si="10"/>
        <v>4044</v>
      </c>
      <c r="V45" s="38">
        <f t="shared" si="11"/>
        <v>42654.812094907407</v>
      </c>
      <c r="W45" s="52" t="str">
        <f t="shared" si="12"/>
        <v>NW</v>
      </c>
      <c r="X45" s="52" t="str">
        <f t="shared" si="13"/>
        <v>KEEP</v>
      </c>
      <c r="Y45" s="129" t="str">
        <f t="shared" si="14"/>
        <v>echo {"issue":{"subject":"Wi-MAX outage","project_id":79,"tracker_id":40,"status_id":1,"priority_id":2,"assigned_to_id":23,"start_date":"2016-10-11","description":"http://stevetu21.github.io/eaglep3/load_kml.html?kml=http://rtdc.gmaps-snips.s3.amazonaws.com/f3939a10-ae69-4edd-af0f-7d1faa6c4b0f.kml","custom_fields":[{"id":1,"name":"Subdivision","value":"NW"},{"id":4,"name":"Milepost","value":"2.9691"},{"id":17,"name":"Train ID","value":"821-11"},{"id":16,"name":"Locomotive ID","value":"4044"},{"id":130,"name":"Impact","value":"Enforcement"},{"id":150,"name":"Time of Event (Mountain Time)","value":"13:29:25"},{"id":151,"name":"Denver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5" s="185" t="s">
        <v>790</v>
      </c>
      <c r="AA45" s="55" t="s">
        <v>134</v>
      </c>
      <c r="AB45" s="23" t="s">
        <v>147</v>
      </c>
      <c r="AC45" s="170" t="str">
        <f t="shared" si="15"/>
        <v>grep -hSE -A100 "Enforcement Action" "%USERPROFILE%\AppData\Local\Temp\OnboardLogs"\RTDC4044\*4044*201610111* | grep -SE "((Enforcement Ac)|(PRM))" -</v>
      </c>
    </row>
    <row r="46" spans="1:29" x14ac:dyDescent="0.25">
      <c r="A46" s="38">
        <v>42654.769745370373</v>
      </c>
      <c r="B46" s="33" t="s">
        <v>232</v>
      </c>
      <c r="C46" s="33" t="s">
        <v>554</v>
      </c>
      <c r="D46" s="33" t="s">
        <v>49</v>
      </c>
      <c r="E46" s="33" t="s">
        <v>535</v>
      </c>
      <c r="F46" s="49">
        <v>0</v>
      </c>
      <c r="G46" s="49">
        <v>604</v>
      </c>
      <c r="H46" s="49">
        <v>28713</v>
      </c>
      <c r="I46" s="49">
        <v>31176</v>
      </c>
      <c r="J46" s="33" t="s">
        <v>536</v>
      </c>
      <c r="K46" s="49">
        <v>29691</v>
      </c>
      <c r="L46" s="145" t="s">
        <v>52</v>
      </c>
      <c r="M46" s="148">
        <f t="shared" si="8"/>
        <v>-784.08</v>
      </c>
      <c r="N46" s="87" t="str">
        <f>VLOOKUP(C46,'Trips&amp;Operators'!$C$1:$E$99999,3,FALSE)</f>
        <v>BRUDER</v>
      </c>
      <c r="O46" s="169" t="s">
        <v>246</v>
      </c>
      <c r="P46" s="10" t="s">
        <v>373</v>
      </c>
      <c r="Q46" s="33"/>
      <c r="R46" s="103" t="str">
        <f>VLOOKUP(C46,'Train Runs'!$A$13:$AE$10010,31,0)</f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S46" s="106" t="str">
        <f>VLOOKUP(C46,'Train Runs'!$A$13:$AE$10010,22,0)</f>
        <v>https://search-rtdc-monitor-bjffxe2xuh6vdkpspy63sjmuny.us-east-1.es.amazonaws.com/_plugin/kibana/#/discover/Steve-Slow-Train-Analysis-(2080s-and-2083s)?_g=(refreshInterval:(display:Off,section:0,value:0),time:(from:'2016-10-11 17:12:09-0600',mode:absolute,to:'2016-10-11 19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6" s="108" t="str">
        <f t="shared" si="9"/>
        <v>"C:\Program Files (x86)\AstroGrep\AstroGrep.exe" /spath="%USERPROFILE%\AppData\Local\Temp\OnboardLogs" /stypes="*4044*201610120*" /stext=" 00:.+((SYSTEM_STATE.+slice.+state.+changed )|(ment ac)|(system.+state.+changed )|(\[timeout)|(PRM\|1\|D)|(kpr)|(kdp)|(\|lc)|(penalty))" /e /r /s</v>
      </c>
      <c r="U46" s="9" t="str">
        <f t="shared" si="10"/>
        <v>4044</v>
      </c>
      <c r="V46" s="38">
        <f t="shared" si="11"/>
        <v>42655.019745370373</v>
      </c>
      <c r="W46" s="52" t="str">
        <f t="shared" si="12"/>
        <v>NW</v>
      </c>
      <c r="X46" s="52" t="str">
        <f t="shared" si="13"/>
        <v>KEEP</v>
      </c>
      <c r="Y46" s="129" t="str">
        <f t="shared" si="14"/>
        <v>echo {"issue":{"subject":"Wi-MAX outage","project_id":79,"tracker_id":40,"status_id":1,"priority_id":2,"assigned_to_id":23,"start_date":"2016-10-11","description":"http://stevetu21.github.io/eaglep3/load_kml.html?kml=http://rtdc.gmaps-snips.s3.amazonaws.com/34fa19e6-7dd1-42a6-b753-8b7b0acfcc74.kml","custom_fields":[{"id":1,"name":"Subdivision","value":"NW"},{"id":4,"name":"Milepost","value":"2.9691"},{"id":17,"name":"Train ID","value":"837-11"},{"id":16,"name":"Locomotive ID","value":"4044"},{"id":130,"name":"Impact","value":"Unexpected Cut-Out or Disengaged"},{"id":150,"name":"Time of Event (Mountain Time)","value":"18:28:26"},{"id":151,"name":"Denver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6" s="185" t="s">
        <v>784</v>
      </c>
      <c r="AA46" s="55" t="s">
        <v>140</v>
      </c>
      <c r="AB46" s="23" t="s">
        <v>147</v>
      </c>
      <c r="AC46" s="170" t="str">
        <f t="shared" si="15"/>
        <v>grep -hSE -A100 "Enforcement Action" "%USERPROFILE%\AppData\Local\Temp\OnboardLogs"\RTDC4044\*4044*201610120* | grep -SE "((Enforcement Ac)|(PRM))" -</v>
      </c>
    </row>
    <row r="47" spans="1:29" x14ac:dyDescent="0.25">
      <c r="A47" s="38">
        <v>42654.496203703704</v>
      </c>
      <c r="B47" s="33" t="s">
        <v>275</v>
      </c>
      <c r="C47" s="33" t="s">
        <v>521</v>
      </c>
      <c r="D47" s="33" t="s">
        <v>49</v>
      </c>
      <c r="E47" s="33" t="s">
        <v>50</v>
      </c>
      <c r="F47" s="49">
        <v>0</v>
      </c>
      <c r="G47" s="49">
        <v>51</v>
      </c>
      <c r="H47" s="49">
        <v>747</v>
      </c>
      <c r="I47" s="49">
        <v>701</v>
      </c>
      <c r="J47" s="33" t="s">
        <v>51</v>
      </c>
      <c r="K47" s="49">
        <v>575</v>
      </c>
      <c r="L47" s="145" t="s">
        <v>53</v>
      </c>
      <c r="M47" s="148">
        <f t="shared" si="8"/>
        <v>66.528000000000006</v>
      </c>
      <c r="N47" s="87" t="str">
        <f>VLOOKUP(C47,'Trips&amp;Operators'!$C$1:$E$99999,3,FALSE)</f>
        <v>LEVIN</v>
      </c>
      <c r="O47" s="169" t="s">
        <v>86</v>
      </c>
      <c r="P47" s="10"/>
      <c r="Q47" s="33"/>
      <c r="R47" s="103" t="str">
        <f>VLOOKUP(C47,'Train Runs'!$A$13:$AE$10010,31,0)</f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S47" s="106" t="str">
        <f>VLOOKUP(C47,'Train Runs'!$A$13:$AE$10010,22,0)</f>
        <v>https://search-rtdc-monitor-bjffxe2xuh6vdkpspy63sjmuny.us-east-1.es.amazonaws.com/_plugin/kibana/#/discover/Steve-Slow-Train-Analysis-(2080s-and-2083s)?_g=(refreshInterval:(display:Off,section:0,value:0),time:(from:'2016-10-11 10:35:16-0600',mode:absolute,to:'2016-10-11 12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7" s="108" t="str">
        <f t="shared" si="9"/>
        <v>"C:\Program Files (x86)\AstroGrep\AstroGrep.exe" /spath="%USERPROFILE%\AppData\Local\Temp\OnboardLogs" /stypes="*4043*201610111*" /stext=" 17:.+((SYSTEM_STATE.+slice.+state.+changed )|(ment ac)|(system.+state.+changed )|(\[timeout)|(PRM\|1\|D)|(kpr)|(kdp)|(\|lc)|(penalty))" /e /r /s</v>
      </c>
      <c r="U47" s="9" t="str">
        <f t="shared" si="10"/>
        <v>4043</v>
      </c>
      <c r="V47" s="38">
        <f t="shared" si="11"/>
        <v>42654.746203703704</v>
      </c>
      <c r="W47" s="52" t="str">
        <f t="shared" si="12"/>
        <v>NW</v>
      </c>
      <c r="X47" s="52" t="str">
        <f t="shared" si="13"/>
        <v>KEEP</v>
      </c>
      <c r="Y47" s="129" t="str">
        <f t="shared" si="14"/>
        <v>echo {"issue":{"subject":"","project_id":79,"tracker_id":40,"status_id":1,"priority_id":2,"assigned_to_id":23,"start_date":"2016-10-11","description":"","custom_fields":[{"id":1,"name":"Subdivision","value":"NW"},{"id":4,"name":"Milepost","value":"0.0575"},{"id":17,"name":"Train ID","value":"818-11"},{"id":16,"name":"Locomotive ID","value":"4043"},{"id":130,"name":"Impact","value":""},{"id":150,"name":"Time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0" t="str">
        <f t="shared" si="15"/>
        <v>grep -hSE -A100 "Enforcement Action" "%USERPROFILE%\AppData\Local\Temp\OnboardLogs"\RTDC4043\*4043*201610111* | grep -SE "((Enforcement Ac)|(PRM))" -</v>
      </c>
    </row>
    <row r="48" spans="1:29" x14ac:dyDescent="0.25">
      <c r="A48" s="38">
        <v>42654.915914351855</v>
      </c>
      <c r="B48" s="33" t="s">
        <v>275</v>
      </c>
      <c r="C48" s="33" t="s">
        <v>556</v>
      </c>
      <c r="D48" s="33" t="s">
        <v>49</v>
      </c>
      <c r="E48" s="33" t="s">
        <v>50</v>
      </c>
      <c r="F48" s="49">
        <v>0</v>
      </c>
      <c r="G48" s="49">
        <v>59</v>
      </c>
      <c r="H48" s="49">
        <v>771</v>
      </c>
      <c r="I48" s="49">
        <v>729</v>
      </c>
      <c r="J48" s="33" t="s">
        <v>51</v>
      </c>
      <c r="K48" s="49">
        <v>575</v>
      </c>
      <c r="L48" s="145" t="s">
        <v>53</v>
      </c>
      <c r="M48" s="148">
        <f t="shared" si="8"/>
        <v>81.311999999999998</v>
      </c>
      <c r="N48" s="87" t="str">
        <f>VLOOKUP(C48,'Trips&amp;Operators'!$C$1:$E$99999,3,FALSE)</f>
        <v>STURGEON</v>
      </c>
      <c r="O48" s="169" t="s">
        <v>86</v>
      </c>
      <c r="P48" s="10"/>
      <c r="Q48" s="33"/>
      <c r="R48" s="103" t="str">
        <f>VLOOKUP(C48,'Train Runs'!$A$13:$AE$10010,31,0)</f>
        <v>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 &amp; 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</v>
      </c>
      <c r="S48" s="106" t="str">
        <f>VLOOKUP(C48,'Train Runs'!$A$13:$AE$10010,22,0)</f>
        <v>https://search-rtdc-monitor-bjffxe2xuh6vdkpspy63sjmuny.us-east-1.es.amazonaws.com/_plugin/kibana/#/discover/Steve-Slow-Train-Analysis-(2080s-and-2083s)?_g=(refreshInterval:(display:Off,section:0,value:0),time:(from:'2016-10-11 20:38:15-0600',mode:absolute,to:'2016-10-11 22:58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8" s="108" t="str">
        <f t="shared" si="9"/>
        <v>"C:\Program Files (x86)\AstroGrep\AstroGrep.exe" /spath="%USERPROFILE%\AppData\Local\Temp\OnboardLogs" /stypes="*4043*201610120*" /stext=" 03:.+((SYSTEM_STATE.+slice.+state.+changed )|(ment ac)|(system.+state.+changed )|(\[timeout)|(PRM\|1\|D)|(kpr)|(kdp)|(\|lc)|(penalty))" /e /r /s</v>
      </c>
      <c r="U48" s="9" t="str">
        <f t="shared" si="10"/>
        <v>4043</v>
      </c>
      <c r="V48" s="38">
        <f t="shared" si="11"/>
        <v>42655.165914351855</v>
      </c>
      <c r="W48" s="52" t="str">
        <f t="shared" si="12"/>
        <v>NW</v>
      </c>
      <c r="X48" s="52" t="str">
        <f t="shared" si="13"/>
        <v>KEEP</v>
      </c>
      <c r="Y48" s="129" t="str">
        <f t="shared" si="14"/>
        <v>echo {"issue":{"subject":"","project_id":79,"tracker_id":40,"status_id":1,"priority_id":2,"assigned_to_id":23,"start_date":"2016-10-11","description":"","custom_fields":[{"id":1,"name":"Subdivision","value":"NW"},{"id":4,"name":"Milepost","value":"0.0575"},{"id":17,"name":"Train ID","value":"844-11"},{"id":16,"name":"Locomotive ID","value":"4043"},{"id":130,"name":"Impact","value":""},{"id":150,"name":"Time of Event (Mountain Time)","value":"21:58:55"},{"id":151,"name":"Denver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0" t="str">
        <f t="shared" si="15"/>
        <v>grep -hSE -A100 "Enforcement Action" "%USERPROFILE%\AppData\Local\Temp\OnboardLogs"\RTDC4043\*4043*201610120* | grep -SE "((Enforcement Ac)|(PRM))" -</v>
      </c>
    </row>
    <row r="49" spans="1:29" x14ac:dyDescent="0.25">
      <c r="A49" s="38">
        <v>42654.356886574074</v>
      </c>
      <c r="B49" s="33" t="s">
        <v>232</v>
      </c>
      <c r="C49" s="33" t="s">
        <v>508</v>
      </c>
      <c r="D49" s="33" t="s">
        <v>49</v>
      </c>
      <c r="E49" s="33" t="s">
        <v>50</v>
      </c>
      <c r="F49" s="49">
        <v>0</v>
      </c>
      <c r="G49" s="49">
        <v>65</v>
      </c>
      <c r="H49" s="49">
        <v>58862</v>
      </c>
      <c r="I49" s="49">
        <v>58939</v>
      </c>
      <c r="J49" s="33" t="s">
        <v>51</v>
      </c>
      <c r="K49" s="49">
        <v>59048</v>
      </c>
      <c r="L49" s="145" t="s">
        <v>52</v>
      </c>
      <c r="M49" s="148">
        <f t="shared" si="8"/>
        <v>57.552</v>
      </c>
      <c r="N49" s="87" t="str">
        <f>VLOOKUP(C49,'Trips&amp;Operators'!$C$1:$E$99999,3,FALSE)</f>
        <v>LEVIN</v>
      </c>
      <c r="O49" s="169" t="s">
        <v>86</v>
      </c>
      <c r="P49" s="10"/>
      <c r="Q49" s="33"/>
      <c r="R49" s="103" t="str">
        <f>VLOOKUP(C49,'Train Runs'!$A$13:$AE$10010,31,0)</f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S49" s="106" t="str">
        <f>VLOOKUP(C49,'Train Runs'!$A$13:$AE$10010,22,0)</f>
        <v>https://search-rtdc-monitor-bjffxe2xuh6vdkpspy63sjmuny.us-east-1.es.amazonaws.com/_plugin/kibana/#/discover/Steve-Slow-Train-Analysis-(2080s-and-2083s)?_g=(refreshInterval:(display:Off,section:0,value:0),time:(from:'2016-10-11 07:18:02-0600',mode:absolute,to:'2016-10-11 09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9" s="108" t="str">
        <f t="shared" si="9"/>
        <v>"C:\Program Files (x86)\AstroGrep\AstroGrep.exe" /spath="%USERPROFILE%\AppData\Local\Temp\OnboardLogs" /stypes="*4044*201610111*" /stext=" 14:.+((SYSTEM_STATE.+slice.+state.+changed )|(ment ac)|(system.+state.+changed )|(\[timeout)|(PRM\|1\|D)|(kpr)|(kdp)|(\|lc)|(penalty))" /e /r /s</v>
      </c>
      <c r="U49" s="9" t="str">
        <f t="shared" si="10"/>
        <v>4044</v>
      </c>
      <c r="V49" s="38">
        <f t="shared" si="11"/>
        <v>42654.606886574074</v>
      </c>
      <c r="W49" s="52" t="str">
        <f t="shared" si="12"/>
        <v>NW</v>
      </c>
      <c r="X49" s="52" t="str">
        <f t="shared" si="13"/>
        <v>KEEP</v>
      </c>
      <c r="Y49" s="129" t="str">
        <f t="shared" si="14"/>
        <v>echo {"issue":{"subject":"","project_id":79,"tracker_id":40,"status_id":1,"priority_id":2,"assigned_to_id":23,"start_date":"2016-10-11","description":"","custom_fields":[{"id":1,"name":"Subdivision","value":"NW"},{"id":4,"name":"Milepost","value":"5.9048"},{"id":17,"name":"Train ID","value":"811-11"},{"id":16,"name":"Locomotive ID","value":"4044"},{"id":130,"name":"Impact","value":""},{"id":150,"name":"Time of Event (Mountain Time)","value":"08:33:55"},{"id":151,"name":"Denver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0" t="str">
        <f t="shared" si="15"/>
        <v>grep -hSE -A100 "Enforcement Action" "%USERPROFILE%\AppData\Local\Temp\OnboardLogs"\RTDC4044\*4044*201610111* | grep -SE "((Enforcement Ac)|(PRM))" -</v>
      </c>
    </row>
    <row r="50" spans="1:29" x14ac:dyDescent="0.25">
      <c r="A50" s="38">
        <v>42654.607465277775</v>
      </c>
      <c r="B50" s="33" t="s">
        <v>232</v>
      </c>
      <c r="C50" s="33" t="s">
        <v>539</v>
      </c>
      <c r="D50" s="33" t="s">
        <v>49</v>
      </c>
      <c r="E50" s="33" t="s">
        <v>50</v>
      </c>
      <c r="F50" s="49">
        <v>0</v>
      </c>
      <c r="G50" s="49">
        <v>47</v>
      </c>
      <c r="H50" s="49">
        <v>58950</v>
      </c>
      <c r="I50" s="49">
        <v>58982</v>
      </c>
      <c r="J50" s="33" t="s">
        <v>51</v>
      </c>
      <c r="K50" s="49">
        <v>59048</v>
      </c>
      <c r="L50" s="145" t="s">
        <v>52</v>
      </c>
      <c r="M50" s="148">
        <f t="shared" si="8"/>
        <v>34.847999999999999</v>
      </c>
      <c r="N50" s="87" t="str">
        <f>VLOOKUP(C50,'Trips&amp;Operators'!$C$1:$E$99999,3,FALSE)</f>
        <v>BRUDER</v>
      </c>
      <c r="O50" s="169" t="s">
        <v>86</v>
      </c>
      <c r="P50" s="10"/>
      <c r="Q50" s="33"/>
      <c r="R50" s="103" t="str">
        <f>VLOOKUP(C50,'Train Runs'!$A$13:$AE$10010,31,0)</f>
        <v>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 &amp; 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</v>
      </c>
      <c r="S50" s="106" t="str">
        <f>VLOOKUP(C50,'Train Runs'!$A$13:$AE$10010,22,0)</f>
        <v>https://search-rtdc-monitor-bjffxe2xuh6vdkpspy63sjmuny.us-east-1.es.amazonaws.com/_plugin/kibana/#/discover/Steve-Slow-Train-Analysis-(2080s-and-2083s)?_g=(refreshInterval:(display:Off,section:0,value:0),time:(from:'2016-10-11 13:13:26-0600',mode:absolute,to:'2016-10-11 15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0" s="108" t="str">
        <f t="shared" si="9"/>
        <v>"C:\Program Files (x86)\AstroGrep\AstroGrep.exe" /spath="%USERPROFILE%\AppData\Local\Temp\OnboardLogs" /stypes="*4044*201610112*" /stext=" 20:.+((SYSTEM_STATE.+slice.+state.+changed )|(ment ac)|(system.+state.+changed )|(\[timeout)|(PRM\|1\|D)|(kpr)|(kdp)|(\|lc)|(penalty))" /e /r /s</v>
      </c>
      <c r="U50" s="9" t="str">
        <f t="shared" si="10"/>
        <v>4044</v>
      </c>
      <c r="V50" s="38">
        <f t="shared" si="11"/>
        <v>42654.857465277775</v>
      </c>
      <c r="W50" s="52" t="str">
        <f t="shared" si="12"/>
        <v>NW</v>
      </c>
      <c r="X50" s="52" t="str">
        <f t="shared" si="13"/>
        <v>KEEP</v>
      </c>
      <c r="Y50" s="129" t="str">
        <f t="shared" si="14"/>
        <v>echo {"issue":{"subject":"","project_id":79,"tracker_id":40,"status_id":1,"priority_id":2,"assigned_to_id":23,"start_date":"2016-10-11","description":"","custom_fields":[{"id":1,"name":"Subdivision","value":"NW"},{"id":4,"name":"Milepost","value":"5.9048"},{"id":17,"name":"Train ID","value":"823-11"},{"id":16,"name":"Locomotive ID","value":"4044"},{"id":130,"name":"Impact","value":""},{"id":150,"name":"Time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0" t="str">
        <f t="shared" si="15"/>
        <v>grep -hSE -A100 "Enforcement Action" "%USERPROFILE%\AppData\Local\Temp\OnboardLogs"\RTDC4044\*4044*201610112* | grep -SE "((Enforcement Ac)|(PRM))" -</v>
      </c>
    </row>
    <row r="51" spans="1:29" x14ac:dyDescent="0.25">
      <c r="A51" s="38">
        <v>42654.754004629627</v>
      </c>
      <c r="B51" s="33" t="s">
        <v>211</v>
      </c>
      <c r="C51" s="33" t="s">
        <v>553</v>
      </c>
      <c r="D51" s="33" t="s">
        <v>49</v>
      </c>
      <c r="E51" s="33" t="s">
        <v>50</v>
      </c>
      <c r="F51" s="49">
        <v>0</v>
      </c>
      <c r="G51" s="49">
        <v>104</v>
      </c>
      <c r="H51" s="49">
        <v>58679</v>
      </c>
      <c r="I51" s="49">
        <v>58811</v>
      </c>
      <c r="J51" s="33" t="s">
        <v>51</v>
      </c>
      <c r="K51" s="49">
        <v>59048</v>
      </c>
      <c r="L51" s="145" t="s">
        <v>52</v>
      </c>
      <c r="M51" s="148">
        <f t="shared" si="8"/>
        <v>125.136</v>
      </c>
      <c r="N51" s="87" t="str">
        <f>VLOOKUP(C51,'Trips&amp;Operators'!$C$1:$E$99999,3,FALSE)</f>
        <v>STURGEON</v>
      </c>
      <c r="O51" s="169" t="s">
        <v>86</v>
      </c>
      <c r="P51" s="10"/>
      <c r="Q51" s="33"/>
      <c r="R51" s="103" t="str">
        <f>VLOOKUP(C51,'Train Runs'!$A$13:$AE$10010,31,0)</f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S51" s="106" t="str">
        <f>VLOOKUP(C51,'Train Runs'!$A$13:$AE$10010,22,0)</f>
        <v>https://search-rtdc-monitor-bjffxe2xuh6vdkpspy63sjmuny.us-east-1.es.amazonaws.com/_plugin/kibana/#/discover/Steve-Slow-Train-Analysis-(2080s-and-2083s)?_g=(refreshInterval:(display:Off,section:0,value:0),time:(from:'2016-10-11 16:42:57-0600',mode:absolute,to:'2016-10-11 19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1" s="108" t="str">
        <f t="shared" si="9"/>
        <v>"C:\Program Files (x86)\AstroGrep\AstroGrep.exe" /spath="%USERPROFILE%\AppData\Local\Temp\OnboardLogs" /stypes="*4018*201610120*" /stext=" 00:.+((SYSTEM_STATE.+slice.+state.+changed )|(ment ac)|(system.+state.+changed )|(\[timeout)|(PRM\|1\|D)|(kpr)|(kdp)|(\|lc)|(penalty))" /e /r /s</v>
      </c>
      <c r="U51" s="9" t="str">
        <f t="shared" si="10"/>
        <v>4018</v>
      </c>
      <c r="V51" s="38">
        <f t="shared" si="11"/>
        <v>42655.004004629627</v>
      </c>
      <c r="W51" s="52" t="str">
        <f t="shared" si="12"/>
        <v>NW</v>
      </c>
      <c r="X51" s="52" t="str">
        <f t="shared" si="13"/>
        <v>KEEP</v>
      </c>
      <c r="Y51" s="129" t="str">
        <f t="shared" si="14"/>
        <v>echo {"issue":{"subject":"","project_id":79,"tracker_id":40,"status_id":1,"priority_id":2,"assigned_to_id":23,"start_date":"2016-10-11","description":"","custom_fields":[{"id":1,"name":"Subdivision","value":"NW"},{"id":4,"name":"Milepost","value":"5.9048"},{"id":17,"name":"Train ID","value":"835-11"},{"id":16,"name":"Locomotive ID","value":"4018"},{"id":130,"name":"Impact","value":""},{"id":150,"name":"Time of Event (Mountain Time)","value":"18:05:46"},{"id":151,"name":"Denver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0" t="str">
        <f t="shared" si="15"/>
        <v>grep -hSE -A100 "Enforcement Action" "%USERPROFILE%\AppData\Local\Temp\OnboardLogs"\RTDC4018\*4018*201610120* | grep -SE "((Enforcement Ac)|(PRM))" -</v>
      </c>
    </row>
    <row r="52" spans="1:29" x14ac:dyDescent="0.25">
      <c r="A52" s="38">
        <v>42654.754282407404</v>
      </c>
      <c r="B52" s="33" t="s">
        <v>211</v>
      </c>
      <c r="C52" s="33" t="s">
        <v>553</v>
      </c>
      <c r="D52" s="33" t="s">
        <v>49</v>
      </c>
      <c r="E52" s="33" t="s">
        <v>50</v>
      </c>
      <c r="F52" s="49">
        <v>0</v>
      </c>
      <c r="G52" s="49">
        <v>48</v>
      </c>
      <c r="H52" s="49">
        <v>58856</v>
      </c>
      <c r="I52" s="49">
        <v>58916</v>
      </c>
      <c r="J52" s="33" t="s">
        <v>51</v>
      </c>
      <c r="K52" s="49">
        <v>59048</v>
      </c>
      <c r="L52" s="145" t="s">
        <v>52</v>
      </c>
      <c r="M52" s="148">
        <f t="shared" si="8"/>
        <v>69.695999999999998</v>
      </c>
      <c r="N52" s="87" t="str">
        <f>VLOOKUP(C52,'Trips&amp;Operators'!$C$1:$E$99999,3,FALSE)</f>
        <v>STURGEON</v>
      </c>
      <c r="O52" s="169" t="s">
        <v>86</v>
      </c>
      <c r="P52" s="10"/>
      <c r="Q52" s="33"/>
      <c r="R52" s="103" t="str">
        <f>VLOOKUP(C52,'Train Runs'!$A$13:$AE$10010,31,0)</f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S52" s="106" t="str">
        <f>VLOOKUP(C52,'Train Runs'!$A$13:$AE$10010,22,0)</f>
        <v>https://search-rtdc-monitor-bjffxe2xuh6vdkpspy63sjmuny.us-east-1.es.amazonaws.com/_plugin/kibana/#/discover/Steve-Slow-Train-Analysis-(2080s-and-2083s)?_g=(refreshInterval:(display:Off,section:0,value:0),time:(from:'2016-10-11 16:42:57-0600',mode:absolute,to:'2016-10-11 19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2" s="108" t="str">
        <f t="shared" si="9"/>
        <v>"C:\Program Files (x86)\AstroGrep\AstroGrep.exe" /spath="%USERPROFILE%\AppData\Local\Temp\OnboardLogs" /stypes="*4018*201610120*" /stext=" 00:.+((SYSTEM_STATE.+slice.+state.+changed )|(ment ac)|(system.+state.+changed )|(\[timeout)|(PRM\|1\|D)|(kpr)|(kdp)|(\|lc)|(penalty))" /e /r /s</v>
      </c>
      <c r="U52" s="9" t="str">
        <f t="shared" si="10"/>
        <v>4018</v>
      </c>
      <c r="V52" s="38">
        <f t="shared" si="11"/>
        <v>42655.004282407404</v>
      </c>
      <c r="W52" s="52" t="str">
        <f t="shared" si="12"/>
        <v>NW</v>
      </c>
      <c r="X52" s="52" t="str">
        <f t="shared" si="13"/>
        <v>KEEP</v>
      </c>
      <c r="Y52" s="129" t="str">
        <f t="shared" si="14"/>
        <v>echo {"issue":{"subject":"","project_id":79,"tracker_id":40,"status_id":1,"priority_id":2,"assigned_to_id":23,"start_date":"2016-10-11","description":"","custom_fields":[{"id":1,"name":"Subdivision","value":"NW"},{"id":4,"name":"Milepost","value":"5.9048"},{"id":17,"name":"Train ID","value":"835-11"},{"id":16,"name":"Locomotive ID","value":"4018"},{"id":130,"name":"Impact","value":""},{"id":150,"name":"Time of Event (Mountain Time)","value":"18:06:10"},{"id":151,"name":"Denver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0" t="str">
        <f t="shared" si="15"/>
        <v>grep -hSE -A100 "Enforcement Action" "%USERPROFILE%\AppData\Local\Temp\OnboardLogs"\RTDC4018\*4018*201610120* | grep -SE "((Enforcement Ac)|(PRM))" -</v>
      </c>
    </row>
    <row r="53" spans="1:29" x14ac:dyDescent="0.25">
      <c r="A53" s="38">
        <v>42654.357303240744</v>
      </c>
      <c r="B53" s="33" t="s">
        <v>211</v>
      </c>
      <c r="C53" s="33" t="s">
        <v>530</v>
      </c>
      <c r="D53" s="33" t="s">
        <v>105</v>
      </c>
      <c r="E53" s="33" t="s">
        <v>56</v>
      </c>
      <c r="F53" s="49">
        <v>200</v>
      </c>
      <c r="G53" s="49">
        <v>253</v>
      </c>
      <c r="H53" s="49">
        <v>6131</v>
      </c>
      <c r="I53" s="49">
        <v>6755</v>
      </c>
      <c r="J53" s="33" t="s">
        <v>57</v>
      </c>
      <c r="K53" s="49">
        <v>4790</v>
      </c>
      <c r="L53" s="145" t="s">
        <v>52</v>
      </c>
      <c r="M53" s="148">
        <f t="shared" si="8"/>
        <v>-1037.52</v>
      </c>
      <c r="N53" s="87" t="str">
        <f>VLOOKUP(C53,'Trips&amp;Operators'!$C$1:$E$99999,3,FALSE)</f>
        <v>HILLS</v>
      </c>
      <c r="O53" s="169" t="s">
        <v>86</v>
      </c>
      <c r="P53" s="10"/>
      <c r="Q53" s="33"/>
      <c r="R53" s="103" t="str">
        <f>VLOOKUP(C53,'Train Runs'!$A$13:$AE$10010,31,0)</f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S53" s="106" t="str">
        <f>VLOOKUP(C53,'Train Runs'!$A$13:$AE$10010,22,0)</f>
        <v>https://search-rtdc-monitor-bjffxe2xuh6vdkpspy63sjmuny.us-east-1.es.amazonaws.com/_plugin/kibana/#/discover/Steve-Slow-Train-Analysis-(2080s-and-2083s)?_g=(refreshInterval:(display:Off,section:0,value:0),time:(from:'2016-10-11 07:29:42-0600',mode:absolute,to:'2016-10-11 09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3" s="108" t="str">
        <f t="shared" si="9"/>
        <v>"C:\Program Files (x86)\AstroGrep\AstroGrep.exe" /spath="%USERPROFILE%\AppData\Local\Temp\OnboardLogs" /stypes="*4018*201610111*" /stext=" 14:.+((SYSTEM_STATE.+slice.+state.+changed )|(ment ac)|(system.+state.+changed )|(\[timeout)|(PRM\|1\|D)|(kpr)|(kdp)|(\|lc)|(penalty))" /e /r /s</v>
      </c>
      <c r="U53" s="9" t="str">
        <f t="shared" si="10"/>
        <v>4018</v>
      </c>
      <c r="V53" s="38">
        <f t="shared" si="11"/>
        <v>42654.607303240744</v>
      </c>
      <c r="W53" s="52" t="str">
        <f t="shared" si="12"/>
        <v>Other</v>
      </c>
      <c r="X53" s="52" t="str">
        <f t="shared" si="13"/>
        <v>KEEP</v>
      </c>
      <c r="Y53" s="129" t="str">
        <f t="shared" si="14"/>
        <v>echo {"issue":{"subject":"","project_id":79,"tracker_id":40,"status_id":1,"priority_id":2,"assigned_to_id":23,"start_date":"2016-10-11","description":"","custom_fields":[{"id":1,"name":"Subdivision","value":"Other"},{"id":4,"name":"Milepost","value":"0.479"},{"id":17,"name":"Train ID","value":"903-11"},{"id":16,"name":"Locomotive ID","value":"4018"},{"id":130,"name":"Impact","value":""},{"id":150,"name":"Time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0" t="str">
        <f t="shared" si="15"/>
        <v>grep -hSE -A100 "Enforcement Action" "%USERPROFILE%\AppData\Local\Temp\OnboardLogs"\RTDC4018\*4018*201610111* | grep -SE "((Enforcement Ac)|(PRM))" -</v>
      </c>
    </row>
    <row r="54" spans="1:29" x14ac:dyDescent="0.25">
      <c r="A54" s="38">
        <v>42654.359930555554</v>
      </c>
      <c r="B54" s="33" t="s">
        <v>211</v>
      </c>
      <c r="C54" s="33" t="s">
        <v>530</v>
      </c>
      <c r="D54" s="33" t="s">
        <v>105</v>
      </c>
      <c r="E54" s="33" t="s">
        <v>56</v>
      </c>
      <c r="F54" s="49">
        <v>500</v>
      </c>
      <c r="G54" s="49">
        <v>550</v>
      </c>
      <c r="H54" s="49">
        <v>16201</v>
      </c>
      <c r="I54" s="49">
        <v>17918</v>
      </c>
      <c r="J54" s="33" t="s">
        <v>57</v>
      </c>
      <c r="K54" s="49">
        <v>14402</v>
      </c>
      <c r="L54" s="145" t="s">
        <v>52</v>
      </c>
      <c r="M54" s="148">
        <f t="shared" si="8"/>
        <v>-1856.4480000000001</v>
      </c>
      <c r="N54" s="87" t="str">
        <f>VLOOKUP(C54,'Trips&amp;Operators'!$C$1:$E$99999,3,FALSE)</f>
        <v>HILLS</v>
      </c>
      <c r="O54" s="169" t="s">
        <v>86</v>
      </c>
      <c r="P54" s="10"/>
      <c r="Q54" s="33"/>
      <c r="R54" s="103" t="str">
        <f>VLOOKUP(C54,'Train Runs'!$A$13:$AE$10010,31,0)</f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S54" s="106" t="str">
        <f>VLOOKUP(C54,'Train Runs'!$A$13:$AE$10010,22,0)</f>
        <v>https://search-rtdc-monitor-bjffxe2xuh6vdkpspy63sjmuny.us-east-1.es.amazonaws.com/_plugin/kibana/#/discover/Steve-Slow-Train-Analysis-(2080s-and-2083s)?_g=(refreshInterval:(display:Off,section:0,value:0),time:(from:'2016-10-11 07:29:42-0600',mode:absolute,to:'2016-10-11 09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4" s="108" t="str">
        <f t="shared" si="9"/>
        <v>"C:\Program Files (x86)\AstroGrep\AstroGrep.exe" /spath="%USERPROFILE%\AppData\Local\Temp\OnboardLogs" /stypes="*4018*201610111*" /stext=" 14:.+((SYSTEM_STATE.+slice.+state.+changed )|(ment ac)|(system.+state.+changed )|(\[timeout)|(PRM\|1\|D)|(kpr)|(kdp)|(\|lc)|(penalty))" /e /r /s</v>
      </c>
      <c r="U54" s="9" t="str">
        <f t="shared" si="10"/>
        <v>4018</v>
      </c>
      <c r="V54" s="38">
        <f t="shared" si="11"/>
        <v>42654.609930555554</v>
      </c>
      <c r="W54" s="52" t="str">
        <f t="shared" si="12"/>
        <v>Other</v>
      </c>
      <c r="X54" s="52" t="str">
        <f t="shared" si="13"/>
        <v>KEEP</v>
      </c>
      <c r="Y54" s="129" t="str">
        <f t="shared" si="14"/>
        <v>echo {"issue":{"subject":"","project_id":79,"tracker_id":40,"status_id":1,"priority_id":2,"assigned_to_id":23,"start_date":"2016-10-11","description":"","custom_fields":[{"id":1,"name":"Subdivision","value":"Other"},{"id":4,"name":"Milepost","value":"1.4402"},{"id":17,"name":"Train ID","value":"903-11"},{"id":16,"name":"Locomotive ID","value":"4018"},{"id":130,"name":"Impact","value":""},{"id":150,"name":"Time of Event (Mountain Time)","value":"08:38:18"},{"id":151,"name":"Denver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0" t="str">
        <f t="shared" si="15"/>
        <v>grep -hSE -A100 "Enforcement Action" "%USERPROFILE%\AppData\Local\Temp\OnboardLogs"\RTDC4018\*4018*201610111* | grep -SE "((Enforcement Ac)|(PRM))" -</v>
      </c>
    </row>
    <row r="55" spans="1:29" x14ac:dyDescent="0.25">
      <c r="A55" s="38">
        <v>42654.739699074074</v>
      </c>
      <c r="B55" s="33" t="s">
        <v>274</v>
      </c>
      <c r="C55" s="33" t="s">
        <v>550</v>
      </c>
      <c r="D55" s="33" t="s">
        <v>105</v>
      </c>
      <c r="E55" s="33" t="s">
        <v>551</v>
      </c>
      <c r="F55" s="49">
        <v>0</v>
      </c>
      <c r="G55" s="49">
        <v>105</v>
      </c>
      <c r="H55" s="49">
        <v>23817</v>
      </c>
      <c r="I55" s="49">
        <v>23714</v>
      </c>
      <c r="J55" s="33" t="s">
        <v>536</v>
      </c>
      <c r="K55" s="49">
        <v>24235</v>
      </c>
      <c r="L55" s="145" t="s">
        <v>53</v>
      </c>
      <c r="M55" s="148">
        <f t="shared" si="8"/>
        <v>-275.08800000000002</v>
      </c>
      <c r="N55" s="87" t="str">
        <f>VLOOKUP(C55,'Trips&amp;Operators'!$C$1:$E$99999,3,FALSE)</f>
        <v>YANAI</v>
      </c>
      <c r="O55" s="169" t="s">
        <v>86</v>
      </c>
      <c r="P55" s="10"/>
      <c r="Q55" s="33"/>
      <c r="R55" s="103" t="str">
        <f>VLOOKUP(C55,'Train Runs'!$A$13:$AE$10010,31,0)</f>
        <v>aws s3 cp s3://rtdc.mdm.uploadarchive.raw/RTDC4028/ "%USERPROFILE%\AppData\Local\Temp\OnboardLogs"\RTDC4028\1969-12-31 --exclude "*" --recursive --include "*19691231*" &amp; "%USERPROFILE%\Documents\GitHub\mrs-test-scripts\Headless Mode &amp; Sideloading\WalkAndUnGZ.bat" "%USERPROFILE%\AppData\Local\Temp\OnboardLogs"\RTDC4028\1969-12-31 &amp; aws s3 cp s3://rtdc.mdm.uploadarchive.raw/RTDC4028/ "%USERPROFILE%\AppData\Local\Temp\OnboardLogs"\RTDC4028\1970-01-01 --exclude "*" --recursive --include "*19700101*" &amp; "%USERPROFILE%\Documents\GitHub\mrs-test-scripts\Headless Mode &amp; Sideloading\WalkAndUnGZ.bat" "%USERPROFILE%\AppData\Local\Temp\OnboardLogs"\RTDC4028\1970-01-01</v>
      </c>
      <c r="S55" s="106" t="str">
        <f>VLOOKUP(C55,'Train Runs'!$A$13:$AE$10010,22,0)</f>
        <v>https://search-rtdc-monitor-bjffxe2xuh6vdkpspy63sjmuny.us-east-1.es.amazonaws.com/_plugin/kibana/#/discover/Steve-Slow-Train-Analysis-(2080s-and-2083s)?_g=(refreshInterval:(display:Off,section:0,value:0),time:(from:'2016-10-11 16:37:41-0600',mode:absolute,to:'1969-12-31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55" s="108" t="str">
        <f t="shared" si="9"/>
        <v>"C:\Program Files (x86)\AstroGrep\AstroGrep.exe" /spath="%USERPROFILE%\AppData\Local\Temp\OnboardLogs" /stypes="*4028*201610112*" /stext=" 23:.+((SYSTEM_STATE.+slice.+state.+changed )|(ment ac)|(system.+state.+changed )|(\[timeout)|(PRM\|1\|D)|(kpr)|(kdp)|(\|lc)|(penalty))" /e /r /s</v>
      </c>
      <c r="U55" s="9" t="str">
        <f t="shared" si="10"/>
        <v>4028</v>
      </c>
      <c r="V55" s="38">
        <f t="shared" si="11"/>
        <v>42654.989699074074</v>
      </c>
      <c r="W55" s="52" t="str">
        <f t="shared" si="12"/>
        <v>Other</v>
      </c>
      <c r="X55" s="52" t="str">
        <f t="shared" si="13"/>
        <v>KEEP</v>
      </c>
      <c r="Y55" s="129" t="str">
        <f t="shared" si="14"/>
        <v>echo {"issue":{"subject":"","project_id":79,"tracker_id":40,"status_id":1,"priority_id":2,"assigned_to_id":23,"start_date":"2016-10-11","description":"","custom_fields":[{"id":1,"name":"Subdivision","value":"Other"},{"id":4,"name":"Milepost","value":"2.4235"},{"id":17,"name":"Train ID","value":"60-11"},{"id":16,"name":"Locomotive ID","value":"4028"},{"id":130,"name":"Impact","value":""},{"id":150,"name":"Time of Event (Mountain Time)","value":"17:45:10"},{"id":151,"name":"Denver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0" t="str">
        <f t="shared" si="15"/>
        <v>grep -hSE -A100 "Enforcement Action" "%USERPROFILE%\AppData\Local\Temp\OnboardLogs"\RTDC4028\*4028*201610112* | grep -SE "((Enforcement Ac)|(PRM))" -</v>
      </c>
    </row>
    <row r="56" spans="1:29" x14ac:dyDescent="0.25">
      <c r="A56" s="38">
        <v>42654.363333333335</v>
      </c>
      <c r="B56" s="33" t="s">
        <v>211</v>
      </c>
      <c r="C56" s="33" t="s">
        <v>530</v>
      </c>
      <c r="D56" s="33" t="s">
        <v>49</v>
      </c>
      <c r="E56" s="33" t="s">
        <v>535</v>
      </c>
      <c r="F56" s="49">
        <v>0</v>
      </c>
      <c r="G56" s="49">
        <v>87</v>
      </c>
      <c r="H56" s="49">
        <v>23667</v>
      </c>
      <c r="I56" s="49">
        <v>0</v>
      </c>
      <c r="J56" s="33" t="s">
        <v>536</v>
      </c>
      <c r="K56" s="49">
        <v>23722</v>
      </c>
      <c r="L56" s="145" t="s">
        <v>52</v>
      </c>
      <c r="M56" s="148">
        <f t="shared" si="8"/>
        <v>12525.216</v>
      </c>
      <c r="N56" s="87" t="str">
        <f>VLOOKUP(C56,'Trips&amp;Operators'!$C$1:$E$99999,3,FALSE)</f>
        <v>HILLS</v>
      </c>
      <c r="O56" s="169" t="s">
        <v>86</v>
      </c>
      <c r="P56" s="10"/>
      <c r="Q56" s="33"/>
      <c r="R56" s="103" t="str">
        <f>VLOOKUP(C56,'Train Runs'!$A$13:$AE$10010,31,0)</f>
        <v>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 &amp; 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</v>
      </c>
      <c r="S56" s="106" t="str">
        <f>VLOOKUP(C56,'Train Runs'!$A$13:$AE$10010,22,0)</f>
        <v>https://search-rtdc-monitor-bjffxe2xuh6vdkpspy63sjmuny.us-east-1.es.amazonaws.com/_plugin/kibana/#/discover/Steve-Slow-Train-Analysis-(2080s-and-2083s)?_g=(refreshInterval:(display:Off,section:0,value:0),time:(from:'2016-10-11 07:29:42-0600',mode:absolute,to:'2016-10-11 09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6" s="108" t="str">
        <f t="shared" si="9"/>
        <v>"C:\Program Files (x86)\AstroGrep\AstroGrep.exe" /spath="%USERPROFILE%\AppData\Local\Temp\OnboardLogs" /stypes="*4018*201610111*" /stext=" 14:.+((SYSTEM_STATE.+slice.+state.+changed )|(ment ac)|(system.+state.+changed )|(\[timeout)|(PRM\|1\|D)|(kpr)|(kdp)|(\|lc)|(penalty))" /e /r /s</v>
      </c>
      <c r="U56" s="9" t="str">
        <f t="shared" si="10"/>
        <v>4018</v>
      </c>
      <c r="V56" s="38">
        <f t="shared" si="11"/>
        <v>42654.613333333335</v>
      </c>
      <c r="W56" s="52" t="str">
        <f t="shared" si="12"/>
        <v>Other</v>
      </c>
      <c r="X56" s="52" t="str">
        <f t="shared" si="13"/>
        <v>KEEP</v>
      </c>
      <c r="Y56" s="129" t="str">
        <f t="shared" si="14"/>
        <v>echo {"issue":{"subject":"","project_id":79,"tracker_id":40,"status_id":1,"priority_id":2,"assigned_to_id":23,"start_date":"2016-10-11","description":"","custom_fields":[{"id":1,"name":"Subdivision","value":"Other"},{"id":4,"name":"Milepost","value":"2.3722"},{"id":17,"name":"Train ID","value":"903-11"},{"id":16,"name":"Locomotive ID","value":"4018"},{"id":130,"name":"Impact","value":""},{"id":150,"name":"Time of Event (Mountain Time)","value":"08:43:12"},{"id":151,"name":"Denver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0" t="str">
        <f t="shared" si="15"/>
        <v>grep -hSE -A100 "Enforcement Action" "%USERPROFILE%\AppData\Local\Temp\OnboardLogs"\RTDC4018\*4018*201610111* | grep -SE "((Enforcement Ac)|(PRM))" -</v>
      </c>
    </row>
    <row r="57" spans="1:29" x14ac:dyDescent="0.25">
      <c r="A57" s="38">
        <v>42654.705555555556</v>
      </c>
      <c r="B57" s="33" t="s">
        <v>264</v>
      </c>
      <c r="C57" s="33" t="s">
        <v>549</v>
      </c>
      <c r="D57" s="33" t="s">
        <v>49</v>
      </c>
      <c r="E57" s="33" t="s">
        <v>50</v>
      </c>
      <c r="F57" s="49">
        <v>0</v>
      </c>
      <c r="G57" s="49">
        <v>36</v>
      </c>
      <c r="H57" s="49">
        <v>122</v>
      </c>
      <c r="I57" s="49">
        <v>88</v>
      </c>
      <c r="J57" s="33" t="s">
        <v>51</v>
      </c>
      <c r="K57" s="49">
        <v>1</v>
      </c>
      <c r="L57" s="145" t="s">
        <v>53</v>
      </c>
      <c r="M57" s="148">
        <f t="shared" si="8"/>
        <v>45.936</v>
      </c>
      <c r="N57" s="87" t="str">
        <f>VLOOKUP(C57,'Trips&amp;Operators'!$C$1:$E$99999,3,FALSE)</f>
        <v>LEVERE</v>
      </c>
      <c r="O57" s="169" t="s">
        <v>86</v>
      </c>
      <c r="P57" s="10"/>
      <c r="Q57" s="33"/>
      <c r="R57" s="103" t="str">
        <f>VLOOKUP(C57,'Train Runs'!$A$13:$AE$10010,31,0)</f>
        <v>aws s3 cp s3://rtdc.mdm.uploadarchive.raw/RTDC4019/ "%USERPROFILE%\AppData\Local\Temp\OnboardLogs"\RTDC4019\2016-10-11 --exclude "*" --recursive --include "*20161011*" &amp; "%USERPROFILE%\Documents\GitHub\mrs-test-scripts\Headless Mode &amp; Sideloading\WalkAndUnGZ.bat" "%USERPROFILE%\AppData\Local\Temp\OnboardLogs"\RTDC4019\2016-10-11 &amp; 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</v>
      </c>
      <c r="S57" s="106" t="str">
        <f>VLOOKUP(C57,'Train Runs'!$A$13:$AE$10010,22,0)</f>
        <v>https://search-rtdc-monitor-bjffxe2xuh6vdkpspy63sjmuny.us-east-1.es.amazonaws.com/_plugin/kibana/#/discover/Steve-Slow-Train-Analysis-(2080s-and-2083s)?_g=(refreshInterval:(display:Off,section:0,value:0),time:(from:'2016-10-11 15:44:27-0600',mode:absolute,to:'2016-10-11 17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7" s="108" t="str">
        <f t="shared" si="9"/>
        <v>"C:\Program Files (x86)\AstroGrep\AstroGrep.exe" /spath="%USERPROFILE%\AppData\Local\Temp\OnboardLogs" /stypes="*4019*201610112*" /stext=" 22:.+((SYSTEM_STATE.+slice.+state.+changed )|(ment ac)|(system.+state.+changed )|(\[timeout)|(PRM\|1\|D)|(kpr)|(kdp)|(\|lc)|(penalty))" /e /r /s</v>
      </c>
      <c r="U57" s="9" t="str">
        <f t="shared" si="10"/>
        <v>4019</v>
      </c>
      <c r="V57" s="38">
        <f t="shared" si="11"/>
        <v>42654.955555555556</v>
      </c>
      <c r="W57" s="52" t="str">
        <f t="shared" si="12"/>
        <v>Other</v>
      </c>
      <c r="X57" s="52" t="str">
        <f t="shared" si="13"/>
        <v>KEEP</v>
      </c>
      <c r="Y57" s="129" t="str">
        <f t="shared" si="14"/>
        <v>echo {"issue":{"subject":"","project_id":79,"tracker_id":40,"status_id":1,"priority_id":2,"assigned_to_id":23,"start_date":"2016-10-11","description":"","custom_fields":[{"id":1,"name":"Subdivision","value":"Other"},{"id":4,"name":"Milepost","value":"0.0001"},{"id":17,"name":"Train ID","value":"54-11"},{"id":16,"name":"Locomotive ID","value":"4019"},{"id":130,"name":"Impact","value":""},{"id":150,"name":"Time of Event (Mountain Time)","value":"16:56:00"},{"id":151,"name":"Denver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0" t="str">
        <f t="shared" si="15"/>
        <v>grep -hSE -A100 "Enforcement Action" "%USERPROFILE%\AppData\Local\Temp\OnboardLogs"\RTDC4019\*4019*201610112* | grep -SE "((Enforcement Ac)|(PRM))" -</v>
      </c>
    </row>
    <row r="58" spans="1:29" x14ac:dyDescent="0.25">
      <c r="A58" s="38">
        <v>42654.471828703703</v>
      </c>
      <c r="B58" s="33" t="s">
        <v>264</v>
      </c>
      <c r="C58" s="33" t="s">
        <v>476</v>
      </c>
      <c r="D58" s="33" t="s">
        <v>49</v>
      </c>
      <c r="E58" s="33" t="s">
        <v>50</v>
      </c>
      <c r="F58" s="49">
        <v>0</v>
      </c>
      <c r="G58" s="49">
        <v>41</v>
      </c>
      <c r="H58" s="49">
        <v>975</v>
      </c>
      <c r="I58" s="49">
        <v>932</v>
      </c>
      <c r="J58" s="33" t="s">
        <v>51</v>
      </c>
      <c r="K58" s="49">
        <v>826</v>
      </c>
      <c r="L58" s="145" t="s">
        <v>53</v>
      </c>
      <c r="M58" s="148">
        <f t="shared" si="8"/>
        <v>55.968000000000004</v>
      </c>
      <c r="N58" s="87" t="str">
        <f>VLOOKUP(C58,'Trips&amp;Operators'!$C$1:$E$99999,3,FALSE)</f>
        <v>HELVIE</v>
      </c>
      <c r="O58" s="169" t="s">
        <v>86</v>
      </c>
      <c r="P58" s="10"/>
      <c r="Q58" s="33"/>
      <c r="R58" s="103" t="str">
        <f>VLOOKUP(C58,'Train Runs'!$A$13:$AE$10010,31,0)</f>
        <v>aws s3 cp s3://rtdc.mdm.uploadarchive.raw/RTDC4019/ "%USERPROFILE%\AppData\Local\Temp\OnboardLogs"\RTDC4019\2016-10-11 --exclude "*" --recursive --include "*20161011*" &amp; "%USERPROFILE%\Documents\GitHub\mrs-test-scripts\Headless Mode &amp; Sideloading\WalkAndUnGZ.bat" "%USERPROFILE%\AppData\Local\Temp\OnboardLogs"\RTDC4019\2016-10-11 &amp; 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</v>
      </c>
      <c r="S58" s="106" t="str">
        <f>VLOOKUP(C58,'Train Runs'!$A$13:$AE$10010,22,0)</f>
        <v>https://search-rtdc-monitor-bjffxe2xuh6vdkpspy63sjmuny.us-east-1.es.amazonaws.com/_plugin/kibana/#/discover/Steve-Slow-Train-Analysis-(2080s-and-2083s)?_g=(refreshInterval:(display:Off,section:0,value:0),time:(from:'2016-10-11 10:08:17-0600',mode:absolute,to:'2016-10-11 12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8" s="108" t="str">
        <f t="shared" si="9"/>
        <v>"C:\Program Files (x86)\AstroGrep\AstroGrep.exe" /spath="%USERPROFILE%\AppData\Local\Temp\OnboardLogs" /stypes="*4019*201610111*" /stext=" 17:.+((SYSTEM_STATE.+slice.+state.+changed )|(ment ac)|(system.+state.+changed )|(\[timeout)|(PRM\|1\|D)|(kpr)|(kdp)|(\|lc)|(penalty))" /e /r /s</v>
      </c>
      <c r="U58" s="9" t="str">
        <f t="shared" si="10"/>
        <v>4019</v>
      </c>
      <c r="V58" s="38">
        <f t="shared" si="11"/>
        <v>42654.721828703703</v>
      </c>
      <c r="W58" s="52" t="str">
        <f t="shared" si="12"/>
        <v>Other</v>
      </c>
      <c r="X58" s="52" t="str">
        <f t="shared" si="13"/>
        <v>KEEP</v>
      </c>
      <c r="Y58" s="129" t="str">
        <f t="shared" si="14"/>
        <v>echo {"issue":{"subject":"","project_id":79,"tracker_id":40,"status_id":1,"priority_id":2,"assigned_to_id":23,"start_date":"2016-10-11","description":"","custom_fields":[{"id":1,"name":"Subdivision","value":"Other"},{"id":4,"name":"Milepost","value":"0.0826"},{"id":17,"name":"Train ID","value":"52-11"},{"id":16,"name":"Locomotive ID","value":"4019"},{"id":130,"name":"Impact","value":""},{"id":150,"name":"Time of Event (Mountain Time)","value":"11:19:26"},{"id":151,"name":"Denver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0" t="str">
        <f t="shared" si="15"/>
        <v>grep -hSE -A100 "Enforcement Action" "%USERPROFILE%\AppData\Local\Temp\OnboardLogs"\RTDC4019\*4019*201610111* | grep -SE "((Enforcement Ac)|(PRM))" -</v>
      </c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5"/>
      <c r="M59" s="148"/>
      <c r="N59" s="87"/>
      <c r="O59" s="169"/>
      <c r="P59" s="10"/>
      <c r="Q59" s="33"/>
      <c r="R59" s="103"/>
      <c r="S59" s="106"/>
      <c r="T59" s="108"/>
      <c r="U59" s="9"/>
      <c r="V59" s="38"/>
      <c r="W59" s="52"/>
      <c r="X59" s="52"/>
      <c r="Y59" s="129"/>
      <c r="Z59" s="55"/>
      <c r="AA59" s="55"/>
      <c r="AB59" s="23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5"/>
      <c r="M60" s="148"/>
      <c r="N60" s="87"/>
      <c r="O60" s="169"/>
      <c r="P60" s="10"/>
      <c r="Q60" s="33"/>
      <c r="R60" s="103"/>
      <c r="S60" s="106"/>
      <c r="T60" s="108"/>
      <c r="U60" s="9"/>
      <c r="V60" s="38"/>
      <c r="W60" s="52"/>
      <c r="X60" s="52"/>
      <c r="Y60" s="129"/>
      <c r="Z60" s="55"/>
      <c r="AA60" s="55"/>
      <c r="AB60" s="23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5"/>
      <c r="M61" s="148"/>
      <c r="N61" s="87"/>
      <c r="O61" s="169"/>
      <c r="P61" s="10"/>
      <c r="Q61" s="33"/>
      <c r="R61" s="103"/>
      <c r="S61" s="106"/>
      <c r="T61" s="108"/>
      <c r="U61" s="9"/>
      <c r="V61" s="38"/>
      <c r="W61" s="52"/>
      <c r="X61" s="52"/>
      <c r="Y61" s="129"/>
      <c r="Z61" s="55"/>
      <c r="AA61" s="55"/>
      <c r="AB61" s="23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5"/>
      <c r="M62" s="148"/>
      <c r="N62" s="87"/>
      <c r="O62" s="169"/>
      <c r="P62" s="10"/>
      <c r="Q62" s="33"/>
      <c r="R62" s="103"/>
      <c r="S62" s="106"/>
      <c r="T62" s="108"/>
      <c r="U62" s="9"/>
      <c r="V62" s="38"/>
      <c r="W62" s="52"/>
      <c r="X62" s="52"/>
      <c r="Y62" s="129"/>
      <c r="Z62" s="55"/>
      <c r="AA62" s="55"/>
      <c r="AB62" s="23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5"/>
      <c r="M63" s="148"/>
      <c r="N63" s="87"/>
      <c r="O63" s="169"/>
      <c r="P63" s="10"/>
      <c r="Q63" s="33"/>
      <c r="R63" s="103"/>
      <c r="S63" s="106"/>
      <c r="T63" s="108"/>
      <c r="U63" s="9"/>
      <c r="V63" s="38"/>
      <c r="W63" s="52"/>
      <c r="X63" s="52"/>
      <c r="Y63" s="129"/>
      <c r="Z63" s="55"/>
      <c r="AA63" s="55"/>
      <c r="AB63" s="23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5"/>
      <c r="M64" s="148"/>
      <c r="N64" s="87"/>
      <c r="O64" s="169"/>
      <c r="P64" s="10"/>
      <c r="Q64" s="33"/>
      <c r="R64" s="103"/>
      <c r="S64" s="106"/>
      <c r="T64" s="108"/>
      <c r="U64" s="9"/>
      <c r="V64" s="38"/>
      <c r="W64" s="52"/>
      <c r="X64" s="52"/>
      <c r="Y64" s="129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5"/>
      <c r="M65" s="148"/>
      <c r="N65" s="87"/>
      <c r="O65" s="169"/>
      <c r="P65" s="10"/>
      <c r="Q65" s="33"/>
      <c r="R65" s="103"/>
      <c r="S65" s="106"/>
      <c r="T65" s="108"/>
      <c r="U65" s="9"/>
      <c r="V65" s="38"/>
      <c r="W65" s="52"/>
      <c r="X65" s="52"/>
      <c r="Y65" s="129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5"/>
      <c r="M66" s="148"/>
      <c r="N66" s="87"/>
      <c r="O66" s="169"/>
      <c r="P66" s="10"/>
      <c r="Q66" s="33"/>
      <c r="R66" s="103"/>
      <c r="S66" s="106"/>
      <c r="T66" s="108"/>
      <c r="U66" s="9"/>
      <c r="V66" s="38"/>
      <c r="W66" s="52"/>
      <c r="X66" s="52"/>
      <c r="Y66" s="129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5" priority="15" operator="equal">
      <formula>"Y"</formula>
    </cfRule>
  </conditionalFormatting>
  <conditionalFormatting sqref="A7:P66">
    <cfRule type="expression" dxfId="4" priority="8">
      <formula>$O7="Y"</formula>
    </cfRule>
  </conditionalFormatting>
  <conditionalFormatting sqref="O2:O3">
    <cfRule type="cellIs" dxfId="3" priority="6" operator="equal">
      <formula>"Y"</formula>
    </cfRule>
  </conditionalFormatting>
  <hyperlinks>
    <hyperlink ref="Z46" r:id="rId1"/>
    <hyperlink ref="Z41" r:id="rId2"/>
    <hyperlink ref="Z45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A10" sqref="A3:A10"/>
    </sheetView>
  </sheetViews>
  <sheetFormatPr defaultRowHeight="15" x14ac:dyDescent="0.25"/>
  <cols>
    <col min="1" max="1" width="9.140625" style="156"/>
    <col min="2" max="2" width="9.140625" style="2" customWidth="1"/>
    <col min="3" max="3" width="8" style="115" bestFit="1" customWidth="1"/>
    <col min="4" max="4" width="9.85546875" style="11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6"/>
      <c r="B1" s="188" t="str">
        <f>"Trips that did not appear in PTC Data "&amp;TEXT(Variables!$A$2,"YYYY-mm-dd")</f>
        <v>Trips that did not appear in PTC Data 2016-10-11</v>
      </c>
      <c r="C1" s="188"/>
      <c r="D1" s="188"/>
      <c r="E1" s="188"/>
      <c r="F1" s="188"/>
    </row>
    <row r="2" spans="1:11" s="26" customFormat="1" ht="45" x14ac:dyDescent="0.25">
      <c r="A2" s="165" t="s">
        <v>164</v>
      </c>
      <c r="B2" s="120" t="s">
        <v>64</v>
      </c>
      <c r="C2" s="112" t="s">
        <v>65</v>
      </c>
      <c r="D2" s="113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6">
        <v>101</v>
      </c>
      <c r="B3" s="2" t="str">
        <f>A3&amp;"-"&amp;IF(DAY(Variables!$A$2)&lt;10,0,"")&amp;DAY(Variables!$A$2)</f>
        <v>101-11</v>
      </c>
      <c r="C3" s="114"/>
      <c r="D3" s="186"/>
      <c r="E3" s="33" t="s">
        <v>376</v>
      </c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22101-11%22)),sort:!(Time,asc))</v>
      </c>
      <c r="J3" s="23"/>
      <c r="K3" s="23"/>
    </row>
    <row r="4" spans="1:11" x14ac:dyDescent="0.25">
      <c r="A4" s="156">
        <f>A3+1</f>
        <v>102</v>
      </c>
      <c r="B4" s="2" t="str">
        <f>A4&amp;"-"&amp;IF(DAY(Variables!$A$2)&lt;10,0,"")&amp;DAY(Variables!$A$2)</f>
        <v>102-11</v>
      </c>
      <c r="C4" s="114"/>
      <c r="D4" s="114"/>
      <c r="E4" s="33" t="s">
        <v>376</v>
      </c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22102-11%22)),sort:!(Time,asc))</v>
      </c>
      <c r="J4" s="23"/>
      <c r="K4" s="23"/>
    </row>
    <row r="5" spans="1:11" x14ac:dyDescent="0.25">
      <c r="A5" s="156">
        <f t="shared" ref="A5:A10" si="1">A4+1</f>
        <v>103</v>
      </c>
      <c r="B5" s="2" t="str">
        <f>A5&amp;"-"&amp;IF(DAY(Variables!$A$2)&lt;10,0,"")&amp;DAY(Variables!$A$2)</f>
        <v>103-11</v>
      </c>
      <c r="C5" s="114"/>
      <c r="D5" s="114"/>
      <c r="E5" s="33" t="s">
        <v>376</v>
      </c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22103-11%22)),sort:!(Time,asc))</v>
      </c>
      <c r="J5" s="23"/>
      <c r="K5" s="23"/>
    </row>
    <row r="6" spans="1:11" x14ac:dyDescent="0.25">
      <c r="A6" s="156">
        <f t="shared" si="1"/>
        <v>104</v>
      </c>
      <c r="B6" s="2" t="str">
        <f>A6&amp;"-"&amp;IF(DAY(Variables!$A$2)&lt;10,0,"")&amp;DAY(Variables!$A$2)</f>
        <v>104-11</v>
      </c>
      <c r="C6" s="114"/>
      <c r="D6" s="114"/>
      <c r="E6" s="33" t="s">
        <v>376</v>
      </c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22104-11%22)),sort:!(Time,asc))</v>
      </c>
      <c r="J6" s="23"/>
      <c r="K6" s="23"/>
    </row>
    <row r="7" spans="1:11" x14ac:dyDescent="0.25">
      <c r="A7" s="156">
        <f t="shared" si="1"/>
        <v>105</v>
      </c>
      <c r="B7" s="2" t="str">
        <f>A7&amp;"-"&amp;IF(DAY(Variables!$A$2)&lt;10,0,"")&amp;DAY(Variables!$A$2)</f>
        <v>105-11</v>
      </c>
      <c r="C7" s="114"/>
      <c r="D7" s="114"/>
      <c r="E7" s="33" t="s">
        <v>376</v>
      </c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22105-11%22)),sort:!(Time,asc))</v>
      </c>
      <c r="J7" s="23"/>
      <c r="K7" s="23"/>
    </row>
    <row r="8" spans="1:11" x14ac:dyDescent="0.25">
      <c r="A8" s="156">
        <f t="shared" si="1"/>
        <v>106</v>
      </c>
      <c r="B8" s="2" t="str">
        <f>A8&amp;"-"&amp;IF(DAY(Variables!$A$2)&lt;10,0,"")&amp;DAY(Variables!$A$2)</f>
        <v>106-11</v>
      </c>
      <c r="C8" s="114"/>
      <c r="D8" s="114"/>
      <c r="E8" s="33" t="s">
        <v>376</v>
      </c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22106-11%22)),sort:!(Time,asc))</v>
      </c>
      <c r="J8" s="23"/>
      <c r="K8" s="23"/>
    </row>
    <row r="9" spans="1:11" x14ac:dyDescent="0.25">
      <c r="A9" s="156">
        <f t="shared" si="1"/>
        <v>107</v>
      </c>
      <c r="B9" s="2" t="str">
        <f>A9&amp;"-"&amp;IF(DAY(Variables!$A$2)&lt;10,0,"")&amp;DAY(Variables!$A$2)</f>
        <v>107-11</v>
      </c>
      <c r="C9" s="114"/>
      <c r="D9" s="114"/>
      <c r="E9" s="33" t="s">
        <v>376</v>
      </c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22107-11%22)),sort:!(Time,asc))</v>
      </c>
      <c r="J9" s="23"/>
      <c r="K9" s="23"/>
    </row>
    <row r="10" spans="1:11" x14ac:dyDescent="0.25">
      <c r="A10" s="156">
        <f t="shared" si="1"/>
        <v>108</v>
      </c>
      <c r="B10" s="2" t="str">
        <f>A10&amp;"-"&amp;IF(DAY(Variables!$A$2)&lt;10,0,"")&amp;DAY(Variables!$A$2)</f>
        <v>108-11</v>
      </c>
      <c r="C10" s="114"/>
      <c r="D10" s="114"/>
      <c r="E10" s="33" t="s">
        <v>376</v>
      </c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22108-11%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-11</v>
      </c>
      <c r="C11" s="114"/>
      <c r="D11" s="114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-11</v>
      </c>
      <c r="C12" s="114"/>
      <c r="D12" s="114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-11</v>
      </c>
      <c r="C13" s="178"/>
      <c r="D13" s="178"/>
      <c r="E13" s="179"/>
      <c r="F13" s="180" t="e">
        <f>VLOOKUP(B13,'Trips&amp;Operators'!$C$2:$E$10000,3,FALSE)</f>
        <v>#N/A</v>
      </c>
      <c r="G13" s="180" t="e">
        <f>VLOOKUP(B13,'Trips&amp;Operators'!$C$1:$F$10000,4,FALSE)</f>
        <v>#N/A</v>
      </c>
      <c r="H13" s="181" t="e">
        <f>VLOOKUP(B13,'Trips&amp;Operators'!$C$1:$H$10000,5,FALSE)</f>
        <v>#N/A</v>
      </c>
      <c r="I13" s="18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" s="23"/>
      <c r="K13" s="23"/>
    </row>
    <row r="14" spans="1:11" s="23" customFormat="1" x14ac:dyDescent="0.25">
      <c r="A14" s="183"/>
      <c r="B14" s="2" t="str">
        <f>A14&amp;"-"&amp;IF(DAY(Variables!$A$2)&lt;10,0,"")&amp;DAY(Variables!$A$2)</f>
        <v>-11</v>
      </c>
      <c r="C14" s="178"/>
      <c r="D14" s="178"/>
      <c r="E14" s="179"/>
      <c r="F14" s="180" t="e">
        <f>VLOOKUP(B14,'Trips&amp;Operators'!$C$2:$E$10000,3,FALSE)</f>
        <v>#N/A</v>
      </c>
      <c r="G14" s="180" t="e">
        <f>VLOOKUP(B14,'Trips&amp;Operators'!$C$1:$F$10000,4,FALSE)</f>
        <v>#N/A</v>
      </c>
      <c r="H14" s="181" t="e">
        <f>VLOOKUP(B14,'Trips&amp;Operators'!$C$1:$H$10000,5,FALSE)</f>
        <v>#N/A</v>
      </c>
      <c r="I14" s="182" t="str">
        <f t="shared" ref="I14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</row>
    <row r="15" spans="1:11" x14ac:dyDescent="0.25">
      <c r="A15" s="183"/>
      <c r="B15" s="2" t="str">
        <f>A15&amp;"-"&amp;IF(DAY(Variables!$A$2)&lt;10,0,"")&amp;DAY(Variables!$A$2)</f>
        <v>-11</v>
      </c>
      <c r="C15" s="114"/>
      <c r="D15" s="114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4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5" s="23"/>
      <c r="K15" s="23"/>
    </row>
    <row r="16" spans="1:11" x14ac:dyDescent="0.25">
      <c r="A16" s="183"/>
      <c r="B16" s="2" t="str">
        <f>A16&amp;"-"&amp;IF(DAY(Variables!$A$2)&lt;10,0,"")&amp;DAY(Variables!$A$2)</f>
        <v>-11</v>
      </c>
      <c r="C16" s="114"/>
      <c r="D16" s="114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-11</v>
      </c>
      <c r="C17" s="114"/>
      <c r="D17" s="114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-11</v>
      </c>
      <c r="C18" s="114"/>
      <c r="D18" s="114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-11</v>
      </c>
      <c r="C19" s="114"/>
      <c r="D19" s="114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-11</v>
      </c>
      <c r="C20" s="114"/>
      <c r="D20" s="114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-11</v>
      </c>
      <c r="C21" s="114"/>
      <c r="D21" s="114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-11</v>
      </c>
      <c r="C22" s="114"/>
      <c r="D22" s="114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</row>
    <row r="23" spans="2:11" x14ac:dyDescent="0.25">
      <c r="B23" s="2" t="str">
        <f>A23&amp;"-"&amp;IF(DAY(Variables!$A$2)&lt;10,0,"")&amp;DAY(Variables!$A$2)</f>
        <v>-11</v>
      </c>
      <c r="C23" s="114"/>
      <c r="D23" s="114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</row>
    <row r="24" spans="2:11" x14ac:dyDescent="0.25">
      <c r="B24" s="2" t="str">
        <f>A24&amp;"-"&amp;IF(DAY(Variables!$A$2)&lt;10,0,"")&amp;DAY(Variables!$A$2)</f>
        <v>-11</v>
      </c>
      <c r="C24" s="114"/>
      <c r="D24" s="114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</row>
    <row r="25" spans="2:11" x14ac:dyDescent="0.25">
      <c r="B25" s="2" t="str">
        <f>A25&amp;"-"&amp;IF(DAY(Variables!$A$2)&lt;10,0,"")&amp;DAY(Variables!$A$2)</f>
        <v>-11</v>
      </c>
      <c r="C25" s="114"/>
      <c r="D25" s="114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</row>
    <row r="26" spans="2:11" x14ac:dyDescent="0.25">
      <c r="B26" s="2" t="str">
        <f>A26&amp;"-"&amp;IF(DAY(Variables!$A$2)&lt;10,0,"")&amp;DAY(Variables!$A$2)</f>
        <v>-11</v>
      </c>
      <c r="C26" s="114"/>
      <c r="D26" s="114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</row>
    <row r="27" spans="2:11" x14ac:dyDescent="0.25">
      <c r="B27" s="2" t="str">
        <f>A27&amp;"-"&amp;IF(DAY(Variables!$A$2)&lt;10,0,"")&amp;DAY(Variables!$A$2)</f>
        <v>-11</v>
      </c>
      <c r="C27" s="114"/>
      <c r="D27" s="114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</row>
    <row r="28" spans="2:11" x14ac:dyDescent="0.25">
      <c r="B28" s="2" t="str">
        <f>A28&amp;"-"&amp;IF(DAY(Variables!$A$2)&lt;10,0,"")&amp;DAY(Variables!$A$2)</f>
        <v>-11</v>
      </c>
      <c r="C28" s="114"/>
      <c r="D28" s="114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49" workbookViewId="0">
      <selection sqref="A1:E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205</v>
      </c>
      <c r="B1" s="23" t="s">
        <v>206</v>
      </c>
      <c r="C1" s="23" t="s">
        <v>0</v>
      </c>
      <c r="D1" s="23" t="s">
        <v>207</v>
      </c>
      <c r="E1" s="23" t="s">
        <v>208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42654.037499999999</v>
      </c>
      <c r="B2" s="23" t="s">
        <v>317</v>
      </c>
      <c r="C2" s="23" t="s">
        <v>346</v>
      </c>
      <c r="D2" s="23">
        <v>1800000</v>
      </c>
      <c r="E2" s="23" t="s">
        <v>272</v>
      </c>
      <c r="F2" s="23" t="str">
        <f t="shared" ref="F2:F65" si="0">B2</f>
        <v>rtdc.l.rtdc.4037:itc</v>
      </c>
      <c r="G2" s="8">
        <f t="shared" ref="G2:G65" si="1">A2</f>
        <v>42654.037499999999</v>
      </c>
    </row>
    <row r="3" spans="1:7" x14ac:dyDescent="0.25">
      <c r="A3" s="8">
        <v>42654.048842592594</v>
      </c>
      <c r="B3" s="23" t="s">
        <v>239</v>
      </c>
      <c r="C3" s="23" t="s">
        <v>347</v>
      </c>
      <c r="D3" s="23">
        <v>2350000</v>
      </c>
      <c r="E3" s="23" t="s">
        <v>299</v>
      </c>
      <c r="F3" s="23" t="str">
        <f t="shared" si="0"/>
        <v>rtdc.l.rtdc.4046:itc</v>
      </c>
      <c r="G3" s="8">
        <f t="shared" si="1"/>
        <v>42654.048842592594</v>
      </c>
    </row>
    <row r="4" spans="1:7" x14ac:dyDescent="0.25">
      <c r="A4" s="8">
        <v>42654.191782407404</v>
      </c>
      <c r="B4" s="23" t="s">
        <v>279</v>
      </c>
      <c r="C4" s="23" t="s">
        <v>377</v>
      </c>
      <c r="D4" s="23">
        <v>2030000</v>
      </c>
      <c r="E4" s="23" t="s">
        <v>276</v>
      </c>
      <c r="F4" s="23" t="str">
        <f t="shared" si="0"/>
        <v>rtdc.l.rtdc.4040:itc</v>
      </c>
      <c r="G4" s="8">
        <f t="shared" si="1"/>
        <v>42654.191782407404</v>
      </c>
    </row>
    <row r="5" spans="1:7" x14ac:dyDescent="0.25">
      <c r="A5" s="8">
        <v>42654.199976851851</v>
      </c>
      <c r="B5" s="23" t="s">
        <v>298</v>
      </c>
      <c r="C5" s="23" t="s">
        <v>380</v>
      </c>
      <c r="D5" s="23">
        <v>2140000</v>
      </c>
      <c r="E5" s="23" t="s">
        <v>280</v>
      </c>
      <c r="F5" s="23" t="str">
        <f t="shared" si="0"/>
        <v>rtdc.l.rtdc.4029:itc</v>
      </c>
      <c r="G5" s="8">
        <f t="shared" si="1"/>
        <v>42654.199976851851</v>
      </c>
    </row>
    <row r="6" spans="1:7" x14ac:dyDescent="0.25">
      <c r="A6" s="8">
        <v>42654.201921296299</v>
      </c>
      <c r="B6" s="23" t="s">
        <v>211</v>
      </c>
      <c r="C6" s="23" t="s">
        <v>568</v>
      </c>
      <c r="D6" s="23">
        <v>2220000</v>
      </c>
      <c r="E6" s="23" t="s">
        <v>569</v>
      </c>
      <c r="F6" s="23" t="str">
        <f t="shared" si="0"/>
        <v>rtdc.l.rtdc.4018:itc</v>
      </c>
      <c r="G6" s="8">
        <f t="shared" si="1"/>
        <v>42654.201921296299</v>
      </c>
    </row>
    <row r="7" spans="1:7" x14ac:dyDescent="0.25">
      <c r="A7" s="8">
        <v>42654.207951388889</v>
      </c>
      <c r="B7" s="23" t="s">
        <v>211</v>
      </c>
      <c r="C7" s="23" t="s">
        <v>568</v>
      </c>
      <c r="D7" s="23">
        <v>2220000</v>
      </c>
      <c r="E7" s="23" t="s">
        <v>569</v>
      </c>
      <c r="F7" s="23" t="str">
        <f t="shared" si="0"/>
        <v>rtdc.l.rtdc.4018:itc</v>
      </c>
      <c r="G7" s="8">
        <f t="shared" si="1"/>
        <v>42654.207951388889</v>
      </c>
    </row>
    <row r="8" spans="1:7" x14ac:dyDescent="0.25">
      <c r="A8" s="8">
        <v>42654.209201388891</v>
      </c>
      <c r="B8" s="23" t="s">
        <v>570</v>
      </c>
      <c r="C8" s="23" t="s">
        <v>383</v>
      </c>
      <c r="D8" s="23">
        <v>2150000</v>
      </c>
      <c r="E8" s="23" t="s">
        <v>271</v>
      </c>
      <c r="F8" s="23" t="str">
        <f t="shared" si="0"/>
        <v>rtdc.l.rtdc.4031:itc</v>
      </c>
      <c r="G8" s="8">
        <f t="shared" si="1"/>
        <v>42654.209201388891</v>
      </c>
    </row>
    <row r="9" spans="1:7" ht="15.75" thickBot="1" x14ac:dyDescent="0.3">
      <c r="A9" s="27">
        <v>42654.21634259259</v>
      </c>
      <c r="B9" s="23" t="s">
        <v>210</v>
      </c>
      <c r="C9" s="23" t="s">
        <v>482</v>
      </c>
      <c r="D9" s="23">
        <v>2220000</v>
      </c>
      <c r="E9" s="23" t="s">
        <v>569</v>
      </c>
      <c r="F9" s="23" t="str">
        <f t="shared" si="0"/>
        <v>rtdc.l.rtdc.4017:itc</v>
      </c>
      <c r="G9" s="8">
        <f t="shared" si="1"/>
        <v>42654.21634259259</v>
      </c>
    </row>
    <row r="10" spans="1:7" x14ac:dyDescent="0.25">
      <c r="A10" s="8">
        <v>42654.221354166664</v>
      </c>
      <c r="B10" s="23" t="s">
        <v>571</v>
      </c>
      <c r="C10" s="23" t="s">
        <v>388</v>
      </c>
      <c r="D10" s="23">
        <v>1360000</v>
      </c>
      <c r="E10" s="23" t="s">
        <v>572</v>
      </c>
      <c r="F10" s="23" t="str">
        <f t="shared" si="0"/>
        <v>rtdc.l.rtdc.4053:itc</v>
      </c>
      <c r="G10" s="8">
        <f t="shared" si="1"/>
        <v>42654.221354166664</v>
      </c>
    </row>
    <row r="11" spans="1:7" x14ac:dyDescent="0.25">
      <c r="A11" s="8">
        <v>42654.230266203704</v>
      </c>
      <c r="B11" s="23" t="s">
        <v>211</v>
      </c>
      <c r="C11" s="23" t="s">
        <v>484</v>
      </c>
      <c r="D11" s="23">
        <v>2220000</v>
      </c>
      <c r="E11" s="23" t="s">
        <v>569</v>
      </c>
      <c r="F11" s="23" t="str">
        <f t="shared" si="0"/>
        <v>rtdc.l.rtdc.4018:itc</v>
      </c>
      <c r="G11" s="8">
        <f t="shared" si="1"/>
        <v>42654.230266203704</v>
      </c>
    </row>
    <row r="12" spans="1:7" x14ac:dyDescent="0.25">
      <c r="A12" s="8">
        <v>42654.231388888889</v>
      </c>
      <c r="B12" s="23" t="s">
        <v>233</v>
      </c>
      <c r="C12" s="23" t="s">
        <v>391</v>
      </c>
      <c r="D12" s="23">
        <v>1090000</v>
      </c>
      <c r="E12" s="23" t="s">
        <v>316</v>
      </c>
      <c r="F12" s="23" t="str">
        <f t="shared" si="0"/>
        <v>rtdc.l.rtdc.4007:itc</v>
      </c>
      <c r="G12" s="8">
        <f t="shared" si="1"/>
        <v>42654.231388888889</v>
      </c>
    </row>
    <row r="13" spans="1:7" x14ac:dyDescent="0.25">
      <c r="A13" s="8">
        <v>42654.231435185182</v>
      </c>
      <c r="B13" s="23" t="s">
        <v>537</v>
      </c>
      <c r="C13" s="23" t="s">
        <v>378</v>
      </c>
      <c r="D13" s="23">
        <v>2030000</v>
      </c>
      <c r="E13" s="23" t="s">
        <v>276</v>
      </c>
      <c r="F13" s="23" t="str">
        <f t="shared" si="0"/>
        <v>rtdc.l.rtdc.4015:itc</v>
      </c>
      <c r="G13" s="8">
        <f t="shared" si="1"/>
        <v>42654.231435185182</v>
      </c>
    </row>
    <row r="14" spans="1:7" x14ac:dyDescent="0.25">
      <c r="A14" s="8">
        <v>42654.242847222224</v>
      </c>
      <c r="B14" s="23" t="s">
        <v>223</v>
      </c>
      <c r="C14" s="23" t="s">
        <v>394</v>
      </c>
      <c r="D14" s="23">
        <v>1990000</v>
      </c>
      <c r="E14" s="23" t="s">
        <v>266</v>
      </c>
      <c r="F14" s="23" t="str">
        <f t="shared" si="0"/>
        <v>rtdc.l.rtdc.4003:itc</v>
      </c>
      <c r="G14" s="8">
        <f t="shared" si="1"/>
        <v>42654.242847222224</v>
      </c>
    </row>
    <row r="15" spans="1:7" x14ac:dyDescent="0.25">
      <c r="A15" s="8">
        <v>42654.243819444448</v>
      </c>
      <c r="B15" s="23" t="s">
        <v>223</v>
      </c>
      <c r="C15" s="23" t="s">
        <v>394</v>
      </c>
      <c r="D15" s="23">
        <v>1990000</v>
      </c>
      <c r="E15" s="23" t="s">
        <v>266</v>
      </c>
      <c r="F15" s="23" t="str">
        <f t="shared" si="0"/>
        <v>rtdc.l.rtdc.4003:itc</v>
      </c>
      <c r="G15" s="8">
        <f t="shared" si="1"/>
        <v>42654.243819444448</v>
      </c>
    </row>
    <row r="16" spans="1:7" x14ac:dyDescent="0.25">
      <c r="A16" s="8">
        <v>42654.248171296298</v>
      </c>
      <c r="B16" s="23" t="s">
        <v>559</v>
      </c>
      <c r="C16" s="23" t="s">
        <v>386</v>
      </c>
      <c r="D16" s="23">
        <v>2150000</v>
      </c>
      <c r="E16" s="23" t="s">
        <v>271</v>
      </c>
      <c r="F16" s="23" t="str">
        <f t="shared" si="0"/>
        <v>rtdc.l.rtdc.4032:itc</v>
      </c>
      <c r="G16" s="8">
        <f t="shared" si="1"/>
        <v>42654.248171296298</v>
      </c>
    </row>
    <row r="17" spans="1:7" x14ac:dyDescent="0.25">
      <c r="A17" s="8">
        <v>42654.250844907408</v>
      </c>
      <c r="B17" s="23" t="s">
        <v>270</v>
      </c>
      <c r="C17" s="23" t="s">
        <v>397</v>
      </c>
      <c r="D17" s="23">
        <v>1780000</v>
      </c>
      <c r="E17" s="23" t="s">
        <v>573</v>
      </c>
      <c r="F17" s="23" t="str">
        <f t="shared" si="0"/>
        <v>rtdc.l.rtdc.4014:itc</v>
      </c>
      <c r="G17" s="8">
        <f t="shared" si="1"/>
        <v>42654.250844907408</v>
      </c>
    </row>
    <row r="18" spans="1:7" x14ac:dyDescent="0.25">
      <c r="A18" s="8">
        <v>42654.256018518521</v>
      </c>
      <c r="B18" s="23" t="s">
        <v>210</v>
      </c>
      <c r="C18" s="23" t="s">
        <v>487</v>
      </c>
      <c r="D18" s="23">
        <v>2220000</v>
      </c>
      <c r="E18" s="23" t="s">
        <v>569</v>
      </c>
      <c r="F18" s="23" t="str">
        <f t="shared" si="0"/>
        <v>rtdc.l.rtdc.4017:itc</v>
      </c>
      <c r="G18" s="8">
        <f t="shared" si="1"/>
        <v>42654.256018518521</v>
      </c>
    </row>
    <row r="19" spans="1:7" x14ac:dyDescent="0.25">
      <c r="A19" s="8">
        <v>42654.256145833337</v>
      </c>
      <c r="B19" s="23" t="s">
        <v>538</v>
      </c>
      <c r="C19" s="23" t="s">
        <v>389</v>
      </c>
      <c r="D19" s="23">
        <v>1360000</v>
      </c>
      <c r="E19" s="23" t="s">
        <v>572</v>
      </c>
      <c r="F19" s="23" t="str">
        <f t="shared" si="0"/>
        <v>rtdc.l.rtdc.4054:itc</v>
      </c>
      <c r="G19" s="8">
        <f t="shared" si="1"/>
        <v>42654.256145833337</v>
      </c>
    </row>
    <row r="20" spans="1:7" x14ac:dyDescent="0.25">
      <c r="A20" s="8">
        <v>42654.261863425927</v>
      </c>
      <c r="B20" s="23" t="s">
        <v>232</v>
      </c>
      <c r="C20" s="23" t="s">
        <v>489</v>
      </c>
      <c r="D20" s="23">
        <v>1300000</v>
      </c>
      <c r="E20" s="23" t="s">
        <v>121</v>
      </c>
      <c r="F20" s="23" t="str">
        <f t="shared" si="0"/>
        <v>rtdc.l.rtdc.4044:itc</v>
      </c>
      <c r="G20" s="8">
        <f t="shared" si="1"/>
        <v>42654.261863425927</v>
      </c>
    </row>
    <row r="21" spans="1:7" x14ac:dyDescent="0.25">
      <c r="A21" s="8">
        <v>42654.26903935185</v>
      </c>
      <c r="B21" s="23" t="s">
        <v>279</v>
      </c>
      <c r="C21" s="23" t="s">
        <v>399</v>
      </c>
      <c r="D21" s="23">
        <v>2030000</v>
      </c>
      <c r="E21" s="23" t="s">
        <v>276</v>
      </c>
      <c r="F21" s="23" t="str">
        <f t="shared" si="0"/>
        <v>rtdc.l.rtdc.4040:itc</v>
      </c>
      <c r="G21" s="8">
        <f t="shared" si="1"/>
        <v>42654.26903935185</v>
      </c>
    </row>
    <row r="22" spans="1:7" x14ac:dyDescent="0.25">
      <c r="A22" s="29">
        <v>42654.270231481481</v>
      </c>
      <c r="B22" s="23" t="s">
        <v>211</v>
      </c>
      <c r="C22" s="23" t="s">
        <v>493</v>
      </c>
      <c r="D22" s="23">
        <v>2220000</v>
      </c>
      <c r="E22" s="23" t="s">
        <v>569</v>
      </c>
      <c r="F22" s="23" t="str">
        <f t="shared" si="0"/>
        <v>rtdc.l.rtdc.4018:itc</v>
      </c>
      <c r="G22" s="8">
        <f t="shared" si="1"/>
        <v>42654.270231481481</v>
      </c>
    </row>
    <row r="23" spans="1:7" x14ac:dyDescent="0.25">
      <c r="A23" s="8">
        <v>42654.275266203702</v>
      </c>
      <c r="B23" s="23" t="s">
        <v>231</v>
      </c>
      <c r="C23" s="23" t="s">
        <v>393</v>
      </c>
      <c r="D23" s="23">
        <v>1090000</v>
      </c>
      <c r="E23" s="23" t="s">
        <v>316</v>
      </c>
      <c r="F23" s="23" t="str">
        <f t="shared" si="0"/>
        <v>rtdc.l.rtdc.4008:itc</v>
      </c>
      <c r="G23" s="8">
        <f t="shared" si="1"/>
        <v>42654.275266203702</v>
      </c>
    </row>
    <row r="24" spans="1:7" x14ac:dyDescent="0.25">
      <c r="A24" s="8">
        <v>42654.275590277779</v>
      </c>
      <c r="B24" s="23" t="s">
        <v>275</v>
      </c>
      <c r="C24" s="23" t="s">
        <v>492</v>
      </c>
      <c r="D24" s="23">
        <v>1300000</v>
      </c>
      <c r="E24" s="23" t="s">
        <v>121</v>
      </c>
      <c r="F24" s="23" t="str">
        <f t="shared" si="0"/>
        <v>rtdc.l.rtdc.4043:itc</v>
      </c>
      <c r="G24" s="8">
        <f t="shared" si="1"/>
        <v>42654.275590277779</v>
      </c>
    </row>
    <row r="25" spans="1:7" x14ac:dyDescent="0.25">
      <c r="A25" s="8">
        <v>42654.279490740744</v>
      </c>
      <c r="B25" s="23" t="s">
        <v>534</v>
      </c>
      <c r="C25" s="23" t="s">
        <v>403</v>
      </c>
      <c r="D25" s="23">
        <v>2140000</v>
      </c>
      <c r="E25" s="23" t="s">
        <v>280</v>
      </c>
      <c r="F25" s="23" t="str">
        <f t="shared" si="0"/>
        <v>rtdc.l.rtdc.4016:itc</v>
      </c>
      <c r="G25" s="8">
        <f t="shared" si="1"/>
        <v>42654.279490740744</v>
      </c>
    </row>
    <row r="26" spans="1:7" x14ac:dyDescent="0.25">
      <c r="A26" s="8">
        <v>42654.283912037034</v>
      </c>
      <c r="B26" s="23" t="s">
        <v>224</v>
      </c>
      <c r="C26" s="23" t="s">
        <v>395</v>
      </c>
      <c r="D26" s="23">
        <v>1990000</v>
      </c>
      <c r="E26" s="23" t="s">
        <v>266</v>
      </c>
      <c r="F26" s="23" t="str">
        <f t="shared" si="0"/>
        <v>rtdc.l.rtdc.4004:itc</v>
      </c>
      <c r="G26" s="8">
        <f t="shared" si="1"/>
        <v>42654.283912037034</v>
      </c>
    </row>
    <row r="27" spans="1:7" x14ac:dyDescent="0.25">
      <c r="A27" s="8">
        <v>42654.290439814817</v>
      </c>
      <c r="B27" s="23" t="s">
        <v>570</v>
      </c>
      <c r="C27" s="23" t="s">
        <v>406</v>
      </c>
      <c r="D27" s="23">
        <v>1240000</v>
      </c>
      <c r="E27" s="23" t="s">
        <v>574</v>
      </c>
      <c r="F27" s="23" t="str">
        <f t="shared" si="0"/>
        <v>rtdc.l.rtdc.4031:itc</v>
      </c>
      <c r="G27" s="8">
        <f t="shared" si="1"/>
        <v>42654.290439814817</v>
      </c>
    </row>
    <row r="28" spans="1:7" x14ac:dyDescent="0.25">
      <c r="A28" s="8">
        <v>42654.293310185189</v>
      </c>
      <c r="B28" s="23" t="s">
        <v>265</v>
      </c>
      <c r="C28" s="23" t="s">
        <v>398</v>
      </c>
      <c r="D28" s="23">
        <v>1780000</v>
      </c>
      <c r="E28" s="23" t="s">
        <v>573</v>
      </c>
      <c r="F28" s="23" t="str">
        <f t="shared" si="0"/>
        <v>rtdc.l.rtdc.4013:itc</v>
      </c>
      <c r="G28" s="8">
        <f t="shared" si="1"/>
        <v>42654.293310185189</v>
      </c>
    </row>
    <row r="29" spans="1:7" x14ac:dyDescent="0.25">
      <c r="A29" s="8">
        <v>42654.297407407408</v>
      </c>
      <c r="B29" s="23" t="s">
        <v>210</v>
      </c>
      <c r="C29" s="23" t="s">
        <v>496</v>
      </c>
      <c r="D29" s="23">
        <v>2220000</v>
      </c>
      <c r="E29" s="23" t="s">
        <v>569</v>
      </c>
      <c r="F29" s="23" t="str">
        <f t="shared" si="0"/>
        <v>rtdc.l.rtdc.4017:itc</v>
      </c>
      <c r="G29" s="8">
        <f t="shared" si="1"/>
        <v>42654.297407407408</v>
      </c>
    </row>
    <row r="30" spans="1:7" x14ac:dyDescent="0.25">
      <c r="A30" s="8">
        <v>42654.301111111112</v>
      </c>
      <c r="B30" s="23" t="s">
        <v>571</v>
      </c>
      <c r="C30" s="23" t="s">
        <v>408</v>
      </c>
      <c r="D30" s="23">
        <v>2090000</v>
      </c>
      <c r="E30" s="23" t="s">
        <v>318</v>
      </c>
      <c r="F30" s="23" t="str">
        <f t="shared" si="0"/>
        <v>rtdc.l.rtdc.4053:itc</v>
      </c>
      <c r="G30" s="8">
        <f t="shared" si="1"/>
        <v>42654.301111111112</v>
      </c>
    </row>
    <row r="31" spans="1:7" x14ac:dyDescent="0.25">
      <c r="A31" s="8">
        <v>42654.303680555553</v>
      </c>
      <c r="B31" s="23" t="s">
        <v>294</v>
      </c>
      <c r="C31" s="23" t="s">
        <v>401</v>
      </c>
      <c r="D31" s="23">
        <v>2030000</v>
      </c>
      <c r="E31" s="23" t="s">
        <v>276</v>
      </c>
      <c r="F31" s="23" t="str">
        <f t="shared" si="0"/>
        <v>rtdc.l.rtdc.4039:itc</v>
      </c>
      <c r="G31" s="8">
        <f t="shared" si="1"/>
        <v>42654.303680555553</v>
      </c>
    </row>
    <row r="32" spans="1:7" x14ac:dyDescent="0.25">
      <c r="A32" s="8">
        <v>42654.30400462963</v>
      </c>
      <c r="B32" s="23" t="s">
        <v>232</v>
      </c>
      <c r="C32" s="23" t="s">
        <v>499</v>
      </c>
      <c r="D32" s="23">
        <v>1300000</v>
      </c>
      <c r="E32" s="23" t="s">
        <v>121</v>
      </c>
      <c r="F32" s="23" t="str">
        <f t="shared" si="0"/>
        <v>rtdc.l.rtdc.4044:itc</v>
      </c>
      <c r="G32" s="8">
        <f t="shared" si="1"/>
        <v>42654.30400462963</v>
      </c>
    </row>
    <row r="33" spans="1:7" x14ac:dyDescent="0.25">
      <c r="A33" s="8">
        <v>42654.309259259258</v>
      </c>
      <c r="B33" s="23" t="s">
        <v>233</v>
      </c>
      <c r="C33" s="23" t="s">
        <v>411</v>
      </c>
      <c r="D33" s="23">
        <v>1090000</v>
      </c>
      <c r="E33" s="23" t="s">
        <v>316</v>
      </c>
      <c r="F33" s="23" t="str">
        <f t="shared" si="0"/>
        <v>rtdc.l.rtdc.4007:itc</v>
      </c>
      <c r="G33" s="8">
        <f t="shared" si="1"/>
        <v>42654.309259259258</v>
      </c>
    </row>
    <row r="34" spans="1:7" x14ac:dyDescent="0.25">
      <c r="A34" s="8">
        <v>42654.311539351853</v>
      </c>
      <c r="B34" s="23" t="s">
        <v>537</v>
      </c>
      <c r="C34" s="23" t="s">
        <v>405</v>
      </c>
      <c r="D34" s="23">
        <v>2030000</v>
      </c>
      <c r="E34" s="23" t="s">
        <v>276</v>
      </c>
      <c r="F34" s="23" t="str">
        <f t="shared" si="0"/>
        <v>rtdc.l.rtdc.4015:itc</v>
      </c>
      <c r="G34" s="8">
        <f t="shared" si="1"/>
        <v>42654.311539351853</v>
      </c>
    </row>
    <row r="35" spans="1:7" x14ac:dyDescent="0.25">
      <c r="A35" s="8">
        <v>42654.311631944445</v>
      </c>
      <c r="B35" s="23" t="s">
        <v>211</v>
      </c>
      <c r="C35" s="23" t="s">
        <v>503</v>
      </c>
      <c r="D35" s="23">
        <v>2220000</v>
      </c>
      <c r="E35" s="23" t="s">
        <v>569</v>
      </c>
      <c r="F35" s="23" t="str">
        <f t="shared" si="0"/>
        <v>rtdc.l.rtdc.4018:itc</v>
      </c>
      <c r="G35" s="8">
        <f t="shared" si="1"/>
        <v>42654.311631944445</v>
      </c>
    </row>
    <row r="36" spans="1:7" x14ac:dyDescent="0.25">
      <c r="A36" s="8">
        <v>42654.316608796296</v>
      </c>
      <c r="B36" s="23" t="s">
        <v>275</v>
      </c>
      <c r="C36" s="23" t="s">
        <v>502</v>
      </c>
      <c r="D36" s="23">
        <v>1300000</v>
      </c>
      <c r="E36" s="23" t="s">
        <v>121</v>
      </c>
      <c r="F36" s="23" t="str">
        <f t="shared" si="0"/>
        <v>rtdc.l.rtdc.4043:itc</v>
      </c>
      <c r="G36" s="8">
        <f t="shared" si="1"/>
        <v>42654.316608796296</v>
      </c>
    </row>
    <row r="37" spans="1:7" x14ac:dyDescent="0.25">
      <c r="A37" s="8">
        <v>42654.319560185184</v>
      </c>
      <c r="B37" s="23" t="s">
        <v>223</v>
      </c>
      <c r="C37" s="23" t="s">
        <v>413</v>
      </c>
      <c r="D37" s="23">
        <v>1990000</v>
      </c>
      <c r="E37" s="23" t="s">
        <v>266</v>
      </c>
      <c r="F37" s="23" t="str">
        <f t="shared" si="0"/>
        <v>rtdc.l.rtdc.4003:itc</v>
      </c>
      <c r="G37" s="8">
        <f t="shared" si="1"/>
        <v>42654.319560185184</v>
      </c>
    </row>
    <row r="38" spans="1:7" x14ac:dyDescent="0.25">
      <c r="A38" s="8">
        <v>42654.322106481479</v>
      </c>
      <c r="B38" s="23" t="s">
        <v>559</v>
      </c>
      <c r="C38" s="23" t="s">
        <v>407</v>
      </c>
      <c r="D38" s="23">
        <v>1240000</v>
      </c>
      <c r="E38" s="23" t="s">
        <v>574</v>
      </c>
      <c r="F38" s="23" t="str">
        <f t="shared" si="0"/>
        <v>rtdc.l.rtdc.4032:itc</v>
      </c>
      <c r="G38" s="8">
        <f t="shared" si="1"/>
        <v>42654.322106481479</v>
      </c>
    </row>
    <row r="39" spans="1:7" x14ac:dyDescent="0.25">
      <c r="A39" s="8">
        <v>42654.331990740742</v>
      </c>
      <c r="B39" s="23" t="s">
        <v>270</v>
      </c>
      <c r="C39" s="23" t="s">
        <v>415</v>
      </c>
      <c r="D39" s="23">
        <v>1780000</v>
      </c>
      <c r="E39" s="23" t="s">
        <v>573</v>
      </c>
      <c r="F39" s="23" t="str">
        <f t="shared" si="0"/>
        <v>rtdc.l.rtdc.4014:itc</v>
      </c>
      <c r="G39" s="8">
        <f t="shared" si="1"/>
        <v>42654.331990740742</v>
      </c>
    </row>
    <row r="40" spans="1:7" x14ac:dyDescent="0.25">
      <c r="A40" s="8">
        <v>42654.337500000001</v>
      </c>
      <c r="B40" s="28" t="s">
        <v>538</v>
      </c>
      <c r="C40" s="23" t="s">
        <v>409</v>
      </c>
      <c r="D40" s="23">
        <v>2090000</v>
      </c>
      <c r="E40" s="23" t="s">
        <v>318</v>
      </c>
      <c r="F40" s="23" t="str">
        <f t="shared" si="0"/>
        <v>rtdc.l.rtdc.4054:itc</v>
      </c>
      <c r="G40" s="8">
        <f t="shared" si="1"/>
        <v>42654.337500000001</v>
      </c>
    </row>
    <row r="41" spans="1:7" x14ac:dyDescent="0.25">
      <c r="A41" s="8">
        <v>42654.338206018518</v>
      </c>
      <c r="B41" s="23" t="s">
        <v>210</v>
      </c>
      <c r="C41" s="23" t="s">
        <v>506</v>
      </c>
      <c r="D41" s="23">
        <v>2220000</v>
      </c>
      <c r="E41" s="23" t="s">
        <v>569</v>
      </c>
      <c r="F41" s="23" t="str">
        <f t="shared" si="0"/>
        <v>rtdc.l.rtdc.4017:itc</v>
      </c>
      <c r="G41" s="8">
        <f t="shared" si="1"/>
        <v>42654.338206018518</v>
      </c>
    </row>
    <row r="42" spans="1:7" x14ac:dyDescent="0.25">
      <c r="A42" s="8">
        <v>42654.346238425926</v>
      </c>
      <c r="B42" s="23" t="s">
        <v>232</v>
      </c>
      <c r="C42" s="23" t="s">
        <v>508</v>
      </c>
      <c r="D42" s="23">
        <v>1300000</v>
      </c>
      <c r="E42" s="23" t="s">
        <v>121</v>
      </c>
      <c r="F42" s="23" t="str">
        <f t="shared" si="0"/>
        <v>rtdc.l.rtdc.4044:itc</v>
      </c>
      <c r="G42" s="8">
        <f t="shared" si="1"/>
        <v>42654.346238425926</v>
      </c>
    </row>
    <row r="43" spans="1:7" x14ac:dyDescent="0.25">
      <c r="A43" s="8">
        <v>42654.347048611111</v>
      </c>
      <c r="B43" s="23" t="s">
        <v>279</v>
      </c>
      <c r="C43" s="23" t="s">
        <v>417</v>
      </c>
      <c r="D43" s="23">
        <v>2030000</v>
      </c>
      <c r="E43" s="23" t="s">
        <v>276</v>
      </c>
      <c r="F43" s="23" t="str">
        <f t="shared" si="0"/>
        <v>rtdc.l.rtdc.4040:itc</v>
      </c>
      <c r="G43" s="8">
        <f t="shared" si="1"/>
        <v>42654.347048611111</v>
      </c>
    </row>
    <row r="44" spans="1:7" x14ac:dyDescent="0.25">
      <c r="A44" s="8">
        <v>42654.348692129628</v>
      </c>
      <c r="B44" s="23" t="s">
        <v>231</v>
      </c>
      <c r="C44" s="23" t="s">
        <v>412</v>
      </c>
      <c r="D44" s="23">
        <v>1090000</v>
      </c>
      <c r="E44" s="23" t="s">
        <v>316</v>
      </c>
      <c r="F44" s="23" t="str">
        <f t="shared" si="0"/>
        <v>rtdc.l.rtdc.4008:itc</v>
      </c>
      <c r="G44" s="8">
        <f t="shared" si="1"/>
        <v>42654.348692129628</v>
      </c>
    </row>
    <row r="45" spans="1:7" x14ac:dyDescent="0.25">
      <c r="A45" s="8">
        <v>42654.353900462964</v>
      </c>
      <c r="B45" s="23" t="s">
        <v>534</v>
      </c>
      <c r="C45" s="23" t="s">
        <v>419</v>
      </c>
      <c r="D45" s="23">
        <v>2140000</v>
      </c>
      <c r="E45" s="23" t="s">
        <v>280</v>
      </c>
      <c r="F45" s="23" t="str">
        <f t="shared" si="0"/>
        <v>rtdc.l.rtdc.4016:itc</v>
      </c>
      <c r="G45" s="8">
        <f t="shared" si="1"/>
        <v>42654.353900462964</v>
      </c>
    </row>
    <row r="46" spans="1:7" x14ac:dyDescent="0.25">
      <c r="A46" s="8">
        <v>42654.35428240741</v>
      </c>
      <c r="B46" s="23" t="s">
        <v>211</v>
      </c>
      <c r="C46" s="23" t="s">
        <v>530</v>
      </c>
      <c r="D46" s="23">
        <v>2220000</v>
      </c>
      <c r="E46" s="23" t="s">
        <v>569</v>
      </c>
      <c r="F46" s="23" t="str">
        <f t="shared" si="0"/>
        <v>rtdc.l.rtdc.4018:itc</v>
      </c>
      <c r="G46" s="8">
        <f t="shared" si="1"/>
        <v>42654.35428240741</v>
      </c>
    </row>
    <row r="47" spans="1:7" x14ac:dyDescent="0.25">
      <c r="A47" s="8">
        <v>42654.357314814813</v>
      </c>
      <c r="B47" s="23" t="s">
        <v>534</v>
      </c>
      <c r="C47" s="23" t="s">
        <v>419</v>
      </c>
      <c r="D47" s="23">
        <v>2140000</v>
      </c>
      <c r="E47" s="23" t="s">
        <v>280</v>
      </c>
      <c r="F47" s="23" t="str">
        <f t="shared" si="0"/>
        <v>rtdc.l.rtdc.4016:itc</v>
      </c>
      <c r="G47" s="8">
        <f t="shared" si="1"/>
        <v>42654.357314814813</v>
      </c>
    </row>
    <row r="48" spans="1:7" x14ac:dyDescent="0.25">
      <c r="A48" s="8">
        <v>42654.358553240738</v>
      </c>
      <c r="B48" s="23" t="s">
        <v>275</v>
      </c>
      <c r="C48" s="23" t="s">
        <v>510</v>
      </c>
      <c r="D48" s="23">
        <v>1300000</v>
      </c>
      <c r="E48" s="23" t="s">
        <v>121</v>
      </c>
      <c r="F48" s="23" t="str">
        <f t="shared" si="0"/>
        <v>rtdc.l.rtdc.4043:itc</v>
      </c>
      <c r="G48" s="8">
        <f t="shared" si="1"/>
        <v>42654.358553240738</v>
      </c>
    </row>
    <row r="49" spans="1:7" x14ac:dyDescent="0.25">
      <c r="A49" s="8">
        <v>42654.359178240738</v>
      </c>
      <c r="B49" s="23" t="s">
        <v>224</v>
      </c>
      <c r="C49" s="23" t="s">
        <v>414</v>
      </c>
      <c r="D49" s="23">
        <v>1990000</v>
      </c>
      <c r="E49" s="23" t="s">
        <v>266</v>
      </c>
      <c r="F49" s="23" t="str">
        <f t="shared" si="0"/>
        <v>rtdc.l.rtdc.4004:itc</v>
      </c>
      <c r="G49" s="8">
        <f t="shared" si="1"/>
        <v>42654.359178240738</v>
      </c>
    </row>
    <row r="50" spans="1:7" x14ac:dyDescent="0.25">
      <c r="A50" s="8">
        <v>42654.361898148149</v>
      </c>
      <c r="B50" s="23" t="s">
        <v>570</v>
      </c>
      <c r="C50" s="23" t="s">
        <v>422</v>
      </c>
      <c r="D50" s="23">
        <v>1240000</v>
      </c>
      <c r="E50" s="23" t="s">
        <v>574</v>
      </c>
      <c r="F50" s="23" t="str">
        <f t="shared" si="0"/>
        <v>rtdc.l.rtdc.4031:itc</v>
      </c>
      <c r="G50" s="8">
        <f t="shared" si="1"/>
        <v>42654.361898148149</v>
      </c>
    </row>
    <row r="51" spans="1:7" x14ac:dyDescent="0.25">
      <c r="A51" s="8">
        <v>42654.367349537039</v>
      </c>
      <c r="B51" s="23" t="s">
        <v>265</v>
      </c>
      <c r="C51" s="23" t="s">
        <v>416</v>
      </c>
      <c r="D51" s="23">
        <v>1780000</v>
      </c>
      <c r="E51" s="23" t="s">
        <v>573</v>
      </c>
      <c r="F51" s="23" t="str">
        <f t="shared" si="0"/>
        <v>rtdc.l.rtdc.4013:itc</v>
      </c>
      <c r="G51" s="8">
        <f t="shared" si="1"/>
        <v>42654.367349537039</v>
      </c>
    </row>
    <row r="52" spans="1:7" x14ac:dyDescent="0.25">
      <c r="A52" s="8">
        <v>42654.374861111108</v>
      </c>
      <c r="B52" s="23" t="s">
        <v>571</v>
      </c>
      <c r="C52" s="23" t="s">
        <v>426</v>
      </c>
      <c r="D52" s="23">
        <v>2090000</v>
      </c>
      <c r="E52" s="23" t="s">
        <v>318</v>
      </c>
      <c r="F52" s="23" t="str">
        <f t="shared" si="0"/>
        <v>rtdc.l.rtdc.4053:itc</v>
      </c>
      <c r="G52" s="8">
        <f t="shared" si="1"/>
        <v>42654.374861111108</v>
      </c>
    </row>
    <row r="53" spans="1:7" x14ac:dyDescent="0.25">
      <c r="A53" s="8">
        <v>42654.380798611113</v>
      </c>
      <c r="B53" s="23" t="s">
        <v>232</v>
      </c>
      <c r="C53" s="23" t="s">
        <v>511</v>
      </c>
      <c r="D53" s="23">
        <v>1300000</v>
      </c>
      <c r="E53" s="23" t="s">
        <v>121</v>
      </c>
      <c r="F53" s="23" t="str">
        <f t="shared" si="0"/>
        <v>rtdc.l.rtdc.4044:itc</v>
      </c>
      <c r="G53" s="8">
        <f t="shared" si="1"/>
        <v>42654.380798611113</v>
      </c>
    </row>
    <row r="54" spans="1:7" x14ac:dyDescent="0.25">
      <c r="A54" s="8">
        <v>42654.381377314814</v>
      </c>
      <c r="B54" s="23" t="s">
        <v>294</v>
      </c>
      <c r="C54" s="23" t="s">
        <v>418</v>
      </c>
      <c r="D54" s="23">
        <v>2030000</v>
      </c>
      <c r="E54" s="23" t="s">
        <v>276</v>
      </c>
      <c r="F54" s="23" t="str">
        <f t="shared" si="0"/>
        <v>rtdc.l.rtdc.4039:itc</v>
      </c>
      <c r="G54" s="8">
        <f t="shared" si="1"/>
        <v>42654.381377314814</v>
      </c>
    </row>
    <row r="55" spans="1:7" x14ac:dyDescent="0.25">
      <c r="A55" s="8">
        <v>42654.384930555556</v>
      </c>
      <c r="B55" s="23" t="s">
        <v>233</v>
      </c>
      <c r="C55" s="23" t="s">
        <v>428</v>
      </c>
      <c r="D55" s="23">
        <v>1090000</v>
      </c>
      <c r="E55" s="23" t="s">
        <v>316</v>
      </c>
      <c r="F55" s="23" t="str">
        <f t="shared" si="0"/>
        <v>rtdc.l.rtdc.4007:itc</v>
      </c>
      <c r="G55" s="8">
        <f t="shared" si="1"/>
        <v>42654.384930555556</v>
      </c>
    </row>
    <row r="56" spans="1:7" x14ac:dyDescent="0.25">
      <c r="A56" s="8">
        <v>42654.387708333335</v>
      </c>
      <c r="B56" s="23" t="s">
        <v>537</v>
      </c>
      <c r="C56" s="23" t="s">
        <v>421</v>
      </c>
      <c r="D56" s="23">
        <v>2030000</v>
      </c>
      <c r="E56" s="23" t="s">
        <v>276</v>
      </c>
      <c r="F56" s="23" t="str">
        <f t="shared" si="0"/>
        <v>rtdc.l.rtdc.4015:itc</v>
      </c>
      <c r="G56" s="8">
        <f t="shared" si="1"/>
        <v>42654.387708333335</v>
      </c>
    </row>
    <row r="57" spans="1:7" x14ac:dyDescent="0.25">
      <c r="A57" s="8">
        <v>42654.393726851849</v>
      </c>
      <c r="B57" s="23" t="s">
        <v>559</v>
      </c>
      <c r="C57" s="23" t="s">
        <v>424</v>
      </c>
      <c r="D57" s="23">
        <v>1240000</v>
      </c>
      <c r="E57" s="23" t="s">
        <v>574</v>
      </c>
      <c r="F57" s="23" t="str">
        <f t="shared" si="0"/>
        <v>rtdc.l.rtdc.4032:itc</v>
      </c>
      <c r="G57" s="8">
        <f t="shared" si="1"/>
        <v>42654.393726851849</v>
      </c>
    </row>
    <row r="58" spans="1:7" x14ac:dyDescent="0.25">
      <c r="A58" s="8">
        <v>42654.395648148151</v>
      </c>
      <c r="B58" s="23" t="s">
        <v>223</v>
      </c>
      <c r="C58" s="23" t="s">
        <v>432</v>
      </c>
      <c r="D58" s="23">
        <v>1990000</v>
      </c>
      <c r="E58" s="23" t="s">
        <v>266</v>
      </c>
      <c r="F58" s="23" t="str">
        <f t="shared" si="0"/>
        <v>rtdc.l.rtdc.4003:itc</v>
      </c>
      <c r="G58" s="8">
        <f t="shared" si="1"/>
        <v>42654.395648148151</v>
      </c>
    </row>
    <row r="59" spans="1:7" x14ac:dyDescent="0.25">
      <c r="A59" s="8">
        <v>42654.400381944448</v>
      </c>
      <c r="B59" s="23" t="s">
        <v>275</v>
      </c>
      <c r="C59" s="23" t="s">
        <v>514</v>
      </c>
      <c r="D59" s="23">
        <v>1300000</v>
      </c>
      <c r="E59" s="23" t="s">
        <v>121</v>
      </c>
      <c r="F59" s="23" t="str">
        <f t="shared" si="0"/>
        <v>rtdc.l.rtdc.4043:itc</v>
      </c>
      <c r="G59" s="8">
        <f t="shared" si="1"/>
        <v>42654.400381944448</v>
      </c>
    </row>
    <row r="60" spans="1:7" x14ac:dyDescent="0.25">
      <c r="A60" s="8">
        <v>42654.404664351852</v>
      </c>
      <c r="B60" s="23" t="s">
        <v>270</v>
      </c>
      <c r="C60" s="23" t="s">
        <v>437</v>
      </c>
      <c r="D60" s="23">
        <v>1780000</v>
      </c>
      <c r="E60" s="23" t="s">
        <v>573</v>
      </c>
      <c r="F60" s="23" t="str">
        <f t="shared" si="0"/>
        <v>rtdc.l.rtdc.4014:itc</v>
      </c>
      <c r="G60" s="8">
        <f t="shared" si="1"/>
        <v>42654.404664351852</v>
      </c>
    </row>
    <row r="61" spans="1:7" x14ac:dyDescent="0.25">
      <c r="A61" s="8">
        <v>42654.407141203701</v>
      </c>
      <c r="B61" s="23" t="s">
        <v>275</v>
      </c>
      <c r="C61" s="23" t="s">
        <v>514</v>
      </c>
      <c r="D61" s="23">
        <v>1300000</v>
      </c>
      <c r="E61" s="23" t="s">
        <v>121</v>
      </c>
      <c r="F61" s="23" t="str">
        <f t="shared" si="0"/>
        <v>rtdc.l.rtdc.4043:itc</v>
      </c>
      <c r="G61" s="8">
        <f t="shared" si="1"/>
        <v>42654.407141203701</v>
      </c>
    </row>
    <row r="62" spans="1:7" x14ac:dyDescent="0.25">
      <c r="A62" s="8">
        <v>42654.40829861111</v>
      </c>
      <c r="B62" s="23" t="s">
        <v>275</v>
      </c>
      <c r="C62" s="23" t="s">
        <v>514</v>
      </c>
      <c r="D62" s="23">
        <v>1300000</v>
      </c>
      <c r="E62" s="23" t="s">
        <v>121</v>
      </c>
      <c r="F62" s="23" t="str">
        <f t="shared" si="0"/>
        <v>rtdc.l.rtdc.4043:itc</v>
      </c>
      <c r="G62" s="8">
        <f t="shared" si="1"/>
        <v>42654.40829861111</v>
      </c>
    </row>
    <row r="63" spans="1:7" x14ac:dyDescent="0.25">
      <c r="A63" s="8">
        <v>42654.410949074074</v>
      </c>
      <c r="B63" s="23" t="s">
        <v>538</v>
      </c>
      <c r="C63" s="23" t="s">
        <v>427</v>
      </c>
      <c r="D63" s="23">
        <v>2090000</v>
      </c>
      <c r="E63" s="23" t="s">
        <v>318</v>
      </c>
      <c r="F63" s="23" t="str">
        <f t="shared" si="0"/>
        <v>rtdc.l.rtdc.4054:itc</v>
      </c>
      <c r="G63" s="8">
        <f t="shared" si="1"/>
        <v>42654.410949074074</v>
      </c>
    </row>
    <row r="64" spans="1:7" x14ac:dyDescent="0.25">
      <c r="A64" s="29">
        <v>42654.41375</v>
      </c>
      <c r="B64" s="23" t="s">
        <v>279</v>
      </c>
      <c r="C64" s="23" t="s">
        <v>439</v>
      </c>
      <c r="D64" s="23">
        <v>2030000</v>
      </c>
      <c r="E64" s="23" t="s">
        <v>276</v>
      </c>
      <c r="F64" s="23" t="str">
        <f t="shared" si="0"/>
        <v>rtdc.l.rtdc.4040:itc</v>
      </c>
      <c r="G64" s="8">
        <f t="shared" si="1"/>
        <v>42654.41375</v>
      </c>
    </row>
    <row r="65" spans="1:7" x14ac:dyDescent="0.25">
      <c r="A65" s="8">
        <v>42654.419606481482</v>
      </c>
      <c r="B65" s="23" t="s">
        <v>233</v>
      </c>
      <c r="C65" s="23" t="s">
        <v>428</v>
      </c>
      <c r="D65" s="23">
        <v>1090000</v>
      </c>
      <c r="E65" s="23" t="s">
        <v>316</v>
      </c>
      <c r="F65" s="23" t="str">
        <f t="shared" si="0"/>
        <v>rtdc.l.rtdc.4007:itc</v>
      </c>
      <c r="G65" s="8">
        <f t="shared" si="1"/>
        <v>42654.419606481482</v>
      </c>
    </row>
    <row r="66" spans="1:7" x14ac:dyDescent="0.25">
      <c r="A66" s="8">
        <v>42654.428379629629</v>
      </c>
      <c r="B66" s="23" t="s">
        <v>298</v>
      </c>
      <c r="C66" s="23" t="s">
        <v>444</v>
      </c>
      <c r="D66" s="23">
        <v>1360000</v>
      </c>
      <c r="E66" s="23" t="s">
        <v>572</v>
      </c>
      <c r="F66" s="23" t="str">
        <f t="shared" ref="F66:F129" si="2">B66</f>
        <v>rtdc.l.rtdc.4029:itc</v>
      </c>
      <c r="G66" s="8">
        <f t="shared" ref="G66:G129" si="3">A66</f>
        <v>42654.428379629629</v>
      </c>
    </row>
    <row r="67" spans="1:7" x14ac:dyDescent="0.25">
      <c r="A67" s="8">
        <v>42654.429756944446</v>
      </c>
      <c r="B67" s="23" t="s">
        <v>231</v>
      </c>
      <c r="C67" s="23" t="s">
        <v>431</v>
      </c>
      <c r="D67" s="23">
        <v>1090000</v>
      </c>
      <c r="E67" s="23" t="s">
        <v>316</v>
      </c>
      <c r="F67" s="23" t="str">
        <f t="shared" si="2"/>
        <v>rtdc.l.rtdc.4008:itc</v>
      </c>
      <c r="G67" s="8">
        <f t="shared" si="3"/>
        <v>42654.429756944446</v>
      </c>
    </row>
    <row r="68" spans="1:7" x14ac:dyDescent="0.25">
      <c r="A68" s="8">
        <v>42654.429930555554</v>
      </c>
      <c r="B68" s="23" t="s">
        <v>232</v>
      </c>
      <c r="C68" s="23" t="s">
        <v>516</v>
      </c>
      <c r="D68" s="23">
        <v>1300000</v>
      </c>
      <c r="E68" s="23" t="s">
        <v>121</v>
      </c>
      <c r="F68" s="23" t="str">
        <f t="shared" si="2"/>
        <v>rtdc.l.rtdc.4044:itc</v>
      </c>
      <c r="G68" s="8">
        <f t="shared" si="3"/>
        <v>42654.429930555554</v>
      </c>
    </row>
    <row r="69" spans="1:7" x14ac:dyDescent="0.25">
      <c r="A69" s="8">
        <v>42654.433923611112</v>
      </c>
      <c r="B69" s="23" t="s">
        <v>279</v>
      </c>
      <c r="C69" s="23" t="s">
        <v>439</v>
      </c>
      <c r="D69" s="23">
        <v>2030000</v>
      </c>
      <c r="E69" s="23" t="s">
        <v>276</v>
      </c>
      <c r="F69" s="23" t="str">
        <f t="shared" si="2"/>
        <v>rtdc.l.rtdc.4040:itc</v>
      </c>
      <c r="G69" s="8">
        <f t="shared" si="3"/>
        <v>42654.433923611112</v>
      </c>
    </row>
    <row r="70" spans="1:7" x14ac:dyDescent="0.25">
      <c r="A70" s="8">
        <v>42654.434050925927</v>
      </c>
      <c r="B70" s="23" t="s">
        <v>534</v>
      </c>
      <c r="C70" s="23" t="s">
        <v>449</v>
      </c>
      <c r="D70" s="23">
        <v>2220000</v>
      </c>
      <c r="E70" s="23" t="s">
        <v>569</v>
      </c>
      <c r="F70" s="23" t="str">
        <f t="shared" si="2"/>
        <v>rtdc.l.rtdc.4016:itc</v>
      </c>
      <c r="G70" s="8">
        <f t="shared" si="3"/>
        <v>42654.434050925927</v>
      </c>
    </row>
    <row r="71" spans="1:7" x14ac:dyDescent="0.25">
      <c r="A71" s="8">
        <v>42654.434212962966</v>
      </c>
      <c r="B71" s="23" t="s">
        <v>298</v>
      </c>
      <c r="C71" s="23" t="s">
        <v>444</v>
      </c>
      <c r="D71" s="23">
        <v>1360000</v>
      </c>
      <c r="E71" s="23" t="s">
        <v>572</v>
      </c>
      <c r="F71" s="23" t="str">
        <f t="shared" si="2"/>
        <v>rtdc.l.rtdc.4029:itc</v>
      </c>
      <c r="G71" s="8">
        <f t="shared" si="3"/>
        <v>42654.434212962966</v>
      </c>
    </row>
    <row r="72" spans="1:7" x14ac:dyDescent="0.25">
      <c r="A72" s="8">
        <v>42654.434965277775</v>
      </c>
      <c r="B72" s="23" t="s">
        <v>224</v>
      </c>
      <c r="C72" s="23" t="s">
        <v>434</v>
      </c>
      <c r="D72" s="23">
        <v>1990000</v>
      </c>
      <c r="E72" s="23" t="s">
        <v>266</v>
      </c>
      <c r="F72" s="23" t="str">
        <f t="shared" si="2"/>
        <v>rtdc.l.rtdc.4004:itc</v>
      </c>
      <c r="G72" s="8">
        <f t="shared" si="3"/>
        <v>42654.434965277775</v>
      </c>
    </row>
    <row r="73" spans="1:7" x14ac:dyDescent="0.25">
      <c r="A73" s="8">
        <v>42654.441493055558</v>
      </c>
      <c r="B73" s="23" t="s">
        <v>275</v>
      </c>
      <c r="C73" s="23" t="s">
        <v>517</v>
      </c>
      <c r="D73" s="23">
        <v>1300000</v>
      </c>
      <c r="E73" s="23" t="s">
        <v>121</v>
      </c>
      <c r="F73" s="23" t="str">
        <f t="shared" si="2"/>
        <v>rtdc.l.rtdc.4043:itc</v>
      </c>
      <c r="G73" s="8">
        <f t="shared" si="3"/>
        <v>42654.441493055558</v>
      </c>
    </row>
    <row r="74" spans="1:7" x14ac:dyDescent="0.25">
      <c r="A74" s="8">
        <v>42654.441516203704</v>
      </c>
      <c r="B74" s="23" t="s">
        <v>265</v>
      </c>
      <c r="C74" s="23" t="s">
        <v>438</v>
      </c>
      <c r="D74" s="23">
        <v>1780000</v>
      </c>
      <c r="E74" s="23" t="s">
        <v>573</v>
      </c>
      <c r="F74" s="23" t="str">
        <f t="shared" si="2"/>
        <v>rtdc.l.rtdc.4013:itc</v>
      </c>
      <c r="G74" s="8">
        <f t="shared" si="3"/>
        <v>42654.441516203704</v>
      </c>
    </row>
    <row r="75" spans="1:7" x14ac:dyDescent="0.25">
      <c r="A75" s="8">
        <v>42654.446736111109</v>
      </c>
      <c r="B75" s="23" t="s">
        <v>571</v>
      </c>
      <c r="C75" s="23" t="s">
        <v>451</v>
      </c>
      <c r="D75" s="23">
        <v>2090000</v>
      </c>
      <c r="E75" s="23" t="s">
        <v>318</v>
      </c>
      <c r="F75" s="23" t="str">
        <f t="shared" si="2"/>
        <v>rtdc.l.rtdc.4053:itc</v>
      </c>
      <c r="G75" s="8">
        <f t="shared" si="3"/>
        <v>42654.446736111109</v>
      </c>
    </row>
    <row r="76" spans="1:7" x14ac:dyDescent="0.25">
      <c r="A76" s="8">
        <v>42654.449479166666</v>
      </c>
      <c r="B76" s="23" t="s">
        <v>294</v>
      </c>
      <c r="C76" s="23" t="s">
        <v>441</v>
      </c>
      <c r="D76" s="23">
        <v>2030000</v>
      </c>
      <c r="E76" s="23" t="s">
        <v>276</v>
      </c>
      <c r="F76" s="23" t="str">
        <f t="shared" si="2"/>
        <v>rtdc.l.rtdc.4039:itc</v>
      </c>
      <c r="G76" s="8">
        <f t="shared" si="3"/>
        <v>42654.449479166666</v>
      </c>
    </row>
    <row r="77" spans="1:7" x14ac:dyDescent="0.25">
      <c r="A77" s="8">
        <v>42654.45820601852</v>
      </c>
      <c r="B77" s="23" t="s">
        <v>233</v>
      </c>
      <c r="C77" s="23" t="s">
        <v>453</v>
      </c>
      <c r="D77" s="23">
        <v>1280000</v>
      </c>
      <c r="E77" s="23" t="s">
        <v>278</v>
      </c>
      <c r="F77" s="23" t="str">
        <f t="shared" si="2"/>
        <v>rtdc.l.rtdc.4007:itc</v>
      </c>
      <c r="G77" s="8">
        <f t="shared" si="3"/>
        <v>42654.45820601852</v>
      </c>
    </row>
    <row r="78" spans="1:7" x14ac:dyDescent="0.25">
      <c r="A78" s="8">
        <v>42654.458344907405</v>
      </c>
      <c r="B78" s="23" t="s">
        <v>295</v>
      </c>
      <c r="C78" s="23" t="s">
        <v>448</v>
      </c>
      <c r="D78" s="23">
        <v>1360000</v>
      </c>
      <c r="E78" s="23" t="s">
        <v>572</v>
      </c>
      <c r="F78" s="23" t="str">
        <f t="shared" si="2"/>
        <v>rtdc.l.rtdc.4030:itc</v>
      </c>
      <c r="G78" s="8">
        <f t="shared" si="3"/>
        <v>42654.458344907405</v>
      </c>
    </row>
    <row r="79" spans="1:7" x14ac:dyDescent="0.25">
      <c r="A79" s="8">
        <v>42654.464756944442</v>
      </c>
      <c r="B79" s="23" t="s">
        <v>264</v>
      </c>
      <c r="C79" s="23" t="s">
        <v>476</v>
      </c>
      <c r="D79" s="23">
        <v>1540000</v>
      </c>
      <c r="E79" s="23" t="s">
        <v>575</v>
      </c>
      <c r="F79" s="23" t="str">
        <f t="shared" si="2"/>
        <v>rtdc.l.rtdc.4019:itc</v>
      </c>
      <c r="G79" s="8">
        <f t="shared" si="3"/>
        <v>42654.464756944442</v>
      </c>
    </row>
    <row r="80" spans="1:7" x14ac:dyDescent="0.25">
      <c r="A80" s="8">
        <v>42654.4690625</v>
      </c>
      <c r="B80" s="23" t="s">
        <v>537</v>
      </c>
      <c r="C80" s="23" t="s">
        <v>450</v>
      </c>
      <c r="D80" s="23">
        <v>2220000</v>
      </c>
      <c r="E80" s="23" t="s">
        <v>569</v>
      </c>
      <c r="F80" s="23" t="str">
        <f t="shared" si="2"/>
        <v>rtdc.l.rtdc.4015:itc</v>
      </c>
      <c r="G80" s="8">
        <f t="shared" si="3"/>
        <v>42654.4690625</v>
      </c>
    </row>
    <row r="81" spans="1:7" x14ac:dyDescent="0.25">
      <c r="A81" s="8">
        <v>42654.470729166664</v>
      </c>
      <c r="B81" s="23" t="s">
        <v>232</v>
      </c>
      <c r="C81" s="23" t="s">
        <v>519</v>
      </c>
      <c r="D81" s="23">
        <v>1300000</v>
      </c>
      <c r="E81" s="23" t="s">
        <v>121</v>
      </c>
      <c r="F81" s="23" t="str">
        <f t="shared" si="2"/>
        <v>rtdc.l.rtdc.4044:itc</v>
      </c>
      <c r="G81" s="8">
        <f t="shared" si="3"/>
        <v>42654.470729166664</v>
      </c>
    </row>
    <row r="82" spans="1:7" x14ac:dyDescent="0.25">
      <c r="A82" s="8">
        <v>42654.471354166664</v>
      </c>
      <c r="B82" s="23" t="s">
        <v>294</v>
      </c>
      <c r="C82" s="23" t="s">
        <v>441</v>
      </c>
      <c r="D82" s="23">
        <v>2030000</v>
      </c>
      <c r="E82" s="23" t="s">
        <v>276</v>
      </c>
      <c r="F82" s="23" t="str">
        <f t="shared" si="2"/>
        <v>rtdc.l.rtdc.4039:itc</v>
      </c>
      <c r="G82" s="8">
        <f t="shared" si="3"/>
        <v>42654.471354166664</v>
      </c>
    </row>
    <row r="83" spans="1:7" x14ac:dyDescent="0.25">
      <c r="A83" s="8">
        <v>42654.473796296297</v>
      </c>
      <c r="B83" s="23" t="s">
        <v>277</v>
      </c>
      <c r="C83" s="23" t="s">
        <v>474</v>
      </c>
      <c r="D83" s="23">
        <v>1990000</v>
      </c>
      <c r="E83" s="23" t="s">
        <v>266</v>
      </c>
      <c r="F83" s="23" t="str">
        <f t="shared" si="2"/>
        <v>rtdc.l.rtdc.4027:itc</v>
      </c>
      <c r="G83" s="8">
        <f t="shared" si="3"/>
        <v>42654.473796296297</v>
      </c>
    </row>
    <row r="84" spans="1:7" x14ac:dyDescent="0.25">
      <c r="A84" s="8">
        <v>42654.480891203704</v>
      </c>
      <c r="B84" s="23" t="s">
        <v>270</v>
      </c>
      <c r="C84" s="23" t="s">
        <v>458</v>
      </c>
      <c r="D84" s="23">
        <v>1540000</v>
      </c>
      <c r="E84" s="23" t="s">
        <v>575</v>
      </c>
      <c r="F84" s="23" t="str">
        <f t="shared" si="2"/>
        <v>rtdc.l.rtdc.4014:itc</v>
      </c>
      <c r="G84" s="8">
        <f t="shared" si="3"/>
        <v>42654.480891203704</v>
      </c>
    </row>
    <row r="85" spans="1:7" x14ac:dyDescent="0.25">
      <c r="A85" s="8">
        <v>42654.483148148145</v>
      </c>
      <c r="B85" s="23" t="s">
        <v>275</v>
      </c>
      <c r="C85" s="23" t="s">
        <v>521</v>
      </c>
      <c r="D85" s="23">
        <v>1300000</v>
      </c>
      <c r="E85" s="23" t="s">
        <v>121</v>
      </c>
      <c r="F85" s="23" t="str">
        <f t="shared" si="2"/>
        <v>rtdc.l.rtdc.4043:itc</v>
      </c>
      <c r="G85" s="8">
        <f t="shared" si="3"/>
        <v>42654.483148148145</v>
      </c>
    </row>
    <row r="86" spans="1:7" x14ac:dyDescent="0.25">
      <c r="A86" s="8">
        <v>42654.484884259262</v>
      </c>
      <c r="B86" s="23" t="s">
        <v>538</v>
      </c>
      <c r="C86" s="23" t="s">
        <v>452</v>
      </c>
      <c r="D86" s="23">
        <v>2090000</v>
      </c>
      <c r="E86" s="23" t="s">
        <v>318</v>
      </c>
      <c r="F86" s="23" t="str">
        <f t="shared" si="2"/>
        <v>rtdc.l.rtdc.4054:itc</v>
      </c>
      <c r="G86" s="8">
        <f t="shared" si="3"/>
        <v>42654.484884259262</v>
      </c>
    </row>
    <row r="87" spans="1:7" x14ac:dyDescent="0.25">
      <c r="A87" s="8">
        <v>42654.487141203703</v>
      </c>
      <c r="B87" s="23" t="s">
        <v>231</v>
      </c>
      <c r="C87" s="23" t="s">
        <v>455</v>
      </c>
      <c r="D87" s="23">
        <v>1280000</v>
      </c>
      <c r="E87" s="23" t="s">
        <v>278</v>
      </c>
      <c r="F87" s="23" t="str">
        <f t="shared" si="2"/>
        <v>rtdc.l.rtdc.4008:itc</v>
      </c>
      <c r="G87" s="8">
        <f t="shared" si="3"/>
        <v>42654.487141203703</v>
      </c>
    </row>
    <row r="88" spans="1:7" x14ac:dyDescent="0.25">
      <c r="A88" s="8">
        <v>42654.488553240742</v>
      </c>
      <c r="B88" s="23" t="s">
        <v>279</v>
      </c>
      <c r="C88" s="23" t="s">
        <v>461</v>
      </c>
      <c r="D88" s="23">
        <v>940000</v>
      </c>
      <c r="E88" s="23" t="s">
        <v>576</v>
      </c>
      <c r="F88" s="23" t="str">
        <f t="shared" si="2"/>
        <v>rtdc.l.rtdc.4040:itc</v>
      </c>
      <c r="G88" s="8">
        <f t="shared" si="3"/>
        <v>42654.488553240742</v>
      </c>
    </row>
    <row r="89" spans="1:7" x14ac:dyDescent="0.25">
      <c r="A89" s="8">
        <v>42654.492060185185</v>
      </c>
      <c r="B89" s="23" t="s">
        <v>263</v>
      </c>
      <c r="C89" s="23" t="s">
        <v>479</v>
      </c>
      <c r="D89" s="23">
        <v>1780000</v>
      </c>
      <c r="E89" s="23" t="s">
        <v>573</v>
      </c>
      <c r="F89" s="23" t="str">
        <f t="shared" si="2"/>
        <v>rtdc.l.rtdc.4020:itc</v>
      </c>
      <c r="G89" s="8">
        <f t="shared" si="3"/>
        <v>42654.492060185185</v>
      </c>
    </row>
    <row r="90" spans="1:7" x14ac:dyDescent="0.25">
      <c r="A90" s="8">
        <v>42654.495636574073</v>
      </c>
      <c r="B90" s="23" t="s">
        <v>298</v>
      </c>
      <c r="C90" s="23" t="s">
        <v>463</v>
      </c>
      <c r="D90" s="23">
        <v>2250000</v>
      </c>
      <c r="E90" s="23" t="s">
        <v>577</v>
      </c>
      <c r="F90" s="23" t="str">
        <f t="shared" si="2"/>
        <v>rtdc.l.rtdc.4029:itc</v>
      </c>
      <c r="G90" s="8">
        <f t="shared" si="3"/>
        <v>42654.495636574073</v>
      </c>
    </row>
    <row r="91" spans="1:7" x14ac:dyDescent="0.25">
      <c r="A91" s="8">
        <v>42654.505706018521</v>
      </c>
      <c r="B91" s="23" t="s">
        <v>224</v>
      </c>
      <c r="C91" s="23" t="s">
        <v>456</v>
      </c>
      <c r="D91" s="23">
        <v>880000</v>
      </c>
      <c r="E91" s="23" t="s">
        <v>268</v>
      </c>
      <c r="F91" s="23" t="str">
        <f t="shared" si="2"/>
        <v>rtdc.l.rtdc.4004:itc</v>
      </c>
      <c r="G91" s="8">
        <f t="shared" si="3"/>
        <v>42654.505706018521</v>
      </c>
    </row>
    <row r="92" spans="1:7" x14ac:dyDescent="0.25">
      <c r="A92" s="8">
        <v>42654.506666666668</v>
      </c>
      <c r="B92" s="23" t="s">
        <v>534</v>
      </c>
      <c r="C92" s="23" t="s">
        <v>465</v>
      </c>
      <c r="D92" s="23">
        <v>930000</v>
      </c>
      <c r="E92" s="23" t="s">
        <v>269</v>
      </c>
      <c r="F92" s="23" t="str">
        <f t="shared" si="2"/>
        <v>rtdc.l.rtdc.4016:itc</v>
      </c>
      <c r="G92" s="8">
        <f t="shared" si="3"/>
        <v>42654.506666666668</v>
      </c>
    </row>
    <row r="93" spans="1:7" x14ac:dyDescent="0.25">
      <c r="A93" s="8">
        <v>42654.511967592596</v>
      </c>
      <c r="B93" s="23" t="s">
        <v>232</v>
      </c>
      <c r="C93" s="23" t="s">
        <v>524</v>
      </c>
      <c r="D93" s="23">
        <v>1300000</v>
      </c>
      <c r="E93" s="23" t="s">
        <v>121</v>
      </c>
      <c r="F93" s="23" t="str">
        <f t="shared" si="2"/>
        <v>rtdc.l.rtdc.4044:itc</v>
      </c>
      <c r="G93" s="8">
        <f t="shared" si="3"/>
        <v>42654.511967592596</v>
      </c>
    </row>
    <row r="94" spans="1:7" x14ac:dyDescent="0.25">
      <c r="A94" s="8">
        <v>42654.514201388891</v>
      </c>
      <c r="B94" s="23" t="s">
        <v>265</v>
      </c>
      <c r="C94" s="23" t="s">
        <v>460</v>
      </c>
      <c r="D94" s="23">
        <v>1540000</v>
      </c>
      <c r="E94" s="23" t="s">
        <v>575</v>
      </c>
      <c r="F94" s="23" t="str">
        <f t="shared" si="2"/>
        <v>rtdc.l.rtdc.4013:itc</v>
      </c>
      <c r="G94" s="8">
        <f t="shared" si="3"/>
        <v>42654.514201388891</v>
      </c>
    </row>
    <row r="95" spans="1:7" x14ac:dyDescent="0.25">
      <c r="A95" s="8">
        <v>42654.518391203703</v>
      </c>
      <c r="B95" s="23" t="s">
        <v>571</v>
      </c>
      <c r="C95" s="23" t="s">
        <v>468</v>
      </c>
      <c r="D95" s="23">
        <v>1740000</v>
      </c>
      <c r="E95" s="23" t="s">
        <v>578</v>
      </c>
      <c r="F95" s="23" t="str">
        <f t="shared" si="2"/>
        <v>rtdc.l.rtdc.4053:itc</v>
      </c>
      <c r="G95" s="8">
        <f t="shared" si="3"/>
        <v>42654.518391203703</v>
      </c>
    </row>
    <row r="96" spans="1:7" x14ac:dyDescent="0.25">
      <c r="A96" s="8">
        <v>42654.520266203705</v>
      </c>
      <c r="B96" s="23" t="s">
        <v>294</v>
      </c>
      <c r="C96" s="23" t="s">
        <v>462</v>
      </c>
      <c r="D96" s="23">
        <v>940000</v>
      </c>
      <c r="E96" s="23" t="s">
        <v>576</v>
      </c>
      <c r="F96" s="23" t="str">
        <f t="shared" si="2"/>
        <v>rtdc.l.rtdc.4039:itc</v>
      </c>
      <c r="G96" s="8">
        <f t="shared" si="3"/>
        <v>42654.520266203705</v>
      </c>
    </row>
    <row r="97" spans="1:7" x14ac:dyDescent="0.25">
      <c r="A97" s="8">
        <v>42654.525937500002</v>
      </c>
      <c r="B97" s="23" t="s">
        <v>275</v>
      </c>
      <c r="C97" s="23" t="s">
        <v>526</v>
      </c>
      <c r="D97" s="23">
        <v>1300000</v>
      </c>
      <c r="E97" s="23" t="s">
        <v>121</v>
      </c>
      <c r="F97" s="23" t="str">
        <f t="shared" si="2"/>
        <v>rtdc.l.rtdc.4043:itc</v>
      </c>
      <c r="G97" s="8">
        <f t="shared" si="3"/>
        <v>42654.525937500002</v>
      </c>
    </row>
    <row r="98" spans="1:7" x14ac:dyDescent="0.25">
      <c r="A98" s="8">
        <v>42654.528067129628</v>
      </c>
      <c r="B98" s="23" t="s">
        <v>233</v>
      </c>
      <c r="C98" s="23" t="s">
        <v>470</v>
      </c>
      <c r="D98" s="23">
        <v>1280000</v>
      </c>
      <c r="E98" s="23" t="s">
        <v>278</v>
      </c>
      <c r="F98" s="23" t="str">
        <f t="shared" si="2"/>
        <v>rtdc.l.rtdc.4007:itc</v>
      </c>
      <c r="G98" s="8">
        <f t="shared" si="3"/>
        <v>42654.528067129628</v>
      </c>
    </row>
    <row r="99" spans="1:7" x14ac:dyDescent="0.25">
      <c r="A99" s="8">
        <v>42654.529664351852</v>
      </c>
      <c r="B99" s="23" t="s">
        <v>295</v>
      </c>
      <c r="C99" s="23" t="s">
        <v>464</v>
      </c>
      <c r="D99" s="23">
        <v>2250000</v>
      </c>
      <c r="E99" s="23" t="s">
        <v>577</v>
      </c>
      <c r="F99" s="23" t="str">
        <f t="shared" si="2"/>
        <v>rtdc.l.rtdc.4030:itc</v>
      </c>
      <c r="G99" s="8">
        <f t="shared" si="3"/>
        <v>42654.529664351852</v>
      </c>
    </row>
    <row r="100" spans="1:7" x14ac:dyDescent="0.25">
      <c r="A100" s="8">
        <v>42654.538587962961</v>
      </c>
      <c r="B100" s="23" t="s">
        <v>223</v>
      </c>
      <c r="C100" s="23" t="s">
        <v>471</v>
      </c>
      <c r="D100" s="23">
        <v>880000</v>
      </c>
      <c r="E100" s="23" t="s">
        <v>268</v>
      </c>
      <c r="F100" s="23" t="str">
        <f t="shared" si="2"/>
        <v>rtdc.l.rtdc.4003:itc</v>
      </c>
      <c r="G100" s="8">
        <f t="shared" si="3"/>
        <v>42654.538587962961</v>
      </c>
    </row>
    <row r="101" spans="1:7" x14ac:dyDescent="0.25">
      <c r="A101" s="8">
        <v>42654.546597222223</v>
      </c>
      <c r="B101" s="23" t="s">
        <v>232</v>
      </c>
      <c r="C101" s="23" t="s">
        <v>528</v>
      </c>
      <c r="D101" s="23">
        <v>1770000</v>
      </c>
      <c r="E101" s="23" t="s">
        <v>296</v>
      </c>
      <c r="F101" s="23" t="str">
        <f t="shared" si="2"/>
        <v>rtdc.l.rtdc.4044:itc</v>
      </c>
      <c r="G101" s="8">
        <f t="shared" si="3"/>
        <v>42654.546597222223</v>
      </c>
    </row>
    <row r="102" spans="1:7" x14ac:dyDescent="0.25">
      <c r="A102" s="8">
        <v>42654.546793981484</v>
      </c>
      <c r="B102" s="23" t="s">
        <v>537</v>
      </c>
      <c r="C102" s="23" t="s">
        <v>466</v>
      </c>
      <c r="D102" s="23">
        <v>930000</v>
      </c>
      <c r="E102" s="23" t="s">
        <v>269</v>
      </c>
      <c r="F102" s="23" t="str">
        <f t="shared" si="2"/>
        <v>rtdc.l.rtdc.4015:itc</v>
      </c>
      <c r="G102" s="8">
        <f t="shared" si="3"/>
        <v>42654.546793981484</v>
      </c>
    </row>
    <row r="103" spans="1:7" x14ac:dyDescent="0.25">
      <c r="A103" s="8">
        <v>42654.548900462964</v>
      </c>
      <c r="B103" s="23" t="s">
        <v>270</v>
      </c>
      <c r="C103" s="23" t="s">
        <v>472</v>
      </c>
      <c r="D103" s="23">
        <v>1540000</v>
      </c>
      <c r="E103" s="23" t="s">
        <v>575</v>
      </c>
      <c r="F103" s="23" t="str">
        <f t="shared" si="2"/>
        <v>rtdc.l.rtdc.4014:itc</v>
      </c>
      <c r="G103" s="8">
        <f t="shared" si="3"/>
        <v>42654.548900462964</v>
      </c>
    </row>
    <row r="104" spans="1:7" x14ac:dyDescent="0.25">
      <c r="A104" s="8">
        <v>42654.555555555555</v>
      </c>
      <c r="B104" s="23" t="s">
        <v>538</v>
      </c>
      <c r="C104" s="23" t="s">
        <v>469</v>
      </c>
      <c r="D104" s="23">
        <v>1740000</v>
      </c>
      <c r="E104" s="23" t="s">
        <v>578</v>
      </c>
      <c r="F104" s="23" t="str">
        <f t="shared" si="2"/>
        <v>rtdc.l.rtdc.4054:itc</v>
      </c>
      <c r="G104" s="8">
        <f t="shared" si="3"/>
        <v>42654.555555555555</v>
      </c>
    </row>
    <row r="105" spans="1:7" x14ac:dyDescent="0.25">
      <c r="A105" s="8">
        <v>42654.560972222222</v>
      </c>
      <c r="B105" s="23" t="s">
        <v>279</v>
      </c>
      <c r="C105" s="23" t="s">
        <v>473</v>
      </c>
      <c r="D105" s="23">
        <v>940000</v>
      </c>
      <c r="E105" s="23" t="s">
        <v>576</v>
      </c>
      <c r="F105" s="23" t="str">
        <f t="shared" si="2"/>
        <v>rtdc.l.rtdc.4040:itc</v>
      </c>
      <c r="G105" s="8">
        <f t="shared" si="3"/>
        <v>42654.560972222222</v>
      </c>
    </row>
    <row r="106" spans="1:7" x14ac:dyDescent="0.25">
      <c r="A106" s="8">
        <v>42654.562071759261</v>
      </c>
      <c r="B106" s="23" t="s">
        <v>231</v>
      </c>
      <c r="C106" s="23" t="s">
        <v>579</v>
      </c>
      <c r="D106" s="23">
        <v>1280000</v>
      </c>
      <c r="E106" s="23" t="s">
        <v>278</v>
      </c>
      <c r="F106" s="23" t="str">
        <f t="shared" si="2"/>
        <v>rtdc.l.rtdc.4008:itc</v>
      </c>
      <c r="G106" s="8">
        <f t="shared" si="3"/>
        <v>42654.562071759261</v>
      </c>
    </row>
    <row r="107" spans="1:7" x14ac:dyDescent="0.25">
      <c r="A107" s="8">
        <v>42654.56927083333</v>
      </c>
      <c r="B107" s="23" t="s">
        <v>275</v>
      </c>
      <c r="C107" s="23" t="s">
        <v>529</v>
      </c>
      <c r="D107" s="23">
        <v>1770000</v>
      </c>
      <c r="E107" s="23" t="s">
        <v>296</v>
      </c>
      <c r="F107" s="23" t="str">
        <f t="shared" si="2"/>
        <v>rtdc.l.rtdc.4043:itc</v>
      </c>
      <c r="G107" s="8">
        <f t="shared" si="3"/>
        <v>42654.56927083333</v>
      </c>
    </row>
    <row r="108" spans="1:7" x14ac:dyDescent="0.25">
      <c r="A108" s="8">
        <v>42654.572997685187</v>
      </c>
      <c r="B108" s="23" t="s">
        <v>298</v>
      </c>
      <c r="C108" s="23" t="s">
        <v>580</v>
      </c>
      <c r="D108" s="23">
        <v>2250000</v>
      </c>
      <c r="E108" s="23" t="s">
        <v>577</v>
      </c>
      <c r="F108" s="23" t="str">
        <f t="shared" si="2"/>
        <v>rtdc.l.rtdc.4029:itc</v>
      </c>
      <c r="G108" s="8">
        <f t="shared" si="3"/>
        <v>42654.572997685187</v>
      </c>
    </row>
    <row r="109" spans="1:7" x14ac:dyDescent="0.25">
      <c r="A109" s="8">
        <v>42654.577164351853</v>
      </c>
      <c r="B109" s="23" t="s">
        <v>224</v>
      </c>
      <c r="C109" s="23" t="s">
        <v>540</v>
      </c>
      <c r="D109" s="23">
        <v>880000</v>
      </c>
      <c r="E109" s="23" t="s">
        <v>268</v>
      </c>
      <c r="F109" s="23" t="str">
        <f t="shared" si="2"/>
        <v>rtdc.l.rtdc.4004:itc</v>
      </c>
      <c r="G109" s="8">
        <f t="shared" si="3"/>
        <v>42654.577164351853</v>
      </c>
    </row>
    <row r="110" spans="1:7" x14ac:dyDescent="0.25">
      <c r="A110" s="8">
        <v>42654.58457175926</v>
      </c>
      <c r="B110" s="23" t="s">
        <v>265</v>
      </c>
      <c r="C110" s="23" t="s">
        <v>581</v>
      </c>
      <c r="D110" s="23">
        <v>1540000</v>
      </c>
      <c r="E110" s="23" t="s">
        <v>575</v>
      </c>
      <c r="F110" s="23" t="str">
        <f t="shared" si="2"/>
        <v>rtdc.l.rtdc.4013:itc</v>
      </c>
      <c r="G110" s="8">
        <f t="shared" si="3"/>
        <v>42654.58457175926</v>
      </c>
    </row>
    <row r="111" spans="1:7" x14ac:dyDescent="0.25">
      <c r="A111" s="8">
        <v>42654.58488425926</v>
      </c>
      <c r="B111" s="23" t="s">
        <v>534</v>
      </c>
      <c r="C111" s="23" t="s">
        <v>541</v>
      </c>
      <c r="D111" s="23">
        <v>930000</v>
      </c>
      <c r="E111" s="23" t="s">
        <v>269</v>
      </c>
      <c r="F111" s="23" t="str">
        <f t="shared" si="2"/>
        <v>rtdc.l.rtdc.4016:itc</v>
      </c>
      <c r="G111" s="8">
        <f t="shared" si="3"/>
        <v>42654.58488425926</v>
      </c>
    </row>
    <row r="112" spans="1:7" x14ac:dyDescent="0.25">
      <c r="A112" s="8">
        <v>42654.591064814813</v>
      </c>
      <c r="B112" s="23" t="s">
        <v>571</v>
      </c>
      <c r="C112" s="23" t="s">
        <v>582</v>
      </c>
      <c r="D112" s="23">
        <v>1740000</v>
      </c>
      <c r="E112" s="23" t="s">
        <v>578</v>
      </c>
      <c r="F112" s="23" t="str">
        <f t="shared" si="2"/>
        <v>rtdc.l.rtdc.4053:itc</v>
      </c>
      <c r="G112" s="8">
        <f t="shared" si="3"/>
        <v>42654.591064814813</v>
      </c>
    </row>
    <row r="113" spans="1:7" x14ac:dyDescent="0.25">
      <c r="A113" s="8">
        <v>42654.592835648145</v>
      </c>
      <c r="B113" s="23" t="s">
        <v>294</v>
      </c>
      <c r="C113" s="23" t="s">
        <v>583</v>
      </c>
      <c r="D113" s="23">
        <v>940000</v>
      </c>
      <c r="E113" s="23" t="s">
        <v>576</v>
      </c>
      <c r="F113" s="23" t="str">
        <f t="shared" si="2"/>
        <v>rtdc.l.rtdc.4039:itc</v>
      </c>
      <c r="G113" s="8">
        <f t="shared" si="3"/>
        <v>42654.592835648145</v>
      </c>
    </row>
    <row r="114" spans="1:7" x14ac:dyDescent="0.25">
      <c r="A114" s="8">
        <v>42654.593310185184</v>
      </c>
      <c r="B114" s="23" t="s">
        <v>232</v>
      </c>
      <c r="C114" s="23" t="s">
        <v>539</v>
      </c>
      <c r="D114" s="23">
        <v>1770000</v>
      </c>
      <c r="E114" s="23" t="s">
        <v>296</v>
      </c>
      <c r="F114" s="23" t="str">
        <f t="shared" si="2"/>
        <v>rtdc.l.rtdc.4044:itc</v>
      </c>
      <c r="G114" s="8">
        <f t="shared" si="3"/>
        <v>42654.593310185184</v>
      </c>
    </row>
    <row r="115" spans="1:7" x14ac:dyDescent="0.25">
      <c r="A115" s="8">
        <v>42654.602129629631</v>
      </c>
      <c r="B115" s="23" t="s">
        <v>233</v>
      </c>
      <c r="C115" s="23" t="s">
        <v>584</v>
      </c>
      <c r="D115" s="23">
        <v>1280000</v>
      </c>
      <c r="E115" s="23" t="s">
        <v>278</v>
      </c>
      <c r="F115" s="23" t="str">
        <f t="shared" si="2"/>
        <v>rtdc.l.rtdc.4007:itc</v>
      </c>
      <c r="G115" s="8">
        <f t="shared" si="3"/>
        <v>42654.602129629631</v>
      </c>
    </row>
    <row r="116" spans="1:7" x14ac:dyDescent="0.25">
      <c r="A116" s="8">
        <v>42654.602592592593</v>
      </c>
      <c r="B116" s="23" t="s">
        <v>295</v>
      </c>
      <c r="C116" s="23" t="s">
        <v>543</v>
      </c>
      <c r="D116" s="23">
        <v>2250000</v>
      </c>
      <c r="E116" s="23" t="s">
        <v>577</v>
      </c>
      <c r="F116" s="23" t="str">
        <f t="shared" si="2"/>
        <v>rtdc.l.rtdc.4030:itc</v>
      </c>
      <c r="G116" s="8">
        <f t="shared" si="3"/>
        <v>42654.602592592593</v>
      </c>
    </row>
    <row r="117" spans="1:7" x14ac:dyDescent="0.25">
      <c r="A117" s="8">
        <v>42654.609293981484</v>
      </c>
      <c r="B117" s="23" t="s">
        <v>275</v>
      </c>
      <c r="C117" s="23" t="s">
        <v>542</v>
      </c>
      <c r="D117" s="23">
        <v>1770000</v>
      </c>
      <c r="E117" s="23" t="s">
        <v>296</v>
      </c>
      <c r="F117" s="23" t="str">
        <f t="shared" si="2"/>
        <v>rtdc.l.rtdc.4043:itc</v>
      </c>
      <c r="G117" s="8">
        <f t="shared" si="3"/>
        <v>42654.609293981484</v>
      </c>
    </row>
    <row r="118" spans="1:7" x14ac:dyDescent="0.25">
      <c r="A118" s="8">
        <v>42654.612997685188</v>
      </c>
      <c r="B118" s="23" t="s">
        <v>223</v>
      </c>
      <c r="C118" s="23" t="s">
        <v>545</v>
      </c>
      <c r="D118" s="23">
        <v>880000</v>
      </c>
      <c r="E118" s="23" t="s">
        <v>268</v>
      </c>
      <c r="F118" s="23" t="str">
        <f t="shared" si="2"/>
        <v>rtdc.l.rtdc.4003:itc</v>
      </c>
      <c r="G118" s="8">
        <f t="shared" si="3"/>
        <v>42654.612997685188</v>
      </c>
    </row>
    <row r="119" spans="1:7" x14ac:dyDescent="0.25">
      <c r="A119" s="8">
        <v>42654.622789351852</v>
      </c>
      <c r="B119" s="23" t="s">
        <v>270</v>
      </c>
      <c r="C119" s="23" t="s">
        <v>544</v>
      </c>
      <c r="D119" s="23">
        <v>1540000</v>
      </c>
      <c r="E119" s="23" t="s">
        <v>575</v>
      </c>
      <c r="F119" s="23" t="str">
        <f t="shared" si="2"/>
        <v>rtdc.l.rtdc.4014:itc</v>
      </c>
      <c r="G119" s="8">
        <f t="shared" si="3"/>
        <v>42654.622789351852</v>
      </c>
    </row>
    <row r="120" spans="1:7" x14ac:dyDescent="0.25">
      <c r="A120" s="8">
        <v>42654.627349537041</v>
      </c>
      <c r="B120" s="23" t="s">
        <v>537</v>
      </c>
      <c r="C120" s="23" t="s">
        <v>585</v>
      </c>
      <c r="D120" s="23">
        <v>930000</v>
      </c>
      <c r="E120" s="23" t="s">
        <v>269</v>
      </c>
      <c r="F120" s="23" t="str">
        <f t="shared" si="2"/>
        <v>rtdc.l.rtdc.4015:itc</v>
      </c>
      <c r="G120" s="8">
        <f t="shared" si="3"/>
        <v>42654.627349537041</v>
      </c>
    </row>
    <row r="121" spans="1:7" x14ac:dyDescent="0.25">
      <c r="A121" s="8">
        <v>42654.629791666666</v>
      </c>
      <c r="B121" s="23" t="s">
        <v>538</v>
      </c>
      <c r="C121" s="23" t="s">
        <v>546</v>
      </c>
      <c r="D121" s="23">
        <v>1740000</v>
      </c>
      <c r="E121" s="23" t="s">
        <v>578</v>
      </c>
      <c r="F121" s="23" t="str">
        <f t="shared" si="2"/>
        <v>rtdc.l.rtdc.4054:itc</v>
      </c>
      <c r="G121" s="8">
        <f t="shared" si="3"/>
        <v>42654.629791666666</v>
      </c>
    </row>
    <row r="122" spans="1:7" x14ac:dyDescent="0.25">
      <c r="A122" s="8">
        <v>42654.632650462961</v>
      </c>
      <c r="B122" s="28" t="s">
        <v>279</v>
      </c>
      <c r="C122" s="23" t="s">
        <v>586</v>
      </c>
      <c r="D122" s="23">
        <v>940000</v>
      </c>
      <c r="E122" s="23" t="s">
        <v>576</v>
      </c>
      <c r="F122" s="23" t="str">
        <f t="shared" si="2"/>
        <v>rtdc.l.rtdc.4040:itc</v>
      </c>
      <c r="G122" s="8">
        <f t="shared" si="3"/>
        <v>42654.632650462961</v>
      </c>
    </row>
    <row r="123" spans="1:7" x14ac:dyDescent="0.25">
      <c r="A123" s="8">
        <v>42654.63422453704</v>
      </c>
      <c r="B123" s="23" t="s">
        <v>232</v>
      </c>
      <c r="C123" s="23" t="s">
        <v>587</v>
      </c>
      <c r="D123" s="23">
        <v>1770000</v>
      </c>
      <c r="E123" s="23" t="s">
        <v>296</v>
      </c>
      <c r="F123" s="23" t="str">
        <f t="shared" si="2"/>
        <v>rtdc.l.rtdc.4044:itc</v>
      </c>
      <c r="G123" s="8">
        <f t="shared" si="3"/>
        <v>42654.63422453704</v>
      </c>
    </row>
    <row r="124" spans="1:7" x14ac:dyDescent="0.25">
      <c r="A124" s="8">
        <v>42654.634918981479</v>
      </c>
      <c r="B124" s="23" t="s">
        <v>231</v>
      </c>
      <c r="C124" s="23" t="s">
        <v>588</v>
      </c>
      <c r="D124" s="23">
        <v>1280000</v>
      </c>
      <c r="E124" s="23" t="s">
        <v>278</v>
      </c>
      <c r="F124" s="23" t="str">
        <f t="shared" si="2"/>
        <v>rtdc.l.rtdc.4008:itc</v>
      </c>
      <c r="G124" s="8">
        <f t="shared" si="3"/>
        <v>42654.634918981479</v>
      </c>
    </row>
    <row r="125" spans="1:7" x14ac:dyDescent="0.25">
      <c r="A125" s="8">
        <v>42654.640208333331</v>
      </c>
      <c r="B125" s="23" t="s">
        <v>210</v>
      </c>
      <c r="C125" s="23" t="s">
        <v>589</v>
      </c>
      <c r="D125" s="23">
        <v>1480000</v>
      </c>
      <c r="E125" s="23" t="s">
        <v>215</v>
      </c>
      <c r="F125" s="23" t="str">
        <f t="shared" si="2"/>
        <v>rtdc.l.rtdc.4017:itc</v>
      </c>
      <c r="G125" s="8">
        <f t="shared" si="3"/>
        <v>42654.640208333331</v>
      </c>
    </row>
    <row r="126" spans="1:7" x14ac:dyDescent="0.25">
      <c r="A126" s="8">
        <v>42654.646365740744</v>
      </c>
      <c r="B126" s="23" t="s">
        <v>570</v>
      </c>
      <c r="C126" s="23" t="s">
        <v>590</v>
      </c>
      <c r="D126" s="23">
        <v>2360000</v>
      </c>
      <c r="E126" s="23" t="s">
        <v>591</v>
      </c>
      <c r="F126" s="23" t="str">
        <f t="shared" si="2"/>
        <v>rtdc.l.rtdc.4031:itc</v>
      </c>
      <c r="G126" s="8">
        <f t="shared" si="3"/>
        <v>42654.646365740744</v>
      </c>
    </row>
    <row r="127" spans="1:7" x14ac:dyDescent="0.25">
      <c r="A127" s="8">
        <v>42654.647557870368</v>
      </c>
      <c r="B127" s="23" t="s">
        <v>298</v>
      </c>
      <c r="C127" s="23" t="s">
        <v>547</v>
      </c>
      <c r="D127" s="23">
        <v>2250000</v>
      </c>
      <c r="E127" s="23" t="s">
        <v>577</v>
      </c>
      <c r="F127" s="23" t="str">
        <f t="shared" si="2"/>
        <v>rtdc.l.rtdc.4029:itc</v>
      </c>
      <c r="G127" s="8">
        <f t="shared" si="3"/>
        <v>42654.647557870368</v>
      </c>
    </row>
    <row r="128" spans="1:7" x14ac:dyDescent="0.25">
      <c r="A128" s="8">
        <v>42654.651331018518</v>
      </c>
      <c r="B128" s="23" t="s">
        <v>275</v>
      </c>
      <c r="C128" s="23" t="s">
        <v>592</v>
      </c>
      <c r="D128" s="23">
        <v>1770000</v>
      </c>
      <c r="E128" s="23" t="s">
        <v>296</v>
      </c>
      <c r="F128" s="23" t="str">
        <f t="shared" si="2"/>
        <v>rtdc.l.rtdc.4043:itc</v>
      </c>
      <c r="G128" s="8">
        <f t="shared" si="3"/>
        <v>42654.651331018518</v>
      </c>
    </row>
    <row r="129" spans="1:7" x14ac:dyDescent="0.25">
      <c r="A129" s="8">
        <v>42654.652777777781</v>
      </c>
      <c r="B129" s="23" t="s">
        <v>224</v>
      </c>
      <c r="C129" s="23" t="s">
        <v>548</v>
      </c>
      <c r="D129" s="23">
        <v>880000</v>
      </c>
      <c r="E129" s="23" t="s">
        <v>268</v>
      </c>
      <c r="F129" s="23" t="str">
        <f t="shared" si="2"/>
        <v>rtdc.l.rtdc.4004:itc</v>
      </c>
      <c r="G129" s="8">
        <f t="shared" si="3"/>
        <v>42654.652777777781</v>
      </c>
    </row>
    <row r="130" spans="1:7" x14ac:dyDescent="0.25">
      <c r="A130" s="8">
        <v>42654.654710648145</v>
      </c>
      <c r="B130" s="23" t="s">
        <v>211</v>
      </c>
      <c r="C130" s="23" t="s">
        <v>593</v>
      </c>
      <c r="D130" s="23">
        <v>1480000</v>
      </c>
      <c r="E130" s="23" t="s">
        <v>215</v>
      </c>
      <c r="F130" s="23" t="str">
        <f t="shared" ref="F130:F193" si="4">B130</f>
        <v>rtdc.l.rtdc.4018:itc</v>
      </c>
      <c r="G130" s="8">
        <f t="shared" ref="G130:G193" si="5">A130</f>
        <v>42654.654710648145</v>
      </c>
    </row>
    <row r="131" spans="1:7" x14ac:dyDescent="0.25">
      <c r="A131" s="8">
        <v>42654.657280092593</v>
      </c>
      <c r="B131" s="23" t="s">
        <v>265</v>
      </c>
      <c r="C131" s="23" t="s">
        <v>594</v>
      </c>
      <c r="D131" s="23">
        <v>1540000</v>
      </c>
      <c r="E131" s="23" t="s">
        <v>575</v>
      </c>
      <c r="F131" s="23" t="str">
        <f t="shared" si="4"/>
        <v>rtdc.l.rtdc.4013:itc</v>
      </c>
      <c r="G131" s="8">
        <f t="shared" si="5"/>
        <v>42654.657280092593</v>
      </c>
    </row>
    <row r="132" spans="1:7" x14ac:dyDescent="0.25">
      <c r="A132" s="8">
        <v>42654.664930555555</v>
      </c>
      <c r="B132" s="23" t="s">
        <v>571</v>
      </c>
      <c r="C132" s="23" t="s">
        <v>595</v>
      </c>
      <c r="D132" s="23">
        <v>1740000</v>
      </c>
      <c r="E132" s="23" t="s">
        <v>578</v>
      </c>
      <c r="F132" s="23" t="str">
        <f t="shared" si="4"/>
        <v>rtdc.l.rtdc.4053:itc</v>
      </c>
      <c r="G132" s="8">
        <f t="shared" si="5"/>
        <v>42654.664930555555</v>
      </c>
    </row>
    <row r="133" spans="1:7" x14ac:dyDescent="0.25">
      <c r="A133" s="8">
        <v>42654.666828703703</v>
      </c>
      <c r="B133" s="23" t="s">
        <v>294</v>
      </c>
      <c r="C133" s="23" t="s">
        <v>596</v>
      </c>
      <c r="D133" s="23">
        <v>940000</v>
      </c>
      <c r="E133" s="23" t="s">
        <v>576</v>
      </c>
      <c r="F133" s="23" t="str">
        <f t="shared" si="4"/>
        <v>rtdc.l.rtdc.4039:itc</v>
      </c>
      <c r="G133" s="8">
        <f t="shared" si="5"/>
        <v>42654.666828703703</v>
      </c>
    </row>
    <row r="134" spans="1:7" x14ac:dyDescent="0.25">
      <c r="A134" s="8">
        <v>42654.672812500001</v>
      </c>
      <c r="B134" s="23" t="s">
        <v>210</v>
      </c>
      <c r="C134" s="23" t="s">
        <v>597</v>
      </c>
      <c r="D134" s="23">
        <v>1480000</v>
      </c>
      <c r="E134" s="23" t="s">
        <v>215</v>
      </c>
      <c r="F134" s="23" t="str">
        <f t="shared" si="4"/>
        <v>rtdc.l.rtdc.4017:itc</v>
      </c>
      <c r="G134" s="8">
        <f t="shared" si="5"/>
        <v>42654.672812500001</v>
      </c>
    </row>
    <row r="135" spans="1:7" x14ac:dyDescent="0.25">
      <c r="A135" s="8">
        <v>42654.676030092596</v>
      </c>
      <c r="B135" s="23" t="s">
        <v>233</v>
      </c>
      <c r="C135" s="23" t="s">
        <v>598</v>
      </c>
      <c r="D135" s="23">
        <v>1280000</v>
      </c>
      <c r="E135" s="23" t="s">
        <v>278</v>
      </c>
      <c r="F135" s="23" t="str">
        <f t="shared" si="4"/>
        <v>rtdc.l.rtdc.4007:itc</v>
      </c>
      <c r="G135" s="8">
        <f t="shared" si="5"/>
        <v>42654.676030092596</v>
      </c>
    </row>
    <row r="136" spans="1:7" x14ac:dyDescent="0.25">
      <c r="A136" s="8">
        <v>42654.676145833335</v>
      </c>
      <c r="B136" s="23" t="s">
        <v>232</v>
      </c>
      <c r="C136" s="23" t="s">
        <v>599</v>
      </c>
      <c r="D136" s="23">
        <v>1770000</v>
      </c>
      <c r="E136" s="23" t="s">
        <v>296</v>
      </c>
      <c r="F136" s="23" t="str">
        <f t="shared" si="4"/>
        <v>rtdc.l.rtdc.4044:itc</v>
      </c>
      <c r="G136" s="8">
        <f t="shared" si="5"/>
        <v>42654.676145833335</v>
      </c>
    </row>
    <row r="137" spans="1:7" x14ac:dyDescent="0.25">
      <c r="A137" s="8">
        <v>42654.677048611113</v>
      </c>
      <c r="B137" s="23" t="s">
        <v>295</v>
      </c>
      <c r="C137" s="23" t="s">
        <v>600</v>
      </c>
      <c r="D137" s="23">
        <v>2250000</v>
      </c>
      <c r="E137" s="23" t="s">
        <v>577</v>
      </c>
      <c r="F137" s="23" t="str">
        <f t="shared" si="4"/>
        <v>rtdc.l.rtdc.4030:itc</v>
      </c>
      <c r="G137" s="8">
        <f t="shared" si="5"/>
        <v>42654.677048611113</v>
      </c>
    </row>
    <row r="138" spans="1:7" x14ac:dyDescent="0.25">
      <c r="A138" s="8">
        <v>42654.685740740744</v>
      </c>
      <c r="B138" s="23" t="s">
        <v>223</v>
      </c>
      <c r="C138" s="23" t="s">
        <v>601</v>
      </c>
      <c r="D138" s="23">
        <v>880000</v>
      </c>
      <c r="E138" s="23" t="s">
        <v>268</v>
      </c>
      <c r="F138" s="23" t="str">
        <f t="shared" si="4"/>
        <v>rtdc.l.rtdc.4003:itc</v>
      </c>
      <c r="G138" s="8">
        <f t="shared" si="5"/>
        <v>42654.685740740744</v>
      </c>
    </row>
    <row r="139" spans="1:7" x14ac:dyDescent="0.25">
      <c r="A139" s="8">
        <v>42654.687650462962</v>
      </c>
      <c r="B139" s="23" t="s">
        <v>559</v>
      </c>
      <c r="C139" s="23" t="s">
        <v>602</v>
      </c>
      <c r="D139" s="23">
        <v>2360000</v>
      </c>
      <c r="E139" s="23" t="s">
        <v>591</v>
      </c>
      <c r="F139" s="23" t="str">
        <f t="shared" si="4"/>
        <v>rtdc.l.rtdc.4032:itc</v>
      </c>
      <c r="G139" s="8">
        <f t="shared" si="5"/>
        <v>42654.687650462962</v>
      </c>
    </row>
    <row r="140" spans="1:7" x14ac:dyDescent="0.25">
      <c r="A140" s="8">
        <v>42654.692870370367</v>
      </c>
      <c r="B140" s="23" t="s">
        <v>275</v>
      </c>
      <c r="C140" s="23" t="s">
        <v>603</v>
      </c>
      <c r="D140" s="23">
        <v>1770000</v>
      </c>
      <c r="E140" s="23" t="s">
        <v>296</v>
      </c>
      <c r="F140" s="23" t="str">
        <f t="shared" si="4"/>
        <v>rtdc.l.rtdc.4043:itc</v>
      </c>
      <c r="G140" s="8">
        <f t="shared" si="5"/>
        <v>42654.692870370367</v>
      </c>
    </row>
    <row r="141" spans="1:7" x14ac:dyDescent="0.25">
      <c r="A141" s="8">
        <v>42654.69636574074</v>
      </c>
      <c r="B141" s="23" t="s">
        <v>211</v>
      </c>
      <c r="C141" s="23" t="s">
        <v>604</v>
      </c>
      <c r="D141" s="23">
        <v>1480000</v>
      </c>
      <c r="E141" s="23" t="s">
        <v>215</v>
      </c>
      <c r="F141" s="23" t="str">
        <f t="shared" si="4"/>
        <v>rtdc.l.rtdc.4018:itc</v>
      </c>
      <c r="G141" s="8">
        <f t="shared" si="5"/>
        <v>42654.69636574074</v>
      </c>
    </row>
    <row r="142" spans="1:7" x14ac:dyDescent="0.25">
      <c r="A142" s="8">
        <v>42654.696597222224</v>
      </c>
      <c r="B142" s="23" t="s">
        <v>270</v>
      </c>
      <c r="C142" s="23" t="s">
        <v>605</v>
      </c>
      <c r="D142" s="23">
        <v>1540000</v>
      </c>
      <c r="E142" s="23" t="s">
        <v>575</v>
      </c>
      <c r="F142" s="23" t="str">
        <f t="shared" si="4"/>
        <v>rtdc.l.rtdc.4014:itc</v>
      </c>
      <c r="G142" s="8">
        <f t="shared" si="5"/>
        <v>42654.696597222224</v>
      </c>
    </row>
    <row r="143" spans="1:7" x14ac:dyDescent="0.25">
      <c r="A143" s="8">
        <v>42654.697962962964</v>
      </c>
      <c r="B143" s="23" t="s">
        <v>264</v>
      </c>
      <c r="C143" s="23" t="s">
        <v>549</v>
      </c>
      <c r="D143" s="23">
        <v>1180000</v>
      </c>
      <c r="E143" s="23" t="s">
        <v>213</v>
      </c>
      <c r="F143" s="23" t="str">
        <f t="shared" si="4"/>
        <v>rtdc.l.rtdc.4019:itc</v>
      </c>
      <c r="G143" s="8">
        <f t="shared" si="5"/>
        <v>42654.697962962964</v>
      </c>
    </row>
    <row r="144" spans="1:7" x14ac:dyDescent="0.25">
      <c r="A144" s="8">
        <v>42654.70076388889</v>
      </c>
      <c r="B144" s="23" t="s">
        <v>538</v>
      </c>
      <c r="C144" s="23" t="s">
        <v>606</v>
      </c>
      <c r="D144" s="23">
        <v>1740000</v>
      </c>
      <c r="E144" s="23" t="s">
        <v>578</v>
      </c>
      <c r="F144" s="23" t="str">
        <f t="shared" si="4"/>
        <v>rtdc.l.rtdc.4054:itc</v>
      </c>
      <c r="G144" s="8">
        <f t="shared" si="5"/>
        <v>42654.70076388889</v>
      </c>
    </row>
    <row r="145" spans="1:7" x14ac:dyDescent="0.25">
      <c r="A145" s="8">
        <v>42654.704675925925</v>
      </c>
      <c r="B145" s="23" t="s">
        <v>279</v>
      </c>
      <c r="C145" s="23" t="s">
        <v>607</v>
      </c>
      <c r="D145" s="23">
        <v>940000</v>
      </c>
      <c r="E145" s="23" t="s">
        <v>576</v>
      </c>
      <c r="F145" s="23" t="str">
        <f t="shared" si="4"/>
        <v>rtdc.l.rtdc.4040:itc</v>
      </c>
      <c r="G145" s="8">
        <f t="shared" si="5"/>
        <v>42654.704675925925</v>
      </c>
    </row>
    <row r="146" spans="1:7" x14ac:dyDescent="0.25">
      <c r="A146" s="8">
        <v>42654.706817129627</v>
      </c>
      <c r="B146" s="23" t="s">
        <v>231</v>
      </c>
      <c r="C146" s="23" t="s">
        <v>552</v>
      </c>
      <c r="D146" s="23">
        <v>1280000</v>
      </c>
      <c r="E146" s="23" t="s">
        <v>278</v>
      </c>
      <c r="F146" s="23" t="str">
        <f t="shared" si="4"/>
        <v>rtdc.l.rtdc.4008:itc</v>
      </c>
      <c r="G146" s="8">
        <f t="shared" si="5"/>
        <v>42654.706817129627</v>
      </c>
    </row>
    <row r="147" spans="1:7" x14ac:dyDescent="0.25">
      <c r="A147" s="8">
        <v>42654.714687500003</v>
      </c>
      <c r="B147" s="23" t="s">
        <v>210</v>
      </c>
      <c r="C147" s="23" t="s">
        <v>608</v>
      </c>
      <c r="D147" s="23">
        <v>1480000</v>
      </c>
      <c r="E147" s="23" t="s">
        <v>215</v>
      </c>
      <c r="F147" s="23" t="str">
        <f t="shared" si="4"/>
        <v>rtdc.l.rtdc.4017:itc</v>
      </c>
      <c r="G147" s="8">
        <f t="shared" si="5"/>
        <v>42654.714687500003</v>
      </c>
    </row>
    <row r="148" spans="1:7" x14ac:dyDescent="0.25">
      <c r="A148" s="8">
        <v>42654.718310185184</v>
      </c>
      <c r="B148" s="23" t="s">
        <v>298</v>
      </c>
      <c r="C148" s="23" t="s">
        <v>609</v>
      </c>
      <c r="D148" s="23">
        <v>1180000</v>
      </c>
      <c r="E148" s="23" t="s">
        <v>213</v>
      </c>
      <c r="F148" s="23" t="str">
        <f t="shared" si="4"/>
        <v>rtdc.l.rtdc.4029:itc</v>
      </c>
      <c r="G148" s="8">
        <f t="shared" si="5"/>
        <v>42654.718310185184</v>
      </c>
    </row>
    <row r="149" spans="1:7" x14ac:dyDescent="0.25">
      <c r="A149" s="8">
        <v>42654.720000000001</v>
      </c>
      <c r="B149" s="23" t="s">
        <v>232</v>
      </c>
      <c r="C149" s="23" t="s">
        <v>610</v>
      </c>
      <c r="D149" s="23">
        <v>1770000</v>
      </c>
      <c r="E149" s="23" t="s">
        <v>296</v>
      </c>
      <c r="F149" s="23" t="str">
        <f t="shared" si="4"/>
        <v>rtdc.l.rtdc.4044:itc</v>
      </c>
      <c r="G149" s="8">
        <f t="shared" si="5"/>
        <v>42654.720000000001</v>
      </c>
    </row>
    <row r="150" spans="1:7" x14ac:dyDescent="0.25">
      <c r="A150" s="8">
        <v>42654.724027777775</v>
      </c>
      <c r="B150" s="23" t="s">
        <v>224</v>
      </c>
      <c r="C150" s="23" t="s">
        <v>611</v>
      </c>
      <c r="D150" s="23">
        <v>880000</v>
      </c>
      <c r="E150" s="23" t="s">
        <v>268</v>
      </c>
      <c r="F150" s="23" t="str">
        <f t="shared" si="4"/>
        <v>rtdc.l.rtdc.4004:itc</v>
      </c>
      <c r="G150" s="8">
        <f t="shared" si="5"/>
        <v>42654.724027777775</v>
      </c>
    </row>
    <row r="151" spans="1:7" x14ac:dyDescent="0.25">
      <c r="A151" s="8">
        <v>42654.724456018521</v>
      </c>
      <c r="B151" s="23" t="s">
        <v>265</v>
      </c>
      <c r="C151" s="23" t="s">
        <v>612</v>
      </c>
      <c r="D151" s="23">
        <v>1540000</v>
      </c>
      <c r="E151" s="23" t="s">
        <v>575</v>
      </c>
      <c r="F151" s="23" t="str">
        <f t="shared" si="4"/>
        <v>rtdc.l.rtdc.4013:itc</v>
      </c>
      <c r="G151" s="8">
        <f t="shared" si="5"/>
        <v>42654.724456018521</v>
      </c>
    </row>
    <row r="152" spans="1:7" x14ac:dyDescent="0.25">
      <c r="A152" s="8">
        <v>42654.726122685184</v>
      </c>
      <c r="B152" s="23" t="s">
        <v>263</v>
      </c>
      <c r="C152" s="23" t="s">
        <v>613</v>
      </c>
      <c r="D152" s="23">
        <v>930000</v>
      </c>
      <c r="E152" s="23" t="s">
        <v>269</v>
      </c>
      <c r="F152" s="23" t="str">
        <f t="shared" si="4"/>
        <v>rtdc.l.rtdc.4020:itc</v>
      </c>
      <c r="G152" s="8">
        <f t="shared" si="5"/>
        <v>42654.726122685184</v>
      </c>
    </row>
    <row r="153" spans="1:7" x14ac:dyDescent="0.25">
      <c r="A153" s="8">
        <v>42654.727662037039</v>
      </c>
      <c r="B153" s="23" t="s">
        <v>570</v>
      </c>
      <c r="C153" s="23" t="s">
        <v>614</v>
      </c>
      <c r="D153" s="23">
        <v>2250000</v>
      </c>
      <c r="E153" s="23" t="s">
        <v>577</v>
      </c>
      <c r="F153" s="23" t="str">
        <f t="shared" si="4"/>
        <v>rtdc.l.rtdc.4031:itc</v>
      </c>
      <c r="G153" s="8">
        <f t="shared" si="5"/>
        <v>42654.727662037039</v>
      </c>
    </row>
    <row r="154" spans="1:7" x14ac:dyDescent="0.25">
      <c r="A154" s="8">
        <v>42654.7344212963</v>
      </c>
      <c r="B154" s="23" t="s">
        <v>275</v>
      </c>
      <c r="C154" s="23" t="s">
        <v>615</v>
      </c>
      <c r="D154" s="23">
        <v>1770000</v>
      </c>
      <c r="E154" s="23" t="s">
        <v>296</v>
      </c>
      <c r="F154" s="23" t="str">
        <f t="shared" si="4"/>
        <v>rtdc.l.rtdc.4043:itc</v>
      </c>
      <c r="G154" s="8">
        <f t="shared" si="5"/>
        <v>42654.7344212963</v>
      </c>
    </row>
    <row r="155" spans="1:7" x14ac:dyDescent="0.25">
      <c r="A155" s="8">
        <v>42654.735023148147</v>
      </c>
      <c r="B155" s="23" t="s">
        <v>274</v>
      </c>
      <c r="C155" s="23" t="s">
        <v>550</v>
      </c>
      <c r="D155" s="23">
        <v>1230000</v>
      </c>
      <c r="E155" s="23" t="s">
        <v>319</v>
      </c>
      <c r="F155" s="23" t="str">
        <f t="shared" si="4"/>
        <v>rtdc.l.rtdc.4028:itc</v>
      </c>
      <c r="G155" s="8">
        <f t="shared" si="5"/>
        <v>42654.735023148147</v>
      </c>
    </row>
    <row r="156" spans="1:7" x14ac:dyDescent="0.25">
      <c r="A156" s="8">
        <v>42654.736145833333</v>
      </c>
      <c r="B156" s="23" t="s">
        <v>571</v>
      </c>
      <c r="C156" s="23" t="s">
        <v>616</v>
      </c>
      <c r="D156" s="23">
        <v>1290000</v>
      </c>
      <c r="E156" s="23" t="s">
        <v>297</v>
      </c>
      <c r="F156" s="23" t="str">
        <f t="shared" si="4"/>
        <v>rtdc.l.rtdc.4053:itc</v>
      </c>
      <c r="G156" s="8">
        <f t="shared" si="5"/>
        <v>42654.736145833333</v>
      </c>
    </row>
    <row r="157" spans="1:7" x14ac:dyDescent="0.25">
      <c r="A157" s="8">
        <v>42654.736550925925</v>
      </c>
      <c r="B157" s="23" t="s">
        <v>240</v>
      </c>
      <c r="C157" s="23" t="s">
        <v>617</v>
      </c>
      <c r="D157" s="23">
        <v>140000</v>
      </c>
      <c r="E157" s="23" t="s">
        <v>235</v>
      </c>
      <c r="F157" s="23" t="str">
        <f t="shared" si="4"/>
        <v>rtdc.l.rtdc.4045:itc</v>
      </c>
      <c r="G157" s="8">
        <f t="shared" si="5"/>
        <v>42654.736550925925</v>
      </c>
    </row>
    <row r="158" spans="1:7" x14ac:dyDescent="0.25">
      <c r="A158" s="8">
        <v>42654.738564814812</v>
      </c>
      <c r="B158" s="23" t="s">
        <v>211</v>
      </c>
      <c r="C158" s="23" t="s">
        <v>553</v>
      </c>
      <c r="D158" s="23">
        <v>1480000</v>
      </c>
      <c r="E158" s="23" t="s">
        <v>215</v>
      </c>
      <c r="F158" s="23" t="str">
        <f t="shared" si="4"/>
        <v>rtdc.l.rtdc.4018:itc</v>
      </c>
      <c r="G158" s="8">
        <f t="shared" si="5"/>
        <v>42654.738564814812</v>
      </c>
    </row>
    <row r="159" spans="1:7" x14ac:dyDescent="0.25">
      <c r="A159" s="8">
        <v>42654.739062499997</v>
      </c>
      <c r="B159" s="23" t="s">
        <v>294</v>
      </c>
      <c r="C159" s="23" t="s">
        <v>618</v>
      </c>
      <c r="D159" s="23">
        <v>940000</v>
      </c>
      <c r="E159" s="23" t="s">
        <v>576</v>
      </c>
      <c r="F159" s="23" t="str">
        <f t="shared" si="4"/>
        <v>rtdc.l.rtdc.4039:itc</v>
      </c>
      <c r="G159" s="8">
        <f t="shared" si="5"/>
        <v>42654.739062499997</v>
      </c>
    </row>
    <row r="160" spans="1:7" x14ac:dyDescent="0.25">
      <c r="A160" s="8">
        <v>42654.740520833337</v>
      </c>
      <c r="B160" s="23" t="s">
        <v>274</v>
      </c>
      <c r="C160" s="23" t="s">
        <v>550</v>
      </c>
      <c r="D160" s="23">
        <v>1230000</v>
      </c>
      <c r="E160" s="23" t="s">
        <v>319</v>
      </c>
      <c r="F160" s="23" t="str">
        <f t="shared" si="4"/>
        <v>rtdc.l.rtdc.4028:itc</v>
      </c>
      <c r="G160" s="8">
        <f t="shared" si="5"/>
        <v>42654.740520833337</v>
      </c>
    </row>
    <row r="161" spans="1:7" x14ac:dyDescent="0.25">
      <c r="A161" s="8">
        <v>42654.740914351853</v>
      </c>
      <c r="B161" s="23" t="s">
        <v>534</v>
      </c>
      <c r="C161" s="23" t="s">
        <v>619</v>
      </c>
      <c r="D161" s="23">
        <v>2360000</v>
      </c>
      <c r="E161" s="23" t="s">
        <v>591</v>
      </c>
      <c r="F161" s="23" t="str">
        <f t="shared" si="4"/>
        <v>rtdc.l.rtdc.4016:itc</v>
      </c>
      <c r="G161" s="8">
        <f t="shared" si="5"/>
        <v>42654.740914351853</v>
      </c>
    </row>
    <row r="162" spans="1:7" x14ac:dyDescent="0.25">
      <c r="A162" s="8">
        <v>42654.746851851851</v>
      </c>
      <c r="B162" s="23" t="s">
        <v>233</v>
      </c>
      <c r="C162" s="23" t="s">
        <v>620</v>
      </c>
      <c r="D162" s="23">
        <v>1740000</v>
      </c>
      <c r="E162" s="23" t="s">
        <v>578</v>
      </c>
      <c r="F162" s="23" t="str">
        <f t="shared" si="4"/>
        <v>rtdc.l.rtdc.4007:itc</v>
      </c>
      <c r="G162" s="8">
        <f t="shared" si="5"/>
        <v>42654.746851851851</v>
      </c>
    </row>
    <row r="163" spans="1:7" x14ac:dyDescent="0.25">
      <c r="A163" s="8">
        <v>42654.752384259256</v>
      </c>
      <c r="B163" s="23" t="s">
        <v>295</v>
      </c>
      <c r="C163" s="23" t="s">
        <v>621</v>
      </c>
      <c r="D163" s="23">
        <v>1180000</v>
      </c>
      <c r="E163" s="23" t="s">
        <v>213</v>
      </c>
      <c r="F163" s="23" t="str">
        <f t="shared" si="4"/>
        <v>rtdc.l.rtdc.4030:itc</v>
      </c>
      <c r="G163" s="8">
        <f t="shared" si="5"/>
        <v>42654.752384259256</v>
      </c>
    </row>
    <row r="164" spans="1:7" x14ac:dyDescent="0.25">
      <c r="A164" s="8">
        <v>42654.756435185183</v>
      </c>
      <c r="B164" s="23" t="s">
        <v>210</v>
      </c>
      <c r="C164" s="23" t="s">
        <v>622</v>
      </c>
      <c r="D164" s="23">
        <v>1480000</v>
      </c>
      <c r="E164" s="23" t="s">
        <v>215</v>
      </c>
      <c r="F164" s="23" t="str">
        <f t="shared" si="4"/>
        <v>rtdc.l.rtdc.4017:itc</v>
      </c>
      <c r="G164" s="8">
        <f t="shared" si="5"/>
        <v>42654.756435185183</v>
      </c>
    </row>
    <row r="165" spans="1:7" x14ac:dyDescent="0.25">
      <c r="A165" s="8">
        <v>42654.758136574077</v>
      </c>
      <c r="B165" s="23" t="s">
        <v>223</v>
      </c>
      <c r="C165" s="23" t="s">
        <v>623</v>
      </c>
      <c r="D165" s="23">
        <v>1230000</v>
      </c>
      <c r="E165" s="23" t="s">
        <v>319</v>
      </c>
      <c r="F165" s="23" t="str">
        <f t="shared" si="4"/>
        <v>rtdc.l.rtdc.4003:itc</v>
      </c>
      <c r="G165" s="8">
        <f t="shared" si="5"/>
        <v>42654.758136574077</v>
      </c>
    </row>
    <row r="166" spans="1:7" x14ac:dyDescent="0.25">
      <c r="A166" s="8">
        <v>42654.758935185186</v>
      </c>
      <c r="B166" s="23" t="s">
        <v>232</v>
      </c>
      <c r="C166" s="23" t="s">
        <v>554</v>
      </c>
      <c r="D166" s="23">
        <v>1770000</v>
      </c>
      <c r="E166" s="23" t="s">
        <v>296</v>
      </c>
      <c r="F166" s="23" t="str">
        <f t="shared" si="4"/>
        <v>rtdc.l.rtdc.4044:itc</v>
      </c>
      <c r="G166" s="8">
        <f t="shared" si="5"/>
        <v>42654.758935185186</v>
      </c>
    </row>
    <row r="167" spans="1:7" x14ac:dyDescent="0.25">
      <c r="A167" s="8">
        <v>42654.759363425925</v>
      </c>
      <c r="B167" s="23" t="s">
        <v>559</v>
      </c>
      <c r="C167" s="23" t="s">
        <v>624</v>
      </c>
      <c r="D167" s="23">
        <v>2250000</v>
      </c>
      <c r="E167" s="23" t="s">
        <v>577</v>
      </c>
      <c r="F167" s="23" t="str">
        <f t="shared" si="4"/>
        <v>rtdc.l.rtdc.4032:itc</v>
      </c>
      <c r="G167" s="8">
        <f t="shared" si="5"/>
        <v>42654.759363425925</v>
      </c>
    </row>
    <row r="168" spans="1:7" x14ac:dyDescent="0.25">
      <c r="A168" s="8">
        <v>42654.763761574075</v>
      </c>
      <c r="B168" s="23" t="s">
        <v>277</v>
      </c>
      <c r="C168" s="23" t="s">
        <v>625</v>
      </c>
      <c r="D168" s="23">
        <v>880000</v>
      </c>
      <c r="E168" s="23" t="s">
        <v>268</v>
      </c>
      <c r="F168" s="23" t="str">
        <f t="shared" si="4"/>
        <v>rtdc.l.rtdc.4027:itc</v>
      </c>
      <c r="G168" s="8">
        <f t="shared" si="5"/>
        <v>42654.763761574075</v>
      </c>
    </row>
    <row r="169" spans="1:7" x14ac:dyDescent="0.25">
      <c r="A169" s="8">
        <v>42654.769756944443</v>
      </c>
      <c r="B169" s="23" t="s">
        <v>270</v>
      </c>
      <c r="C169" s="23" t="s">
        <v>626</v>
      </c>
      <c r="D169" s="23">
        <v>1800000</v>
      </c>
      <c r="E169" s="23" t="s">
        <v>272</v>
      </c>
      <c r="F169" s="23" t="str">
        <f t="shared" si="4"/>
        <v>rtdc.l.rtdc.4014:itc</v>
      </c>
      <c r="G169" s="8">
        <f t="shared" si="5"/>
        <v>42654.769756944443</v>
      </c>
    </row>
    <row r="170" spans="1:7" x14ac:dyDescent="0.25">
      <c r="A170" s="8">
        <v>42654.773252314815</v>
      </c>
      <c r="B170" s="23" t="s">
        <v>538</v>
      </c>
      <c r="C170" s="23" t="s">
        <v>627</v>
      </c>
      <c r="D170" s="23">
        <v>1290000</v>
      </c>
      <c r="E170" s="23" t="s">
        <v>297</v>
      </c>
      <c r="F170" s="23" t="str">
        <f t="shared" si="4"/>
        <v>rtdc.l.rtdc.4054:itc</v>
      </c>
      <c r="G170" s="8">
        <f t="shared" si="5"/>
        <v>42654.773252314815</v>
      </c>
    </row>
    <row r="171" spans="1:7" x14ac:dyDescent="0.25">
      <c r="A171" s="8">
        <v>42654.776944444442</v>
      </c>
      <c r="B171" s="23" t="s">
        <v>275</v>
      </c>
      <c r="C171" s="23" t="s">
        <v>628</v>
      </c>
      <c r="D171" s="23">
        <v>1770000</v>
      </c>
      <c r="E171" s="23" t="s">
        <v>296</v>
      </c>
      <c r="F171" s="23" t="str">
        <f t="shared" si="4"/>
        <v>rtdc.l.rtdc.4043:itc</v>
      </c>
      <c r="G171" s="8">
        <f t="shared" si="5"/>
        <v>42654.776944444442</v>
      </c>
    </row>
    <row r="172" spans="1:7" x14ac:dyDescent="0.25">
      <c r="A172" s="8">
        <v>42654.777743055558</v>
      </c>
      <c r="B172" s="23" t="s">
        <v>279</v>
      </c>
      <c r="C172" s="23" t="s">
        <v>629</v>
      </c>
      <c r="D172" s="23">
        <v>940000</v>
      </c>
      <c r="E172" s="23" t="s">
        <v>576</v>
      </c>
      <c r="F172" s="23" t="str">
        <f t="shared" si="4"/>
        <v>rtdc.l.rtdc.4040:itc</v>
      </c>
      <c r="G172" s="8">
        <f t="shared" si="5"/>
        <v>42654.777743055558</v>
      </c>
    </row>
    <row r="173" spans="1:7" x14ac:dyDescent="0.25">
      <c r="A173" s="8">
        <v>42654.779340277775</v>
      </c>
      <c r="B173" s="23" t="s">
        <v>211</v>
      </c>
      <c r="C173" s="23" t="s">
        <v>630</v>
      </c>
      <c r="D173" s="23">
        <v>1480000</v>
      </c>
      <c r="E173" s="23" t="s">
        <v>215</v>
      </c>
      <c r="F173" s="23" t="str">
        <f t="shared" si="4"/>
        <v>rtdc.l.rtdc.4018:itc</v>
      </c>
      <c r="G173" s="8">
        <f t="shared" si="5"/>
        <v>42654.779340277775</v>
      </c>
    </row>
    <row r="174" spans="1:7" x14ac:dyDescent="0.25">
      <c r="A174" s="8">
        <v>42654.780949074076</v>
      </c>
      <c r="B174" s="23" t="s">
        <v>231</v>
      </c>
      <c r="C174" s="23" t="s">
        <v>631</v>
      </c>
      <c r="D174" s="23">
        <v>1740000</v>
      </c>
      <c r="E174" s="23" t="s">
        <v>578</v>
      </c>
      <c r="F174" s="23" t="str">
        <f t="shared" si="4"/>
        <v>rtdc.l.rtdc.4008:itc</v>
      </c>
      <c r="G174" s="8">
        <f t="shared" si="5"/>
        <v>42654.780949074076</v>
      </c>
    </row>
    <row r="175" spans="1:7" x14ac:dyDescent="0.25">
      <c r="A175" s="8">
        <v>42654.788877314815</v>
      </c>
      <c r="B175" s="23" t="s">
        <v>298</v>
      </c>
      <c r="C175" s="23" t="s">
        <v>632</v>
      </c>
      <c r="D175" s="23">
        <v>1180000</v>
      </c>
      <c r="E175" s="23" t="s">
        <v>213</v>
      </c>
      <c r="F175" s="23" t="str">
        <f t="shared" si="4"/>
        <v>rtdc.l.rtdc.4029:itc</v>
      </c>
      <c r="G175" s="8">
        <f t="shared" si="5"/>
        <v>42654.788877314815</v>
      </c>
    </row>
    <row r="176" spans="1:7" x14ac:dyDescent="0.25">
      <c r="A176" s="8">
        <v>42654.797476851854</v>
      </c>
      <c r="B176" s="23" t="s">
        <v>224</v>
      </c>
      <c r="C176" s="23" t="s">
        <v>633</v>
      </c>
      <c r="D176" s="23">
        <v>1230000</v>
      </c>
      <c r="E176" s="23" t="s">
        <v>319</v>
      </c>
      <c r="F176" s="23" t="str">
        <f t="shared" si="4"/>
        <v>rtdc.l.rtdc.4004:itc</v>
      </c>
      <c r="G176" s="8">
        <f t="shared" si="5"/>
        <v>42654.797476851854</v>
      </c>
    </row>
    <row r="177" spans="1:7" x14ac:dyDescent="0.25">
      <c r="A177" s="8">
        <v>42654.798518518517</v>
      </c>
      <c r="B177" s="23" t="s">
        <v>210</v>
      </c>
      <c r="C177" s="23" t="s">
        <v>634</v>
      </c>
      <c r="D177" s="23">
        <v>1480000</v>
      </c>
      <c r="E177" s="23" t="s">
        <v>215</v>
      </c>
      <c r="F177" s="23" t="str">
        <f t="shared" si="4"/>
        <v>rtdc.l.rtdc.4017:itc</v>
      </c>
      <c r="G177" s="8">
        <f t="shared" si="5"/>
        <v>42654.798518518517</v>
      </c>
    </row>
    <row r="178" spans="1:7" x14ac:dyDescent="0.25">
      <c r="A178" s="8">
        <v>42654.80196759259</v>
      </c>
      <c r="B178" s="23" t="s">
        <v>232</v>
      </c>
      <c r="C178" s="23" t="s">
        <v>635</v>
      </c>
      <c r="D178" s="23">
        <v>1770000</v>
      </c>
      <c r="E178" s="23" t="s">
        <v>296</v>
      </c>
      <c r="F178" s="23" t="str">
        <f t="shared" si="4"/>
        <v>rtdc.l.rtdc.4044:itc</v>
      </c>
      <c r="G178" s="8">
        <f t="shared" si="5"/>
        <v>42654.80196759259</v>
      </c>
    </row>
    <row r="179" spans="1:7" x14ac:dyDescent="0.25">
      <c r="A179" s="8">
        <v>42654.808553240742</v>
      </c>
      <c r="B179" s="23" t="s">
        <v>571</v>
      </c>
      <c r="C179" s="23" t="s">
        <v>636</v>
      </c>
      <c r="D179" s="23">
        <v>2250000</v>
      </c>
      <c r="E179" s="23" t="s">
        <v>577</v>
      </c>
      <c r="F179" s="23" t="str">
        <f t="shared" si="4"/>
        <v>rtdc.l.rtdc.4053:itc</v>
      </c>
      <c r="G179" s="8">
        <f t="shared" si="5"/>
        <v>42654.808553240742</v>
      </c>
    </row>
    <row r="180" spans="1:7" x14ac:dyDescent="0.25">
      <c r="A180" s="8">
        <v>42654.809155092589</v>
      </c>
      <c r="B180" s="23" t="s">
        <v>265</v>
      </c>
      <c r="C180" s="23" t="s">
        <v>637</v>
      </c>
      <c r="D180" s="23">
        <v>1800000</v>
      </c>
      <c r="E180" s="23" t="s">
        <v>272</v>
      </c>
      <c r="F180" s="23" t="str">
        <f t="shared" si="4"/>
        <v>rtdc.l.rtdc.4013:itc</v>
      </c>
      <c r="G180" s="8">
        <f t="shared" si="5"/>
        <v>42654.809155092589</v>
      </c>
    </row>
    <row r="181" spans="1:7" x14ac:dyDescent="0.25">
      <c r="A181" s="8">
        <v>42654.810266203705</v>
      </c>
      <c r="B181" s="23" t="s">
        <v>570</v>
      </c>
      <c r="C181" s="23" t="s">
        <v>638</v>
      </c>
      <c r="D181" s="23">
        <v>1290000</v>
      </c>
      <c r="E181" s="23" t="s">
        <v>297</v>
      </c>
      <c r="F181" s="23" t="str">
        <f t="shared" si="4"/>
        <v>rtdc.l.rtdc.4031:itc</v>
      </c>
      <c r="G181" s="8">
        <f t="shared" si="5"/>
        <v>42654.810266203705</v>
      </c>
    </row>
    <row r="182" spans="1:7" x14ac:dyDescent="0.25">
      <c r="A182" s="8">
        <v>42654.817465277774</v>
      </c>
      <c r="B182" s="23" t="s">
        <v>275</v>
      </c>
      <c r="C182" s="23" t="s">
        <v>639</v>
      </c>
      <c r="D182" s="23">
        <v>1770000</v>
      </c>
      <c r="E182" s="23" t="s">
        <v>296</v>
      </c>
      <c r="F182" s="23" t="str">
        <f t="shared" si="4"/>
        <v>rtdc.l.rtdc.4043:itc</v>
      </c>
      <c r="G182" s="8">
        <f t="shared" si="5"/>
        <v>42654.817465277774</v>
      </c>
    </row>
    <row r="183" spans="1:7" x14ac:dyDescent="0.25">
      <c r="A183" s="8">
        <v>42654.819050925929</v>
      </c>
      <c r="B183" s="23" t="s">
        <v>233</v>
      </c>
      <c r="C183" s="23" t="s">
        <v>640</v>
      </c>
      <c r="D183" s="23">
        <v>1740000</v>
      </c>
      <c r="E183" s="23" t="s">
        <v>578</v>
      </c>
      <c r="F183" s="23" t="str">
        <f t="shared" si="4"/>
        <v>rtdc.l.rtdc.4007:itc</v>
      </c>
      <c r="G183" s="8">
        <f t="shared" si="5"/>
        <v>42654.819050925929</v>
      </c>
    </row>
    <row r="184" spans="1:7" x14ac:dyDescent="0.25">
      <c r="A184" s="8">
        <v>42654.825185185182</v>
      </c>
      <c r="B184" s="23" t="s">
        <v>295</v>
      </c>
      <c r="C184" s="23" t="s">
        <v>641</v>
      </c>
      <c r="D184" s="23">
        <v>1180000</v>
      </c>
      <c r="E184" s="23" t="s">
        <v>213</v>
      </c>
      <c r="F184" s="23" t="str">
        <f t="shared" si="4"/>
        <v>rtdc.l.rtdc.4030:itc</v>
      </c>
      <c r="G184" s="8">
        <f t="shared" si="5"/>
        <v>42654.825185185182</v>
      </c>
    </row>
    <row r="185" spans="1:7" x14ac:dyDescent="0.25">
      <c r="A185" s="8">
        <v>42654.829976851855</v>
      </c>
      <c r="B185" s="23" t="s">
        <v>223</v>
      </c>
      <c r="C185" s="23" t="s">
        <v>642</v>
      </c>
      <c r="D185" s="23">
        <v>1230000</v>
      </c>
      <c r="E185" s="23" t="s">
        <v>319</v>
      </c>
      <c r="F185" s="23" t="str">
        <f t="shared" si="4"/>
        <v>rtdc.l.rtdc.4003:itc</v>
      </c>
      <c r="G185" s="8">
        <f t="shared" si="5"/>
        <v>42654.829976851855</v>
      </c>
    </row>
    <row r="186" spans="1:7" x14ac:dyDescent="0.25">
      <c r="A186" s="8">
        <v>42654.840613425928</v>
      </c>
      <c r="B186" s="23" t="s">
        <v>232</v>
      </c>
      <c r="C186" s="23" t="s">
        <v>643</v>
      </c>
      <c r="D186" s="23">
        <v>1770000</v>
      </c>
      <c r="E186" s="23" t="s">
        <v>296</v>
      </c>
      <c r="F186" s="23" t="str">
        <f t="shared" si="4"/>
        <v>rtdc.l.rtdc.4044:itc</v>
      </c>
      <c r="G186" s="8">
        <f t="shared" si="5"/>
        <v>42654.840613425928</v>
      </c>
    </row>
    <row r="187" spans="1:7" x14ac:dyDescent="0.25">
      <c r="A187" s="8">
        <v>42654.847615740742</v>
      </c>
      <c r="B187" s="23" t="s">
        <v>559</v>
      </c>
      <c r="C187" s="23" t="s">
        <v>644</v>
      </c>
      <c r="D187" s="23">
        <v>1290000</v>
      </c>
      <c r="E187" s="23" t="s">
        <v>297</v>
      </c>
      <c r="F187" s="23" t="str">
        <f t="shared" si="4"/>
        <v>rtdc.l.rtdc.4032:itc</v>
      </c>
      <c r="G187" s="8">
        <f t="shared" si="5"/>
        <v>42654.847615740742</v>
      </c>
    </row>
    <row r="188" spans="1:7" x14ac:dyDescent="0.25">
      <c r="A188" s="8">
        <v>42654.853842592594</v>
      </c>
      <c r="B188" s="23" t="s">
        <v>270</v>
      </c>
      <c r="C188" s="23" t="s">
        <v>645</v>
      </c>
      <c r="D188" s="23">
        <v>1800000</v>
      </c>
      <c r="E188" s="23" t="s">
        <v>272</v>
      </c>
      <c r="F188" s="23" t="str">
        <f t="shared" si="4"/>
        <v>rtdc.l.rtdc.4014:itc</v>
      </c>
      <c r="G188" s="8">
        <f t="shared" si="5"/>
        <v>42654.853842592594</v>
      </c>
    </row>
    <row r="189" spans="1:7" x14ac:dyDescent="0.25">
      <c r="A189" s="8">
        <v>42654.859247685185</v>
      </c>
      <c r="B189" s="23" t="s">
        <v>275</v>
      </c>
      <c r="C189" s="23" t="s">
        <v>555</v>
      </c>
      <c r="D189" s="23">
        <v>1770000</v>
      </c>
      <c r="E189" s="23" t="s">
        <v>296</v>
      </c>
      <c r="F189" s="23" t="str">
        <f t="shared" si="4"/>
        <v>rtdc.l.rtdc.4043:itc</v>
      </c>
      <c r="G189" s="8">
        <f t="shared" si="5"/>
        <v>42654.859247685185</v>
      </c>
    </row>
    <row r="190" spans="1:7" x14ac:dyDescent="0.25">
      <c r="A190" s="8">
        <v>42654.868645833332</v>
      </c>
      <c r="B190" s="23" t="s">
        <v>224</v>
      </c>
      <c r="C190" s="23" t="s">
        <v>646</v>
      </c>
      <c r="D190" s="23">
        <v>1230000</v>
      </c>
      <c r="E190" s="23" t="s">
        <v>319</v>
      </c>
      <c r="F190" s="23" t="str">
        <f t="shared" si="4"/>
        <v>rtdc.l.rtdc.4004:itc</v>
      </c>
      <c r="G190" s="8">
        <f t="shared" si="5"/>
        <v>42654.868645833332</v>
      </c>
    </row>
    <row r="191" spans="1:7" x14ac:dyDescent="0.25">
      <c r="A191" s="8">
        <v>42654.872037037036</v>
      </c>
      <c r="B191" s="23" t="s">
        <v>298</v>
      </c>
      <c r="C191" s="23" t="s">
        <v>647</v>
      </c>
      <c r="D191" s="23">
        <v>1180000</v>
      </c>
      <c r="E191" s="23" t="s">
        <v>213</v>
      </c>
      <c r="F191" s="23" t="str">
        <f t="shared" si="4"/>
        <v>rtdc.l.rtdc.4029:itc</v>
      </c>
      <c r="G191" s="8">
        <f t="shared" si="5"/>
        <v>42654.872037037036</v>
      </c>
    </row>
    <row r="192" spans="1:7" x14ac:dyDescent="0.25">
      <c r="A192" s="8">
        <v>42654.875879629632</v>
      </c>
      <c r="B192" s="23" t="s">
        <v>232</v>
      </c>
      <c r="C192" s="23" t="s">
        <v>648</v>
      </c>
      <c r="D192" s="23">
        <v>1480000</v>
      </c>
      <c r="E192" s="23" t="s">
        <v>215</v>
      </c>
      <c r="F192" s="23" t="str">
        <f t="shared" si="4"/>
        <v>rtdc.l.rtdc.4044:itc</v>
      </c>
      <c r="G192" s="8">
        <f t="shared" si="5"/>
        <v>42654.875879629632</v>
      </c>
    </row>
    <row r="193" spans="1:7" x14ac:dyDescent="0.25">
      <c r="A193" s="8">
        <v>42654.892800925925</v>
      </c>
      <c r="B193" s="23" t="s">
        <v>265</v>
      </c>
      <c r="C193" s="23" t="s">
        <v>558</v>
      </c>
      <c r="D193" s="23">
        <v>1800000</v>
      </c>
      <c r="E193" s="23" t="s">
        <v>272</v>
      </c>
      <c r="F193" s="23" t="str">
        <f t="shared" si="4"/>
        <v>rtdc.l.rtdc.4013:itc</v>
      </c>
      <c r="G193" s="8">
        <f t="shared" si="5"/>
        <v>42654.892800925925</v>
      </c>
    </row>
    <row r="194" spans="1:7" x14ac:dyDescent="0.25">
      <c r="A194" s="8">
        <v>42654.89371527778</v>
      </c>
      <c r="B194" s="23" t="s">
        <v>570</v>
      </c>
      <c r="C194" s="23" t="s">
        <v>649</v>
      </c>
      <c r="D194" s="23">
        <v>1290000</v>
      </c>
      <c r="E194" s="23" t="s">
        <v>297</v>
      </c>
      <c r="F194" s="23" t="str">
        <f t="shared" ref="F194:F235" si="6">B194</f>
        <v>rtdc.l.rtdc.4031:itc</v>
      </c>
      <c r="G194" s="8">
        <f t="shared" ref="G194:G235" si="7">A194</f>
        <v>42654.89371527778</v>
      </c>
    </row>
    <row r="195" spans="1:7" x14ac:dyDescent="0.25">
      <c r="A195" s="8">
        <v>42654.902546296296</v>
      </c>
      <c r="B195" s="23" t="s">
        <v>275</v>
      </c>
      <c r="C195" s="23" t="s">
        <v>556</v>
      </c>
      <c r="D195" s="23">
        <v>1480000</v>
      </c>
      <c r="E195" s="23" t="s">
        <v>215</v>
      </c>
      <c r="F195" s="23" t="str">
        <f t="shared" si="6"/>
        <v>rtdc.l.rtdc.4043:itc</v>
      </c>
      <c r="G195" s="8">
        <f t="shared" si="7"/>
        <v>42654.902546296296</v>
      </c>
    </row>
    <row r="196" spans="1:7" x14ac:dyDescent="0.25">
      <c r="A196" s="8">
        <v>42654.908738425926</v>
      </c>
      <c r="B196" s="23" t="s">
        <v>223</v>
      </c>
      <c r="C196" s="23" t="s">
        <v>557</v>
      </c>
      <c r="D196" s="23">
        <v>120000</v>
      </c>
      <c r="E196" s="23" t="s">
        <v>300</v>
      </c>
      <c r="F196" s="23" t="str">
        <f t="shared" si="6"/>
        <v>rtdc.l.rtdc.4003:itc</v>
      </c>
      <c r="G196" s="8">
        <f t="shared" si="7"/>
        <v>42654.908738425926</v>
      </c>
    </row>
    <row r="197" spans="1:7" x14ac:dyDescent="0.25">
      <c r="A197" s="8">
        <v>42654.909537037034</v>
      </c>
      <c r="B197" s="23" t="s">
        <v>223</v>
      </c>
      <c r="C197" s="23" t="s">
        <v>557</v>
      </c>
      <c r="D197" s="23">
        <v>120000</v>
      </c>
      <c r="E197" s="23" t="s">
        <v>300</v>
      </c>
      <c r="F197" s="23" t="str">
        <f t="shared" si="6"/>
        <v>rtdc.l.rtdc.4003:itc</v>
      </c>
      <c r="G197" s="8">
        <f t="shared" si="7"/>
        <v>42654.909537037034</v>
      </c>
    </row>
    <row r="198" spans="1:7" x14ac:dyDescent="0.25">
      <c r="A198" s="8">
        <v>42654.90996527778</v>
      </c>
      <c r="B198" s="23" t="s">
        <v>295</v>
      </c>
      <c r="C198" s="23" t="s">
        <v>650</v>
      </c>
      <c r="D198" s="23">
        <v>1180000</v>
      </c>
      <c r="E198" s="23" t="s">
        <v>213</v>
      </c>
      <c r="F198" s="23" t="str">
        <f t="shared" si="6"/>
        <v>rtdc.l.rtdc.4030:itc</v>
      </c>
      <c r="G198" s="8">
        <f t="shared" si="7"/>
        <v>42654.90996527778</v>
      </c>
    </row>
    <row r="199" spans="1:7" x14ac:dyDescent="0.25">
      <c r="A199" s="8">
        <v>42654.911712962959</v>
      </c>
      <c r="B199" s="23" t="s">
        <v>223</v>
      </c>
      <c r="C199" s="23" t="s">
        <v>557</v>
      </c>
      <c r="D199" s="23">
        <v>120000</v>
      </c>
      <c r="E199" s="23" t="s">
        <v>300</v>
      </c>
      <c r="F199" s="23" t="str">
        <f t="shared" si="6"/>
        <v>rtdc.l.rtdc.4003:itc</v>
      </c>
      <c r="G199" s="8">
        <f t="shared" si="7"/>
        <v>42654.911712962959</v>
      </c>
    </row>
    <row r="200" spans="1:7" x14ac:dyDescent="0.25">
      <c r="A200" s="8">
        <v>42654.926342592589</v>
      </c>
      <c r="B200" s="23" t="s">
        <v>232</v>
      </c>
      <c r="C200" s="23" t="s">
        <v>651</v>
      </c>
      <c r="D200" s="23">
        <v>1480000</v>
      </c>
      <c r="E200" s="23" t="s">
        <v>215</v>
      </c>
      <c r="F200" s="23" t="str">
        <f t="shared" si="6"/>
        <v>rtdc.l.rtdc.4044:itc</v>
      </c>
      <c r="G200" s="8">
        <f t="shared" si="7"/>
        <v>42654.926342592589</v>
      </c>
    </row>
    <row r="201" spans="1:7" x14ac:dyDescent="0.25">
      <c r="A201" s="8">
        <v>42654.931331018517</v>
      </c>
      <c r="B201" s="23" t="s">
        <v>559</v>
      </c>
      <c r="C201" s="23" t="s">
        <v>560</v>
      </c>
      <c r="D201" s="23">
        <v>1290000</v>
      </c>
      <c r="E201" s="23" t="s">
        <v>297</v>
      </c>
      <c r="F201" s="23" t="str">
        <f t="shared" si="6"/>
        <v>rtdc.l.rtdc.4032:itc</v>
      </c>
      <c r="G201" s="8">
        <f t="shared" si="7"/>
        <v>42654.931331018517</v>
      </c>
    </row>
    <row r="202" spans="1:7" x14ac:dyDescent="0.25">
      <c r="A202" s="29">
        <v>42654.936921296299</v>
      </c>
      <c r="B202" s="23" t="s">
        <v>270</v>
      </c>
      <c r="C202" s="23" t="s">
        <v>652</v>
      </c>
      <c r="D202" s="23">
        <v>1800000</v>
      </c>
      <c r="E202" s="23" t="s">
        <v>272</v>
      </c>
      <c r="F202" s="23" t="str">
        <f t="shared" si="6"/>
        <v>rtdc.l.rtdc.4014:itc</v>
      </c>
      <c r="G202" s="8">
        <f t="shared" si="7"/>
        <v>42654.936921296299</v>
      </c>
    </row>
    <row r="203" spans="1:7" x14ac:dyDescent="0.25">
      <c r="A203" s="8">
        <v>42654.943877314814</v>
      </c>
      <c r="B203" s="23" t="s">
        <v>275</v>
      </c>
      <c r="C203" s="23" t="s">
        <v>653</v>
      </c>
      <c r="D203" s="23">
        <v>1480000</v>
      </c>
      <c r="E203" s="23" t="s">
        <v>215</v>
      </c>
      <c r="F203" s="23" t="str">
        <f t="shared" si="6"/>
        <v>rtdc.l.rtdc.4043:itc</v>
      </c>
      <c r="G203" s="8">
        <f t="shared" si="7"/>
        <v>42654.943877314814</v>
      </c>
    </row>
    <row r="204" spans="1:7" x14ac:dyDescent="0.25">
      <c r="A204" s="8">
        <v>42654.946655092594</v>
      </c>
      <c r="B204" s="23" t="s">
        <v>224</v>
      </c>
      <c r="C204" s="23" t="s">
        <v>654</v>
      </c>
      <c r="D204" s="23">
        <v>140000</v>
      </c>
      <c r="E204" s="23" t="s">
        <v>235</v>
      </c>
      <c r="F204" s="23" t="str">
        <f t="shared" si="6"/>
        <v>rtdc.l.rtdc.4004:itc</v>
      </c>
      <c r="G204" s="8">
        <f t="shared" si="7"/>
        <v>42654.946655092594</v>
      </c>
    </row>
    <row r="205" spans="1:7" x14ac:dyDescent="0.25">
      <c r="A205" s="8">
        <v>42654.95480324074</v>
      </c>
      <c r="B205" s="23" t="s">
        <v>298</v>
      </c>
      <c r="C205" s="23" t="s">
        <v>655</v>
      </c>
      <c r="D205" s="23">
        <v>1180000</v>
      </c>
      <c r="E205" s="23" t="s">
        <v>213</v>
      </c>
      <c r="F205" s="23" t="str">
        <f t="shared" si="6"/>
        <v>rtdc.l.rtdc.4029:itc</v>
      </c>
      <c r="G205" s="8">
        <f t="shared" si="7"/>
        <v>42654.95480324074</v>
      </c>
    </row>
    <row r="206" spans="1:7" x14ac:dyDescent="0.25">
      <c r="A206" s="8">
        <v>42654.975960648146</v>
      </c>
      <c r="B206" s="23" t="s">
        <v>265</v>
      </c>
      <c r="C206" s="23" t="s">
        <v>656</v>
      </c>
      <c r="D206" s="23">
        <v>1800000</v>
      </c>
      <c r="E206" s="23" t="s">
        <v>272</v>
      </c>
      <c r="F206" s="23" t="str">
        <f t="shared" si="6"/>
        <v>rtdc.l.rtdc.4013:itc</v>
      </c>
      <c r="G206" s="8">
        <f t="shared" si="7"/>
        <v>42654.975960648146</v>
      </c>
    </row>
    <row r="207" spans="1:7" x14ac:dyDescent="0.25">
      <c r="A207" s="8">
        <v>42654.977777777778</v>
      </c>
      <c r="B207" s="23" t="s">
        <v>570</v>
      </c>
      <c r="C207" s="23" t="s">
        <v>657</v>
      </c>
      <c r="D207" s="23">
        <v>1290000</v>
      </c>
      <c r="E207" s="23" t="s">
        <v>297</v>
      </c>
      <c r="F207" s="23" t="str">
        <f t="shared" si="6"/>
        <v>rtdc.l.rtdc.4031:itc</v>
      </c>
      <c r="G207" s="8">
        <f t="shared" si="7"/>
        <v>42654.977777777778</v>
      </c>
    </row>
    <row r="208" spans="1:7" x14ac:dyDescent="0.25">
      <c r="A208" s="8">
        <v>42654.991493055553</v>
      </c>
      <c r="B208" s="23" t="s">
        <v>223</v>
      </c>
      <c r="C208" s="23" t="s">
        <v>658</v>
      </c>
      <c r="D208" s="23">
        <v>1230000</v>
      </c>
      <c r="E208" s="23" t="s">
        <v>319</v>
      </c>
      <c r="F208" s="23" t="str">
        <f t="shared" si="6"/>
        <v>rtdc.l.rtdc.4003:itc</v>
      </c>
      <c r="G208" s="8">
        <f t="shared" si="7"/>
        <v>42654.991493055553</v>
      </c>
    </row>
    <row r="209" spans="1:7" x14ac:dyDescent="0.25">
      <c r="A209" s="8">
        <v>42654.993495370371</v>
      </c>
      <c r="B209" s="23" t="s">
        <v>295</v>
      </c>
      <c r="C209" s="23" t="s">
        <v>561</v>
      </c>
      <c r="D209" s="23">
        <v>1180000</v>
      </c>
      <c r="E209" s="23" t="s">
        <v>213</v>
      </c>
      <c r="F209" s="23" t="str">
        <f t="shared" si="6"/>
        <v>rtdc.l.rtdc.4030:itc</v>
      </c>
      <c r="G209" s="8">
        <f t="shared" si="7"/>
        <v>42654.993495370371</v>
      </c>
    </row>
    <row r="210" spans="1:7" x14ac:dyDescent="0.25">
      <c r="A210" s="8">
        <v>42655.015625</v>
      </c>
      <c r="B210" s="23" t="s">
        <v>559</v>
      </c>
      <c r="C210" s="23" t="s">
        <v>562</v>
      </c>
      <c r="D210" s="23">
        <v>1290000</v>
      </c>
      <c r="E210" s="23" t="s">
        <v>297</v>
      </c>
      <c r="F210" s="23" t="str">
        <f t="shared" si="6"/>
        <v>rtdc.l.rtdc.4032:itc</v>
      </c>
      <c r="G210" s="8">
        <f t="shared" si="7"/>
        <v>42655.015625</v>
      </c>
    </row>
    <row r="211" spans="1:7" x14ac:dyDescent="0.25">
      <c r="A211" s="8">
        <v>42655.02103009259</v>
      </c>
      <c r="B211" s="23" t="s">
        <v>270</v>
      </c>
      <c r="C211" s="23" t="s">
        <v>659</v>
      </c>
      <c r="D211" s="23">
        <v>1800000</v>
      </c>
      <c r="E211" s="23" t="s">
        <v>272</v>
      </c>
      <c r="F211" s="23" t="str">
        <f t="shared" si="6"/>
        <v>rtdc.l.rtdc.4014:itc</v>
      </c>
      <c r="G211" s="8">
        <f t="shared" si="7"/>
        <v>42655.02103009259</v>
      </c>
    </row>
    <row r="212" spans="1:7" x14ac:dyDescent="0.25">
      <c r="A212" s="8">
        <v>42655.033368055556</v>
      </c>
      <c r="B212" s="23" t="s">
        <v>298</v>
      </c>
      <c r="C212" s="23" t="s">
        <v>660</v>
      </c>
      <c r="D212" s="23">
        <v>1180000</v>
      </c>
      <c r="E212" s="23" t="s">
        <v>213</v>
      </c>
      <c r="F212" s="23" t="str">
        <f t="shared" si="6"/>
        <v>rtdc.l.rtdc.4029:itc</v>
      </c>
      <c r="G212" s="8">
        <f t="shared" si="7"/>
        <v>42655.033368055556</v>
      </c>
    </row>
    <row r="213" spans="1:7" x14ac:dyDescent="0.25">
      <c r="A213" s="8">
        <v>42655.037199074075</v>
      </c>
      <c r="B213" s="23" t="s">
        <v>224</v>
      </c>
      <c r="C213" s="23" t="s">
        <v>563</v>
      </c>
      <c r="D213" s="23">
        <v>1230000</v>
      </c>
      <c r="E213" s="23" t="s">
        <v>319</v>
      </c>
      <c r="F213" s="23" t="str">
        <f t="shared" si="6"/>
        <v>rtdc.l.rtdc.4004:itc</v>
      </c>
      <c r="G213" s="8">
        <f t="shared" si="7"/>
        <v>42655.037199074075</v>
      </c>
    </row>
    <row r="214" spans="1:7" x14ac:dyDescent="0.25">
      <c r="A214" s="8">
        <v>42655.046990740739</v>
      </c>
      <c r="B214" s="23" t="s">
        <v>570</v>
      </c>
      <c r="C214" s="23" t="s">
        <v>661</v>
      </c>
      <c r="D214" s="23">
        <v>1290000</v>
      </c>
      <c r="E214" s="23" t="s">
        <v>297</v>
      </c>
      <c r="F214" s="23" t="str">
        <f t="shared" si="6"/>
        <v>rtdc.l.rtdc.4031:itc</v>
      </c>
      <c r="G214" s="8">
        <f t="shared" si="7"/>
        <v>42655.046990740739</v>
      </c>
    </row>
    <row r="215" spans="1:7" x14ac:dyDescent="0.25">
      <c r="A215" s="8">
        <v>42655.05572916667</v>
      </c>
      <c r="B215" s="23" t="s">
        <v>265</v>
      </c>
      <c r="C215" s="23" t="s">
        <v>662</v>
      </c>
      <c r="D215" s="23">
        <v>1800000</v>
      </c>
      <c r="E215" s="23" t="s">
        <v>272</v>
      </c>
      <c r="F215" s="23" t="str">
        <f t="shared" si="6"/>
        <v>rtdc.l.rtdc.4013:itc</v>
      </c>
      <c r="G215" s="8">
        <f t="shared" si="7"/>
        <v>42655.05572916667</v>
      </c>
    </row>
    <row r="216" spans="1:7" x14ac:dyDescent="0.25">
      <c r="A216" s="8">
        <v>42655.068553240744</v>
      </c>
      <c r="B216" s="23" t="s">
        <v>223</v>
      </c>
      <c r="C216" s="23" t="s">
        <v>663</v>
      </c>
      <c r="D216" s="23">
        <v>1230000</v>
      </c>
      <c r="E216" s="23" t="s">
        <v>319</v>
      </c>
      <c r="F216" s="23" t="str">
        <f t="shared" si="6"/>
        <v>rtdc.l.rtdc.4003:itc</v>
      </c>
      <c r="G216" s="8">
        <f t="shared" si="7"/>
        <v>42655.068553240744</v>
      </c>
    </row>
    <row r="217" spans="1:7" x14ac:dyDescent="0.25">
      <c r="A217" s="8">
        <v>42655.107569444444</v>
      </c>
      <c r="B217" s="23" t="s">
        <v>270</v>
      </c>
      <c r="C217" s="23" t="s">
        <v>664</v>
      </c>
      <c r="D217" s="23">
        <v>1800000</v>
      </c>
      <c r="E217" s="23" t="s">
        <v>272</v>
      </c>
      <c r="F217" s="23" t="str">
        <f t="shared" si="6"/>
        <v>rtdc.l.rtdc.4014:itc</v>
      </c>
      <c r="G217" s="8">
        <f t="shared" si="7"/>
        <v>42655.107569444444</v>
      </c>
    </row>
    <row r="218" spans="1:7" x14ac:dyDescent="0.25">
      <c r="B218" s="23"/>
      <c r="C218" s="23"/>
      <c r="D218" s="23"/>
      <c r="E218" s="23"/>
      <c r="F218" s="23">
        <f t="shared" si="6"/>
        <v>0</v>
      </c>
      <c r="G218" s="8">
        <f t="shared" si="7"/>
        <v>0</v>
      </c>
    </row>
    <row r="219" spans="1:7" x14ac:dyDescent="0.25">
      <c r="A219" s="8">
        <v>42653.845324074071</v>
      </c>
      <c r="B219" s="23" t="s">
        <v>230</v>
      </c>
      <c r="C219" s="23" t="s">
        <v>320</v>
      </c>
      <c r="D219" s="23">
        <v>1230000</v>
      </c>
      <c r="E219" s="23" t="s">
        <v>319</v>
      </c>
      <c r="F219" s="23" t="str">
        <f t="shared" si="6"/>
        <v>rtdc.l.rtdc.4002:itc</v>
      </c>
      <c r="G219" s="8">
        <f t="shared" si="7"/>
        <v>42653.845324074071</v>
      </c>
    </row>
    <row r="220" spans="1:7" x14ac:dyDescent="0.25">
      <c r="A220" s="8">
        <v>42653.846238425926</v>
      </c>
      <c r="B220" s="23" t="s">
        <v>317</v>
      </c>
      <c r="C220" s="23" t="s">
        <v>321</v>
      </c>
      <c r="D220" s="23">
        <v>1800000</v>
      </c>
      <c r="E220" s="23" t="s">
        <v>272</v>
      </c>
      <c r="F220" s="23" t="str">
        <f t="shared" si="6"/>
        <v>rtdc.l.rtdc.4037:itc</v>
      </c>
      <c r="G220" s="8">
        <f t="shared" si="7"/>
        <v>42653.846238425926</v>
      </c>
    </row>
    <row r="221" spans="1:7" x14ac:dyDescent="0.25">
      <c r="A221" s="8">
        <v>42653.84652777778</v>
      </c>
      <c r="B221" s="23" t="s">
        <v>240</v>
      </c>
      <c r="C221" s="23" t="s">
        <v>322</v>
      </c>
      <c r="D221" s="23">
        <v>2350000</v>
      </c>
      <c r="E221" s="23" t="s">
        <v>299</v>
      </c>
      <c r="F221" s="23" t="str">
        <f t="shared" si="6"/>
        <v>rtdc.l.rtdc.4045:itc</v>
      </c>
      <c r="G221" s="8">
        <f t="shared" si="7"/>
        <v>42653.84652777778</v>
      </c>
    </row>
    <row r="222" spans="1:7" x14ac:dyDescent="0.25">
      <c r="A222" s="8">
        <v>42653.847326388888</v>
      </c>
      <c r="B222" s="23" t="s">
        <v>317</v>
      </c>
      <c r="C222" s="23" t="s">
        <v>321</v>
      </c>
      <c r="D222" s="23">
        <v>1800000</v>
      </c>
      <c r="E222" s="23" t="s">
        <v>272</v>
      </c>
      <c r="F222" s="23" t="str">
        <f t="shared" si="6"/>
        <v>rtdc.l.rtdc.4037:itc</v>
      </c>
      <c r="G222" s="8">
        <f t="shared" si="7"/>
        <v>42653.847326388888</v>
      </c>
    </row>
    <row r="223" spans="1:7" x14ac:dyDescent="0.25">
      <c r="A223" s="8">
        <v>42653.849432870367</v>
      </c>
      <c r="B223" s="23" t="s">
        <v>317</v>
      </c>
      <c r="C223" s="23" t="s">
        <v>323</v>
      </c>
      <c r="D223" s="23">
        <v>740000</v>
      </c>
      <c r="E223" s="23" t="s">
        <v>324</v>
      </c>
      <c r="F223" s="23" t="str">
        <f t="shared" si="6"/>
        <v>rtdc.l.rtdc.4037:itc</v>
      </c>
      <c r="G223" s="8">
        <f t="shared" si="7"/>
        <v>42653.849432870367</v>
      </c>
    </row>
    <row r="224" spans="1:7" x14ac:dyDescent="0.25">
      <c r="A224" s="8">
        <v>42653.85434027778</v>
      </c>
      <c r="B224" t="s">
        <v>317</v>
      </c>
      <c r="C224" t="s">
        <v>323</v>
      </c>
      <c r="D224">
        <v>740000</v>
      </c>
      <c r="E224" t="s">
        <v>324</v>
      </c>
      <c r="F224" s="23" t="str">
        <f t="shared" si="6"/>
        <v>rtdc.l.rtdc.4037:itc</v>
      </c>
      <c r="G224" s="8">
        <f t="shared" si="7"/>
        <v>42653.85434027778</v>
      </c>
    </row>
    <row r="225" spans="1:7" x14ac:dyDescent="0.25">
      <c r="A225" s="8">
        <v>42653.858136574076</v>
      </c>
      <c r="B225" t="s">
        <v>267</v>
      </c>
      <c r="C225" t="s">
        <v>321</v>
      </c>
      <c r="D225">
        <v>1800000</v>
      </c>
      <c r="E225" t="s">
        <v>272</v>
      </c>
      <c r="F225" s="23" t="str">
        <f t="shared" si="6"/>
        <v>rtdc.l.rtdc.4038:itc</v>
      </c>
      <c r="G225" s="8">
        <f t="shared" si="7"/>
        <v>42653.858136574076</v>
      </c>
    </row>
    <row r="226" spans="1:7" x14ac:dyDescent="0.25">
      <c r="A226" s="8">
        <v>42653.859907407408</v>
      </c>
      <c r="B226" t="s">
        <v>231</v>
      </c>
      <c r="C226" t="s">
        <v>325</v>
      </c>
      <c r="D226">
        <v>1770000</v>
      </c>
      <c r="E226" t="s">
        <v>296</v>
      </c>
      <c r="F226" s="23" t="str">
        <f t="shared" si="6"/>
        <v>rtdc.l.rtdc.4008:itc</v>
      </c>
      <c r="G226" s="8">
        <f t="shared" si="7"/>
        <v>42653.859907407408</v>
      </c>
    </row>
    <row r="227" spans="1:7" x14ac:dyDescent="0.25">
      <c r="A227" s="8">
        <v>42653.865763888891</v>
      </c>
      <c r="B227" t="s">
        <v>265</v>
      </c>
      <c r="C227" t="s">
        <v>326</v>
      </c>
      <c r="D227">
        <v>120000</v>
      </c>
      <c r="E227" t="s">
        <v>300</v>
      </c>
      <c r="F227" s="23" t="str">
        <f t="shared" si="6"/>
        <v>rtdc.l.rtdc.4013:itc</v>
      </c>
      <c r="G227" s="8">
        <f t="shared" si="7"/>
        <v>42653.865763888891</v>
      </c>
    </row>
    <row r="228" spans="1:7" x14ac:dyDescent="0.25">
      <c r="A228" s="8">
        <v>42653.866539351853</v>
      </c>
      <c r="B228" t="s">
        <v>265</v>
      </c>
      <c r="C228" t="s">
        <v>326</v>
      </c>
      <c r="D228">
        <v>120000</v>
      </c>
      <c r="E228" t="s">
        <v>300</v>
      </c>
      <c r="F228" s="23" t="str">
        <f t="shared" si="6"/>
        <v>rtdc.l.rtdc.4013:itc</v>
      </c>
      <c r="G228" s="8">
        <f t="shared" si="7"/>
        <v>42653.866539351853</v>
      </c>
    </row>
    <row r="229" spans="1:7" x14ac:dyDescent="0.25">
      <c r="A229" s="8">
        <v>42653.868888888886</v>
      </c>
      <c r="B229" t="s">
        <v>223</v>
      </c>
      <c r="C229" t="s">
        <v>327</v>
      </c>
      <c r="D229">
        <v>1180000</v>
      </c>
      <c r="E229" t="s">
        <v>213</v>
      </c>
      <c r="F229" s="23" t="str">
        <f t="shared" si="6"/>
        <v>rtdc.l.rtdc.4003:itc</v>
      </c>
      <c r="G229" s="8">
        <f t="shared" si="7"/>
        <v>42653.868888888886</v>
      </c>
    </row>
    <row r="230" spans="1:7" x14ac:dyDescent="0.25">
      <c r="A230" s="8">
        <v>42653.885439814818</v>
      </c>
      <c r="B230" t="s">
        <v>233</v>
      </c>
      <c r="C230" t="s">
        <v>328</v>
      </c>
      <c r="D230">
        <v>1290000</v>
      </c>
      <c r="E230" t="s">
        <v>297</v>
      </c>
      <c r="F230" s="23" t="str">
        <f t="shared" si="6"/>
        <v>rtdc.l.rtdc.4007:itc</v>
      </c>
      <c r="G230" s="8">
        <f t="shared" si="7"/>
        <v>42653.885439814818</v>
      </c>
    </row>
    <row r="231" spans="1:7" x14ac:dyDescent="0.25">
      <c r="A231" s="8">
        <v>42653.886956018519</v>
      </c>
      <c r="B231" t="s">
        <v>239</v>
      </c>
      <c r="C231" t="s">
        <v>329</v>
      </c>
      <c r="D231">
        <v>2350000</v>
      </c>
      <c r="E231" t="s">
        <v>299</v>
      </c>
      <c r="F231" s="23" t="str">
        <f t="shared" si="6"/>
        <v>rtdc.l.rtdc.4046:itc</v>
      </c>
      <c r="G231" s="8">
        <f t="shared" si="7"/>
        <v>42653.886956018519</v>
      </c>
    </row>
    <row r="232" spans="1:7" x14ac:dyDescent="0.25">
      <c r="A232" s="8">
        <v>42653.891909722224</v>
      </c>
      <c r="B232" t="s">
        <v>229</v>
      </c>
      <c r="C232" t="s">
        <v>330</v>
      </c>
      <c r="D232">
        <v>1230000</v>
      </c>
      <c r="E232" t="s">
        <v>319</v>
      </c>
      <c r="F232" s="23" t="str">
        <f t="shared" si="6"/>
        <v>rtdc.l.rtdc.4001:itc</v>
      </c>
      <c r="G232" s="8">
        <f t="shared" si="7"/>
        <v>42653.891909722224</v>
      </c>
    </row>
    <row r="233" spans="1:7" x14ac:dyDescent="0.25">
      <c r="A233" s="8">
        <v>42653.900752314818</v>
      </c>
      <c r="B233" t="s">
        <v>231</v>
      </c>
      <c r="C233" t="s">
        <v>331</v>
      </c>
      <c r="D233">
        <v>1290000</v>
      </c>
      <c r="E233" t="s">
        <v>297</v>
      </c>
      <c r="F233" s="23" t="str">
        <f t="shared" si="6"/>
        <v>rtdc.l.rtdc.4008:itc</v>
      </c>
      <c r="G233" s="8">
        <f t="shared" si="7"/>
        <v>42653.900752314818</v>
      </c>
    </row>
    <row r="234" spans="1:7" x14ac:dyDescent="0.25">
      <c r="A234" s="8">
        <v>42653.906064814815</v>
      </c>
      <c r="B234" t="s">
        <v>267</v>
      </c>
      <c r="C234" t="s">
        <v>321</v>
      </c>
      <c r="D234">
        <v>1800000</v>
      </c>
      <c r="E234" t="s">
        <v>272</v>
      </c>
      <c r="F234" s="23" t="str">
        <f t="shared" si="6"/>
        <v>rtdc.l.rtdc.4038:itc</v>
      </c>
      <c r="G234" s="8">
        <f t="shared" si="7"/>
        <v>42653.906064814815</v>
      </c>
    </row>
    <row r="235" spans="1:7" x14ac:dyDescent="0.25">
      <c r="A235" s="8">
        <v>42653.91133101852</v>
      </c>
      <c r="B235" t="s">
        <v>224</v>
      </c>
      <c r="C235" t="s">
        <v>332</v>
      </c>
      <c r="D235">
        <v>1180000</v>
      </c>
      <c r="E235" t="s">
        <v>213</v>
      </c>
      <c r="F235" s="23" t="str">
        <f t="shared" si="6"/>
        <v>rtdc.l.rtdc.4004:itc</v>
      </c>
      <c r="G235" s="8">
        <f t="shared" si="7"/>
        <v>42653.91133101852</v>
      </c>
    </row>
    <row r="236" spans="1:7" x14ac:dyDescent="0.25">
      <c r="A236" s="8">
        <v>42653.924178240741</v>
      </c>
      <c r="B236" t="s">
        <v>230</v>
      </c>
      <c r="C236" t="s">
        <v>333</v>
      </c>
      <c r="D236">
        <v>1230000</v>
      </c>
      <c r="E236" t="s">
        <v>319</v>
      </c>
      <c r="F236" s="23" t="str">
        <f t="shared" ref="F236:F265" si="8">B236</f>
        <v>rtdc.l.rtdc.4002:itc</v>
      </c>
      <c r="G236" s="8">
        <f t="shared" ref="G236:G265" si="9">A236</f>
        <v>42653.924178240741</v>
      </c>
    </row>
    <row r="237" spans="1:7" x14ac:dyDescent="0.25">
      <c r="A237" s="8">
        <v>42653.928831018522</v>
      </c>
      <c r="B237" t="s">
        <v>233</v>
      </c>
      <c r="C237" t="s">
        <v>334</v>
      </c>
      <c r="D237">
        <v>1290000</v>
      </c>
      <c r="E237" t="s">
        <v>297</v>
      </c>
      <c r="F237" s="23" t="str">
        <f t="shared" si="8"/>
        <v>rtdc.l.rtdc.4007:itc</v>
      </c>
      <c r="G237" s="8">
        <f t="shared" si="9"/>
        <v>42653.928831018522</v>
      </c>
    </row>
    <row r="238" spans="1:7" x14ac:dyDescent="0.25">
      <c r="A238" s="8">
        <v>42653.931018518517</v>
      </c>
      <c r="B238" t="s">
        <v>240</v>
      </c>
      <c r="C238" t="s">
        <v>335</v>
      </c>
      <c r="D238">
        <v>2350000</v>
      </c>
      <c r="E238" t="s">
        <v>299</v>
      </c>
      <c r="F238" s="23" t="str">
        <f t="shared" si="8"/>
        <v>rtdc.l.rtdc.4045:itc</v>
      </c>
      <c r="G238" s="8">
        <f t="shared" si="9"/>
        <v>42653.931018518517</v>
      </c>
    </row>
    <row r="239" spans="1:7" x14ac:dyDescent="0.25">
      <c r="A239" s="8">
        <v>42653.942314814813</v>
      </c>
      <c r="B239" t="s">
        <v>231</v>
      </c>
      <c r="C239" t="s">
        <v>336</v>
      </c>
      <c r="D239">
        <v>1290000</v>
      </c>
      <c r="E239" t="s">
        <v>297</v>
      </c>
      <c r="F239" s="23" t="str">
        <f t="shared" si="8"/>
        <v>rtdc.l.rtdc.4008:itc</v>
      </c>
      <c r="G239" s="8">
        <f t="shared" si="9"/>
        <v>42653.942314814813</v>
      </c>
    </row>
    <row r="240" spans="1:7" x14ac:dyDescent="0.25">
      <c r="A240" s="8">
        <v>42653.954687500001</v>
      </c>
      <c r="B240" t="s">
        <v>317</v>
      </c>
      <c r="C240" t="s">
        <v>337</v>
      </c>
      <c r="D240">
        <v>1800000</v>
      </c>
      <c r="E240" t="s">
        <v>272</v>
      </c>
      <c r="F240" s="23" t="str">
        <f t="shared" si="8"/>
        <v>rtdc.l.rtdc.4037:itc</v>
      </c>
      <c r="G240" s="8">
        <f t="shared" si="9"/>
        <v>42653.954687500001</v>
      </c>
    </row>
    <row r="241" spans="1:7" x14ac:dyDescent="0.25">
      <c r="A241" s="8">
        <v>42653.955694444441</v>
      </c>
      <c r="B241" t="s">
        <v>223</v>
      </c>
      <c r="C241" t="s">
        <v>338</v>
      </c>
      <c r="D241">
        <v>1180000</v>
      </c>
      <c r="E241" t="s">
        <v>213</v>
      </c>
      <c r="F241" s="23" t="str">
        <f t="shared" si="8"/>
        <v>rtdc.l.rtdc.4003:itc</v>
      </c>
      <c r="G241" s="8">
        <f t="shared" si="9"/>
        <v>42653.955694444441</v>
      </c>
    </row>
    <row r="242" spans="1:7" x14ac:dyDescent="0.25">
      <c r="A242" s="8">
        <v>42653.968564814815</v>
      </c>
      <c r="B242" t="s">
        <v>239</v>
      </c>
      <c r="C242" t="s">
        <v>339</v>
      </c>
      <c r="D242">
        <v>2350000</v>
      </c>
      <c r="E242" t="s">
        <v>299</v>
      </c>
      <c r="F242" s="23" t="str">
        <f t="shared" si="8"/>
        <v>rtdc.l.rtdc.4046:itc</v>
      </c>
      <c r="G242" s="8">
        <f t="shared" si="9"/>
        <v>42653.968564814815</v>
      </c>
    </row>
    <row r="243" spans="1:7" x14ac:dyDescent="0.25">
      <c r="A243" s="8">
        <v>42653.974456018521</v>
      </c>
      <c r="B243" t="s">
        <v>229</v>
      </c>
      <c r="C243" t="s">
        <v>340</v>
      </c>
      <c r="D243">
        <v>1230000</v>
      </c>
      <c r="E243" t="s">
        <v>319</v>
      </c>
      <c r="F243" s="23" t="str">
        <f t="shared" si="8"/>
        <v>rtdc.l.rtdc.4001:itc</v>
      </c>
      <c r="G243" s="8">
        <f t="shared" si="9"/>
        <v>42653.974456018521</v>
      </c>
    </row>
    <row r="244" spans="1:7" x14ac:dyDescent="0.25">
      <c r="A244" s="8">
        <v>42653.994212962964</v>
      </c>
      <c r="B244" t="s">
        <v>224</v>
      </c>
      <c r="C244" t="s">
        <v>341</v>
      </c>
      <c r="D244">
        <v>1180000</v>
      </c>
      <c r="E244" t="s">
        <v>213</v>
      </c>
      <c r="F244" s="23" t="str">
        <f t="shared" si="8"/>
        <v>rtdc.l.rtdc.4004:itc</v>
      </c>
      <c r="G244" s="8">
        <f t="shared" si="9"/>
        <v>42653.994212962964</v>
      </c>
    </row>
    <row r="245" spans="1:7" x14ac:dyDescent="0.25">
      <c r="A245" s="8">
        <v>42653.998703703706</v>
      </c>
      <c r="B245" t="s">
        <v>267</v>
      </c>
      <c r="C245" t="s">
        <v>342</v>
      </c>
      <c r="D245">
        <v>1800000</v>
      </c>
      <c r="E245" t="s">
        <v>272</v>
      </c>
      <c r="F245" s="23" t="str">
        <f t="shared" si="8"/>
        <v>rtdc.l.rtdc.4038:itc</v>
      </c>
      <c r="G245" s="8">
        <f t="shared" si="9"/>
        <v>42653.998703703706</v>
      </c>
    </row>
    <row r="246" spans="1:7" x14ac:dyDescent="0.25">
      <c r="A246" s="8">
        <v>42654.004386574074</v>
      </c>
      <c r="B246" t="s">
        <v>230</v>
      </c>
      <c r="C246" t="s">
        <v>343</v>
      </c>
      <c r="D246">
        <v>1230000</v>
      </c>
      <c r="E246" t="s">
        <v>319</v>
      </c>
      <c r="F246" s="23" t="str">
        <f t="shared" si="8"/>
        <v>rtdc.l.rtdc.4002:itc</v>
      </c>
      <c r="G246" s="8">
        <f t="shared" si="9"/>
        <v>42654.004386574074</v>
      </c>
    </row>
    <row r="247" spans="1:7" x14ac:dyDescent="0.25">
      <c r="A247" s="8">
        <v>42654.012106481481</v>
      </c>
      <c r="B247" t="s">
        <v>240</v>
      </c>
      <c r="C247" t="s">
        <v>344</v>
      </c>
      <c r="D247">
        <v>2350000</v>
      </c>
      <c r="E247" t="s">
        <v>299</v>
      </c>
      <c r="F247" s="23" t="str">
        <f t="shared" si="8"/>
        <v>rtdc.l.rtdc.4045:itc</v>
      </c>
      <c r="G247" s="8">
        <f t="shared" si="9"/>
        <v>42654.012106481481</v>
      </c>
    </row>
    <row r="248" spans="1:7" x14ac:dyDescent="0.25">
      <c r="A248" s="8">
        <v>42654.028738425928</v>
      </c>
      <c r="B248" t="s">
        <v>223</v>
      </c>
      <c r="C248" t="s">
        <v>345</v>
      </c>
      <c r="D248">
        <v>1180000</v>
      </c>
      <c r="E248" t="s">
        <v>213</v>
      </c>
      <c r="F248" s="23" t="str">
        <f t="shared" si="8"/>
        <v>rtdc.l.rtdc.4003:itc</v>
      </c>
      <c r="G248" s="8">
        <f t="shared" si="9"/>
        <v>42654.028738425928</v>
      </c>
    </row>
    <row r="249" spans="1:7" x14ac:dyDescent="0.25">
      <c r="A249" s="8">
        <v>42654.03025462963</v>
      </c>
      <c r="B249" t="s">
        <v>223</v>
      </c>
      <c r="C249" t="s">
        <v>345</v>
      </c>
      <c r="D249">
        <v>1180000</v>
      </c>
      <c r="E249" t="s">
        <v>213</v>
      </c>
      <c r="F249" s="23" t="str">
        <f t="shared" si="8"/>
        <v>rtdc.l.rtdc.4003:itc</v>
      </c>
      <c r="G249" s="8">
        <f t="shared" si="9"/>
        <v>42654.03025462963</v>
      </c>
    </row>
    <row r="250" spans="1:7" x14ac:dyDescent="0.25">
      <c r="A250" s="8">
        <v>42654.037499999999</v>
      </c>
      <c r="B250" t="s">
        <v>317</v>
      </c>
      <c r="C250" t="s">
        <v>346</v>
      </c>
      <c r="D250">
        <v>1800000</v>
      </c>
      <c r="E250" t="s">
        <v>272</v>
      </c>
      <c r="F250" s="23" t="str">
        <f t="shared" si="8"/>
        <v>rtdc.l.rtdc.4037:itc</v>
      </c>
      <c r="G250" s="8">
        <f t="shared" si="9"/>
        <v>42654.037499999999</v>
      </c>
    </row>
    <row r="251" spans="1:7" x14ac:dyDescent="0.25">
      <c r="A251" s="8">
        <v>42654.048842592594</v>
      </c>
      <c r="B251" t="s">
        <v>239</v>
      </c>
      <c r="C251" t="s">
        <v>347</v>
      </c>
      <c r="D251">
        <v>2350000</v>
      </c>
      <c r="E251" t="s">
        <v>299</v>
      </c>
      <c r="F251" s="23" t="str">
        <f t="shared" si="8"/>
        <v>rtdc.l.rtdc.4046:itc</v>
      </c>
      <c r="G251" s="8">
        <f t="shared" si="9"/>
        <v>42654.048842592594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A253" s="8">
        <v>42651.069953703707</v>
      </c>
      <c r="B253" t="s">
        <v>239</v>
      </c>
      <c r="C253" t="s">
        <v>257</v>
      </c>
      <c r="D253">
        <v>1800000</v>
      </c>
      <c r="E253" t="s">
        <v>272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231</v>
      </c>
      <c r="C254" t="s">
        <v>256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165</v>
      </c>
      <c r="C255" t="s">
        <v>261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165</v>
      </c>
      <c r="C256" t="s">
        <v>261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165</v>
      </c>
      <c r="C257" t="s">
        <v>260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263</v>
      </c>
      <c r="C258" t="s">
        <v>258</v>
      </c>
      <c r="D258">
        <v>1480000</v>
      </c>
      <c r="E258" t="s">
        <v>215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233</v>
      </c>
      <c r="C259" t="s">
        <v>259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233</v>
      </c>
      <c r="C261" t="s">
        <v>242</v>
      </c>
      <c r="D261">
        <v>1180000</v>
      </c>
      <c r="E261" t="s">
        <v>213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165</v>
      </c>
      <c r="C262" t="s">
        <v>241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219</v>
      </c>
      <c r="C263" t="s">
        <v>243</v>
      </c>
      <c r="D263">
        <v>1480000</v>
      </c>
      <c r="E263" t="s">
        <v>215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232</v>
      </c>
      <c r="C264" t="s">
        <v>244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166</v>
      </c>
      <c r="C265" t="s">
        <v>241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165</v>
      </c>
      <c r="C266" t="s">
        <v>241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165</v>
      </c>
      <c r="C267" t="s">
        <v>241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165</v>
      </c>
      <c r="C268" t="s">
        <v>241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165</v>
      </c>
      <c r="C269" t="s">
        <v>241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220</v>
      </c>
      <c r="C270" t="s">
        <v>245</v>
      </c>
      <c r="D270">
        <v>1480000</v>
      </c>
      <c r="E270" t="s">
        <v>215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166</v>
      </c>
      <c r="C271" t="s">
        <v>241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166</v>
      </c>
      <c r="C272" t="s">
        <v>241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166</v>
      </c>
      <c r="C273" t="s">
        <v>241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49" customWidth="1"/>
    <col min="2" max="2" width="8.140625" style="149" bestFit="1" customWidth="1"/>
    <col min="3" max="3" width="12.28515625" style="149" bestFit="1" customWidth="1"/>
    <col min="4" max="4" width="18.28515625" style="149" bestFit="1" customWidth="1"/>
    <col min="5" max="5" width="9.5703125" style="149" bestFit="1" customWidth="1"/>
    <col min="6" max="6" width="9" style="149" bestFit="1" customWidth="1"/>
    <col min="7" max="7" width="8.5703125" style="149" bestFit="1" customWidth="1"/>
    <col min="8" max="8" width="13.7109375" style="149" bestFit="1" customWidth="1"/>
    <col min="9" max="9" width="20.85546875" style="149" bestFit="1" customWidth="1"/>
    <col min="10" max="10" width="8.7109375" style="149" bestFit="1" customWidth="1"/>
    <col min="11" max="13" width="11" style="149" bestFit="1" customWidth="1"/>
    <col min="14" max="14" width="12.140625" style="149" bestFit="1" customWidth="1"/>
    <col min="15" max="15" width="14.5703125" style="149" bestFit="1" customWidth="1"/>
    <col min="16" max="16" width="16.42578125" style="149" bestFit="1" customWidth="1"/>
    <col min="17" max="17" width="9.140625" style="149"/>
    <col min="18" max="16384" width="9.140625" style="110"/>
  </cols>
  <sheetData>
    <row r="1" spans="1:17" s="151" customFormat="1" x14ac:dyDescent="0.25">
      <c r="A1" s="150" t="s">
        <v>176</v>
      </c>
      <c r="B1" s="150" t="s">
        <v>179</v>
      </c>
      <c r="C1" s="150" t="s">
        <v>172</v>
      </c>
      <c r="D1" s="150" t="s">
        <v>196</v>
      </c>
      <c r="E1" s="150" t="s">
        <v>173</v>
      </c>
      <c r="F1" s="150" t="s">
        <v>171</v>
      </c>
      <c r="G1" s="150" t="s">
        <v>169</v>
      </c>
      <c r="H1" s="150" t="s">
        <v>182</v>
      </c>
      <c r="I1" s="150" t="s">
        <v>183</v>
      </c>
      <c r="J1" s="150" t="s">
        <v>370</v>
      </c>
      <c r="K1" s="150" t="s">
        <v>177</v>
      </c>
      <c r="L1" s="150" t="s">
        <v>175</v>
      </c>
      <c r="M1" s="150" t="s">
        <v>170</v>
      </c>
      <c r="N1" s="150" t="s">
        <v>180</v>
      </c>
      <c r="O1" s="150" t="s">
        <v>174</v>
      </c>
      <c r="P1" s="150" t="s">
        <v>181</v>
      </c>
      <c r="Q1" s="150" t="s">
        <v>178</v>
      </c>
    </row>
    <row r="2" spans="1:17" x14ac:dyDescent="0.25">
      <c r="A2" s="149">
        <v>57.33</v>
      </c>
      <c r="B2" s="149">
        <v>0.95</v>
      </c>
      <c r="C2" s="149">
        <v>36.94</v>
      </c>
      <c r="D2" s="164">
        <v>42654</v>
      </c>
      <c r="E2" s="149">
        <v>0.46</v>
      </c>
      <c r="F2" s="149" t="s">
        <v>564</v>
      </c>
      <c r="G2" s="149">
        <v>299.55</v>
      </c>
      <c r="H2" s="149">
        <v>0</v>
      </c>
      <c r="I2" s="149">
        <v>0</v>
      </c>
      <c r="K2" s="149">
        <v>1014.11</v>
      </c>
      <c r="L2" s="149" t="s">
        <v>565</v>
      </c>
      <c r="M2" s="149">
        <v>57.33</v>
      </c>
      <c r="N2" s="149">
        <v>1476165600</v>
      </c>
      <c r="O2" s="149">
        <v>8.4499999999999993</v>
      </c>
      <c r="P2" s="149">
        <v>227</v>
      </c>
      <c r="Q2" s="149">
        <v>3.25</v>
      </c>
    </row>
    <row r="3" spans="1:17" x14ac:dyDescent="0.25">
      <c r="A3" s="149">
        <v>55.7</v>
      </c>
      <c r="B3" s="149">
        <v>0.88</v>
      </c>
      <c r="C3" s="149">
        <v>36.909999999999997</v>
      </c>
      <c r="D3" s="164">
        <v>42654.041666666664</v>
      </c>
      <c r="E3" s="149">
        <v>0.49</v>
      </c>
      <c r="F3" s="149" t="s">
        <v>293</v>
      </c>
      <c r="G3" s="149">
        <v>299.02999999999997</v>
      </c>
      <c r="H3" s="149">
        <v>0</v>
      </c>
      <c r="I3" s="149">
        <v>0</v>
      </c>
      <c r="K3" s="149">
        <v>1014.23</v>
      </c>
      <c r="L3" s="149" t="s">
        <v>292</v>
      </c>
      <c r="M3" s="149">
        <v>55.7</v>
      </c>
      <c r="N3" s="149">
        <v>1476169200</v>
      </c>
      <c r="O3" s="149">
        <v>8.59</v>
      </c>
      <c r="P3" s="149">
        <v>221</v>
      </c>
      <c r="Q3" s="149">
        <v>3.27</v>
      </c>
    </row>
    <row r="4" spans="1:17" x14ac:dyDescent="0.25">
      <c r="A4" s="149">
        <v>55.17</v>
      </c>
      <c r="B4" s="149">
        <v>0.82</v>
      </c>
      <c r="C4" s="149">
        <v>38.03</v>
      </c>
      <c r="D4" s="164">
        <v>42654.083333333336</v>
      </c>
      <c r="E4" s="149">
        <v>0.52</v>
      </c>
      <c r="F4" s="149" t="s">
        <v>293</v>
      </c>
      <c r="G4" s="149">
        <v>298.51</v>
      </c>
      <c r="H4" s="149">
        <v>8.9999999999999998E-4</v>
      </c>
      <c r="I4" s="149">
        <v>0.01</v>
      </c>
      <c r="J4" s="149" t="s">
        <v>371</v>
      </c>
      <c r="K4" s="149">
        <v>1014.35</v>
      </c>
      <c r="L4" s="149" t="s">
        <v>292</v>
      </c>
      <c r="M4" s="149">
        <v>55.17</v>
      </c>
      <c r="N4" s="149">
        <v>1476172800</v>
      </c>
      <c r="O4" s="149">
        <v>8.65</v>
      </c>
      <c r="P4" s="149">
        <v>236</v>
      </c>
      <c r="Q4" s="149">
        <v>3.29</v>
      </c>
    </row>
    <row r="5" spans="1:17" x14ac:dyDescent="0.25">
      <c r="A5" s="149">
        <v>54.47</v>
      </c>
      <c r="B5" s="149">
        <v>0.77</v>
      </c>
      <c r="C5" s="149">
        <v>38.36</v>
      </c>
      <c r="D5" s="164">
        <v>42654.125</v>
      </c>
      <c r="E5" s="149">
        <v>0.54</v>
      </c>
      <c r="F5" s="149" t="s">
        <v>293</v>
      </c>
      <c r="G5" s="149">
        <v>297.99</v>
      </c>
      <c r="H5" s="149">
        <v>1.2999999999999999E-3</v>
      </c>
      <c r="I5" s="149">
        <v>0.02</v>
      </c>
      <c r="J5" s="149" t="s">
        <v>371</v>
      </c>
      <c r="K5" s="149">
        <v>1014.48</v>
      </c>
      <c r="L5" s="149" t="s">
        <v>292</v>
      </c>
      <c r="M5" s="149">
        <v>54.47</v>
      </c>
      <c r="N5" s="149">
        <v>1476176400</v>
      </c>
      <c r="O5" s="149">
        <v>8.36</v>
      </c>
      <c r="P5" s="149">
        <v>252</v>
      </c>
      <c r="Q5" s="149">
        <v>3.57</v>
      </c>
    </row>
    <row r="6" spans="1:17" x14ac:dyDescent="0.25">
      <c r="A6" s="149">
        <v>53.8</v>
      </c>
      <c r="B6" s="149">
        <v>0.81</v>
      </c>
      <c r="C6" s="149">
        <v>38.619999999999997</v>
      </c>
      <c r="D6" s="164">
        <v>42654.166666666664</v>
      </c>
      <c r="E6" s="149">
        <v>0.56000000000000005</v>
      </c>
      <c r="F6" s="149" t="s">
        <v>293</v>
      </c>
      <c r="G6" s="149">
        <v>297.23</v>
      </c>
      <c r="H6" s="149">
        <v>1.1999999999999999E-3</v>
      </c>
      <c r="I6" s="149">
        <v>0.02</v>
      </c>
      <c r="J6" s="149" t="s">
        <v>371</v>
      </c>
      <c r="K6" s="149">
        <v>1014.46</v>
      </c>
      <c r="L6" s="149" t="s">
        <v>292</v>
      </c>
      <c r="M6" s="149">
        <v>53.8</v>
      </c>
      <c r="N6" s="149">
        <v>1476180000</v>
      </c>
      <c r="O6" s="149">
        <v>8.2799999999999994</v>
      </c>
      <c r="P6" s="149">
        <v>251</v>
      </c>
      <c r="Q6" s="149">
        <v>3.87</v>
      </c>
    </row>
    <row r="7" spans="1:17" x14ac:dyDescent="0.25">
      <c r="A7" s="149">
        <v>53.85</v>
      </c>
      <c r="B7" s="149">
        <v>0.9</v>
      </c>
      <c r="C7" s="149">
        <v>39.35</v>
      </c>
      <c r="D7" s="164">
        <v>42654.208333333336</v>
      </c>
      <c r="E7" s="149">
        <v>0.57999999999999996</v>
      </c>
      <c r="F7" s="149" t="s">
        <v>293</v>
      </c>
      <c r="G7" s="149">
        <v>296.38</v>
      </c>
      <c r="H7" s="149">
        <v>1E-3</v>
      </c>
      <c r="I7" s="149">
        <v>0.01</v>
      </c>
      <c r="J7" s="149" t="s">
        <v>371</v>
      </c>
      <c r="K7" s="149">
        <v>1014.42</v>
      </c>
      <c r="L7" s="149" t="s">
        <v>292</v>
      </c>
      <c r="M7" s="149">
        <v>53.85</v>
      </c>
      <c r="N7" s="149">
        <v>1476183600</v>
      </c>
      <c r="O7" s="149">
        <v>8.74</v>
      </c>
      <c r="P7" s="149">
        <v>253</v>
      </c>
      <c r="Q7" s="149">
        <v>4.43</v>
      </c>
    </row>
    <row r="8" spans="1:17" x14ac:dyDescent="0.25">
      <c r="A8" s="149">
        <v>53.95</v>
      </c>
      <c r="B8" s="149">
        <v>0.95</v>
      </c>
      <c r="C8" s="149">
        <v>39.450000000000003</v>
      </c>
      <c r="D8" s="164">
        <v>42654.25</v>
      </c>
      <c r="E8" s="149">
        <v>0.57999999999999996</v>
      </c>
      <c r="F8" s="149" t="s">
        <v>564</v>
      </c>
      <c r="G8" s="149">
        <v>295.64999999999998</v>
      </c>
      <c r="H8" s="149">
        <v>8.0000000000000004E-4</v>
      </c>
      <c r="I8" s="149">
        <v>0.01</v>
      </c>
      <c r="J8" s="149" t="s">
        <v>371</v>
      </c>
      <c r="K8" s="149">
        <v>1014.46</v>
      </c>
      <c r="L8" s="149" t="s">
        <v>565</v>
      </c>
      <c r="M8" s="149">
        <v>53.95</v>
      </c>
      <c r="N8" s="149">
        <v>1476187200</v>
      </c>
      <c r="O8" s="149">
        <v>7.79</v>
      </c>
      <c r="P8" s="149">
        <v>254</v>
      </c>
      <c r="Q8" s="149">
        <v>4.83</v>
      </c>
    </row>
    <row r="9" spans="1:17" x14ac:dyDescent="0.25">
      <c r="A9" s="149">
        <v>53.81</v>
      </c>
      <c r="B9" s="149">
        <v>0.66</v>
      </c>
      <c r="C9" s="149">
        <v>40.049999999999997</v>
      </c>
      <c r="D9" s="164">
        <v>42654.291666666664</v>
      </c>
      <c r="E9" s="149">
        <v>0.6</v>
      </c>
      <c r="F9" s="149" t="s">
        <v>293</v>
      </c>
      <c r="G9" s="149">
        <v>295.31</v>
      </c>
      <c r="H9" s="149">
        <v>0</v>
      </c>
      <c r="I9" s="149">
        <v>0</v>
      </c>
      <c r="K9" s="149">
        <v>1014.49</v>
      </c>
      <c r="L9" s="149" t="s">
        <v>292</v>
      </c>
      <c r="M9" s="149">
        <v>53.81</v>
      </c>
      <c r="N9" s="149">
        <v>1476190800</v>
      </c>
      <c r="O9" s="149">
        <v>6.99</v>
      </c>
      <c r="P9" s="149">
        <v>225</v>
      </c>
      <c r="Q9" s="149">
        <v>2.82</v>
      </c>
    </row>
    <row r="10" spans="1:17" x14ac:dyDescent="0.25">
      <c r="A10" s="149">
        <v>54.86</v>
      </c>
      <c r="B10" s="149">
        <v>0.49</v>
      </c>
      <c r="C10" s="149">
        <v>40.36</v>
      </c>
      <c r="D10" s="164">
        <v>42654.333333333336</v>
      </c>
      <c r="E10" s="149">
        <v>0.57999999999999996</v>
      </c>
      <c r="F10" s="149" t="s">
        <v>290</v>
      </c>
      <c r="G10" s="149">
        <v>295.10000000000002</v>
      </c>
      <c r="H10" s="149">
        <v>0</v>
      </c>
      <c r="I10" s="149">
        <v>0</v>
      </c>
      <c r="K10" s="149">
        <v>1014.54</v>
      </c>
      <c r="L10" s="149" t="s">
        <v>291</v>
      </c>
      <c r="M10" s="149">
        <v>54.86</v>
      </c>
      <c r="N10" s="149">
        <v>1476194400</v>
      </c>
      <c r="O10" s="149">
        <v>5.73</v>
      </c>
      <c r="P10" s="149">
        <v>211</v>
      </c>
      <c r="Q10" s="149">
        <v>1.77</v>
      </c>
    </row>
    <row r="11" spans="1:17" x14ac:dyDescent="0.25">
      <c r="A11" s="149">
        <v>57.48</v>
      </c>
      <c r="B11" s="149">
        <v>0.42</v>
      </c>
      <c r="C11" s="149">
        <v>40.56</v>
      </c>
      <c r="D11" s="164">
        <v>42654.375</v>
      </c>
      <c r="E11" s="149">
        <v>0.53</v>
      </c>
      <c r="F11" s="149" t="s">
        <v>290</v>
      </c>
      <c r="G11" s="149">
        <v>294.39999999999998</v>
      </c>
      <c r="H11" s="149">
        <v>0</v>
      </c>
      <c r="I11" s="149">
        <v>0</v>
      </c>
      <c r="K11" s="149">
        <v>1014.39</v>
      </c>
      <c r="L11" s="149" t="s">
        <v>291</v>
      </c>
      <c r="M11" s="149">
        <v>57.48</v>
      </c>
      <c r="N11" s="149">
        <v>1476198000</v>
      </c>
      <c r="O11" s="149">
        <v>5.52</v>
      </c>
      <c r="P11" s="149">
        <v>213</v>
      </c>
      <c r="Q11" s="149">
        <v>2.54</v>
      </c>
    </row>
    <row r="12" spans="1:17" x14ac:dyDescent="0.25">
      <c r="A12" s="149">
        <v>61.84</v>
      </c>
      <c r="B12" s="149">
        <v>0.4</v>
      </c>
      <c r="C12" s="149">
        <v>40.630000000000003</v>
      </c>
      <c r="D12" s="164">
        <v>42654.416666666664</v>
      </c>
      <c r="E12" s="149">
        <v>0.46</v>
      </c>
      <c r="F12" s="149" t="s">
        <v>290</v>
      </c>
      <c r="G12" s="149">
        <v>292.77</v>
      </c>
      <c r="H12" s="149">
        <v>0</v>
      </c>
      <c r="I12" s="149">
        <v>0</v>
      </c>
      <c r="K12" s="149">
        <v>1013.89</v>
      </c>
      <c r="L12" s="149" t="s">
        <v>291</v>
      </c>
      <c r="M12" s="149">
        <v>61.84</v>
      </c>
      <c r="N12" s="149">
        <v>1476201600</v>
      </c>
      <c r="O12" s="149">
        <v>5.45</v>
      </c>
      <c r="P12" s="149">
        <v>211</v>
      </c>
      <c r="Q12" s="149">
        <v>2.76</v>
      </c>
    </row>
    <row r="13" spans="1:17" x14ac:dyDescent="0.25">
      <c r="A13" s="149">
        <v>65.34</v>
      </c>
      <c r="B13" s="149">
        <v>0.33</v>
      </c>
      <c r="C13" s="149">
        <v>40.22</v>
      </c>
      <c r="D13" s="164">
        <v>42654.458333333336</v>
      </c>
      <c r="E13" s="149">
        <v>0.4</v>
      </c>
      <c r="F13" s="149" t="s">
        <v>290</v>
      </c>
      <c r="G13" s="149">
        <v>290.64999999999998</v>
      </c>
      <c r="H13" s="149">
        <v>0</v>
      </c>
      <c r="I13" s="149">
        <v>0</v>
      </c>
      <c r="K13" s="149">
        <v>1013.16</v>
      </c>
      <c r="L13" s="149" t="s">
        <v>291</v>
      </c>
      <c r="M13" s="149">
        <v>65.34</v>
      </c>
      <c r="N13" s="149">
        <v>1476205200</v>
      </c>
      <c r="O13" s="149">
        <v>5.5</v>
      </c>
      <c r="P13" s="149">
        <v>219</v>
      </c>
      <c r="Q13" s="149">
        <v>1.8</v>
      </c>
    </row>
    <row r="14" spans="1:17" x14ac:dyDescent="0.25">
      <c r="A14" s="149">
        <v>67.650000000000006</v>
      </c>
      <c r="B14" s="149">
        <v>0.4</v>
      </c>
      <c r="C14" s="149">
        <v>38.93</v>
      </c>
      <c r="D14" s="164">
        <v>42654.5</v>
      </c>
      <c r="E14" s="149">
        <v>0.35</v>
      </c>
      <c r="F14" s="149" t="s">
        <v>290</v>
      </c>
      <c r="G14" s="149">
        <v>288.81</v>
      </c>
      <c r="H14" s="149">
        <v>0</v>
      </c>
      <c r="I14" s="149">
        <v>0</v>
      </c>
      <c r="K14" s="149">
        <v>1012.44</v>
      </c>
      <c r="L14" s="149" t="s">
        <v>291</v>
      </c>
      <c r="M14" s="149">
        <v>67.650000000000006</v>
      </c>
      <c r="N14" s="149">
        <v>1476208800</v>
      </c>
      <c r="O14" s="149">
        <v>5.55</v>
      </c>
      <c r="P14" s="149">
        <v>194</v>
      </c>
      <c r="Q14" s="149">
        <v>0.93</v>
      </c>
    </row>
    <row r="15" spans="1:17" x14ac:dyDescent="0.25">
      <c r="A15" s="149">
        <v>69.739999999999995</v>
      </c>
      <c r="B15" s="149">
        <v>0.37</v>
      </c>
      <c r="C15" s="149">
        <v>37.729999999999997</v>
      </c>
      <c r="D15" s="164">
        <v>42654.541666666664</v>
      </c>
      <c r="E15" s="149">
        <v>0.31</v>
      </c>
      <c r="F15" s="149" t="s">
        <v>290</v>
      </c>
      <c r="G15" s="149">
        <v>287.69</v>
      </c>
      <c r="H15" s="149">
        <v>1.1999999999999999E-3</v>
      </c>
      <c r="I15" s="149">
        <v>0.02</v>
      </c>
      <c r="J15" s="149" t="s">
        <v>371</v>
      </c>
      <c r="K15" s="149">
        <v>1011.45</v>
      </c>
      <c r="L15" s="149" t="s">
        <v>291</v>
      </c>
      <c r="M15" s="149">
        <v>69.739999999999995</v>
      </c>
      <c r="N15" s="149">
        <v>1476212400</v>
      </c>
      <c r="O15" s="149">
        <v>5.65</v>
      </c>
      <c r="P15" s="149">
        <v>242</v>
      </c>
      <c r="Q15" s="149">
        <v>1.32</v>
      </c>
    </row>
    <row r="16" spans="1:17" x14ac:dyDescent="0.25">
      <c r="A16" s="149">
        <v>71.38</v>
      </c>
      <c r="B16" s="149">
        <v>0.32</v>
      </c>
      <c r="C16" s="149">
        <v>36.159999999999997</v>
      </c>
      <c r="D16" s="164">
        <v>42654.583333333336</v>
      </c>
      <c r="E16" s="149">
        <v>0.28000000000000003</v>
      </c>
      <c r="F16" s="149" t="s">
        <v>290</v>
      </c>
      <c r="G16" s="149">
        <v>286.85000000000002</v>
      </c>
      <c r="H16" s="149">
        <v>2.3E-3</v>
      </c>
      <c r="I16" s="149">
        <v>0.06</v>
      </c>
      <c r="J16" s="149" t="s">
        <v>371</v>
      </c>
      <c r="K16" s="149">
        <v>1010.5</v>
      </c>
      <c r="L16" s="149" t="s">
        <v>291</v>
      </c>
      <c r="M16" s="149">
        <v>71.38</v>
      </c>
      <c r="N16" s="149">
        <v>1476216000</v>
      </c>
      <c r="O16" s="149">
        <v>5.65</v>
      </c>
      <c r="P16" s="149">
        <v>260</v>
      </c>
      <c r="Q16" s="149">
        <v>1.93</v>
      </c>
    </row>
    <row r="17" spans="1:17" x14ac:dyDescent="0.25">
      <c r="A17" s="149">
        <v>72.44</v>
      </c>
      <c r="B17" s="149">
        <v>0.31</v>
      </c>
      <c r="C17" s="149">
        <v>31.86</v>
      </c>
      <c r="D17" s="164">
        <v>42654.625</v>
      </c>
      <c r="E17" s="149">
        <v>0.22</v>
      </c>
      <c r="F17" s="149" t="s">
        <v>290</v>
      </c>
      <c r="G17" s="149">
        <v>285.75</v>
      </c>
      <c r="H17" s="149">
        <v>2.8999999999999998E-3</v>
      </c>
      <c r="I17" s="149">
        <v>0.09</v>
      </c>
      <c r="J17" s="149" t="s">
        <v>371</v>
      </c>
      <c r="K17" s="149">
        <v>1010.02</v>
      </c>
      <c r="L17" s="149" t="s">
        <v>291</v>
      </c>
      <c r="M17" s="149">
        <v>72.44</v>
      </c>
      <c r="N17" s="149">
        <v>1476219600</v>
      </c>
      <c r="O17" s="149">
        <v>5.69</v>
      </c>
      <c r="P17" s="149">
        <v>257</v>
      </c>
      <c r="Q17" s="149">
        <v>3.07</v>
      </c>
    </row>
    <row r="18" spans="1:17" x14ac:dyDescent="0.25">
      <c r="A18" s="149">
        <v>71.36</v>
      </c>
      <c r="B18" s="149">
        <v>0.39</v>
      </c>
      <c r="C18" s="149">
        <v>35.340000000000003</v>
      </c>
      <c r="D18" s="164">
        <v>42654.666666666664</v>
      </c>
      <c r="E18" s="149">
        <v>0.27</v>
      </c>
      <c r="F18" s="149" t="s">
        <v>290</v>
      </c>
      <c r="G18" s="149">
        <v>283.81</v>
      </c>
      <c r="H18" s="149">
        <v>2.2000000000000001E-3</v>
      </c>
      <c r="I18" s="149">
        <v>0.06</v>
      </c>
      <c r="J18" s="149" t="s">
        <v>371</v>
      </c>
      <c r="K18" s="149">
        <v>1010.19</v>
      </c>
      <c r="L18" s="149" t="s">
        <v>291</v>
      </c>
      <c r="M18" s="149">
        <v>71.36</v>
      </c>
      <c r="N18" s="149">
        <v>1476223200</v>
      </c>
      <c r="O18" s="149">
        <v>5.73</v>
      </c>
      <c r="P18" s="149">
        <v>271</v>
      </c>
      <c r="Q18" s="149">
        <v>5.74</v>
      </c>
    </row>
    <row r="19" spans="1:17" x14ac:dyDescent="0.25">
      <c r="A19" s="149">
        <v>68.489999999999995</v>
      </c>
      <c r="B19" s="149">
        <v>0.5</v>
      </c>
      <c r="C19" s="149">
        <v>36.06</v>
      </c>
      <c r="D19" s="164">
        <v>42654.708333333336</v>
      </c>
      <c r="E19" s="149">
        <v>0.3</v>
      </c>
      <c r="F19" s="149" t="s">
        <v>290</v>
      </c>
      <c r="G19" s="149">
        <v>281.61</v>
      </c>
      <c r="H19" s="149">
        <v>0</v>
      </c>
      <c r="I19" s="149">
        <v>0</v>
      </c>
      <c r="K19" s="149">
        <v>1010.64</v>
      </c>
      <c r="L19" s="149" t="s">
        <v>291</v>
      </c>
      <c r="M19" s="149">
        <v>68.489999999999995</v>
      </c>
      <c r="N19" s="149">
        <v>1476226800</v>
      </c>
      <c r="O19" s="149">
        <v>8.06</v>
      </c>
      <c r="P19" s="149">
        <v>290</v>
      </c>
      <c r="Q19" s="149">
        <v>3.73</v>
      </c>
    </row>
    <row r="20" spans="1:17" x14ac:dyDescent="0.25">
      <c r="A20" s="149">
        <v>65.349999999999994</v>
      </c>
      <c r="B20" s="149">
        <v>0.6</v>
      </c>
      <c r="C20" s="149">
        <v>35.94</v>
      </c>
      <c r="D20" s="164">
        <v>42654.75</v>
      </c>
      <c r="E20" s="149">
        <v>0.34</v>
      </c>
      <c r="F20" s="149" t="s">
        <v>290</v>
      </c>
      <c r="G20" s="149">
        <v>280.45999999999998</v>
      </c>
      <c r="H20" s="149">
        <v>0</v>
      </c>
      <c r="I20" s="149">
        <v>0</v>
      </c>
      <c r="K20" s="149">
        <v>1011.1</v>
      </c>
      <c r="L20" s="149" t="s">
        <v>292</v>
      </c>
      <c r="M20" s="149">
        <v>65.349999999999994</v>
      </c>
      <c r="N20" s="149">
        <v>1476230400</v>
      </c>
      <c r="O20" s="149">
        <v>8.25</v>
      </c>
      <c r="P20" s="149">
        <v>329</v>
      </c>
      <c r="Q20" s="149">
        <v>1.37</v>
      </c>
    </row>
    <row r="21" spans="1:17" x14ac:dyDescent="0.25">
      <c r="A21" s="149">
        <v>63.58</v>
      </c>
      <c r="B21" s="149">
        <v>0.72</v>
      </c>
      <c r="C21" s="149">
        <v>36.33</v>
      </c>
      <c r="D21" s="164">
        <v>42654.791666666664</v>
      </c>
      <c r="E21" s="149">
        <v>0.36</v>
      </c>
      <c r="F21" s="149" t="s">
        <v>293</v>
      </c>
      <c r="G21" s="149">
        <v>281.19</v>
      </c>
      <c r="H21" s="149">
        <v>1.6999999999999999E-3</v>
      </c>
      <c r="I21" s="149">
        <v>0.04</v>
      </c>
      <c r="J21" s="149" t="s">
        <v>371</v>
      </c>
      <c r="K21" s="149">
        <v>1011.59</v>
      </c>
      <c r="L21" s="149" t="s">
        <v>292</v>
      </c>
      <c r="M21" s="149">
        <v>63.58</v>
      </c>
      <c r="N21" s="149">
        <v>1476234000</v>
      </c>
      <c r="O21" s="149">
        <v>8.52</v>
      </c>
      <c r="P21" s="149">
        <v>344</v>
      </c>
      <c r="Q21" s="149">
        <v>1.03</v>
      </c>
    </row>
    <row r="22" spans="1:17" x14ac:dyDescent="0.25">
      <c r="A22" s="149">
        <v>60.67</v>
      </c>
      <c r="B22" s="149">
        <v>0.65</v>
      </c>
      <c r="C22" s="149">
        <v>37.97</v>
      </c>
      <c r="D22" s="164">
        <v>42654.833333333336</v>
      </c>
      <c r="E22" s="149">
        <v>0.43</v>
      </c>
      <c r="F22" s="149" t="s">
        <v>371</v>
      </c>
      <c r="G22" s="149">
        <v>282.95999999999998</v>
      </c>
      <c r="H22" s="149">
        <v>6.3E-3</v>
      </c>
      <c r="I22" s="149">
        <v>0.27</v>
      </c>
      <c r="J22" s="149" t="s">
        <v>371</v>
      </c>
      <c r="K22" s="149">
        <v>1012.41</v>
      </c>
      <c r="L22" s="149" t="s">
        <v>566</v>
      </c>
      <c r="M22" s="149">
        <v>60.67</v>
      </c>
      <c r="N22" s="149">
        <v>1476237600</v>
      </c>
      <c r="O22" s="149">
        <v>8.8800000000000008</v>
      </c>
      <c r="P22" s="149">
        <v>81</v>
      </c>
      <c r="Q22" s="149">
        <v>2.57</v>
      </c>
    </row>
    <row r="23" spans="1:17" x14ac:dyDescent="0.25">
      <c r="A23" s="149">
        <v>57.41</v>
      </c>
      <c r="B23" s="149">
        <v>0.61</v>
      </c>
      <c r="C23" s="149">
        <v>39.03</v>
      </c>
      <c r="D23" s="164">
        <v>42654.875</v>
      </c>
      <c r="E23" s="149">
        <v>0.5</v>
      </c>
      <c r="F23" s="149" t="s">
        <v>293</v>
      </c>
      <c r="G23" s="149">
        <v>284.56</v>
      </c>
      <c r="H23" s="149">
        <v>3.2000000000000002E-3</v>
      </c>
      <c r="I23" s="149">
        <v>0.1</v>
      </c>
      <c r="J23" s="149" t="s">
        <v>371</v>
      </c>
      <c r="K23" s="149">
        <v>1013.5</v>
      </c>
      <c r="L23" s="149" t="s">
        <v>292</v>
      </c>
      <c r="M23" s="149">
        <v>57.41</v>
      </c>
      <c r="N23" s="149">
        <v>1476241200</v>
      </c>
      <c r="O23" s="149">
        <v>9.2799999999999994</v>
      </c>
      <c r="P23" s="149">
        <v>95</v>
      </c>
      <c r="Q23" s="149">
        <v>3.46</v>
      </c>
    </row>
    <row r="24" spans="1:17" x14ac:dyDescent="0.25">
      <c r="A24" s="149">
        <v>55.02</v>
      </c>
      <c r="B24" s="149">
        <v>0.49</v>
      </c>
      <c r="C24" s="149">
        <v>41.14</v>
      </c>
      <c r="D24" s="164">
        <v>42654.916666666664</v>
      </c>
      <c r="E24" s="149">
        <v>0.59</v>
      </c>
      <c r="F24" s="149" t="s">
        <v>371</v>
      </c>
      <c r="G24" s="149">
        <v>285.55</v>
      </c>
      <c r="H24" s="149">
        <v>6.8999999999999999E-3</v>
      </c>
      <c r="I24" s="149">
        <v>0.3</v>
      </c>
      <c r="J24" s="149" t="s">
        <v>371</v>
      </c>
      <c r="K24" s="149">
        <v>1015.07</v>
      </c>
      <c r="L24" s="149" t="s">
        <v>566</v>
      </c>
      <c r="M24" s="149">
        <v>55.02</v>
      </c>
      <c r="N24" s="149">
        <v>1476244800</v>
      </c>
      <c r="O24" s="149">
        <v>9.15</v>
      </c>
      <c r="P24" s="149">
        <v>45</v>
      </c>
      <c r="Q24" s="149">
        <v>2.52</v>
      </c>
    </row>
    <row r="25" spans="1:17" x14ac:dyDescent="0.25">
      <c r="A25" s="149">
        <v>52.43</v>
      </c>
      <c r="B25" s="149">
        <v>0.44</v>
      </c>
      <c r="C25" s="149">
        <v>42.98</v>
      </c>
      <c r="D25" s="164">
        <v>42654.958333333336</v>
      </c>
      <c r="E25" s="149">
        <v>0.7</v>
      </c>
      <c r="F25" s="149" t="s">
        <v>371</v>
      </c>
      <c r="G25" s="149">
        <v>286.37</v>
      </c>
      <c r="H25" s="149">
        <v>1.47E-2</v>
      </c>
      <c r="I25" s="149">
        <v>0.49</v>
      </c>
      <c r="J25" s="149" t="s">
        <v>371</v>
      </c>
      <c r="K25" s="149">
        <v>1017.05</v>
      </c>
      <c r="L25" s="149" t="s">
        <v>372</v>
      </c>
      <c r="M25" s="149">
        <v>52.43</v>
      </c>
      <c r="N25" s="149">
        <v>1476248400</v>
      </c>
      <c r="O25" s="149">
        <v>7.78</v>
      </c>
      <c r="P25" s="149">
        <v>45</v>
      </c>
      <c r="Q25" s="149">
        <v>4.04</v>
      </c>
    </row>
    <row r="26" spans="1:17" x14ac:dyDescent="0.25">
      <c r="A26" s="149">
        <v>50.39</v>
      </c>
      <c r="B26" s="149">
        <v>0.43</v>
      </c>
      <c r="C26" s="149">
        <v>44.6</v>
      </c>
      <c r="D26" s="164">
        <v>42655</v>
      </c>
      <c r="E26" s="149">
        <v>0.8</v>
      </c>
      <c r="F26" s="149" t="s">
        <v>371</v>
      </c>
      <c r="G26" s="149">
        <v>287.05</v>
      </c>
      <c r="H26" s="149">
        <v>1.5599999999999999E-2</v>
      </c>
      <c r="I26" s="149">
        <v>0.5</v>
      </c>
      <c r="J26" s="149" t="s">
        <v>371</v>
      </c>
      <c r="K26" s="149">
        <v>1018.75</v>
      </c>
      <c r="L26" s="149" t="s">
        <v>372</v>
      </c>
      <c r="M26" s="149">
        <v>50.39</v>
      </c>
      <c r="N26" s="149">
        <v>1476252000</v>
      </c>
      <c r="O26" s="149">
        <v>4.0599999999999996</v>
      </c>
      <c r="P26" s="149">
        <v>50</v>
      </c>
      <c r="Q26" s="149">
        <v>4.34</v>
      </c>
    </row>
    <row r="27" spans="1:17" x14ac:dyDescent="0.25">
      <c r="A27" s="149">
        <v>46.42</v>
      </c>
      <c r="B27" s="149">
        <v>0.69</v>
      </c>
      <c r="C27" s="149">
        <v>44.36</v>
      </c>
      <c r="D27" s="164">
        <v>42655.041666666664</v>
      </c>
      <c r="E27" s="149">
        <v>0.87</v>
      </c>
      <c r="F27" s="149" t="s">
        <v>371</v>
      </c>
      <c r="G27" s="149">
        <v>287.47000000000003</v>
      </c>
      <c r="H27" s="149">
        <v>1.8599999999999998E-2</v>
      </c>
      <c r="I27" s="149">
        <v>0.52</v>
      </c>
      <c r="J27" s="149" t="s">
        <v>371</v>
      </c>
      <c r="K27" s="149">
        <v>1019.45</v>
      </c>
      <c r="L27" s="149" t="s">
        <v>372</v>
      </c>
      <c r="M27" s="149">
        <v>47.95</v>
      </c>
      <c r="N27" s="149">
        <v>1476255600</v>
      </c>
      <c r="O27" s="149">
        <v>2.58</v>
      </c>
      <c r="P27" s="149">
        <v>34</v>
      </c>
      <c r="Q27" s="149">
        <v>4.1100000000000003</v>
      </c>
    </row>
    <row r="28" spans="1:17" x14ac:dyDescent="0.25">
      <c r="A28" s="149">
        <v>41.19</v>
      </c>
      <c r="B28" s="149">
        <v>0.85</v>
      </c>
      <c r="C28" s="149">
        <v>41.51</v>
      </c>
      <c r="D28" s="164">
        <v>42655.083333333336</v>
      </c>
      <c r="E28" s="149">
        <v>0.91</v>
      </c>
      <c r="F28" s="149" t="s">
        <v>371</v>
      </c>
      <c r="G28" s="149">
        <v>287.89999999999998</v>
      </c>
      <c r="H28" s="149">
        <v>2.18E-2</v>
      </c>
      <c r="I28" s="149">
        <v>0.53</v>
      </c>
      <c r="J28" s="149" t="s">
        <v>371</v>
      </c>
      <c r="K28" s="149">
        <v>1020.14</v>
      </c>
      <c r="L28" s="149" t="s">
        <v>372</v>
      </c>
      <c r="M28" s="149">
        <v>43.85</v>
      </c>
      <c r="N28" s="149">
        <v>1476259200</v>
      </c>
      <c r="O28" s="149">
        <v>2.17</v>
      </c>
      <c r="P28" s="149">
        <v>34</v>
      </c>
      <c r="Q28" s="149">
        <v>4.7300000000000004</v>
      </c>
    </row>
    <row r="29" spans="1:17" x14ac:dyDescent="0.25">
      <c r="A29" s="149">
        <v>37.83</v>
      </c>
      <c r="B29" s="149">
        <v>0.97</v>
      </c>
      <c r="C29" s="149">
        <v>38.81</v>
      </c>
      <c r="D29" s="164">
        <v>42655.125</v>
      </c>
      <c r="E29" s="149">
        <v>0.93</v>
      </c>
      <c r="F29" s="149" t="s">
        <v>564</v>
      </c>
      <c r="G29" s="149">
        <v>288.32</v>
      </c>
      <c r="H29" s="149">
        <v>0</v>
      </c>
      <c r="I29" s="149">
        <v>0</v>
      </c>
      <c r="K29" s="149">
        <v>1020.83</v>
      </c>
      <c r="L29" s="149" t="s">
        <v>565</v>
      </c>
      <c r="M29" s="149">
        <v>40.65</v>
      </c>
      <c r="N29" s="149">
        <v>1476262800</v>
      </c>
      <c r="O29" s="149">
        <v>2.27</v>
      </c>
      <c r="P29" s="149">
        <v>35</v>
      </c>
      <c r="Q29" s="149">
        <v>4.26</v>
      </c>
    </row>
    <row r="31" spans="1:17" x14ac:dyDescent="0.25">
      <c r="A31" s="149" t="s">
        <v>567</v>
      </c>
    </row>
    <row r="33" spans="1:1" x14ac:dyDescent="0.25">
      <c r="A33" s="149" t="s">
        <v>273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1" customWidth="1"/>
    <col min="4" max="4" width="19.140625" style="71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4" t="s">
        <v>107</v>
      </c>
      <c r="D1" s="175" t="s">
        <v>108</v>
      </c>
      <c r="J1" s="34" t="s">
        <v>109</v>
      </c>
      <c r="K1" s="34" t="s">
        <v>72</v>
      </c>
      <c r="L1" s="34" t="s">
        <v>73</v>
      </c>
      <c r="O1" s="72" t="s">
        <v>110</v>
      </c>
    </row>
    <row r="2" spans="1:16" ht="15.75" thickBot="1" x14ac:dyDescent="0.3">
      <c r="A2" s="14">
        <v>42654</v>
      </c>
      <c r="B2" s="4"/>
      <c r="C2" s="176">
        <v>50</v>
      </c>
      <c r="D2" s="177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09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4" t="s">
        <v>107</v>
      </c>
      <c r="D4" s="175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09">
        <f t="shared" si="0"/>
        <v>3.09</v>
      </c>
    </row>
    <row r="5" spans="1:16" x14ac:dyDescent="0.25">
      <c r="C5" s="71">
        <v>30</v>
      </c>
      <c r="D5" s="71">
        <v>9</v>
      </c>
      <c r="J5" s="35" t="s">
        <v>76</v>
      </c>
      <c r="K5" s="36">
        <v>3.3136000000000001</v>
      </c>
      <c r="L5" s="36">
        <v>3.3256999999999999</v>
      </c>
      <c r="M5" s="109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09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09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09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09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09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09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09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09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09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214</v>
      </c>
    </row>
    <row r="21" spans="10:13" x14ac:dyDescent="0.25">
      <c r="J21" s="23" t="s">
        <v>97</v>
      </c>
      <c r="K21" s="23" t="s">
        <v>98</v>
      </c>
      <c r="M21" s="70" t="s">
        <v>217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1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C:\Users\stu\Documents\GitHub\eaglep3-reporting\EC\2016-10-11-refined-times.txt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131</v>
      </c>
      <c r="B1" s="122" t="s">
        <v>132</v>
      </c>
      <c r="C1" s="123" t="s">
        <v>133</v>
      </c>
      <c r="H1" t="s">
        <v>127</v>
      </c>
      <c r="I1" s="124" t="s">
        <v>129</v>
      </c>
      <c r="J1"/>
    </row>
    <row r="2" spans="1:11" x14ac:dyDescent="0.25">
      <c r="A2" s="123" t="s">
        <v>134</v>
      </c>
      <c r="B2" s="123" t="s">
        <v>135</v>
      </c>
      <c r="C2" s="123" t="s">
        <v>136</v>
      </c>
      <c r="H2" t="s">
        <v>128</v>
      </c>
      <c r="I2" s="109" t="s">
        <v>130</v>
      </c>
      <c r="J2"/>
    </row>
    <row r="3" spans="1:11" x14ac:dyDescent="0.25">
      <c r="A3" s="123" t="s">
        <v>137</v>
      </c>
      <c r="B3" s="123" t="s">
        <v>138</v>
      </c>
      <c r="C3" s="123" t="s">
        <v>139</v>
      </c>
      <c r="H3" t="s">
        <v>153</v>
      </c>
      <c r="I3" s="109">
        <v>1</v>
      </c>
      <c r="J3"/>
      <c r="K3" s="70"/>
    </row>
    <row r="4" spans="1:11" x14ac:dyDescent="0.25">
      <c r="A4" s="123" t="s">
        <v>140</v>
      </c>
      <c r="C4" s="123" t="s">
        <v>141</v>
      </c>
      <c r="H4" t="s">
        <v>154</v>
      </c>
      <c r="I4" s="109">
        <v>2</v>
      </c>
      <c r="J4"/>
      <c r="K4" s="70"/>
    </row>
    <row r="5" spans="1:11" x14ac:dyDescent="0.25">
      <c r="A5" s="123" t="s">
        <v>142</v>
      </c>
      <c r="C5" s="123" t="s">
        <v>143</v>
      </c>
      <c r="H5" t="s">
        <v>155</v>
      </c>
      <c r="I5" s="109">
        <v>23</v>
      </c>
      <c r="J5"/>
      <c r="K5" s="70"/>
    </row>
    <row r="6" spans="1:11" x14ac:dyDescent="0.25">
      <c r="A6" s="123" t="s">
        <v>144</v>
      </c>
      <c r="C6" s="123" t="s">
        <v>145</v>
      </c>
      <c r="H6" s="126" t="s">
        <v>156</v>
      </c>
      <c r="I6" s="127" t="s">
        <v>135</v>
      </c>
    </row>
    <row r="7" spans="1:11" x14ac:dyDescent="0.25">
      <c r="A7" s="123" t="s">
        <v>146</v>
      </c>
      <c r="C7" s="123" t="s">
        <v>147</v>
      </c>
    </row>
    <row r="8" spans="1:11" x14ac:dyDescent="0.25">
      <c r="C8" s="123" t="s">
        <v>148</v>
      </c>
    </row>
    <row r="9" spans="1:11" x14ac:dyDescent="0.25">
      <c r="C9" s="126" t="s">
        <v>198</v>
      </c>
    </row>
    <row r="10" spans="1:11" x14ac:dyDescent="0.25">
      <c r="C10" s="123" t="s">
        <v>149</v>
      </c>
    </row>
    <row r="11" spans="1:11" x14ac:dyDescent="0.25">
      <c r="C11" s="123" t="s">
        <v>150</v>
      </c>
    </row>
    <row r="12" spans="1:11" x14ac:dyDescent="0.25">
      <c r="C12" s="123" t="s">
        <v>151</v>
      </c>
    </row>
    <row r="13" spans="1:11" x14ac:dyDescent="0.25">
      <c r="C13" s="123" t="s">
        <v>152</v>
      </c>
    </row>
    <row r="14" spans="1:11" x14ac:dyDescent="0.25">
      <c r="C14" s="126" t="s">
        <v>199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2016-10-12T17:27:17Z</dcterms:modified>
</cp:coreProperties>
</file>