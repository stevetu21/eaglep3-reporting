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Trips'!$A$2:$J$74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6" i="1" l="1"/>
  <c r="X198" i="1"/>
  <c r="K195" i="1"/>
  <c r="L195" i="1"/>
  <c r="M195" i="1"/>
  <c r="N195" i="1"/>
  <c r="V195" i="1"/>
  <c r="AA195" i="1"/>
  <c r="AB195" i="1"/>
  <c r="AC195" i="1"/>
  <c r="AD195" i="1"/>
  <c r="AG195" i="1" s="1"/>
  <c r="AE195" i="1"/>
  <c r="AF195" i="1"/>
  <c r="AH195" i="1"/>
  <c r="AM195" i="1"/>
  <c r="AN195" i="1"/>
  <c r="X201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X169" i="1"/>
  <c r="K14" i="1"/>
  <c r="L14" i="1"/>
  <c r="M14" i="1"/>
  <c r="N14" i="1" s="1"/>
  <c r="V14" i="1"/>
  <c r="S18" i="3" s="1"/>
  <c r="Y14" i="1"/>
  <c r="Z14" i="1"/>
  <c r="AB14" i="1"/>
  <c r="AC14" i="1"/>
  <c r="AD14" i="1"/>
  <c r="T14" i="1" s="1"/>
  <c r="AE14" i="1"/>
  <c r="R18" i="3" s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8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4" i="3" s="1"/>
  <c r="Y24" i="1"/>
  <c r="Z24" i="1"/>
  <c r="AB24" i="1"/>
  <c r="AC24" i="1"/>
  <c r="AD24" i="1"/>
  <c r="AG24" i="1" s="1"/>
  <c r="AE24" i="1"/>
  <c r="R14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12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S17" i="3" s="1"/>
  <c r="Y45" i="1"/>
  <c r="Z45" i="1"/>
  <c r="AB45" i="1"/>
  <c r="AC45" i="1"/>
  <c r="AD45" i="1"/>
  <c r="T45" i="1" s="1"/>
  <c r="AE45" i="1"/>
  <c r="R17" i="3" s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22" i="3" s="1"/>
  <c r="Y61" i="1"/>
  <c r="Z61" i="1"/>
  <c r="AA61" i="1" s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S10" i="3" s="1"/>
  <c r="Y63" i="1"/>
  <c r="Z63" i="1"/>
  <c r="AB63" i="1"/>
  <c r="AC63" i="1"/>
  <c r="AD63" i="1"/>
  <c r="AE63" i="1"/>
  <c r="R10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S19" i="3" s="1"/>
  <c r="Y68" i="1"/>
  <c r="Z68" i="1"/>
  <c r="AA68" i="1" s="1"/>
  <c r="AB68" i="1"/>
  <c r="AC68" i="1"/>
  <c r="AD68" i="1"/>
  <c r="T68" i="1" s="1"/>
  <c r="AE68" i="1"/>
  <c r="R19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R20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R21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1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X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P89" i="1" s="1"/>
  <c r="V89" i="1"/>
  <c r="S23" i="3" s="1"/>
  <c r="Y89" i="1"/>
  <c r="Z89" i="1"/>
  <c r="AA89" i="1" s="1"/>
  <c r="AB89" i="1"/>
  <c r="AC89" i="1"/>
  <c r="AD89" i="1"/>
  <c r="AE89" i="1"/>
  <c r="R23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P91" i="1" s="1"/>
  <c r="V91" i="1"/>
  <c r="Y91" i="1"/>
  <c r="Z91" i="1"/>
  <c r="AA91" i="1" s="1"/>
  <c r="W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T92" i="1" s="1"/>
  <c r="AE92" i="1"/>
  <c r="AF92" i="1"/>
  <c r="AG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S26" i="3" s="1"/>
  <c r="Y104" i="1"/>
  <c r="Z104" i="1"/>
  <c r="AA104" i="1" s="1"/>
  <c r="AB104" i="1"/>
  <c r="AC104" i="1"/>
  <c r="AD104" i="1"/>
  <c r="T104" i="1" s="1"/>
  <c r="AE104" i="1"/>
  <c r="R26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R24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9" i="3" s="1"/>
  <c r="Y131" i="1"/>
  <c r="Z131" i="1"/>
  <c r="AB131" i="1"/>
  <c r="AC131" i="1"/>
  <c r="AD131" i="1"/>
  <c r="T131" i="1" s="1"/>
  <c r="AE131" i="1"/>
  <c r="R9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S7" i="3" s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X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S35" i="3" s="1"/>
  <c r="Y236" i="1"/>
  <c r="Z236" i="1"/>
  <c r="AB236" i="1"/>
  <c r="AC236" i="1"/>
  <c r="AD236" i="1"/>
  <c r="AG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86" i="1"/>
  <c r="AM186" i="1"/>
  <c r="AN186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8" i="1"/>
  <c r="AM188" i="1"/>
  <c r="AN188" i="1"/>
  <c r="AH189" i="1"/>
  <c r="AM189" i="1"/>
  <c r="AN189" i="1"/>
  <c r="K163" i="1"/>
  <c r="L163" i="1"/>
  <c r="M163" i="1"/>
  <c r="N163" i="1" s="1"/>
  <c r="V163" i="1"/>
  <c r="Y163" i="1"/>
  <c r="Z163" i="1"/>
  <c r="AA163" i="1" s="1"/>
  <c r="AB163" i="1"/>
  <c r="AC163" i="1"/>
  <c r="AD163" i="1"/>
  <c r="X163" i="1" s="1"/>
  <c r="AE163" i="1"/>
  <c r="AF163" i="1"/>
  <c r="AH190" i="1"/>
  <c r="AM190" i="1"/>
  <c r="AN190" i="1"/>
  <c r="K164" i="1"/>
  <c r="L164" i="1"/>
  <c r="M164" i="1"/>
  <c r="N164" i="1"/>
  <c r="V164" i="1"/>
  <c r="Y164" i="1"/>
  <c r="Z164" i="1"/>
  <c r="AA164" i="1" s="1"/>
  <c r="AB164" i="1"/>
  <c r="AC164" i="1"/>
  <c r="AD164" i="1"/>
  <c r="AG164" i="1" s="1"/>
  <c r="AE164" i="1"/>
  <c r="AF164" i="1"/>
  <c r="AH191" i="1"/>
  <c r="AM191" i="1"/>
  <c r="AN191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2" i="1"/>
  <c r="AM192" i="1"/>
  <c r="AN192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93" i="1"/>
  <c r="AM193" i="1"/>
  <c r="AN193" i="1"/>
  <c r="K167" i="1"/>
  <c r="L167" i="1"/>
  <c r="M167" i="1"/>
  <c r="N167" i="1" s="1"/>
  <c r="T167" i="1"/>
  <c r="V167" i="1"/>
  <c r="Y167" i="1"/>
  <c r="Z167" i="1"/>
  <c r="AB167" i="1"/>
  <c r="AC167" i="1"/>
  <c r="AD167" i="1"/>
  <c r="AG167" i="1" s="1"/>
  <c r="AE167" i="1"/>
  <c r="AF167" i="1"/>
  <c r="AH194" i="1"/>
  <c r="AM194" i="1"/>
  <c r="AN194" i="1"/>
  <c r="K240" i="1"/>
  <c r="L240" i="1"/>
  <c r="M240" i="1"/>
  <c r="N240" i="1" s="1"/>
  <c r="V240" i="1"/>
  <c r="S36" i="3" s="1"/>
  <c r="Y240" i="1"/>
  <c r="Z240" i="1"/>
  <c r="AB240" i="1"/>
  <c r="AC240" i="1"/>
  <c r="AD240" i="1"/>
  <c r="AG240" i="1" s="1"/>
  <c r="AE240" i="1"/>
  <c r="AF240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0" i="1"/>
  <c r="AM200" i="1"/>
  <c r="AN200" i="1"/>
  <c r="K170" i="1"/>
  <c r="L170" i="1"/>
  <c r="M170" i="1"/>
  <c r="N170" i="1" s="1"/>
  <c r="T170" i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201" i="1"/>
  <c r="AM201" i="1"/>
  <c r="AN201" i="1"/>
  <c r="K172" i="1"/>
  <c r="L172" i="1"/>
  <c r="M172" i="1"/>
  <c r="N172" i="1" s="1"/>
  <c r="V172" i="1"/>
  <c r="S30" i="3" s="1"/>
  <c r="Y172" i="1"/>
  <c r="Z172" i="1"/>
  <c r="AB172" i="1"/>
  <c r="AC172" i="1"/>
  <c r="AD172" i="1"/>
  <c r="T172" i="1" s="1"/>
  <c r="AE172" i="1"/>
  <c r="R30" i="3" s="1"/>
  <c r="AF172" i="1"/>
  <c r="AH202" i="1"/>
  <c r="AM202" i="1"/>
  <c r="AN20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R29" i="3" s="1"/>
  <c r="AF173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6" i="1"/>
  <c r="AM206" i="1"/>
  <c r="AN206" i="1"/>
  <c r="K177" i="1"/>
  <c r="L177" i="1"/>
  <c r="M177" i="1"/>
  <c r="N177" i="1" s="1"/>
  <c r="V177" i="1"/>
  <c r="S28" i="3" s="1"/>
  <c r="Y177" i="1"/>
  <c r="Z177" i="1"/>
  <c r="AB177" i="1"/>
  <c r="AC177" i="1"/>
  <c r="AD177" i="1"/>
  <c r="AE177" i="1"/>
  <c r="R28" i="3" s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209" i="1"/>
  <c r="AM209" i="1"/>
  <c r="AN209" i="1"/>
  <c r="K180" i="1"/>
  <c r="L180" i="1"/>
  <c r="M180" i="1"/>
  <c r="N180" i="1" s="1"/>
  <c r="T180" i="1"/>
  <c r="V180" i="1"/>
  <c r="Y180" i="1"/>
  <c r="Z180" i="1"/>
  <c r="AB180" i="1"/>
  <c r="AC180" i="1"/>
  <c r="AD180" i="1"/>
  <c r="AG180" i="1" s="1"/>
  <c r="AE180" i="1"/>
  <c r="AF180" i="1"/>
  <c r="AH210" i="1"/>
  <c r="AM210" i="1"/>
  <c r="AN210" i="1"/>
  <c r="K181" i="1"/>
  <c r="L181" i="1"/>
  <c r="M181" i="1"/>
  <c r="N181" i="1" s="1"/>
  <c r="V181" i="1"/>
  <c r="S27" i="3" s="1"/>
  <c r="Y181" i="1"/>
  <c r="Z181" i="1"/>
  <c r="AB181" i="1"/>
  <c r="AC181" i="1"/>
  <c r="AD181" i="1"/>
  <c r="X181" i="1" s="1"/>
  <c r="AE181" i="1"/>
  <c r="AF181" i="1"/>
  <c r="AH211" i="1"/>
  <c r="AM211" i="1"/>
  <c r="AN2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R31" i="3" s="1"/>
  <c r="AF182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32" i="3" s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A188" i="1" s="1"/>
  <c r="W188" i="1" s="1"/>
  <c r="AB188" i="1"/>
  <c r="AC188" i="1"/>
  <c r="AD188" i="1"/>
  <c r="AG188" i="1" s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1" i="1"/>
  <c r="AM221" i="1"/>
  <c r="AN221" i="1"/>
  <c r="K192" i="1"/>
  <c r="L192" i="1"/>
  <c r="M192" i="1"/>
  <c r="N192" i="1" s="1"/>
  <c r="V192" i="1"/>
  <c r="S33" i="3" s="1"/>
  <c r="Y192" i="1"/>
  <c r="Z192" i="1"/>
  <c r="AB192" i="1"/>
  <c r="AC192" i="1"/>
  <c r="AD192" i="1"/>
  <c r="AG192" i="1" s="1"/>
  <c r="AE192" i="1"/>
  <c r="R33" i="3" s="1"/>
  <c r="AF192" i="1"/>
  <c r="AH222" i="1"/>
  <c r="AM222" i="1"/>
  <c r="AN22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4" i="1"/>
  <c r="AM224" i="1"/>
  <c r="AN224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6" i="1"/>
  <c r="AM226" i="1"/>
  <c r="AN226" i="1"/>
  <c r="K198" i="1"/>
  <c r="L198" i="1"/>
  <c r="M198" i="1"/>
  <c r="N198" i="1" s="1"/>
  <c r="V198" i="1"/>
  <c r="S34" i="3" s="1"/>
  <c r="Y198" i="1"/>
  <c r="Z198" i="1"/>
  <c r="AB198" i="1"/>
  <c r="AC198" i="1"/>
  <c r="AD198" i="1"/>
  <c r="AG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9" i="1"/>
  <c r="AM229" i="1"/>
  <c r="AN229" i="1"/>
  <c r="AH230" i="1"/>
  <c r="AM230" i="1"/>
  <c r="AN23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2" i="1"/>
  <c r="AM232" i="1"/>
  <c r="AN232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33" i="1"/>
  <c r="AM233" i="1"/>
  <c r="AN23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34" i="1"/>
  <c r="AM234" i="1"/>
  <c r="AN234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35" i="1"/>
  <c r="AM235" i="1"/>
  <c r="AN23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G206" i="1"/>
  <c r="AH236" i="1"/>
  <c r="AM236" i="1"/>
  <c r="AN236" i="1"/>
  <c r="K219" i="1"/>
  <c r="L219" i="1"/>
  <c r="M219" i="1"/>
  <c r="N219" i="1" s="1"/>
  <c r="V219" i="1"/>
  <c r="Y219" i="1"/>
  <c r="Z219" i="1"/>
  <c r="AB219" i="1"/>
  <c r="AC219" i="1"/>
  <c r="AD219" i="1"/>
  <c r="AE219" i="1"/>
  <c r="R38" i="3" s="1"/>
  <c r="AF219" i="1"/>
  <c r="AH237" i="1"/>
  <c r="AM237" i="1"/>
  <c r="AN23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8" i="1"/>
  <c r="AM238" i="1"/>
  <c r="AN238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0" i="1"/>
  <c r="AM240" i="1"/>
  <c r="AN24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1" i="1"/>
  <c r="AM241" i="1"/>
  <c r="AN24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42" i="1"/>
  <c r="AM242" i="1"/>
  <c r="AN242" i="1"/>
  <c r="M18" i="3"/>
  <c r="U18" i="3"/>
  <c r="T18" i="3" s="1"/>
  <c r="V18" i="3"/>
  <c r="W18" i="3"/>
  <c r="X18" i="3"/>
  <c r="M37" i="3"/>
  <c r="R37" i="3"/>
  <c r="U37" i="3"/>
  <c r="T37" i="3" s="1"/>
  <c r="V37" i="3"/>
  <c r="W37" i="3"/>
  <c r="X37" i="3"/>
  <c r="AC37" i="3"/>
  <c r="M38" i="3"/>
  <c r="U38" i="3"/>
  <c r="AC38" i="3" s="1"/>
  <c r="V38" i="3"/>
  <c r="W38" i="3"/>
  <c r="X38" i="3"/>
  <c r="M8" i="3"/>
  <c r="R8" i="3"/>
  <c r="U8" i="3"/>
  <c r="V8" i="3"/>
  <c r="W8" i="3"/>
  <c r="X8" i="3"/>
  <c r="M14" i="3"/>
  <c r="U14" i="3"/>
  <c r="T14" i="3" s="1"/>
  <c r="V14" i="3"/>
  <c r="W14" i="3"/>
  <c r="X14" i="3"/>
  <c r="M12" i="3"/>
  <c r="R12" i="3"/>
  <c r="U12" i="3"/>
  <c r="AD12" i="3" s="1"/>
  <c r="V12" i="3"/>
  <c r="W12" i="3"/>
  <c r="X12" i="3"/>
  <c r="AC12" i="3"/>
  <c r="M16" i="3"/>
  <c r="R16" i="3"/>
  <c r="U16" i="3"/>
  <c r="AC16" i="3" s="1"/>
  <c r="V16" i="3"/>
  <c r="W16" i="3"/>
  <c r="X16" i="3"/>
  <c r="M17" i="3"/>
  <c r="U17" i="3"/>
  <c r="T17" i="3" s="1"/>
  <c r="V17" i="3"/>
  <c r="W17" i="3"/>
  <c r="X17" i="3"/>
  <c r="AC17" i="3"/>
  <c r="M30" i="3"/>
  <c r="U30" i="3"/>
  <c r="T30" i="3" s="1"/>
  <c r="V30" i="3"/>
  <c r="W30" i="3"/>
  <c r="X30" i="3"/>
  <c r="M10" i="3"/>
  <c r="U10" i="3"/>
  <c r="V10" i="3"/>
  <c r="W10" i="3"/>
  <c r="X10" i="3"/>
  <c r="AC10" i="3"/>
  <c r="M22" i="3"/>
  <c r="R22" i="3"/>
  <c r="U22" i="3"/>
  <c r="AC22" i="3" s="1"/>
  <c r="V22" i="3"/>
  <c r="W22" i="3"/>
  <c r="Y22" i="3" s="1"/>
  <c r="X22" i="3"/>
  <c r="M29" i="3"/>
  <c r="S29" i="3"/>
  <c r="U29" i="3"/>
  <c r="V29" i="3"/>
  <c r="W29" i="3"/>
  <c r="X29" i="3"/>
  <c r="M19" i="3"/>
  <c r="U19" i="3"/>
  <c r="T19" i="3" s="1"/>
  <c r="V19" i="3"/>
  <c r="W19" i="3"/>
  <c r="X19" i="3"/>
  <c r="M20" i="3"/>
  <c r="S20" i="3"/>
  <c r="U20" i="3"/>
  <c r="T20" i="3" s="1"/>
  <c r="V20" i="3"/>
  <c r="W20" i="3"/>
  <c r="X20" i="3"/>
  <c r="AC20" i="3"/>
  <c r="M28" i="3"/>
  <c r="U28" i="3"/>
  <c r="AC28" i="3" s="1"/>
  <c r="V28" i="3"/>
  <c r="W28" i="3"/>
  <c r="Y28" i="3" s="1"/>
  <c r="X28" i="3"/>
  <c r="M15" i="3"/>
  <c r="S15" i="3"/>
  <c r="U15" i="3"/>
  <c r="T15" i="3" s="1"/>
  <c r="V15" i="3"/>
  <c r="W15" i="3"/>
  <c r="X15" i="3"/>
  <c r="AC15" i="3"/>
  <c r="M21" i="3"/>
  <c r="S21" i="3"/>
  <c r="U21" i="3"/>
  <c r="T21" i="3" s="1"/>
  <c r="V21" i="3"/>
  <c r="W21" i="3"/>
  <c r="X21" i="3"/>
  <c r="M23" i="3"/>
  <c r="U23" i="3"/>
  <c r="T23" i="3" s="1"/>
  <c r="V23" i="3"/>
  <c r="W23" i="3"/>
  <c r="X23" i="3"/>
  <c r="AC23" i="3"/>
  <c r="M13" i="3"/>
  <c r="S13" i="3"/>
  <c r="U13" i="3"/>
  <c r="T13" i="3" s="1"/>
  <c r="V13" i="3"/>
  <c r="W13" i="3"/>
  <c r="X13" i="3"/>
  <c r="M27" i="3"/>
  <c r="R27" i="3"/>
  <c r="U27" i="3"/>
  <c r="AD27" i="3" s="1"/>
  <c r="V27" i="3"/>
  <c r="W27" i="3"/>
  <c r="X27" i="3"/>
  <c r="AC27" i="3"/>
  <c r="M31" i="3"/>
  <c r="S31" i="3"/>
  <c r="U31" i="3"/>
  <c r="AC31" i="3" s="1"/>
  <c r="V31" i="3"/>
  <c r="W31" i="3"/>
  <c r="X31" i="3"/>
  <c r="M26" i="3"/>
  <c r="U26" i="3"/>
  <c r="V26" i="3"/>
  <c r="W26" i="3"/>
  <c r="X26" i="3"/>
  <c r="AC26" i="3"/>
  <c r="M32" i="3"/>
  <c r="S32" i="3"/>
  <c r="U32" i="3"/>
  <c r="T32" i="3" s="1"/>
  <c r="V32" i="3"/>
  <c r="W32" i="3"/>
  <c r="X32" i="3"/>
  <c r="M35" i="3"/>
  <c r="R35" i="3"/>
  <c r="U35" i="3"/>
  <c r="AD35" i="3" s="1"/>
  <c r="V35" i="3"/>
  <c r="W35" i="3"/>
  <c r="X35" i="3"/>
  <c r="AC35" i="3"/>
  <c r="M33" i="3"/>
  <c r="U33" i="3"/>
  <c r="AC33" i="3" s="1"/>
  <c r="V33" i="3"/>
  <c r="W33" i="3"/>
  <c r="X33" i="3"/>
  <c r="M11" i="3"/>
  <c r="R11" i="3"/>
  <c r="U11" i="3"/>
  <c r="V11" i="3"/>
  <c r="W11" i="3"/>
  <c r="Y11" i="3" s="1"/>
  <c r="X11" i="3"/>
  <c r="M24" i="3"/>
  <c r="U24" i="3"/>
  <c r="T24" i="3" s="1"/>
  <c r="V24" i="3"/>
  <c r="W24" i="3"/>
  <c r="X24" i="3"/>
  <c r="M9" i="3"/>
  <c r="U9" i="3"/>
  <c r="T9" i="3" s="1"/>
  <c r="V9" i="3"/>
  <c r="W9" i="3"/>
  <c r="X9" i="3"/>
  <c r="AC9" i="3"/>
  <c r="M34" i="3"/>
  <c r="R34" i="3"/>
  <c r="U34" i="3"/>
  <c r="AC34" i="3" s="1"/>
  <c r="V34" i="3"/>
  <c r="W34" i="3"/>
  <c r="X34" i="3"/>
  <c r="M36" i="3"/>
  <c r="R36" i="3"/>
  <c r="U36" i="3"/>
  <c r="V36" i="3"/>
  <c r="W36" i="3"/>
  <c r="X36" i="3"/>
  <c r="AC36" i="3"/>
  <c r="M7" i="3"/>
  <c r="R7" i="3"/>
  <c r="U7" i="3"/>
  <c r="T7" i="3" s="1"/>
  <c r="V7" i="3"/>
  <c r="W7" i="3"/>
  <c r="Y7" i="3" s="1"/>
  <c r="X7" i="3"/>
  <c r="X205" i="1" l="1"/>
  <c r="AA130" i="1"/>
  <c r="X204" i="1"/>
  <c r="X200" i="1"/>
  <c r="X197" i="1"/>
  <c r="AA197" i="1"/>
  <c r="AD38" i="3"/>
  <c r="AA184" i="1"/>
  <c r="X173" i="1"/>
  <c r="AG172" i="1"/>
  <c r="W172" i="1" s="1"/>
  <c r="X166" i="1"/>
  <c r="AG208" i="1"/>
  <c r="AI208" i="1" s="1"/>
  <c r="AG86" i="1"/>
  <c r="T34" i="1"/>
  <c r="U34" i="1" s="1"/>
  <c r="S34" i="1" s="1"/>
  <c r="Y18" i="3"/>
  <c r="T192" i="1"/>
  <c r="U192" i="1" s="1"/>
  <c r="S192" i="1" s="1"/>
  <c r="AA191" i="1"/>
  <c r="AA226" i="1"/>
  <c r="AA145" i="1"/>
  <c r="AA143" i="1"/>
  <c r="AA141" i="1"/>
  <c r="AG131" i="1"/>
  <c r="U131" i="1" s="1"/>
  <c r="S131" i="1" s="1"/>
  <c r="X131" i="1"/>
  <c r="AA123" i="1"/>
  <c r="AA113" i="1"/>
  <c r="AA99" i="1"/>
  <c r="W99" i="1" s="1"/>
  <c r="AA97" i="1"/>
  <c r="T87" i="1"/>
  <c r="X83" i="1"/>
  <c r="AA53" i="1"/>
  <c r="AA51" i="1"/>
  <c r="AA34" i="1"/>
  <c r="X159" i="1"/>
  <c r="X202" i="1"/>
  <c r="X195" i="1"/>
  <c r="W195" i="1"/>
  <c r="T195" i="1"/>
  <c r="U195" i="1" s="1"/>
  <c r="S195" i="1" s="1"/>
  <c r="AI195" i="1"/>
  <c r="Y35" i="3"/>
  <c r="AD29" i="3"/>
  <c r="Y21" i="3"/>
  <c r="Y15" i="3"/>
  <c r="Y29" i="3"/>
  <c r="Y8" i="3"/>
  <c r="T197" i="1"/>
  <c r="T114" i="1"/>
  <c r="U114" i="1" s="1"/>
  <c r="S114" i="1" s="1"/>
  <c r="T90" i="1"/>
  <c r="W86" i="1"/>
  <c r="X167" i="1"/>
  <c r="Y34" i="3"/>
  <c r="AE11" i="3"/>
  <c r="Y33" i="3"/>
  <c r="AD30" i="3"/>
  <c r="R15" i="3"/>
  <c r="S16" i="3"/>
  <c r="AA220" i="1"/>
  <c r="X240" i="1"/>
  <c r="T164" i="1"/>
  <c r="U164" i="1" s="1"/>
  <c r="S164" i="1" s="1"/>
  <c r="AA228" i="1"/>
  <c r="AA214" i="1"/>
  <c r="AA122" i="1"/>
  <c r="X103" i="1"/>
  <c r="T94" i="1"/>
  <c r="T91" i="1"/>
  <c r="AA76" i="1"/>
  <c r="AA74" i="1"/>
  <c r="AA44" i="1"/>
  <c r="W44" i="1" s="1"/>
  <c r="X41" i="1"/>
  <c r="T40" i="1"/>
  <c r="X157" i="1"/>
  <c r="T27" i="3"/>
  <c r="AA204" i="1"/>
  <c r="W204" i="1" s="1"/>
  <c r="AG186" i="1"/>
  <c r="AA183" i="1"/>
  <c r="AA172" i="1"/>
  <c r="AA240" i="1"/>
  <c r="T240" i="1"/>
  <c r="AA160" i="1"/>
  <c r="W160" i="1" s="1"/>
  <c r="AA236" i="1"/>
  <c r="W236" i="1" s="1"/>
  <c r="AG230" i="1"/>
  <c r="AI230" i="1" s="1"/>
  <c r="AA210" i="1"/>
  <c r="AG152" i="1"/>
  <c r="AI152" i="1" s="1"/>
  <c r="AA151" i="1"/>
  <c r="AA149" i="1"/>
  <c r="AA127" i="1"/>
  <c r="AI106" i="1"/>
  <c r="AA98" i="1"/>
  <c r="AG76" i="1"/>
  <c r="AI76" i="1" s="1"/>
  <c r="X74" i="1"/>
  <c r="X45" i="1"/>
  <c r="AA39" i="1"/>
  <c r="AG31" i="1"/>
  <c r="AI31" i="1" s="1"/>
  <c r="AA30" i="1"/>
  <c r="W30" i="1" s="1"/>
  <c r="X164" i="1"/>
  <c r="X162" i="1"/>
  <c r="AG159" i="1"/>
  <c r="AG165" i="1"/>
  <c r="T165" i="1"/>
  <c r="T72" i="1"/>
  <c r="AG72" i="1"/>
  <c r="AI72" i="1" s="1"/>
  <c r="T26" i="3"/>
  <c r="AG178" i="1"/>
  <c r="AI178" i="1" s="1"/>
  <c r="T178" i="1"/>
  <c r="AG184" i="1"/>
  <c r="W184" i="1" s="1"/>
  <c r="T184" i="1"/>
  <c r="AD37" i="3"/>
  <c r="Y24" i="3"/>
  <c r="AE29" i="3"/>
  <c r="AG222" i="1"/>
  <c r="AI222" i="1" s="1"/>
  <c r="T222" i="1"/>
  <c r="U222" i="1" s="1"/>
  <c r="S222" i="1" s="1"/>
  <c r="AG194" i="1"/>
  <c r="T194" i="1"/>
  <c r="U194" i="1" s="1"/>
  <c r="S194" i="1" s="1"/>
  <c r="T160" i="1"/>
  <c r="U160" i="1" s="1"/>
  <c r="S160" i="1" s="1"/>
  <c r="AG160" i="1"/>
  <c r="AA238" i="1"/>
  <c r="X233" i="1"/>
  <c r="AG232" i="1"/>
  <c r="W232" i="1" s="1"/>
  <c r="T218" i="1"/>
  <c r="X218" i="1"/>
  <c r="AG218" i="1"/>
  <c r="AI218" i="1" s="1"/>
  <c r="AA218" i="1"/>
  <c r="AA156" i="1"/>
  <c r="T155" i="1"/>
  <c r="U155" i="1" s="1"/>
  <c r="S155" i="1" s="1"/>
  <c r="AG155" i="1"/>
  <c r="AI155" i="1" s="1"/>
  <c r="AI86" i="1"/>
  <c r="AA72" i="1"/>
  <c r="AA241" i="1"/>
  <c r="AA146" i="1"/>
  <c r="W146" i="1" s="1"/>
  <c r="AI146" i="1"/>
  <c r="X143" i="1"/>
  <c r="AG142" i="1"/>
  <c r="AI138" i="1"/>
  <c r="AA133" i="1"/>
  <c r="X123" i="1"/>
  <c r="AG123" i="1"/>
  <c r="X99" i="1"/>
  <c r="AG99" i="1"/>
  <c r="AD20" i="3"/>
  <c r="T156" i="1"/>
  <c r="AG156" i="1"/>
  <c r="AI156" i="1" s="1"/>
  <c r="AG122" i="1"/>
  <c r="T122" i="1"/>
  <c r="U122" i="1" s="1"/>
  <c r="S122" i="1" s="1"/>
  <c r="AD16" i="3"/>
  <c r="T12" i="3"/>
  <c r="AD31" i="3"/>
  <c r="Y20" i="3"/>
  <c r="AD17" i="3"/>
  <c r="S37" i="3"/>
  <c r="S38" i="3"/>
  <c r="AG205" i="1"/>
  <c r="W205" i="1" s="1"/>
  <c r="AG169" i="1"/>
  <c r="T169" i="1"/>
  <c r="U169" i="1" s="1"/>
  <c r="S169" i="1" s="1"/>
  <c r="AG212" i="1"/>
  <c r="AA155" i="1"/>
  <c r="W155" i="1" s="1"/>
  <c r="AA153" i="1"/>
  <c r="T150" i="1"/>
  <c r="AG150" i="1"/>
  <c r="AA134" i="1"/>
  <c r="W134" i="1" s="1"/>
  <c r="AI134" i="1"/>
  <c r="X130" i="1"/>
  <c r="T130" i="1"/>
  <c r="S11" i="3"/>
  <c r="S24" i="3"/>
  <c r="AA106" i="1"/>
  <c r="W106" i="1" s="1"/>
  <c r="T63" i="1"/>
  <c r="AG63" i="1"/>
  <c r="U63" i="1" s="1"/>
  <c r="S63" i="1" s="1"/>
  <c r="X59" i="1"/>
  <c r="AG58" i="1"/>
  <c r="U58" i="1" s="1"/>
  <c r="S58" i="1" s="1"/>
  <c r="X58" i="1"/>
  <c r="AG55" i="1"/>
  <c r="AI55" i="1" s="1"/>
  <c r="X55" i="1"/>
  <c r="AA43" i="1"/>
  <c r="Y10" i="3"/>
  <c r="Y16" i="3"/>
  <c r="Y14" i="3"/>
  <c r="AA234" i="1"/>
  <c r="W234" i="1" s="1"/>
  <c r="AA216" i="1"/>
  <c r="X151" i="1"/>
  <c r="U90" i="1"/>
  <c r="S90" i="1" s="1"/>
  <c r="AA90" i="1"/>
  <c r="AG45" i="1"/>
  <c r="AI45" i="1" s="1"/>
  <c r="AA21" i="1"/>
  <c r="X17" i="1"/>
  <c r="Y30" i="3"/>
  <c r="AI188" i="1"/>
  <c r="W208" i="1"/>
  <c r="AE37" i="3"/>
  <c r="Y32" i="3"/>
  <c r="Y31" i="3"/>
  <c r="Y13" i="3"/>
  <c r="Y37" i="3"/>
  <c r="AA224" i="1"/>
  <c r="W224" i="1" s="1"/>
  <c r="AG220" i="1"/>
  <c r="X207" i="1"/>
  <c r="AA199" i="1"/>
  <c r="AA192" i="1"/>
  <c r="W192" i="1" s="1"/>
  <c r="AA180" i="1"/>
  <c r="W180" i="1" s="1"/>
  <c r="AG174" i="1"/>
  <c r="U174" i="1" s="1"/>
  <c r="S174" i="1" s="1"/>
  <c r="AA167" i="1"/>
  <c r="W167" i="1" s="1"/>
  <c r="AA231" i="1"/>
  <c r="AA152" i="1"/>
  <c r="AA137" i="1"/>
  <c r="AG135" i="1"/>
  <c r="X135" i="1"/>
  <c r="X134" i="1"/>
  <c r="AA132" i="1"/>
  <c r="AA131" i="1"/>
  <c r="AA129" i="1"/>
  <c r="AA121" i="1"/>
  <c r="AI114" i="1"/>
  <c r="AA114" i="1"/>
  <c r="W114" i="1" s="1"/>
  <c r="AG104" i="1"/>
  <c r="W104" i="1" s="1"/>
  <c r="X91" i="1"/>
  <c r="AG87" i="1"/>
  <c r="U87" i="1" s="1"/>
  <c r="S87" i="1" s="1"/>
  <c r="AA85" i="1"/>
  <c r="AA81" i="1"/>
  <c r="W81" i="1" s="1"/>
  <c r="AG68" i="1"/>
  <c r="X62" i="1"/>
  <c r="AA58" i="1"/>
  <c r="X54" i="1"/>
  <c r="AA47" i="1"/>
  <c r="T44" i="1"/>
  <c r="U44" i="1" s="1"/>
  <c r="S44" i="1" s="1"/>
  <c r="AA35" i="1"/>
  <c r="T30" i="1"/>
  <c r="U30" i="1" s="1"/>
  <c r="S30" i="1" s="1"/>
  <c r="AA28" i="1"/>
  <c r="AA26" i="1"/>
  <c r="AA24" i="1"/>
  <c r="AA16" i="1"/>
  <c r="W16" i="1" s="1"/>
  <c r="T204" i="1"/>
  <c r="U204" i="1" s="1"/>
  <c r="S204" i="1" s="1"/>
  <c r="AA203" i="1"/>
  <c r="U197" i="1"/>
  <c r="S197" i="1" s="1"/>
  <c r="T188" i="1"/>
  <c r="U188" i="1" s="1"/>
  <c r="S188" i="1" s="1"/>
  <c r="AA187" i="1"/>
  <c r="AA174" i="1"/>
  <c r="W174" i="1" s="1"/>
  <c r="AA169" i="1"/>
  <c r="AA168" i="1"/>
  <c r="AG241" i="1"/>
  <c r="U241" i="1" s="1"/>
  <c r="S241" i="1" s="1"/>
  <c r="AI164" i="1"/>
  <c r="T236" i="1"/>
  <c r="U236" i="1" s="1"/>
  <c r="S236" i="1" s="1"/>
  <c r="AA235" i="1"/>
  <c r="AA230" i="1"/>
  <c r="X229" i="1"/>
  <c r="AG228" i="1"/>
  <c r="W228" i="1" s="1"/>
  <c r="AG226" i="1"/>
  <c r="AI226" i="1" s="1"/>
  <c r="X226" i="1"/>
  <c r="AA213" i="1"/>
  <c r="AG211" i="1"/>
  <c r="U211" i="1" s="1"/>
  <c r="S211" i="1" s="1"/>
  <c r="AA209" i="1"/>
  <c r="AG207" i="1"/>
  <c r="AG147" i="1"/>
  <c r="U147" i="1" s="1"/>
  <c r="X147" i="1"/>
  <c r="AG139" i="1"/>
  <c r="U139" i="1" s="1"/>
  <c r="S139" i="1" s="1"/>
  <c r="X139" i="1"/>
  <c r="AA128" i="1"/>
  <c r="AA126" i="1"/>
  <c r="W126" i="1" s="1"/>
  <c r="T126" i="1"/>
  <c r="U126" i="1" s="1"/>
  <c r="S126" i="1" s="1"/>
  <c r="AA125" i="1"/>
  <c r="AG120" i="1"/>
  <c r="U120" i="1" s="1"/>
  <c r="S120" i="1" s="1"/>
  <c r="AG115" i="1"/>
  <c r="U115" i="1" s="1"/>
  <c r="S115" i="1" s="1"/>
  <c r="X115" i="1"/>
  <c r="AG112" i="1"/>
  <c r="AG107" i="1"/>
  <c r="U107" i="1" s="1"/>
  <c r="S107" i="1" s="1"/>
  <c r="X107" i="1"/>
  <c r="T106" i="1"/>
  <c r="U106" i="1" s="1"/>
  <c r="S106" i="1" s="1"/>
  <c r="AA105" i="1"/>
  <c r="AG96" i="1"/>
  <c r="U96" i="1" s="1"/>
  <c r="S96" i="1" s="1"/>
  <c r="AA95" i="1"/>
  <c r="W95" i="1" s="1"/>
  <c r="T95" i="1"/>
  <c r="U95" i="1" s="1"/>
  <c r="S95" i="1" s="1"/>
  <c r="AA93" i="1"/>
  <c r="AA84" i="1"/>
  <c r="AA82" i="1"/>
  <c r="AG80" i="1"/>
  <c r="W80" i="1" s="1"/>
  <c r="AA77" i="1"/>
  <c r="AA69" i="1"/>
  <c r="AA66" i="1"/>
  <c r="AG64" i="1"/>
  <c r="U64" i="1" s="1"/>
  <c r="S64" i="1" s="1"/>
  <c r="AA60" i="1"/>
  <c r="AA57" i="1"/>
  <c r="AA50" i="1"/>
  <c r="W50" i="1" s="1"/>
  <c r="T49" i="1"/>
  <c r="AA48" i="1"/>
  <c r="W48" i="1" s="1"/>
  <c r="T48" i="1"/>
  <c r="AG37" i="1"/>
  <c r="AI37" i="1" s="1"/>
  <c r="X37" i="1"/>
  <c r="X36" i="1"/>
  <c r="AA31" i="1"/>
  <c r="W31" i="1" s="1"/>
  <c r="X25" i="1"/>
  <c r="X176" i="1"/>
  <c r="X230" i="1"/>
  <c r="T215" i="1"/>
  <c r="U215" i="1" s="1"/>
  <c r="S215" i="1" s="1"/>
  <c r="W152" i="1"/>
  <c r="AA136" i="1"/>
  <c r="AA135" i="1"/>
  <c r="W122" i="1"/>
  <c r="X118" i="1"/>
  <c r="T17" i="1"/>
  <c r="T202" i="1"/>
  <c r="U202" i="1" s="1"/>
  <c r="S202" i="1" s="1"/>
  <c r="T224" i="1"/>
  <c r="U224" i="1" s="1"/>
  <c r="S224" i="1" s="1"/>
  <c r="AA223" i="1"/>
  <c r="AA206" i="1"/>
  <c r="W206" i="1" s="1"/>
  <c r="AG199" i="1"/>
  <c r="W199" i="1" s="1"/>
  <c r="AA198" i="1"/>
  <c r="T198" i="1"/>
  <c r="AA176" i="1"/>
  <c r="X237" i="1"/>
  <c r="AG234" i="1"/>
  <c r="AI234" i="1" s="1"/>
  <c r="X234" i="1"/>
  <c r="AA227" i="1"/>
  <c r="AA215" i="1"/>
  <c r="W215" i="1" s="1"/>
  <c r="AA211" i="1"/>
  <c r="AA207" i="1"/>
  <c r="AA154" i="1"/>
  <c r="T151" i="1"/>
  <c r="T143" i="1"/>
  <c r="X126" i="1"/>
  <c r="AA120" i="1"/>
  <c r="AA118" i="1"/>
  <c r="AA115" i="1"/>
  <c r="AA112" i="1"/>
  <c r="W112" i="1" s="1"/>
  <c r="AA110" i="1"/>
  <c r="W110" i="1" s="1"/>
  <c r="AA107" i="1"/>
  <c r="W107" i="1" s="1"/>
  <c r="AG98" i="1"/>
  <c r="U98" i="1" s="1"/>
  <c r="S98" i="1" s="1"/>
  <c r="X95" i="1"/>
  <c r="AA94" i="1"/>
  <c r="W94" i="1" s="1"/>
  <c r="AG84" i="1"/>
  <c r="U84" i="1" s="1"/>
  <c r="S84" i="1" s="1"/>
  <c r="X82" i="1"/>
  <c r="AA80" i="1"/>
  <c r="AA78" i="1"/>
  <c r="X75" i="1"/>
  <c r="AA73" i="1"/>
  <c r="AG71" i="1"/>
  <c r="AA70" i="1"/>
  <c r="X67" i="1"/>
  <c r="AG66" i="1"/>
  <c r="X66" i="1"/>
  <c r="AG60" i="1"/>
  <c r="X51" i="1"/>
  <c r="AG49" i="1"/>
  <c r="AI49" i="1" s="1"/>
  <c r="X48" i="1"/>
  <c r="AA36" i="1"/>
  <c r="W36" i="1" s="1"/>
  <c r="T36" i="1"/>
  <c r="U36" i="1" s="1"/>
  <c r="S36" i="1" s="1"/>
  <c r="AA33" i="1"/>
  <c r="X29" i="1"/>
  <c r="T25" i="1"/>
  <c r="X21" i="1"/>
  <c r="X225" i="1"/>
  <c r="U94" i="1"/>
  <c r="S94" i="1" s="1"/>
  <c r="W90" i="1"/>
  <c r="X78" i="1"/>
  <c r="W76" i="1"/>
  <c r="X70" i="1"/>
  <c r="W68" i="1"/>
  <c r="T41" i="1"/>
  <c r="AA20" i="1"/>
  <c r="W20" i="1" s="1"/>
  <c r="AG17" i="1"/>
  <c r="AI17" i="1" s="1"/>
  <c r="AI194" i="1"/>
  <c r="AI202" i="1"/>
  <c r="U220" i="1"/>
  <c r="S220" i="1" s="1"/>
  <c r="AI206" i="1"/>
  <c r="AG193" i="1"/>
  <c r="X193" i="1"/>
  <c r="AG185" i="1"/>
  <c r="W185" i="1" s="1"/>
  <c r="X185" i="1"/>
  <c r="AA221" i="1"/>
  <c r="W221" i="1" s="1"/>
  <c r="T221" i="1"/>
  <c r="U221" i="1" s="1"/>
  <c r="S221" i="1" s="1"/>
  <c r="X220" i="1"/>
  <c r="AA201" i="1"/>
  <c r="W201" i="1" s="1"/>
  <c r="T201" i="1"/>
  <c r="AA193" i="1"/>
  <c r="W193" i="1" s="1"/>
  <c r="AI192" i="1"/>
  <c r="AG189" i="1"/>
  <c r="T189" i="1"/>
  <c r="AA185" i="1"/>
  <c r="U184" i="1"/>
  <c r="S184" i="1" s="1"/>
  <c r="AG181" i="1"/>
  <c r="T181" i="1"/>
  <c r="AA177" i="1"/>
  <c r="AG161" i="1"/>
  <c r="AI161" i="1" s="1"/>
  <c r="T161" i="1"/>
  <c r="U234" i="1"/>
  <c r="S234" i="1" s="1"/>
  <c r="X214" i="1"/>
  <c r="AG214" i="1"/>
  <c r="X215" i="1"/>
  <c r="X210" i="1"/>
  <c r="AG210" i="1"/>
  <c r="X211" i="1"/>
  <c r="AG158" i="1"/>
  <c r="W158" i="1" s="1"/>
  <c r="U150" i="1"/>
  <c r="S150" i="1" s="1"/>
  <c r="AI150" i="1"/>
  <c r="U142" i="1"/>
  <c r="S142" i="1" s="1"/>
  <c r="AI142" i="1"/>
  <c r="W197" i="1"/>
  <c r="AI160" i="1"/>
  <c r="T238" i="1"/>
  <c r="AG238" i="1"/>
  <c r="T141" i="1"/>
  <c r="X142" i="1"/>
  <c r="X224" i="1"/>
  <c r="X221" i="1"/>
  <c r="AA202" i="1"/>
  <c r="W202" i="1" s="1"/>
  <c r="AA190" i="1"/>
  <c r="AA182" i="1"/>
  <c r="T158" i="1"/>
  <c r="X154" i="1"/>
  <c r="AG154" i="1"/>
  <c r="W154" i="1" s="1"/>
  <c r="X155" i="1"/>
  <c r="AA150" i="1"/>
  <c r="W150" i="1" s="1"/>
  <c r="AA142" i="1"/>
  <c r="W142" i="1" s="1"/>
  <c r="AI122" i="1"/>
  <c r="AG177" i="1"/>
  <c r="X177" i="1"/>
  <c r="T168" i="1"/>
  <c r="AG168" i="1"/>
  <c r="AI168" i="1" s="1"/>
  <c r="AG163" i="1"/>
  <c r="T163" i="1"/>
  <c r="T149" i="1"/>
  <c r="X150" i="1"/>
  <c r="AA222" i="1"/>
  <c r="W222" i="1" s="1"/>
  <c r="T206" i="1"/>
  <c r="U206" i="1" s="1"/>
  <c r="S206" i="1" s="1"/>
  <c r="AA219" i="1"/>
  <c r="AA200" i="1"/>
  <c r="T193" i="1"/>
  <c r="X192" i="1"/>
  <c r="AG190" i="1"/>
  <c r="U186" i="1"/>
  <c r="S186" i="1" s="1"/>
  <c r="AI186" i="1"/>
  <c r="T185" i="1"/>
  <c r="U185" i="1" s="1"/>
  <c r="S185" i="1" s="1"/>
  <c r="X184" i="1"/>
  <c r="AG182" i="1"/>
  <c r="U180" i="1"/>
  <c r="S180" i="1" s="1"/>
  <c r="AI180" i="1"/>
  <c r="T177" i="1"/>
  <c r="AG176" i="1"/>
  <c r="W176" i="1" s="1"/>
  <c r="U167" i="1"/>
  <c r="S167" i="1" s="1"/>
  <c r="T216" i="1"/>
  <c r="AG216" i="1"/>
  <c r="W210" i="1"/>
  <c r="X127" i="1"/>
  <c r="AG127" i="1"/>
  <c r="W127" i="1" s="1"/>
  <c r="T127" i="1"/>
  <c r="U178" i="1"/>
  <c r="S178" i="1" s="1"/>
  <c r="AA175" i="1"/>
  <c r="U170" i="1"/>
  <c r="S170" i="1" s="1"/>
  <c r="T162" i="1"/>
  <c r="U162" i="1" s="1"/>
  <c r="S162" i="1" s="1"/>
  <c r="AA161" i="1"/>
  <c r="W230" i="1"/>
  <c r="U218" i="1"/>
  <c r="S218" i="1" s="1"/>
  <c r="U207" i="1"/>
  <c r="S207" i="1" s="1"/>
  <c r="AA148" i="1"/>
  <c r="X146" i="1"/>
  <c r="AA140" i="1"/>
  <c r="X138" i="1"/>
  <c r="U135" i="1"/>
  <c r="T116" i="1"/>
  <c r="AG116" i="1"/>
  <c r="X119" i="1"/>
  <c r="AG119" i="1"/>
  <c r="T119" i="1"/>
  <c r="AA162" i="1"/>
  <c r="W162" i="1" s="1"/>
  <c r="AI170" i="1"/>
  <c r="T146" i="1"/>
  <c r="U146" i="1" s="1"/>
  <c r="S146" i="1" s="1"/>
  <c r="T138" i="1"/>
  <c r="U138" i="1" s="1"/>
  <c r="S138" i="1" s="1"/>
  <c r="AA194" i="1"/>
  <c r="W194" i="1" s="1"/>
  <c r="AA189" i="1"/>
  <c r="W189" i="1" s="1"/>
  <c r="X188" i="1"/>
  <c r="AA186" i="1"/>
  <c r="W186" i="1" s="1"/>
  <c r="AA181" i="1"/>
  <c r="X180" i="1"/>
  <c r="AA178" i="1"/>
  <c r="AA173" i="1"/>
  <c r="W173" i="1" s="1"/>
  <c r="T173" i="1"/>
  <c r="X172" i="1"/>
  <c r="AA170" i="1"/>
  <c r="W170" i="1" s="1"/>
  <c r="AA242" i="1"/>
  <c r="AA165" i="1"/>
  <c r="W165" i="1" s="1"/>
  <c r="AA239" i="1"/>
  <c r="AA237" i="1"/>
  <c r="T237" i="1"/>
  <c r="U237" i="1" s="1"/>
  <c r="S237" i="1" s="1"/>
  <c r="X236" i="1"/>
  <c r="AA233" i="1"/>
  <c r="T233" i="1"/>
  <c r="X232" i="1"/>
  <c r="AA229" i="1"/>
  <c r="W229" i="1" s="1"/>
  <c r="T229" i="1"/>
  <c r="U229" i="1" s="1"/>
  <c r="S229" i="1" s="1"/>
  <c r="X228" i="1"/>
  <c r="AA225" i="1"/>
  <c r="W225" i="1" s="1"/>
  <c r="T225" i="1"/>
  <c r="U225" i="1" s="1"/>
  <c r="S225" i="1" s="1"/>
  <c r="AA217" i="1"/>
  <c r="AA212" i="1"/>
  <c r="W212" i="1" s="1"/>
  <c r="AG151" i="1"/>
  <c r="AA147" i="1"/>
  <c r="W147" i="1" s="1"/>
  <c r="AG143" i="1"/>
  <c r="U143" i="1" s="1"/>
  <c r="AA139" i="1"/>
  <c r="T134" i="1"/>
  <c r="U134" i="1" s="1"/>
  <c r="S134" i="1" s="1"/>
  <c r="W131" i="1"/>
  <c r="AG130" i="1"/>
  <c r="AI126" i="1"/>
  <c r="T124" i="1"/>
  <c r="AG124" i="1"/>
  <c r="U123" i="1"/>
  <c r="S123" i="1" s="1"/>
  <c r="T118" i="1"/>
  <c r="AG118" i="1"/>
  <c r="AI110" i="1"/>
  <c r="AA124" i="1"/>
  <c r="AA119" i="1"/>
  <c r="W119" i="1" s="1"/>
  <c r="X114" i="1"/>
  <c r="AG111" i="1"/>
  <c r="U111" i="1" s="1"/>
  <c r="X111" i="1"/>
  <c r="T110" i="1"/>
  <c r="U110" i="1" s="1"/>
  <c r="S110" i="1" s="1"/>
  <c r="AA109" i="1"/>
  <c r="AA108" i="1"/>
  <c r="AA103" i="1"/>
  <c r="T103" i="1"/>
  <c r="AG102" i="1"/>
  <c r="AG100" i="1"/>
  <c r="U100" i="1" s="1"/>
  <c r="S100" i="1" s="1"/>
  <c r="X98" i="1"/>
  <c r="AA96" i="1"/>
  <c r="X94" i="1"/>
  <c r="AA92" i="1"/>
  <c r="W92" i="1" s="1"/>
  <c r="X90" i="1"/>
  <c r="AA88" i="1"/>
  <c r="W88" i="1" s="1"/>
  <c r="AA83" i="1"/>
  <c r="T83" i="1"/>
  <c r="AG82" i="1"/>
  <c r="AG79" i="1"/>
  <c r="AI79" i="1" s="1"/>
  <c r="X79" i="1"/>
  <c r="AA75" i="1"/>
  <c r="T75" i="1"/>
  <c r="AG74" i="1"/>
  <c r="X71" i="1"/>
  <c r="AA67" i="1"/>
  <c r="T67" i="1"/>
  <c r="U67" i="1" s="1"/>
  <c r="S67" i="1" s="1"/>
  <c r="U66" i="1"/>
  <c r="S66" i="1" s="1"/>
  <c r="X63" i="1"/>
  <c r="AA59" i="1"/>
  <c r="T59" i="1"/>
  <c r="AA22" i="1"/>
  <c r="T21" i="1"/>
  <c r="AA18" i="1"/>
  <c r="X16" i="1"/>
  <c r="X110" i="1"/>
  <c r="T78" i="1"/>
  <c r="T70" i="1"/>
  <c r="T62" i="1"/>
  <c r="T54" i="1"/>
  <c r="X42" i="1"/>
  <c r="X38" i="1"/>
  <c r="AG33" i="1"/>
  <c r="AI33" i="1" s="1"/>
  <c r="X33" i="1"/>
  <c r="X32" i="1"/>
  <c r="AA29" i="1"/>
  <c r="T28" i="1"/>
  <c r="AA25" i="1"/>
  <c r="T24" i="1"/>
  <c r="U24" i="1" s="1"/>
  <c r="S24" i="1" s="1"/>
  <c r="T20" i="1"/>
  <c r="U20" i="1" s="1"/>
  <c r="S20" i="1" s="1"/>
  <c r="AA14" i="1"/>
  <c r="X122" i="1"/>
  <c r="AA117" i="1"/>
  <c r="AA116" i="1"/>
  <c r="W116" i="1" s="1"/>
  <c r="AA111" i="1"/>
  <c r="AG108" i="1"/>
  <c r="AI108" i="1" s="1"/>
  <c r="X106" i="1"/>
  <c r="AG103" i="1"/>
  <c r="AI103" i="1" s="1"/>
  <c r="AA101" i="1"/>
  <c r="AA100" i="1"/>
  <c r="AG83" i="1"/>
  <c r="AI83" i="1" s="1"/>
  <c r="AA79" i="1"/>
  <c r="AG78" i="1"/>
  <c r="W78" i="1" s="1"/>
  <c r="AG75" i="1"/>
  <c r="AI75" i="1" s="1"/>
  <c r="AA71" i="1"/>
  <c r="AG70" i="1"/>
  <c r="AG67" i="1"/>
  <c r="AI66" i="1"/>
  <c r="AA63" i="1"/>
  <c r="AG62" i="1"/>
  <c r="W62" i="1" s="1"/>
  <c r="AG59" i="1"/>
  <c r="AI58" i="1"/>
  <c r="AA55" i="1"/>
  <c r="AG54" i="1"/>
  <c r="AG51" i="1"/>
  <c r="W51" i="1" s="1"/>
  <c r="X50" i="1"/>
  <c r="AA45" i="1"/>
  <c r="W45" i="1" s="1"/>
  <c r="AG43" i="1"/>
  <c r="AI43" i="1" s="1"/>
  <c r="AA41" i="1"/>
  <c r="AG39" i="1"/>
  <c r="AI39" i="1" s="1"/>
  <c r="X34" i="1"/>
  <c r="AG29" i="1"/>
  <c r="AI29" i="1" s="1"/>
  <c r="AG25" i="1"/>
  <c r="AI25" i="1" s="1"/>
  <c r="AG21" i="1"/>
  <c r="AI21" i="1" s="1"/>
  <c r="AA17" i="1"/>
  <c r="T16" i="1"/>
  <c r="U104" i="1"/>
  <c r="S104" i="1" s="1"/>
  <c r="X102" i="1"/>
  <c r="U99" i="1"/>
  <c r="S99" i="1" s="1"/>
  <c r="AI98" i="1"/>
  <c r="AI94" i="1"/>
  <c r="AI90" i="1"/>
  <c r="U86" i="1"/>
  <c r="S86" i="1" s="1"/>
  <c r="AA65" i="1"/>
  <c r="W65" i="1" s="1"/>
  <c r="AA64" i="1"/>
  <c r="W64" i="1" s="1"/>
  <c r="AA56" i="1"/>
  <c r="AA49" i="1"/>
  <c r="W49" i="1" s="1"/>
  <c r="AG47" i="1"/>
  <c r="AI47" i="1" s="1"/>
  <c r="X44" i="1"/>
  <c r="AA42" i="1"/>
  <c r="AG41" i="1"/>
  <c r="AI41" i="1" s="1"/>
  <c r="X40" i="1"/>
  <c r="AA38" i="1"/>
  <c r="W38" i="1" s="1"/>
  <c r="T38" i="1"/>
  <c r="U38" i="1" s="1"/>
  <c r="S38" i="1" s="1"/>
  <c r="AA37" i="1"/>
  <c r="AG35" i="1"/>
  <c r="AI35" i="1" s="1"/>
  <c r="AA32" i="1"/>
  <c r="W32" i="1" s="1"/>
  <c r="T32" i="1"/>
  <c r="U32" i="1" s="1"/>
  <c r="S32" i="1" s="1"/>
  <c r="X30" i="1"/>
  <c r="X28" i="1"/>
  <c r="X24" i="1"/>
  <c r="X20" i="1"/>
  <c r="U198" i="1"/>
  <c r="S198" i="1" s="1"/>
  <c r="AI211" i="1"/>
  <c r="U173" i="1"/>
  <c r="S173" i="1" s="1"/>
  <c r="U233" i="1"/>
  <c r="S233" i="1" s="1"/>
  <c r="U205" i="1"/>
  <c r="S205" i="1" s="1"/>
  <c r="W169" i="1"/>
  <c r="W164" i="1"/>
  <c r="U161" i="1"/>
  <c r="S161" i="1" s="1"/>
  <c r="AI215" i="1"/>
  <c r="AI207" i="1"/>
  <c r="W240" i="1"/>
  <c r="U201" i="1"/>
  <c r="S201" i="1" s="1"/>
  <c r="W198" i="1"/>
  <c r="U240" i="1"/>
  <c r="S240" i="1" s="1"/>
  <c r="W237" i="1"/>
  <c r="W233" i="1"/>
  <c r="AG223" i="1"/>
  <c r="AI223" i="1" s="1"/>
  <c r="X222" i="1"/>
  <c r="AG219" i="1"/>
  <c r="AI219" i="1" s="1"/>
  <c r="X206" i="1"/>
  <c r="AG203" i="1"/>
  <c r="AI203" i="1" s="1"/>
  <c r="AG200" i="1"/>
  <c r="AI200" i="1" s="1"/>
  <c r="X199" i="1"/>
  <c r="AG196" i="1"/>
  <c r="W196" i="1" s="1"/>
  <c r="X194" i="1"/>
  <c r="AG191" i="1"/>
  <c r="AI191" i="1" s="1"/>
  <c r="X190" i="1"/>
  <c r="AG187" i="1"/>
  <c r="AI187" i="1" s="1"/>
  <c r="X186" i="1"/>
  <c r="AG183" i="1"/>
  <c r="AI183" i="1" s="1"/>
  <c r="X182" i="1"/>
  <c r="AG179" i="1"/>
  <c r="AI179" i="1" s="1"/>
  <c r="X178" i="1"/>
  <c r="AG175" i="1"/>
  <c r="AI175" i="1" s="1"/>
  <c r="X174" i="1"/>
  <c r="AG171" i="1"/>
  <c r="AI171" i="1" s="1"/>
  <c r="X170" i="1"/>
  <c r="AG242" i="1"/>
  <c r="AI242" i="1" s="1"/>
  <c r="X241" i="1"/>
  <c r="AG166" i="1"/>
  <c r="AI166" i="1" s="1"/>
  <c r="AG239" i="1"/>
  <c r="X238" i="1"/>
  <c r="AG235" i="1"/>
  <c r="AI235" i="1" s="1"/>
  <c r="AG231" i="1"/>
  <c r="AG227" i="1"/>
  <c r="AI227" i="1" s="1"/>
  <c r="AG217" i="1"/>
  <c r="W217" i="1" s="1"/>
  <c r="X223" i="1"/>
  <c r="T223" i="1"/>
  <c r="AI240" i="1"/>
  <c r="X219" i="1"/>
  <c r="T219" i="1"/>
  <c r="AI236" i="1"/>
  <c r="T203" i="1"/>
  <c r="AI232" i="1"/>
  <c r="T200" i="1"/>
  <c r="T196" i="1"/>
  <c r="AI224" i="1"/>
  <c r="X191" i="1"/>
  <c r="T191" i="1"/>
  <c r="AI220" i="1"/>
  <c r="X187" i="1"/>
  <c r="T187" i="1"/>
  <c r="AI216" i="1"/>
  <c r="X183" i="1"/>
  <c r="T183" i="1"/>
  <c r="AI212" i="1"/>
  <c r="X179" i="1"/>
  <c r="T179" i="1"/>
  <c r="X175" i="1"/>
  <c r="T175" i="1"/>
  <c r="AI204" i="1"/>
  <c r="X171" i="1"/>
  <c r="T171" i="1"/>
  <c r="X242" i="1"/>
  <c r="AI197" i="1"/>
  <c r="T166" i="1"/>
  <c r="X239" i="1"/>
  <c r="T239" i="1"/>
  <c r="X235" i="1"/>
  <c r="T235" i="1"/>
  <c r="X231" i="1"/>
  <c r="T231" i="1"/>
  <c r="X227" i="1"/>
  <c r="T227" i="1"/>
  <c r="X217" i="1"/>
  <c r="AI167" i="1"/>
  <c r="U212" i="1"/>
  <c r="S212" i="1" s="1"/>
  <c r="U156" i="1"/>
  <c r="S156" i="1" s="1"/>
  <c r="AG148" i="1"/>
  <c r="AG144" i="1"/>
  <c r="W144" i="1" s="1"/>
  <c r="AG140" i="1"/>
  <c r="W140" i="1" s="1"/>
  <c r="AG136" i="1"/>
  <c r="W136" i="1" s="1"/>
  <c r="AG132" i="1"/>
  <c r="AG128" i="1"/>
  <c r="X216" i="1"/>
  <c r="AG213" i="1"/>
  <c r="X212" i="1"/>
  <c r="AG209" i="1"/>
  <c r="X208" i="1"/>
  <c r="AG157" i="1"/>
  <c r="X156" i="1"/>
  <c r="AG153" i="1"/>
  <c r="X152" i="1"/>
  <c r="AG149" i="1"/>
  <c r="X148" i="1"/>
  <c r="S147" i="1"/>
  <c r="AG145" i="1"/>
  <c r="X144" i="1"/>
  <c r="AI143" i="1"/>
  <c r="S143" i="1"/>
  <c r="AG141" i="1"/>
  <c r="X140" i="1"/>
  <c r="AG137" i="1"/>
  <c r="X136" i="1"/>
  <c r="AI135" i="1"/>
  <c r="S135" i="1"/>
  <c r="AG133" i="1"/>
  <c r="W133" i="1" s="1"/>
  <c r="X132" i="1"/>
  <c r="AG129" i="1"/>
  <c r="X128" i="1"/>
  <c r="U112" i="1"/>
  <c r="S112" i="1" s="1"/>
  <c r="U92" i="1"/>
  <c r="X213" i="1"/>
  <c r="X209" i="1"/>
  <c r="X153" i="1"/>
  <c r="X149" i="1"/>
  <c r="X145" i="1"/>
  <c r="X141" i="1"/>
  <c r="X137" i="1"/>
  <c r="X133" i="1"/>
  <c r="X129" i="1"/>
  <c r="T125" i="1"/>
  <c r="AG125" i="1"/>
  <c r="U108" i="1"/>
  <c r="S108" i="1" s="1"/>
  <c r="AI95" i="1"/>
  <c r="U91" i="1"/>
  <c r="S91" i="1" s="1"/>
  <c r="AI91" i="1"/>
  <c r="X124" i="1"/>
  <c r="AI123" i="1"/>
  <c r="AG121" i="1"/>
  <c r="X120" i="1"/>
  <c r="AI119" i="1"/>
  <c r="AG117" i="1"/>
  <c r="X116" i="1"/>
  <c r="AG113" i="1"/>
  <c r="W113" i="1" s="1"/>
  <c r="X112" i="1"/>
  <c r="AG109" i="1"/>
  <c r="X108" i="1"/>
  <c r="AI107" i="1"/>
  <c r="AG105" i="1"/>
  <c r="W105" i="1" s="1"/>
  <c r="X104" i="1"/>
  <c r="AG101" i="1"/>
  <c r="X100" i="1"/>
  <c r="AI99" i="1"/>
  <c r="AG97" i="1"/>
  <c r="W97" i="1" s="1"/>
  <c r="X96" i="1"/>
  <c r="AG93" i="1"/>
  <c r="W93" i="1" s="1"/>
  <c r="X92" i="1"/>
  <c r="AG89" i="1"/>
  <c r="AI81" i="1"/>
  <c r="AI73" i="1"/>
  <c r="AI65" i="1"/>
  <c r="AI57" i="1"/>
  <c r="X121" i="1"/>
  <c r="T121" i="1"/>
  <c r="AI120" i="1"/>
  <c r="X117" i="1"/>
  <c r="T117" i="1"/>
  <c r="AI116" i="1"/>
  <c r="X113" i="1"/>
  <c r="T113" i="1"/>
  <c r="AI112" i="1"/>
  <c r="X109" i="1"/>
  <c r="T109" i="1"/>
  <c r="X105" i="1"/>
  <c r="T105" i="1"/>
  <c r="X101" i="1"/>
  <c r="T101" i="1"/>
  <c r="X97" i="1"/>
  <c r="T97" i="1"/>
  <c r="AI96" i="1"/>
  <c r="X93" i="1"/>
  <c r="T93" i="1"/>
  <c r="AI92" i="1"/>
  <c r="X89" i="1"/>
  <c r="T89" i="1"/>
  <c r="AI88" i="1"/>
  <c r="W77" i="1"/>
  <c r="W69" i="1"/>
  <c r="W61" i="1"/>
  <c r="W53" i="1"/>
  <c r="T88" i="1"/>
  <c r="U88" i="1" s="1"/>
  <c r="S88" i="1" s="1"/>
  <c r="X88" i="1"/>
  <c r="AG85" i="1"/>
  <c r="X86" i="1"/>
  <c r="T85" i="1"/>
  <c r="X85" i="1"/>
  <c r="AI77" i="1"/>
  <c r="AI69" i="1"/>
  <c r="AI61" i="1"/>
  <c r="AI53" i="1"/>
  <c r="U76" i="1"/>
  <c r="S76" i="1" s="1"/>
  <c r="W73" i="1"/>
  <c r="U68" i="1"/>
  <c r="S68" i="1" s="1"/>
  <c r="U60" i="1"/>
  <c r="S60" i="1" s="1"/>
  <c r="W57" i="1"/>
  <c r="X81" i="1"/>
  <c r="T81" i="1"/>
  <c r="U81" i="1" s="1"/>
  <c r="S81" i="1" s="1"/>
  <c r="X77" i="1"/>
  <c r="T77" i="1"/>
  <c r="U77" i="1" s="1"/>
  <c r="S77" i="1" s="1"/>
  <c r="X73" i="1"/>
  <c r="T73" i="1"/>
  <c r="U73" i="1" s="1"/>
  <c r="S73" i="1" s="1"/>
  <c r="X69" i="1"/>
  <c r="T69" i="1"/>
  <c r="U69" i="1" s="1"/>
  <c r="S69" i="1" s="1"/>
  <c r="AI68" i="1"/>
  <c r="X65" i="1"/>
  <c r="T65" i="1"/>
  <c r="U65" i="1" s="1"/>
  <c r="S65" i="1" s="1"/>
  <c r="X61" i="1"/>
  <c r="T61" i="1"/>
  <c r="U61" i="1" s="1"/>
  <c r="S61" i="1" s="1"/>
  <c r="AI60" i="1"/>
  <c r="X57" i="1"/>
  <c r="T57" i="1"/>
  <c r="U57" i="1" s="1"/>
  <c r="S57" i="1" s="1"/>
  <c r="X53" i="1"/>
  <c r="T53" i="1"/>
  <c r="U53" i="1" s="1"/>
  <c r="S53" i="1" s="1"/>
  <c r="AI50" i="1"/>
  <c r="AI38" i="1"/>
  <c r="W34" i="1"/>
  <c r="AI32" i="1"/>
  <c r="U31" i="1"/>
  <c r="S31" i="1" s="1"/>
  <c r="W28" i="1"/>
  <c r="W24" i="1"/>
  <c r="U71" i="1"/>
  <c r="S71" i="1" s="1"/>
  <c r="U59" i="1"/>
  <c r="S59" i="1" s="1"/>
  <c r="U51" i="1"/>
  <c r="S51" i="1" s="1"/>
  <c r="AI34" i="1"/>
  <c r="U28" i="1"/>
  <c r="S28" i="1" s="1"/>
  <c r="AI28" i="1"/>
  <c r="AI24" i="1"/>
  <c r="AI20" i="1"/>
  <c r="AG56" i="1"/>
  <c r="AG52" i="1"/>
  <c r="W52" i="1" s="1"/>
  <c r="AI44" i="1"/>
  <c r="U40" i="1"/>
  <c r="S40" i="1" s="1"/>
  <c r="AI40" i="1"/>
  <c r="AI30" i="1"/>
  <c r="U16" i="1"/>
  <c r="S16" i="1" s="1"/>
  <c r="AI16" i="1"/>
  <c r="X84" i="1"/>
  <c r="X80" i="1"/>
  <c r="X76" i="1"/>
  <c r="X72" i="1"/>
  <c r="AI71" i="1"/>
  <c r="X68" i="1"/>
  <c r="AI67" i="1"/>
  <c r="X64" i="1"/>
  <c r="X60" i="1"/>
  <c r="AI59" i="1"/>
  <c r="X56" i="1"/>
  <c r="X52" i="1"/>
  <c r="AI51" i="1"/>
  <c r="T50" i="1"/>
  <c r="U50" i="1" s="1"/>
  <c r="S50" i="1" s="1"/>
  <c r="U48" i="1"/>
  <c r="S48" i="1" s="1"/>
  <c r="AI48" i="1"/>
  <c r="AI36" i="1"/>
  <c r="U45" i="1"/>
  <c r="S45" i="1" s="1"/>
  <c r="U41" i="1"/>
  <c r="S41" i="1" s="1"/>
  <c r="U33" i="1"/>
  <c r="S33" i="1" s="1"/>
  <c r="U29" i="1"/>
  <c r="S29" i="1" s="1"/>
  <c r="U25" i="1"/>
  <c r="S25" i="1" s="1"/>
  <c r="AG46" i="1"/>
  <c r="W46" i="1" s="1"/>
  <c r="AG42" i="1"/>
  <c r="AG26" i="1"/>
  <c r="W26" i="1" s="1"/>
  <c r="AG22" i="1"/>
  <c r="AG18" i="1"/>
  <c r="W18" i="1" s="1"/>
  <c r="AG14" i="1"/>
  <c r="X46" i="1"/>
  <c r="AG27" i="1"/>
  <c r="X26" i="1"/>
  <c r="AG23" i="1"/>
  <c r="W23" i="1" s="1"/>
  <c r="X22" i="1"/>
  <c r="AG19" i="1"/>
  <c r="W19" i="1" s="1"/>
  <c r="X18" i="1"/>
  <c r="AG15" i="1"/>
  <c r="W15" i="1" s="1"/>
  <c r="X47" i="1"/>
  <c r="X43" i="1"/>
  <c r="X39" i="1"/>
  <c r="X35" i="1"/>
  <c r="X31" i="1"/>
  <c r="X27" i="1"/>
  <c r="X23" i="1"/>
  <c r="X19" i="1"/>
  <c r="X15" i="1"/>
  <c r="T36" i="3"/>
  <c r="Y36" i="3"/>
  <c r="Y9" i="3"/>
  <c r="AD34" i="3"/>
  <c r="Y26" i="3"/>
  <c r="Y27" i="3"/>
  <c r="AD26" i="3"/>
  <c r="AE23" i="3"/>
  <c r="AD21" i="3"/>
  <c r="AE21" i="3"/>
  <c r="AE19" i="3"/>
  <c r="AE15" i="3"/>
  <c r="AD13" i="3"/>
  <c r="AE13" i="3"/>
  <c r="AD11" i="3"/>
  <c r="AE35" i="3"/>
  <c r="AE33" i="3"/>
  <c r="AE27" i="3"/>
  <c r="Y23" i="3"/>
  <c r="AD23" i="3"/>
  <c r="Y19" i="3"/>
  <c r="AD19" i="3"/>
  <c r="AD15" i="3"/>
  <c r="AD10" i="3"/>
  <c r="AD33" i="3"/>
  <c r="Y17" i="3"/>
  <c r="Y12" i="3"/>
  <c r="AD8" i="3"/>
  <c r="T11" i="3"/>
  <c r="T35" i="3"/>
  <c r="T29" i="3"/>
  <c r="T10" i="3"/>
  <c r="AC8" i="3"/>
  <c r="AD9" i="3"/>
  <c r="AE9" i="3"/>
  <c r="Y38" i="3"/>
  <c r="AC11" i="3"/>
  <c r="AE31" i="3"/>
  <c r="AC29" i="3"/>
  <c r="AE17" i="3"/>
  <c r="T8" i="3"/>
  <c r="AC7" i="3"/>
  <c r="AE36" i="3"/>
  <c r="T34" i="3"/>
  <c r="AC24" i="3"/>
  <c r="AE32" i="3"/>
  <c r="T33" i="3"/>
  <c r="AC32" i="3"/>
  <c r="AE28" i="3"/>
  <c r="T31" i="3"/>
  <c r="AC13" i="3"/>
  <c r="AE24" i="3"/>
  <c r="AC21" i="3"/>
  <c r="AE22" i="3"/>
  <c r="T28" i="3"/>
  <c r="AC19" i="3"/>
  <c r="AE18" i="3"/>
  <c r="T22" i="3"/>
  <c r="AC30" i="3"/>
  <c r="AE14" i="3"/>
  <c r="T16" i="3"/>
  <c r="AC14" i="3"/>
  <c r="AE10" i="3"/>
  <c r="T38" i="3"/>
  <c r="AC18" i="3"/>
  <c r="AD36" i="3"/>
  <c r="AD32" i="3"/>
  <c r="AD28" i="3"/>
  <c r="AD24" i="3"/>
  <c r="AD22" i="3"/>
  <c r="AD18" i="3"/>
  <c r="AD14" i="3"/>
  <c r="AE38" i="3"/>
  <c r="AE34" i="3"/>
  <c r="AE30" i="3"/>
  <c r="AE26" i="3"/>
  <c r="AE20" i="3"/>
  <c r="AE16" i="3"/>
  <c r="AE12" i="3"/>
  <c r="AE8" i="3"/>
  <c r="M25" i="3"/>
  <c r="R25" i="3"/>
  <c r="S25" i="3"/>
  <c r="U25" i="3"/>
  <c r="AD25" i="3" s="1"/>
  <c r="V25" i="3"/>
  <c r="W25" i="3"/>
  <c r="X25" i="3"/>
  <c r="U172" i="1" l="1"/>
  <c r="S172" i="1" s="1"/>
  <c r="AI131" i="1"/>
  <c r="W231" i="1"/>
  <c r="AI172" i="1"/>
  <c r="W58" i="1"/>
  <c r="AI104" i="1"/>
  <c r="U152" i="1"/>
  <c r="S152" i="1" s="1"/>
  <c r="W17" i="1"/>
  <c r="W55" i="1"/>
  <c r="W63" i="1"/>
  <c r="W71" i="1"/>
  <c r="W59" i="1"/>
  <c r="W67" i="1"/>
  <c r="W124" i="1"/>
  <c r="W130" i="1"/>
  <c r="W178" i="1"/>
  <c r="W161" i="1"/>
  <c r="W177" i="1"/>
  <c r="U230" i="1"/>
  <c r="S230" i="1" s="1"/>
  <c r="W220" i="1"/>
  <c r="U43" i="1"/>
  <c r="S43" i="1" s="1"/>
  <c r="AI147" i="1"/>
  <c r="W209" i="1"/>
  <c r="U208" i="1"/>
  <c r="S208" i="1" s="1"/>
  <c r="W239" i="1"/>
  <c r="W74" i="1"/>
  <c r="W96" i="1"/>
  <c r="U232" i="1"/>
  <c r="S232" i="1" s="1"/>
  <c r="W120" i="1"/>
  <c r="W123" i="1"/>
  <c r="U165" i="1"/>
  <c r="S165" i="1" s="1"/>
  <c r="U181" i="1"/>
  <c r="S181" i="1" s="1"/>
  <c r="W66" i="1"/>
  <c r="W82" i="1"/>
  <c r="W241" i="1"/>
  <c r="U177" i="1"/>
  <c r="S177" i="1" s="1"/>
  <c r="W182" i="1"/>
  <c r="W207" i="1"/>
  <c r="AI159" i="1"/>
  <c r="U159" i="1"/>
  <c r="S159" i="1" s="1"/>
  <c r="W159" i="1"/>
  <c r="U35" i="1"/>
  <c r="S35" i="1" s="1"/>
  <c r="U55" i="1"/>
  <c r="S55" i="1" s="1"/>
  <c r="U72" i="1"/>
  <c r="S72" i="1" s="1"/>
  <c r="AI115" i="1"/>
  <c r="W37" i="1"/>
  <c r="W72" i="1"/>
  <c r="U228" i="1"/>
  <c r="S228" i="1" s="1"/>
  <c r="AI199" i="1"/>
  <c r="U193" i="1"/>
  <c r="S193" i="1" s="1"/>
  <c r="W98" i="1"/>
  <c r="W135" i="1"/>
  <c r="W156" i="1"/>
  <c r="U37" i="1"/>
  <c r="S37" i="1" s="1"/>
  <c r="AI63" i="1"/>
  <c r="U83" i="1"/>
  <c r="S83" i="1" s="1"/>
  <c r="AI87" i="1"/>
  <c r="W87" i="1"/>
  <c r="AI228" i="1"/>
  <c r="AI174" i="1"/>
  <c r="U189" i="1"/>
  <c r="S189" i="1" s="1"/>
  <c r="W218" i="1"/>
  <c r="U47" i="1"/>
  <c r="S47" i="1" s="1"/>
  <c r="W132" i="1"/>
  <c r="U151" i="1"/>
  <c r="S151" i="1" s="1"/>
  <c r="W115" i="1"/>
  <c r="U216" i="1"/>
  <c r="AI184" i="1"/>
  <c r="U17" i="1"/>
  <c r="S17" i="1" s="1"/>
  <c r="U49" i="1"/>
  <c r="S49" i="1" s="1"/>
  <c r="U75" i="1"/>
  <c r="S75" i="1" s="1"/>
  <c r="AI64" i="1"/>
  <c r="AI80" i="1"/>
  <c r="AI84" i="1"/>
  <c r="U80" i="1"/>
  <c r="S80" i="1" s="1"/>
  <c r="AI127" i="1"/>
  <c r="AI139" i="1"/>
  <c r="AI151" i="1"/>
  <c r="U124" i="1"/>
  <c r="S124" i="1" s="1"/>
  <c r="W139" i="1"/>
  <c r="U199" i="1"/>
  <c r="S199" i="1" s="1"/>
  <c r="U39" i="1"/>
  <c r="S39" i="1" s="1"/>
  <c r="U79" i="1"/>
  <c r="S79" i="1" s="1"/>
  <c r="W79" i="1"/>
  <c r="U103" i="1"/>
  <c r="S103" i="1" s="1"/>
  <c r="W75" i="1"/>
  <c r="W108" i="1"/>
  <c r="W226" i="1"/>
  <c r="W84" i="1"/>
  <c r="U21" i="1"/>
  <c r="S21" i="1" s="1"/>
  <c r="W117" i="1"/>
  <c r="W21" i="1"/>
  <c r="W29" i="1"/>
  <c r="W35" i="1"/>
  <c r="U116" i="1"/>
  <c r="S116" i="1" s="1"/>
  <c r="U226" i="1"/>
  <c r="S226" i="1" s="1"/>
  <c r="W211" i="1"/>
  <c r="W60" i="1"/>
  <c r="W22" i="1"/>
  <c r="W56" i="1"/>
  <c r="AI111" i="1"/>
  <c r="AI124" i="1"/>
  <c r="S216" i="1"/>
  <c r="AI231" i="1"/>
  <c r="AI239" i="1"/>
  <c r="U54" i="1"/>
  <c r="S54" i="1" s="1"/>
  <c r="AI54" i="1"/>
  <c r="U62" i="1"/>
  <c r="S62" i="1" s="1"/>
  <c r="AI62" i="1"/>
  <c r="U70" i="1"/>
  <c r="S70" i="1" s="1"/>
  <c r="AI70" i="1"/>
  <c r="W47" i="1"/>
  <c r="W43" i="1"/>
  <c r="U82" i="1"/>
  <c r="S82" i="1" s="1"/>
  <c r="AI82" i="1"/>
  <c r="W103" i="1"/>
  <c r="W216" i="1"/>
  <c r="U163" i="1"/>
  <c r="S163" i="1" s="1"/>
  <c r="AI163" i="1"/>
  <c r="U154" i="1"/>
  <c r="S154" i="1" s="1"/>
  <c r="AI154" i="1"/>
  <c r="U238" i="1"/>
  <c r="S238" i="1" s="1"/>
  <c r="AI238" i="1"/>
  <c r="W168" i="1"/>
  <c r="U190" i="1"/>
  <c r="S190" i="1" s="1"/>
  <c r="AI190" i="1"/>
  <c r="AI100" i="1"/>
  <c r="W227" i="1"/>
  <c r="W100" i="1"/>
  <c r="W33" i="1"/>
  <c r="W54" i="1"/>
  <c r="W83" i="1"/>
  <c r="U102" i="1"/>
  <c r="S102" i="1" s="1"/>
  <c r="AI102" i="1"/>
  <c r="U118" i="1"/>
  <c r="S118" i="1" s="1"/>
  <c r="AI118" i="1"/>
  <c r="W151" i="1"/>
  <c r="W190" i="1"/>
  <c r="U210" i="1"/>
  <c r="S210" i="1" s="1"/>
  <c r="AI210" i="1"/>
  <c r="U130" i="1"/>
  <c r="S130" i="1" s="1"/>
  <c r="AI130" i="1"/>
  <c r="U214" i="1"/>
  <c r="S214" i="1" s="1"/>
  <c r="AI214" i="1"/>
  <c r="S111" i="1"/>
  <c r="AI196" i="1"/>
  <c r="W181" i="1"/>
  <c r="U168" i="1"/>
  <c r="S168" i="1" s="1"/>
  <c r="W41" i="1"/>
  <c r="U78" i="1"/>
  <c r="S78" i="1" s="1"/>
  <c r="AI78" i="1"/>
  <c r="W111" i="1"/>
  <c r="W25" i="1"/>
  <c r="W39" i="1"/>
  <c r="U74" i="1"/>
  <c r="S74" i="1" s="1"/>
  <c r="AI74" i="1"/>
  <c r="W102" i="1"/>
  <c r="W70" i="1"/>
  <c r="W118" i="1"/>
  <c r="U119" i="1"/>
  <c r="S119" i="1" s="1"/>
  <c r="U127" i="1"/>
  <c r="S127" i="1" s="1"/>
  <c r="W214" i="1"/>
  <c r="U176" i="1"/>
  <c r="S176" i="1" s="1"/>
  <c r="AI176" i="1"/>
  <c r="U182" i="1"/>
  <c r="S182" i="1" s="1"/>
  <c r="AI182" i="1"/>
  <c r="W143" i="1"/>
  <c r="W238" i="1"/>
  <c r="U158" i="1"/>
  <c r="S158" i="1" s="1"/>
  <c r="AI158" i="1"/>
  <c r="W163" i="1"/>
  <c r="AI42" i="1"/>
  <c r="U42" i="1"/>
  <c r="S42" i="1" s="1"/>
  <c r="U27" i="1"/>
  <c r="S27" i="1" s="1"/>
  <c r="AI27" i="1"/>
  <c r="AI26" i="1"/>
  <c r="U26" i="1"/>
  <c r="S26" i="1" s="1"/>
  <c r="W42" i="1"/>
  <c r="U52" i="1"/>
  <c r="S52" i="1" s="1"/>
  <c r="AI52" i="1"/>
  <c r="W27" i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AI128" i="1"/>
  <c r="U128" i="1"/>
  <c r="S128" i="1" s="1"/>
  <c r="AI144" i="1"/>
  <c r="U144" i="1"/>
  <c r="S144" i="1" s="1"/>
  <c r="W137" i="1"/>
  <c r="W129" i="1"/>
  <c r="W149" i="1"/>
  <c r="AI181" i="1"/>
  <c r="U235" i="1"/>
  <c r="S235" i="1" s="1"/>
  <c r="AI189" i="1"/>
  <c r="AI198" i="1"/>
  <c r="U242" i="1"/>
  <c r="S242" i="1" s="1"/>
  <c r="AI205" i="1"/>
  <c r="U175" i="1"/>
  <c r="S175" i="1" s="1"/>
  <c r="AI213" i="1"/>
  <c r="U183" i="1"/>
  <c r="S183" i="1" s="1"/>
  <c r="AI221" i="1"/>
  <c r="U191" i="1"/>
  <c r="S191" i="1" s="1"/>
  <c r="AI229" i="1"/>
  <c r="U200" i="1"/>
  <c r="S200" i="1" s="1"/>
  <c r="AI237" i="1"/>
  <c r="U219" i="1"/>
  <c r="S219" i="1" s="1"/>
  <c r="U23" i="1"/>
  <c r="S23" i="1" s="1"/>
  <c r="AI23" i="1"/>
  <c r="U56" i="1"/>
  <c r="S56" i="1" s="1"/>
  <c r="AI56" i="1"/>
  <c r="U85" i="1"/>
  <c r="S85" i="1" s="1"/>
  <c r="AI85" i="1"/>
  <c r="AI93" i="1"/>
  <c r="U93" i="1"/>
  <c r="S93" i="1" s="1"/>
  <c r="AI165" i="1"/>
  <c r="U213" i="1"/>
  <c r="S213" i="1" s="1"/>
  <c r="AI132" i="1"/>
  <c r="U132" i="1"/>
  <c r="S132" i="1" s="1"/>
  <c r="AI148" i="1"/>
  <c r="U148" i="1"/>
  <c r="S148" i="1" s="1"/>
  <c r="W213" i="1"/>
  <c r="AI169" i="1"/>
  <c r="U217" i="1"/>
  <c r="S217" i="1" s="1"/>
  <c r="W242" i="1"/>
  <c r="W235" i="1"/>
  <c r="AI14" i="1"/>
  <c r="U14" i="1"/>
  <c r="S14" i="1" s="1"/>
  <c r="W85" i="1"/>
  <c r="U125" i="1"/>
  <c r="S125" i="1" s="1"/>
  <c r="AI125" i="1"/>
  <c r="AI162" i="1"/>
  <c r="U209" i="1"/>
  <c r="S209" i="1" s="1"/>
  <c r="AI136" i="1"/>
  <c r="U136" i="1"/>
  <c r="S136" i="1" s="1"/>
  <c r="W125" i="1"/>
  <c r="W145" i="1"/>
  <c r="W153" i="1"/>
  <c r="W141" i="1"/>
  <c r="AI173" i="1"/>
  <c r="U227" i="1"/>
  <c r="S227" i="1" s="1"/>
  <c r="AI185" i="1"/>
  <c r="U239" i="1"/>
  <c r="S239" i="1" s="1"/>
  <c r="AI193" i="1"/>
  <c r="U166" i="1"/>
  <c r="S166" i="1" s="1"/>
  <c r="AI201" i="1"/>
  <c r="U171" i="1"/>
  <c r="S171" i="1" s="1"/>
  <c r="AI209" i="1"/>
  <c r="U179" i="1"/>
  <c r="S179" i="1" s="1"/>
  <c r="AI217" i="1"/>
  <c r="U187" i="1"/>
  <c r="S187" i="1" s="1"/>
  <c r="AI225" i="1"/>
  <c r="U196" i="1"/>
  <c r="S196" i="1" s="1"/>
  <c r="AI233" i="1"/>
  <c r="U203" i="1"/>
  <c r="S203" i="1" s="1"/>
  <c r="AI241" i="1"/>
  <c r="U223" i="1"/>
  <c r="S223" i="1" s="1"/>
  <c r="W171" i="1"/>
  <c r="W179" i="1"/>
  <c r="W187" i="1"/>
  <c r="W203" i="1"/>
  <c r="W223" i="1"/>
  <c r="W191" i="1"/>
  <c r="W219" i="1"/>
  <c r="U15" i="1"/>
  <c r="S15" i="1" s="1"/>
  <c r="AI15" i="1"/>
  <c r="AI18" i="1"/>
  <c r="U18" i="1"/>
  <c r="S18" i="1" s="1"/>
  <c r="AI46" i="1"/>
  <c r="U46" i="1"/>
  <c r="S46" i="1" s="1"/>
  <c r="W14" i="1"/>
  <c r="U19" i="1"/>
  <c r="S19" i="1" s="1"/>
  <c r="AI19" i="1"/>
  <c r="AI22" i="1"/>
  <c r="U22" i="1"/>
  <c r="S22" i="1" s="1"/>
  <c r="AI89" i="1"/>
  <c r="U89" i="1"/>
  <c r="S89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AI121" i="1"/>
  <c r="U121" i="1"/>
  <c r="S121" i="1" s="1"/>
  <c r="W89" i="1"/>
  <c r="W101" i="1"/>
  <c r="W121" i="1"/>
  <c r="AI157" i="1"/>
  <c r="U157" i="1"/>
  <c r="S157" i="1" s="1"/>
  <c r="W109" i="1"/>
  <c r="AI140" i="1"/>
  <c r="U140" i="1"/>
  <c r="S140" i="1" s="1"/>
  <c r="W157" i="1"/>
  <c r="W128" i="1"/>
  <c r="W148" i="1"/>
  <c r="AI177" i="1"/>
  <c r="U231" i="1"/>
  <c r="S231" i="1" s="1"/>
  <c r="W166" i="1"/>
  <c r="W200" i="1"/>
  <c r="W175" i="1"/>
  <c r="W183" i="1"/>
  <c r="Y25" i="3"/>
  <c r="AC25" i="3"/>
  <c r="AE25" i="3"/>
  <c r="T25" i="3"/>
  <c r="B4" i="6" l="1"/>
  <c r="J4" i="6" s="1"/>
  <c r="B5" i="6" l="1"/>
  <c r="F4" i="6"/>
  <c r="I4" i="6"/>
  <c r="G4" i="6"/>
  <c r="G5" i="6" l="1"/>
  <c r="I5" i="6"/>
  <c r="J5" i="6"/>
  <c r="F5" i="6"/>
  <c r="B6" i="6"/>
  <c r="F6" i="6" l="1"/>
  <c r="G6" i="6"/>
  <c r="I6" i="6"/>
  <c r="J6" i="6"/>
  <c r="B7" i="6"/>
  <c r="O2" i="3"/>
  <c r="G7" i="6" l="1"/>
  <c r="I7" i="6"/>
  <c r="J7" i="6"/>
  <c r="F7" i="6"/>
  <c r="B8" i="6"/>
  <c r="M28" i="5"/>
  <c r="B9" i="6" l="1"/>
  <c r="F8" i="6"/>
  <c r="I8" i="6"/>
  <c r="G8" i="6"/>
  <c r="J8" i="6"/>
  <c r="M23" i="5"/>
  <c r="B10" i="6" l="1"/>
  <c r="G9" i="6"/>
  <c r="I9" i="6"/>
  <c r="J9" i="6"/>
  <c r="F9" i="6"/>
  <c r="AD7" i="3"/>
  <c r="AN13" i="1"/>
  <c r="F10" i="6" l="1"/>
  <c r="I10" i="6"/>
  <c r="G10" i="6"/>
  <c r="J10" i="6"/>
  <c r="B11" i="6"/>
  <c r="AE7" i="3"/>
  <c r="G11" i="6" l="1"/>
  <c r="I11" i="6"/>
  <c r="F11" i="6"/>
  <c r="J11" i="6"/>
  <c r="B12" i="6"/>
  <c r="K13" i="1"/>
  <c r="M13" i="1"/>
  <c r="P13" i="1" s="1"/>
  <c r="Y13" i="1"/>
  <c r="Z13" i="1"/>
  <c r="AB13" i="1"/>
  <c r="AC13" i="1"/>
  <c r="AD13" i="1"/>
  <c r="X14" i="1" s="1"/>
  <c r="AE13" i="1"/>
  <c r="AM13" i="1"/>
  <c r="F12" i="6" l="1"/>
  <c r="I12" i="6"/>
  <c r="G12" i="6"/>
  <c r="J12" i="6"/>
  <c r="B13" i="6"/>
  <c r="AG13" i="1"/>
  <c r="AI13" i="1" s="1"/>
  <c r="X13" i="1"/>
  <c r="AA13" i="1"/>
  <c r="T13" i="1"/>
  <c r="G13" i="6" l="1"/>
  <c r="I13" i="6"/>
  <c r="J13" i="6"/>
  <c r="F13" i="6"/>
  <c r="B14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5" i="6" l="1"/>
  <c r="F14" i="6"/>
  <c r="G14" i="6"/>
  <c r="I14" i="6"/>
  <c r="J14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5" i="6" l="1"/>
  <c r="I15" i="6"/>
  <c r="J15" i="6"/>
  <c r="F15" i="6"/>
  <c r="B16" i="6"/>
  <c r="B87" i="9"/>
  <c r="B88" i="9"/>
  <c r="B89" i="9"/>
  <c r="B90" i="9"/>
  <c r="B91" i="9"/>
  <c r="B92" i="9"/>
  <c r="B17" i="6" l="1"/>
  <c r="F16" i="6"/>
  <c r="G16" i="6"/>
  <c r="I16" i="6"/>
  <c r="J16" i="6"/>
  <c r="C88" i="9"/>
  <c r="C92" i="9"/>
  <c r="C93" i="9"/>
  <c r="C90" i="9"/>
  <c r="C89" i="9"/>
  <c r="C91" i="9"/>
  <c r="B18" i="6" l="1"/>
  <c r="G17" i="6"/>
  <c r="I17" i="6"/>
  <c r="J17" i="6"/>
  <c r="F17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8" i="6" l="1"/>
  <c r="G18" i="6"/>
  <c r="I18" i="6"/>
  <c r="J18" i="6"/>
  <c r="B19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9" i="6" l="1"/>
  <c r="F19" i="6"/>
  <c r="G19" i="6"/>
  <c r="J19" i="6"/>
  <c r="B20" i="6"/>
  <c r="B55" i="9"/>
  <c r="B56" i="9"/>
  <c r="B57" i="9"/>
  <c r="B58" i="9"/>
  <c r="B59" i="9"/>
  <c r="B60" i="9"/>
  <c r="B61" i="9"/>
  <c r="B62" i="9"/>
  <c r="C63" i="9" s="1"/>
  <c r="F20" i="6" l="1"/>
  <c r="I20" i="6"/>
  <c r="G20" i="6"/>
  <c r="J20" i="6"/>
  <c r="B21" i="6"/>
  <c r="C61" i="9"/>
  <c r="C57" i="9"/>
  <c r="C59" i="9"/>
  <c r="C62" i="9"/>
  <c r="C60" i="9"/>
  <c r="C58" i="9"/>
  <c r="C56" i="9"/>
  <c r="G21" i="6" l="1"/>
  <c r="I21" i="6"/>
  <c r="J21" i="6"/>
  <c r="F21" i="6"/>
  <c r="B22" i="6"/>
  <c r="B50" i="9"/>
  <c r="B51" i="9"/>
  <c r="B52" i="9"/>
  <c r="B53" i="9"/>
  <c r="B54" i="9"/>
  <c r="F22" i="6" l="1"/>
  <c r="G22" i="6"/>
  <c r="I22" i="6"/>
  <c r="J22" i="6"/>
  <c r="B23" i="6"/>
  <c r="C52" i="9"/>
  <c r="C54" i="9"/>
  <c r="C55" i="9"/>
  <c r="C53" i="9"/>
  <c r="C51" i="9"/>
  <c r="G23" i="6" l="1"/>
  <c r="I23" i="6"/>
  <c r="J23" i="6"/>
  <c r="F23" i="6"/>
  <c r="B2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5" i="6" l="1"/>
  <c r="F24" i="6"/>
  <c r="G24" i="6"/>
  <c r="I24" i="6"/>
  <c r="J2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5" i="6" l="1"/>
  <c r="I25" i="6"/>
  <c r="J25" i="6"/>
  <c r="F25" i="6"/>
  <c r="B26" i="6"/>
  <c r="V13" i="1"/>
  <c r="B31" i="9"/>
  <c r="B32" i="9"/>
  <c r="C33" i="9" s="1"/>
  <c r="F26" i="6" l="1"/>
  <c r="G26" i="6"/>
  <c r="I26" i="6"/>
  <c r="J26" i="6"/>
  <c r="B27" i="6"/>
  <c r="C32" i="9"/>
  <c r="G27" i="6" l="1"/>
  <c r="I27" i="6"/>
  <c r="F27" i="6"/>
  <c r="H27" i="6"/>
  <c r="J27" i="6"/>
  <c r="B2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8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8" i="3" s="1"/>
  <c r="G36" i="4"/>
  <c r="G37" i="4"/>
  <c r="G38" i="4"/>
  <c r="G39" i="4"/>
  <c r="G40" i="4"/>
  <c r="G41" i="4"/>
  <c r="N14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7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30" i="3" s="1"/>
  <c r="G92" i="4"/>
  <c r="N22" i="3" s="1"/>
  <c r="G93" i="4"/>
  <c r="G94" i="4"/>
  <c r="N10" i="3" s="1"/>
  <c r="G95" i="4"/>
  <c r="N2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19" i="3" s="1"/>
  <c r="G110" i="4"/>
  <c r="H8" i="6" s="1"/>
  <c r="G111" i="4"/>
  <c r="N25" i="3" s="1"/>
  <c r="G112" i="4"/>
  <c r="G113" i="4"/>
  <c r="G114" i="4"/>
  <c r="H9" i="6" s="1"/>
  <c r="G115" i="4"/>
  <c r="G116" i="4"/>
  <c r="H10" i="6" s="1"/>
  <c r="G117" i="4"/>
  <c r="N28" i="3" s="1"/>
  <c r="G118" i="4"/>
  <c r="G119" i="4"/>
  <c r="G120" i="4"/>
  <c r="N21" i="3" s="1"/>
  <c r="G121" i="4"/>
  <c r="G122" i="4"/>
  <c r="G123" i="4"/>
  <c r="G124" i="4"/>
  <c r="G125" i="4"/>
  <c r="G126" i="4"/>
  <c r="G127" i="4"/>
  <c r="G128" i="4"/>
  <c r="H18" i="6" s="1"/>
  <c r="G129" i="4"/>
  <c r="N13" i="3" s="1"/>
  <c r="G130" i="4"/>
  <c r="G131" i="4"/>
  <c r="G132" i="4"/>
  <c r="G133" i="4"/>
  <c r="G134" i="4"/>
  <c r="G135" i="4"/>
  <c r="G136" i="4"/>
  <c r="G137" i="4"/>
  <c r="G138" i="4"/>
  <c r="G139" i="4"/>
  <c r="N27" i="3" s="1"/>
  <c r="G140" i="4"/>
  <c r="G141" i="4"/>
  <c r="G142" i="4"/>
  <c r="H24" i="6" s="1"/>
  <c r="G143" i="4"/>
  <c r="G144" i="4"/>
  <c r="N31" i="3" s="1"/>
  <c r="G145" i="4"/>
  <c r="G146" i="4"/>
  <c r="G147" i="4"/>
  <c r="G148" i="4"/>
  <c r="N26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32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35" i="3" s="1"/>
  <c r="G182" i="4"/>
  <c r="G183" i="4"/>
  <c r="G184" i="4"/>
  <c r="N33" i="3" s="1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34" i="3" s="1"/>
  <c r="G203" i="4"/>
  <c r="G204" i="4"/>
  <c r="G205" i="4"/>
  <c r="N9" i="3" s="1"/>
  <c r="G206" i="4"/>
  <c r="G207" i="4"/>
  <c r="G208" i="4"/>
  <c r="G209" i="4"/>
  <c r="G210" i="4"/>
  <c r="G211" i="4"/>
  <c r="G212" i="4"/>
  <c r="G213" i="4"/>
  <c r="G214" i="4"/>
  <c r="G215" i="4"/>
  <c r="G216" i="4"/>
  <c r="N36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N7" i="3" s="1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20" i="3"/>
  <c r="N37" i="3"/>
  <c r="N38" i="3"/>
  <c r="N11" i="3"/>
  <c r="N24" i="3"/>
  <c r="N23" i="3"/>
  <c r="N16" i="3"/>
  <c r="N12" i="3"/>
  <c r="H26" i="6"/>
  <c r="H5" i="6"/>
  <c r="H21" i="6"/>
  <c r="H12" i="6"/>
  <c r="H25" i="6"/>
  <c r="H19" i="6"/>
  <c r="H6" i="6"/>
  <c r="H16" i="6"/>
  <c r="H11" i="6"/>
  <c r="H4" i="6"/>
  <c r="H15" i="6"/>
  <c r="H17" i="6"/>
  <c r="H7" i="6"/>
  <c r="H14" i="6"/>
  <c r="H22" i="6"/>
  <c r="H23" i="6"/>
  <c r="H20" i="6"/>
  <c r="H13" i="6"/>
  <c r="F28" i="6"/>
  <c r="I28" i="6"/>
  <c r="G28" i="6"/>
  <c r="H28" i="6"/>
  <c r="J28" i="6"/>
  <c r="B29" i="6"/>
  <c r="L13" i="1"/>
  <c r="G29" i="6" l="1"/>
  <c r="I29" i="6"/>
  <c r="J29" i="6"/>
  <c r="F29" i="6"/>
  <c r="H29" i="6"/>
  <c r="B3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0" i="6" l="1"/>
  <c r="G30" i="6"/>
  <c r="I30" i="6"/>
  <c r="J30" i="6"/>
  <c r="H30" i="6"/>
  <c r="B3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1" i="6" l="1"/>
  <c r="H31" i="6"/>
  <c r="J31" i="6"/>
  <c r="I31" i="6"/>
  <c r="F31" i="6"/>
  <c r="B3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3" i="6" l="1"/>
  <c r="F32" i="6"/>
  <c r="G32" i="6"/>
  <c r="I32" i="6"/>
  <c r="H32" i="6"/>
  <c r="J32" i="6"/>
  <c r="M30" i="5"/>
  <c r="M29" i="5"/>
  <c r="M27" i="5"/>
  <c r="G33" i="6" l="1"/>
  <c r="I33" i="6"/>
  <c r="J33" i="6"/>
  <c r="H33" i="6"/>
  <c r="F33" i="6"/>
  <c r="B34" i="6"/>
  <c r="M26" i="5"/>
  <c r="B35" i="6" l="1"/>
  <c r="F34" i="6"/>
  <c r="G34" i="6"/>
  <c r="H34" i="6"/>
  <c r="J34" i="6"/>
  <c r="I34" i="6"/>
  <c r="AH13" i="1"/>
  <c r="J7" i="1"/>
  <c r="G35" i="6" l="1"/>
  <c r="F35" i="6"/>
  <c r="H35" i="6"/>
  <c r="J35" i="6"/>
  <c r="I35" i="6"/>
  <c r="B36" i="6"/>
  <c r="X6" i="1"/>
  <c r="W6" i="1"/>
  <c r="V6" i="1"/>
  <c r="S6" i="1"/>
  <c r="R2" i="1"/>
  <c r="I2" i="1"/>
  <c r="O6" i="1"/>
  <c r="N6" i="1"/>
  <c r="M6" i="1"/>
  <c r="J6" i="1"/>
  <c r="B37" i="6" l="1"/>
  <c r="I36" i="6"/>
  <c r="G36" i="6"/>
  <c r="H36" i="6"/>
  <c r="J36" i="6"/>
  <c r="F36" i="6"/>
  <c r="P3" i="5"/>
  <c r="G37" i="6" l="1"/>
  <c r="I37" i="6"/>
  <c r="J37" i="6"/>
  <c r="F37" i="6"/>
  <c r="H37" i="6"/>
  <c r="B38" i="6"/>
  <c r="M18" i="5"/>
  <c r="B39" i="6" l="1"/>
  <c r="F38" i="6"/>
  <c r="G38" i="6"/>
  <c r="I38" i="6"/>
  <c r="J38" i="6"/>
  <c r="H38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9" i="6" l="1"/>
  <c r="I39" i="6"/>
  <c r="J39" i="6"/>
  <c r="F39" i="6"/>
  <c r="H39" i="6"/>
  <c r="B4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1" i="6" l="1"/>
  <c r="F40" i="6"/>
  <c r="G40" i="6"/>
  <c r="I40" i="6"/>
  <c r="H40" i="6"/>
  <c r="J40" i="6"/>
  <c r="G259" i="4"/>
  <c r="G260" i="4"/>
  <c r="G261" i="4"/>
  <c r="G262" i="4"/>
  <c r="G263" i="4"/>
  <c r="G264" i="4"/>
  <c r="G265" i="4"/>
  <c r="B42" i="6" l="1"/>
  <c r="G41" i="6"/>
  <c r="I41" i="6"/>
  <c r="H41" i="6"/>
  <c r="J41" i="6"/>
  <c r="F41" i="6"/>
  <c r="M14" i="5"/>
  <c r="M13" i="5"/>
  <c r="M12" i="5"/>
  <c r="M11" i="5"/>
  <c r="M10" i="5"/>
  <c r="M9" i="5"/>
  <c r="M8" i="5"/>
  <c r="M7" i="5"/>
  <c r="M6" i="5"/>
  <c r="M5" i="5"/>
  <c r="M4" i="5"/>
  <c r="M3" i="5"/>
  <c r="F42" i="6" l="1"/>
  <c r="G42" i="6"/>
  <c r="I42" i="6"/>
  <c r="J42" i="6"/>
  <c r="H42" i="6"/>
  <c r="B43" i="6"/>
  <c r="U13" i="1"/>
  <c r="S13" i="1" s="1"/>
  <c r="O3" i="3"/>
  <c r="H43" i="6" l="1"/>
  <c r="I43" i="6"/>
  <c r="F43" i="6"/>
  <c r="G43" i="6"/>
  <c r="J43" i="6"/>
  <c r="B4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5" i="6" l="1"/>
  <c r="F45" i="6" s="1"/>
  <c r="F44" i="6"/>
  <c r="G44" i="6"/>
  <c r="I44" i="6"/>
  <c r="H44" i="6"/>
  <c r="J44" i="6"/>
  <c r="J8" i="1"/>
  <c r="J4" i="1"/>
  <c r="S8" i="1"/>
  <c r="S4" i="1"/>
  <c r="J45" i="6" l="1"/>
  <c r="I45" i="6"/>
  <c r="G45" i="6"/>
  <c r="H45" i="6"/>
  <c r="B46" i="6"/>
  <c r="S9" i="1"/>
  <c r="J9" i="1"/>
  <c r="B47" i="6" l="1"/>
  <c r="H46" i="6"/>
  <c r="J46" i="6"/>
  <c r="F46" i="6"/>
  <c r="G46" i="6"/>
  <c r="I46" i="6"/>
  <c r="S11" i="1"/>
  <c r="A11" i="1"/>
  <c r="B48" i="6" l="1"/>
  <c r="F47" i="6"/>
  <c r="I47" i="6"/>
  <c r="J47" i="6"/>
  <c r="G47" i="6"/>
  <c r="H47" i="6"/>
  <c r="B1" i="6"/>
  <c r="A5" i="3"/>
  <c r="B49" i="6" l="1"/>
  <c r="G48" i="6"/>
  <c r="H48" i="6"/>
  <c r="F48" i="6"/>
  <c r="I48" i="6"/>
  <c r="J48" i="6"/>
  <c r="G49" i="6" l="1"/>
  <c r="H49" i="6"/>
  <c r="I49" i="6"/>
  <c r="J49" i="6"/>
  <c r="F49" i="6"/>
  <c r="B50" i="6"/>
  <c r="H50" i="6" l="1"/>
  <c r="F50" i="6"/>
  <c r="G50" i="6"/>
  <c r="I50" i="6"/>
  <c r="J50" i="6"/>
  <c r="B51" i="6"/>
  <c r="B52" i="6" l="1"/>
  <c r="G51" i="6"/>
  <c r="H51" i="6"/>
  <c r="I51" i="6"/>
  <c r="J51" i="6"/>
  <c r="F51" i="6"/>
  <c r="B53" i="6" l="1"/>
  <c r="I52" i="6"/>
  <c r="G52" i="6"/>
  <c r="F52" i="6"/>
  <c r="H52" i="6"/>
  <c r="J52" i="6"/>
  <c r="G53" i="6" l="1"/>
  <c r="F53" i="6"/>
  <c r="H53" i="6"/>
  <c r="I53" i="6"/>
  <c r="J53" i="6"/>
  <c r="B54" i="6"/>
  <c r="H54" i="6" l="1"/>
  <c r="J54" i="6"/>
  <c r="F54" i="6"/>
  <c r="G54" i="6"/>
  <c r="I54" i="6"/>
  <c r="B55" i="6"/>
  <c r="B3" i="6"/>
  <c r="B56" i="6" l="1"/>
  <c r="F55" i="6"/>
  <c r="G55" i="6"/>
  <c r="I55" i="6"/>
  <c r="H55" i="6"/>
  <c r="J55" i="6"/>
  <c r="I3" i="6"/>
  <c r="F3" i="6"/>
  <c r="G3" i="6"/>
  <c r="J3" i="6"/>
  <c r="H3" i="6"/>
  <c r="F56" i="6" l="1"/>
  <c r="G56" i="6"/>
  <c r="J56" i="6"/>
  <c r="H56" i="6"/>
  <c r="I56" i="6"/>
  <c r="B57" i="6"/>
  <c r="G57" i="6" l="1"/>
  <c r="J57" i="6"/>
  <c r="F57" i="6"/>
  <c r="H57" i="6"/>
  <c r="I57" i="6"/>
  <c r="B58" i="6"/>
  <c r="B59" i="6" l="1"/>
  <c r="F58" i="6"/>
  <c r="G58" i="6"/>
  <c r="H58" i="6"/>
  <c r="I58" i="6"/>
  <c r="J58" i="6"/>
  <c r="B60" i="6" l="1"/>
  <c r="J59" i="6"/>
  <c r="F59" i="6"/>
  <c r="I59" i="6"/>
  <c r="G59" i="6"/>
  <c r="H59" i="6"/>
  <c r="B61" i="6" l="1"/>
  <c r="G60" i="6"/>
  <c r="H60" i="6"/>
  <c r="F60" i="6"/>
  <c r="I60" i="6"/>
  <c r="J60" i="6"/>
  <c r="G61" i="6" l="1"/>
  <c r="I61" i="6"/>
  <c r="J61" i="6"/>
  <c r="F61" i="6"/>
  <c r="H61" i="6"/>
  <c r="B62" i="6"/>
  <c r="B63" i="6" l="1"/>
  <c r="J62" i="6"/>
  <c r="F62" i="6"/>
  <c r="H62" i="6"/>
  <c r="G62" i="6"/>
  <c r="I62" i="6"/>
  <c r="B64" i="6" l="1"/>
  <c r="H63" i="6"/>
  <c r="F63" i="6"/>
  <c r="I63" i="6"/>
  <c r="J63" i="6"/>
  <c r="G63" i="6"/>
  <c r="B66" i="6" l="1"/>
  <c r="B65" i="6"/>
  <c r="G64" i="6"/>
  <c r="H64" i="6"/>
  <c r="F64" i="6"/>
  <c r="I64" i="6"/>
  <c r="J64" i="6"/>
  <c r="G65" i="6" l="1"/>
  <c r="H65" i="6"/>
  <c r="I65" i="6"/>
  <c r="J65" i="6"/>
  <c r="F65" i="6"/>
  <c r="H66" i="6"/>
  <c r="J66" i="6"/>
  <c r="G66" i="6"/>
  <c r="I66" i="6"/>
  <c r="F6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<sst xmlns="http://schemas.openxmlformats.org/spreadsheetml/2006/main" count="2867" uniqueCount="1017">
  <si>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</si>
  <si>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</si>
  <si>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</si>
  <si>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</si>
  <si>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</si>
  <si>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</si>
  <si>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</si>
  <si>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</si>
  <si>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</si>
  <si>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</si>
  <si>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</si>
  <si>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</si>
  <si>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</si>
  <si>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</si>
  <si>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</si>
  <si>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</si>
  <si>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</si>
  <si>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</si>
  <si>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</si>
  <si>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</si>
  <si>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</si>
  <si>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</si>
  <si>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</si>
  <si>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</si>
  <si>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</si>
  <si>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</si>
  <si>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</si>
  <si>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</si>
  <si>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</si>
  <si>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</si>
  <si>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</si>
  <si>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</si>
  <si>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</si>
  <si>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</si>
  <si>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</si>
  <si>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</si>
  <si>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</si>
  <si>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</si>
  <si>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</si>
  <si>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</si>
  <si>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</si>
  <si>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</si>
  <si>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</si>
  <si>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</si>
  <si>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</si>
  <si>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</si>
  <si>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</si>
  <si>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</si>
  <si>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</si>
  <si>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</si>
  <si>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</si>
  <si>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</si>
  <si>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</si>
  <si>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</si>
  <si>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</si>
  <si>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</si>
  <si>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</si>
  <si>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</si>
  <si>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</si>
  <si>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</si>
  <si>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</si>
  <si>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</si>
  <si>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</si>
  <si>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</si>
  <si>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</si>
  <si>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</si>
  <si>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</si>
  <si>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</si>
  <si>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</si>
  <si>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</si>
  <si>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</si>
  <si>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</si>
  <si>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</si>
  <si>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</si>
  <si>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</si>
  <si>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</si>
  <si>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</si>
  <si>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</si>
  <si>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</si>
  <si>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</si>
  <si>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</si>
  <si>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</si>
  <si>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</si>
  <si>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</si>
  <si>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</si>
  <si>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</si>
  <si>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</si>
  <si>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</si>
  <si>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</si>
  <si>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</si>
  <si>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</si>
  <si>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</si>
  <si>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</si>
  <si>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</si>
  <si>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</si>
  <si>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</si>
  <si>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</si>
  <si>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</si>
  <si>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</si>
  <si>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</si>
  <si>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</si>
  <si>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</si>
  <si>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</si>
  <si>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</si>
  <si>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</si>
  <si>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</si>
  <si>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</si>
  <si>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</si>
  <si>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</si>
  <si>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</si>
  <si>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</si>
  <si>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</si>
  <si>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</si>
  <si>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</si>
  <si>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</si>
  <si>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</si>
  <si>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</si>
  <si>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</si>
  <si>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</si>
  <si>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</si>
  <si>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</si>
  <si>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</si>
  <si>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</si>
  <si>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</si>
  <si>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</si>
  <si>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</si>
  <si>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</si>
  <si>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</si>
  <si>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</si>
  <si>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</si>
  <si>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</si>
  <si>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</si>
  <si>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</si>
  <si>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</si>
  <si>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</si>
  <si>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</si>
  <si>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</si>
  <si>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</si>
  <si>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</si>
  <si>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</si>
  <si>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</si>
  <si>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</si>
  <si>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</si>
  <si>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</si>
  <si>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</si>
  <si>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</si>
  <si>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</si>
  <si>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</si>
  <si>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</si>
  <si>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</si>
  <si>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</si>
  <si>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</si>
  <si>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</si>
  <si>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</si>
  <si>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</si>
  <si>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</si>
  <si>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</si>
  <si>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</si>
  <si>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</si>
  <si>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</si>
  <si>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</si>
  <si>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</si>
  <si>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</si>
  <si>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</si>
  <si>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</si>
  <si>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</si>
  <si>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</si>
  <si>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</si>
  <si>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</si>
  <si>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</si>
  <si>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</si>
  <si>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</si>
  <si>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</si>
  <si>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</si>
  <si>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</si>
  <si>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</si>
  <si>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</si>
  <si>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</si>
  <si>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</si>
  <si>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</si>
  <si>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</si>
  <si>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</si>
  <si>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</si>
  <si>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</si>
  <si>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</si>
  <si>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</si>
  <si>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</si>
  <si>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</si>
  <si>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</si>
  <si>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</si>
  <si>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</si>
  <si>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</si>
  <si>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</si>
  <si>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</si>
  <si>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</si>
  <si>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</si>
  <si>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</si>
  <si>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</si>
  <si>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</si>
  <si>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</si>
  <si>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</si>
  <si>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</si>
  <si>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</si>
  <si>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</si>
  <si>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</si>
  <si>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</si>
  <si>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</si>
  <si>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</si>
  <si>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</si>
  <si>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</si>
  <si>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</si>
  <si>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</si>
  <si>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</si>
  <si>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</si>
  <si>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</si>
  <si>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</si>
  <si>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</si>
  <si>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</si>
  <si>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</si>
  <si>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</si>
  <si>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</si>
  <si>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</si>
  <si>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</si>
  <si>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</si>
  <si>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</si>
  <si>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</si>
  <si>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</si>
  <si>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</si>
  <si>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</si>
  <si>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</si>
  <si>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</si>
  <si>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</si>
  <si>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</si>
  <si>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</si>
  <si>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</si>
  <si>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</si>
  <si>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</si>
  <si>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</si>
  <si>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</si>
  <si>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</si>
  <si>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</si>
  <si>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</si>
  <si>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</si>
  <si>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</si>
  <si>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</si>
  <si>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</si>
  <si>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</si>
  <si>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</si>
  <si>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</si>
  <si>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</si>
  <si>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</si>
  <si>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</si>
  <si>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</si>
  <si>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</si>
  <si>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</si>
  <si>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</si>
  <si>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</si>
  <si>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</si>
  <si>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</si>
  <si>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</si>
  <si>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</si>
  <si>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</si>
  <si>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</si>
  <si>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</si>
  <si>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</si>
  <si>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</si>
  <si>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</si>
  <si>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</si>
  <si>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</si>
  <si>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</si>
  <si>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</si>
  <si>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</si>
  <si>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</si>
  <si>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</si>
  <si>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</si>
  <si>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</si>
  <si>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</si>
  <si>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</si>
  <si>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</si>
  <si>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</si>
  <si>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</si>
  <si>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</si>
  <si>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</si>
  <si>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</si>
  <si>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</si>
  <si>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</si>
  <si>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</si>
  <si>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</si>
  <si>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</si>
  <si>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</si>
  <si>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</si>
  <si>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</si>
  <si>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</si>
  <si>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</si>
  <si>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</si>
  <si>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</si>
  <si>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</si>
  <si>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</si>
  <si>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</si>
  <si>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</si>
  <si>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</si>
  <si>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</si>
  <si>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</si>
  <si>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</si>
  <si>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</si>
  <si>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</si>
  <si>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</si>
  <si>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</si>
  <si>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</si>
  <si>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</si>
  <si>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</si>
  <si>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</si>
  <si>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</si>
  <si>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</si>
  <si>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</si>
  <si>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</si>
  <si>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</si>
  <si>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</si>
  <si>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</si>
  <si>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</si>
  <si>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</si>
  <si>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</si>
  <si>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</si>
  <si>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</si>
  <si>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</si>
  <si>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</si>
  <si>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</si>
  <si>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</si>
  <si>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</si>
  <si>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</si>
  <si>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</si>
  <si>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</si>
  <si>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</si>
  <si>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</si>
  <si>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</si>
  <si>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</si>
  <si>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</si>
  <si>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</si>
  <si>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</si>
  <si>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</si>
  <si>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</si>
  <si>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</si>
  <si>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</si>
  <si>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</si>
  <si>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</si>
  <si>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</si>
  <si>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</si>
  <si>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</si>
  <si>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</si>
  <si>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</si>
  <si>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</si>
  <si>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</si>
  <si>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</si>
  <si>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</si>
  <si>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</si>
  <si>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</si>
  <si>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</si>
  <si>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</si>
  <si>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</si>
  <si>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</si>
  <si>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</si>
  <si>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</si>
  <si>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</si>
  <si>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</si>
  <si>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</si>
  <si>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</si>
  <si>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</si>
  <si>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</si>
  <si>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</si>
  <si>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</si>
  <si>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</si>
  <si>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</si>
  <si>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</si>
  <si>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</si>
  <si>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</si>
  <si>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</si>
  <si>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</si>
  <si>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</si>
  <si>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</si>
  <si>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</si>
  <si>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</si>
  <si>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</si>
  <si>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</si>
  <si>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</si>
  <si>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</si>
  <si>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</si>
  <si>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</si>
  <si>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</si>
  <si>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</si>
  <si>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</si>
  <si>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</si>
  <si>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</si>
  <si>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</si>
  <si>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</si>
  <si>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</si>
  <si>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</si>
  <si>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</si>
  <si>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</si>
  <si>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</si>
  <si>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</si>
  <si>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</si>
  <si>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</si>
  <si>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</si>
  <si>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</si>
  <si>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</si>
  <si>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</si>
  <si>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204:233295</t>
  </si>
  <si>
    <t>204:232974</t>
  </si>
  <si>
    <t>204:473</t>
  </si>
  <si>
    <t>rtdc.l.rtdc.4049:itc</t>
  </si>
  <si>
    <t>rtdc.l.rtdc.4050:itc</t>
  </si>
  <si>
    <t>rtdc.l.rtdc.4008:itc</t>
  </si>
  <si>
    <t>rtdc.l.rtdc.4007:itc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</si>
  <si>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</si>
  <si>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</si>
  <si>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</si>
  <si>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</si>
  <si>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</si>
  <si>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</si>
  <si>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</si>
  <si>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</si>
  <si>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</si>
  <si>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</si>
  <si>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300:23308</t>
  </si>
  <si>
    <t>Y</t>
  </si>
  <si>
    <t>204:233299</t>
  </si>
  <si>
    <t>Wi-MAX data drop</t>
  </si>
  <si>
    <t>Track device (7)</t>
  </si>
  <si>
    <t>ROBINSON</t>
  </si>
  <si>
    <t>KADDIBA</t>
  </si>
  <si>
    <t>rtdc.l.rtdc.4026:itc</t>
  </si>
  <si>
    <t>204:232983</t>
  </si>
  <si>
    <t>SWITCH UNKNOWN</t>
  </si>
  <si>
    <t>rtdc.l.rtdc.4041:itc</t>
  </si>
  <si>
    <t>STAMBAUGH</t>
  </si>
  <si>
    <t>DAVIS</t>
  </si>
  <si>
    <t>rtdc.l.rtdc.4015:itc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</si>
  <si>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</si>
  <si>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</si>
  <si>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</si>
  <si>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</si>
  <si>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</si>
  <si>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</si>
  <si>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</si>
  <si>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204:233308</t>
  </si>
  <si>
    <t>204:232998</t>
  </si>
  <si>
    <t>204:161</t>
  </si>
  <si>
    <t>204:233347</t>
  </si>
  <si>
    <t>204:232984</t>
  </si>
  <si>
    <t>204:232973</t>
  </si>
  <si>
    <t>204:232977</t>
  </si>
  <si>
    <t>rtdc.l.rtdc.4006:itc</t>
  </si>
  <si>
    <t>rtdc.l.rtdc.4005:itc</t>
  </si>
  <si>
    <t>rtdc.l.rtdc.4025:itc</t>
  </si>
  <si>
    <t>BONDS</t>
  </si>
  <si>
    <t>REYNALDO</t>
  </si>
  <si>
    <t>STARKS</t>
  </si>
  <si>
    <t>ANGELINA</t>
  </si>
  <si>
    <t>HELVIE</t>
  </si>
  <si>
    <t>ADAM</t>
  </si>
  <si>
    <t>LOZA</t>
  </si>
  <si>
    <t>FIDEL</t>
  </si>
  <si>
    <t>LEVIN</t>
  </si>
  <si>
    <t>SCOTT</t>
  </si>
  <si>
    <t>204:232994</t>
  </si>
  <si>
    <t>204:145</t>
  </si>
  <si>
    <t>204:233298</t>
  </si>
  <si>
    <t>204:232980</t>
  </si>
  <si>
    <t>204:480</t>
  </si>
  <si>
    <t>204:435</t>
  </si>
  <si>
    <t>204:442</t>
  </si>
  <si>
    <t>204:232996</t>
  </si>
  <si>
    <t>204:232990</t>
  </si>
  <si>
    <t>300:58619</t>
  </si>
  <si>
    <t>300:58946</t>
  </si>
  <si>
    <t>rtdc.l.rtdc.4043:itc</t>
  </si>
  <si>
    <t>rtdc.l.rtdc.4019:itc</t>
  </si>
  <si>
    <t>80-23</t>
  </si>
  <si>
    <t>rtdc.l.rtdc.4020:itc</t>
  </si>
  <si>
    <t>rtdc.l.rtdc.4044:itc</t>
  </si>
  <si>
    <t>STEWART</t>
  </si>
  <si>
    <t>FORTUNATO</t>
  </si>
  <si>
    <t>FRANK</t>
  </si>
  <si>
    <t>81-23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</si>
  <si>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</si>
  <si>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</si>
  <si>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</si>
  <si>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</si>
  <si>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</si>
  <si>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</si>
  <si>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</si>
  <si>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</si>
  <si>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</si>
  <si>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</si>
  <si>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</si>
  <si>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</si>
  <si>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</si>
  <si>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</si>
  <si>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204:233314</t>
  </si>
  <si>
    <t>204:233329</t>
  </si>
  <si>
    <t>204:233303</t>
  </si>
  <si>
    <t>204:233297</t>
  </si>
  <si>
    <t>204:233004</t>
  </si>
  <si>
    <t>204:440</t>
  </si>
  <si>
    <t>204:233288</t>
  </si>
  <si>
    <t>300:58952</t>
  </si>
  <si>
    <t>204:1165</t>
  </si>
  <si>
    <t>204:232981</t>
  </si>
  <si>
    <t>300:58636</t>
  </si>
  <si>
    <t>300:58954</t>
  </si>
  <si>
    <t>300:58634</t>
  </si>
  <si>
    <t>M - F = 49 trips</t>
  </si>
  <si>
    <t>Sat - Sun = 35 Trips</t>
  </si>
  <si>
    <t>rtdc.l.rtdc.4057:itc</t>
  </si>
  <si>
    <t>rtdc.l.rtdc.4010:itc</t>
  </si>
  <si>
    <t>BEAM</t>
  </si>
  <si>
    <t>ROSS</t>
  </si>
  <si>
    <t>DELGADO</t>
  </si>
  <si>
    <t>DIANAH</t>
  </si>
  <si>
    <t>DE LA ROSA</t>
  </si>
  <si>
    <t>ALEX</t>
  </si>
  <si>
    <t>HOLCOMB</t>
  </si>
  <si>
    <t>KAMDEN</t>
  </si>
  <si>
    <t>ARVIDSON</t>
  </si>
  <si>
    <t>DANIEL</t>
  </si>
  <si>
    <t>LOPES</t>
  </si>
  <si>
    <t>KIMBERLY</t>
  </si>
  <si>
    <t>SPECTOR</t>
  </si>
  <si>
    <t>204:232987</t>
  </si>
  <si>
    <t>204:233319</t>
  </si>
  <si>
    <t>204:233370</t>
  </si>
  <si>
    <t>204:233318</t>
  </si>
  <si>
    <t>300:58655</t>
  </si>
  <si>
    <t>300:58950</t>
  </si>
  <si>
    <t>204:713</t>
  </si>
  <si>
    <t>rtdc.l.rtdc.4011:itc</t>
  </si>
  <si>
    <t>rtdc.l.rtdc.4012:itc</t>
  </si>
  <si>
    <t>rtdc.l.rtdc.4055:itc</t>
  </si>
  <si>
    <t>WENDY</t>
  </si>
  <si>
    <t>COOLAHAN</t>
  </si>
  <si>
    <t>JOHN</t>
  </si>
  <si>
    <t>ROMERO</t>
  </si>
  <si>
    <t>CHAD</t>
  </si>
  <si>
    <t>240-25</t>
  </si>
  <si>
    <t>242-25</t>
  </si>
  <si>
    <t>244-25</t>
  </si>
  <si>
    <t>309-25</t>
  </si>
  <si>
    <t>311-25</t>
  </si>
  <si>
    <t>313-25</t>
  </si>
  <si>
    <t>300-26</t>
  </si>
  <si>
    <t>Mostly Cloudy</t>
  </si>
  <si>
    <t>Drizzle</t>
  </si>
  <si>
    <t>Light Rain</t>
  </si>
  <si>
    <t>204:232988</t>
  </si>
  <si>
    <t>204:233019</t>
  </si>
  <si>
    <t>204:467</t>
  </si>
  <si>
    <t>204:233015</t>
  </si>
  <si>
    <t>204:156</t>
  </si>
  <si>
    <t>204:232989</t>
  </si>
  <si>
    <t>204:438</t>
  </si>
  <si>
    <t>204:233000</t>
  </si>
  <si>
    <t>204:233291</t>
  </si>
  <si>
    <t>204:232986</t>
  </si>
  <si>
    <t>204:233338</t>
  </si>
  <si>
    <t>204:165</t>
  </si>
  <si>
    <t>204:233311</t>
  </si>
  <si>
    <t>204:427</t>
  </si>
  <si>
    <t>204:233336</t>
  </si>
  <si>
    <t>204:185</t>
  </si>
  <si>
    <t>204:233002</t>
  </si>
  <si>
    <t>204:134</t>
  </si>
  <si>
    <t>204:233086</t>
  </si>
  <si>
    <t>204:233285</t>
  </si>
  <si>
    <t>204:232967</t>
  </si>
  <si>
    <t>204:482</t>
  </si>
  <si>
    <t>204:233300</t>
  </si>
  <si>
    <t>204:232993</t>
  </si>
  <si>
    <t>204:233304</t>
  </si>
  <si>
    <t>300:23128</t>
  </si>
  <si>
    <t>300:23302</t>
  </si>
  <si>
    <t>204:1150</t>
  </si>
  <si>
    <t>204:967</t>
  </si>
  <si>
    <t>204:969</t>
  </si>
  <si>
    <t>204:682</t>
  </si>
  <si>
    <t>204:675</t>
  </si>
  <si>
    <t>204:988</t>
  </si>
  <si>
    <t>300:58590</t>
  </si>
  <si>
    <t>204:972</t>
  </si>
  <si>
    <t>300:58621</t>
  </si>
  <si>
    <t>300:58941</t>
  </si>
  <si>
    <t>204:692</t>
  </si>
  <si>
    <t>300:58628</t>
  </si>
  <si>
    <t>204:685</t>
  </si>
  <si>
    <t>start /low /b %USERPROFILE%\Documents\GitHub\eaglep3\Utilities\DownloadLogsFromS3.py --loco 4044 --day 2017-05-26</t>
  </si>
  <si>
    <t>rtdc.l.rtdc.4062:itc</t>
  </si>
  <si>
    <t>103-26</t>
  </si>
  <si>
    <t>102-26</t>
  </si>
  <si>
    <t>901-26</t>
  </si>
  <si>
    <t>SWITCH ALIGNMENT</t>
  </si>
  <si>
    <t>108-26</t>
  </si>
  <si>
    <t>112-26</t>
  </si>
  <si>
    <t>rtdc.l.rtdc.4016:itc</t>
  </si>
  <si>
    <t>125-26</t>
  </si>
  <si>
    <t>rtdc.l.rtdc.4002:itc</t>
  </si>
  <si>
    <t>133-26</t>
  </si>
  <si>
    <t>rtdc.l.rtdc.4009:itc</t>
  </si>
  <si>
    <t>814-26</t>
  </si>
  <si>
    <t>151-26</t>
  </si>
  <si>
    <t>rtdc.l.rtdc.4058:itc</t>
  </si>
  <si>
    <t>149-26</t>
  </si>
  <si>
    <t>815-26</t>
  </si>
  <si>
    <t>156-26</t>
  </si>
  <si>
    <t>160-26</t>
  </si>
  <si>
    <t>819-26</t>
  </si>
  <si>
    <t>164-26</t>
  </si>
  <si>
    <t>177-26</t>
  </si>
  <si>
    <t>170-26</t>
  </si>
  <si>
    <t>823-26</t>
  </si>
  <si>
    <t>824-26</t>
  </si>
  <si>
    <t>191-26</t>
  </si>
  <si>
    <t>828-26</t>
  </si>
  <si>
    <t>75-26</t>
  </si>
  <si>
    <t>834-26</t>
  </si>
  <si>
    <t>212-26</t>
  </si>
  <si>
    <t>rtdc.l.rtdc.4001:itc</t>
  </si>
  <si>
    <t>218-26</t>
  </si>
  <si>
    <t>840-26</t>
  </si>
  <si>
    <t>81-26</t>
  </si>
  <si>
    <t>234-26</t>
  </si>
  <si>
    <t>51-26</t>
  </si>
  <si>
    <t>101-26</t>
  </si>
  <si>
    <t>52-26</t>
  </si>
  <si>
    <t>rtdc.l.rtdc.4061:itc</t>
  </si>
  <si>
    <t>302-26</t>
  </si>
  <si>
    <t>304-26</t>
  </si>
  <si>
    <t>306-26</t>
  </si>
  <si>
    <t>105-26</t>
  </si>
  <si>
    <t>107-26</t>
  </si>
  <si>
    <t>308-26</t>
  </si>
  <si>
    <t>104-26</t>
  </si>
  <si>
    <t>109-26</t>
  </si>
  <si>
    <t>310-26</t>
  </si>
  <si>
    <t>DAVIDSON</t>
  </si>
  <si>
    <t>DAVID</t>
  </si>
  <si>
    <t>111-26</t>
  </si>
  <si>
    <t>800-26</t>
  </si>
  <si>
    <t>106-26</t>
  </si>
  <si>
    <t>113-26</t>
  </si>
  <si>
    <t>312-26</t>
  </si>
  <si>
    <t>801-26</t>
  </si>
  <si>
    <t>115-26</t>
  </si>
  <si>
    <t>110-26</t>
  </si>
  <si>
    <t>117-26</t>
  </si>
  <si>
    <t>rtdc.l.rtdc.4023:itc</t>
  </si>
  <si>
    <t>902-26</t>
  </si>
  <si>
    <t>119-26</t>
  </si>
  <si>
    <t>802-26</t>
  </si>
  <si>
    <t>114-26</t>
  </si>
  <si>
    <t>rtdc.l.rtdc.4024:itc</t>
  </si>
  <si>
    <t>803-26</t>
  </si>
  <si>
    <t>121-26</t>
  </si>
  <si>
    <t>116-26</t>
  </si>
  <si>
    <t>123-26</t>
  </si>
  <si>
    <t>805-26</t>
  </si>
  <si>
    <t>118-26</t>
  </si>
  <si>
    <t>120-26</t>
  </si>
  <si>
    <t>122-26</t>
  </si>
  <si>
    <t>127-26</t>
  </si>
  <si>
    <t>55-26</t>
  </si>
  <si>
    <t>LALONDE</t>
  </si>
  <si>
    <t>GREGORY</t>
  </si>
  <si>
    <t>129-26</t>
  </si>
  <si>
    <t>806-26</t>
  </si>
  <si>
    <t>807-26</t>
  </si>
  <si>
    <t>124-26</t>
  </si>
  <si>
    <t>131-26</t>
  </si>
  <si>
    <t>809-26</t>
  </si>
  <si>
    <t>126-26</t>
  </si>
  <si>
    <t>808-26</t>
  </si>
  <si>
    <t>128-26</t>
  </si>
  <si>
    <t>57-26</t>
  </si>
  <si>
    <t>135-26</t>
  </si>
  <si>
    <t>130-26</t>
  </si>
  <si>
    <t>811-26</t>
  </si>
  <si>
    <t>810-26</t>
  </si>
  <si>
    <t>137-26</t>
  </si>
  <si>
    <t>132-26</t>
  </si>
  <si>
    <t>139-26</t>
  </si>
  <si>
    <t>903-26</t>
  </si>
  <si>
    <t>812-26</t>
  </si>
  <si>
    <t>134-26</t>
  </si>
  <si>
    <t>136-26</t>
  </si>
  <si>
    <t>141-26</t>
  </si>
  <si>
    <t>143-26</t>
  </si>
  <si>
    <t>813-26</t>
  </si>
  <si>
    <t>138-26</t>
  </si>
  <si>
    <t>145-26</t>
  </si>
  <si>
    <t>140-26</t>
  </si>
  <si>
    <t>147-26</t>
  </si>
  <si>
    <t>142-26</t>
  </si>
  <si>
    <t>144-26</t>
  </si>
  <si>
    <t>146-26</t>
  </si>
  <si>
    <t>153-26</t>
  </si>
  <si>
    <t>148-26</t>
  </si>
  <si>
    <t>155-26</t>
  </si>
  <si>
    <t>THOMPSON</t>
  </si>
  <si>
    <t>LESTER</t>
  </si>
  <si>
    <t>61-26</t>
  </si>
  <si>
    <t>MAYBERRY</t>
  </si>
  <si>
    <t>BILL</t>
  </si>
  <si>
    <t>150-26</t>
  </si>
  <si>
    <t>816-26</t>
  </si>
  <si>
    <t>157-26</t>
  </si>
  <si>
    <t>WHITED</t>
  </si>
  <si>
    <t>DUSTIN</t>
  </si>
  <si>
    <t>159-26</t>
  </si>
  <si>
    <t>152-26</t>
  </si>
  <si>
    <t>154-26</t>
  </si>
  <si>
    <t>817-26</t>
  </si>
  <si>
    <t>161-26</t>
  </si>
  <si>
    <t>SANTIZO</t>
  </si>
  <si>
    <t>D. EDY</t>
  </si>
  <si>
    <t>163-26</t>
  </si>
  <si>
    <t>59-26</t>
  </si>
  <si>
    <t>158-26</t>
  </si>
  <si>
    <t>818-26</t>
  </si>
  <si>
    <t>165-26</t>
  </si>
  <si>
    <t>162-26</t>
  </si>
  <si>
    <t>167-26</t>
  </si>
  <si>
    <t>169-26</t>
  </si>
  <si>
    <t>171-26</t>
  </si>
  <si>
    <t>820-26</t>
  </si>
  <si>
    <t>166-26</t>
  </si>
  <si>
    <t>RONIN-26</t>
  </si>
  <si>
    <t>173-26</t>
  </si>
  <si>
    <t>168-26</t>
  </si>
  <si>
    <t>175-26</t>
  </si>
  <si>
    <t>BRANDNER</t>
  </si>
  <si>
    <t>MELINDA</t>
  </si>
  <si>
    <t>821-26</t>
  </si>
  <si>
    <t>172-26</t>
  </si>
  <si>
    <t>179-26</t>
  </si>
  <si>
    <t>174-26</t>
  </si>
  <si>
    <t>822-26</t>
  </si>
  <si>
    <t>181-26</t>
  </si>
  <si>
    <t>176-26</t>
  </si>
  <si>
    <t>183-26</t>
  </si>
  <si>
    <t>178-26</t>
  </si>
  <si>
    <t>185-26</t>
  </si>
  <si>
    <t>180-26</t>
  </si>
  <si>
    <t>187-26</t>
  </si>
  <si>
    <t>182-26</t>
  </si>
  <si>
    <t>189-26</t>
  </si>
  <si>
    <t>184-26</t>
  </si>
  <si>
    <t>825-26</t>
  </si>
  <si>
    <t>186-26</t>
  </si>
  <si>
    <t>193-26</t>
  </si>
  <si>
    <t>904-26</t>
  </si>
  <si>
    <t>MCREYNOLDS</t>
  </si>
  <si>
    <t>KYLE</t>
  </si>
  <si>
    <t>188-26</t>
  </si>
  <si>
    <t>195-26</t>
  </si>
  <si>
    <t>190-26</t>
  </si>
  <si>
    <t>826-26</t>
  </si>
  <si>
    <t>197-26</t>
  </si>
  <si>
    <t>827-26</t>
  </si>
  <si>
    <t>192-26</t>
  </si>
  <si>
    <t>199-26</t>
  </si>
  <si>
    <t>194-26</t>
  </si>
  <si>
    <t>829-26</t>
  </si>
  <si>
    <t>201-26</t>
  </si>
  <si>
    <t>196-26</t>
  </si>
  <si>
    <t>203-26</t>
  </si>
  <si>
    <t>198-26</t>
  </si>
  <si>
    <t>830-26</t>
  </si>
  <si>
    <t>205-26</t>
  </si>
  <si>
    <t>831-26</t>
  </si>
  <si>
    <t>200-26</t>
  </si>
  <si>
    <t>207-26</t>
  </si>
  <si>
    <t>833-26</t>
  </si>
  <si>
    <t>832-26</t>
  </si>
  <si>
    <t>202-26</t>
  </si>
  <si>
    <t>209-26</t>
  </si>
  <si>
    <t>204-26</t>
  </si>
  <si>
    <t>211-26</t>
  </si>
  <si>
    <t>70-26</t>
  </si>
  <si>
    <t>206-26</t>
  </si>
  <si>
    <t>213-26</t>
  </si>
  <si>
    <t>835-26</t>
  </si>
  <si>
    <t>208-26</t>
  </si>
  <si>
    <t>215-26</t>
  </si>
  <si>
    <t>837-26</t>
  </si>
  <si>
    <t>836-26</t>
  </si>
  <si>
    <t>210-26</t>
  </si>
  <si>
    <t>217-26</t>
  </si>
  <si>
    <t>219-26</t>
  </si>
  <si>
    <t>838-26</t>
  </si>
  <si>
    <t>214-26</t>
  </si>
  <si>
    <t>301-26</t>
  </si>
  <si>
    <t>839-26</t>
  </si>
  <si>
    <t>216-26</t>
  </si>
  <si>
    <t>221-26</t>
  </si>
  <si>
    <t>841-26</t>
  </si>
  <si>
    <t>906-26</t>
  </si>
  <si>
    <t>303-26</t>
  </si>
  <si>
    <t>220-26</t>
  </si>
  <si>
    <t>223-26</t>
  </si>
  <si>
    <t>305-26</t>
  </si>
  <si>
    <t>222-26</t>
  </si>
  <si>
    <t>80-26</t>
  </si>
  <si>
    <t>225-26</t>
  </si>
  <si>
    <t>843-26</t>
  </si>
  <si>
    <t>227-26</t>
  </si>
  <si>
    <t>224-26</t>
  </si>
  <si>
    <t>842-26</t>
  </si>
  <si>
    <t>226-26</t>
  </si>
  <si>
    <t>229-26</t>
  </si>
  <si>
    <t>228-26</t>
  </si>
  <si>
    <t>845-26</t>
  </si>
  <si>
    <t>231-26</t>
  </si>
  <si>
    <t>844-26</t>
  </si>
  <si>
    <t>230-26</t>
  </si>
  <si>
    <t>233-26</t>
  </si>
  <si>
    <t>235-26</t>
  </si>
  <si>
    <t>847-26</t>
  </si>
  <si>
    <t>232-26</t>
  </si>
  <si>
    <t>846-26</t>
  </si>
  <si>
    <t>237-26</t>
  </si>
  <si>
    <t>849-26</t>
  </si>
  <si>
    <t>236-26</t>
  </si>
  <si>
    <t>239-26</t>
  </si>
  <si>
    <t>908-26</t>
  </si>
  <si>
    <t>238-26</t>
  </si>
  <si>
    <t>241-26</t>
  </si>
  <si>
    <t>243-26</t>
  </si>
  <si>
    <t>240-26</t>
  </si>
  <si>
    <t>245-26</t>
  </si>
  <si>
    <t>242-26</t>
  </si>
  <si>
    <t>307-26</t>
  </si>
  <si>
    <t>244-26</t>
  </si>
  <si>
    <t>309-26</t>
  </si>
  <si>
    <t>246-26</t>
  </si>
  <si>
    <t>311-26</t>
  </si>
  <si>
    <t>fog</t>
  </si>
  <si>
    <t>Foggy</t>
  </si>
  <si>
    <t>204:770</t>
  </si>
  <si>
    <t>204:154424</t>
  </si>
  <si>
    <t>204:232965</t>
  </si>
  <si>
    <t>204:209</t>
  </si>
  <si>
    <t>204:233253</t>
  </si>
  <si>
    <t>204:232936</t>
  </si>
  <si>
    <t>204:233270</t>
  </si>
  <si>
    <t>204:232985</t>
  </si>
  <si>
    <t>204:232992</t>
  </si>
  <si>
    <t>204:1496</t>
  </si>
  <si>
    <t>204:233312</t>
  </si>
  <si>
    <t>204:471</t>
  </si>
  <si>
    <t>204:233317</t>
  </si>
  <si>
    <t>204:233011</t>
  </si>
  <si>
    <t>204:233005</t>
  </si>
  <si>
    <t>204:233309</t>
  </si>
  <si>
    <t>204:138</t>
  </si>
  <si>
    <t>204:437</t>
  </si>
  <si>
    <t>204:233306</t>
  </si>
  <si>
    <t>204:469</t>
  </si>
  <si>
    <t>204:233302</t>
  </si>
  <si>
    <t>204:233255</t>
  </si>
  <si>
    <t>204:233321</t>
  </si>
  <si>
    <t>204:19138</t>
  </si>
  <si>
    <t>204:232955</t>
  </si>
  <si>
    <t>204:19141</t>
  </si>
  <si>
    <t>204:233334</t>
  </si>
  <si>
    <t>204:233013</t>
  </si>
  <si>
    <t>204:233278</t>
  </si>
  <si>
    <t>204:232978</t>
  </si>
  <si>
    <t>204:429</t>
  </si>
  <si>
    <t>204:233066</t>
  </si>
  <si>
    <t>204:233284</t>
  </si>
  <si>
    <t>204:233382</t>
  </si>
  <si>
    <t>204:233049</t>
  </si>
  <si>
    <t>204:233110</t>
  </si>
  <si>
    <t>204:1752</t>
  </si>
  <si>
    <t>204:233276</t>
  </si>
  <si>
    <t>204:232957</t>
  </si>
  <si>
    <t>204:232968</t>
  </si>
  <si>
    <t>204:233408</t>
  </si>
  <si>
    <t>204:233342</t>
  </si>
  <si>
    <t>204:233332</t>
  </si>
  <si>
    <t>204:233017</t>
  </si>
  <si>
    <t>204:233444</t>
  </si>
  <si>
    <t>204:233134</t>
  </si>
  <si>
    <t>204:118</t>
  </si>
  <si>
    <t>204:232953</t>
  </si>
  <si>
    <t>204:169</t>
  </si>
  <si>
    <t>204:233289</t>
  </si>
  <si>
    <t>204:167</t>
  </si>
  <si>
    <t>204:426</t>
  </si>
  <si>
    <t>204:233372</t>
  </si>
  <si>
    <t>204:233068</t>
  </si>
  <si>
    <t>204:212</t>
  </si>
  <si>
    <t>204:233034</t>
  </si>
  <si>
    <t>204:233026</t>
  </si>
  <si>
    <t>204:233325</t>
  </si>
  <si>
    <t>204:233280</t>
  </si>
  <si>
    <t>204:478</t>
  </si>
  <si>
    <t>204:233272</t>
  </si>
  <si>
    <t>204:232964</t>
  </si>
  <si>
    <t>204:233362</t>
  </si>
  <si>
    <t>204:233044</t>
  </si>
  <si>
    <t>204:232991</t>
  </si>
  <si>
    <t>204:233361</t>
  </si>
  <si>
    <t>300:22499</t>
  </si>
  <si>
    <t>300:23291</t>
  </si>
  <si>
    <t>300:22730</t>
  </si>
  <si>
    <t>204:515</t>
  </si>
  <si>
    <t>300:23716</t>
  </si>
  <si>
    <t>300:23474</t>
  </si>
  <si>
    <t>300:23290</t>
  </si>
  <si>
    <t>300:23463</t>
  </si>
  <si>
    <t>204:1167</t>
  </si>
  <si>
    <t>300:23404</t>
  </si>
  <si>
    <t>204:3346</t>
  </si>
  <si>
    <t>204:3173</t>
  </si>
  <si>
    <t>204:943</t>
  </si>
  <si>
    <t>204:3009</t>
  </si>
  <si>
    <t>300:4864</t>
  </si>
  <si>
    <t>204:1486</t>
  </si>
  <si>
    <t>300:5260</t>
  </si>
  <si>
    <t>300:5009</t>
  </si>
  <si>
    <t>204:1820</t>
  </si>
  <si>
    <t>204:1471</t>
  </si>
  <si>
    <t>300:5360</t>
  </si>
  <si>
    <t>300:23118</t>
  </si>
  <si>
    <t>204:144</t>
  </si>
  <si>
    <t>300:21947</t>
  </si>
  <si>
    <t>204:1515</t>
  </si>
  <si>
    <t>204:1462</t>
  </si>
  <si>
    <t>204:232962</t>
  </si>
  <si>
    <t>300:22293</t>
  </si>
  <si>
    <t>204:911</t>
  </si>
  <si>
    <t>300:58643</t>
  </si>
  <si>
    <t>300:58943</t>
  </si>
  <si>
    <t>204:88</t>
  </si>
  <si>
    <t>204:379</t>
  </si>
  <si>
    <t>204:678</t>
  </si>
  <si>
    <t>204:971</t>
  </si>
  <si>
    <t>204:1212</t>
  </si>
  <si>
    <t>204:233301</t>
  </si>
  <si>
    <t>300:58973</t>
  </si>
  <si>
    <t>300:58647</t>
  </si>
  <si>
    <t>204:687</t>
  </si>
  <si>
    <t>300:58975</t>
  </si>
  <si>
    <t>204:992</t>
  </si>
  <si>
    <t>300:58662</t>
  </si>
  <si>
    <t>204:680</t>
  </si>
  <si>
    <t>300:58965</t>
  </si>
  <si>
    <t>204:950</t>
  </si>
  <si>
    <t>300:58963</t>
  </si>
  <si>
    <t>300:58986</t>
  </si>
  <si>
    <t>300:58668</t>
  </si>
  <si>
    <t>204:657</t>
  </si>
  <si>
    <t>204:958</t>
  </si>
  <si>
    <t>300:58924</t>
  </si>
  <si>
    <t>204:698</t>
  </si>
  <si>
    <t>300:58993</t>
  </si>
  <si>
    <t>300:58675</t>
  </si>
  <si>
    <t>204:981</t>
  </si>
  <si>
    <t>204:957</t>
  </si>
  <si>
    <t>300:58939</t>
  </si>
  <si>
    <t>204:652</t>
  </si>
  <si>
    <t>300:58992</t>
  </si>
  <si>
    <t>204:694</t>
  </si>
  <si>
    <t>300:59010</t>
  </si>
  <si>
    <t>300:58681</t>
  </si>
  <si>
    <t>204:661</t>
  </si>
  <si>
    <t>204:978</t>
  </si>
  <si>
    <t>300:58956</t>
  </si>
  <si>
    <t>300:58468</t>
  </si>
  <si>
    <t>204:773</t>
  </si>
  <si>
    <t>204:946</t>
  </si>
  <si>
    <t>300:58672</t>
  </si>
  <si>
    <t>204:673</t>
  </si>
  <si>
    <t>204:1076</t>
  </si>
  <si>
    <t>300:58988</t>
  </si>
  <si>
    <t>204:689</t>
  </si>
  <si>
    <t>204:974</t>
  </si>
  <si>
    <t>204:703</t>
  </si>
  <si>
    <t>204:979</t>
  </si>
  <si>
    <t>300:58984</t>
  </si>
  <si>
    <t>300:29234</t>
  </si>
  <si>
    <t>300:29665</t>
  </si>
  <si>
    <t>300:23169</t>
  </si>
  <si>
    <t>204:1157</t>
  </si>
  <si>
    <t>300:23682</t>
  </si>
  <si>
    <t>300:21710</t>
  </si>
  <si>
    <t>300:22020</t>
  </si>
  <si>
    <t>start /low /b %USERPROFILE%\Documents\GitHub\eaglep3\Utilities\DownloadLogsFromS3.py --loco 4026 --day 2017-05-26</t>
  </si>
  <si>
    <t>start /low /b %USERPROFILE%\Documents\GitHub\eaglep3\Utilities\DownloadLogsFromS3.py --loco 4058 --day 2017-05-26</t>
  </si>
  <si>
    <t>start /low /b %USERPROFILE%\Documents\GitHub\eaglep3\Utilities\DownloadLogsFromS3.py --loco 4024 --day 2017-05-26</t>
  </si>
  <si>
    <t>start /low /b %USERPROFILE%\Documents\GitHub\eaglep3\Utilities\DownloadLogsFromS3.py --loco 4010 --day 2017-05-26</t>
  </si>
  <si>
    <t>start /low /b %USERPROFILE%\Documents\GitHub\eaglep3\Utilities\DownloadLogsFromS3.py --loco 4001 --day 2017-05-27</t>
  </si>
  <si>
    <t>start /low /b %USERPROFILE%\Documents\GitHub\eaglep3\Utilities\DownloadLogsFromS3.py --loco 4057 --day 2017-05-26</t>
  </si>
  <si>
    <t>start /low /b %USERPROFILE%\Documents\GitHub\eaglep3\Utilities\DownloadLogsFromS3.py --loco 4025 --day 2017-05-27</t>
  </si>
  <si>
    <t>start /low /b %USERPROFILE%\Documents\GitHub\eaglep3\Utilities\DownloadLogsFromS3.py --loco 4016 --day 2017-05-26</t>
  </si>
  <si>
    <t>start /low /b %USERPROFILE%\Documents\GitHub\eaglep3\Utilities\DownloadLogsFromS3.py --loco 4025 --day 2017-05-26</t>
  </si>
  <si>
    <t>start /low /b %USERPROFILE%\Documents\GitHub\eaglep3\Utilities\DownloadLogsFromS3.py --loco 4015 --day 2017-05-26</t>
  </si>
  <si>
    <t>start /low /b %USERPROFILE%\Documents\GitHub\eaglep3\Utilities\DownloadLogsFromS3.py --loco 4005 --day 2017-05-26</t>
  </si>
  <si>
    <t>start /low /b %USERPROFILE%\Documents\GitHub\eaglep3\Utilities\DownloadLogsFromS3.py --loco 4002 --day 2017-05-26</t>
  </si>
  <si>
    <t>start /low /b %USERPROFILE%\Documents\GitHub\eaglep3\Utilities\DownloadLogsFromS3.py --loco 4062 --day 2017-05-26</t>
  </si>
  <si>
    <t>start /low /b %USERPROFILE%\Documents\GitHub\eaglep3\Utilities\DownloadLogsFromS3.py --loco 4009 --day 2017-05-26</t>
  </si>
  <si>
    <t>start /low /b %USERPROFILE%\Documents\GitHub\eaglep3\Utilities\DownloadLogsFromS3.py --loco 4039 --day 2017-05-26</t>
  </si>
  <si>
    <t>start /low /b %USERPROFILE%\Documents\GitHub\eaglep3\Utilities\DownloadLogsFromS3.py --loco 4009 --day 2017-05-27</t>
  </si>
  <si>
    <t>Lightning strike - ML1752 power outage</t>
  </si>
  <si>
    <t>Onboard in-route failure</t>
  </si>
  <si>
    <t>Cancelled due to propulsion issues</t>
  </si>
  <si>
    <t>Selected wrong track</t>
  </si>
  <si>
    <t>No issues found - smooth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</si>
</sst>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topLeftCell="A43" zoomScaleNormal="100" workbookViewId="0">
      <selection activeCell="R66" sqref="R6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42881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42881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COUNTIFS($N$13:$N$9314,"&gt;0",$AG$13:$AG$9314,I1)</f>
        <v>143</v>
      </c>
      <c r="K5" s="39"/>
      <c r="L5" s="39"/>
      <c r="M5" s="40">
        <f>AVERAGEIFS($N$13:$N$9314,$AG$13:$AG$9314,I1)</f>
        <v>38.457459207539529</v>
      </c>
      <c r="N5" s="38">
        <f t="array" ref="N5">MIN(IF($AG$13:$AG$9314=I1,IF(ISNUMBER($N$13:$N$9314),IF($N$13:$N$9314&gt;0,$N$13:$N$9314))))</f>
        <v>34.516666667768732</v>
      </c>
      <c r="O5" s="3">
        <f t="array" ref="O5">MAX(IF($AG$13:$AG$9314=I1,IF(ISNUMBER($N$13:$N$9314),IF($N$13:$N$9314&gt;0,$N$13:$N$9314))))</f>
        <v>46.933333334745839</v>
      </c>
      <c r="P5" s="2"/>
      <c r="R5" s="169" t="s">
        <v>17</v>
      </c>
      <c r="S5" s="193">
        <f>COUNTIFS($N$13:$N$9314,"&gt;0",$AG$13:$AG$9314,R1)</f>
        <v>47</v>
      </c>
      <c r="T5" s="194"/>
      <c r="U5" s="194"/>
      <c r="V5" s="190">
        <f>AVERAGEIFS($N$13:$N$9314,$AG$13:$AG$9314,R1)</f>
        <v>15.219148936869695</v>
      </c>
      <c r="W5" s="191">
        <f t="array" ref="W5">MIN(IF($AG$13:$AG$9314=R1,IF(ISNUMBER($N$13:$N$9314),IF($N$13:$N$9314&gt;0,$N$13:$N$9314))))</f>
        <v>13.050000001676381</v>
      </c>
      <c r="X5" s="192">
        <f t="array" ref="X5">MAX(IF($AG$13:$AG$9314=R1,IF(ISNUMBER($N$13:$N$9314),IF($N$13:$N$9314&gt;0,$N$13:$N$9314))))</f>
        <v>19.849999998696148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70" t="s">
        <v>43</v>
      </c>
      <c r="S6" s="193">
        <f>COUNT($O$13:$O$116)</f>
        <v>0</v>
      </c>
      <c r="T6" s="194"/>
      <c r="U6" s="194"/>
      <c r="V6" s="190">
        <f>IFERROR(AVERAGE($O$13:$O$116),0)</f>
        <v>0</v>
      </c>
      <c r="W6" s="191">
        <f>MIN($O$13:$O$116)</f>
        <v>0</v>
      </c>
      <c r="X6" s="192">
        <f>MAX($O$13:$O$116)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COUNTIFS($P$13:$P$9314,"&gt;0",$AG$13:$AG$9314,I1)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COUNTIFS($P$13:$P$9314,"&gt;0",$AG$13:$AG$9314,R1)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38.457459207539529</v>
      </c>
      <c r="N8" s="38">
        <f>N5</f>
        <v>34.516666667768732</v>
      </c>
      <c r="O8" s="3">
        <f>O5</f>
        <v>46.933333334745839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15.219148936869695</v>
      </c>
      <c r="W8" s="191">
        <f>W5</f>
        <v>13.050000001676381</v>
      </c>
      <c r="X8" s="192">
        <f>X5</f>
        <v>19.849999998696148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0.97945205479452058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- 2017-05-26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AVERAGE(S13:S91)</f>
        <v>0.98734177215189878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630</v>
      </c>
      <c r="B13" s="7">
        <v>4026</v>
      </c>
      <c r="C13" s="21" t="s">
        <v>204</v>
      </c>
      <c r="D13" s="21" t="s">
        <v>845</v>
      </c>
      <c r="E13" s="13">
        <v>42881.129224537035</v>
      </c>
      <c r="F13" s="13">
        <v>42881.135671296295</v>
      </c>
      <c r="G13" s="7">
        <v>2</v>
      </c>
      <c r="H13" s="21" t="s">
        <v>846</v>
      </c>
      <c r="I13" s="13">
        <v>42881.15829861111</v>
      </c>
      <c r="J13" s="7">
        <v>0</v>
      </c>
      <c r="K13" s="92" t="str">
        <f t="shared" ref="K13:K76" si="0">IF(ISEVEN(B13),(B13-1)&amp;"/"&amp;B13,B13&amp;"/"&amp;(B13+1))</f>
        <v>4025/4026</v>
      </c>
      <c r="L13" s="21" t="str">
        <f>VLOOKUP(A13,'Trips&amp;Operators'!$C$1:$G$99999,5,FALSE)</f>
        <v>STARKS ANGELINA</v>
      </c>
      <c r="M13" s="6">
        <f t="shared" ref="M13:M76" si="1">I13-F13</f>
        <v>2.2627314814599231E-2</v>
      </c>
      <c r="N13" s="7"/>
      <c r="O13" s="7"/>
      <c r="P13" s="7">
        <f>24*60*SUM($M13:$M13)</f>
        <v>32.583333333022892</v>
      </c>
      <c r="Q13" s="22"/>
      <c r="R13" s="173" t="s">
        <v>1012</v>
      </c>
      <c r="S13" s="176">
        <f t="shared" ref="S13:S44" si="2">SUM(U13:U13)/IF(AG13="EC",12,1)</f>
        <v>1</v>
      </c>
      <c r="T13" s="202" t="str">
        <f t="shared" ref="T13:T76" si="3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-26T02:06:05-0600',mode:absolute,to:'2017-05-26T04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4" t="str">
        <f t="shared" ref="W13:W76" si="5">IF(AA13&lt;IF(AG13="EC",23,5.65),"Y","N")</f>
        <v>Y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7.6999999999999999E-2</v>
      </c>
      <c r="Z13" s="204">
        <f t="shared" ref="Z13:Z44" si="8">RIGHT(H13,LEN(H13)-4)/10000</f>
        <v>15.442399999999999</v>
      </c>
      <c r="AA13" s="204">
        <f t="shared" ref="AA13:AA76" si="9">ABS(Z13-Y13)</f>
        <v>15.365399999999999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0">IF(LEN(A13)=6,"0"&amp;A13,A13)</f>
        <v>0101-26</v>
      </c>
      <c r="AE13" s="80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13" s="7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/stypes="app*4026*20170526*"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4026 --swversion DE.1.0.9.0 --startMP 204:770 --initTime 2017-05-26T03:06:05 --startdatetime 2017-05-26T03:15:22 --delay 2 --endMP 204:154424 --enddatetime 2017-05-26T03:47:57 --enforcementcount 0 &gt;&gt;C:\Users\stu\Documents\GitHub\eaglep3-reporting\EC\2017-05-26-refined-times.txt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{"issue":{"subject":"Lightning strike - ML1752 power outage","project_id":79,"tracker_id":40,"status_id":1,"priority_id":2,"assigned_to_id":23,"start_date":"2017-05-26","description":"","custom_fields":[{"id":1,"name":"Subdivision","value":"EC"},{"id":4,"name":"Milepost","value":"15.4424"},{"id":17,"name":"Train ID","value":"101-26"},{"id":16,"name":"Locomotive ID","value":"4026"},{"id":130,"name":"Impact","value":""},{"id":150,"name":"Time of Event (Mountain Time)","value":"03:47:57"},{"id":151,"name":"Denver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4026 --day 2017-05-26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{"issue":{"subject":"Lightning strike - ML1752 power outage","project_id":30,"tracker_id":4,"status_id":1,"priority_id":1,"assigned_to_id":10,"start_date":"2017-05-26","description":"","custom_fields":[{"id":30,"name":"Category","value":"Issue"},{"id":3,"name":"Functional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09:47:57"},{"id":29,"name":"Sharepoint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596</v>
      </c>
      <c r="B14" s="7">
        <v>4025</v>
      </c>
      <c r="C14" s="21" t="s">
        <v>204</v>
      </c>
      <c r="D14" s="21" t="s">
        <v>847</v>
      </c>
      <c r="E14" s="13">
        <v>42881.176134259258</v>
      </c>
      <c r="F14" s="13">
        <v>42881.177488425928</v>
      </c>
      <c r="G14" s="7">
        <v>1</v>
      </c>
      <c r="H14" s="21" t="s">
        <v>848</v>
      </c>
      <c r="I14" s="13">
        <v>42881.208055555559</v>
      </c>
      <c r="J14" s="7">
        <v>0</v>
      </c>
      <c r="K14" s="92" t="str">
        <f t="shared" si="0"/>
        <v>4025/4026</v>
      </c>
      <c r="L14" s="21" t="str">
        <f>VLOOKUP(A14,'Trips&amp;Operators'!$C$1:$G$99999,5,FALSE)</f>
        <v>STARKS ANGELINA</v>
      </c>
      <c r="M14" s="6">
        <f t="shared" si="1"/>
        <v>3.0567129630071577E-2</v>
      </c>
      <c r="N14" s="7">
        <f t="shared" ref="N14:N45" si="18">24*60*SUM($M14:$M14)</f>
        <v>44.01666666730307</v>
      </c>
      <c r="O14" s="7"/>
      <c r="P14" s="7"/>
      <c r="Q14" s="22"/>
      <c r="R14" s="173"/>
      <c r="S14" s="176">
        <f t="shared" si="2"/>
        <v>1</v>
      </c>
      <c r="T14" s="202" t="str">
        <f t="shared" si="3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4"/>
        <v>https://d0f6bd738d7f1b3e5a7ca70fe4ff75f0.us-east-1.aws.found.io/app/kibana#/discover/Steve-Slow-Train-Analysis-(2080s-and-2083s)?_g=(refreshInterval:(display:Off,pause:!f,section:0,value:0),time:(from:'2017-05-26T03:13:38-0600',mode:absolute,to:'2017-05-26T05:59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4" t="str">
        <f t="shared" si="5"/>
        <v>N</v>
      </c>
      <c r="X14" s="204">
        <f t="shared" si="6"/>
        <v>1</v>
      </c>
      <c r="Y14" s="204">
        <f t="shared" si="7"/>
        <v>23.296500000000002</v>
      </c>
      <c r="Z14" s="204">
        <f t="shared" si="8"/>
        <v>2.0899999999999998E-2</v>
      </c>
      <c r="AA14" s="204">
        <f t="shared" si="9"/>
        <v>23.275600000000001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0"/>
        <v>0102-26</v>
      </c>
      <c r="AE14" s="80" t="str">
        <f t="shared" si="11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14" s="77" t="str">
        <f t="shared" si="12"/>
        <v>"C:\Program Files (x86)\AstroGrep\AstroGrep.exe" /e /r /s /spath="%USERPROFILE%\AppData\Local\Temp\OnboardLogs" /stypes="app*4025*20170526*" /stext=" 10:.+((SYSTEM_STATE.+slice.+state.+changed )|(ment ac)|(multiple cpu faults)|(system.+state.+changed )|(\[timeout)|(PRM\|1\|D)|(kpr)|(kdp)|(train st.+moving)|(\|lc)|(penalty))"</v>
      </c>
      <c r="AG14" s="1" t="str">
        <f t="shared" si="13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4025 --swversion DE.1.0.9.0 --startMP 204:232965 --initTime 2017-05-26T04:13:38 --startdatetime 2017-05-26T04:15:35 --delay 1 --endMP 204:209 --enddatetime 2017-05-26T04:59:36 --enforcementcount 0 &gt;&gt;C:\Users\stu\Documents\GitHub\eaglep3-reporting\EC\2017-05-26-refined-times.txt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{"issue":{"subject":"","project_id":79,"tracker_id":40,"status_id":1,"priority_id":2,"assigned_to_id":23,"start_date":"2017-05-26","description":"","custom_fields":[{"id":1,"name":"Subdivision","value":"EC"},{"id":4,"name":"Milepost","value":"0.0209"},{"id":17,"name":"Train ID","value":"102-26"},{"id":16,"name":"Locomotive ID","value":"4025"},{"id":130,"name":"Impact","value":""},{"id":150,"name":"Time of Event (Mountain Time)","value":"04:59:36"},{"id":151,"name":"Denver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4025 --day 2017-05-26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10:59:36"},{"id":29,"name":"Sharepoint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595</v>
      </c>
      <c r="B15" s="7">
        <v>4062</v>
      </c>
      <c r="C15" s="21" t="s">
        <v>204</v>
      </c>
      <c r="D15" s="21" t="s">
        <v>503</v>
      </c>
      <c r="E15" s="13">
        <v>42881.153877314813</v>
      </c>
      <c r="F15" s="13">
        <v>42881.156504629631</v>
      </c>
      <c r="G15" s="7">
        <v>1</v>
      </c>
      <c r="H15" s="21" t="s">
        <v>849</v>
      </c>
      <c r="I15" s="13">
        <v>42881.186469907407</v>
      </c>
      <c r="J15" s="7">
        <v>0</v>
      </c>
      <c r="K15" s="92" t="str">
        <f t="shared" si="0"/>
        <v>4061/4062</v>
      </c>
      <c r="L15" s="21" t="str">
        <f>VLOOKUP(A15,'Trips&amp;Operators'!$C$1:$G$99999,5,FALSE)</f>
        <v>WILLIAMS DONTE</v>
      </c>
      <c r="M15" s="6">
        <f t="shared" si="1"/>
        <v>2.9965277775772847E-2</v>
      </c>
      <c r="N15" s="7">
        <f t="shared" si="18"/>
        <v>43.1499999971129</v>
      </c>
      <c r="O15" s="7"/>
      <c r="P15" s="7"/>
      <c r="Q15" s="22"/>
      <c r="R15" s="173"/>
      <c r="S15" s="176">
        <f t="shared" si="2"/>
        <v>1</v>
      </c>
      <c r="T15" s="202" t="str">
        <f t="shared" si="3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4"/>
        <v>https://d0f6bd738d7f1b3e5a7ca70fe4ff75f0.us-east-1.aws.found.io/app/kibana#/discover/Steve-Slow-Train-Analysis-(2080s-and-2083s)?_g=(refreshInterval:(display:Off,pause:!f,section:0,value:0),time:(from:'2017-05-26T02:41:35-0600',mode:absolute,to:'2017-05-26T05:28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" s="204" t="str">
        <f t="shared" si="5"/>
        <v>N</v>
      </c>
      <c r="X15" s="204">
        <f t="shared" si="6"/>
        <v>1</v>
      </c>
      <c r="Y15" s="204">
        <f t="shared" si="7"/>
        <v>4.3999999999999997E-2</v>
      </c>
      <c r="Z15" s="204">
        <f t="shared" si="8"/>
        <v>23.325299999999999</v>
      </c>
      <c r="AA15" s="204">
        <f t="shared" si="9"/>
        <v>23.281299999999998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0103-26</v>
      </c>
      <c r="AE15" s="80" t="str">
        <f t="shared" si="11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5" s="77" t="str">
        <f t="shared" si="12"/>
        <v>"C:\Program Files (x86)\AstroGrep\AstroGrep.exe" /e /r /s /spath="%USERPROFILE%\AppData\Local\Temp\OnboardLogs" /stypes="app*4062*20170526*" /stext=" 10:.+((SYSTEM_STATE.+slice.+state.+changed )|(ment ac)|(multiple cpu faults)|(system.+state.+changed )|(\[timeout)|(PRM\|1\|D)|(kpr)|(kdp)|(train st.+moving)|(\|lc)|(penalty))"</v>
      </c>
      <c r="AG15" s="1" t="str">
        <f t="shared" si="13"/>
        <v>EC</v>
      </c>
      <c r="AH15" s="81" t="str">
        <f t="shared" si="19"/>
        <v>"%USERPROFILE%\Documents\GitHub\eaglep3\Utilities\RefineRTDCRunTimes.py" --tripid 103-26 --locoid 4062 --swversion DE.1.0.9.0 --startMP 204:440 --initTime 2017-05-26T03:41:35 --startdatetime 2017-05-26T03:45:22 --delay 1 --endMP 204:233253 --enddatetime 2017-05-26T04:28:31 --enforcementcount 0 &gt;&gt;C:\Users\stu\Documents\GitHub\eaglep3-reporting\EC\2017-05-26-refined-times.txt</v>
      </c>
      <c r="AI1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{"issue":{"subject":"","project_id":79,"tracker_id":40,"status_id":1,"priority_id":2,"assigned_to_id":23,"start_date":"2017-05-26","description":"","custom_fields":[{"id":1,"name":"Subdivision","value":"EC"},{"id":4,"name":"Milepost","value":"23.3253"},{"id":17,"name":"Train ID","value":"103-26"},{"id":16,"name":"Locomotive ID","value":"4062"},{"id":130,"name":"Impact","value":""},{"id":150,"name":"Time of Event (Mountain Time)","value":"04:28:31"},{"id":151,"name":"Denver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4062 --day 2017-05-26</v>
      </c>
      <c r="AN1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10:28:31"},{"id":29,"name":"Sharepoint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639</v>
      </c>
      <c r="B16" s="7">
        <v>4061</v>
      </c>
      <c r="C16" s="21" t="s">
        <v>204</v>
      </c>
      <c r="D16" s="21" t="s">
        <v>850</v>
      </c>
      <c r="E16" s="13">
        <v>42881.189618055556</v>
      </c>
      <c r="F16" s="13">
        <v>42881.196053240739</v>
      </c>
      <c r="G16" s="7">
        <v>2</v>
      </c>
      <c r="H16" s="21" t="s">
        <v>350</v>
      </c>
      <c r="I16" s="13">
        <v>42881.226840277777</v>
      </c>
      <c r="J16" s="7">
        <v>0</v>
      </c>
      <c r="K16" s="92" t="str">
        <f t="shared" si="0"/>
        <v>4061/4062</v>
      </c>
      <c r="L16" s="21" t="str">
        <f>VLOOKUP(A16,'Trips&amp;Operators'!$C$1:$G$99999,5,FALSE)</f>
        <v>WILLIAMS DONTE</v>
      </c>
      <c r="M16" s="6">
        <f t="shared" si="1"/>
        <v>3.0787037037953269E-2</v>
      </c>
      <c r="N16" s="7">
        <f t="shared" si="18"/>
        <v>44.333333334652707</v>
      </c>
      <c r="O16" s="7"/>
      <c r="P16" s="7"/>
      <c r="Q16" s="22"/>
      <c r="R16" s="173"/>
      <c r="S16" s="176">
        <f t="shared" si="2"/>
        <v>1</v>
      </c>
      <c r="T16" s="202" t="str">
        <f t="shared" si="3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4"/>
        <v>https://d0f6bd738d7f1b3e5a7ca70fe4ff75f0.us-east-1.aws.found.io/app/kibana#/discover/Steve-Slow-Train-Analysis-(2080s-and-2083s)?_g=(refreshInterval:(display:Off,pause:!f,section:0,value:0),time:(from:'2017-05-26T03:33:03-0600',mode:absolute,to:'2017-05-26T06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" s="204" t="str">
        <f t="shared" si="5"/>
        <v>N</v>
      </c>
      <c r="X16" s="204">
        <f t="shared" si="6"/>
        <v>1</v>
      </c>
      <c r="Y16" s="204">
        <f t="shared" si="7"/>
        <v>23.293600000000001</v>
      </c>
      <c r="Z16" s="204">
        <f t="shared" si="8"/>
        <v>1.6E-2</v>
      </c>
      <c r="AA16" s="204">
        <f t="shared" si="9"/>
        <v>23.277600000000003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0104-26</v>
      </c>
      <c r="AE16" s="80" t="str">
        <f t="shared" si="11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16" s="77" t="str">
        <f t="shared" si="12"/>
        <v>"C:\Program Files (x86)\AstroGrep\AstroGrep.exe" /e /r /s /spath="%USERPROFILE%\AppData\Local\Temp\OnboardLogs" /stypes="app*4061*20170526*" /stext=" 11:.+((SYSTEM_STATE.+slice.+state.+changed )|(ment ac)|(multiple cpu faults)|(system.+state.+changed )|(\[timeout)|(PRM\|1\|D)|(kpr)|(kdp)|(train st.+moving)|(\|lc)|(penalty))"</v>
      </c>
      <c r="AG16" s="1" t="str">
        <f t="shared" si="13"/>
        <v>EC</v>
      </c>
      <c r="AH16" s="81" t="str">
        <f t="shared" si="19"/>
        <v>"%USERPROFILE%\Documents\GitHub\eaglep3\Utilities\RefineRTDCRunTimes.py" --tripid 104-26 --locoid 4061 --swversion DE.1.0.9.0 --startMP 204:232936 --initTime 2017-05-26T04:33:03 --startdatetime 2017-05-26T04:42:19 --delay 2 --endMP 204:160 --enddatetime 2017-05-26T05:26:39 --enforcementcount 0 &gt;&gt;C:\Users\stu\Documents\GitHub\eaglep3-reporting\EC\2017-05-26-refined-times.txt</v>
      </c>
      <c r="AI1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ID","value":"104-26"},{"id":16,"name":"Locomotive ID","value":"4061"},{"id":130,"name":"Impact","value":""},{"id":150,"name":"Time of Event (Mountain Time)","value":"05:26:39"},{"id":151,"name":"Denver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4061 --day 2017-05-26</v>
      </c>
      <c r="AN1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636</v>
      </c>
      <c r="B17" s="7">
        <v>4002</v>
      </c>
      <c r="C17" s="21" t="s">
        <v>204</v>
      </c>
      <c r="D17" s="21" t="s">
        <v>355</v>
      </c>
      <c r="E17" s="13">
        <v>42881.173090277778</v>
      </c>
      <c r="F17" s="13">
        <v>42881.177291666667</v>
      </c>
      <c r="G17" s="7">
        <v>1</v>
      </c>
      <c r="H17" s="21" t="s">
        <v>851</v>
      </c>
      <c r="I17" s="13">
        <v>42881.205243055556</v>
      </c>
      <c r="J17" s="7">
        <v>0</v>
      </c>
      <c r="K17" s="92" t="str">
        <f t="shared" si="0"/>
        <v>4001/4002</v>
      </c>
      <c r="L17" s="21" t="str">
        <f>VLOOKUP(A17,'Trips&amp;Operators'!$C$1:$G$99999,5,FALSE)</f>
        <v>BONDS REYNALDO</v>
      </c>
      <c r="M17" s="6">
        <f t="shared" si="1"/>
        <v>2.7951388889050577E-2</v>
      </c>
      <c r="N17" s="7">
        <f t="shared" si="18"/>
        <v>40.250000000232831</v>
      </c>
      <c r="O17" s="7"/>
      <c r="P17" s="7"/>
      <c r="Q17" s="22"/>
      <c r="R17" s="173"/>
      <c r="S17" s="176">
        <f t="shared" si="2"/>
        <v>1</v>
      </c>
      <c r="T17" s="202" t="str">
        <f t="shared" si="3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4"/>
        <v>https://d0f6bd738d7f1b3e5a7ca70fe4ff75f0.us-east-1.aws.found.io/app/kibana#/discover/Steve-Slow-Train-Analysis-(2080s-and-2083s)?_g=(refreshInterval:(display:Off,pause:!f,section:0,value:0),time:(from:'2017-05-26T03:09:15-0600',mode:absolute,to:'2017-05-26T05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04" t="str">
        <f t="shared" si="5"/>
        <v>N</v>
      </c>
      <c r="X17" s="204">
        <f t="shared" si="6"/>
        <v>1</v>
      </c>
      <c r="Y17" s="204">
        <f t="shared" si="7"/>
        <v>4.5100000000000001E-2</v>
      </c>
      <c r="Z17" s="204">
        <f t="shared" si="8"/>
        <v>23.327000000000002</v>
      </c>
      <c r="AA17" s="204">
        <f t="shared" si="9"/>
        <v>23.2819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0"/>
        <v>0105-26</v>
      </c>
      <c r="AE17" s="80" t="str">
        <f t="shared" si="11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7" s="77" t="str">
        <f t="shared" si="12"/>
        <v>"C:\Program Files (x86)\AstroGrep\AstroGrep.exe" /e /r /s /spath="%USERPROFILE%\AppData\Local\Temp\OnboardLogs" /stypes="app*4002*20170526*" /stext=" 10:.+((SYSTEM_STATE.+slice.+state.+changed )|(ment ac)|(multiple cpu faults)|(system.+state.+changed )|(\[timeout)|(PRM\|1\|D)|(kpr)|(kdp)|(train st.+moving)|(\|lc)|(penalty))"</v>
      </c>
      <c r="AG17" s="1" t="str">
        <f t="shared" si="13"/>
        <v>EC</v>
      </c>
      <c r="AH17" s="81" t="str">
        <f t="shared" si="19"/>
        <v>"%USERPROFILE%\Documents\GitHub\eaglep3\Utilities\RefineRTDCRunTimes.py" --tripid 105-26 --locoid 4002 --swversion DE.1.0.9.0 --startMP 204:451 --initTime 2017-05-26T04:09:15 --startdatetime 2017-05-26T04:15:18 --delay 1 --endMP 204:233270 --enddatetime 2017-05-26T04:55:33 --enforcementcount 0 &gt;&gt;C:\Users\stu\Documents\GitHub\eaglep3-reporting\EC\2017-05-26-refined-times.txt</v>
      </c>
      <c r="AI1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{"issue":{"subject":"","project_id":79,"tracker_id":40,"status_id":1,"priority_id":2,"assigned_to_id":23,"start_date":"2017-05-26","description":"","custom_fields":[{"id":1,"name":"Subdivision","value":"EC"},{"id":4,"name":"Milepost","value":"23.327"},{"id":17,"name":"Train ID","value":"105-26"},{"id":16,"name":"Locomotive ID","value":"4002"},{"id":130,"name":"Impact","value":""},{"id":150,"name":"Time of Event (Mountain Time)","value":"04:55:33"},{"id":151,"name":"Denver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4002 --day 2017-05-26</v>
      </c>
      <c r="AN1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4001</v>
      </c>
      <c r="C18" s="21" t="s">
        <v>204</v>
      </c>
      <c r="D18" s="21" t="s">
        <v>497</v>
      </c>
      <c r="E18" s="13">
        <v>42881.21398148148</v>
      </c>
      <c r="F18" s="13">
        <v>42881.216828703706</v>
      </c>
      <c r="G18" s="7">
        <v>1</v>
      </c>
      <c r="H18" s="21" t="s">
        <v>195</v>
      </c>
      <c r="I18" s="13">
        <v>42881.244675925926</v>
      </c>
      <c r="J18" s="7">
        <v>0</v>
      </c>
      <c r="K18" s="92" t="str">
        <f t="shared" si="0"/>
        <v>4001/4002</v>
      </c>
      <c r="L18" s="21" t="str">
        <f>VLOOKUP(A18,'Trips&amp;Operators'!$C$1:$G$99999,5,FALSE)</f>
        <v>BONDS REYNALDO</v>
      </c>
      <c r="M18" s="6">
        <f t="shared" si="1"/>
        <v>2.7847222219861578E-2</v>
      </c>
      <c r="N18" s="7">
        <f t="shared" si="18"/>
        <v>40.099999996600673</v>
      </c>
      <c r="O18" s="7"/>
      <c r="P18" s="7"/>
      <c r="Q18" s="22"/>
      <c r="R18" s="173"/>
      <c r="S18" s="176">
        <f t="shared" si="2"/>
        <v>1</v>
      </c>
      <c r="T18" s="202" t="str">
        <f t="shared" si="3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4"/>
        <v>https://d0f6bd738d7f1b3e5a7ca70fe4ff75f0.us-east-1.aws.found.io/app/kibana#/discover/Steve-Slow-Train-Analysis-(2080s-and-2083s)?_g=(refreshInterval:(display:Off,pause:!f,section:0,value:0),time:(from:'2017-05-26T04:08:08-0600',mode:absolute,to:'2017-05-26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04" t="str">
        <f t="shared" si="5"/>
        <v>N</v>
      </c>
      <c r="X18" s="204">
        <f t="shared" si="6"/>
        <v>1</v>
      </c>
      <c r="Y18" s="204">
        <f t="shared" si="7"/>
        <v>23.296900000000001</v>
      </c>
      <c r="Z18" s="204">
        <f t="shared" si="8"/>
        <v>1.52E-2</v>
      </c>
      <c r="AA18" s="204">
        <f t="shared" si="9"/>
        <v>23.281700000000001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0"/>
        <v>0106-26</v>
      </c>
      <c r="AE18" s="80" t="str">
        <f t="shared" si="11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8" s="77" t="str">
        <f t="shared" si="12"/>
        <v>"C:\Program Files (x86)\AstroGrep\AstroGrep.exe" /e /r /s /spath="%USERPROFILE%\AppData\Local\Temp\OnboardLogs" /stypes="app*4001*20170526*" /stext=" 11:.+((SYSTEM_STATE.+slice.+state.+changed )|(ment ac)|(multiple cpu faults)|(system.+state.+changed )|(\[timeout)|(PRM\|1\|D)|(kpr)|(kdp)|(train st.+moving)|(\|lc)|(penalty))"</v>
      </c>
      <c r="AG18" s="1" t="str">
        <f t="shared" si="13"/>
        <v>EC</v>
      </c>
      <c r="AH18" s="81" t="str">
        <f t="shared" si="19"/>
        <v>"%USERPROFILE%\Documents\GitHub\eaglep3\Utilities\RefineRTDCRunTimes.py" --tripid 106-26 --locoid 4001 --swversion DE.1.0.9.0 --startMP 204:232969 --initTime 2017-05-26T05:08:08 --startdatetime 2017-05-26T05:12:14 --delay 1 --endMP 204:152 --enddatetime 2017-05-26T05:52:20 --enforcementcount 0 &gt;&gt;C:\Users\stu\Documents\GitHub\eaglep3-reporting\EC\2017-05-26-refined-times.txt</v>
      </c>
      <c r="AI1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ID","value":"106-26"},{"id":16,"name":"Locomotive ID","value":"4001"},{"id":130,"name":"Impact","value":""},{"id":150,"name":"Time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4001 --day 2017-05-26</v>
      </c>
      <c r="AN1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637</v>
      </c>
      <c r="B19" s="7">
        <v>4058</v>
      </c>
      <c r="C19" s="21" t="s">
        <v>204</v>
      </c>
      <c r="D19" s="21" t="s">
        <v>200</v>
      </c>
      <c r="E19" s="13">
        <v>42881.182488425926</v>
      </c>
      <c r="F19" s="13">
        <v>42881.187858796293</v>
      </c>
      <c r="G19" s="7">
        <v>1</v>
      </c>
      <c r="H19" s="21" t="s">
        <v>444</v>
      </c>
      <c r="I19" s="13">
        <v>42881.212939814817</v>
      </c>
      <c r="J19" s="7">
        <v>0</v>
      </c>
      <c r="K19" s="92" t="str">
        <f t="shared" si="0"/>
        <v>4057/4058</v>
      </c>
      <c r="L19" s="21" t="str">
        <f>VLOOKUP(A19,'Trips&amp;Operators'!$C$1:$G$99999,5,FALSE)</f>
        <v>BIRENBAUM THOMAS</v>
      </c>
      <c r="M19" s="6">
        <f t="shared" si="1"/>
        <v>2.5081018524360843E-2</v>
      </c>
      <c r="N19" s="7">
        <f t="shared" si="18"/>
        <v>36.116666675079614</v>
      </c>
      <c r="O19" s="7"/>
      <c r="P19" s="7"/>
      <c r="Q19" s="22"/>
      <c r="R19" s="173"/>
      <c r="S19" s="176">
        <f t="shared" si="2"/>
        <v>1</v>
      </c>
      <c r="T19" s="202" t="str">
        <f t="shared" si="3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4"/>
        <v>https://d0f6bd738d7f1b3e5a7ca70fe4ff75f0.us-east-1.aws.found.io/app/kibana#/discover/Steve-Slow-Train-Analysis-(2080s-and-2083s)?_g=(refreshInterval:(display:Off,pause:!f,section:0,value:0),time:(from:'2017-05-26T03:22:47-0600',mode:absolute,to:'2017-05-26T06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" s="204" t="str">
        <f t="shared" si="5"/>
        <v>N</v>
      </c>
      <c r="X19" s="204">
        <f t="shared" si="6"/>
        <v>1</v>
      </c>
      <c r="Y19" s="204">
        <f t="shared" si="7"/>
        <v>4.5699999999999998E-2</v>
      </c>
      <c r="Z19" s="204">
        <f t="shared" si="8"/>
        <v>23.3308</v>
      </c>
      <c r="AA19" s="204">
        <f t="shared" si="9"/>
        <v>23.2851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0107-26</v>
      </c>
      <c r="AE19" s="80" t="str">
        <f t="shared" si="11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9" s="77" t="str">
        <f t="shared" si="12"/>
        <v>"C:\Program Files (x86)\AstroGrep\AstroGrep.exe" /e /r /s /spath="%USERPROFILE%\AppData\Local\Temp\OnboardLogs" /stypes="app*4058*20170526*" /stext=" 11:.+((SYSTEM_STATE.+slice.+state.+changed )|(ment ac)|(multiple cpu faults)|(system.+state.+changed )|(\[timeout)|(PRM\|1\|D)|(kpr)|(kdp)|(train st.+moving)|(\|lc)|(penalty))"</v>
      </c>
      <c r="AG19" s="1" t="str">
        <f t="shared" si="13"/>
        <v>EC</v>
      </c>
      <c r="AH19" s="81" t="str">
        <f t="shared" si="19"/>
        <v>"%USERPROFILE%\Documents\GitHub\eaglep3\Utilities\RefineRTDCRunTimes.py" --tripid 107-26 --locoid 4058 --swversion DE.1.0.9.0 --startMP 204:457 --initTime 2017-05-26T04:22:47 --startdatetime 2017-05-26T04:30:31 --delay 1 --endMP 204:233308 --enddatetime 2017-05-26T05:06:38 --enforcementcount 0 &gt;&gt;C:\Users\stu\Documents\GitHub\eaglep3-reporting\EC\2017-05-26-refined-times.txt</v>
      </c>
      <c r="AI1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{"issue":{"subject":"","project_id":79,"tracker_id":40,"status_id":1,"priority_id":2,"assigned_to_id":23,"start_date":"2017-05-26","description":"","custom_fields":[{"id":1,"name":"Subdivision","value":"EC"},{"id":4,"name":"Milepost","value":"23.3308"},{"id":17,"name":"Train ID","value":"107-26"},{"id":16,"name":"Locomotive ID","value":"4058"},{"id":130,"name":"Impact","value":""},{"id":150,"name":"Time of Event (Mountain Time)","value":"05:06:38"},{"id":151,"name":"Denver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4058 --day 2017-05-26</v>
      </c>
      <c r="AN1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599</v>
      </c>
      <c r="B20" s="7">
        <v>4057</v>
      </c>
      <c r="C20" s="21" t="s">
        <v>204</v>
      </c>
      <c r="D20" s="21" t="s">
        <v>852</v>
      </c>
      <c r="E20" s="13">
        <v>42881.217673611114</v>
      </c>
      <c r="F20" s="13">
        <v>42881.227233796293</v>
      </c>
      <c r="G20" s="7">
        <v>1</v>
      </c>
      <c r="H20" s="21" t="s">
        <v>196</v>
      </c>
      <c r="I20" s="13">
        <v>42881.254328703704</v>
      </c>
      <c r="J20" s="7">
        <v>0</v>
      </c>
      <c r="K20" s="92" t="str">
        <f t="shared" si="0"/>
        <v>4057/4058</v>
      </c>
      <c r="L20" s="21" t="str">
        <f>VLOOKUP(A20,'Trips&amp;Operators'!$C$1:$G$99999,5,FALSE)</f>
        <v>BIRENBAUM THOMAS</v>
      </c>
      <c r="M20" s="6">
        <f t="shared" si="1"/>
        <v>2.7094907411083113E-2</v>
      </c>
      <c r="N20" s="7">
        <f t="shared" si="18"/>
        <v>39.016666671959683</v>
      </c>
      <c r="O20" s="7"/>
      <c r="P20" s="7"/>
      <c r="Q20" s="22"/>
      <c r="R20" s="173"/>
      <c r="S20" s="176">
        <f t="shared" si="2"/>
        <v>1</v>
      </c>
      <c r="T20" s="202" t="str">
        <f t="shared" si="3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4"/>
        <v>https://d0f6bd738d7f1b3e5a7ca70fe4ff75f0.us-east-1.aws.found.io/app/kibana#/discover/Steve-Slow-Train-Analysis-(2080s-and-2083s)?_g=(refreshInterval:(display:Off,pause:!f,section:0,value:0),time:(from:'2017-05-26T04:13:27-0600',mode:absolute,to:'2017-05-26T07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" s="204" t="str">
        <f t="shared" si="5"/>
        <v>N</v>
      </c>
      <c r="X20" s="204">
        <f t="shared" si="6"/>
        <v>1</v>
      </c>
      <c r="Y20" s="204">
        <f t="shared" si="7"/>
        <v>23.298500000000001</v>
      </c>
      <c r="Z20" s="204">
        <f t="shared" si="8"/>
        <v>1.5800000000000002E-2</v>
      </c>
      <c r="AA20" s="204">
        <f t="shared" si="9"/>
        <v>23.282700000000002</v>
      </c>
      <c r="AB20" s="57" t="str">
        <f>VLOOKUP(A20,Enforcements!$C$7:$K$13,8,0)</f>
        <v>Bulletin (2)</v>
      </c>
      <c r="AC20" s="53" t="str">
        <f>VLOOKUP(A20,Enforcements!$C$7:$E$13,3,0)</f>
        <v>GRADE CROSSING</v>
      </c>
      <c r="AD20" s="54" t="str">
        <f t="shared" si="10"/>
        <v>0108-26</v>
      </c>
      <c r="AE20" s="80" t="str">
        <f t="shared" si="11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20" s="77" t="str">
        <f t="shared" si="12"/>
        <v>"C:\Program Files (x86)\AstroGrep\AstroGrep.exe" /e /r /s /spath="%USERPROFILE%\AppData\Local\Temp\OnboardLogs" /stypes="app*4057*20170526*" /stext=" 12:.+((SYSTEM_STATE.+slice.+state.+changed )|(ment ac)|(multiple cpu faults)|(system.+state.+changed )|(\[timeout)|(PRM\|1\|D)|(kpr)|(kdp)|(train st.+moving)|(\|lc)|(penalty))"</v>
      </c>
      <c r="AG20" s="1" t="str">
        <f t="shared" si="13"/>
        <v>EC</v>
      </c>
      <c r="AH20" s="81" t="str">
        <f t="shared" si="19"/>
        <v>"%USERPROFILE%\Documents\GitHub\eaglep3\Utilities\RefineRTDCRunTimes.py" --tripid 108-26 --locoid 4057 --swversion DE.1.0.9.0 --startMP 204:232985 --initTime 2017-05-26T05:13:27 --startdatetime 2017-05-26T05:27:13 --delay 1 --endMP 204:158 --enddatetime 2017-05-26T06:06:14 --enforcementcount 0 &gt;&gt;C:\Users\stu\Documents\GitHub\eaglep3-reporting\EC\2017-05-26-refined-times.txt</v>
      </c>
      <c r="AI2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{"issue":{"subject":"","project_id":79,"tracker_id":40,"status_id":1,"priority_id":2,"assigned_to_id":23,"start_date":"2017-05-26","description":"","custom_fields":[{"id":1,"name":"Subdivision","value":"EC"},{"id":4,"name":"Milepost","value":"0.0158"},{"id":17,"name":"Train ID","value":"108-26"},{"id":16,"name":"Locomotive ID","value":"4057"},{"id":130,"name":"Impact","value":""},{"id":150,"name":"Time of Event (Mountain Time)","value":"06:06:14"},{"id":151,"name":"Denver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4057 --day 2017-05-26</v>
      </c>
      <c r="AN2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640</v>
      </c>
      <c r="B21" s="7">
        <v>4044</v>
      </c>
      <c r="C21" s="21" t="s">
        <v>204</v>
      </c>
      <c r="D21" s="21" t="s">
        <v>470</v>
      </c>
      <c r="E21" s="13">
        <v>42881.192615740743</v>
      </c>
      <c r="F21" s="13">
        <v>42881.198252314818</v>
      </c>
      <c r="G21" s="7">
        <v>1</v>
      </c>
      <c r="H21" s="21" t="s">
        <v>498</v>
      </c>
      <c r="I21" s="13">
        <v>42881.223819444444</v>
      </c>
      <c r="J21" s="7">
        <v>0</v>
      </c>
      <c r="K21" s="92" t="str">
        <f t="shared" si="0"/>
        <v>4043/4044</v>
      </c>
      <c r="L21" s="21" t="str">
        <f>VLOOKUP(A21,'Trips&amp;Operators'!$C$1:$G$99999,5,FALSE)</f>
        <v>DAVIS WENDY</v>
      </c>
      <c r="M21" s="6">
        <f t="shared" si="1"/>
        <v>2.5567129625414964E-2</v>
      </c>
      <c r="N21" s="7">
        <f t="shared" si="18"/>
        <v>36.816666660597548</v>
      </c>
      <c r="O21" s="7"/>
      <c r="P21" s="7"/>
      <c r="Q21" s="22"/>
      <c r="R21" s="173"/>
      <c r="S21" s="176">
        <f t="shared" si="2"/>
        <v>1</v>
      </c>
      <c r="T21" s="202" t="str">
        <f t="shared" si="3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4"/>
        <v>https://d0f6bd738d7f1b3e5a7ca70fe4ff75f0.us-east-1.aws.found.io/app/kibana#/discover/Steve-Slow-Train-Analysis-(2080s-and-2083s)?_g=(refreshInterval:(display:Off,pause:!f,section:0,value:0),time:(from:'2017-05-26T03:37:22-0600',mode:absolute,to:'2017-05-26T06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04" t="str">
        <f t="shared" si="5"/>
        <v>N</v>
      </c>
      <c r="X21" s="204">
        <f t="shared" si="6"/>
        <v>1</v>
      </c>
      <c r="Y21" s="204">
        <f t="shared" si="7"/>
        <v>4.4200000000000003E-2</v>
      </c>
      <c r="Z21" s="204">
        <f t="shared" si="8"/>
        <v>23.331399999999999</v>
      </c>
      <c r="AA21" s="204">
        <f t="shared" si="9"/>
        <v>23.287199999999999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0109-26</v>
      </c>
      <c r="AE21" s="80" t="str">
        <f t="shared" si="11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21" s="77" t="str">
        <f t="shared" si="12"/>
        <v>"C:\Program Files (x86)\AstroGrep\AstroGrep.exe" /e /r /s /spath="%USERPROFILE%\AppData\Local\Temp\OnboardLogs" /stypes="app*4044*20170526*" /stext=" 11:.+((SYSTEM_STATE.+slice.+state.+changed )|(ment ac)|(multiple cpu faults)|(system.+state.+changed )|(\[timeout)|(PRM\|1\|D)|(kpr)|(kdp)|(train st.+moving)|(\|lc)|(penalty))"</v>
      </c>
      <c r="AG21" s="1" t="str">
        <f t="shared" si="13"/>
        <v>EC</v>
      </c>
      <c r="AH21" s="81" t="str">
        <f t="shared" si="19"/>
        <v>"%USERPROFILE%\Documents\GitHub\eaglep3\Utilities\RefineRTDCRunTimes.py" --tripid 109-26 --locoid 4044 --swversion DE.1.0.9.0 --startMP 204:442 --initTime 2017-05-26T04:37:22 --startdatetime 2017-05-26T04:45:29 --delay 1 --endMP 204:233314 --enddatetime 2017-05-26T05:22:18 --enforcementcount 0 &gt;&gt;C:\Users\stu\Documents\GitHub\eaglep3-reporting\EC\2017-05-26-refined-times.txt</v>
      </c>
      <c r="AI2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{"issue":{"subject":"","project_id":79,"tracker_id":40,"status_id":1,"priority_id":2,"assigned_to_id":23,"start_date":"2017-05-26","description":"","custom_fields":[{"id":1,"name":"Subdivision","value":"EC"},{"id":4,"name":"Milepost","value":"23.3314"},{"id":17,"name":"Train ID","value":"109-26"},{"id":16,"name":"Locomotive ID","value":"4044"},{"id":130,"name":"Impact","value":""},{"id":150,"name":"Time of Event (Mountain Time)","value":"05:22:18"},{"id":151,"name":"Denver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4044 --day 2017-05-26</v>
      </c>
      <c r="AN2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651</v>
      </c>
      <c r="B22" s="7">
        <v>4043</v>
      </c>
      <c r="C22" s="21" t="s">
        <v>204</v>
      </c>
      <c r="D22" s="21" t="s">
        <v>853</v>
      </c>
      <c r="E22" s="13">
        <v>42881.231435185182</v>
      </c>
      <c r="F22" s="13">
        <v>42881.237650462965</v>
      </c>
      <c r="G22" s="7">
        <v>1</v>
      </c>
      <c r="H22" s="21" t="s">
        <v>404</v>
      </c>
      <c r="I22" s="13">
        <v>42881.265543981484</v>
      </c>
      <c r="J22" s="7">
        <v>0</v>
      </c>
      <c r="K22" s="92" t="str">
        <f t="shared" si="0"/>
        <v>4043/4044</v>
      </c>
      <c r="L22" s="21" t="str">
        <f>VLOOKUP(A22,'Trips&amp;Operators'!$C$1:$G$99999,5,FALSE)</f>
        <v>DAVIS WENDY</v>
      </c>
      <c r="M22" s="6">
        <f t="shared" si="1"/>
        <v>2.789351851970423E-2</v>
      </c>
      <c r="N22" s="7">
        <f t="shared" si="18"/>
        <v>40.166666668374091</v>
      </c>
      <c r="O22" s="7"/>
      <c r="P22" s="7"/>
      <c r="Q22" s="22"/>
      <c r="R22" s="173"/>
      <c r="S22" s="176">
        <f t="shared" si="2"/>
        <v>1</v>
      </c>
      <c r="T22" s="202" t="str">
        <f t="shared" si="3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4"/>
        <v>https://d0f6bd738d7f1b3e5a7ca70fe4ff75f0.us-east-1.aws.found.io/app/kibana#/discover/Steve-Slow-Train-Analysis-(2080s-and-2083s)?_g=(refreshInterval:(display:Off,pause:!f,section:0,value:0),time:(from:'2017-05-26T04:33:16-0600',mode:absolute,to:'2017-05-26T07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04" t="str">
        <f t="shared" si="5"/>
        <v>N</v>
      </c>
      <c r="X22" s="204">
        <f t="shared" si="6"/>
        <v>1</v>
      </c>
      <c r="Y22" s="204">
        <f t="shared" si="7"/>
        <v>23.299199999999999</v>
      </c>
      <c r="Z22" s="204">
        <f t="shared" si="8"/>
        <v>1.54E-2</v>
      </c>
      <c r="AA22" s="204">
        <f t="shared" si="9"/>
        <v>23.283799999999999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0110-26</v>
      </c>
      <c r="AE22" s="80" t="str">
        <f t="shared" si="11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22" s="77" t="str">
        <f t="shared" si="12"/>
        <v>"C:\Program Files (x86)\AstroGrep\AstroGrep.exe" /e /r /s /spath="%USERPROFILE%\AppData\Local\Temp\OnboardLogs" /stypes="app*4043*20170526*" /stext=" 12:.+((SYSTEM_STATE.+slice.+state.+changed )|(ment ac)|(multiple cpu faults)|(system.+state.+changed )|(\[timeout)|(PRM\|1\|D)|(kpr)|(kdp)|(train st.+moving)|(\|lc)|(penalty))"</v>
      </c>
      <c r="AG22" s="1" t="str">
        <f t="shared" si="13"/>
        <v>EC</v>
      </c>
      <c r="AH22" s="81" t="str">
        <f t="shared" si="19"/>
        <v>"%USERPROFILE%\Documents\GitHub\eaglep3\Utilities\RefineRTDCRunTimes.py" --tripid 110-26 --locoid 4043 --swversion DE.1.0.9.0 --startMP 204:232992 --initTime 2017-05-26T05:33:16 --startdatetime 2017-05-26T05:42:13 --delay 1 --endMP 204:154 --enddatetime 2017-05-26T06:22:23 --enforcementcount 0 &gt;&gt;C:\Users\stu\Documents\GitHub\eaglep3-reporting\EC\2017-05-26-refined-times.txt</v>
      </c>
      <c r="AI2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{"issue":{"subject":"","project_id":79,"tracker_id":40,"status_id":1,"priority_id":2,"assigned_to_id":23,"start_date":"2017-05-26","description":"","custom_fields":[{"id":1,"name":"Subdivision","value":"EC"},{"id":4,"name":"Milepost","value":"0.0154"},{"id":17,"name":"Train ID","value":"110-26"},{"id":16,"name":"Locomotive ID","value":"4043"},{"id":130,"name":"Impact","value":""},{"id":150,"name":"Time of Event (Mountain Time)","value":"06:22:23"},{"id":151,"name":"Denver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4043 --day 2017-05-26</v>
      </c>
      <c r="AN2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644</v>
      </c>
      <c r="B23" s="7">
        <v>4016</v>
      </c>
      <c r="C23" s="21" t="s">
        <v>204</v>
      </c>
      <c r="D23" s="21" t="s">
        <v>854</v>
      </c>
      <c r="E23" s="13">
        <v>42881.203865740739</v>
      </c>
      <c r="F23" s="13">
        <v>42881.208668981482</v>
      </c>
      <c r="G23" s="7">
        <v>2</v>
      </c>
      <c r="H23" s="21" t="s">
        <v>855</v>
      </c>
      <c r="I23" s="13">
        <v>42881.235567129632</v>
      </c>
      <c r="J23" s="7">
        <v>0</v>
      </c>
      <c r="K23" s="92" t="str">
        <f t="shared" si="0"/>
        <v>4015/4016</v>
      </c>
      <c r="L23" s="21" t="str">
        <f>VLOOKUP(A23,'Trips&amp;Operators'!$C$1:$G$99999,5,FALSE)</f>
        <v>SPECTOR MICHAEL</v>
      </c>
      <c r="M23" s="6">
        <f t="shared" si="1"/>
        <v>2.6898148149484769E-2</v>
      </c>
      <c r="N23" s="7">
        <f t="shared" si="18"/>
        <v>38.733333335258067</v>
      </c>
      <c r="O23" s="7"/>
      <c r="P23" s="7"/>
      <c r="Q23" s="22"/>
      <c r="R23" s="173"/>
      <c r="S23" s="176">
        <f t="shared" si="2"/>
        <v>1</v>
      </c>
      <c r="T23" s="202" t="str">
        <f t="shared" si="3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4"/>
        <v>https://d0f6bd738d7f1b3e5a7ca70fe4ff75f0.us-east-1.aws.found.io/app/kibana#/discover/Steve-Slow-Train-Analysis-(2080s-and-2083s)?_g=(refreshInterval:(display:Off,pause:!f,section:0,value:0),time:(from:'2017-05-26T03:53:34-0600',mode:absolute,to:'2017-05-26T06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204" t="str">
        <f t="shared" si="5"/>
        <v>N</v>
      </c>
      <c r="X23" s="204">
        <f t="shared" si="6"/>
        <v>1</v>
      </c>
      <c r="Y23" s="204">
        <f t="shared" si="7"/>
        <v>0.14960000000000001</v>
      </c>
      <c r="Z23" s="204">
        <f t="shared" si="8"/>
        <v>23.331199999999999</v>
      </c>
      <c r="AA23" s="204">
        <f t="shared" si="9"/>
        <v>23.1816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0111-26</v>
      </c>
      <c r="AE23" s="80" t="str">
        <f t="shared" si="11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23" s="77" t="str">
        <f t="shared" si="12"/>
        <v>"C:\Program Files (x86)\AstroGrep\AstroGrep.exe" /e /r /s /spath="%USERPROFILE%\AppData\Local\Temp\OnboardLogs" /stypes="app*4016*20170526*" /stext=" 11:.+((SYSTEM_STATE.+slice.+state.+changed )|(ment ac)|(multiple cpu faults)|(system.+state.+changed )|(\[timeout)|(PRM\|1\|D)|(kpr)|(kdp)|(train st.+moving)|(\|lc)|(penalty))"</v>
      </c>
      <c r="AG23" s="1" t="str">
        <f t="shared" si="13"/>
        <v>EC</v>
      </c>
      <c r="AH23" s="81" t="str">
        <f t="shared" si="19"/>
        <v>"%USERPROFILE%\Documents\GitHub\eaglep3\Utilities\RefineRTDCRunTimes.py" --tripid 111-26 --locoid 4016 --swversion DE.1.0.9.0 --startMP 204:1496 --initTime 2017-05-26T04:53:34 --startdatetime 2017-05-26T05:00:29 --delay 2 --endMP 204:233312 --enddatetime 2017-05-26T05:39:13 --enforcementcount 0 &gt;&gt;C:\Users\stu\Documents\GitHub\eaglep3-reporting\EC\2017-05-26-refined-times.txt</v>
      </c>
      <c r="AI2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{"issue":{"subject":"","project_id":79,"tracker_id":40,"status_id":1,"priority_id":2,"assigned_to_id":23,"start_date":"2017-05-26","description":"","custom_fields":[{"id":1,"name":"Subdivision","value":"EC"},{"id":4,"name":"Milepost","value":"23.3312"},{"id":17,"name":"Train ID","value":"111-26"},{"id":16,"name":"Locomotive ID","value":"4016"},{"id":130,"name":"Impact","value":""},{"id":150,"name":"Time of Event (Mountain Time)","value":"05:39:13"},{"id":151,"name":"Denver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4016 --day 2017-05-26</v>
      </c>
      <c r="AN2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600</v>
      </c>
      <c r="B24" s="7">
        <v>4015</v>
      </c>
      <c r="C24" s="21" t="s">
        <v>204</v>
      </c>
      <c r="D24" s="21" t="s">
        <v>502</v>
      </c>
      <c r="E24" s="13">
        <v>42881.238946759258</v>
      </c>
      <c r="F24" s="13">
        <v>42881.248090277775</v>
      </c>
      <c r="G24" s="7">
        <v>1</v>
      </c>
      <c r="H24" s="21" t="s">
        <v>361</v>
      </c>
      <c r="I24" s="13">
        <v>42881.277013888888</v>
      </c>
      <c r="J24" s="7">
        <v>0</v>
      </c>
      <c r="K24" s="92" t="str">
        <f t="shared" si="0"/>
        <v>4015/4016</v>
      </c>
      <c r="L24" s="21" t="str">
        <f>VLOOKUP(A24,'Trips&amp;Operators'!$C$1:$G$99999,5,FALSE)</f>
        <v>SPECTOR MICHAEL</v>
      </c>
      <c r="M24" s="6">
        <f t="shared" si="1"/>
        <v>2.8923611112986691E-2</v>
      </c>
      <c r="N24" s="7">
        <f t="shared" si="18"/>
        <v>41.650000002700835</v>
      </c>
      <c r="O24" s="7"/>
      <c r="P24" s="7"/>
      <c r="Q24" s="22"/>
      <c r="R24" s="173"/>
      <c r="S24" s="176">
        <f t="shared" si="2"/>
        <v>1</v>
      </c>
      <c r="T24" s="202" t="str">
        <f t="shared" si="3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4"/>
        <v>https://d0f6bd738d7f1b3e5a7ca70fe4ff75f0.us-east-1.aws.found.io/app/kibana#/discover/Steve-Slow-Train-Analysis-(2080s-and-2083s)?_g=(refreshInterval:(display:Off,pause:!f,section:0,value:0),time:(from:'2017-05-26T04:44:05-0600',mode:absolute,to:'2017-05-26T07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204" t="str">
        <f t="shared" si="5"/>
        <v>N</v>
      </c>
      <c r="X24" s="204">
        <f t="shared" si="6"/>
        <v>1</v>
      </c>
      <c r="Y24" s="204">
        <f t="shared" si="7"/>
        <v>23.3004</v>
      </c>
      <c r="Z24" s="204">
        <f t="shared" si="8"/>
        <v>1.3899999999999999E-2</v>
      </c>
      <c r="AA24" s="204">
        <f t="shared" si="9"/>
        <v>23.2865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0"/>
        <v>0112-26</v>
      </c>
      <c r="AE24" s="80" t="str">
        <f t="shared" si="11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24" s="77" t="str">
        <f t="shared" si="12"/>
        <v>"C:\Program Files (x86)\AstroGrep\AstroGrep.exe" /e /r /s /spath="%USERPROFILE%\AppData\Local\Temp\OnboardLogs" /stypes="app*4015*20170526*" /stext=" 12:.+((SYSTEM_STATE.+slice.+state.+changed )|(ment ac)|(multiple cpu faults)|(system.+state.+changed )|(\[timeout)|(PRM\|1\|D)|(kpr)|(kdp)|(train st.+moving)|(\|lc)|(penalty))"</v>
      </c>
      <c r="AG24" s="1" t="str">
        <f t="shared" si="13"/>
        <v>EC</v>
      </c>
      <c r="AH24" s="81" t="str">
        <f t="shared" si="19"/>
        <v>"%USERPROFILE%\Documents\GitHub\eaglep3\Utilities\RefineRTDCRunTimes.py" --tripid 112-26 --locoid 4015 --swversion DE.1.0.9.0 --startMP 204:233004 --initTime 2017-05-26T05:44:05 --startdatetime 2017-05-26T05:57:15 --delay 1 --endMP 204:139 --enddatetime 2017-05-26T06:38:54 --enforcementcount 0 &gt;&gt;C:\Users\stu\Documents\GitHub\eaglep3-reporting\EC\2017-05-26-refined-times.txt</v>
      </c>
      <c r="AI2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{"issue":{"subject":"","project_id":79,"tracker_id":40,"status_id":1,"priority_id":2,"assigned_to_id":23,"start_date":"2017-05-26","description":"","custom_fields":[{"id":1,"name":"Subdivision","value":"EC"},{"id":4,"name":"Milepost","value":"0.0139"},{"id":17,"name":"Train ID","value":"112-26"},{"id":16,"name":"Locomotive ID","value":"4015"},{"id":130,"name":"Impact","value":""},{"id":150,"name":"Time of Event (Mountain Time)","value":"06:38:54"},{"id":151,"name":"Denver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4015 --day 2017-05-26</v>
      </c>
      <c r="AN2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647</v>
      </c>
      <c r="B25" s="7">
        <v>4026</v>
      </c>
      <c r="C25" s="21" t="s">
        <v>204</v>
      </c>
      <c r="D25" s="21" t="s">
        <v>856</v>
      </c>
      <c r="E25" s="13">
        <v>42881.214560185188</v>
      </c>
      <c r="F25" s="13">
        <v>42881.218958333331</v>
      </c>
      <c r="G25" s="7">
        <v>1</v>
      </c>
      <c r="H25" s="21" t="s">
        <v>401</v>
      </c>
      <c r="I25" s="13">
        <v>42881.245173611111</v>
      </c>
      <c r="J25" s="7">
        <v>0</v>
      </c>
      <c r="K25" s="92" t="str">
        <f t="shared" si="0"/>
        <v>4025/4026</v>
      </c>
      <c r="L25" s="21" t="str">
        <f>VLOOKUP(A25,'Trips&amp;Operators'!$C$1:$G$99999,5,FALSE)</f>
        <v>DAVIDSON DAVID</v>
      </c>
      <c r="M25" s="6">
        <f t="shared" si="1"/>
        <v>2.6215277779556345E-2</v>
      </c>
      <c r="N25" s="7">
        <f t="shared" si="18"/>
        <v>37.750000002561137</v>
      </c>
      <c r="O25" s="7"/>
      <c r="P25" s="7"/>
      <c r="Q25" s="22"/>
      <c r="R25" s="173"/>
      <c r="S25" s="176">
        <f t="shared" si="2"/>
        <v>1</v>
      </c>
      <c r="T25" s="202" t="str">
        <f t="shared" si="3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4"/>
        <v>https://d0f6bd738d7f1b3e5a7ca70fe4ff75f0.us-east-1.aws.found.io/app/kibana#/discover/Steve-Slow-Train-Analysis-(2080s-and-2083s)?_g=(refreshInterval:(display:Off,pause:!f,section:0,value:0),time:(from:'2017-05-26T04:08:58-0600',mode:absolute,to:'2017-05-26T06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204" t="str">
        <f t="shared" si="5"/>
        <v>N</v>
      </c>
      <c r="X25" s="204">
        <f t="shared" si="6"/>
        <v>1</v>
      </c>
      <c r="Y25" s="204">
        <f t="shared" si="7"/>
        <v>4.7100000000000003E-2</v>
      </c>
      <c r="Z25" s="204">
        <f t="shared" si="8"/>
        <v>23.3293</v>
      </c>
      <c r="AA25" s="204">
        <f t="shared" si="9"/>
        <v>23.2822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0113-26</v>
      </c>
      <c r="AE25" s="80" t="str">
        <f t="shared" si="11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25" s="77" t="str">
        <f t="shared" si="12"/>
        <v>"C:\Program Files (x86)\AstroGrep\AstroGrep.exe" /e /r /s /spath="%USERPROFILE%\AppData\Local\Temp\OnboardLogs" /stypes="app*4026*20170526*" /stext=" 11:.+((SYSTEM_STATE.+slice.+state.+changed )|(ment ac)|(multiple cpu faults)|(system.+state.+changed )|(\[timeout)|(PRM\|1\|D)|(kpr)|(kdp)|(train st.+moving)|(\|lc)|(penalty))"</v>
      </c>
      <c r="AG25" s="1" t="str">
        <f t="shared" si="13"/>
        <v>EC</v>
      </c>
      <c r="AH25" s="81" t="str">
        <f t="shared" si="19"/>
        <v>"%USERPROFILE%\Documents\GitHub\eaglep3\Utilities\RefineRTDCRunTimes.py" --tripid 113-26 --locoid 4026 --swversion DE.1.0.9.0 --startMP 204:471 --initTime 2017-05-26T05:08:58 --startdatetime 2017-05-26T05:15:18 --delay 1 --endMP 204:233293 --enddatetime 2017-05-26T05:53:03 --enforcementcount 0 &gt;&gt;C:\Users\stu\Documents\GitHub\eaglep3-reporting\EC\2017-05-26-refined-times.txt</v>
      </c>
      <c r="AI2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{"issue":{"subject":"","project_id":79,"tracker_id":40,"status_id":1,"priority_id":2,"assigned_to_id":23,"start_date":"2017-05-26","description":"","custom_fields":[{"id":1,"name":"Subdivision","value":"EC"},{"id":4,"name":"Milepost","value":"23.3293"},{"id":17,"name":"Train ID","value":"113-26"},{"id":16,"name":"Locomotive ID","value":"4026"},{"id":130,"name":"Impact","value":""},{"id":150,"name":"Time of Event (Mountain Time)","value":"05:53:03"},{"id":151,"name":"Denver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4026 --day 2017-05-26</v>
      </c>
      <c r="AN2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657</v>
      </c>
      <c r="B26" s="7">
        <v>4025</v>
      </c>
      <c r="C26" s="21" t="s">
        <v>204</v>
      </c>
      <c r="D26" s="21" t="s">
        <v>448</v>
      </c>
      <c r="E26" s="13">
        <v>42881.2497337963</v>
      </c>
      <c r="F26" s="13">
        <v>42881.25854166667</v>
      </c>
      <c r="G26" s="7">
        <v>1</v>
      </c>
      <c r="H26" s="21" t="s">
        <v>350</v>
      </c>
      <c r="I26" s="13">
        <v>42881.286817129629</v>
      </c>
      <c r="J26" s="7">
        <v>0</v>
      </c>
      <c r="K26" s="92" t="str">
        <f t="shared" si="0"/>
        <v>4025/4026</v>
      </c>
      <c r="L26" s="21" t="str">
        <f>VLOOKUP(A26,'Trips&amp;Operators'!$C$1:$G$99999,5,FALSE)</f>
        <v>DAVIDSON DAVID</v>
      </c>
      <c r="M26" s="6">
        <f t="shared" si="1"/>
        <v>2.827546295884531E-2</v>
      </c>
      <c r="N26" s="7">
        <f t="shared" si="18"/>
        <v>40.716666660737246</v>
      </c>
      <c r="O26" s="7"/>
      <c r="P26" s="7"/>
      <c r="Q26" s="22"/>
      <c r="R26" s="173"/>
      <c r="S26" s="176">
        <f t="shared" si="2"/>
        <v>1</v>
      </c>
      <c r="T26" s="202" t="str">
        <f t="shared" si="3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4"/>
        <v>https://d0f6bd738d7f1b3e5a7ca70fe4ff75f0.us-east-1.aws.found.io/app/kibana#/discover/Steve-Slow-Train-Analysis-(2080s-and-2083s)?_g=(refreshInterval:(display:Off,pause:!f,section:0,value:0),time:(from:'2017-05-26T04:59:37-0600',mode:absolute,to:'2017-05-26T07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204" t="str">
        <f t="shared" si="5"/>
        <v>N</v>
      </c>
      <c r="X26" s="204">
        <f t="shared" si="6"/>
        <v>1</v>
      </c>
      <c r="Y26" s="204">
        <f t="shared" si="7"/>
        <v>23.298400000000001</v>
      </c>
      <c r="Z26" s="204">
        <f t="shared" si="8"/>
        <v>1.6E-2</v>
      </c>
      <c r="AA26" s="204">
        <f t="shared" si="9"/>
        <v>23.282400000000003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0114-26</v>
      </c>
      <c r="AE26" s="80" t="str">
        <f t="shared" si="11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26" s="77" t="str">
        <f t="shared" si="12"/>
        <v>"C:\Program Files (x86)\AstroGrep\AstroGrep.exe" /e /r /s /spath="%USERPROFILE%\AppData\Local\Temp\OnboardLogs" /stypes="app*4025*20170526*" /stext=" 12:.+((SYSTEM_STATE.+slice.+state.+changed )|(ment ac)|(multiple cpu faults)|(system.+state.+changed )|(\[timeout)|(PRM\|1\|D)|(kpr)|(kdp)|(train st.+moving)|(\|lc)|(penalty))"</v>
      </c>
      <c r="AG26" s="1" t="str">
        <f t="shared" si="13"/>
        <v>EC</v>
      </c>
      <c r="AH26" s="81" t="str">
        <f t="shared" si="19"/>
        <v>"%USERPROFILE%\Documents\GitHub\eaglep3\Utilities\RefineRTDCRunTimes.py" --tripid 114-26 --locoid 4025 --swversion DE.1.0.9.0 --startMP 204:232984 --initTime 2017-05-26T05:59:37 --startdatetime 2017-05-26T06:12:18 --delay 1 --endMP 204:160 --enddatetime 2017-05-26T06:53:01 --enforcementcount 0 &gt;&gt;C:\Users\stu\Documents\GitHub\eaglep3-reporting\EC\2017-05-26-refined-times.txt</v>
      </c>
      <c r="AI2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ID","value":"114-26"},{"id":16,"name":"Locomotive ID","value":"4025"},{"id":130,"name":"Impact","value":""},{"id":150,"name":"Time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4025 --day 2017-05-26</v>
      </c>
      <c r="AN2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650</v>
      </c>
      <c r="B27" s="7">
        <v>4062</v>
      </c>
      <c r="C27" s="21" t="s">
        <v>204</v>
      </c>
      <c r="D27" s="21" t="s">
        <v>201</v>
      </c>
      <c r="E27" s="13">
        <v>42881.228414351855</v>
      </c>
      <c r="F27" s="13">
        <v>42881.230034722219</v>
      </c>
      <c r="G27" s="7">
        <v>1</v>
      </c>
      <c r="H27" s="21" t="s">
        <v>857</v>
      </c>
      <c r="I27" s="13">
        <v>42881.255879629629</v>
      </c>
      <c r="J27" s="7">
        <v>0</v>
      </c>
      <c r="K27" s="92" t="str">
        <f t="shared" si="0"/>
        <v>4061/4062</v>
      </c>
      <c r="L27" s="21" t="str">
        <f>VLOOKUP(A27,'Trips&amp;Operators'!$C$1:$G$99999,5,FALSE)</f>
        <v>WILLIAMS DONTE</v>
      </c>
      <c r="M27" s="6">
        <f t="shared" si="1"/>
        <v>2.584490740991896E-2</v>
      </c>
      <c r="N27" s="7">
        <f t="shared" si="18"/>
        <v>37.216666670283303</v>
      </c>
      <c r="O27" s="7"/>
      <c r="P27" s="7"/>
      <c r="Q27" s="22"/>
      <c r="R27" s="173"/>
      <c r="S27" s="176">
        <f t="shared" si="2"/>
        <v>1</v>
      </c>
      <c r="T27" s="202" t="str">
        <f t="shared" si="3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4"/>
        <v>https://d0f6bd738d7f1b3e5a7ca70fe4ff75f0.us-east-1.aws.found.io/app/kibana#/discover/Steve-Slow-Train-Analysis-(2080s-and-2083s)?_g=(refreshInterval:(display:Off,pause:!f,section:0,value:0),time:(from:'2017-05-26T04:28:55-0600',mode:absolute,to:'2017-05-26T07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" s="204" t="str">
        <f t="shared" si="5"/>
        <v>N</v>
      </c>
      <c r="X27" s="204">
        <f t="shared" si="6"/>
        <v>1</v>
      </c>
      <c r="Y27" s="204">
        <f t="shared" si="7"/>
        <v>4.5999999999999999E-2</v>
      </c>
      <c r="Z27" s="204">
        <f t="shared" si="8"/>
        <v>23.331700000000001</v>
      </c>
      <c r="AA27" s="204">
        <f t="shared" si="9"/>
        <v>23.285700000000002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0115-26</v>
      </c>
      <c r="AE27" s="80" t="str">
        <f t="shared" si="11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27" s="77" t="str">
        <f t="shared" si="12"/>
        <v>"C:\Program Files (x86)\AstroGrep\AstroGrep.exe" /e /r /s /spath="%USERPROFILE%\AppData\Local\Temp\OnboardLogs" /stypes="app*4062*20170526*" /stext=" 12:.+((SYSTEM_STATE.+slice.+state.+changed )|(ment ac)|(multiple cpu faults)|(system.+state.+changed )|(\[timeout)|(PRM\|1\|D)|(kpr)|(kdp)|(train st.+moving)|(\|lc)|(penalty))"</v>
      </c>
      <c r="AG27" s="1" t="str">
        <f t="shared" si="13"/>
        <v>EC</v>
      </c>
      <c r="AH27" s="81" t="str">
        <f t="shared" si="19"/>
        <v>"%USERPROFILE%\Documents\GitHub\eaglep3\Utilities\RefineRTDCRunTimes.py" --tripid 115-26 --locoid 4062 --swversion DE.1.0.9.0 --startMP 204:460 --initTime 2017-05-26T05:28:55 --startdatetime 2017-05-26T05:31:15 --delay 1 --endMP 204:233317 --enddatetime 2017-05-26T06:08:28 --enforcementcount 0 &gt;&gt;C:\Users\stu\Documents\GitHub\eaglep3-reporting\EC\2017-05-26-refined-times.txt</v>
      </c>
      <c r="AI2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{"issue":{"subject":"","project_id":79,"tracker_id":40,"status_id":1,"priority_id":2,"assigned_to_id":23,"start_date":"2017-05-26","description":"","custom_fields":[{"id":1,"name":"Subdivision","value":"EC"},{"id":4,"name":"Milepost","value":"23.3317"},{"id":17,"name":"Train ID","value":"115-26"},{"id":16,"name":"Locomotive ID","value":"4062"},{"id":130,"name":"Impact","value":""},{"id":150,"name":"Time of Event (Mountain Time)","value":"06:08:28"},{"id":151,"name":"Denver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4062 --day 2017-05-26</v>
      </c>
      <c r="AN2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661</v>
      </c>
      <c r="B28" s="7">
        <v>4061</v>
      </c>
      <c r="C28" s="21" t="s">
        <v>204</v>
      </c>
      <c r="D28" s="21" t="s">
        <v>858</v>
      </c>
      <c r="E28" s="13">
        <v>42881.25818287037</v>
      </c>
      <c r="F28" s="13">
        <v>42881.26898148148</v>
      </c>
      <c r="G28" s="7">
        <v>1</v>
      </c>
      <c r="H28" s="21" t="s">
        <v>195</v>
      </c>
      <c r="I28" s="13">
        <v>42881.296620370369</v>
      </c>
      <c r="J28" s="7">
        <v>0</v>
      </c>
      <c r="K28" s="92" t="str">
        <f t="shared" si="0"/>
        <v>4061/4062</v>
      </c>
      <c r="L28" s="21" t="str">
        <f>VLOOKUP(A28,'Trips&amp;Operators'!$C$1:$G$99999,5,FALSE)</f>
        <v>WILLIAMS DONTE</v>
      </c>
      <c r="M28" s="6">
        <f t="shared" si="1"/>
        <v>2.7638888888759539E-2</v>
      </c>
      <c r="N28" s="7">
        <f t="shared" si="18"/>
        <v>39.799999999813735</v>
      </c>
      <c r="O28" s="7"/>
      <c r="P28" s="7"/>
      <c r="Q28" s="22"/>
      <c r="R28" s="173"/>
      <c r="S28" s="176">
        <f t="shared" si="2"/>
        <v>1</v>
      </c>
      <c r="T28" s="202" t="str">
        <f t="shared" si="3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4"/>
        <v>https://d0f6bd738d7f1b3e5a7ca70fe4ff75f0.us-east-1.aws.found.io/app/kibana#/discover/Steve-Slow-Train-Analysis-(2080s-and-2083s)?_g=(refreshInterval:(display:Off,pause:!f,section:0,value:0),time:(from:'2017-05-26T05:11:47-0600',mode:absolute,to:'2017-05-26T08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8" s="204" t="str">
        <f t="shared" si="5"/>
        <v>N</v>
      </c>
      <c r="X28" s="204">
        <f t="shared" si="6"/>
        <v>1</v>
      </c>
      <c r="Y28" s="204">
        <f t="shared" si="7"/>
        <v>23.301100000000002</v>
      </c>
      <c r="Z28" s="204">
        <f t="shared" si="8"/>
        <v>1.52E-2</v>
      </c>
      <c r="AA28" s="204">
        <f t="shared" si="9"/>
        <v>23.285900000000002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0116-26</v>
      </c>
      <c r="AE28" s="80" t="str">
        <f t="shared" si="11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28" s="77" t="str">
        <f t="shared" si="12"/>
        <v>"C:\Program Files (x86)\AstroGrep\AstroGrep.exe" /e /r /s /spath="%USERPROFILE%\AppData\Local\Temp\OnboardLogs" /stypes="app*4061*20170526*" /stext=" 13:.+((SYSTEM_STATE.+slice.+state.+changed )|(ment ac)|(multiple cpu faults)|(system.+state.+changed )|(\[timeout)|(PRM\|1\|D)|(kpr)|(kdp)|(train st.+moving)|(\|lc)|(penalty))"</v>
      </c>
      <c r="AG28" s="1" t="str">
        <f t="shared" si="13"/>
        <v>EC</v>
      </c>
      <c r="AH28" s="81" t="str">
        <f t="shared" si="19"/>
        <v>"%USERPROFILE%\Documents\GitHub\eaglep3\Utilities\RefineRTDCRunTimes.py" --tripid 116-26 --locoid 4061 --swversion DE.1.0.9.0 --startMP 204:233011 --initTime 2017-05-26T06:11:47 --startdatetime 2017-05-26T06:27:20 --delay 1 --endMP 204:152 --enddatetime 2017-05-26T07:07:08 --enforcementcount 0 &gt;&gt;C:\Users\stu\Documents\GitHub\eaglep3-reporting\EC\2017-05-26-refined-times.txt</v>
      </c>
      <c r="AI2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ID","value":"116-26"},{"id":16,"name":"Locomotive ID","value":"4061"},{"id":130,"name":"Impact","value":""},{"id":150,"name":"Time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4061 --day 2017-05-26</v>
      </c>
      <c r="AN2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652</v>
      </c>
      <c r="B29" s="7">
        <v>4006</v>
      </c>
      <c r="C29" s="21" t="s">
        <v>204</v>
      </c>
      <c r="D29" s="21" t="s">
        <v>359</v>
      </c>
      <c r="E29" s="13">
        <v>42881.236539351848</v>
      </c>
      <c r="F29" s="13">
        <v>42881.240057870367</v>
      </c>
      <c r="G29" s="7">
        <v>1</v>
      </c>
      <c r="H29" s="21" t="s">
        <v>855</v>
      </c>
      <c r="I29" s="13">
        <v>42881.264490740738</v>
      </c>
      <c r="J29" s="7">
        <v>0</v>
      </c>
      <c r="K29" s="92" t="str">
        <f t="shared" si="0"/>
        <v>4005/4006</v>
      </c>
      <c r="L29" s="21" t="str">
        <f>VLOOKUP(A29,'Trips&amp;Operators'!$C$1:$G$99999,5,FALSE)</f>
        <v>LOZA FIDEL</v>
      </c>
      <c r="M29" s="6">
        <f t="shared" si="1"/>
        <v>2.4432870370219462E-2</v>
      </c>
      <c r="N29" s="7">
        <f t="shared" si="18"/>
        <v>35.183333333116025</v>
      </c>
      <c r="O29" s="7"/>
      <c r="P29" s="7"/>
      <c r="Q29" s="22"/>
      <c r="R29" s="173"/>
      <c r="S29" s="176">
        <f t="shared" si="2"/>
        <v>1</v>
      </c>
      <c r="T29" s="202" t="str">
        <f t="shared" si="3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4"/>
        <v>https://d0f6bd738d7f1b3e5a7ca70fe4ff75f0.us-east-1.aws.found.io/app/kibana#/discover/Steve-Slow-Train-Analysis-(2080s-and-2083s)?_g=(refreshInterval:(display:Off,pause:!f,section:0,value:0),time:(from:'2017-05-26T04:40:37-0600',mode:absolute,to:'2017-05-26T07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204" t="str">
        <f t="shared" si="5"/>
        <v>N</v>
      </c>
      <c r="X29" s="204">
        <f t="shared" si="6"/>
        <v>1</v>
      </c>
      <c r="Y29" s="204">
        <f t="shared" si="7"/>
        <v>4.4400000000000002E-2</v>
      </c>
      <c r="Z29" s="204">
        <f t="shared" si="8"/>
        <v>23.331199999999999</v>
      </c>
      <c r="AA29" s="204">
        <f t="shared" si="9"/>
        <v>23.286799999999999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0117-26</v>
      </c>
      <c r="AE29" s="80" t="str">
        <f t="shared" si="11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29" s="77" t="str">
        <f t="shared" si="12"/>
        <v>"C:\Program Files (x86)\AstroGrep\AstroGrep.exe" /e /r /s /spath="%USERPROFILE%\AppData\Local\Temp\OnboardLogs" /stypes="app*4006*20170526*" /stext=" 12:.+((SYSTEM_STATE.+slice.+state.+changed )|(ment ac)|(multiple cpu faults)|(system.+state.+changed )|(\[timeout)|(PRM\|1\|D)|(kpr)|(kdp)|(train st.+moving)|(\|lc)|(penalty))"</v>
      </c>
      <c r="AG29" s="1" t="str">
        <f t="shared" si="13"/>
        <v>EC</v>
      </c>
      <c r="AH29" s="81" t="str">
        <f t="shared" si="19"/>
        <v>"%USERPROFILE%\Documents\GitHub\eaglep3\Utilities\RefineRTDCRunTimes.py" --tripid 117-26 --locoid 4006 --swversion DE.1.0.9.0 --startMP 204:444 --initTime 2017-05-26T05:40:37 --startdatetime 2017-05-26T05:45:41 --delay 1 --endMP 204:233312 --enddatetime 2017-05-26T06:20:52 --enforcementcount 0 &gt;&gt;C:\Users\stu\Documents\GitHub\eaglep3-reporting\EC\2017-05-26-refined-times.txt</v>
      </c>
      <c r="AI2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{"issue":{"subject":"","project_id":79,"tracker_id":40,"status_id":1,"priority_id":2,"assigned_to_id":23,"start_date":"2017-05-26","description":"","custom_fields":[{"id":1,"name":"Subdivision","value":"EC"},{"id":4,"name":"Milepost","value":"23.3312"},{"id":17,"name":"Train ID","value":"117-26"},{"id":16,"name":"Locomotive ID","value":"4006"},{"id":130,"name":"Impact","value":""},{"id":150,"name":"Time of Event (Mountain Time)","value":"06:20:52"},{"id":151,"name":"Denver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4006 --day 2017-05-26</v>
      </c>
      <c r="AN2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664</v>
      </c>
      <c r="B30" s="7">
        <v>4005</v>
      </c>
      <c r="C30" s="21" t="s">
        <v>204</v>
      </c>
      <c r="D30" s="21" t="s">
        <v>859</v>
      </c>
      <c r="E30" s="13">
        <v>42881.275960648149</v>
      </c>
      <c r="F30" s="13">
        <v>42881.279629629629</v>
      </c>
      <c r="G30" s="7">
        <v>2</v>
      </c>
      <c r="H30" s="21" t="s">
        <v>364</v>
      </c>
      <c r="I30" s="13">
        <v>42881.306666666664</v>
      </c>
      <c r="J30" s="7">
        <v>0</v>
      </c>
      <c r="K30" s="92" t="str">
        <f t="shared" si="0"/>
        <v>4005/4006</v>
      </c>
      <c r="L30" s="21" t="str">
        <f>VLOOKUP(A30,'Trips&amp;Operators'!$C$1:$G$99999,5,FALSE)</f>
        <v>LOZA FIDEL</v>
      </c>
      <c r="M30" s="6">
        <f t="shared" si="1"/>
        <v>2.7037037034460809E-2</v>
      </c>
      <c r="N30" s="7">
        <f t="shared" si="18"/>
        <v>38.933333329623565</v>
      </c>
      <c r="O30" s="7"/>
      <c r="P30" s="7"/>
      <c r="Q30" s="22"/>
      <c r="R30" s="173"/>
      <c r="S30" s="176">
        <f t="shared" si="2"/>
        <v>1</v>
      </c>
      <c r="T30" s="202" t="str">
        <f t="shared" si="3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4"/>
        <v>https://d0f6bd738d7f1b3e5a7ca70fe4ff75f0.us-east-1.aws.found.io/app/kibana#/discover/Steve-Slow-Train-Analysis-(2080s-and-2083s)?_g=(refreshInterval:(display:Off,pause:!f,section:0,value:0),time:(from:'2017-05-26T05:37:23-0600',mode:absolute,to:'2017-05-26T08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204" t="str">
        <f t="shared" si="5"/>
        <v>N</v>
      </c>
      <c r="X30" s="204">
        <f t="shared" si="6"/>
        <v>1</v>
      </c>
      <c r="Y30" s="204">
        <f t="shared" si="7"/>
        <v>23.3005</v>
      </c>
      <c r="Z30" s="204">
        <f t="shared" si="8"/>
        <v>1.47E-2</v>
      </c>
      <c r="AA30" s="204">
        <f t="shared" si="9"/>
        <v>23.285799999999998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0118-26</v>
      </c>
      <c r="AE30" s="80" t="str">
        <f t="shared" si="11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30" s="77" t="str">
        <f t="shared" si="12"/>
        <v>"C:\Program Files (x86)\AstroGrep\AstroGrep.exe" /e /r /s /spath="%USERPROFILE%\AppData\Local\Temp\OnboardLogs" /stypes="app*4005*20170526*" /stext=" 13:.+((SYSTEM_STATE.+slice.+state.+changed )|(ment ac)|(multiple cpu faults)|(system.+state.+changed )|(\[timeout)|(PRM\|1\|D)|(kpr)|(kdp)|(train st.+moving)|(\|lc)|(penalty))"</v>
      </c>
      <c r="AG30" s="1" t="str">
        <f t="shared" si="13"/>
        <v>EC</v>
      </c>
      <c r="AH30" s="81" t="str">
        <f t="shared" si="19"/>
        <v>"%USERPROFILE%\Documents\GitHub\eaglep3\Utilities\RefineRTDCRunTimes.py" --tripid 118-26 --locoid 4005 --swversion DE.1.0.9.0 --startMP 204:233005 --initTime 2017-05-26T06:37:23 --startdatetime 2017-05-26T06:42:40 --delay 2 --endMP 204:147 --enddatetime 2017-05-26T07:21:36 --enforcementcount 0 &gt;&gt;C:\Users\stu\Documents\GitHub\eaglep3-reporting\EC\2017-05-26-refined-times.txt</v>
      </c>
      <c r="AI3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{"issue":{"subject":"","project_id":79,"tracker_id":40,"status_id":1,"priority_id":2,"assigned_to_id":23,"start_date":"2017-05-26","description":"","custom_fields":[{"id":1,"name":"Subdivision","value":"EC"},{"id":4,"name":"Milepost","value":"0.0147"},{"id":17,"name":"Train ID","value":"118-26"},{"id":16,"name":"Locomotive ID","value":"4005"},{"id":130,"name":"Impact","value":""},{"id":150,"name":"Time of Event (Mountain Time)","value":"07:21:36"},{"id":151,"name":"Denver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4005 --day 2017-05-26</v>
      </c>
      <c r="AN3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655</v>
      </c>
      <c r="B31" s="7">
        <v>4002</v>
      </c>
      <c r="C31" s="21" t="s">
        <v>204</v>
      </c>
      <c r="D31" s="21" t="s">
        <v>400</v>
      </c>
      <c r="E31" s="13">
        <v>42881.246504629627</v>
      </c>
      <c r="F31" s="13">
        <v>42881.250173611108</v>
      </c>
      <c r="G31" s="7">
        <v>1</v>
      </c>
      <c r="H31" s="21" t="s">
        <v>577</v>
      </c>
      <c r="I31" s="13">
        <v>42881.276250000003</v>
      </c>
      <c r="J31" s="7">
        <v>0</v>
      </c>
      <c r="K31" s="92" t="str">
        <f t="shared" si="0"/>
        <v>4001/4002</v>
      </c>
      <c r="L31" s="21" t="str">
        <f>VLOOKUP(A31,'Trips&amp;Operators'!$C$1:$G$99999,5,FALSE)</f>
        <v>BONDS REYNALDO</v>
      </c>
      <c r="M31" s="6">
        <f t="shared" si="1"/>
        <v>2.6076388894580305E-2</v>
      </c>
      <c r="N31" s="7">
        <f t="shared" si="18"/>
        <v>37.550000008195639</v>
      </c>
      <c r="O31" s="7"/>
      <c r="P31" s="7"/>
      <c r="Q31" s="22"/>
      <c r="R31" s="173"/>
      <c r="S31" s="176">
        <f t="shared" si="2"/>
        <v>1</v>
      </c>
      <c r="T31" s="202" t="str">
        <f t="shared" si="3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4"/>
        <v>https://d0f6bd738d7f1b3e5a7ca70fe4ff75f0.us-east-1.aws.found.io/app/kibana#/discover/Steve-Slow-Train-Analysis-(2080s-and-2083s)?_g=(refreshInterval:(display:Off,pause:!f,section:0,value:0),time:(from:'2017-05-26T04:54:58-0600',mode:absolute,to:'2017-05-26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04" t="str">
        <f t="shared" si="5"/>
        <v>N</v>
      </c>
      <c r="X31" s="204">
        <f t="shared" si="6"/>
        <v>1</v>
      </c>
      <c r="Y31" s="204">
        <f t="shared" si="7"/>
        <v>4.6199999999999998E-2</v>
      </c>
      <c r="Z31" s="204">
        <f t="shared" si="8"/>
        <v>23.330400000000001</v>
      </c>
      <c r="AA31" s="204">
        <f t="shared" si="9"/>
        <v>23.284200000000002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0119-26</v>
      </c>
      <c r="AE31" s="80" t="str">
        <f t="shared" si="11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31" s="77" t="str">
        <f t="shared" si="12"/>
        <v>"C:\Program Files (x86)\AstroGrep\AstroGrep.exe" /e /r /s /spath="%USERPROFILE%\AppData\Local\Temp\OnboardLogs" /stypes="app*4002*20170526*" /stext=" 12:.+((SYSTEM_STATE.+slice.+state.+changed )|(ment ac)|(multiple cpu faults)|(system.+state.+changed )|(\[timeout)|(PRM\|1\|D)|(kpr)|(kdp)|(train st.+moving)|(\|lc)|(penalty))"</v>
      </c>
      <c r="AG31" s="1" t="str">
        <f t="shared" si="13"/>
        <v>EC</v>
      </c>
      <c r="AH31" s="81" t="str">
        <f t="shared" si="19"/>
        <v>"%USERPROFILE%\Documents\GitHub\eaglep3\Utilities\RefineRTDCRunTimes.py" --tripid 119-26 --locoid 4002 --swversion DE.1.0.9.0 --startMP 204:462 --initTime 2017-05-26T05:54:58 --startdatetime 2017-05-26T06:00:15 --delay 1 --endMP 204:233304 --enddatetime 2017-05-26T06:37:48 --enforcementcount 0 &gt;&gt;C:\Users\stu\Documents\GitHub\eaglep3-reporting\EC\2017-05-26-refined-times.txt</v>
      </c>
      <c r="AI3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{"issue":{"subject":"","project_id":79,"tracker_id":40,"status_id":1,"priority_id":2,"assigned_to_id":23,"start_date":"2017-05-26","description":"","custom_fields":[{"id":1,"name":"Subdivision","value":"EC"},{"id":4,"name":"Milepost","value":"23.3304"},{"id":17,"name":"Train ID","value":"119-26"},{"id":16,"name":"Locomotive ID","value":"4002"},{"id":130,"name":"Impact","value":""},{"id":150,"name":"Time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4002 --day 2017-05-26</v>
      </c>
      <c r="AN3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665</v>
      </c>
      <c r="B32" s="7">
        <v>4001</v>
      </c>
      <c r="C32" s="21" t="s">
        <v>204</v>
      </c>
      <c r="D32" s="21" t="s">
        <v>576</v>
      </c>
      <c r="E32" s="13">
        <v>42881.285439814812</v>
      </c>
      <c r="F32" s="13">
        <v>42881.289733796293</v>
      </c>
      <c r="G32" s="7">
        <v>1</v>
      </c>
      <c r="H32" s="21" t="s">
        <v>353</v>
      </c>
      <c r="I32" s="13">
        <v>42881.317442129628</v>
      </c>
      <c r="J32" s="7">
        <v>0</v>
      </c>
      <c r="K32" s="92" t="str">
        <f t="shared" si="0"/>
        <v>4001/4002</v>
      </c>
      <c r="L32" s="21" t="str">
        <f>VLOOKUP(A32,'Trips&amp;Operators'!$C$1:$G$99999,5,FALSE)</f>
        <v>BONDS REYNALDO</v>
      </c>
      <c r="M32" s="6">
        <f t="shared" si="1"/>
        <v>2.7708333334885538E-2</v>
      </c>
      <c r="N32" s="7">
        <f t="shared" si="18"/>
        <v>39.900000002235174</v>
      </c>
      <c r="O32" s="7"/>
      <c r="P32" s="7"/>
      <c r="Q32" s="22"/>
      <c r="R32" s="173"/>
      <c r="S32" s="176">
        <f t="shared" si="2"/>
        <v>1</v>
      </c>
      <c r="T32" s="202" t="str">
        <f t="shared" si="3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4"/>
        <v>https://d0f6bd738d7f1b3e5a7ca70fe4ff75f0.us-east-1.aws.found.io/app/kibana#/discover/Steve-Slow-Train-Analysis-(2080s-and-2083s)?_g=(refreshInterval:(display:Off,pause:!f,section:0,value:0),time:(from:'2017-05-26T05:51:02-0600',mode:absolute,to:'2017-05-26T08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04" t="str">
        <f t="shared" si="5"/>
        <v>N</v>
      </c>
      <c r="X32" s="204">
        <f t="shared" si="6"/>
        <v>1</v>
      </c>
      <c r="Y32" s="204">
        <f t="shared" si="7"/>
        <v>23.299299999999999</v>
      </c>
      <c r="Z32" s="204">
        <f t="shared" si="8"/>
        <v>1.43E-2</v>
      </c>
      <c r="AA32" s="204">
        <f t="shared" si="9"/>
        <v>23.285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0120-26</v>
      </c>
      <c r="AE32" s="80" t="str">
        <f t="shared" si="11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32" s="77" t="str">
        <f t="shared" si="12"/>
        <v>"C:\Program Files (x86)\AstroGrep\AstroGrep.exe" /e /r /s /spath="%USERPROFILE%\AppData\Local\Temp\OnboardLogs" /stypes="app*4001*20170526*" /stext=" 13:.+((SYSTEM_STATE.+slice.+state.+changed )|(ment ac)|(multiple cpu faults)|(system.+state.+changed )|(\[timeout)|(PRM\|1\|D)|(kpr)|(kdp)|(train st.+moving)|(\|lc)|(penalty))"</v>
      </c>
      <c r="AG32" s="1" t="str">
        <f t="shared" si="13"/>
        <v>EC</v>
      </c>
      <c r="AH32" s="81" t="str">
        <f t="shared" si="19"/>
        <v>"%USERPROFILE%\Documents\GitHub\eaglep3\Utilities\RefineRTDCRunTimes.py" --tripid 120-26 --locoid 4001 --swversion DE.1.0.9.0 --startMP 204:232993 --initTime 2017-05-26T06:51:02 --startdatetime 2017-05-26T06:57:13 --delay 1 --endMP 204:143 --enddatetime 2017-05-26T07:37:07 --enforcementcount 0 &gt;&gt;C:\Users\stu\Documents\GitHub\eaglep3-reporting\EC\2017-05-26-refined-times.txt</v>
      </c>
      <c r="AI3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ID","value":"120-26"},{"id":16,"name":"Locomotive ID","value":"4001"},{"id":130,"name":"Impact","value":""},{"id":150,"name":"Time of Event (Mountain Time)","value":"07:37:07"},{"id":151,"name":"Denver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4001 --day 2017-05-26</v>
      </c>
      <c r="AN3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660</v>
      </c>
      <c r="B33" s="7">
        <v>4058</v>
      </c>
      <c r="C33" s="21" t="s">
        <v>204</v>
      </c>
      <c r="D33" s="21" t="s">
        <v>555</v>
      </c>
      <c r="E33" s="13">
        <v>42881.256689814814</v>
      </c>
      <c r="F33" s="13">
        <v>42881.260752314818</v>
      </c>
      <c r="G33" s="7">
        <v>1</v>
      </c>
      <c r="H33" s="21" t="s">
        <v>501</v>
      </c>
      <c r="I33" s="13">
        <v>42881.285034722219</v>
      </c>
      <c r="J33" s="7">
        <v>0</v>
      </c>
      <c r="K33" s="92" t="str">
        <f t="shared" si="0"/>
        <v>4057/4058</v>
      </c>
      <c r="L33" s="21" t="str">
        <f>VLOOKUP(A33,'Trips&amp;Operators'!$C$1:$G$99999,5,FALSE)</f>
        <v>BIRENBAUM THOMAS</v>
      </c>
      <c r="M33" s="6">
        <f t="shared" si="1"/>
        <v>2.4282407401187811E-2</v>
      </c>
      <c r="N33" s="7">
        <f t="shared" si="18"/>
        <v>34.966666657710448</v>
      </c>
      <c r="O33" s="7"/>
      <c r="P33" s="7"/>
      <c r="Q33" s="22"/>
      <c r="R33" s="173"/>
      <c r="S33" s="176">
        <f t="shared" si="2"/>
        <v>1</v>
      </c>
      <c r="T33" s="202" t="str">
        <f t="shared" si="3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4"/>
        <v>https://d0f6bd738d7f1b3e5a7ca70fe4ff75f0.us-east-1.aws.found.io/app/kibana#/discover/Steve-Slow-Train-Analysis-(2080s-and-2083s)?_g=(refreshInterval:(display:Off,pause:!f,section:0,value:0),time:(from:'2017-05-26T05:09:38-0600',mode:absolute,to:'2017-05-26T07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3" s="204" t="str">
        <f t="shared" si="5"/>
        <v>N</v>
      </c>
      <c r="X33" s="204">
        <f t="shared" si="6"/>
        <v>1</v>
      </c>
      <c r="Y33" s="204">
        <f t="shared" si="7"/>
        <v>4.6699999999999998E-2</v>
      </c>
      <c r="Z33" s="204">
        <f t="shared" si="8"/>
        <v>23.329699999999999</v>
      </c>
      <c r="AA33" s="204">
        <f t="shared" si="9"/>
        <v>23.282999999999998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0121-26</v>
      </c>
      <c r="AE33" s="80" t="str">
        <f t="shared" si="11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33" s="77" t="str">
        <f t="shared" si="12"/>
        <v>"C:\Program Files (x86)\AstroGrep\AstroGrep.exe" /e /r /s /spath="%USERPROFILE%\AppData\Local\Temp\OnboardLogs" /stypes="app*4058*20170526*" /stext=" 12:.+((SYSTEM_STATE.+slice.+state.+changed )|(ment ac)|(multiple cpu faults)|(system.+state.+changed )|(\[timeout)|(PRM\|1\|D)|(kpr)|(kdp)|(train st.+moving)|(\|lc)|(penalty))"</v>
      </c>
      <c r="AG33" s="1" t="str">
        <f t="shared" si="13"/>
        <v>EC</v>
      </c>
      <c r="AH33" s="81" t="str">
        <f t="shared" si="19"/>
        <v>"%USERPROFILE%\Documents\GitHub\eaglep3\Utilities\RefineRTDCRunTimes.py" --tripid 121-26 --locoid 4058 --swversion DE.1.0.9.0 --startMP 204:467 --initTime 2017-05-26T06:09:38 --startdatetime 2017-05-26T06:15:29 --delay 1 --endMP 204:233297 --enddatetime 2017-05-26T06:50:27 --enforcementcount 0 &gt;&gt;C:\Users\stu\Documents\GitHub\eaglep3-reporting\EC\2017-05-26-refined-times.txt</v>
      </c>
      <c r="AI3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ID","value":"121-26"},{"id":16,"name":"Locomotive ID","value":"4058"},{"id":130,"name":"Impact","value":""},{"id":150,"name":"Time of Event (Mountain Time)","value":"06:50:27"},{"id":151,"name":"Denver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4058 --day 2017-05-26</v>
      </c>
      <c r="AN3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666</v>
      </c>
      <c r="B34" s="7">
        <v>4057</v>
      </c>
      <c r="C34" s="21" t="s">
        <v>204</v>
      </c>
      <c r="D34" s="21" t="s">
        <v>553</v>
      </c>
      <c r="E34" s="13">
        <v>42881.287581018521</v>
      </c>
      <c r="F34" s="13">
        <v>42881.300254629627</v>
      </c>
      <c r="G34" s="7">
        <v>0</v>
      </c>
      <c r="H34" s="21" t="s">
        <v>352</v>
      </c>
      <c r="I34" s="13">
        <v>42881.326504629629</v>
      </c>
      <c r="J34" s="7">
        <v>0</v>
      </c>
      <c r="K34" s="92" t="str">
        <f t="shared" si="0"/>
        <v>4057/4058</v>
      </c>
      <c r="L34" s="21" t="str">
        <f>VLOOKUP(A34,'Trips&amp;Operators'!$C$1:$G$99999,5,FALSE)</f>
        <v>BIRENBAUM THOMAS</v>
      </c>
      <c r="M34" s="6">
        <f t="shared" si="1"/>
        <v>2.6250000002619345E-2</v>
      </c>
      <c r="N34" s="7">
        <f t="shared" si="18"/>
        <v>37.800000003771856</v>
      </c>
      <c r="O34" s="7"/>
      <c r="P34" s="7"/>
      <c r="Q34" s="22"/>
      <c r="R34" s="173"/>
      <c r="S34" s="176">
        <f t="shared" si="2"/>
        <v>1</v>
      </c>
      <c r="T34" s="202" t="str">
        <f t="shared" si="3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4"/>
        <v>https://d0f6bd738d7f1b3e5a7ca70fe4ff75f0.us-east-1.aws.found.io/app/kibana#/discover/Steve-Slow-Train-Analysis-(2080s-and-2083s)?_g=(refreshInterval:(display:Off,pause:!f,section:0,value:0),time:(from:'2017-05-26T05:54:07-0600',mode:absolute,to:'2017-05-26T08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4" s="204" t="str">
        <f t="shared" si="5"/>
        <v>N</v>
      </c>
      <c r="X34" s="204">
        <f t="shared" si="6"/>
        <v>1</v>
      </c>
      <c r="Y34" s="204">
        <f t="shared" si="7"/>
        <v>23.2988</v>
      </c>
      <c r="Z34" s="204">
        <f t="shared" si="8"/>
        <v>1.49E-2</v>
      </c>
      <c r="AA34" s="204">
        <f t="shared" si="9"/>
        <v>23.283899999999999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0"/>
        <v>0122-26</v>
      </c>
      <c r="AE34" s="80" t="str">
        <f t="shared" si="11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34" s="77" t="str">
        <f t="shared" si="12"/>
        <v>"C:\Program Files (x86)\AstroGrep\AstroGrep.exe" /e /r /s /spath="%USERPROFILE%\AppData\Local\Temp\OnboardLogs" /stypes="app*4057*20170526*" /stext=" 13:.+((SYSTEM_STATE.+slice.+state.+changed )|(ment ac)|(multiple cpu faults)|(system.+state.+changed )|(\[timeout)|(PRM\|1\|D)|(kpr)|(kdp)|(train st.+moving)|(\|lc)|(penalty))"</v>
      </c>
      <c r="AG34" s="1" t="str">
        <f t="shared" si="13"/>
        <v>EC</v>
      </c>
      <c r="AH34" s="81" t="str">
        <f t="shared" si="19"/>
        <v>"%USERPROFILE%\Documents\GitHub\eaglep3\Utilities\RefineRTDCRunTimes.py" --tripid 122-26 --locoid 4057 --swversion DE.1.0.9.0 --startMP 204:232988 --initTime 2017-05-26T06:54:07 --startdatetime 2017-05-26T07:12:22 --delay 0 --endMP 204:149 --enddatetime 2017-05-26T07:50:10 --enforcementcount 0 &gt;&gt;C:\Users\stu\Documents\GitHub\eaglep3-reporting\EC\2017-05-26-refined-times.txt</v>
      </c>
      <c r="AI3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{"issue":{"subject":"","project_id":79,"tracker_id":40,"status_id":1,"priority_id":2,"assigned_to_id":23,"start_date":"2017-05-26","description":"","custom_fields":[{"id":1,"name":"Subdivision","value":"EC"},{"id":4,"name":"Milepost","value":"0.0149"},{"id":17,"name":"Train ID","value":"122-26"},{"id":16,"name":"Locomotive ID","value":"4057"},{"id":130,"name":"Impact","value":""},{"id":150,"name":"Time of Event (Mountain Time)","value":"07:50:10"},{"id":151,"name":"Denver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4057 --day 2017-05-26</v>
      </c>
      <c r="AN3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4044</v>
      </c>
      <c r="C35" s="21" t="s">
        <v>204</v>
      </c>
      <c r="D35" s="21" t="s">
        <v>200</v>
      </c>
      <c r="E35" s="13">
        <v>42881.267013888886</v>
      </c>
      <c r="F35" s="13">
        <v>42881.271099537036</v>
      </c>
      <c r="G35" s="7">
        <v>1</v>
      </c>
      <c r="H35" s="21" t="s">
        <v>577</v>
      </c>
      <c r="I35" s="13">
        <v>42881.296689814815</v>
      </c>
      <c r="J35" s="7">
        <v>0</v>
      </c>
      <c r="K35" s="92" t="str">
        <f t="shared" si="0"/>
        <v>4043/4044</v>
      </c>
      <c r="L35" s="21" t="str">
        <f>VLOOKUP(A35,'Trips&amp;Operators'!$C$1:$G$99999,5,FALSE)</f>
        <v>DAVIS WENDY</v>
      </c>
      <c r="M35" s="6">
        <f t="shared" si="1"/>
        <v>2.5590277778974269E-2</v>
      </c>
      <c r="N35" s="7">
        <f t="shared" si="18"/>
        <v>36.850000001722947</v>
      </c>
      <c r="O35" s="7"/>
      <c r="P35" s="7"/>
      <c r="Q35" s="22"/>
      <c r="R35" s="173"/>
      <c r="S35" s="176">
        <f t="shared" si="2"/>
        <v>1</v>
      </c>
      <c r="T35" s="202" t="str">
        <f t="shared" si="3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4"/>
        <v>https://d0f6bd738d7f1b3e5a7ca70fe4ff75f0.us-east-1.aws.found.io/app/kibana#/discover/Steve-Slow-Train-Analysis-(2080s-and-2083s)?_g=(refreshInterval:(display:Off,pause:!f,section:0,value:0),time:(from:'2017-05-26T05:24:30-0600',mode:absolute,to:'2017-05-26T08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04" t="str">
        <f t="shared" si="5"/>
        <v>N</v>
      </c>
      <c r="X35" s="204">
        <f t="shared" si="6"/>
        <v>1</v>
      </c>
      <c r="Y35" s="204">
        <f t="shared" si="7"/>
        <v>4.5699999999999998E-2</v>
      </c>
      <c r="Z35" s="204">
        <f t="shared" si="8"/>
        <v>23.330400000000001</v>
      </c>
      <c r="AA35" s="204">
        <f t="shared" si="9"/>
        <v>23.284700000000001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0"/>
        <v>0123-26</v>
      </c>
      <c r="AE35" s="80" t="str">
        <f t="shared" si="11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35" s="77" t="str">
        <f t="shared" si="12"/>
        <v>"C:\Program Files (x86)\AstroGrep\AstroGrep.exe" /e /r /s /spath="%USERPROFILE%\AppData\Local\Temp\OnboardLogs" /stypes="app*4044*20170526*" /stext=" 13:.+((SYSTEM_STATE.+slice.+state.+changed )|(ment ac)|(multiple cpu faults)|(system.+state.+changed )|(\[timeout)|(PRM\|1\|D)|(kpr)|(kdp)|(train st.+moving)|(\|lc)|(penalty))"</v>
      </c>
      <c r="AG35" s="1" t="str">
        <f t="shared" si="13"/>
        <v>EC</v>
      </c>
      <c r="AH35" s="81" t="str">
        <f t="shared" si="19"/>
        <v>"%USERPROFILE%\Documents\GitHub\eaglep3\Utilities\RefineRTDCRunTimes.py" --tripid 123-26 --locoid 4044 --swversion DE.1.0.9.0 --startMP 204:457 --initTime 2017-05-26T06:24:30 --startdatetime 2017-05-26T06:30:23 --delay 1 --endMP 204:233304 --enddatetime 2017-05-26T07:07:14 --enforcementcount 0 &gt;&gt;C:\Users\stu\Documents\GitHub\eaglep3-reporting\EC\2017-05-26-refined-times.txt</v>
      </c>
      <c r="AI3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{"issue":{"subject":"","project_id":79,"tracker_id":40,"status_id":1,"priority_id":2,"assigned_to_id":23,"start_date":"2017-05-26","description":"","custom_fields":[{"id":1,"name":"Subdivision","value":"EC"},{"id":4,"name":"Milepost","value":"23.3304"},{"id":17,"name":"Train ID","value":"123-26"},{"id":16,"name":"Locomotive ID","value":"4044"},{"id":130,"name":"Impact","value":""},{"id":150,"name":"Time of Event (Mountain Time)","value":"07:07:14"},{"id":151,"name":"Denver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4044 --day 2017-05-26</v>
      </c>
      <c r="AN3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674</v>
      </c>
      <c r="B36" s="7">
        <v>4043</v>
      </c>
      <c r="C36" s="21" t="s">
        <v>204</v>
      </c>
      <c r="D36" s="21" t="s">
        <v>569</v>
      </c>
      <c r="E36" s="13">
        <v>42881.306909722225</v>
      </c>
      <c r="F36" s="13">
        <v>42881.310590277775</v>
      </c>
      <c r="G36" s="7">
        <v>1</v>
      </c>
      <c r="H36" s="21" t="s">
        <v>196</v>
      </c>
      <c r="I36" s="13">
        <v>42881.337800925925</v>
      </c>
      <c r="J36" s="7">
        <v>0</v>
      </c>
      <c r="K36" s="92" t="str">
        <f t="shared" si="0"/>
        <v>4043/4044</v>
      </c>
      <c r="L36" s="21" t="str">
        <f>VLOOKUP(A36,'Trips&amp;Operators'!$C$1:$G$99999,5,FALSE)</f>
        <v>DAVIS WENDY</v>
      </c>
      <c r="M36" s="6">
        <f t="shared" si="1"/>
        <v>2.7210648149775807E-2</v>
      </c>
      <c r="N36" s="7">
        <f t="shared" si="18"/>
        <v>39.183333335677162</v>
      </c>
      <c r="O36" s="7"/>
      <c r="P36" s="7"/>
      <c r="Q36" s="22"/>
      <c r="R36" s="173"/>
      <c r="S36" s="176">
        <f t="shared" si="2"/>
        <v>1</v>
      </c>
      <c r="T36" s="202" t="str">
        <f t="shared" si="3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4"/>
        <v>https://d0f6bd738d7f1b3e5a7ca70fe4ff75f0.us-east-1.aws.found.io/app/kibana#/discover/Steve-Slow-Train-Analysis-(2080s-and-2083s)?_g=(refreshInterval:(display:Off,pause:!f,section:0,value:0),time:(from:'2017-05-26T06:21:57-0600',mode:absolute,to:'2017-05-26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204" t="str">
        <f t="shared" si="5"/>
        <v>N</v>
      </c>
      <c r="X36" s="204">
        <f t="shared" si="6"/>
        <v>1</v>
      </c>
      <c r="Y36" s="204">
        <f t="shared" si="7"/>
        <v>23.3002</v>
      </c>
      <c r="Z36" s="204">
        <f t="shared" si="8"/>
        <v>1.5800000000000002E-2</v>
      </c>
      <c r="AA36" s="204">
        <f t="shared" si="9"/>
        <v>23.284400000000002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0"/>
        <v>0124-26</v>
      </c>
      <c r="AE36" s="80" t="str">
        <f t="shared" si="11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36" s="77" t="str">
        <f t="shared" si="12"/>
        <v>"C:\Program Files (x86)\AstroGrep\AstroGrep.exe" /e /r /s /spath="%USERPROFILE%\AppData\Local\Temp\OnboardLogs" /stypes="app*4043*20170526*" /stext=" 14:.+((SYSTEM_STATE.+slice.+state.+changed )|(ment ac)|(multiple cpu faults)|(system.+state.+changed )|(\[timeout)|(PRM\|1\|D)|(kpr)|(kdp)|(train st.+moving)|(\|lc)|(penalty))"</v>
      </c>
      <c r="AG36" s="1" t="str">
        <f t="shared" si="13"/>
        <v>EC</v>
      </c>
      <c r="AH36" s="81" t="str">
        <f t="shared" si="19"/>
        <v>"%USERPROFILE%\Documents\GitHub\eaglep3\Utilities\RefineRTDCRunTimes.py" --tripid 124-26 --locoid 4043 --swversion DE.1.0.9.0 --startMP 204:233002 --initTime 2017-05-26T07:21:57 --startdatetime 2017-05-26T07:27:15 --delay 1 --endMP 204:158 --enddatetime 2017-05-26T08:06:26 --enforcementcount 0 &gt;&gt;C:\Users\stu\Documents\GitHub\eaglep3-reporting\EC\2017-05-26-refined-times.txt</v>
      </c>
      <c r="AI3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{"issue":{"subject":"","project_id":79,"tracker_id":40,"status_id":1,"priority_id":2,"assigned_to_id":23,"start_date":"2017-05-26","description":"","custom_fields":[{"id":1,"name":"Subdivision","value":"EC"},{"id":4,"name":"Milepost","value":"0.0158"},{"id":17,"name":"Train ID","value":"124-26"},{"id":16,"name":"Locomotive ID","value":"4043"},{"id":130,"name":"Impact","value":""},{"id":150,"name":"Time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4043 --day 2017-05-26</v>
      </c>
      <c r="AN3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602</v>
      </c>
      <c r="B37" s="7">
        <v>4016</v>
      </c>
      <c r="C37" s="21" t="s">
        <v>204</v>
      </c>
      <c r="D37" s="21" t="s">
        <v>358</v>
      </c>
      <c r="E37" s="13">
        <v>42881.277731481481</v>
      </c>
      <c r="F37" s="13">
        <v>42881.2815625</v>
      </c>
      <c r="G37" s="7">
        <v>1</v>
      </c>
      <c r="H37" s="21" t="s">
        <v>860</v>
      </c>
      <c r="I37" s="13">
        <v>42881.307858796295</v>
      </c>
      <c r="J37" s="7">
        <v>0</v>
      </c>
      <c r="K37" s="92" t="str">
        <f t="shared" si="0"/>
        <v>4015/4016</v>
      </c>
      <c r="L37" s="21" t="str">
        <f>VLOOKUP(A37,'Trips&amp;Operators'!$C$1:$G$99999,5,FALSE)</f>
        <v>STARKS ANGELINA</v>
      </c>
      <c r="M37" s="6">
        <f t="shared" si="1"/>
        <v>2.6296296295186039E-2</v>
      </c>
      <c r="N37" s="7">
        <f t="shared" si="18"/>
        <v>37.866666665067896</v>
      </c>
      <c r="O37" s="7"/>
      <c r="P37" s="7"/>
      <c r="Q37" s="22"/>
      <c r="R37" s="173"/>
      <c r="S37" s="176">
        <f t="shared" si="2"/>
        <v>1</v>
      </c>
      <c r="T37" s="202" t="str">
        <f t="shared" si="3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4"/>
        <v>https://d0f6bd738d7f1b3e5a7ca70fe4ff75f0.us-east-1.aws.found.io/app/kibana#/discover/Steve-Slow-Train-Analysis-(2080s-and-2083s)?_g=(refreshInterval:(display:Off,pause:!f,section:0,value:0),time:(from:'2017-05-26T05:39:56-0600',mode:absolute,to:'2017-05-26T08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204" t="str">
        <f t="shared" si="5"/>
        <v>N</v>
      </c>
      <c r="X37" s="204">
        <f t="shared" si="6"/>
        <v>1</v>
      </c>
      <c r="Y37" s="204">
        <f t="shared" si="7"/>
        <v>4.53E-2</v>
      </c>
      <c r="Z37" s="204">
        <f t="shared" si="8"/>
        <v>23.3309</v>
      </c>
      <c r="AA37" s="204">
        <f t="shared" si="9"/>
        <v>23.285599999999999</v>
      </c>
      <c r="AB37" s="57" t="str">
        <f>VLOOKUP(A37,Enforcements!$C$7:$K$13,8,0)</f>
        <v>Bulletin (2)</v>
      </c>
      <c r="AC37" s="53" t="str">
        <f>VLOOKUP(A37,Enforcements!$C$7:$E$13,3,0)</f>
        <v>GRADE CROSSING</v>
      </c>
      <c r="AD37" s="54" t="str">
        <f t="shared" si="10"/>
        <v>0125-26</v>
      </c>
      <c r="AE37" s="80" t="str">
        <f t="shared" si="11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37" s="77" t="str">
        <f t="shared" si="12"/>
        <v>"C:\Program Files (x86)\AstroGrep\AstroGrep.exe" /e /r /s /spath="%USERPROFILE%\AppData\Local\Temp\OnboardLogs" /stypes="app*4016*20170526*" /stext=" 13:.+((SYSTEM_STATE.+slice.+state.+changed )|(ment ac)|(multiple cpu faults)|(system.+state.+changed )|(\[timeout)|(PRM\|1\|D)|(kpr)|(kdp)|(train st.+moving)|(\|lc)|(penalty))"</v>
      </c>
      <c r="AG37" s="1" t="str">
        <f t="shared" si="13"/>
        <v>EC</v>
      </c>
      <c r="AH37" s="81" t="str">
        <f t="shared" si="19"/>
        <v>"%USERPROFILE%\Documents\GitHub\eaglep3\Utilities\RefineRTDCRunTimes.py" --tripid 125-26 --locoid 4016 --swversion DE.1.0.9.0 --startMP 204:453 --initTime 2017-05-26T06:39:56 --startdatetime 2017-05-26T06:45:27 --delay 1 --endMP 204:233309 --enddatetime 2017-05-26T07:23:19 --enforcementcount 0 &gt;&gt;C:\Users\stu\Documents\GitHub\eaglep3-reporting\EC\2017-05-26-refined-times.txt</v>
      </c>
      <c r="AI3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{"issue":{"subject":"","project_id":79,"tracker_id":40,"status_id":1,"priority_id":2,"assigned_to_id":23,"start_date":"2017-05-26","description":"","custom_fields":[{"id":1,"name":"Subdivision","value":"EC"},{"id":4,"name":"Milepost","value":"23.3309"},{"id":17,"name":"Train ID","value":"125-26"},{"id":16,"name":"Locomotive ID","value":"4016"},{"id":130,"name":"Impact","value":""},{"id":150,"name":"Time of Event (Mountain Time)","value":"07:23:19"},{"id":151,"name":"Denver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4016 --day 2017-05-26</v>
      </c>
      <c r="AN3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677</v>
      </c>
      <c r="B38" s="7">
        <v>4015</v>
      </c>
      <c r="C38" s="21" t="s">
        <v>204</v>
      </c>
      <c r="D38" s="21" t="s">
        <v>445</v>
      </c>
      <c r="E38" s="13">
        <v>42881.317361111112</v>
      </c>
      <c r="F38" s="13">
        <v>42881.321076388886</v>
      </c>
      <c r="G38" s="7">
        <v>1</v>
      </c>
      <c r="H38" s="21" t="s">
        <v>861</v>
      </c>
      <c r="I38" s="13">
        <v>42881.348680555559</v>
      </c>
      <c r="J38" s="7">
        <v>0</v>
      </c>
      <c r="K38" s="92" t="str">
        <f t="shared" si="0"/>
        <v>4015/4016</v>
      </c>
      <c r="L38" s="21" t="str">
        <f>VLOOKUP(A38,'Trips&amp;Operators'!$C$1:$G$99999,5,FALSE)</f>
        <v>STARKS ANGELINA</v>
      </c>
      <c r="M38" s="6">
        <f t="shared" si="1"/>
        <v>2.7604166672972497E-2</v>
      </c>
      <c r="N38" s="7">
        <f t="shared" si="18"/>
        <v>39.750000009080395</v>
      </c>
      <c r="O38" s="7"/>
      <c r="P38" s="7"/>
      <c r="Q38" s="22"/>
      <c r="R38" s="173"/>
      <c r="S38" s="176">
        <f t="shared" si="2"/>
        <v>1</v>
      </c>
      <c r="T38" s="202" t="str">
        <f t="shared" si="3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4"/>
        <v>https://d0f6bd738d7f1b3e5a7ca70fe4ff75f0.us-east-1.aws.found.io/app/kibana#/discover/Steve-Slow-Train-Analysis-(2080s-and-2083s)?_g=(refreshInterval:(display:Off,pause:!f,section:0,value:0),time:(from:'2017-05-26T06:37:00-0600',mode:absolute,to:'2017-05-26T09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204" t="str">
        <f t="shared" si="5"/>
        <v>N</v>
      </c>
      <c r="X38" s="204">
        <f t="shared" si="6"/>
        <v>1</v>
      </c>
      <c r="Y38" s="204">
        <f t="shared" si="7"/>
        <v>23.299800000000001</v>
      </c>
      <c r="Z38" s="204">
        <f t="shared" si="8"/>
        <v>1.38E-2</v>
      </c>
      <c r="AA38" s="204">
        <f t="shared" si="9"/>
        <v>23.286000000000001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0"/>
        <v>0126-26</v>
      </c>
      <c r="AE38" s="80" t="str">
        <f t="shared" si="11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38" s="77" t="str">
        <f t="shared" si="12"/>
        <v>"C:\Program Files (x86)\AstroGrep\AstroGrep.exe" /e /r /s /spath="%USERPROFILE%\AppData\Local\Temp\OnboardLogs" /stypes="app*4015*20170526*" /stext=" 14:.+((SYSTEM_STATE.+slice.+state.+changed )|(ment ac)|(multiple cpu faults)|(system.+state.+changed )|(\[timeout)|(PRM\|1\|D)|(kpr)|(kdp)|(train st.+moving)|(\|lc)|(penalty))"</v>
      </c>
      <c r="AG38" s="1" t="str">
        <f t="shared" si="13"/>
        <v>EC</v>
      </c>
      <c r="AH38" s="81" t="str">
        <f t="shared" si="19"/>
        <v>"%USERPROFILE%\Documents\GitHub\eaglep3\Utilities\RefineRTDCRunTimes.py" --tripid 126-26 --locoid 4015 --swversion DE.1.0.9.0 --startMP 204:232998 --initTime 2017-05-26T07:37:00 --startdatetime 2017-05-26T07:42:21 --delay 1 --endMP 204:138 --enddatetime 2017-05-26T08:22:06 --enforcementcount 0 &gt;&gt;C:\Users\stu\Documents\GitHub\eaglep3-reporting\EC\2017-05-26-refined-times.txt</v>
      </c>
      <c r="AI3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{"issue":{"subject":"","project_id":79,"tracker_id":40,"status_id":1,"priority_id":2,"assigned_to_id":23,"start_date":"2017-05-26","description":"","custom_fields":[{"id":1,"name":"Subdivision","value":"EC"},{"id":4,"name":"Milepost","value":"0.0138"},{"id":17,"name":"Train ID","value":"126-26"},{"id":16,"name":"Locomotive ID","value":"4015"},{"id":130,"name":"Impact","value":""},{"id":150,"name":"Time of Event (Mountain Time)","value":"08:22:06"},{"id":151,"name":"Denver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4015 --day 2017-05-26</v>
      </c>
      <c r="AN3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667</v>
      </c>
      <c r="B39" s="7">
        <v>4026</v>
      </c>
      <c r="C39" s="21" t="s">
        <v>204</v>
      </c>
      <c r="D39" s="21" t="s">
        <v>862</v>
      </c>
      <c r="E39" s="13">
        <v>42881.288402777776</v>
      </c>
      <c r="F39" s="13">
        <v>42881.291990740741</v>
      </c>
      <c r="G39" s="7">
        <v>1</v>
      </c>
      <c r="H39" s="21" t="s">
        <v>863</v>
      </c>
      <c r="I39" s="13">
        <v>42881.318287037036</v>
      </c>
      <c r="J39" s="7">
        <v>0</v>
      </c>
      <c r="K39" s="92" t="str">
        <f t="shared" si="0"/>
        <v>4025/4026</v>
      </c>
      <c r="L39" s="21" t="str">
        <f>VLOOKUP(A39,'Trips&amp;Operators'!$C$1:$G$99999,5,FALSE)</f>
        <v>DAVIDSON DAVID</v>
      </c>
      <c r="M39" s="6">
        <f t="shared" si="1"/>
        <v>2.6296296295186039E-2</v>
      </c>
      <c r="N39" s="7">
        <f t="shared" si="18"/>
        <v>37.866666665067896</v>
      </c>
      <c r="O39" s="7"/>
      <c r="P39" s="7"/>
      <c r="Q39" s="22"/>
      <c r="R39" s="173"/>
      <c r="S39" s="176">
        <f t="shared" si="2"/>
        <v>1</v>
      </c>
      <c r="T39" s="202" t="str">
        <f t="shared" si="3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4"/>
        <v>https://d0f6bd738d7f1b3e5a7ca70fe4ff75f0.us-east-1.aws.found.io/app/kibana#/discover/Steve-Slow-Train-Analysis-(2080s-and-2083s)?_g=(refreshInterval:(display:Off,pause:!f,section:0,value:0),time:(from:'2017-05-26T05:55:18-0600',mode:absolute,to:'2017-05-26T08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204" t="str">
        <f t="shared" si="5"/>
        <v>N</v>
      </c>
      <c r="X39" s="204">
        <f t="shared" si="6"/>
        <v>1</v>
      </c>
      <c r="Y39" s="204">
        <f t="shared" si="7"/>
        <v>4.3700000000000003E-2</v>
      </c>
      <c r="Z39" s="204">
        <f t="shared" si="8"/>
        <v>23.3306</v>
      </c>
      <c r="AA39" s="204">
        <f t="shared" si="9"/>
        <v>23.286899999999999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0"/>
        <v>0127-26</v>
      </c>
      <c r="AE39" s="80" t="str">
        <f t="shared" si="11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39" s="77" t="str">
        <f t="shared" si="12"/>
        <v>"C:\Program Files (x86)\AstroGrep\AstroGrep.exe" /e /r /s /spath="%USERPROFILE%\AppData\Local\Temp\OnboardLogs" /stypes="app*4026*20170526*" /stext=" 13:.+((SYSTEM_STATE.+slice.+state.+changed )|(ment ac)|(multiple cpu faults)|(system.+state.+changed )|(\[timeout)|(PRM\|1\|D)|(kpr)|(kdp)|(train st.+moving)|(\|lc)|(penalty))"</v>
      </c>
      <c r="AG39" s="1" t="str">
        <f t="shared" si="13"/>
        <v>EC</v>
      </c>
      <c r="AH39" s="81" t="str">
        <f t="shared" si="19"/>
        <v>"%USERPROFILE%\Documents\GitHub\eaglep3\Utilities\RefineRTDCRunTimes.py" --tripid 127-26 --locoid 4026 --swversion DE.1.0.9.0 --startMP 204:437 --initTime 2017-05-26T06:55:18 --startdatetime 2017-05-26T07:00:28 --delay 1 --endMP 204:233306 --enddatetime 2017-05-26T07:38:20 --enforcementcount 0 &gt;&gt;C:\Users\stu\Documents\GitHub\eaglep3-reporting\EC\2017-05-26-refined-times.txt</v>
      </c>
      <c r="AI3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{"issue":{"subject":"","project_id":79,"tracker_id":40,"status_id":1,"priority_id":2,"assigned_to_id":23,"start_date":"2017-05-26","description":"","custom_fields":[{"id":1,"name":"Subdivision","value":"EC"},{"id":4,"name":"Milepost","value":"23.3306"},{"id":17,"name":"Train ID","value":"127-26"},{"id":16,"name":"Locomotive ID","value":"4026"},{"id":130,"name":"Impact","value":""},{"id":150,"name":"Time of Event (Mountain Time)","value":"07:38:20"},{"id":151,"name":"Denver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4026 --day 2017-05-26</v>
      </c>
      <c r="AN3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679</v>
      </c>
      <c r="B40" s="7">
        <v>4025</v>
      </c>
      <c r="C40" s="21" t="s">
        <v>204</v>
      </c>
      <c r="D40" s="21" t="s">
        <v>471</v>
      </c>
      <c r="E40" s="13">
        <v>42881.320243055554</v>
      </c>
      <c r="F40" s="13">
        <v>42881.331631944442</v>
      </c>
      <c r="G40" s="7">
        <v>1</v>
      </c>
      <c r="H40" s="21" t="s">
        <v>446</v>
      </c>
      <c r="I40" s="13">
        <v>42881.358935185184</v>
      </c>
      <c r="J40" s="7">
        <v>0</v>
      </c>
      <c r="K40" s="92" t="str">
        <f t="shared" si="0"/>
        <v>4025/4026</v>
      </c>
      <c r="L40" s="21" t="str">
        <f>VLOOKUP(A40,'Trips&amp;Operators'!$C$1:$G$99999,5,FALSE)</f>
        <v>DAVIDSON DAVID</v>
      </c>
      <c r="M40" s="6">
        <f t="shared" si="1"/>
        <v>2.7303240742185153E-2</v>
      </c>
      <c r="N40" s="7">
        <f t="shared" si="18"/>
        <v>39.31666666874662</v>
      </c>
      <c r="O40" s="7"/>
      <c r="P40" s="7"/>
      <c r="Q40" s="22"/>
      <c r="R40" s="173"/>
      <c r="S40" s="176">
        <f t="shared" si="2"/>
        <v>1</v>
      </c>
      <c r="T40" s="202" t="str">
        <f t="shared" si="3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4"/>
        <v>https://d0f6bd738d7f1b3e5a7ca70fe4ff75f0.us-east-1.aws.found.io/app/kibana#/discover/Steve-Slow-Train-Analysis-(2080s-and-2083s)?_g=(refreshInterval:(display:Off,pause:!f,section:0,value:0),time:(from:'2017-05-26T06:41:09-0600',mode:absolute,to:'2017-05-26T09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204" t="str">
        <f t="shared" si="5"/>
        <v>N</v>
      </c>
      <c r="X40" s="204">
        <f t="shared" si="6"/>
        <v>1</v>
      </c>
      <c r="Y40" s="204">
        <f t="shared" si="7"/>
        <v>23.299600000000002</v>
      </c>
      <c r="Z40" s="204">
        <f t="shared" si="8"/>
        <v>1.61E-2</v>
      </c>
      <c r="AA40" s="204">
        <f t="shared" si="9"/>
        <v>23.2835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0"/>
        <v>0128-26</v>
      </c>
      <c r="AE40" s="80" t="str">
        <f t="shared" si="11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40" s="77" t="str">
        <f t="shared" si="12"/>
        <v>"C:\Program Files (x86)\AstroGrep\AstroGrep.exe" /e /r /s /spath="%USERPROFILE%\AppData\Local\Temp\OnboardLogs" /stypes="app*4025*20170526*" /stext=" 14:.+((SYSTEM_STATE.+slice.+state.+changed )|(ment ac)|(multiple cpu faults)|(system.+state.+changed )|(\[timeout)|(PRM\|1\|D)|(kpr)|(kdp)|(train st.+moving)|(\|lc)|(penalty))"</v>
      </c>
      <c r="AG40" s="1" t="str">
        <f t="shared" si="13"/>
        <v>EC</v>
      </c>
      <c r="AH40" s="81" t="str">
        <f t="shared" si="19"/>
        <v>"%USERPROFILE%\Documents\GitHub\eaglep3\Utilities\RefineRTDCRunTimes.py" --tripid 128-26 --locoid 4025 --swversion DE.1.0.9.0 --startMP 204:232996 --initTime 2017-05-26T07:41:09 --startdatetime 2017-05-26T07:57:33 --delay 1 --endMP 204:161 --enddatetime 2017-05-26T08:36:52 --enforcementcount 0 &gt;&gt;C:\Users\stu\Documents\GitHub\eaglep3-reporting\EC\2017-05-26-refined-times.txt</v>
      </c>
      <c r="AI4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{"issue":{"subject":"","project_id":79,"tracker_id":40,"status_id":1,"priority_id":2,"assigned_to_id":23,"start_date":"2017-05-26","description":"","custom_fields":[{"id":1,"name":"Subdivision","value":"EC"},{"id":4,"name":"Milepost","value":"0.0161"},{"id":17,"name":"Train ID","value":"128-26"},{"id":16,"name":"Locomotive ID","value":"4025"},{"id":130,"name":"Impact","value":""},{"id":150,"name":"Time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4025 --day 2017-05-26</v>
      </c>
      <c r="AN4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671</v>
      </c>
      <c r="B41" s="7">
        <v>4062</v>
      </c>
      <c r="C41" s="21" t="s">
        <v>204</v>
      </c>
      <c r="D41" s="21" t="s">
        <v>408</v>
      </c>
      <c r="E41" s="13">
        <v>42881.299143518518</v>
      </c>
      <c r="F41" s="13">
        <v>42881.302268518521</v>
      </c>
      <c r="G41" s="7">
        <v>1</v>
      </c>
      <c r="H41" s="21" t="s">
        <v>401</v>
      </c>
      <c r="I41" s="13">
        <v>42881.327337962961</v>
      </c>
      <c r="J41" s="7">
        <v>0</v>
      </c>
      <c r="K41" s="92" t="str">
        <f t="shared" si="0"/>
        <v>4061/4062</v>
      </c>
      <c r="L41" s="21" t="str">
        <f>VLOOKUP(A41,'Trips&amp;Operators'!$C$1:$G$99999,5,FALSE)</f>
        <v>WILLIAMS DONTE</v>
      </c>
      <c r="M41" s="6">
        <f t="shared" si="1"/>
        <v>2.5069444440305233E-2</v>
      </c>
      <c r="N41" s="7">
        <f t="shared" si="18"/>
        <v>36.099999994039536</v>
      </c>
      <c r="O41" s="7"/>
      <c r="P41" s="7"/>
      <c r="Q41" s="22"/>
      <c r="R41" s="173"/>
      <c r="S41" s="176">
        <f t="shared" si="2"/>
        <v>1</v>
      </c>
      <c r="T41" s="202" t="str">
        <f t="shared" si="3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4"/>
        <v>https://d0f6bd738d7f1b3e5a7ca70fe4ff75f0.us-east-1.aws.found.io/app/kibana#/discover/Steve-Slow-Train-Analysis-(2080s-and-2083s)?_g=(refreshInterval:(display:Off,pause:!f,section:0,value:0),time:(from:'2017-05-26T06:10:46-0600',mode:absolute,to:'2017-05-26T08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1" s="204" t="str">
        <f t="shared" si="5"/>
        <v>N</v>
      </c>
      <c r="X41" s="204">
        <f t="shared" si="6"/>
        <v>1</v>
      </c>
      <c r="Y41" s="204">
        <f t="shared" si="7"/>
        <v>4.7300000000000002E-2</v>
      </c>
      <c r="Z41" s="204">
        <f t="shared" si="8"/>
        <v>23.3293</v>
      </c>
      <c r="AA41" s="204">
        <f t="shared" si="9"/>
        <v>23.282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0"/>
        <v>0129-26</v>
      </c>
      <c r="AE41" s="80" t="str">
        <f t="shared" si="11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41" s="77" t="str">
        <f t="shared" si="12"/>
        <v>"C:\Program Files (x86)\AstroGrep\AstroGrep.exe" /e /r /s /spath="%USERPROFILE%\AppData\Local\Temp\OnboardLogs" /stypes="app*4062*20170526*" /stext=" 13:.+((SYSTEM_STATE.+slice.+state.+changed )|(ment ac)|(multiple cpu faults)|(system.+state.+changed )|(\[timeout)|(PRM\|1\|D)|(kpr)|(kdp)|(train st.+moving)|(\|lc)|(penalty))"</v>
      </c>
      <c r="AG41" s="1" t="str">
        <f t="shared" si="13"/>
        <v>EC</v>
      </c>
      <c r="AH41" s="81" t="str">
        <f t="shared" si="19"/>
        <v>"%USERPROFILE%\Documents\GitHub\eaglep3\Utilities\RefineRTDCRunTimes.py" --tripid 129-26 --locoid 4062 --swversion DE.1.0.9.0 --startMP 204:473 --initTime 2017-05-26T07:10:46 --startdatetime 2017-05-26T07:15:16 --delay 1 --endMP 204:233293 --enddatetime 2017-05-26T07:51:22 --enforcementcount 0 &gt;&gt;C:\Users\stu\Documents\GitHub\eaglep3-reporting\EC\2017-05-26-refined-times.txt</v>
      </c>
      <c r="AI4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{"issue":{"subject":"","project_id":79,"tracker_id":40,"status_id":1,"priority_id":2,"assigned_to_id":23,"start_date":"2017-05-26","description":"","custom_fields":[{"id":1,"name":"Subdivision","value":"EC"},{"id":4,"name":"Milepost","value":"23.3293"},{"id":17,"name":"Train ID","value":"129-26"},{"id":16,"name":"Locomotive ID","value":"4062"},{"id":130,"name":"Impact","value":""},{"id":150,"name":"Time of Event (Mountain Time)","value":"07:51:22"},{"id":151,"name":"Denver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4062 --day 2017-05-26</v>
      </c>
      <c r="AN4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682</v>
      </c>
      <c r="B42" s="7">
        <v>4061</v>
      </c>
      <c r="C42" s="21" t="s">
        <v>204</v>
      </c>
      <c r="D42" s="21" t="s">
        <v>450</v>
      </c>
      <c r="E42" s="13">
        <v>42881.330046296294</v>
      </c>
      <c r="F42" s="13">
        <v>42881.341874999998</v>
      </c>
      <c r="G42" s="7">
        <v>1</v>
      </c>
      <c r="H42" s="21" t="s">
        <v>564</v>
      </c>
      <c r="I42" s="13">
        <v>42881.369953703703</v>
      </c>
      <c r="J42" s="7">
        <v>0</v>
      </c>
      <c r="K42" s="92" t="str">
        <f t="shared" si="0"/>
        <v>4061/4062</v>
      </c>
      <c r="L42" s="21" t="str">
        <f>VLOOKUP(A42,'Trips&amp;Operators'!$C$1:$G$99999,5,FALSE)</f>
        <v>WILLIAMS DONTE</v>
      </c>
      <c r="M42" s="6">
        <f t="shared" si="1"/>
        <v>2.8078703704522923E-2</v>
      </c>
      <c r="N42" s="7">
        <f t="shared" si="18"/>
        <v>40.433333334513009</v>
      </c>
      <c r="O42" s="7"/>
      <c r="P42" s="7"/>
      <c r="Q42" s="22"/>
      <c r="R42" s="173"/>
      <c r="S42" s="176">
        <f t="shared" si="2"/>
        <v>1</v>
      </c>
      <c r="T42" s="202" t="str">
        <f t="shared" si="3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4"/>
        <v>https://d0f6bd738d7f1b3e5a7ca70fe4ff75f0.us-east-1.aws.found.io/app/kibana#/discover/Steve-Slow-Train-Analysis-(2080s-and-2083s)?_g=(refreshInterval:(display:Off,pause:!f,section:0,value:0),time:(from:'2017-05-26T06:55:16-0600',mode:absolute,to:'2017-05-26T09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2" s="204" t="str">
        <f t="shared" si="5"/>
        <v>N</v>
      </c>
      <c r="X42" s="204">
        <f t="shared" si="6"/>
        <v>1</v>
      </c>
      <c r="Y42" s="204">
        <f t="shared" si="7"/>
        <v>23.297699999999999</v>
      </c>
      <c r="Z42" s="204">
        <f t="shared" si="8"/>
        <v>1.6500000000000001E-2</v>
      </c>
      <c r="AA42" s="204">
        <f t="shared" si="9"/>
        <v>23.281199999999998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0"/>
        <v>0130-26</v>
      </c>
      <c r="AE42" s="80" t="str">
        <f t="shared" si="11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42" s="77" t="str">
        <f t="shared" si="12"/>
        <v>"C:\Program Files (x86)\AstroGrep\AstroGrep.exe" /e /r /s /spath="%USERPROFILE%\AppData\Local\Temp\OnboardLogs" /stypes="app*4061*20170526*" /stext=" 14:.+((SYSTEM_STATE.+slice.+state.+changed )|(ment ac)|(multiple cpu faults)|(system.+state.+changed )|(\[timeout)|(PRM\|1\|D)|(kpr)|(kdp)|(train st.+moving)|(\|lc)|(penalty))"</v>
      </c>
      <c r="AG42" s="1" t="str">
        <f t="shared" si="13"/>
        <v>EC</v>
      </c>
      <c r="AH42" s="81" t="str">
        <f t="shared" si="19"/>
        <v>"%USERPROFILE%\Documents\GitHub\eaglep3\Utilities\RefineRTDCRunTimes.py" --tripid 130-26 --locoid 4061 --swversion DE.1.0.9.0 --startMP 204:232977 --initTime 2017-05-26T07:55:16 --startdatetime 2017-05-26T08:12:18 --delay 1 --endMP 204:165 --enddatetime 2017-05-26T08:52:44 --enforcementcount 0 &gt;&gt;C:\Users\stu\Documents\GitHub\eaglep3-reporting\EC\2017-05-26-refined-times.txt</v>
      </c>
      <c r="AI4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{"issue":{"subject":"","project_id":79,"tracker_id":40,"status_id":1,"priority_id":2,"assigned_to_id":23,"start_date":"2017-05-26","description":"","custom_fields":[{"id":1,"name":"Subdivision","value":"EC"},{"id":4,"name":"Milepost","value":"0.0165"},{"id":17,"name":"Train ID","value":"130-26"},{"id":16,"name":"Locomotive ID","value":"4061"},{"id":130,"name":"Impact","value":""},{"id":150,"name":"Time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4061 --day 2017-05-26</v>
      </c>
      <c r="AN4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4006</v>
      </c>
      <c r="C43" s="21" t="s">
        <v>204</v>
      </c>
      <c r="D43" s="21" t="s">
        <v>349</v>
      </c>
      <c r="E43" s="13">
        <v>42881.30909722222</v>
      </c>
      <c r="F43" s="13">
        <v>42881.312789351854</v>
      </c>
      <c r="G43" s="7">
        <v>2</v>
      </c>
      <c r="H43" s="21" t="s">
        <v>501</v>
      </c>
      <c r="I43" s="13">
        <v>42881.339456018519</v>
      </c>
      <c r="J43" s="7">
        <v>0</v>
      </c>
      <c r="K43" s="92" t="str">
        <f t="shared" si="0"/>
        <v>4005/4006</v>
      </c>
      <c r="L43" s="21" t="str">
        <f>VLOOKUP(A43,'Trips&amp;Operators'!$C$1:$G$99999,5,FALSE)</f>
        <v>LOZA FIDEL</v>
      </c>
      <c r="M43" s="6">
        <f t="shared" si="1"/>
        <v>2.6666666664823424E-2</v>
      </c>
      <c r="N43" s="7">
        <f t="shared" si="18"/>
        <v>38.399999997345731</v>
      </c>
      <c r="O43" s="7"/>
      <c r="P43" s="7"/>
      <c r="Q43" s="22"/>
      <c r="R43" s="173"/>
      <c r="S43" s="176">
        <f t="shared" si="2"/>
        <v>1</v>
      </c>
      <c r="T43" s="202" t="str">
        <f t="shared" si="3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4"/>
        <v>https://d0f6bd738d7f1b3e5a7ca70fe4ff75f0.us-east-1.aws.found.io/app/kibana#/discover/Steve-Slow-Train-Analysis-(2080s-and-2083s)?_g=(refreshInterval:(display:Off,pause:!f,section:0,value:0),time:(from:'2017-05-26T06:25:06-0600',mode:absolute,to:'2017-05-26T09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204" t="str">
        <f t="shared" si="5"/>
        <v>N</v>
      </c>
      <c r="X43" s="204">
        <f t="shared" si="6"/>
        <v>1</v>
      </c>
      <c r="Y43" s="204">
        <f t="shared" si="7"/>
        <v>4.4600000000000001E-2</v>
      </c>
      <c r="Z43" s="204">
        <f t="shared" si="8"/>
        <v>23.329699999999999</v>
      </c>
      <c r="AA43" s="204">
        <f t="shared" si="9"/>
        <v>23.2851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0"/>
        <v>0131-26</v>
      </c>
      <c r="AE43" s="80" t="str">
        <f t="shared" si="11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43" s="77" t="str">
        <f t="shared" si="12"/>
        <v>"C:\Program Files (x86)\AstroGrep\AstroGrep.exe" /e /r /s /spath="%USERPROFILE%\AppData\Local\Temp\OnboardLogs" /stypes="app*4006*20170526*" /stext=" 14:.+((SYSTEM_STATE.+slice.+state.+changed )|(ment ac)|(multiple cpu faults)|(system.+state.+changed )|(\[timeout)|(PRM\|1\|D)|(kpr)|(kdp)|(train st.+moving)|(\|lc)|(penalty))"</v>
      </c>
      <c r="AG43" s="1" t="str">
        <f t="shared" si="13"/>
        <v>EC</v>
      </c>
      <c r="AH43" s="81" t="str">
        <f t="shared" si="19"/>
        <v>"%USERPROFILE%\Documents\GitHub\eaglep3\Utilities\RefineRTDCRunTimes.py" --tripid 131-26 --locoid 4006 --swversion DE.1.0.9.0 --startMP 204:446 --initTime 2017-05-26T07:25:06 --startdatetime 2017-05-26T07:30:25 --delay 2 --endMP 204:233297 --enddatetime 2017-05-26T08:08:49 --enforcementcount 0 &gt;&gt;C:\Users\stu\Documents\GitHub\eaglep3-reporting\EC\2017-05-26-refined-times.txt</v>
      </c>
      <c r="AI4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ID","value":"131-26"},{"id":16,"name":"Locomotive ID","value":"4006"},{"id":130,"name":"Impact","value":""},{"id":150,"name":"Time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4006 --day 2017-05-26</v>
      </c>
      <c r="AN4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686</v>
      </c>
      <c r="B44" s="7">
        <v>4005</v>
      </c>
      <c r="C44" s="21" t="s">
        <v>204</v>
      </c>
      <c r="D44" s="21" t="s">
        <v>431</v>
      </c>
      <c r="E44" s="13">
        <v>42881.348726851851</v>
      </c>
      <c r="F44" s="13">
        <v>42881.352361111109</v>
      </c>
      <c r="G44" s="7">
        <v>1</v>
      </c>
      <c r="H44" s="21" t="s">
        <v>361</v>
      </c>
      <c r="I44" s="13">
        <v>42881.379328703704</v>
      </c>
      <c r="J44" s="7">
        <v>0</v>
      </c>
      <c r="K44" s="92" t="str">
        <f t="shared" si="0"/>
        <v>4005/4006</v>
      </c>
      <c r="L44" s="21" t="str">
        <f>VLOOKUP(A44,'Trips&amp;Operators'!$C$1:$G$99999,5,FALSE)</f>
        <v>LOZA FIDEL</v>
      </c>
      <c r="M44" s="6">
        <f t="shared" si="1"/>
        <v>2.6967592595610768E-2</v>
      </c>
      <c r="N44" s="7">
        <f t="shared" si="18"/>
        <v>38.833333337679505</v>
      </c>
      <c r="O44" s="7"/>
      <c r="P44" s="7"/>
      <c r="Q44" s="22"/>
      <c r="R44" s="173"/>
      <c r="S44" s="176">
        <f t="shared" si="2"/>
        <v>1</v>
      </c>
      <c r="T44" s="202" t="str">
        <f t="shared" si="3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4"/>
        <v>https://d0f6bd738d7f1b3e5a7ca70fe4ff75f0.us-east-1.aws.found.io/app/kibana#/discover/Steve-Slow-Train-Analysis-(2080s-and-2083s)?_g=(refreshInterval:(display:Off,pause:!f,section:0,value:0),time:(from:'2017-05-26T07:22:10-0600',mode:absolute,to:'2017-05-26T10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204" t="str">
        <f t="shared" si="5"/>
        <v>N</v>
      </c>
      <c r="X44" s="204">
        <f t="shared" si="6"/>
        <v>1</v>
      </c>
      <c r="Y44" s="204">
        <f t="shared" si="7"/>
        <v>23.298300000000001</v>
      </c>
      <c r="Z44" s="204">
        <f t="shared" si="8"/>
        <v>1.3899999999999999E-2</v>
      </c>
      <c r="AA44" s="204">
        <f t="shared" si="9"/>
        <v>23.284400000000002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0"/>
        <v>0132-26</v>
      </c>
      <c r="AE44" s="80" t="str">
        <f t="shared" si="11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44" s="77" t="str">
        <f t="shared" si="12"/>
        <v>"C:\Program Files (x86)\AstroGrep\AstroGrep.exe" /e /r /s /spath="%USERPROFILE%\AppData\Local\Temp\OnboardLogs" /stypes="app*4005*20170526*" /stext=" 15:.+((SYSTEM_STATE.+slice.+state.+changed )|(ment ac)|(multiple cpu faults)|(system.+state.+changed )|(\[timeout)|(PRM\|1\|D)|(kpr)|(kdp)|(train st.+moving)|(\|lc)|(penalty))"</v>
      </c>
      <c r="AG44" s="1" t="str">
        <f t="shared" si="13"/>
        <v>EC</v>
      </c>
      <c r="AH44" s="81" t="str">
        <f t="shared" si="19"/>
        <v>"%USERPROFILE%\Documents\GitHub\eaglep3\Utilities\RefineRTDCRunTimes.py" --tripid 132-26 --locoid 4005 --swversion DE.1.0.9.0 --startMP 204:232983 --initTime 2017-05-26T08:22:10 --startdatetime 2017-05-26T08:27:24 --delay 1 --endMP 204:139 --enddatetime 2017-05-26T09:06:14 --enforcementcount 0 &gt;&gt;C:\Users\stu\Documents\GitHub\eaglep3-reporting\EC\2017-05-26-refined-times.txt</v>
      </c>
      <c r="AI4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{"issue":{"subject":"","project_id":79,"tracker_id":40,"status_id":1,"priority_id":2,"assigned_to_id":23,"start_date":"2017-05-26","description":"","custom_fields":[{"id":1,"name":"Subdivision","value":"EC"},{"id":4,"name":"Milepost","value":"0.0139"},{"id":17,"name":"Train ID","value":"132-26"},{"id":16,"name":"Locomotive ID","value":"4005"},{"id":130,"name":"Impact","value":""},{"id":150,"name":"Time of Event (Mountain Time)","value":"09:06:14"},{"id":151,"name":"Denver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4005 --day 2017-05-26</v>
      </c>
      <c r="AN4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604</v>
      </c>
      <c r="B45" s="7">
        <v>4002</v>
      </c>
      <c r="C45" s="21" t="s">
        <v>204</v>
      </c>
      <c r="D45" s="21" t="s">
        <v>469</v>
      </c>
      <c r="E45" s="13">
        <v>42881.319374999999</v>
      </c>
      <c r="F45" s="13">
        <v>42881.323113425926</v>
      </c>
      <c r="G45" s="7">
        <v>1</v>
      </c>
      <c r="H45" s="21" t="s">
        <v>501</v>
      </c>
      <c r="I45" s="13">
        <v>42881.349120370367</v>
      </c>
      <c r="J45" s="7">
        <v>0</v>
      </c>
      <c r="K45" s="92" t="str">
        <f t="shared" si="0"/>
        <v>4001/4002</v>
      </c>
      <c r="L45" s="21" t="str">
        <f>VLOOKUP(A45,'Trips&amp;Operators'!$C$1:$G$99999,5,FALSE)</f>
        <v>BONDS REYNALDO</v>
      </c>
      <c r="M45" s="6">
        <f t="shared" si="1"/>
        <v>2.6006944441178348E-2</v>
      </c>
      <c r="N45" s="7">
        <f t="shared" si="18"/>
        <v>37.449999995296821</v>
      </c>
      <c r="O45" s="7"/>
      <c r="P45" s="7"/>
      <c r="Q45" s="22"/>
      <c r="R45" s="173"/>
      <c r="S45" s="176">
        <f t="shared" ref="S45:S76" si="23">SUM(U45:U45)/IF(AG45="EC",12,1)</f>
        <v>1</v>
      </c>
      <c r="T45" s="202" t="str">
        <f t="shared" si="3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4"/>
        <v>https://d0f6bd738d7f1b3e5a7ca70fe4ff75f0.us-east-1.aws.found.io/app/kibana#/discover/Steve-Slow-Train-Analysis-(2080s-and-2083s)?_g=(refreshInterval:(display:Off,pause:!f,section:0,value:0),time:(from:'2017-05-26T06:39:54-0600',mode:absolute,to:'2017-05-26T09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04" t="str">
        <f t="shared" si="5"/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4.3499999999999997E-2</v>
      </c>
      <c r="Z45" s="204">
        <f t="shared" ref="Z45:Z76" si="26">RIGHT(H45,LEN(H45)-4)/10000</f>
        <v>23.329699999999999</v>
      </c>
      <c r="AA45" s="204">
        <f t="shared" si="9"/>
        <v>23.286199999999997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0"/>
        <v>0133-26</v>
      </c>
      <c r="AE45" s="80" t="str">
        <f t="shared" si="11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45" s="77" t="str">
        <f t="shared" si="12"/>
        <v>"C:\Program Files (x86)\AstroGrep\AstroGrep.exe" /e /r /s /spath="%USERPROFILE%\AppData\Local\Temp\OnboardLogs" /stypes="app*4002*20170526*" /stext=" 14:.+((SYSTEM_STATE.+slice.+state.+changed )|(ment ac)|(multiple cpu faults)|(system.+state.+changed )|(\[timeout)|(PRM\|1\|D)|(kpr)|(kdp)|(train st.+moving)|(\|lc)|(penalty))"</v>
      </c>
      <c r="AG45" s="1" t="str">
        <f t="shared" si="13"/>
        <v>EC</v>
      </c>
      <c r="AH45" s="81" t="str">
        <f t="shared" si="19"/>
        <v>"%USERPROFILE%\Documents\GitHub\eaglep3\Utilities\RefineRTDCRunTimes.py" --tripid 133-26 --locoid 4002 --swversion DE.1.0.9.0 --startMP 204:435 --initTime 2017-05-26T07:39:54 --startdatetime 2017-05-26T07:45:17 --delay 1 --endMP 204:233297 --enddatetime 2017-05-26T08:22:44 --enforcementcount 0 &gt;&gt;C:\Users\stu\Documents\GitHub\eaglep3-reporting\EC\2017-05-26-refined-times.txt</v>
      </c>
      <c r="AI4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ID","value":"133-26"},{"id":16,"name":"Locomotive ID","value":"4002"},{"id":130,"name":"Impact","value":""},{"id":150,"name":"Time of Event (Mountain Time)","value":"08:22:44"},{"id":151,"name":"Denver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4002 --day 2017-05-26</v>
      </c>
      <c r="AN4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690</v>
      </c>
      <c r="B46" s="7">
        <v>4001</v>
      </c>
      <c r="C46" s="21" t="s">
        <v>204</v>
      </c>
      <c r="D46" s="21" t="s">
        <v>464</v>
      </c>
      <c r="E46" s="13">
        <v>42881.359178240738</v>
      </c>
      <c r="F46" s="13">
        <v>42881.362754629627</v>
      </c>
      <c r="G46" s="7">
        <v>1</v>
      </c>
      <c r="H46" s="21" t="s">
        <v>363</v>
      </c>
      <c r="I46" s="13">
        <v>42881.3903587963</v>
      </c>
      <c r="J46" s="7">
        <v>0</v>
      </c>
      <c r="K46" s="92" t="str">
        <f t="shared" si="0"/>
        <v>4001/4002</v>
      </c>
      <c r="L46" s="21" t="str">
        <f>VLOOKUP(A46,'Trips&amp;Operators'!$C$1:$G$99999,5,FALSE)</f>
        <v>BONDS REYNALDO</v>
      </c>
      <c r="M46" s="6">
        <f t="shared" si="1"/>
        <v>2.7604166672972497E-2</v>
      </c>
      <c r="N46" s="7">
        <f t="shared" ref="N46:N77" si="27">24*60*SUM($M46:$M46)</f>
        <v>39.750000009080395</v>
      </c>
      <c r="O46" s="7"/>
      <c r="P46" s="7"/>
      <c r="Q46" s="22"/>
      <c r="R46" s="173"/>
      <c r="S46" s="176">
        <f t="shared" si="23"/>
        <v>1</v>
      </c>
      <c r="T46" s="202" t="str">
        <f t="shared" si="3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4"/>
        <v>https://d0f6bd738d7f1b3e5a7ca70fe4ff75f0.us-east-1.aws.found.io/app/kibana#/discover/Steve-Slow-Train-Analysis-(2080s-and-2083s)?_g=(refreshInterval:(display:Off,pause:!f,section:0,value:0),time:(from:'2017-05-26T07:37:13-0600',mode:absolute,to:'2017-05-26T10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04" t="str">
        <f t="shared" si="5"/>
        <v>N</v>
      </c>
      <c r="X46" s="204">
        <f t="shared" si="24"/>
        <v>1</v>
      </c>
      <c r="Y46" s="204">
        <f t="shared" si="25"/>
        <v>23.299399999999999</v>
      </c>
      <c r="Z46" s="204">
        <f t="shared" si="26"/>
        <v>1.41E-2</v>
      </c>
      <c r="AA46" s="204">
        <f t="shared" si="9"/>
        <v>23.285299999999999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0"/>
        <v>0134-26</v>
      </c>
      <c r="AE46" s="80" t="str">
        <f t="shared" si="11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46" s="77" t="str">
        <f t="shared" si="12"/>
        <v>"C:\Program Files (x86)\AstroGrep\AstroGrep.exe" /e /r /s /spath="%USERPROFILE%\AppData\Local\Temp\OnboardLogs" /stypes="app*4001*20170526*" /stext=" 15:.+((SYSTEM_STATE.+slice.+state.+changed )|(ment ac)|(multiple cpu faults)|(system.+state.+changed )|(\[timeout)|(PRM\|1\|D)|(kpr)|(kdp)|(train st.+moving)|(\|lc)|(penalty))"</v>
      </c>
      <c r="AG46" s="1" t="str">
        <f t="shared" si="13"/>
        <v>EC</v>
      </c>
      <c r="AH46" s="81" t="str">
        <f t="shared" si="19"/>
        <v>"%USERPROFILE%\Documents\GitHub\eaglep3\Utilities\RefineRTDCRunTimes.py" --tripid 134-26 --locoid 4001 --swversion DE.1.0.9.0 --startMP 204:232994 --initTime 2017-05-26T08:37:13 --startdatetime 2017-05-26T08:42:22 --delay 1 --endMP 204:141 --enddatetime 2017-05-26T09:22:07 --enforcementcount 0 &gt;&gt;C:\Users\stu\Documents\GitHub\eaglep3-reporting\EC\2017-05-26-refined-times.txt</v>
      </c>
      <c r="AI4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{"issue":{"subject":"","project_id":79,"tracker_id":40,"status_id":1,"priority_id":2,"assigned_to_id":23,"start_date":"2017-05-26","description":"","custom_fields":[{"id":1,"name":"Subdivision","value":"EC"},{"id":4,"name":"Milepost","value":"0.0141"},{"id":17,"name":"Train ID","value":"134-26"},{"id":16,"name":"Locomotive ID","value":"4001"},{"id":130,"name":"Impact","value":""},{"id":150,"name":"Time of Event (Mountain Time)","value":"09:22:07"},{"id":151,"name":"Denver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4001 --day 2017-05-26</v>
      </c>
      <c r="AN4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681</v>
      </c>
      <c r="B47" s="7">
        <v>4058</v>
      </c>
      <c r="C47" s="21" t="s">
        <v>204</v>
      </c>
      <c r="D47" s="21" t="s">
        <v>359</v>
      </c>
      <c r="E47" s="13">
        <v>42881.329502314817</v>
      </c>
      <c r="F47" s="13">
        <v>42881.333703703705</v>
      </c>
      <c r="G47" s="7">
        <v>1</v>
      </c>
      <c r="H47" s="21" t="s">
        <v>572</v>
      </c>
      <c r="I47" s="13">
        <v>42881.358240740738</v>
      </c>
      <c r="J47" s="7">
        <v>0</v>
      </c>
      <c r="K47" s="92" t="str">
        <f t="shared" si="0"/>
        <v>4057/4058</v>
      </c>
      <c r="L47" s="21" t="str">
        <f>VLOOKUP(A47,'Trips&amp;Operators'!$C$1:$G$99999,5,FALSE)</f>
        <v>BIRENBAUM THOMAS</v>
      </c>
      <c r="M47" s="6">
        <f t="shared" si="1"/>
        <v>2.4537037032132503E-2</v>
      </c>
      <c r="N47" s="7">
        <f t="shared" si="27"/>
        <v>35.333333326270804</v>
      </c>
      <c r="O47" s="7"/>
      <c r="P47" s="7"/>
      <c r="Q47" s="22"/>
      <c r="R47" s="173"/>
      <c r="S47" s="176">
        <f t="shared" si="23"/>
        <v>1</v>
      </c>
      <c r="T47" s="202" t="str">
        <f t="shared" si="3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4"/>
        <v>https://d0f6bd738d7f1b3e5a7ca70fe4ff75f0.us-east-1.aws.found.io/app/kibana#/discover/Steve-Slow-Train-Analysis-(2080s-and-2083s)?_g=(refreshInterval:(display:Off,pause:!f,section:0,value:0),time:(from:'2017-05-26T06:54:29-0600',mode:absolute,to:'2017-05-26T09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7" s="204" t="str">
        <f t="shared" si="5"/>
        <v>N</v>
      </c>
      <c r="X47" s="204">
        <f t="shared" si="24"/>
        <v>1</v>
      </c>
      <c r="Y47" s="204">
        <f t="shared" si="25"/>
        <v>4.4400000000000002E-2</v>
      </c>
      <c r="Z47" s="204">
        <f t="shared" si="26"/>
        <v>23.328499999999998</v>
      </c>
      <c r="AA47" s="204">
        <f t="shared" si="9"/>
        <v>23.284099999999999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0"/>
        <v>0135-26</v>
      </c>
      <c r="AE47" s="80" t="str">
        <f t="shared" si="11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47" s="77" t="str">
        <f t="shared" si="12"/>
        <v>"C:\Program Files (x86)\AstroGrep\AstroGrep.exe" /e /r /s /spath="%USERPROFILE%\AppData\Local\Temp\OnboardLogs" /stypes="app*4058*20170526*" /stext=" 14:.+((SYSTEM_STATE.+slice.+state.+changed )|(ment ac)|(multiple cpu faults)|(system.+state.+changed )|(\[timeout)|(PRM\|1\|D)|(kpr)|(kdp)|(train st.+moving)|(\|lc)|(penalty))"</v>
      </c>
      <c r="AG47" s="1" t="str">
        <f t="shared" si="13"/>
        <v>EC</v>
      </c>
      <c r="AH47" s="81" t="str">
        <f t="shared" si="19"/>
        <v>"%USERPROFILE%\Documents\GitHub\eaglep3\Utilities\RefineRTDCRunTimes.py" --tripid 135-26 --locoid 4058 --swversion DE.1.0.9.0 --startMP 204:444 --initTime 2017-05-26T07:54:29 --startdatetime 2017-05-26T08:00:32 --delay 1 --endMP 204:233285 --enddatetime 2017-05-26T08:35:52 --enforcementcount 0 &gt;&gt;C:\Users\stu\Documents\GitHub\eaglep3-reporting\EC\2017-05-26-refined-times.txt</v>
      </c>
      <c r="AI4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{"issue":{"subject":"","project_id":79,"tracker_id":40,"status_id":1,"priority_id":2,"assigned_to_id":23,"start_date":"2017-05-26","description":"","custom_fields":[{"id":1,"name":"Subdivision","value":"EC"},{"id":4,"name":"Milepost","value":"23.3285"},{"id":17,"name":"Train ID","value":"135-26"},{"id":16,"name":"Locomotive ID","value":"4058"},{"id":130,"name":"Impact","value":""},{"id":150,"name":"Time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4058 --day 2017-05-26</v>
      </c>
      <c r="AN4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691</v>
      </c>
      <c r="B48" s="7">
        <v>4057</v>
      </c>
      <c r="C48" s="21" t="s">
        <v>204</v>
      </c>
      <c r="D48" s="21" t="s">
        <v>431</v>
      </c>
      <c r="E48" s="13">
        <v>42881.36037037037</v>
      </c>
      <c r="F48" s="13">
        <v>42881.373101851852</v>
      </c>
      <c r="G48" s="7">
        <v>1</v>
      </c>
      <c r="H48" s="21" t="s">
        <v>861</v>
      </c>
      <c r="I48" s="13">
        <v>42881.399004629631</v>
      </c>
      <c r="J48" s="7">
        <v>0</v>
      </c>
      <c r="K48" s="92" t="str">
        <f t="shared" si="0"/>
        <v>4057/4058</v>
      </c>
      <c r="L48" s="21" t="str">
        <f>VLOOKUP(A48,'Trips&amp;Operators'!$C$1:$G$99999,5,FALSE)</f>
        <v>BIRENBAUM THOMAS</v>
      </c>
      <c r="M48" s="6">
        <f t="shared" si="1"/>
        <v>2.5902777779265307E-2</v>
      </c>
      <c r="N48" s="7">
        <f t="shared" si="27"/>
        <v>37.300000002142042</v>
      </c>
      <c r="O48" s="7"/>
      <c r="P48" s="7"/>
      <c r="Q48" s="22"/>
      <c r="R48" s="173"/>
      <c r="S48" s="176">
        <f t="shared" si="23"/>
        <v>1</v>
      </c>
      <c r="T48" s="202" t="str">
        <f t="shared" si="3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4"/>
        <v>https://d0f6bd738d7f1b3e5a7ca70fe4ff75f0.us-east-1.aws.found.io/app/kibana#/discover/Steve-Slow-Train-Analysis-(2080s-and-2083s)?_g=(refreshInterval:(display:Off,pause:!f,section:0,value:0),time:(from:'2017-05-26T07:38:56-0600',mode:absolute,to:'2017-05-26T10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8" s="204" t="str">
        <f t="shared" si="5"/>
        <v>N</v>
      </c>
      <c r="X48" s="204">
        <f t="shared" si="24"/>
        <v>1</v>
      </c>
      <c r="Y48" s="204">
        <f t="shared" si="25"/>
        <v>23.298300000000001</v>
      </c>
      <c r="Z48" s="204">
        <f t="shared" si="26"/>
        <v>1.38E-2</v>
      </c>
      <c r="AA48" s="204">
        <f t="shared" si="9"/>
        <v>23.284500000000001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0"/>
        <v>0136-26</v>
      </c>
      <c r="AE48" s="80" t="str">
        <f t="shared" si="11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48" s="77" t="str">
        <f t="shared" si="12"/>
        <v>"C:\Program Files (x86)\AstroGrep\AstroGrep.exe" /e /r /s /spath="%USERPROFILE%\AppData\Local\Temp\OnboardLogs" /stypes="app*4057*20170526*" /stext=" 15:.+((SYSTEM_STATE.+slice.+state.+changed )|(ment ac)|(multiple cpu faults)|(system.+state.+changed )|(\[timeout)|(PRM\|1\|D)|(kpr)|(kdp)|(train st.+moving)|(\|lc)|(penalty))"</v>
      </c>
      <c r="AG48" s="1" t="str">
        <f t="shared" si="13"/>
        <v>EC</v>
      </c>
      <c r="AH48" s="81" t="str">
        <f t="shared" si="19"/>
        <v>"%USERPROFILE%\Documents\GitHub\eaglep3\Utilities\RefineRTDCRunTimes.py" --tripid 136-26 --locoid 4057 --swversion DE.1.0.9.0 --startMP 204:232983 --initTime 2017-05-26T08:38:56 --startdatetime 2017-05-26T08:57:16 --delay 1 --endMP 204:138 --enddatetime 2017-05-26T09:34:34 --enforcementcount 0 &gt;&gt;C:\Users\stu\Documents\GitHub\eaglep3-reporting\EC\2017-05-26-refined-times.txt</v>
      </c>
      <c r="AI4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{"issue":{"subject":"","project_id":79,"tracker_id":40,"status_id":1,"priority_id":2,"assigned_to_id":23,"start_date":"2017-05-26","description":"","custom_fields":[{"id":1,"name":"Subdivision","value":"EC"},{"id":4,"name":"Milepost","value":"0.0138"},{"id":17,"name":"Train ID","value":"136-26"},{"id":16,"name":"Locomotive ID","value":"4057"},{"id":130,"name":"Impact","value":""},{"id":150,"name":"Time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4057 --day 2017-05-26</v>
      </c>
      <c r="AN4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685</v>
      </c>
      <c r="B49" s="7">
        <v>4044</v>
      </c>
      <c r="C49" s="21" t="s">
        <v>204</v>
      </c>
      <c r="D49" s="21" t="s">
        <v>864</v>
      </c>
      <c r="E49" s="13">
        <v>42881.340138888889</v>
      </c>
      <c r="F49" s="13">
        <v>42881.343969907408</v>
      </c>
      <c r="G49" s="7">
        <v>0</v>
      </c>
      <c r="H49" s="21" t="s">
        <v>561</v>
      </c>
      <c r="I49" s="13">
        <v>42881.369872685187</v>
      </c>
      <c r="J49" s="7">
        <v>0</v>
      </c>
      <c r="K49" s="92" t="str">
        <f t="shared" si="0"/>
        <v>4043/4044</v>
      </c>
      <c r="L49" s="21" t="str">
        <f>VLOOKUP(A49,'Trips&amp;Operators'!$C$1:$G$99999,5,FALSE)</f>
        <v>DAVIS WENDY</v>
      </c>
      <c r="M49" s="6">
        <f t="shared" si="1"/>
        <v>2.5902777779265307E-2</v>
      </c>
      <c r="N49" s="7">
        <f t="shared" si="27"/>
        <v>37.300000002142042</v>
      </c>
      <c r="O49" s="7"/>
      <c r="P49" s="7"/>
      <c r="Q49" s="22"/>
      <c r="R49" s="173"/>
      <c r="S49" s="176">
        <f t="shared" si="23"/>
        <v>1</v>
      </c>
      <c r="T49" s="202" t="str">
        <f t="shared" si="3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4"/>
        <v>https://d0f6bd738d7f1b3e5a7ca70fe4ff75f0.us-east-1.aws.found.io/app/kibana#/discover/Steve-Slow-Train-Analysis-(2080s-and-2083s)?_g=(refreshInterval:(display:Off,pause:!f,section:0,value:0),time:(from:'2017-05-26T07:09:48-0600',mode:absolute,to:'2017-05-26T09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204" t="str">
        <f t="shared" si="5"/>
        <v>N</v>
      </c>
      <c r="X49" s="204">
        <f t="shared" si="24"/>
        <v>1</v>
      </c>
      <c r="Y49" s="204">
        <f t="shared" si="25"/>
        <v>4.6899999999999997E-2</v>
      </c>
      <c r="Z49" s="204">
        <f t="shared" si="26"/>
        <v>23.3291</v>
      </c>
      <c r="AA49" s="204">
        <f t="shared" si="9"/>
        <v>23.2822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0"/>
        <v>0137-26</v>
      </c>
      <c r="AE49" s="80" t="str">
        <f t="shared" si="11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49" s="77" t="str">
        <f t="shared" si="12"/>
        <v>"C:\Program Files (x86)\AstroGrep\AstroGrep.exe" /e /r /s /spath="%USERPROFILE%\AppData\Local\Temp\OnboardLogs" /stypes="app*4044*20170526*" /stext=" 14:.+((SYSTEM_STATE.+slice.+state.+changed )|(ment ac)|(multiple cpu faults)|(system.+state.+changed )|(\[timeout)|(PRM\|1\|D)|(kpr)|(kdp)|(train st.+moving)|(\|lc)|(penalty))"</v>
      </c>
      <c r="AG49" s="1" t="str">
        <f t="shared" si="13"/>
        <v>EC</v>
      </c>
      <c r="AH49" s="81" t="str">
        <f t="shared" si="19"/>
        <v>"%USERPROFILE%\Documents\GitHub\eaglep3\Utilities\RefineRTDCRunTimes.py" --tripid 137-26 --locoid 4044 --swversion DE.1.0.9.0 --startMP 204:469 --initTime 2017-05-26T08:09:48 --startdatetime 2017-05-26T08:15:19 --delay 0 --endMP 204:233291 --enddatetime 2017-05-26T08:52:37 --enforcementcount 0 &gt;&gt;C:\Users\stu\Documents\GitHub\eaglep3-reporting\EC\2017-05-26-refined-times.txt</v>
      </c>
      <c r="AI4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{"issue":{"subject":"","project_id":79,"tracker_id":40,"status_id":1,"priority_id":2,"assigned_to_id":23,"start_date":"2017-05-26","description":"","custom_fields":[{"id":1,"name":"Subdivision","value":"EC"},{"id":4,"name":"Milepost","value":"23.3291"},{"id":17,"name":"Train ID","value":"137-26"},{"id":16,"name":"Locomotive ID","value":"4044"},{"id":130,"name":"Impact","value":""},{"id":150,"name":"Time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4044 --day 2017-05-26</v>
      </c>
      <c r="AN4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695</v>
      </c>
      <c r="B50" s="7">
        <v>4043</v>
      </c>
      <c r="C50" s="21" t="s">
        <v>204</v>
      </c>
      <c r="D50" s="21" t="s">
        <v>562</v>
      </c>
      <c r="E50" s="13">
        <v>42881.37940972222</v>
      </c>
      <c r="F50" s="13">
        <v>42881.383738425924</v>
      </c>
      <c r="G50" s="7">
        <v>1</v>
      </c>
      <c r="H50" s="21" t="s">
        <v>350</v>
      </c>
      <c r="I50" s="13">
        <v>42881.411215277774</v>
      </c>
      <c r="J50" s="7">
        <v>0</v>
      </c>
      <c r="K50" s="92" t="str">
        <f t="shared" si="0"/>
        <v>4043/4044</v>
      </c>
      <c r="L50" s="21" t="str">
        <f>VLOOKUP(A50,'Trips&amp;Operators'!$C$1:$G$99999,5,FALSE)</f>
        <v>DAVIS WENDY</v>
      </c>
      <c r="M50" s="6">
        <f t="shared" si="1"/>
        <v>2.7476851850224193E-2</v>
      </c>
      <c r="N50" s="7">
        <f t="shared" si="27"/>
        <v>39.566666664322838</v>
      </c>
      <c r="O50" s="7"/>
      <c r="P50" s="7"/>
      <c r="Q50" s="22"/>
      <c r="R50" s="173"/>
      <c r="S50" s="176">
        <f t="shared" si="23"/>
        <v>1</v>
      </c>
      <c r="T50" s="202" t="str">
        <f t="shared" si="3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4"/>
        <v>https://d0f6bd738d7f1b3e5a7ca70fe4ff75f0.us-east-1.aws.found.io/app/kibana#/discover/Steve-Slow-Train-Analysis-(2080s-and-2083s)?_g=(refreshInterval:(display:Off,pause:!f,section:0,value:0),time:(from:'2017-05-26T08:06:21-0600',mode:absolute,to:'2017-05-26T10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204" t="str">
        <f t="shared" si="5"/>
        <v>N</v>
      </c>
      <c r="X50" s="204">
        <f t="shared" si="24"/>
        <v>1</v>
      </c>
      <c r="Y50" s="204">
        <f t="shared" si="25"/>
        <v>23.2986</v>
      </c>
      <c r="Z50" s="204">
        <f t="shared" si="26"/>
        <v>1.6E-2</v>
      </c>
      <c r="AA50" s="204">
        <f t="shared" si="9"/>
        <v>23.282600000000002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0"/>
        <v>0138-26</v>
      </c>
      <c r="AE50" s="80" t="str">
        <f t="shared" si="11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50" s="77" t="str">
        <f t="shared" si="12"/>
        <v>"C:\Program Files (x86)\AstroGrep\AstroGrep.exe" /e /r /s /spath="%USERPROFILE%\AppData\Local\Temp\OnboardLogs" /stypes="app*4043*20170526*" /stext=" 15:.+((SYSTEM_STATE.+slice.+state.+changed )|(ment ac)|(multiple cpu faults)|(system.+state.+changed )|(\[timeout)|(PRM\|1\|D)|(kpr)|(kdp)|(train st.+moving)|(\|lc)|(penalty))"</v>
      </c>
      <c r="AG50" s="1" t="str">
        <f t="shared" si="13"/>
        <v>EC</v>
      </c>
      <c r="AH50" s="81" t="str">
        <f t="shared" si="19"/>
        <v>"%USERPROFILE%\Documents\GitHub\eaglep3\Utilities\RefineRTDCRunTimes.py" --tripid 138-26 --locoid 4043 --swversion DE.1.0.9.0 --startMP 204:232986 --initTime 2017-05-26T09:06:21 --startdatetime 2017-05-26T09:12:35 --delay 1 --endMP 204:160 --enddatetime 2017-05-26T09:52:09 --enforcementcount 0 &gt;&gt;C:\Users\stu\Documents\GitHub\eaglep3-reporting\EC\2017-05-26-refined-times.txt</v>
      </c>
      <c r="AI5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ID","value":"138-26"},{"id":16,"name":"Locomotive ID","value":"4043"},{"id":130,"name":"Impact","value":""},{"id":150,"name":"Time of Event (Mountain Time)","value":"09:52:09"},{"id":151,"name":"Denver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4043 --day 2017-05-26</v>
      </c>
      <c r="AN5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687</v>
      </c>
      <c r="B51" s="7">
        <v>4016</v>
      </c>
      <c r="C51" s="21" t="s">
        <v>204</v>
      </c>
      <c r="D51" s="21" t="s">
        <v>359</v>
      </c>
      <c r="E51" s="13">
        <v>42881.3515162037</v>
      </c>
      <c r="F51" s="13">
        <v>42881.35434027778</v>
      </c>
      <c r="G51" s="7">
        <v>1</v>
      </c>
      <c r="H51" s="21" t="s">
        <v>865</v>
      </c>
      <c r="I51" s="13">
        <v>42881.379733796297</v>
      </c>
      <c r="J51" s="7">
        <v>0</v>
      </c>
      <c r="K51" s="92" t="str">
        <f t="shared" si="0"/>
        <v>4015/4016</v>
      </c>
      <c r="L51" s="21" t="str">
        <f>VLOOKUP(A51,'Trips&amp;Operators'!$C$1:$G$99999,5,FALSE)</f>
        <v>STARKS ANGELINA</v>
      </c>
      <c r="M51" s="6">
        <f t="shared" si="1"/>
        <v>2.5393518517375924E-2</v>
      </c>
      <c r="N51" s="7">
        <f t="shared" si="27"/>
        <v>36.56666666502133</v>
      </c>
      <c r="O51" s="7"/>
      <c r="P51" s="7"/>
      <c r="Q51" s="22"/>
      <c r="R51" s="173"/>
      <c r="S51" s="176">
        <f t="shared" si="23"/>
        <v>1</v>
      </c>
      <c r="T51" s="202" t="str">
        <f t="shared" si="3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4"/>
        <v>https://d0f6bd738d7f1b3e5a7ca70fe4ff75f0.us-east-1.aws.found.io/app/kibana#/discover/Steve-Slow-Train-Analysis-(2080s-and-2083s)?_g=(refreshInterval:(display:Off,pause:!f,section:0,value:0),time:(from:'2017-05-26T07:26:11-0600',mode:absolute,to:'2017-05-26T10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04" t="str">
        <f t="shared" si="5"/>
        <v>N</v>
      </c>
      <c r="X51" s="204">
        <f t="shared" si="24"/>
        <v>1</v>
      </c>
      <c r="Y51" s="204">
        <f t="shared" si="25"/>
        <v>4.4400000000000002E-2</v>
      </c>
      <c r="Z51" s="204">
        <f t="shared" si="26"/>
        <v>23.330200000000001</v>
      </c>
      <c r="AA51" s="204">
        <f t="shared" si="9"/>
        <v>23.285800000000002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0"/>
        <v>0139-26</v>
      </c>
      <c r="AE51" s="80" t="str">
        <f t="shared" si="11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51" s="77" t="str">
        <f t="shared" si="12"/>
        <v>"C:\Program Files (x86)\AstroGrep\AstroGrep.exe" /e /r /s /spath="%USERPROFILE%\AppData\Local\Temp\OnboardLogs" /stypes="app*4016*20170526*" /stext=" 15:.+((SYSTEM_STATE.+slice.+state.+changed )|(ment ac)|(multiple cpu faults)|(system.+state.+changed )|(\[timeout)|(PRM\|1\|D)|(kpr)|(kdp)|(train st.+moving)|(\|lc)|(penalty))"</v>
      </c>
      <c r="AG51" s="1" t="str">
        <f t="shared" si="13"/>
        <v>EC</v>
      </c>
      <c r="AH51" s="81" t="str">
        <f t="shared" si="19"/>
        <v>"%USERPROFILE%\Documents\GitHub\eaglep3\Utilities\RefineRTDCRunTimes.py" --tripid 139-26 --locoid 4016 --swversion DE.1.0.9.0 --startMP 204:444 --initTime 2017-05-26T08:26:11 --startdatetime 2017-05-26T08:30:15 --delay 1 --endMP 204:233302 --enddatetime 2017-05-26T09:06:49 --enforcementcount 0 &gt;&gt;C:\Users\stu\Documents\GitHub\eaglep3-reporting\EC\2017-05-26-refined-times.txt</v>
      </c>
      <c r="AI5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{"issue":{"subject":"","project_id":79,"tracker_id":40,"status_id":1,"priority_id":2,"assigned_to_id":23,"start_date":"2017-05-26","description":"","custom_fields":[{"id":1,"name":"Subdivision","value":"EC"},{"id":4,"name":"Milepost","value":"23.3302"},{"id":17,"name":"Train ID","value":"139-26"},{"id":16,"name":"Locomotive ID","value":"4016"},{"id":130,"name":"Impact","value":""},{"id":150,"name":"Time of Event (Mountain Time)","value":"09:06:49"},{"id":151,"name":"Denver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4016 --day 2017-05-26</v>
      </c>
      <c r="AN5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697</v>
      </c>
      <c r="B52" s="7">
        <v>4015</v>
      </c>
      <c r="C52" s="21" t="s">
        <v>204</v>
      </c>
      <c r="D52" s="21" t="s">
        <v>450</v>
      </c>
      <c r="E52" s="13">
        <v>42881.39099537037</v>
      </c>
      <c r="F52" s="13">
        <v>42881.394097222219</v>
      </c>
      <c r="G52" s="7">
        <v>0</v>
      </c>
      <c r="H52" s="21" t="s">
        <v>465</v>
      </c>
      <c r="I52" s="13">
        <v>42881.421006944445</v>
      </c>
      <c r="J52" s="7">
        <v>0</v>
      </c>
      <c r="K52" s="92" t="str">
        <f t="shared" si="0"/>
        <v>4015/4016</v>
      </c>
      <c r="L52" s="21" t="str">
        <f>VLOOKUP(A52,'Trips&amp;Operators'!$C$1:$G$99999,5,FALSE)</f>
        <v>STARKS ANGELINA</v>
      </c>
      <c r="M52" s="6">
        <f t="shared" si="1"/>
        <v>2.6909722226264421E-2</v>
      </c>
      <c r="N52" s="7">
        <f t="shared" si="27"/>
        <v>38.750000005820766</v>
      </c>
      <c r="O52" s="7"/>
      <c r="P52" s="7"/>
      <c r="Q52" s="22"/>
      <c r="R52" s="173"/>
      <c r="S52" s="176">
        <f t="shared" si="23"/>
        <v>1</v>
      </c>
      <c r="T52" s="202" t="str">
        <f t="shared" si="3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4"/>
        <v>https://d0f6bd738d7f1b3e5a7ca70fe4ff75f0.us-east-1.aws.found.io/app/kibana#/discover/Steve-Slow-Train-Analysis-(2080s-and-2083s)?_g=(refreshInterval:(display:Off,pause:!f,section:0,value:0),time:(from:'2017-05-26T08:23:02-0600',mode:absolute,to:'2017-05-26T11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04" t="str">
        <f t="shared" si="5"/>
        <v>N</v>
      </c>
      <c r="X52" s="204">
        <f t="shared" si="24"/>
        <v>1</v>
      </c>
      <c r="Y52" s="204">
        <f t="shared" si="25"/>
        <v>23.297699999999999</v>
      </c>
      <c r="Z52" s="204">
        <f t="shared" si="26"/>
        <v>1.4500000000000001E-2</v>
      </c>
      <c r="AA52" s="204">
        <f t="shared" si="9"/>
        <v>23.283199999999997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0"/>
        <v>0140-26</v>
      </c>
      <c r="AE52" s="80" t="str">
        <f t="shared" si="11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52" s="77" t="str">
        <f t="shared" si="12"/>
        <v>"C:\Program Files (x86)\AstroGrep\AstroGrep.exe" /e /r /s /spath="%USERPROFILE%\AppData\Local\Temp\OnboardLogs" /stypes="app*4015*20170526*" /stext=" 16:.+((SYSTEM_STATE.+slice.+state.+changed )|(ment ac)|(multiple cpu faults)|(system.+state.+changed )|(\[timeout)|(PRM\|1\|D)|(kpr)|(kdp)|(train st.+moving)|(\|lc)|(penalty))"</v>
      </c>
      <c r="AG52" s="1" t="str">
        <f t="shared" si="13"/>
        <v>EC</v>
      </c>
      <c r="AH52" s="81" t="str">
        <f t="shared" si="19"/>
        <v>"%USERPROFILE%\Documents\GitHub\eaglep3\Utilities\RefineRTDCRunTimes.py" --tripid 140-26 --locoid 4015 --swversion DE.1.0.9.0 --startMP 204:232977 --initTime 2017-05-26T09:23:02 --startdatetime 2017-05-26T09:27:30 --delay 0 --endMP 204:145 --enddatetime 2017-05-26T10:06:15 --enforcementcount 0 &gt;&gt;C:\Users\stu\Documents\GitHub\eaglep3-reporting\EC\2017-05-26-refined-times.txt</v>
      </c>
      <c r="AI5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{"issue":{"subject":"","project_id":79,"tracker_id":40,"status_id":1,"priority_id":2,"assigned_to_id":23,"start_date":"2017-05-26","description":"","custom_fields":[{"id":1,"name":"Subdivision","value":"EC"},{"id":4,"name":"Milepost","value":"0.0145"},{"id":17,"name":"Train ID","value":"140-26"},{"id":16,"name":"Locomotive ID","value":"4015"},{"id":130,"name":"Impact","value":""},{"id":150,"name":"Time of Event (Mountain Time)","value":"10:06:15"},{"id":151,"name":"Denver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4015 --day 2017-05-26</v>
      </c>
      <c r="AN5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692</v>
      </c>
      <c r="B53" s="7">
        <v>4026</v>
      </c>
      <c r="C53" s="21" t="s">
        <v>204</v>
      </c>
      <c r="D53" s="21" t="s">
        <v>355</v>
      </c>
      <c r="E53" s="13">
        <v>42881.360636574071</v>
      </c>
      <c r="F53" s="13">
        <v>42881.364768518521</v>
      </c>
      <c r="G53" s="7">
        <v>2</v>
      </c>
      <c r="H53" s="21" t="s">
        <v>501</v>
      </c>
      <c r="I53" s="13">
        <v>42881.390046296299</v>
      </c>
      <c r="J53" s="7">
        <v>0</v>
      </c>
      <c r="K53" s="92" t="str">
        <f t="shared" si="0"/>
        <v>4025/4026</v>
      </c>
      <c r="L53" s="21" t="str">
        <f>VLOOKUP(A53,'Trips&amp;Operators'!$C$1:$G$99999,5,FALSE)</f>
        <v>DAVIDSON DAVID</v>
      </c>
      <c r="M53" s="6">
        <f t="shared" si="1"/>
        <v>2.527777777868323E-2</v>
      </c>
      <c r="N53" s="7">
        <f t="shared" si="27"/>
        <v>36.400000001303852</v>
      </c>
      <c r="O53" s="7"/>
      <c r="P53" s="7"/>
      <c r="Q53" s="22"/>
      <c r="R53" s="173"/>
      <c r="S53" s="176">
        <f t="shared" si="23"/>
        <v>1</v>
      </c>
      <c r="T53" s="202" t="str">
        <f t="shared" si="3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4"/>
        <v>https://d0f6bd738d7f1b3e5a7ca70fe4ff75f0.us-east-1.aws.found.io/app/kibana#/discover/Steve-Slow-Train-Analysis-(2080s-and-2083s)?_g=(refreshInterval:(display:Off,pause:!f,section:0,value:0),time:(from:'2017-05-26T07:39:19-0600',mode:absolute,to:'2017-05-26T10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204" t="str">
        <f t="shared" si="5"/>
        <v>N</v>
      </c>
      <c r="X53" s="204">
        <f t="shared" si="24"/>
        <v>1</v>
      </c>
      <c r="Y53" s="204">
        <f t="shared" si="25"/>
        <v>4.5100000000000001E-2</v>
      </c>
      <c r="Z53" s="204">
        <f t="shared" si="26"/>
        <v>23.329699999999999</v>
      </c>
      <c r="AA53" s="204">
        <f t="shared" si="9"/>
        <v>23.284599999999998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0"/>
        <v>0141-26</v>
      </c>
      <c r="AE53" s="80" t="str">
        <f t="shared" si="11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53" s="77" t="str">
        <f t="shared" si="12"/>
        <v>"C:\Program Files (x86)\AstroGrep\AstroGrep.exe" /e /r /s /spath="%USERPROFILE%\AppData\Local\Temp\OnboardLogs" /stypes="app*4026*20170526*" /stext=" 15:.+((SYSTEM_STATE.+slice.+state.+changed )|(ment ac)|(multiple cpu faults)|(system.+state.+changed )|(\[timeout)|(PRM\|1\|D)|(kpr)|(kdp)|(train st.+moving)|(\|lc)|(penalty))"</v>
      </c>
      <c r="AG53" s="1" t="str">
        <f t="shared" si="13"/>
        <v>EC</v>
      </c>
      <c r="AH53" s="81" t="str">
        <f t="shared" si="19"/>
        <v>"%USERPROFILE%\Documents\GitHub\eaglep3\Utilities\RefineRTDCRunTimes.py" --tripid 141-26 --locoid 4026 --swversion DE.1.0.9.0 --startMP 204:451 --initTime 2017-05-26T08:39:19 --startdatetime 2017-05-26T08:45:16 --delay 2 --endMP 204:233297 --enddatetime 2017-05-26T09:21:40 --enforcementcount 0 &gt;&gt;C:\Users\stu\Documents\GitHub\eaglep3-reporting\EC\2017-05-26-refined-times.txt</v>
      </c>
      <c r="AI5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ID","value":"141-26"},{"id":16,"name":"Locomotive ID","value":"4026"},{"id":130,"name":"Impact","value":""},{"id":150,"name":"Time of Event (Mountain Time)","value":"09:21:40"},{"id":151,"name":"Denver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4026 --day 2017-05-26</v>
      </c>
      <c r="AN5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699</v>
      </c>
      <c r="B54" s="7">
        <v>4025</v>
      </c>
      <c r="C54" s="21" t="s">
        <v>204</v>
      </c>
      <c r="D54" s="21" t="s">
        <v>449</v>
      </c>
      <c r="E54" s="13">
        <v>42881.394375000003</v>
      </c>
      <c r="F54" s="13">
        <v>42881.404386574075</v>
      </c>
      <c r="G54" s="7">
        <v>1</v>
      </c>
      <c r="H54" s="21" t="s">
        <v>195</v>
      </c>
      <c r="I54" s="13">
        <v>42881.432604166665</v>
      </c>
      <c r="J54" s="7">
        <v>0</v>
      </c>
      <c r="K54" s="92" t="str">
        <f t="shared" si="0"/>
        <v>4025/4026</v>
      </c>
      <c r="L54" s="21" t="str">
        <f>VLOOKUP(A54,'Trips&amp;Operators'!$C$1:$G$99999,5,FALSE)</f>
        <v>DAVIDSON DAVID</v>
      </c>
      <c r="M54" s="6">
        <f t="shared" si="1"/>
        <v>2.8217592589498963E-2</v>
      </c>
      <c r="N54" s="7">
        <f t="shared" si="27"/>
        <v>40.633333328878507</v>
      </c>
      <c r="O54" s="7"/>
      <c r="P54" s="7"/>
      <c r="Q54" s="22"/>
      <c r="R54" s="173"/>
      <c r="S54" s="176">
        <f t="shared" si="23"/>
        <v>1</v>
      </c>
      <c r="T54" s="202" t="str">
        <f t="shared" si="3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4"/>
        <v>https://d0f6bd738d7f1b3e5a7ca70fe4ff75f0.us-east-1.aws.found.io/app/kibana#/discover/Steve-Slow-Train-Analysis-(2080s-and-2083s)?_g=(refreshInterval:(display:Off,pause:!f,section:0,value:0),time:(from:'2017-05-26T08:27:54-0600',mode:absolute,to:'2017-05-26T11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204" t="str">
        <f t="shared" si="5"/>
        <v>N</v>
      </c>
      <c r="X54" s="204">
        <f t="shared" si="24"/>
        <v>1</v>
      </c>
      <c r="Y54" s="204">
        <f t="shared" si="25"/>
        <v>23.2973</v>
      </c>
      <c r="Z54" s="204">
        <f t="shared" si="26"/>
        <v>1.52E-2</v>
      </c>
      <c r="AA54" s="204">
        <f t="shared" si="9"/>
        <v>23.2821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0"/>
        <v>0142-26</v>
      </c>
      <c r="AE54" s="80" t="str">
        <f t="shared" si="11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54" s="77" t="str">
        <f t="shared" si="12"/>
        <v>"C:\Program Files (x86)\AstroGrep\AstroGrep.exe" /e /r /s /spath="%USERPROFILE%\AppData\Local\Temp\OnboardLogs" /stypes="app*4025*20170526*" /stext=" 16:.+((SYSTEM_STATE.+slice.+state.+changed )|(ment ac)|(multiple cpu faults)|(system.+state.+changed )|(\[timeout)|(PRM\|1\|D)|(kpr)|(kdp)|(train st.+moving)|(\|lc)|(penalty))"</v>
      </c>
      <c r="AG54" s="1" t="str">
        <f t="shared" si="13"/>
        <v>EC</v>
      </c>
      <c r="AH54" s="81" t="str">
        <f t="shared" si="19"/>
        <v>"%USERPROFILE%\Documents\GitHub\eaglep3\Utilities\RefineRTDCRunTimes.py" --tripid 142-26 --locoid 4025 --swversion DE.1.0.9.0 --startMP 204:232973 --initTime 2017-05-26T09:27:54 --startdatetime 2017-05-26T09:42:19 --delay 1 --endMP 204:152 --enddatetime 2017-05-26T10:22:57 --enforcementcount 0 &gt;&gt;C:\Users\stu\Documents\GitHub\eaglep3-reporting\EC\2017-05-26-refined-times.txt</v>
      </c>
      <c r="AI5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ID","value":"142-26"},{"id":16,"name":"Locomotive ID","value":"4025"},{"id":130,"name":"Impact","value":""},{"id":150,"name":"Time of Event (Mountain Time)","value":"10:22:57"},{"id":151,"name":"Denver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4025 --day 2017-05-26</v>
      </c>
      <c r="AN5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693</v>
      </c>
      <c r="B55" s="7">
        <v>4062</v>
      </c>
      <c r="C55" s="21" t="s">
        <v>204</v>
      </c>
      <c r="D55" s="21" t="s">
        <v>357</v>
      </c>
      <c r="E55" s="13">
        <v>42881.372754629629</v>
      </c>
      <c r="F55" s="13">
        <v>42881.375150462962</v>
      </c>
      <c r="G55" s="7">
        <v>1</v>
      </c>
      <c r="H55" s="21" t="s">
        <v>865</v>
      </c>
      <c r="I55" s="13">
        <v>42881.400983796295</v>
      </c>
      <c r="J55" s="7">
        <v>0</v>
      </c>
      <c r="K55" s="92" t="str">
        <f t="shared" si="0"/>
        <v>4061/4062</v>
      </c>
      <c r="L55" s="21" t="str">
        <f>VLOOKUP(A55,'Trips&amp;Operators'!$C$1:$G$99999,5,FALSE)</f>
        <v>WILLIAMS DONTE</v>
      </c>
      <c r="M55" s="6">
        <f t="shared" si="1"/>
        <v>2.5833333333139308E-2</v>
      </c>
      <c r="N55" s="7">
        <f t="shared" si="27"/>
        <v>37.199999999720603</v>
      </c>
      <c r="O55" s="7"/>
      <c r="P55" s="7"/>
      <c r="Q55" s="22"/>
      <c r="R55" s="173"/>
      <c r="S55" s="176">
        <f t="shared" si="23"/>
        <v>1</v>
      </c>
      <c r="T55" s="202" t="str">
        <f t="shared" si="3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4"/>
        <v>https://d0f6bd738d7f1b3e5a7ca70fe4ff75f0.us-east-1.aws.found.io/app/kibana#/discover/Steve-Slow-Train-Analysis-(2080s-and-2083s)?_g=(refreshInterval:(display:Off,pause:!f,section:0,value:0),time:(from:'2017-05-26T07:56:46-0600',mode:absolute,to:'2017-05-26T10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5" s="204" t="str">
        <f t="shared" si="5"/>
        <v>N</v>
      </c>
      <c r="X55" s="204">
        <f t="shared" si="24"/>
        <v>1</v>
      </c>
      <c r="Y55" s="204">
        <f t="shared" si="25"/>
        <v>4.6399999999999997E-2</v>
      </c>
      <c r="Z55" s="204">
        <f t="shared" si="26"/>
        <v>23.330200000000001</v>
      </c>
      <c r="AA55" s="204">
        <f t="shared" si="9"/>
        <v>23.283800000000003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0"/>
        <v>0143-26</v>
      </c>
      <c r="AE55" s="80" t="str">
        <f t="shared" si="11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55" s="77" t="str">
        <f t="shared" si="12"/>
        <v>"C:\Program Files (x86)\AstroGrep\AstroGrep.exe" /e /r /s /spath="%USERPROFILE%\AppData\Local\Temp\OnboardLogs" /stypes="app*4062*20170526*" /stext=" 15:.+((SYSTEM_STATE.+slice.+state.+changed )|(ment ac)|(multiple cpu faults)|(system.+state.+changed )|(\[timeout)|(PRM\|1\|D)|(kpr)|(kdp)|(train st.+moving)|(\|lc)|(penalty))"</v>
      </c>
      <c r="AG55" s="1" t="str">
        <f t="shared" si="13"/>
        <v>EC</v>
      </c>
      <c r="AH55" s="81" t="str">
        <f t="shared" si="19"/>
        <v>"%USERPROFILE%\Documents\GitHub\eaglep3\Utilities\RefineRTDCRunTimes.py" --tripid 143-26 --locoid 4062 --swversion DE.1.0.9.0 --startMP 204:464 --initTime 2017-05-26T08:56:46 --startdatetime 2017-05-26T09:00:13 --delay 1 --endMP 204:233302 --enddatetime 2017-05-26T09:37:25 --enforcementcount 0 &gt;&gt;C:\Users\stu\Documents\GitHub\eaglep3-reporting\EC\2017-05-26-refined-times.txt</v>
      </c>
      <c r="AI5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{"issue":{"subject":"","project_id":79,"tracker_id":40,"status_id":1,"priority_id":2,"assigned_to_id":23,"start_date":"2017-05-26","description":"","custom_fields":[{"id":1,"name":"Subdivision","value":"EC"},{"id":4,"name":"Milepost","value":"23.3302"},{"id":17,"name":"Train ID","value":"143-26"},{"id":16,"name":"Locomotive ID","value":"4062"},{"id":130,"name":"Impact","value":""},{"id":150,"name":"Time of Event (Mountain Time)","value":"09:37:25"},{"id":151,"name":"Denver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4062 --day 2017-05-26</v>
      </c>
      <c r="AN5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700</v>
      </c>
      <c r="B56" s="7">
        <v>4061</v>
      </c>
      <c r="C56" s="21" t="s">
        <v>204</v>
      </c>
      <c r="D56" s="21" t="s">
        <v>558</v>
      </c>
      <c r="E56" s="13">
        <v>42881.402997685182</v>
      </c>
      <c r="F56" s="13">
        <v>42881.414884259262</v>
      </c>
      <c r="G56" s="7">
        <v>1</v>
      </c>
      <c r="H56" s="21" t="s">
        <v>196</v>
      </c>
      <c r="I56" s="13">
        <v>42881.442037037035</v>
      </c>
      <c r="J56" s="7">
        <v>0</v>
      </c>
      <c r="K56" s="92" t="str">
        <f t="shared" si="0"/>
        <v>4061/4062</v>
      </c>
      <c r="L56" s="21" t="str">
        <f>VLOOKUP(A56,'Trips&amp;Operators'!$C$1:$G$99999,5,FALSE)</f>
        <v>WILLIAMS DONTE</v>
      </c>
      <c r="M56" s="6">
        <f t="shared" si="1"/>
        <v>2.7152777773153502E-2</v>
      </c>
      <c r="N56" s="7">
        <f t="shared" si="27"/>
        <v>39.099999993341044</v>
      </c>
      <c r="O56" s="7"/>
      <c r="P56" s="7"/>
      <c r="Q56" s="22"/>
      <c r="R56" s="173"/>
      <c r="S56" s="176">
        <f t="shared" si="23"/>
        <v>1</v>
      </c>
      <c r="T56" s="202" t="str">
        <f t="shared" si="3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4"/>
        <v>https://d0f6bd738d7f1b3e5a7ca70fe4ff75f0.us-east-1.aws.found.io/app/kibana#/discover/Steve-Slow-Train-Analysis-(2080s-and-2083s)?_g=(refreshInterval:(display:Off,pause:!f,section:0,value:0),time:(from:'2017-05-26T08:40:19-0600',mode:absolute,to:'2017-05-26T11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6" s="204" t="str">
        <f t="shared" si="5"/>
        <v>N</v>
      </c>
      <c r="X56" s="204">
        <f t="shared" si="24"/>
        <v>1</v>
      </c>
      <c r="Y56" s="204">
        <f t="shared" si="25"/>
        <v>23.2989</v>
      </c>
      <c r="Z56" s="204">
        <f t="shared" si="26"/>
        <v>1.5800000000000002E-2</v>
      </c>
      <c r="AA56" s="204">
        <f t="shared" si="9"/>
        <v>23.283100000000001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0"/>
        <v>0144-26</v>
      </c>
      <c r="AE56" s="80" t="str">
        <f t="shared" si="11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56" s="77" t="str">
        <f t="shared" si="12"/>
        <v>"C:\Program Files (x86)\AstroGrep\AstroGrep.exe" /e /r /s /spath="%USERPROFILE%\AppData\Local\Temp\OnboardLogs" /stypes="app*4061*20170526*" /stext=" 16:.+((SYSTEM_STATE.+slice.+state.+changed )|(ment ac)|(multiple cpu faults)|(system.+state.+changed )|(\[timeout)|(PRM\|1\|D)|(kpr)|(kdp)|(train st.+moving)|(\|lc)|(penalty))"</v>
      </c>
      <c r="AG56" s="1" t="str">
        <f t="shared" si="13"/>
        <v>EC</v>
      </c>
      <c r="AH56" s="81" t="str">
        <f t="shared" si="19"/>
        <v>"%USERPROFILE%\Documents\GitHub\eaglep3\Utilities\RefineRTDCRunTimes.py" --tripid 144-26 --locoid 4061 --swversion DE.1.0.9.0 --startMP 204:232989 --initTime 2017-05-26T09:40:19 --startdatetime 2017-05-26T09:57:26 --delay 1 --endMP 204:158 --enddatetime 2017-05-26T10:36:32 --enforcementcount 0 &gt;&gt;C:\Users\stu\Documents\GitHub\eaglep3-reporting\EC\2017-05-26-refined-times.txt</v>
      </c>
      <c r="AI5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{"issue":{"subject":"","project_id":79,"tracker_id":40,"status_id":1,"priority_id":2,"assigned_to_id":23,"start_date":"2017-05-26","description":"","custom_fields":[{"id":1,"name":"Subdivision","value":"EC"},{"id":4,"name":"Milepost","value":"0.0158"},{"id":17,"name":"Train ID","value":"144-26"},{"id":16,"name":"Locomotive ID","value":"4061"},{"id":130,"name":"Impact","value":""},{"id":150,"name":"Time of Event (Mountain Time)","value":"10:36:32"},{"id":151,"name":"Denver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4061 --day 2017-05-26</v>
      </c>
      <c r="AN5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696</v>
      </c>
      <c r="B57" s="7">
        <v>4006</v>
      </c>
      <c r="C57" s="21" t="s">
        <v>204</v>
      </c>
      <c r="D57" s="21" t="s">
        <v>355</v>
      </c>
      <c r="E57" s="13">
        <v>42881.381284722222</v>
      </c>
      <c r="F57" s="13">
        <v>42881.385613425926</v>
      </c>
      <c r="G57" s="7">
        <v>2</v>
      </c>
      <c r="H57" s="21" t="s">
        <v>500</v>
      </c>
      <c r="I57" s="13">
        <v>42881.409930555557</v>
      </c>
      <c r="J57" s="7">
        <v>0</v>
      </c>
      <c r="K57" s="92" t="str">
        <f t="shared" si="0"/>
        <v>4005/4006</v>
      </c>
      <c r="L57" s="21" t="str">
        <f>VLOOKUP(A57,'Trips&amp;Operators'!$C$1:$G$99999,5,FALSE)</f>
        <v>LOZA FIDEL</v>
      </c>
      <c r="M57" s="6">
        <f t="shared" si="1"/>
        <v>2.4317129631526768E-2</v>
      </c>
      <c r="N57" s="7">
        <f t="shared" si="27"/>
        <v>35.016666669398546</v>
      </c>
      <c r="O57" s="7"/>
      <c r="P57" s="7"/>
      <c r="Q57" s="22"/>
      <c r="R57" s="173"/>
      <c r="S57" s="176">
        <f t="shared" si="23"/>
        <v>1</v>
      </c>
      <c r="T57" s="202" t="str">
        <f t="shared" si="3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4"/>
        <v>https://d0f6bd738d7f1b3e5a7ca70fe4ff75f0.us-east-1.aws.found.io/app/kibana#/discover/Steve-Slow-Train-Analysis-(2080s-and-2083s)?_g=(refreshInterval:(display:Off,pause:!f,section:0,value:0),time:(from:'2017-05-26T08:09:03-0600',mode:absolute,to:'2017-05-26T10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204" t="str">
        <f t="shared" si="5"/>
        <v>N</v>
      </c>
      <c r="X57" s="204">
        <f t="shared" si="24"/>
        <v>1</v>
      </c>
      <c r="Y57" s="204">
        <f t="shared" si="25"/>
        <v>4.5100000000000001E-2</v>
      </c>
      <c r="Z57" s="204">
        <f t="shared" si="26"/>
        <v>23.330300000000001</v>
      </c>
      <c r="AA57" s="204">
        <f t="shared" si="9"/>
        <v>23.2852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0"/>
        <v>0145-26</v>
      </c>
      <c r="AE57" s="80" t="str">
        <f t="shared" si="11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57" s="77" t="str">
        <f t="shared" si="12"/>
        <v>"C:\Program Files (x86)\AstroGrep\AstroGrep.exe" /e /r /s /spath="%USERPROFILE%\AppData\Local\Temp\OnboardLogs" /stypes="app*4006*20170526*" /stext=" 15:.+((SYSTEM_STATE.+slice.+state.+changed )|(ment ac)|(multiple cpu faults)|(system.+state.+changed )|(\[timeout)|(PRM\|1\|D)|(kpr)|(kdp)|(train st.+moving)|(\|lc)|(penalty))"</v>
      </c>
      <c r="AG57" s="1" t="str">
        <f t="shared" si="13"/>
        <v>EC</v>
      </c>
      <c r="AH57" s="81" t="str">
        <f t="shared" si="19"/>
        <v>"%USERPROFILE%\Documents\GitHub\eaglep3\Utilities\RefineRTDCRunTimes.py" --tripid 145-26 --locoid 4006 --swversion DE.1.0.9.0 --startMP 204:451 --initTime 2017-05-26T09:09:03 --startdatetime 2017-05-26T09:15:17 --delay 2 --endMP 204:233303 --enddatetime 2017-05-26T09:50:18 --enforcementcount 0 &gt;&gt;C:\Users\stu\Documents\GitHub\eaglep3-reporting\EC\2017-05-26-refined-times.txt</v>
      </c>
      <c r="AI5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{"issue":{"subject":"","project_id":79,"tracker_id":40,"status_id":1,"priority_id":2,"assigned_to_id":23,"start_date":"2017-05-26","description":"","custom_fields":[{"id":1,"name":"Subdivision","value":"EC"},{"id":4,"name":"Milepost","value":"23.3303"},{"id":17,"name":"Train ID","value":"145-26"},{"id":16,"name":"Locomotive ID","value":"4006"},{"id":130,"name":"Impact","value":""},{"id":150,"name":"Time of Event (Mountain Time)","value":"09:50:18"},{"id":151,"name":"Denver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4006 --day 2017-05-26</v>
      </c>
      <c r="AN5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701</v>
      </c>
      <c r="B58" s="7">
        <v>4005</v>
      </c>
      <c r="C58" s="21" t="s">
        <v>204</v>
      </c>
      <c r="D58" s="21" t="s">
        <v>472</v>
      </c>
      <c r="E58" s="13">
        <v>42881.421412037038</v>
      </c>
      <c r="F58" s="13">
        <v>42881.425416666665</v>
      </c>
      <c r="G58" s="7">
        <v>3</v>
      </c>
      <c r="H58" s="21" t="s">
        <v>404</v>
      </c>
      <c r="I58" s="13">
        <v>42881.451203703706</v>
      </c>
      <c r="J58" s="7">
        <v>0</v>
      </c>
      <c r="K58" s="92" t="str">
        <f t="shared" si="0"/>
        <v>4005/4006</v>
      </c>
      <c r="L58" s="21" t="str">
        <f>VLOOKUP(A58,'Trips&amp;Operators'!$C$1:$G$99999,5,FALSE)</f>
        <v>LOZA FIDEL</v>
      </c>
      <c r="M58" s="6">
        <f t="shared" si="1"/>
        <v>2.5787037040572613E-2</v>
      </c>
      <c r="N58" s="7">
        <f t="shared" si="27"/>
        <v>37.133333338424563</v>
      </c>
      <c r="O58" s="7"/>
      <c r="P58" s="7"/>
      <c r="Q58" s="22"/>
      <c r="R58" s="173"/>
      <c r="S58" s="176">
        <f t="shared" si="23"/>
        <v>1</v>
      </c>
      <c r="T58" s="202" t="str">
        <f t="shared" si="3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4"/>
        <v>https://d0f6bd738d7f1b3e5a7ca70fe4ff75f0.us-east-1.aws.found.io/app/kibana#/discover/Steve-Slow-Train-Analysis-(2080s-and-2083s)?_g=(refreshInterval:(display:Off,pause:!f,section:0,value:0),time:(from:'2017-05-26T09:06:50-0600',mode:absolute,to:'2017-05-26T11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204" t="str">
        <f t="shared" si="5"/>
        <v>N</v>
      </c>
      <c r="X58" s="204">
        <f t="shared" si="24"/>
        <v>1</v>
      </c>
      <c r="Y58" s="204">
        <f t="shared" si="25"/>
        <v>23.298999999999999</v>
      </c>
      <c r="Z58" s="204">
        <f t="shared" si="26"/>
        <v>1.54E-2</v>
      </c>
      <c r="AA58" s="204">
        <f t="shared" si="9"/>
        <v>23.2836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0"/>
        <v>0146-26</v>
      </c>
      <c r="AE58" s="80" t="str">
        <f t="shared" si="11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58" s="77" t="str">
        <f t="shared" si="12"/>
        <v>"C:\Program Files (x86)\AstroGrep\AstroGrep.exe" /e /r /s /spath="%USERPROFILE%\AppData\Local\Temp\OnboardLogs" /stypes="app*4005*20170526*" /stext=" 16:.+((SYSTEM_STATE.+slice.+state.+changed )|(ment ac)|(multiple cpu faults)|(system.+state.+changed )|(\[timeout)|(PRM\|1\|D)|(kpr)|(kdp)|(train st.+moving)|(\|lc)|(penalty))"</v>
      </c>
      <c r="AG58" s="1" t="str">
        <f t="shared" si="13"/>
        <v>EC</v>
      </c>
      <c r="AH58" s="81" t="str">
        <f t="shared" si="19"/>
        <v>"%USERPROFILE%\Documents\GitHub\eaglep3\Utilities\RefineRTDCRunTimes.py" --tripid 146-26 --locoid 4005 --swversion DE.1.0.9.0 --startMP 204:232990 --initTime 2017-05-26T10:06:50 --startdatetime 2017-05-26T10:12:36 --delay 3 --endMP 204:154 --enddatetime 2017-05-26T10:49:44 --enforcementcount 0 &gt;&gt;C:\Users\stu\Documents\GitHub\eaglep3-reporting\EC\2017-05-26-refined-times.txt</v>
      </c>
      <c r="AI5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{"issue":{"subject":"","project_id":79,"tracker_id":40,"status_id":1,"priority_id":2,"assigned_to_id":23,"start_date":"2017-05-26","description":"","custom_fields":[{"id":1,"name":"Subdivision","value":"EC"},{"id":4,"name":"Milepost","value":"0.0154"},{"id":17,"name":"Train ID","value":"146-26"},{"id":16,"name":"Locomotive ID","value":"4005"},{"id":130,"name":"Impact","value":""},{"id":150,"name":"Time of Event (Mountain Time)","value":"10:49:44"},{"id":151,"name":"Denver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4005 --day 2017-05-26</v>
      </c>
      <c r="AN5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698</v>
      </c>
      <c r="B59" s="7">
        <v>4002</v>
      </c>
      <c r="C59" s="21" t="s">
        <v>204</v>
      </c>
      <c r="D59" s="21" t="s">
        <v>368</v>
      </c>
      <c r="E59" s="13">
        <v>42881.392939814818</v>
      </c>
      <c r="F59" s="13">
        <v>42881.396006944444</v>
      </c>
      <c r="G59" s="7">
        <v>1</v>
      </c>
      <c r="H59" s="21" t="s">
        <v>563</v>
      </c>
      <c r="I59" s="13">
        <v>42881.422291666669</v>
      </c>
      <c r="J59" s="7">
        <v>0</v>
      </c>
      <c r="K59" s="92" t="str">
        <f t="shared" si="0"/>
        <v>4001/4002</v>
      </c>
      <c r="L59" s="21" t="str">
        <f>VLOOKUP(A59,'Trips&amp;Operators'!$C$1:$G$99999,5,FALSE)</f>
        <v>BONDS REYNALDO</v>
      </c>
      <c r="M59" s="6">
        <f t="shared" si="1"/>
        <v>2.6284722225682344E-2</v>
      </c>
      <c r="N59" s="7">
        <f t="shared" si="27"/>
        <v>37.850000004982576</v>
      </c>
      <c r="O59" s="7"/>
      <c r="P59" s="7"/>
      <c r="Q59" s="22"/>
      <c r="R59" s="173"/>
      <c r="S59" s="176">
        <f t="shared" si="23"/>
        <v>1</v>
      </c>
      <c r="T59" s="202" t="str">
        <f t="shared" si="3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4"/>
        <v>https://d0f6bd738d7f1b3e5a7ca70fe4ff75f0.us-east-1.aws.found.io/app/kibana#/discover/Steve-Slow-Train-Analysis-(2080s-and-2083s)?_g=(refreshInterval:(display:Off,pause:!f,section:0,value:0),time:(from:'2017-05-26T08:25:50-0600',mode:absolute,to:'2017-05-26T11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204" t="str">
        <f t="shared" si="5"/>
        <v>N</v>
      </c>
      <c r="X59" s="204">
        <f t="shared" si="24"/>
        <v>1</v>
      </c>
      <c r="Y59" s="204">
        <f t="shared" si="25"/>
        <v>4.5499999999999999E-2</v>
      </c>
      <c r="Z59" s="204">
        <f t="shared" si="26"/>
        <v>23.3338</v>
      </c>
      <c r="AA59" s="204">
        <f t="shared" si="9"/>
        <v>23.2883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0"/>
        <v>0147-26</v>
      </c>
      <c r="AE59" s="80" t="str">
        <f t="shared" si="11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59" s="77" t="str">
        <f t="shared" si="12"/>
        <v>"C:\Program Files (x86)\AstroGrep\AstroGrep.exe" /e /r /s /spath="%USERPROFILE%\AppData\Local\Temp\OnboardLogs" /stypes="app*4002*20170526*" /stext=" 16:.+((SYSTEM_STATE.+slice.+state.+changed )|(ment ac)|(multiple cpu faults)|(system.+state.+changed )|(\[timeout)|(PRM\|1\|D)|(kpr)|(kdp)|(train st.+moving)|(\|lc)|(penalty))"</v>
      </c>
      <c r="AG59" s="1" t="str">
        <f t="shared" si="13"/>
        <v>EC</v>
      </c>
      <c r="AH59" s="81" t="str">
        <f t="shared" si="19"/>
        <v>"%USERPROFILE%\Documents\GitHub\eaglep3\Utilities\RefineRTDCRunTimes.py" --tripid 147-26 --locoid 4002 --swversion DE.1.0.9.0 --startMP 204:455 --initTime 2017-05-26T09:25:50 --startdatetime 2017-05-26T09:30:15 --delay 1 --endMP 204:233338 --enddatetime 2017-05-26T10:08:06 --enforcementcount 0 &gt;&gt;C:\Users\stu\Documents\GitHub\eaglep3-reporting\EC\2017-05-26-refined-times.txt</v>
      </c>
      <c r="AI5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{"issue":{"subject":"","project_id":79,"tracker_id":40,"status_id":1,"priority_id":2,"assigned_to_id":23,"start_date":"2017-05-26","description":"","custom_fields":[{"id":1,"name":"Subdivision","value":"EC"},{"id":4,"name":"Milepost","value":"23.3338"},{"id":17,"name":"Train ID","value":"147-26"},{"id":16,"name":"Locomotive ID","value":"4002"},{"id":130,"name":"Impact","value":""},{"id":150,"name":"Time of Event (Mountain Time)","value":"10:08:06"},{"id":151,"name":"Denver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4002 --day 2017-05-26</v>
      </c>
      <c r="AN5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703</v>
      </c>
      <c r="B60" s="7">
        <v>4001</v>
      </c>
      <c r="C60" s="21" t="s">
        <v>204</v>
      </c>
      <c r="D60" s="21" t="s">
        <v>558</v>
      </c>
      <c r="E60" s="13">
        <v>42881.431979166664</v>
      </c>
      <c r="F60" s="13">
        <v>42881.435613425929</v>
      </c>
      <c r="G60" s="7">
        <v>1</v>
      </c>
      <c r="H60" s="21" t="s">
        <v>196</v>
      </c>
      <c r="I60" s="13">
        <v>42881.463159722225</v>
      </c>
      <c r="J60" s="7">
        <v>0</v>
      </c>
      <c r="K60" s="92" t="str">
        <f t="shared" si="0"/>
        <v>4001/4002</v>
      </c>
      <c r="L60" s="21" t="str">
        <f>VLOOKUP(A60,'Trips&amp;Operators'!$C$1:$G$99999,5,FALSE)</f>
        <v>BONDS REYNALDO</v>
      </c>
      <c r="M60" s="6">
        <f t="shared" si="1"/>
        <v>2.7546296296350192E-2</v>
      </c>
      <c r="N60" s="7">
        <f t="shared" si="27"/>
        <v>39.666666666744277</v>
      </c>
      <c r="O60" s="7"/>
      <c r="P60" s="7"/>
      <c r="Q60" s="22"/>
      <c r="R60" s="173"/>
      <c r="S60" s="176">
        <f t="shared" si="23"/>
        <v>1</v>
      </c>
      <c r="T60" s="202" t="str">
        <f t="shared" si="3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4"/>
        <v>https://d0f6bd738d7f1b3e5a7ca70fe4ff75f0.us-east-1.aws.found.io/app/kibana#/discover/Steve-Slow-Train-Analysis-(2080s-and-2083s)?_g=(refreshInterval:(display:Off,pause:!f,section:0,value:0),time:(from:'2017-05-26T09:22:03-0600',mode:absolute,to:'2017-05-26T12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204" t="str">
        <f t="shared" si="5"/>
        <v>N</v>
      </c>
      <c r="X60" s="204">
        <f t="shared" si="24"/>
        <v>1</v>
      </c>
      <c r="Y60" s="204">
        <f t="shared" si="25"/>
        <v>23.2989</v>
      </c>
      <c r="Z60" s="204">
        <f t="shared" si="26"/>
        <v>1.5800000000000002E-2</v>
      </c>
      <c r="AA60" s="204">
        <f t="shared" si="9"/>
        <v>23.283100000000001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0"/>
        <v>0148-26</v>
      </c>
      <c r="AE60" s="80" t="str">
        <f t="shared" si="11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60" s="77" t="str">
        <f t="shared" si="12"/>
        <v>"C:\Program Files (x86)\AstroGrep\AstroGrep.exe" /e /r /s /spath="%USERPROFILE%\AppData\Local\Temp\OnboardLogs" /stypes="app*4001*20170526*" /stext=" 17:.+((SYSTEM_STATE.+slice.+state.+changed )|(ment ac)|(multiple cpu faults)|(system.+state.+changed )|(\[timeout)|(PRM\|1\|D)|(kpr)|(kdp)|(train st.+moving)|(\|lc)|(penalty))"</v>
      </c>
      <c r="AG60" s="1" t="str">
        <f t="shared" si="13"/>
        <v>EC</v>
      </c>
      <c r="AH60" s="81" t="str">
        <f t="shared" si="19"/>
        <v>"%USERPROFILE%\Documents\GitHub\eaglep3\Utilities\RefineRTDCRunTimes.py" --tripid 148-26 --locoid 4001 --swversion DE.1.0.9.0 --startMP 204:232989 --initTime 2017-05-26T10:22:03 --startdatetime 2017-05-26T10:27:17 --delay 1 --endMP 204:158 --enddatetime 2017-05-26T11:06:57 --enforcementcount 0 &gt;&gt;C:\Users\stu\Documents\GitHub\eaglep3-reporting\EC\2017-05-26-refined-times.txt</v>
      </c>
      <c r="AI6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{"issue":{"subject":"","project_id":79,"tracker_id":40,"status_id":1,"priority_id":2,"assigned_to_id":23,"start_date":"2017-05-26","description":"","custom_fields":[{"id":1,"name":"Subdivision","value":"EC"},{"id":4,"name":"Milepost","value":"0.0158"},{"id":17,"name":"Train ID","value":"148-26"},{"id":16,"name":"Locomotive ID","value":"4001"},{"id":130,"name":"Impact","value":""},{"id":150,"name":"Time of Event (Mountain Time)","value":"11:06:57"},{"id":151,"name":"Denver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4001 --day 2017-05-26</v>
      </c>
      <c r="AN6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609</v>
      </c>
      <c r="B61" s="7">
        <v>4058</v>
      </c>
      <c r="C61" s="21" t="s">
        <v>204</v>
      </c>
      <c r="D61" s="21" t="s">
        <v>349</v>
      </c>
      <c r="E61" s="13">
        <v>42881.402824074074</v>
      </c>
      <c r="F61" s="13">
        <v>42881.406400462962</v>
      </c>
      <c r="G61" s="7">
        <v>1</v>
      </c>
      <c r="H61" s="21" t="s">
        <v>425</v>
      </c>
      <c r="I61" s="13">
        <v>42881.431550925925</v>
      </c>
      <c r="J61" s="7">
        <v>0</v>
      </c>
      <c r="K61" s="92" t="str">
        <f t="shared" si="0"/>
        <v>4057/4058</v>
      </c>
      <c r="L61" s="21" t="str">
        <f>VLOOKUP(A61,'Trips&amp;Operators'!$C$1:$G$99999,5,FALSE)</f>
        <v>BIRENBAUM THOMAS</v>
      </c>
      <c r="M61" s="6">
        <f t="shared" si="1"/>
        <v>2.5150462963210884E-2</v>
      </c>
      <c r="N61" s="7">
        <f t="shared" si="27"/>
        <v>36.216666667023674</v>
      </c>
      <c r="O61" s="7"/>
      <c r="P61" s="7"/>
      <c r="Q61" s="22"/>
      <c r="R61" s="173"/>
      <c r="S61" s="176">
        <f t="shared" si="23"/>
        <v>1</v>
      </c>
      <c r="T61" s="202" t="str">
        <f t="shared" si="3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4"/>
        <v>https://d0f6bd738d7f1b3e5a7ca70fe4ff75f0.us-east-1.aws.found.io/app/kibana#/discover/Steve-Slow-Train-Analysis-(2080s-and-2083s)?_g=(refreshInterval:(display:Off,pause:!f,section:0,value:0),time:(from:'2017-05-26T08:40:04-0600',mode:absolute,to:'2017-05-26T11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1" s="204" t="str">
        <f t="shared" si="5"/>
        <v>N</v>
      </c>
      <c r="X61" s="204">
        <f t="shared" si="24"/>
        <v>1</v>
      </c>
      <c r="Y61" s="204">
        <f t="shared" si="25"/>
        <v>4.4600000000000001E-2</v>
      </c>
      <c r="Z61" s="204">
        <f t="shared" si="26"/>
        <v>23.329899999999999</v>
      </c>
      <c r="AA61" s="204">
        <f t="shared" si="9"/>
        <v>23.285299999999999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0"/>
        <v>0149-26</v>
      </c>
      <c r="AE61" s="80" t="str">
        <f t="shared" si="11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61" s="77" t="str">
        <f t="shared" si="12"/>
        <v>"C:\Program Files (x86)\AstroGrep\AstroGrep.exe" /e /r /s /spath="%USERPROFILE%\AppData\Local\Temp\OnboardLogs" /stypes="app*4058*20170526*" /stext=" 16:.+((SYSTEM_STATE.+slice.+state.+changed )|(ment ac)|(multiple cpu faults)|(system.+state.+changed )|(\[timeout)|(PRM\|1\|D)|(kpr)|(kdp)|(train st.+moving)|(\|lc)|(penalty))"</v>
      </c>
      <c r="AG61" s="1" t="str">
        <f t="shared" si="13"/>
        <v>EC</v>
      </c>
      <c r="AH61" s="81" t="str">
        <f t="shared" si="19"/>
        <v>"%USERPROFILE%\Documents\GitHub\eaglep3\Utilities\RefineRTDCRunTimes.py" --tripid 149-26 --locoid 4058 --swversion DE.1.0.9.0 --startMP 204:446 --initTime 2017-05-26T09:40:04 --startdatetime 2017-05-26T09:45:13 --delay 1 --endMP 204:233299 --enddatetime 2017-05-26T10:21:26 --enforcementcount 0 &gt;&gt;C:\Users\stu\Documents\GitHub\eaglep3-reporting\EC\2017-05-26-refined-times.txt</v>
      </c>
      <c r="AI6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{"issue":{"subject":"","project_id":79,"tracker_id":40,"status_id":1,"priority_id":2,"assigned_to_id":23,"start_date":"2017-05-26","description":"","custom_fields":[{"id":1,"name":"Subdivision","value":"EC"},{"id":4,"name":"Milepost","value":"23.3299"},{"id":17,"name":"Train ID","value":"149-26"},{"id":16,"name":"Locomotive ID","value":"4058"},{"id":130,"name":"Impact","value":""},{"id":150,"name":"Time of Event (Mountain Time)","value":"10:21:26"},{"id":151,"name":"Denver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4058 --day 2017-05-26</v>
      </c>
      <c r="AN6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710</v>
      </c>
      <c r="B62" s="7">
        <v>4057</v>
      </c>
      <c r="C62" s="21" t="s">
        <v>204</v>
      </c>
      <c r="D62" s="21" t="s">
        <v>449</v>
      </c>
      <c r="E62" s="13">
        <v>42881.442650462966</v>
      </c>
      <c r="F62" s="13">
        <v>42881.445983796293</v>
      </c>
      <c r="G62" s="7">
        <v>1</v>
      </c>
      <c r="H62" s="21" t="s">
        <v>353</v>
      </c>
      <c r="I62" s="13">
        <v>42881.472870370373</v>
      </c>
      <c r="J62" s="7">
        <v>0</v>
      </c>
      <c r="K62" s="92" t="str">
        <f t="shared" si="0"/>
        <v>4057/4058</v>
      </c>
      <c r="L62" s="21" t="str">
        <f>VLOOKUP(A62,'Trips&amp;Operators'!$C$1:$G$99999,5,FALSE)</f>
        <v>BIRENBAUM THOMAS</v>
      </c>
      <c r="M62" s="6">
        <f t="shared" si="1"/>
        <v>2.6886574079981074E-2</v>
      </c>
      <c r="N62" s="7">
        <f t="shared" si="27"/>
        <v>38.716666675172746</v>
      </c>
      <c r="O62" s="7"/>
      <c r="P62" s="7"/>
      <c r="Q62" s="22"/>
      <c r="R62" s="173"/>
      <c r="S62" s="176">
        <f t="shared" si="23"/>
        <v>1</v>
      </c>
      <c r="T62" s="202" t="str">
        <f t="shared" si="3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4"/>
        <v>https://d0f6bd738d7f1b3e5a7ca70fe4ff75f0.us-east-1.aws.found.io/app/kibana#/discover/Steve-Slow-Train-Analysis-(2080s-and-2083s)?_g=(refreshInterval:(display:Off,pause:!f,section:0,value:0),time:(from:'2017-05-26T09:37:25-0600',mode:absolute,to:'2017-05-26T12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2" s="204" t="str">
        <f t="shared" si="5"/>
        <v>N</v>
      </c>
      <c r="X62" s="204">
        <f t="shared" si="24"/>
        <v>1</v>
      </c>
      <c r="Y62" s="204">
        <f t="shared" si="25"/>
        <v>23.2973</v>
      </c>
      <c r="Z62" s="204">
        <f t="shared" si="26"/>
        <v>1.43E-2</v>
      </c>
      <c r="AA62" s="204">
        <f t="shared" si="9"/>
        <v>23.283000000000001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0"/>
        <v>0150-26</v>
      </c>
      <c r="AE62" s="80" t="str">
        <f t="shared" si="11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62" s="77" t="str">
        <f t="shared" si="12"/>
        <v>"C:\Program Files (x86)\AstroGrep\AstroGrep.exe" /e /r /s /spath="%USERPROFILE%\AppData\Local\Temp\OnboardLogs" /stypes="app*4057*20170526*" /stext=" 17:.+((SYSTEM_STATE.+slice.+state.+changed )|(ment ac)|(multiple cpu faults)|(system.+state.+changed )|(\[timeout)|(PRM\|1\|D)|(kpr)|(kdp)|(train st.+moving)|(\|lc)|(penalty))"</v>
      </c>
      <c r="AG62" s="1" t="str">
        <f t="shared" si="13"/>
        <v>EC</v>
      </c>
      <c r="AH62" s="81" t="str">
        <f t="shared" si="19"/>
        <v>"%USERPROFILE%\Documents\GitHub\eaglep3\Utilities\RefineRTDCRunTimes.py" --tripid 150-26 --locoid 4057 --swversion DE.1.0.9.0 --startMP 204:232973 --initTime 2017-05-26T10:37:25 --startdatetime 2017-05-26T10:42:13 --delay 1 --endMP 204:143 --enddatetime 2017-05-26T11:20:56 --enforcementcount 0 &gt;&gt;C:\Users\stu\Documents\GitHub\eaglep3-reporting\EC\2017-05-26-refined-times.txt</v>
      </c>
      <c r="AI6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ID","value":"150-26"},{"id":16,"name":"Locomotive ID","value":"4057"},{"id":130,"name":"Impact","value":""},{"id":150,"name":"Time of Event (Mountain Time)","value":"11:20:56"},{"id":151,"name":"Denver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4057 --day 2017-05-26</v>
      </c>
      <c r="AN6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607</v>
      </c>
      <c r="B63" s="7">
        <v>4044</v>
      </c>
      <c r="C63" s="21" t="s">
        <v>204</v>
      </c>
      <c r="D63" s="21" t="s">
        <v>559</v>
      </c>
      <c r="E63" s="13">
        <v>42881.412870370368</v>
      </c>
      <c r="F63" s="13">
        <v>42881.416817129626</v>
      </c>
      <c r="G63" s="7">
        <v>1</v>
      </c>
      <c r="H63" s="21" t="s">
        <v>863</v>
      </c>
      <c r="I63" s="13">
        <v>42881.442928240744</v>
      </c>
      <c r="J63" s="7">
        <v>0</v>
      </c>
      <c r="K63" s="92" t="str">
        <f t="shared" si="0"/>
        <v>4043/4044</v>
      </c>
      <c r="L63" s="21" t="str">
        <f>VLOOKUP(A63,'Trips&amp;Operators'!$C$1:$G$99999,5,FALSE)</f>
        <v>DAVIS WENDY</v>
      </c>
      <c r="M63" s="6">
        <f t="shared" si="1"/>
        <v>2.6111111117643304E-2</v>
      </c>
      <c r="N63" s="7">
        <f t="shared" si="27"/>
        <v>37.600000009406358</v>
      </c>
      <c r="O63" s="7"/>
      <c r="P63" s="7"/>
      <c r="Q63" s="22"/>
      <c r="R63" s="173"/>
      <c r="S63" s="176">
        <f t="shared" si="23"/>
        <v>1</v>
      </c>
      <c r="T63" s="202" t="str">
        <f t="shared" si="3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4"/>
        <v>https://d0f6bd738d7f1b3e5a7ca70fe4ff75f0.us-east-1.aws.found.io/app/kibana#/discover/Steve-Slow-Train-Analysis-(2080s-and-2083s)?_g=(refreshInterval:(display:Off,pause:!f,section:0,value:0),time:(from:'2017-05-26T08:54:32-0600',mode:absolute,to:'2017-05-26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204" t="str">
        <f t="shared" si="5"/>
        <v>N</v>
      </c>
      <c r="X63" s="204">
        <f t="shared" si="24"/>
        <v>1</v>
      </c>
      <c r="Y63" s="204">
        <f t="shared" si="25"/>
        <v>4.3799999999999999E-2</v>
      </c>
      <c r="Z63" s="204">
        <f t="shared" si="26"/>
        <v>23.3306</v>
      </c>
      <c r="AA63" s="204">
        <f t="shared" si="9"/>
        <v>23.286799999999999</v>
      </c>
      <c r="AB63" s="57" t="str">
        <f>VLOOKUP(A63,Enforcements!$C$7:$K$13,8,0)</f>
        <v>Bulletin (2)</v>
      </c>
      <c r="AC63" s="53" t="str">
        <f>VLOOKUP(A63,Enforcements!$C$7:$E$13,3,0)</f>
        <v>GRADE CROSSING</v>
      </c>
      <c r="AD63" s="54" t="str">
        <f t="shared" si="10"/>
        <v>0151-26</v>
      </c>
      <c r="AE63" s="80" t="str">
        <f t="shared" si="11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63" s="77" t="str">
        <f t="shared" si="12"/>
        <v>"C:\Program Files (x86)\AstroGrep\AstroGrep.exe" /e /r /s /spath="%USERPROFILE%\AppData\Local\Temp\OnboardLogs" /stypes="app*4044*20170526*" /stext=" 16:.+((SYSTEM_STATE.+slice.+state.+changed )|(ment ac)|(multiple cpu faults)|(system.+state.+changed )|(\[timeout)|(PRM\|1\|D)|(kpr)|(kdp)|(train st.+moving)|(\|lc)|(penalty))"</v>
      </c>
      <c r="AG63" s="1" t="str">
        <f t="shared" si="13"/>
        <v>EC</v>
      </c>
      <c r="AH63" s="81" t="str">
        <f t="shared" si="19"/>
        <v>"%USERPROFILE%\Documents\GitHub\eaglep3\Utilities\RefineRTDCRunTimes.py" --tripid 151-26 --locoid 4044 --swversion DE.1.0.9.0 --startMP 204:438 --initTime 2017-05-26T09:54:32 --startdatetime 2017-05-26T10:00:13 --delay 1 --endMP 204:233306 --enddatetime 2017-05-26T10:37:49 --enforcementcount 0 &gt;&gt;C:\Users\stu\Documents\GitHub\eaglep3-reporting\EC\2017-05-26-refined-times.txt</v>
      </c>
      <c r="AI6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{"issue":{"subject":"","project_id":79,"tracker_id":40,"status_id":1,"priority_id":2,"assigned_to_id":23,"start_date":"2017-05-26","description":"","custom_fields":[{"id":1,"name":"Subdivision","value":"EC"},{"id":4,"name":"Milepost","value":"23.3306"},{"id":17,"name":"Train ID","value":"151-26"},{"id":16,"name":"Locomotive ID","value":"4044"},{"id":130,"name":"Impact","value":""},{"id":150,"name":"Time of Event (Mountain Time)","value":"10:37:49"},{"id":151,"name":"Denver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4044 --day 2017-05-26</v>
      </c>
      <c r="AN6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716</v>
      </c>
      <c r="B64" s="7">
        <v>4043</v>
      </c>
      <c r="C64" s="21" t="s">
        <v>204</v>
      </c>
      <c r="D64" s="21" t="s">
        <v>464</v>
      </c>
      <c r="E64" s="13">
        <v>42881.453194444446</v>
      </c>
      <c r="F64" s="13">
        <v>42881.456585648149</v>
      </c>
      <c r="G64" s="7">
        <v>1</v>
      </c>
      <c r="H64" s="21" t="s">
        <v>557</v>
      </c>
      <c r="I64" s="13">
        <v>42881.484583333331</v>
      </c>
      <c r="J64" s="7">
        <v>0</v>
      </c>
      <c r="K64" s="92" t="str">
        <f t="shared" si="0"/>
        <v>4043/4044</v>
      </c>
      <c r="L64" s="21" t="str">
        <f>VLOOKUP(A64,'Trips&amp;Operators'!$C$1:$G$99999,5,FALSE)</f>
        <v>DAVIS WENDY</v>
      </c>
      <c r="M64" s="6">
        <f t="shared" si="1"/>
        <v>2.7997685181617271E-2</v>
      </c>
      <c r="N64" s="7">
        <f t="shared" si="27"/>
        <v>40.31666666152887</v>
      </c>
      <c r="O64" s="7"/>
      <c r="P64" s="7"/>
      <c r="Q64" s="22"/>
      <c r="R64" s="173"/>
      <c r="S64" s="176">
        <f t="shared" si="23"/>
        <v>1</v>
      </c>
      <c r="T64" s="202" t="str">
        <f t="shared" si="3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4"/>
        <v>https://d0f6bd738d7f1b3e5a7ca70fe4ff75f0.us-east-1.aws.found.io/app/kibana#/discover/Steve-Slow-Train-Analysis-(2080s-and-2083s)?_g=(refreshInterval:(display:Off,pause:!f,section:0,value:0),time:(from:'2017-05-26T09:52:36-0600',mode:absolute,to:'2017-05-26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204" t="str">
        <f t="shared" si="5"/>
        <v>N</v>
      </c>
      <c r="X64" s="204">
        <f t="shared" si="24"/>
        <v>1</v>
      </c>
      <c r="Y64" s="204">
        <f t="shared" si="25"/>
        <v>23.299399999999999</v>
      </c>
      <c r="Z64" s="204">
        <f t="shared" si="26"/>
        <v>1.5599999999999999E-2</v>
      </c>
      <c r="AA64" s="204">
        <f t="shared" si="9"/>
        <v>23.283799999999999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0"/>
        <v>0152-26</v>
      </c>
      <c r="AE64" s="80" t="str">
        <f t="shared" si="11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64" s="77" t="str">
        <f t="shared" si="12"/>
        <v>"C:\Program Files (x86)\AstroGrep\AstroGrep.exe" /e /r /s /spath="%USERPROFILE%\AppData\Local\Temp\OnboardLogs" /stypes="app*4043*20170526*" /stext=" 17:.+((SYSTEM_STATE.+slice.+state.+changed )|(ment ac)|(multiple cpu faults)|(system.+state.+changed )|(\[timeout)|(PRM\|1\|D)|(kpr)|(kdp)|(train st.+moving)|(\|lc)|(penalty))"</v>
      </c>
      <c r="AG64" s="1" t="str">
        <f t="shared" si="13"/>
        <v>EC</v>
      </c>
      <c r="AH64" s="81" t="str">
        <f t="shared" si="19"/>
        <v>"%USERPROFILE%\Documents\GitHub\eaglep3\Utilities\RefineRTDCRunTimes.py" --tripid 152-26 --locoid 4043 --swversion DE.1.0.9.0 --startMP 204:232994 --initTime 2017-05-26T10:52:36 --startdatetime 2017-05-26T10:57:29 --delay 1 --endMP 204:156 --enddatetime 2017-05-26T11:37:48 --enforcementcount 0 &gt;&gt;C:\Users\stu\Documents\GitHub\eaglep3-reporting\EC\2017-05-26-refined-times.txt</v>
      </c>
      <c r="AI6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{"issue":{"subject":"","project_id":79,"tracker_id":40,"status_id":1,"priority_id":2,"assigned_to_id":23,"start_date":"2017-05-26","description":"","custom_fields":[{"id":1,"name":"Subdivision","value":"EC"},{"id":4,"name":"Milepost","value":"0.0156"},{"id":17,"name":"Train ID","value":"152-26"},{"id":16,"name":"Locomotive ID","value":"4043"},{"id":130,"name":"Impact","value":""},{"id":150,"name":"Time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4043 --day 2017-05-26</v>
      </c>
      <c r="AN6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702</v>
      </c>
      <c r="B65" s="7">
        <v>4016</v>
      </c>
      <c r="C65" s="21" t="s">
        <v>204</v>
      </c>
      <c r="D65" s="21" t="s">
        <v>559</v>
      </c>
      <c r="E65" s="13">
        <v>42881.423159722224</v>
      </c>
      <c r="F65" s="13">
        <v>42881.427303240744</v>
      </c>
      <c r="G65" s="7">
        <v>1</v>
      </c>
      <c r="H65" s="21" t="s">
        <v>425</v>
      </c>
      <c r="I65" s="13">
        <v>42881.452384259261</v>
      </c>
      <c r="J65" s="7">
        <v>0</v>
      </c>
      <c r="K65" s="92" t="str">
        <f t="shared" si="0"/>
        <v>4015/4016</v>
      </c>
      <c r="L65" s="21" t="str">
        <f>VLOOKUP(A65,'Trips&amp;Operators'!$C$1:$G$99999,5,FALSE)</f>
        <v>GUZMAN DANNY</v>
      </c>
      <c r="M65" s="6">
        <f t="shared" si="1"/>
        <v>2.5081018517084885E-2</v>
      </c>
      <c r="N65" s="7">
        <f t="shared" si="27"/>
        <v>36.116666664602235</v>
      </c>
      <c r="O65" s="7"/>
      <c r="P65" s="7"/>
      <c r="Q65" s="22"/>
      <c r="R65" s="173"/>
      <c r="S65" s="176">
        <f t="shared" si="23"/>
        <v>1</v>
      </c>
      <c r="T65" s="202" t="str">
        <f t="shared" si="3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4"/>
        <v>https://d0f6bd738d7f1b3e5a7ca70fe4ff75f0.us-east-1.aws.found.io/app/kibana#/discover/Steve-Slow-Train-Analysis-(2080s-and-2083s)?_g=(refreshInterval:(display:Off,pause:!f,section:0,value:0),time:(from:'2017-05-26T09:09:21-0600',mode:absolute,to:'2017-05-26T11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204" t="str">
        <f t="shared" si="5"/>
        <v>N</v>
      </c>
      <c r="X65" s="204">
        <f t="shared" si="24"/>
        <v>1</v>
      </c>
      <c r="Y65" s="204">
        <f t="shared" si="25"/>
        <v>4.3799999999999999E-2</v>
      </c>
      <c r="Z65" s="204">
        <f t="shared" si="26"/>
        <v>23.329899999999999</v>
      </c>
      <c r="AA65" s="204">
        <f t="shared" si="9"/>
        <v>23.286099999999998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0"/>
        <v>0153-26</v>
      </c>
      <c r="AE65" s="80" t="str">
        <f t="shared" si="11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65" s="77" t="str">
        <f t="shared" si="12"/>
        <v>"C:\Program Files (x86)\AstroGrep\AstroGrep.exe" /e /r /s /spath="%USERPROFILE%\AppData\Local\Temp\OnboardLogs" /stypes="app*4016*20170526*" /stext=" 16:.+((SYSTEM_STATE.+slice.+state.+changed )|(ment ac)|(multiple cpu faults)|(system.+state.+changed )|(\[timeout)|(PRM\|1\|D)|(kpr)|(kdp)|(train st.+moving)|(\|lc)|(penalty))"</v>
      </c>
      <c r="AG65" s="1" t="str">
        <f t="shared" si="13"/>
        <v>EC</v>
      </c>
      <c r="AH65" s="81" t="str">
        <f t="shared" si="19"/>
        <v>"%USERPROFILE%\Documents\GitHub\eaglep3\Utilities\RefineRTDCRunTimes.py" --tripid 153-26 --locoid 4016 --swversion DE.1.0.9.0 --startMP 204:438 --initTime 2017-05-26T10:09:21 --startdatetime 2017-05-26T10:15:19 --delay 1 --endMP 204:233299 --enddatetime 2017-05-26T10:51:26 --enforcementcount 0 &gt;&gt;C:\Users\stu\Documents\GitHub\eaglep3-reporting\EC\2017-05-26-refined-times.txt</v>
      </c>
      <c r="AI6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{"issue":{"subject":"","project_id":79,"tracker_id":40,"status_id":1,"priority_id":2,"assigned_to_id":23,"start_date":"2017-05-26","description":"","custom_fields":[{"id":1,"name":"Subdivision","value":"EC"},{"id":4,"name":"Milepost","value":"23.3299"},{"id":17,"name":"Train ID","value":"153-26"},{"id":16,"name":"Locomotive ID","value":"4016"},{"id":130,"name":"Impact","value":""},{"id":150,"name":"Time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4016 --day 2017-05-26</v>
      </c>
      <c r="AN6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4015</v>
      </c>
      <c r="C66" s="21" t="s">
        <v>204</v>
      </c>
      <c r="D66" s="21" t="s">
        <v>472</v>
      </c>
      <c r="E66" s="13">
        <v>42881.454270833332</v>
      </c>
      <c r="F66" s="13">
        <v>42881.466828703706</v>
      </c>
      <c r="G66" s="7">
        <v>1</v>
      </c>
      <c r="H66" s="21" t="s">
        <v>557</v>
      </c>
      <c r="I66" s="13">
        <v>42881.493807870371</v>
      </c>
      <c r="J66" s="7">
        <v>0</v>
      </c>
      <c r="K66" s="92" t="str">
        <f t="shared" si="0"/>
        <v>4015/4016</v>
      </c>
      <c r="L66" s="21" t="str">
        <f>VLOOKUP(A66,'Trips&amp;Operators'!$C$1:$G$99999,5,FALSE)</f>
        <v>GUZMAN DANNY</v>
      </c>
      <c r="M66" s="6">
        <f t="shared" si="1"/>
        <v>2.6979166665114462E-2</v>
      </c>
      <c r="N66" s="7">
        <f t="shared" si="27"/>
        <v>38.849999997764826</v>
      </c>
      <c r="O66" s="7"/>
      <c r="P66" s="7"/>
      <c r="Q66" s="22"/>
      <c r="R66" s="173"/>
      <c r="S66" s="176">
        <f t="shared" si="23"/>
        <v>1</v>
      </c>
      <c r="T66" s="202" t="str">
        <f t="shared" si="3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4"/>
        <v>https://d0f6bd738d7f1b3e5a7ca70fe4ff75f0.us-east-1.aws.found.io/app/kibana#/discover/Steve-Slow-Train-Analysis-(2080s-and-2083s)?_g=(refreshInterval:(display:Off,pause:!f,section:0,value:0),time:(from:'2017-05-26T09:54:09-0600',mode:absolute,to:'2017-05-26T12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204" t="str">
        <f t="shared" si="5"/>
        <v>N</v>
      </c>
      <c r="X66" s="204">
        <f t="shared" si="24"/>
        <v>1</v>
      </c>
      <c r="Y66" s="204">
        <f t="shared" si="25"/>
        <v>23.298999999999999</v>
      </c>
      <c r="Z66" s="204">
        <f t="shared" si="26"/>
        <v>1.5599999999999999E-2</v>
      </c>
      <c r="AA66" s="204">
        <f t="shared" si="9"/>
        <v>23.2834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0"/>
        <v>0154-26</v>
      </c>
      <c r="AE66" s="80" t="str">
        <f t="shared" si="11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66" s="77" t="str">
        <f t="shared" si="12"/>
        <v>"C:\Program Files (x86)\AstroGrep\AstroGrep.exe" /e /r /s /spath="%USERPROFILE%\AppData\Local\Temp\OnboardLogs" /stypes="app*4015*20170526*" /stext=" 17:.+((SYSTEM_STATE.+slice.+state.+changed )|(ment ac)|(multiple cpu faults)|(system.+state.+changed )|(\[timeout)|(PRM\|1\|D)|(kpr)|(kdp)|(train st.+moving)|(\|lc)|(penalty))"</v>
      </c>
      <c r="AG66" s="1" t="str">
        <f t="shared" si="13"/>
        <v>EC</v>
      </c>
      <c r="AH66" s="81" t="str">
        <f t="shared" si="19"/>
        <v>"%USERPROFILE%\Documents\GitHub\eaglep3\Utilities\RefineRTDCRunTimes.py" --tripid 154-26 --locoid 4015 --swversion DE.1.0.9.0 --startMP 204:232990 --initTime 2017-05-26T10:54:09 --startdatetime 2017-05-26T11:12:14 --delay 1 --endMP 204:156 --enddatetime 2017-05-26T11:51:05 --enforcementcount 0 &gt;&gt;C:\Users\stu\Documents\GitHub\eaglep3-reporting\EC\2017-05-26-refined-times.txt</v>
      </c>
      <c r="AI6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{"issue":{"subject":"","project_id":79,"tracker_id":40,"status_id":1,"priority_id":2,"assigned_to_id":23,"start_date":"2017-05-26","description":"","custom_fields":[{"id":1,"name":"Subdivision","value":"EC"},{"id":4,"name":"Milepost","value":"0.0156"},{"id":17,"name":"Train ID","value":"154-26"},{"id":16,"name":"Locomotive ID","value":"4015"},{"id":130,"name":"Impact","value":""},{"id":150,"name":"Time of Event (Mountain Time)","value":"11:51:05"},{"id":151,"name":"Denver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4015 --day 2017-05-26</v>
      </c>
      <c r="AN6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704</v>
      </c>
      <c r="B67" s="7">
        <v>4026</v>
      </c>
      <c r="C67" s="21" t="s">
        <v>204</v>
      </c>
      <c r="D67" s="21" t="s">
        <v>200</v>
      </c>
      <c r="E67" s="13">
        <v>42881.435046296298</v>
      </c>
      <c r="F67" s="13">
        <v>42881.438587962963</v>
      </c>
      <c r="G67" s="7">
        <v>2</v>
      </c>
      <c r="H67" s="21" t="s">
        <v>501</v>
      </c>
      <c r="I67" s="13">
        <v>42881.465266203704</v>
      </c>
      <c r="J67" s="7">
        <v>0</v>
      </c>
      <c r="K67" s="92" t="str">
        <f t="shared" si="0"/>
        <v>4025/4026</v>
      </c>
      <c r="L67" s="21" t="str">
        <f>VLOOKUP(A67,'Trips&amp;Operators'!$C$1:$G$99999,5,FALSE)</f>
        <v>THOMPSON LESTER</v>
      </c>
      <c r="M67" s="6">
        <f t="shared" si="1"/>
        <v>2.6678240741603076E-2</v>
      </c>
      <c r="N67" s="7">
        <f t="shared" si="27"/>
        <v>38.41666666790843</v>
      </c>
      <c r="O67" s="7"/>
      <c r="P67" s="7"/>
      <c r="Q67" s="22"/>
      <c r="R67" s="173" t="s">
        <v>1016</v>
      </c>
      <c r="S67" s="176">
        <f t="shared" si="23"/>
        <v>1</v>
      </c>
      <c r="T67" s="202" t="str">
        <f t="shared" si="3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4"/>
        <v>https://d0f6bd738d7f1b3e5a7ca70fe4ff75f0.us-east-1.aws.found.io/app/kibana#/discover/Steve-Slow-Train-Analysis-(2080s-and-2083s)?_g=(refreshInterval:(display:Off,pause:!f,section:0,value:0),time:(from:'2017-05-26T09:26:28-0600',mode:absolute,to:'2017-05-26T12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204" t="str">
        <f t="shared" si="5"/>
        <v>N</v>
      </c>
      <c r="X67" s="204">
        <f t="shared" si="24"/>
        <v>1</v>
      </c>
      <c r="Y67" s="204">
        <f t="shared" si="25"/>
        <v>4.5699999999999998E-2</v>
      </c>
      <c r="Z67" s="204">
        <f t="shared" si="26"/>
        <v>23.329699999999999</v>
      </c>
      <c r="AA67" s="204">
        <f t="shared" si="9"/>
        <v>23.283999999999999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0"/>
        <v>0155-26</v>
      </c>
      <c r="AE67" s="80" t="str">
        <f t="shared" si="11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67" s="77" t="str">
        <f t="shared" si="12"/>
        <v>"C:\Program Files (x86)\AstroGrep\AstroGrep.exe" /e /r /s /spath="%USERPROFILE%\AppData\Local\Temp\OnboardLogs" /stypes="app*4026*20170526*" /stext=" 17:.+((SYSTEM_STATE.+slice.+state.+changed )|(ment ac)|(multiple cpu faults)|(system.+state.+changed )|(\[timeout)|(PRM\|1\|D)|(kpr)|(kdp)|(train st.+moving)|(\|lc)|(penalty))"</v>
      </c>
      <c r="AG67" s="1" t="str">
        <f t="shared" si="13"/>
        <v>EC</v>
      </c>
      <c r="AH67" s="81" t="str">
        <f t="shared" si="19"/>
        <v>"%USERPROFILE%\Documents\GitHub\eaglep3\Utilities\RefineRTDCRunTimes.py" --tripid 155-26 --locoid 4026 --swversion DE.1.0.9.0 --startMP 204:457 --initTime 2017-05-26T10:26:28 --startdatetime 2017-05-26T10:31:34 --delay 2 --endMP 204:233297 --enddatetime 2017-05-26T11:09:59 --enforcementcount 0 &gt;&gt;C:\Users\stu\Documents\GitHub\eaglep3-reporting\EC\2017-05-26-refined-times.txt</v>
      </c>
      <c r="AI67" s="99" t="str">
        <f t="shared" si="20"/>
        <v>echo {"issue":{"subject":"No issues found - smooth run","project_id":79,"tracker_id":40,"status_id":1,"priority_id":2,"assigned_to_id":23,"start_date":"2017-05-26","description":"","custom_fields":[{"id":1,"name":"Subdivision","value":"EC"},{"id":4,"name":"Milepost","value":"23.3297"},{"id":17,"name":"Train ID","value":"155-26"},{"id":16,"name":"Locomotive ID","value":"4026"},{"id":130,"name":"Impact","value":""},{"id":150,"name":"Time of Event (Mountain Time)","value":"11:09:59"},{"id":151,"name":"Denver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4026 --day 2017-05-26</v>
      </c>
      <c r="AN67" s="154" t="str">
        <f t="shared" si="22"/>
        <v>echo {"issue":{"subject":"No issues found - smooth run","project_id":30,"tracker_id":4,"status_id":1,"priority_id":1,"assigned_to_id":10,"start_date":"2017-05-26","description":"","custom_fields":[{"id":30,"name":"Category","value":"Issue"},{"id":3,"name":"Functional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611</v>
      </c>
      <c r="B68" s="7">
        <v>4025</v>
      </c>
      <c r="C68" s="21" t="s">
        <v>204</v>
      </c>
      <c r="D68" s="21" t="s">
        <v>528</v>
      </c>
      <c r="E68" s="13">
        <v>42881.473634259259</v>
      </c>
      <c r="F68" s="13">
        <v>42881.477222222224</v>
      </c>
      <c r="G68" s="7">
        <v>2</v>
      </c>
      <c r="H68" s="21" t="s">
        <v>350</v>
      </c>
      <c r="I68" s="13">
        <v>42881.506296296298</v>
      </c>
      <c r="J68" s="7">
        <v>0</v>
      </c>
      <c r="K68" s="92" t="str">
        <f t="shared" si="0"/>
        <v>4025/4026</v>
      </c>
      <c r="L68" s="21" t="str">
        <f>VLOOKUP(A68,'Trips&amp;Operators'!$C$1:$G$99999,5,FALSE)</f>
        <v>THOMPSON LESTER</v>
      </c>
      <c r="M68" s="6">
        <f t="shared" si="1"/>
        <v>2.9074074074742384E-2</v>
      </c>
      <c r="N68" s="7">
        <f t="shared" si="27"/>
        <v>41.866666667629033</v>
      </c>
      <c r="O68" s="7"/>
      <c r="P68" s="7"/>
      <c r="Q68" s="22"/>
      <c r="R68" s="173"/>
      <c r="S68" s="176">
        <f t="shared" si="23"/>
        <v>1</v>
      </c>
      <c r="T68" s="202" t="str">
        <f t="shared" si="3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4"/>
        <v>https://d0f6bd738d7f1b3e5a7ca70fe4ff75f0.us-east-1.aws.found.io/app/kibana#/discover/Steve-Slow-Train-Analysis-(2080s-and-2083s)?_g=(refreshInterval:(display:Off,pause:!f,section:0,value:0),time:(from:'2017-05-26T10:22:02-0600',mode:absolute,to:'2017-05-26T13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204" t="str">
        <f t="shared" si="5"/>
        <v>N</v>
      </c>
      <c r="X68" s="204">
        <f t="shared" si="24"/>
        <v>1</v>
      </c>
      <c r="Y68" s="204">
        <f t="shared" si="25"/>
        <v>23.2987</v>
      </c>
      <c r="Z68" s="204">
        <f t="shared" si="26"/>
        <v>1.6E-2</v>
      </c>
      <c r="AA68" s="204">
        <f t="shared" si="9"/>
        <v>23.282700000000002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0"/>
        <v>0156-26</v>
      </c>
      <c r="AE68" s="80" t="str">
        <f t="shared" si="11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68" s="77" t="str">
        <f t="shared" si="12"/>
        <v>"C:\Program Files (x86)\AstroGrep\AstroGrep.exe" /e /r /s /spath="%USERPROFILE%\AppData\Local\Temp\OnboardLogs" /stypes="app*4025*20170526*" /stext=" 18:.+((SYSTEM_STATE.+slice.+state.+changed )|(ment ac)|(multiple cpu faults)|(system.+state.+changed )|(\[timeout)|(PRM\|1\|D)|(kpr)|(kdp)|(train st.+moving)|(\|lc)|(penalty))"</v>
      </c>
      <c r="AG68" s="1" t="str">
        <f t="shared" si="13"/>
        <v>EC</v>
      </c>
      <c r="AH68" s="81" t="str">
        <f t="shared" si="19"/>
        <v>"%USERPROFILE%\Documents\GitHub\eaglep3\Utilities\RefineRTDCRunTimes.py" --tripid 156-26 --locoid 4025 --swversion DE.1.0.9.0 --startMP 204:232987 --initTime 2017-05-26T11:22:02 --startdatetime 2017-05-26T11:27:12 --delay 2 --endMP 204:160 --enddatetime 2017-05-26T12:09:04 --enforcementcount 0 &gt;&gt;C:\Users\stu\Documents\GitHub\eaglep3-reporting\EC\2017-05-26-refined-times.txt</v>
      </c>
      <c r="AI68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ID","value":"156-26"},{"id":16,"name":"Locomotive ID","value":"4025"},{"id":130,"name":"Impact","value":""},{"id":150,"name":"Time of Event (Mountain Time)","value":"12:09:04"},{"id":151,"name":"Denver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4025 --day 2017-05-26</v>
      </c>
      <c r="AN68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712</v>
      </c>
      <c r="B69" s="7">
        <v>4062</v>
      </c>
      <c r="C69" s="21" t="s">
        <v>204</v>
      </c>
      <c r="D69" s="21" t="s">
        <v>400</v>
      </c>
      <c r="E69" s="13">
        <v>42881.444525462961</v>
      </c>
      <c r="F69" s="13">
        <v>42881.448148148149</v>
      </c>
      <c r="G69" s="7">
        <v>1</v>
      </c>
      <c r="H69" s="21" t="s">
        <v>504</v>
      </c>
      <c r="I69" s="13">
        <v>42881.472893518519</v>
      </c>
      <c r="J69" s="7">
        <v>0</v>
      </c>
      <c r="K69" s="92" t="str">
        <f t="shared" si="0"/>
        <v>4061/4062</v>
      </c>
      <c r="L69" s="21" t="str">
        <f>VLOOKUP(A69,'Trips&amp;Operators'!$C$1:$G$99999,5,FALSE)</f>
        <v>WHITED DUSTIN</v>
      </c>
      <c r="M69" s="6">
        <f t="shared" si="1"/>
        <v>2.47453703705105E-2</v>
      </c>
      <c r="N69" s="7">
        <f t="shared" si="27"/>
        <v>35.63333333353512</v>
      </c>
      <c r="O69" s="7"/>
      <c r="P69" s="7"/>
      <c r="Q69" s="22"/>
      <c r="R69" s="173"/>
      <c r="S69" s="176">
        <f t="shared" si="23"/>
        <v>1</v>
      </c>
      <c r="T69" s="202" t="str">
        <f t="shared" si="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4"/>
        <v>https://d0f6bd738d7f1b3e5a7ca70fe4ff75f0.us-east-1.aws.found.io/app/kibana#/discover/Steve-Slow-Train-Analysis-(2080s-and-2083s)?_g=(refreshInterval:(display:Off,pause:!f,section:0,value:0),time:(from:'2017-05-26T09:40:07-0600',mode:absolute,to:'2017-05-26T12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9" s="204" t="str">
        <f t="shared" si="5"/>
        <v>N</v>
      </c>
      <c r="X69" s="204">
        <f t="shared" si="24"/>
        <v>1</v>
      </c>
      <c r="Y69" s="204">
        <f t="shared" si="25"/>
        <v>4.6199999999999998E-2</v>
      </c>
      <c r="Z69" s="204">
        <f t="shared" si="26"/>
        <v>23.328800000000001</v>
      </c>
      <c r="AA69" s="204">
        <f t="shared" si="9"/>
        <v>23.282600000000002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0"/>
        <v>0157-26</v>
      </c>
      <c r="AE69" s="80" t="str">
        <f t="shared" si="11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69" s="77" t="str">
        <f t="shared" si="12"/>
        <v>"C:\Program Files (x86)\AstroGrep\AstroGrep.exe" /e /r /s /spath="%USERPROFILE%\AppData\Local\Temp\OnboardLogs" /stypes="app*4062*20170526*" /stext=" 17:.+((SYSTEM_STATE.+slice.+state.+changed )|(ment ac)|(multiple cpu faults)|(system.+state.+changed )|(\[timeout)|(PRM\|1\|D)|(kpr)|(kdp)|(train st.+moving)|(\|lc)|(penalty))"</v>
      </c>
      <c r="AG69" s="1" t="str">
        <f t="shared" si="13"/>
        <v>EC</v>
      </c>
      <c r="AH69" s="81" t="str">
        <f t="shared" si="19"/>
        <v>"%USERPROFILE%\Documents\GitHub\eaglep3\Utilities\RefineRTDCRunTimes.py" --tripid 157-26 --locoid 4062 --swversion DE.1.0.9.0 --startMP 204:462 --initTime 2017-05-26T10:40:07 --startdatetime 2017-05-26T10:45:20 --delay 1 --endMP 204:233288 --enddatetime 2017-05-26T11:20:58 --enforcementcount 0 &gt;&gt;C:\Users\stu\Documents\GitHub\eaglep3-reporting\EC\2017-05-26-refined-times.txt</v>
      </c>
      <c r="AI69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{"issue":{"subject":"","project_id":79,"tracker_id":40,"status_id":1,"priority_id":2,"assigned_to_id":23,"start_date":"2017-05-26","description":"","custom_fields":[{"id":1,"name":"Subdivision","value":"EC"},{"id":4,"name":"Milepost","value":"23.3288"},{"id":17,"name":"Train ID","value":"157-26"},{"id":16,"name":"Locomotive ID","value":"4062"},{"id":130,"name":"Impact","value":""},{"id":150,"name":"Time of Event (Mountain Time)","value":"11:20:58"},{"id":151,"name":"Denver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4062 --day 2017-05-26</v>
      </c>
      <c r="AN69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724</v>
      </c>
      <c r="B70" s="7">
        <v>4061</v>
      </c>
      <c r="C70" s="21" t="s">
        <v>204</v>
      </c>
      <c r="D70" s="21" t="s">
        <v>497</v>
      </c>
      <c r="E70" s="13">
        <v>42881.481678240743</v>
      </c>
      <c r="F70" s="13">
        <v>42881.48773148148</v>
      </c>
      <c r="G70" s="7">
        <v>1</v>
      </c>
      <c r="H70" s="21" t="s">
        <v>195</v>
      </c>
      <c r="I70" s="13">
        <v>42881.513912037037</v>
      </c>
      <c r="J70" s="7">
        <v>0</v>
      </c>
      <c r="K70" s="92" t="str">
        <f t="shared" si="0"/>
        <v>4061/4062</v>
      </c>
      <c r="L70" s="21" t="str">
        <f>VLOOKUP(A70,'Trips&amp;Operators'!$C$1:$G$99999,5,FALSE)</f>
        <v>WHITED DUSTIN</v>
      </c>
      <c r="M70" s="6">
        <f t="shared" si="1"/>
        <v>2.6180555556493346E-2</v>
      </c>
      <c r="N70" s="7">
        <f t="shared" si="27"/>
        <v>37.700000001350418</v>
      </c>
      <c r="O70" s="7"/>
      <c r="P70" s="7"/>
      <c r="Q70" s="22"/>
      <c r="R70" s="173"/>
      <c r="S70" s="176">
        <f t="shared" si="23"/>
        <v>1</v>
      </c>
      <c r="T70" s="202" t="str">
        <f t="shared" si="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4"/>
        <v>https://d0f6bd738d7f1b3e5a7ca70fe4ff75f0.us-east-1.aws.found.io/app/kibana#/discover/Steve-Slow-Train-Analysis-(2080s-and-2083s)?_g=(refreshInterval:(display:Off,pause:!f,section:0,value:0),time:(from:'2017-05-26T10:33:37-0600',mode:absolute,to:'2017-05-26T13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0" s="204" t="str">
        <f t="shared" si="5"/>
        <v>N</v>
      </c>
      <c r="X70" s="204">
        <f t="shared" si="24"/>
        <v>1</v>
      </c>
      <c r="Y70" s="204">
        <f t="shared" si="25"/>
        <v>23.296900000000001</v>
      </c>
      <c r="Z70" s="204">
        <f t="shared" si="26"/>
        <v>1.52E-2</v>
      </c>
      <c r="AA70" s="204">
        <f t="shared" si="9"/>
        <v>23.281700000000001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0"/>
        <v>0158-26</v>
      </c>
      <c r="AE70" s="80" t="str">
        <f t="shared" si="11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70" s="77" t="str">
        <f t="shared" si="12"/>
        <v>"C:\Program Files (x86)\AstroGrep\AstroGrep.exe" /e /r /s /spath="%USERPROFILE%\AppData\Local\Temp\OnboardLogs" /stypes="app*4061*20170526*" /stext=" 18:.+((SYSTEM_STATE.+slice.+state.+changed )|(ment ac)|(multiple cpu faults)|(system.+state.+changed )|(\[timeout)|(PRM\|1\|D)|(kpr)|(kdp)|(train st.+moving)|(\|lc)|(penalty))"</v>
      </c>
      <c r="AG70" s="1" t="str">
        <f t="shared" si="13"/>
        <v>EC</v>
      </c>
      <c r="AH70" s="81" t="str">
        <f t="shared" si="19"/>
        <v>"%USERPROFILE%\Documents\GitHub\eaglep3\Utilities\RefineRTDCRunTimes.py" --tripid 158-26 --locoid 4061 --swversion DE.1.0.9.0 --startMP 204:232969 --initTime 2017-05-26T11:33:37 --startdatetime 2017-05-26T11:42:20 --delay 1 --endMP 204:152 --enddatetime 2017-05-26T12:20:02 --enforcementcount 0 &gt;&gt;C:\Users\stu\Documents\GitHub\eaglep3-reporting\EC\2017-05-26-refined-times.txt</v>
      </c>
      <c r="AI70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ID","value":"158-26"},{"id":16,"name":"Locomotive ID","value":"4061"},{"id":130,"name":"Impact","value":""},{"id":150,"name":"Time of Event (Mountain Time)","value":"12:20:02"},{"id":151,"name":"Denver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4061 --day 2017-05-26</v>
      </c>
      <c r="AN70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715</v>
      </c>
      <c r="B71" s="7">
        <v>4006</v>
      </c>
      <c r="C71" s="21" t="s">
        <v>204</v>
      </c>
      <c r="D71" s="21" t="s">
        <v>358</v>
      </c>
      <c r="E71" s="13">
        <v>42881.453356481485</v>
      </c>
      <c r="F71" s="13">
        <v>42881.458564814813</v>
      </c>
      <c r="G71" s="7">
        <v>1</v>
      </c>
      <c r="H71" s="21" t="s">
        <v>406</v>
      </c>
      <c r="I71" s="13">
        <v>42881.485000000001</v>
      </c>
      <c r="J71" s="7">
        <v>0</v>
      </c>
      <c r="K71" s="92" t="str">
        <f t="shared" si="0"/>
        <v>4005/4006</v>
      </c>
      <c r="L71" s="21" t="str">
        <f>VLOOKUP(A71,'Trips&amp;Operators'!$C$1:$G$99999,5,FALSE)</f>
        <v>LOZA FIDEL</v>
      </c>
      <c r="M71" s="6">
        <f t="shared" si="1"/>
        <v>2.6435185187438037E-2</v>
      </c>
      <c r="N71" s="7">
        <f t="shared" si="27"/>
        <v>38.066666669910774</v>
      </c>
      <c r="O71" s="7"/>
      <c r="P71" s="7"/>
      <c r="Q71" s="22"/>
      <c r="R71" s="173"/>
      <c r="S71" s="176">
        <f t="shared" si="23"/>
        <v>1</v>
      </c>
      <c r="T71" s="202" t="str">
        <f t="shared" si="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4"/>
        <v>https://d0f6bd738d7f1b3e5a7ca70fe4ff75f0.us-east-1.aws.found.io/app/kibana#/discover/Steve-Slow-Train-Analysis-(2080s-and-2083s)?_g=(refreshInterval:(display:Off,pause:!f,section:0,value:0),time:(from:'2017-05-26T09:52:50-0600',mode:absolute,to:'2017-05-26T12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204" t="str">
        <f t="shared" si="5"/>
        <v>N</v>
      </c>
      <c r="X71" s="204">
        <f t="shared" si="24"/>
        <v>1</v>
      </c>
      <c r="Y71" s="204">
        <f t="shared" si="25"/>
        <v>4.53E-2</v>
      </c>
      <c r="Z71" s="204">
        <f t="shared" si="26"/>
        <v>23.329499999999999</v>
      </c>
      <c r="AA71" s="204">
        <f t="shared" si="9"/>
        <v>23.284199999999998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0"/>
        <v>0159-26</v>
      </c>
      <c r="AE71" s="80" t="str">
        <f t="shared" si="11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71" s="77" t="str">
        <f t="shared" si="12"/>
        <v>"C:\Program Files (x86)\AstroGrep\AstroGrep.exe" /e /r /s /spath="%USERPROFILE%\AppData\Local\Temp\OnboardLogs" /stypes="app*4006*20170526*" /stext=" 17:.+((SYSTEM_STATE.+slice.+state.+changed )|(ment ac)|(multiple cpu faults)|(system.+state.+changed )|(\[timeout)|(PRM\|1\|D)|(kpr)|(kdp)|(train st.+moving)|(\|lc)|(penalty))"</v>
      </c>
      <c r="AG71" s="1" t="str">
        <f t="shared" si="13"/>
        <v>EC</v>
      </c>
      <c r="AH71" s="81" t="str">
        <f t="shared" si="19"/>
        <v>"%USERPROFILE%\Documents\GitHub\eaglep3\Utilities\RefineRTDCRunTimes.py" --tripid 159-26 --locoid 4006 --swversion DE.1.0.9.0 --startMP 204:453 --initTime 2017-05-26T10:52:50 --startdatetime 2017-05-26T11:00:20 --delay 1 --endMP 204:233295 --enddatetime 2017-05-26T11:38:24 --enforcementcount 0 &gt;&gt;C:\Users\stu\Documents\GitHub\eaglep3-reporting\EC\2017-05-26-refined-times.txt</v>
      </c>
      <c r="AI71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{"issue":{"subject":"","project_id":79,"tracker_id":40,"status_id":1,"priority_id":2,"assigned_to_id":23,"start_date":"2017-05-26","description":"","custom_fields":[{"id":1,"name":"Subdivision","value":"EC"},{"id":4,"name":"Milepost","value":"23.3295"},{"id":17,"name":"Train ID","value":"159-26"},{"id":16,"name":"Locomotive ID","value":"4006"},{"id":130,"name":"Impact","value":""},{"id":150,"name":"Time of Event (Mountain Time)","value":"11:38:24"},{"id":151,"name":"Denver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4006 --day 2017-05-26</v>
      </c>
      <c r="AN71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612</v>
      </c>
      <c r="B72" s="7">
        <v>4005</v>
      </c>
      <c r="C72" s="21" t="s">
        <v>204</v>
      </c>
      <c r="D72" s="21" t="s">
        <v>450</v>
      </c>
      <c r="E72" s="13">
        <v>42881.493321759262</v>
      </c>
      <c r="F72" s="13">
        <v>42881.498206018521</v>
      </c>
      <c r="G72" s="7">
        <v>1</v>
      </c>
      <c r="H72" s="21" t="s">
        <v>353</v>
      </c>
      <c r="I72" s="13">
        <v>42881.528333333335</v>
      </c>
      <c r="J72" s="7">
        <v>0</v>
      </c>
      <c r="K72" s="92" t="str">
        <f t="shared" si="0"/>
        <v>4005/4006</v>
      </c>
      <c r="L72" s="21" t="str">
        <f>VLOOKUP(A72,'Trips&amp;Operators'!$C$1:$G$99999,5,FALSE)</f>
        <v>LOZA FIDEL</v>
      </c>
      <c r="M72" s="6">
        <f t="shared" si="1"/>
        <v>3.0127314814308193E-2</v>
      </c>
      <c r="N72" s="7">
        <f t="shared" si="27"/>
        <v>43.383333332603797</v>
      </c>
      <c r="O72" s="7"/>
      <c r="P72" s="7"/>
      <c r="Q72" s="22"/>
      <c r="R72" s="173"/>
      <c r="S72" s="176">
        <f t="shared" si="23"/>
        <v>1</v>
      </c>
      <c r="T72" s="202" t="str">
        <f t="shared" si="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4"/>
        <v>https://d0f6bd738d7f1b3e5a7ca70fe4ff75f0.us-east-1.aws.found.io/app/kibana#/discover/Steve-Slow-Train-Analysis-(2080s-and-2083s)?_g=(refreshInterval:(display:Off,pause:!f,section:0,value:0),time:(from:'2017-05-26T10:50:23-0600',mode:absolute,to:'2017-05-26T13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204" t="str">
        <f t="shared" si="5"/>
        <v>N</v>
      </c>
      <c r="X72" s="204">
        <f t="shared" si="24"/>
        <v>1</v>
      </c>
      <c r="Y72" s="204">
        <f t="shared" si="25"/>
        <v>23.297699999999999</v>
      </c>
      <c r="Z72" s="204">
        <f t="shared" si="26"/>
        <v>1.43E-2</v>
      </c>
      <c r="AA72" s="204">
        <f t="shared" si="9"/>
        <v>23.2834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0"/>
        <v>0160-26</v>
      </c>
      <c r="AE72" s="80" t="str">
        <f t="shared" si="11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72" s="77" t="str">
        <f t="shared" si="12"/>
        <v>"C:\Program Files (x86)\AstroGrep\AstroGrep.exe" /e /r /s /spath="%USERPROFILE%\AppData\Local\Temp\OnboardLogs" /stypes="app*4005*20170526*" /stext=" 18:.+((SYSTEM_STATE.+slice.+state.+changed )|(ment ac)|(multiple cpu faults)|(system.+state.+changed )|(\[timeout)|(PRM\|1\|D)|(kpr)|(kdp)|(train st.+moving)|(\|lc)|(penalty))"</v>
      </c>
      <c r="AG72" s="1" t="str">
        <f t="shared" si="13"/>
        <v>EC</v>
      </c>
      <c r="AH72" s="81" t="str">
        <f t="shared" si="19"/>
        <v>"%USERPROFILE%\Documents\GitHub\eaglep3\Utilities\RefineRTDCRunTimes.py" --tripid 160-26 --locoid 4005 --swversion DE.1.0.9.0 --startMP 204:232977 --initTime 2017-05-26T11:50:23 --startdatetime 2017-05-26T11:57:25 --delay 1 --endMP 204:143 --enddatetime 2017-05-26T12:40:48 --enforcementcount 0 &gt;&gt;C:\Users\stu\Documents\GitHub\eaglep3-reporting\EC\2017-05-26-refined-times.txt</v>
      </c>
      <c r="AI72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ID","value":"160-26"},{"id":16,"name":"Locomotive ID","value":"4005"},{"id":130,"name":"Impact","value":""},{"id":150,"name":"Time of Event (Mountain Time)","value":"12:40:48"},{"id":151,"name":"Denver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4005 --day 2017-05-26</v>
      </c>
      <c r="AN72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719</v>
      </c>
      <c r="B73" s="7">
        <v>4002</v>
      </c>
      <c r="C73" s="21" t="s">
        <v>204</v>
      </c>
      <c r="D73" s="21" t="s">
        <v>864</v>
      </c>
      <c r="E73" s="13">
        <v>42881.467083333337</v>
      </c>
      <c r="F73" s="13">
        <v>42881.469189814816</v>
      </c>
      <c r="G73" s="7">
        <v>1</v>
      </c>
      <c r="H73" s="21" t="s">
        <v>501</v>
      </c>
      <c r="I73" s="13">
        <v>42881.494016203702</v>
      </c>
      <c r="J73" s="7">
        <v>0</v>
      </c>
      <c r="K73" s="92" t="str">
        <f t="shared" si="0"/>
        <v>4001/4002</v>
      </c>
      <c r="L73" s="21" t="str">
        <f>VLOOKUP(A73,'Trips&amp;Operators'!$C$1:$G$99999,5,FALSE)</f>
        <v>SANTIZO D. EDY</v>
      </c>
      <c r="M73" s="6">
        <f t="shared" si="1"/>
        <v>2.4826388886140194E-2</v>
      </c>
      <c r="N73" s="7">
        <f t="shared" si="27"/>
        <v>35.749999996041879</v>
      </c>
      <c r="O73" s="7"/>
      <c r="P73" s="7"/>
      <c r="Q73" s="22"/>
      <c r="R73" s="173"/>
      <c r="S73" s="176">
        <f t="shared" si="23"/>
        <v>1</v>
      </c>
      <c r="T73" s="202" t="str">
        <f t="shared" si="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4"/>
        <v>https://d0f6bd738d7f1b3e5a7ca70fe4ff75f0.us-east-1.aws.found.io/app/kibana#/discover/Steve-Slow-Train-Analysis-(2080s-and-2083s)?_g=(refreshInterval:(display:Off,pause:!f,section:0,value:0),time:(from:'2017-05-26T10:12:36-0600',mode:absolute,to:'2017-05-26T12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204" t="str">
        <f t="shared" si="5"/>
        <v>N</v>
      </c>
      <c r="X73" s="204">
        <f t="shared" si="24"/>
        <v>1</v>
      </c>
      <c r="Y73" s="204">
        <f t="shared" si="25"/>
        <v>4.6899999999999997E-2</v>
      </c>
      <c r="Z73" s="204">
        <f t="shared" si="26"/>
        <v>23.329699999999999</v>
      </c>
      <c r="AA73" s="204">
        <f t="shared" si="9"/>
        <v>23.282799999999998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0"/>
        <v>0161-26</v>
      </c>
      <c r="AE73" s="80" t="str">
        <f t="shared" si="11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73" s="77" t="str">
        <f t="shared" si="12"/>
        <v>"C:\Program Files (x86)\AstroGrep\AstroGrep.exe" /e /r /s /spath="%USERPROFILE%\AppData\Local\Temp\OnboardLogs" /stypes="app*4002*20170526*" /stext=" 17:.+((SYSTEM_STATE.+slice.+state.+changed )|(ment ac)|(multiple cpu faults)|(system.+state.+changed )|(\[timeout)|(PRM\|1\|D)|(kpr)|(kdp)|(train st.+moving)|(\|lc)|(penalty))"</v>
      </c>
      <c r="AG73" s="1" t="str">
        <f t="shared" si="13"/>
        <v>EC</v>
      </c>
      <c r="AH73" s="81" t="str">
        <f t="shared" si="19"/>
        <v>"%USERPROFILE%\Documents\GitHub\eaglep3\Utilities\RefineRTDCRunTimes.py" --tripid 161-26 --locoid 4002 --swversion DE.1.0.9.0 --startMP 204:469 --initTime 2017-05-26T11:12:36 --startdatetime 2017-05-26T11:15:38 --delay 1 --endMP 204:233297 --enddatetime 2017-05-26T11:51:23 --enforcementcount 0 &gt;&gt;C:\Users\stu\Documents\GitHub\eaglep3-reporting\EC\2017-05-26-refined-times.txt</v>
      </c>
      <c r="AI73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ID","value":"161-26"},{"id":16,"name":"Locomotive ID","value":"4002"},{"id":130,"name":"Impact","value":""},{"id":150,"name":"Time of Event (Mountain Time)","value":"11:51:23"},{"id":151,"name":"Denver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4002 --day 2017-05-26</v>
      </c>
      <c r="AN73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727</v>
      </c>
      <c r="B74" s="7">
        <v>4001</v>
      </c>
      <c r="C74" s="21" t="s">
        <v>204</v>
      </c>
      <c r="D74" s="21" t="s">
        <v>553</v>
      </c>
      <c r="E74" s="13">
        <v>42881.495474537034</v>
      </c>
      <c r="F74" s="13">
        <v>42881.508564814816</v>
      </c>
      <c r="G74" s="7">
        <v>1</v>
      </c>
      <c r="H74" s="21" t="s">
        <v>363</v>
      </c>
      <c r="I74" s="13">
        <v>42881.534687500003</v>
      </c>
      <c r="J74" s="7">
        <v>0</v>
      </c>
      <c r="K74" s="92" t="str">
        <f t="shared" si="0"/>
        <v>4001/4002</v>
      </c>
      <c r="L74" s="21" t="str">
        <f>VLOOKUP(A74,'Trips&amp;Operators'!$C$1:$G$99999,5,FALSE)</f>
        <v>SANTIZO D. EDY</v>
      </c>
      <c r="M74" s="6">
        <f t="shared" si="1"/>
        <v>2.6122685187146999E-2</v>
      </c>
      <c r="N74" s="7">
        <f t="shared" si="27"/>
        <v>37.616666669491678</v>
      </c>
      <c r="O74" s="7"/>
      <c r="P74" s="7"/>
      <c r="Q74" s="22"/>
      <c r="R74" s="173"/>
      <c r="S74" s="176">
        <f t="shared" si="23"/>
        <v>1</v>
      </c>
      <c r="T74" s="202" t="str">
        <f t="shared" si="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4"/>
        <v>https://d0f6bd738d7f1b3e5a7ca70fe4ff75f0.us-east-1.aws.found.io/app/kibana#/discover/Steve-Slow-Train-Analysis-(2080s-and-2083s)?_g=(refreshInterval:(display:Off,pause:!f,section:0,value:0),time:(from:'2017-05-26T10:53:29-0600',mode:absolute,to:'2017-05-26T13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204" t="str">
        <f t="shared" si="5"/>
        <v>N</v>
      </c>
      <c r="X74" s="204">
        <f t="shared" si="24"/>
        <v>1</v>
      </c>
      <c r="Y74" s="204">
        <f t="shared" si="25"/>
        <v>23.2988</v>
      </c>
      <c r="Z74" s="204">
        <f t="shared" si="26"/>
        <v>1.41E-2</v>
      </c>
      <c r="AA74" s="204">
        <f t="shared" si="9"/>
        <v>23.284700000000001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0"/>
        <v>0162-26</v>
      </c>
      <c r="AE74" s="80" t="str">
        <f t="shared" si="11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74" s="77" t="str">
        <f t="shared" si="12"/>
        <v>"C:\Program Files (x86)\AstroGrep\AstroGrep.exe" /e /r /s /spath="%USERPROFILE%\AppData\Local\Temp\OnboardLogs" /stypes="app*4001*20170526*" /stext=" 18:.+((SYSTEM_STATE.+slice.+state.+changed )|(ment ac)|(multiple cpu faults)|(system.+state.+changed )|(\[timeout)|(PRM\|1\|D)|(kpr)|(kdp)|(train st.+moving)|(\|lc)|(penalty))"</v>
      </c>
      <c r="AG74" s="1" t="str">
        <f t="shared" si="13"/>
        <v>EC</v>
      </c>
      <c r="AH74" s="81" t="str">
        <f t="shared" si="19"/>
        <v>"%USERPROFILE%\Documents\GitHub\eaglep3\Utilities\RefineRTDCRunTimes.py" --tripid 162-26 --locoid 4001 --swversion DE.1.0.9.0 --startMP 204:232988 --initTime 2017-05-26T11:53:29 --startdatetime 2017-05-26T12:12:20 --delay 1 --endMP 204:141 --enddatetime 2017-05-26T12:49:57 --enforcementcount 0 &gt;&gt;C:\Users\stu\Documents\GitHub\eaglep3-reporting\EC\2017-05-26-refined-times.txt</v>
      </c>
      <c r="AI74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{"issue":{"subject":"","project_id":79,"tracker_id":40,"status_id":1,"priority_id":2,"assigned_to_id":23,"start_date":"2017-05-26","description":"","custom_fields":[{"id":1,"name":"Subdivision","value":"EC"},{"id":4,"name":"Milepost","value":"0.0141"},{"id":17,"name":"Train ID","value":"162-26"},{"id":16,"name":"Locomotive ID","value":"4001"},{"id":130,"name":"Impact","value":""},{"id":150,"name":"Time of Event (Mountain Time)","value":"12:49:57"},{"id":151,"name":"Denver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4001 --day 2017-05-26</v>
      </c>
      <c r="AN74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722</v>
      </c>
      <c r="B75" s="7">
        <v>4058</v>
      </c>
      <c r="C75" s="21" t="s">
        <v>204</v>
      </c>
      <c r="D75" s="21" t="s">
        <v>345</v>
      </c>
      <c r="E75" s="13">
        <v>42881.477650462963</v>
      </c>
      <c r="F75" s="13">
        <v>42881.479386574072</v>
      </c>
      <c r="G75" s="7">
        <v>1</v>
      </c>
      <c r="H75" s="21" t="s">
        <v>572</v>
      </c>
      <c r="I75" s="13">
        <v>42881.504513888889</v>
      </c>
      <c r="J75" s="7">
        <v>0</v>
      </c>
      <c r="K75" s="92" t="str">
        <f t="shared" si="0"/>
        <v>4057/4058</v>
      </c>
      <c r="L75" s="21" t="str">
        <f>VLOOKUP(A75,'Trips&amp;Operators'!$C$1:$G$99999,5,FALSE)</f>
        <v>STEWART MICHAEL</v>
      </c>
      <c r="M75" s="6">
        <f t="shared" si="1"/>
        <v>2.5127314816927537E-2</v>
      </c>
      <c r="N75" s="7">
        <f t="shared" si="27"/>
        <v>36.183333336375654</v>
      </c>
      <c r="O75" s="7"/>
      <c r="P75" s="7"/>
      <c r="Q75" s="22"/>
      <c r="R75" s="173"/>
      <c r="S75" s="176">
        <f t="shared" si="23"/>
        <v>1</v>
      </c>
      <c r="T75" s="202" t="str">
        <f t="shared" si="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4"/>
        <v>https://d0f6bd738d7f1b3e5a7ca70fe4ff75f0.us-east-1.aws.found.io/app/kibana#/discover/Steve-Slow-Train-Analysis-(2080s-and-2083s)?_g=(refreshInterval:(display:Off,pause:!f,section:0,value:0),time:(from:'2017-05-26T10:27:49-0600',mode:absolute,to:'2017-05-26T13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5" s="204" t="str">
        <f t="shared" si="5"/>
        <v>N</v>
      </c>
      <c r="X75" s="204">
        <f t="shared" si="24"/>
        <v>1</v>
      </c>
      <c r="Y75" s="204">
        <f t="shared" si="25"/>
        <v>4.4900000000000002E-2</v>
      </c>
      <c r="Z75" s="204">
        <f t="shared" si="26"/>
        <v>23.328499999999998</v>
      </c>
      <c r="AA75" s="204">
        <f t="shared" si="9"/>
        <v>23.2836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0"/>
        <v>0163-26</v>
      </c>
      <c r="AE75" s="80" t="str">
        <f t="shared" si="11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75" s="77" t="str">
        <f t="shared" si="12"/>
        <v>"C:\Program Files (x86)\AstroGrep\AstroGrep.exe" /e /r /s /spath="%USERPROFILE%\AppData\Local\Temp\OnboardLogs" /stypes="app*4058*20170526*" /stext=" 18:.+((SYSTEM_STATE.+slice.+state.+changed )|(ment ac)|(multiple cpu faults)|(system.+state.+changed )|(\[timeout)|(PRM\|1\|D)|(kpr)|(kdp)|(train st.+moving)|(\|lc)|(penalty))"</v>
      </c>
      <c r="AG75" s="1" t="str">
        <f t="shared" si="13"/>
        <v>EC</v>
      </c>
      <c r="AH75" s="81" t="str">
        <f t="shared" si="19"/>
        <v>"%USERPROFILE%\Documents\GitHub\eaglep3\Utilities\RefineRTDCRunTimes.py" --tripid 163-26 --locoid 4058 --swversion DE.1.0.9.0 --startMP 204:449 --initTime 2017-05-26T11:27:49 --startdatetime 2017-05-26T11:30:19 --delay 1 --endMP 204:233285 --enddatetime 2017-05-26T12:06:30 --enforcementcount 0 &gt;&gt;C:\Users\stu\Documents\GitHub\eaglep3-reporting\EC\2017-05-26-refined-times.txt</v>
      </c>
      <c r="AI75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{"issue":{"subject":"","project_id":79,"tracker_id":40,"status_id":1,"priority_id":2,"assigned_to_id":23,"start_date":"2017-05-26","description":"","custom_fields":[{"id":1,"name":"Subdivision","value":"EC"},{"id":4,"name":"Milepost","value":"23.3285"},{"id":17,"name":"Train ID","value":"163-26"},{"id":16,"name":"Locomotive ID","value":"4058"},{"id":130,"name":"Impact","value":""},{"id":150,"name":"Time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4058 --day 2017-05-26</v>
      </c>
      <c r="AN75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614</v>
      </c>
      <c r="B76" s="7">
        <v>4057</v>
      </c>
      <c r="C76" s="21" t="s">
        <v>204</v>
      </c>
      <c r="D76" s="21" t="s">
        <v>507</v>
      </c>
      <c r="E76" s="13">
        <v>42881.515555555554</v>
      </c>
      <c r="F76" s="13">
        <v>42881.519050925926</v>
      </c>
      <c r="G76" s="7">
        <v>2</v>
      </c>
      <c r="H76" s="21" t="s">
        <v>446</v>
      </c>
      <c r="I76" s="13">
        <v>42881.5468287037</v>
      </c>
      <c r="J76" s="7">
        <v>0</v>
      </c>
      <c r="K76" s="92" t="str">
        <f t="shared" si="0"/>
        <v>4057/4058</v>
      </c>
      <c r="L76" s="21" t="str">
        <f>VLOOKUP(A76,'Trips&amp;Operators'!$C$1:$G$99999,5,FALSE)</f>
        <v>STEWART MICHAEL</v>
      </c>
      <c r="M76" s="6">
        <f t="shared" si="1"/>
        <v>2.7777777773735579E-2</v>
      </c>
      <c r="N76" s="7">
        <f t="shared" si="27"/>
        <v>39.999999994179234</v>
      </c>
      <c r="O76" s="7"/>
      <c r="P76" s="7"/>
      <c r="Q76" s="22"/>
      <c r="R76" s="173"/>
      <c r="S76" s="176">
        <f t="shared" si="23"/>
        <v>1</v>
      </c>
      <c r="T76" s="202" t="str">
        <f t="shared" si="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4"/>
        <v>https://d0f6bd738d7f1b3e5a7ca70fe4ff75f0.us-east-1.aws.found.io/app/kibana#/discover/Steve-Slow-Train-Analysis-(2080s-and-2083s)?_g=(refreshInterval:(display:Off,pause:!f,section:0,value:0),time:(from:'2017-05-26T11:22:24-0600',mode:absolute,to:'2017-05-26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6" s="204" t="str">
        <f t="shared" si="5"/>
        <v>N</v>
      </c>
      <c r="X76" s="204">
        <f t="shared" si="24"/>
        <v>1</v>
      </c>
      <c r="Y76" s="204">
        <f t="shared" si="25"/>
        <v>23.298100000000002</v>
      </c>
      <c r="Z76" s="204">
        <f t="shared" si="26"/>
        <v>1.61E-2</v>
      </c>
      <c r="AA76" s="204">
        <f t="shared" si="9"/>
        <v>23.282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0"/>
        <v>0164-26</v>
      </c>
      <c r="AE76" s="80" t="str">
        <f t="shared" si="11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76" s="77" t="str">
        <f t="shared" si="12"/>
        <v>"C:\Program Files (x86)\AstroGrep\AstroGrep.exe" /e /r /s /spath="%USERPROFILE%\AppData\Local\Temp\OnboardLogs" /stypes="app*4057*20170526*" /stext=" 19:.+((SYSTEM_STATE.+slice.+state.+changed )|(ment ac)|(multiple cpu faults)|(system.+state.+changed )|(\[timeout)|(PRM\|1\|D)|(kpr)|(kdp)|(train st.+moving)|(\|lc)|(penalty))"</v>
      </c>
      <c r="AG76" s="1" t="str">
        <f t="shared" si="13"/>
        <v>EC</v>
      </c>
      <c r="AH76" s="81" t="str">
        <f t="shared" si="19"/>
        <v>"%USERPROFILE%\Documents\GitHub\eaglep3\Utilities\RefineRTDCRunTimes.py" --tripid 164-26 --locoid 4057 --swversion DE.1.0.9.0 --startMP 204:232981 --initTime 2017-05-26T12:22:24 --startdatetime 2017-05-26T12:27:26 --delay 2 --endMP 204:161 --enddatetime 2017-05-26T13:07:26 --enforcementcount 0 &gt;&gt;C:\Users\stu\Documents\GitHub\eaglep3-reporting\EC\2017-05-26-refined-times.txt</v>
      </c>
      <c r="AI76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{"issue":{"subject":"","project_id":79,"tracker_id":40,"status_id":1,"priority_id":2,"assigned_to_id":23,"start_date":"2017-05-26","description":"","custom_fields":[{"id":1,"name":"Subdivision","value":"EC"},{"id":4,"name":"Milepost","value":"0.0161"},{"id":17,"name":"Train ID","value":"164-26"},{"id":16,"name":"Locomotive ID","value":"4057"},{"id":130,"name":"Impact","value":""},{"id":150,"name":"Time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4057 --day 2017-05-26</v>
      </c>
      <c r="AN76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726</v>
      </c>
      <c r="B77" s="7">
        <v>4044</v>
      </c>
      <c r="C77" s="21" t="s">
        <v>204</v>
      </c>
      <c r="D77" s="21" t="s">
        <v>355</v>
      </c>
      <c r="E77" s="13">
        <v>42881.486342592594</v>
      </c>
      <c r="F77" s="13">
        <v>42881.489756944444</v>
      </c>
      <c r="G77" s="7">
        <v>3</v>
      </c>
      <c r="H77" s="21" t="s">
        <v>401</v>
      </c>
      <c r="I77" s="13">
        <v>42881.515046296299</v>
      </c>
      <c r="J77" s="7">
        <v>0</v>
      </c>
      <c r="K77" s="92" t="str">
        <f t="shared" ref="K77:K140" si="28">IF(ISEVEN(B77),(B77-1)&amp;"/"&amp;B77,B77&amp;"/"&amp;(B77+1))</f>
        <v>4043/4044</v>
      </c>
      <c r="L77" s="21" t="str">
        <f>VLOOKUP(A77,'Trips&amp;Operators'!$C$1:$G$99999,5,FALSE)</f>
        <v>DE LA ROSA ALEX</v>
      </c>
      <c r="M77" s="6">
        <f t="shared" ref="M77:M140" si="29">I77-F77</f>
        <v>2.5289351855462883E-2</v>
      </c>
      <c r="N77" s="7">
        <f t="shared" si="27"/>
        <v>36.416666671866551</v>
      </c>
      <c r="O77" s="7"/>
      <c r="P77" s="7"/>
      <c r="Q77" s="22"/>
      <c r="R77" s="173"/>
      <c r="S77" s="176">
        <f t="shared" ref="S77:S91" si="30">SUM(U77:U77)/IF(AG77="EC",12,1)</f>
        <v>1</v>
      </c>
      <c r="T77" s="202" t="str">
        <f t="shared" ref="T77:T140" si="31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-26T10:40:20-0600',mode:absolute,to:'2017-05-26T13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7" s="204" t="str">
        <f t="shared" ref="W77:W140" si="33">IF(AA77&lt;IF(AG77="EC",23,5.65),"Y","N")</f>
        <v>N</v>
      </c>
      <c r="X77" s="204">
        <f t="shared" ref="X77:X108" si="34">VALUE(LEFT(AD77,4))-VALUE(LEFT(AD76,4))</f>
        <v>1</v>
      </c>
      <c r="Y77" s="204">
        <f t="shared" ref="Y77:Y108" si="35">RIGHT(D77,LEN(D77)-4)/10000</f>
        <v>4.5100000000000001E-2</v>
      </c>
      <c r="Z77" s="204">
        <f t="shared" ref="Z77:Z108" si="36">RIGHT(H77,LEN(H77)-4)/10000</f>
        <v>23.3293</v>
      </c>
      <c r="AA77" s="204">
        <f t="shared" ref="AA77:AA140" si="37">ABS(Z77-Y77)</f>
        <v>23.284199999999998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0165-26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/stypes="app*4044*20170526*"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165-26 --locoid 4044 --swversion DE.1.0.9.0 --startMP 204:451 --initTime 2017-05-26T11:40:20 --startdatetime 2017-05-26T11:45:15 --delay 3 --endMP 204:233293 --enddatetime 2017-05-26T12:21:40 --enforcementcount 0 &gt;&gt;C:\Users\stu\Documents\GitHub\eaglep3-reporting\EC\2017-05-26-refined-times.txt</v>
      </c>
      <c r="AI77" s="99" t="str">
        <f t="shared" si="20"/>
        <v>echo {"issue":{"subject":"","project_id":79,"tracker_id":40,"status_id":1,"priority_id":2,"assigned_to_id":23,"start_date":"2017-05-26","description":"","custom_fields":[{"id":1,"name":"Subdivision","value":"EC"},{"id":4,"name":"Milepost","value":"23.3293"},{"id":17,"name":"Train ID","value":"165-26"},{"id":16,"name":"Locomotive ID","value":"4044"},{"id":130,"name":"Impact","value":""},{"id":150,"name":"Time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4044 --day 2017-05-26</v>
      </c>
      <c r="AN77" s="154" t="str">
        <f t="shared" si="22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732</v>
      </c>
      <c r="B78" s="7">
        <v>4043</v>
      </c>
      <c r="C78" s="21" t="s">
        <v>204</v>
      </c>
      <c r="D78" s="21" t="s">
        <v>467</v>
      </c>
      <c r="E78" s="13">
        <v>42881.526469907411</v>
      </c>
      <c r="F78" s="13">
        <v>42881.529328703706</v>
      </c>
      <c r="G78" s="7">
        <v>1</v>
      </c>
      <c r="H78" s="21" t="s">
        <v>861</v>
      </c>
      <c r="I78" s="13">
        <v>42881.556817129633</v>
      </c>
      <c r="J78" s="7">
        <v>0</v>
      </c>
      <c r="K78" s="92" t="str">
        <f t="shared" si="28"/>
        <v>4043/4044</v>
      </c>
      <c r="L78" s="21" t="str">
        <f>VLOOKUP(A78,'Trips&amp;Operators'!$C$1:$G$99999,5,FALSE)</f>
        <v>DE LA ROSA ALEX</v>
      </c>
      <c r="M78" s="6">
        <f t="shared" si="29"/>
        <v>2.7488425927003846E-2</v>
      </c>
      <c r="N78" s="7">
        <f t="shared" ref="N78:N88" si="42">24*60*SUM($M78:$M78)</f>
        <v>39.583333334885538</v>
      </c>
      <c r="O78" s="7"/>
      <c r="P78" s="7"/>
      <c r="Q78" s="22"/>
      <c r="R78" s="173"/>
      <c r="S78" s="176">
        <f t="shared" si="30"/>
        <v>1</v>
      </c>
      <c r="T78" s="202" t="str">
        <f t="shared" si="31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2"/>
        <v>https://d0f6bd738d7f1b3e5a7ca70fe4ff75f0.us-east-1.aws.found.io/app/kibana#/discover/Steve-Slow-Train-Analysis-(2080s-and-2083s)?_g=(refreshInterval:(display:Off,pause:!f,section:0,value:0),time:(from:'2017-05-26T11:38:07-0600',mode:absolute,to:'2017-05-26T14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8" s="204" t="str">
        <f t="shared" si="33"/>
        <v>N</v>
      </c>
      <c r="X78" s="204">
        <f t="shared" si="34"/>
        <v>1</v>
      </c>
      <c r="Y78" s="204">
        <f t="shared" si="35"/>
        <v>23.297999999999998</v>
      </c>
      <c r="Z78" s="204">
        <f t="shared" si="36"/>
        <v>1.38E-2</v>
      </c>
      <c r="AA78" s="204">
        <f t="shared" si="37"/>
        <v>23.284199999999998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0166-26</v>
      </c>
      <c r="AE78" s="80" t="str">
        <f t="shared" si="39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78" s="77" t="str">
        <f t="shared" si="40"/>
        <v>"C:\Program Files (x86)\AstroGrep\AstroGrep.exe" /e /r /s /spath="%USERPROFILE%\AppData\Local\Temp\OnboardLogs" /stypes="app*4043*20170526*" /stext=" 19:.+((SYSTEM_STATE.+slice.+state.+changed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4043 --swversion DE.1.0.9.0 --startMP 204:232980 --initTime 2017-05-26T12:38:07 --startdatetime 2017-05-26T12:42:14 --delay 1 --endMP 204:138 --enddatetime 2017-05-26T13:21:49 --enforcementcount 0 &gt;&gt;C:\Users\stu\Documents\GitHub\eaglep3-reporting\EC\2017-05-26-refined-times.txt</v>
      </c>
      <c r="AI78" s="99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{"issue":{"subject":"","project_id":79,"tracker_id":40,"status_id":1,"priority_id":2,"assigned_to_id":23,"start_date":"2017-05-26","description":"","custom_fields":[{"id":1,"name":"Subdivision","value":"EC"},{"id":4,"name":"Milepost","value":"0.0138"},{"id":17,"name":"Train ID","value":"166-26"},{"id":16,"name":"Locomotive ID","value":"4043"},{"id":130,"name":"Impact","value":""},{"id":150,"name":"Time of Event (Mountain Time)","value":"13:21:49"},{"id":151,"name":"Denver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5">"start /low /b "&amp;dls3logs&amp;" --loco "&amp;B78&amp;" --day "&amp;TEXT(F78,"YYYY-MM-DD")</f>
        <v>start /low /b %USERPROFILE%\Documents\GitHub\eaglep3\Utilities\DownloadLogsFromS3.py --loco 4043 --day 2017-05-26</v>
      </c>
      <c r="AN78" s="154" t="str">
        <f t="shared" ref="AN78:AN141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728</v>
      </c>
      <c r="B79" s="7">
        <v>4016</v>
      </c>
      <c r="C79" s="21" t="s">
        <v>204</v>
      </c>
      <c r="D79" s="21" t="s">
        <v>856</v>
      </c>
      <c r="E79" s="13">
        <v>42881.498611111114</v>
      </c>
      <c r="F79" s="13">
        <v>42881.500243055554</v>
      </c>
      <c r="G79" s="7">
        <v>1</v>
      </c>
      <c r="H79" s="21" t="s">
        <v>866</v>
      </c>
      <c r="I79" s="13">
        <v>42881.526192129626</v>
      </c>
      <c r="J79" s="7">
        <v>0</v>
      </c>
      <c r="K79" s="92" t="str">
        <f t="shared" si="28"/>
        <v>4015/4016</v>
      </c>
      <c r="L79" s="21" t="str">
        <f>VLOOKUP(A79,'Trips&amp;Operators'!$C$1:$G$99999,5,FALSE)</f>
        <v>CHANDLER KELVIN</v>
      </c>
      <c r="M79" s="6">
        <f t="shared" si="29"/>
        <v>2.5949074071832001E-2</v>
      </c>
      <c r="N79" s="7">
        <f t="shared" si="42"/>
        <v>37.366666663438082</v>
      </c>
      <c r="O79" s="7"/>
      <c r="P79" s="7"/>
      <c r="Q79" s="22"/>
      <c r="R79" s="173"/>
      <c r="S79" s="176">
        <f t="shared" si="30"/>
        <v>1</v>
      </c>
      <c r="T79" s="202" t="str">
        <f t="shared" si="31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2"/>
        <v>https://d0f6bd738d7f1b3e5a7ca70fe4ff75f0.us-east-1.aws.found.io/app/kibana#/discover/Steve-Slow-Train-Analysis-(2080s-and-2083s)?_g=(refreshInterval:(display:Off,pause:!f,section:0,value:0),time:(from:'2017-05-26T10:58:00-0600',mode:absolute,to:'2017-05-26T13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04" t="str">
        <f t="shared" si="33"/>
        <v>N</v>
      </c>
      <c r="X79" s="204">
        <f t="shared" si="34"/>
        <v>1</v>
      </c>
      <c r="Y79" s="204">
        <f t="shared" si="35"/>
        <v>4.7100000000000003E-2</v>
      </c>
      <c r="Z79" s="204">
        <f t="shared" si="36"/>
        <v>23.325500000000002</v>
      </c>
      <c r="AA79" s="204">
        <f t="shared" si="37"/>
        <v>23.278400000000001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0167-26</v>
      </c>
      <c r="AE79" s="80" t="str">
        <f t="shared" si="39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79" s="77" t="str">
        <f t="shared" si="40"/>
        <v>"C:\Program Files (x86)\AstroGrep\AstroGrep.exe" /e /r /s /spath="%USERPROFILE%\AppData\Local\Temp\OnboardLogs" /stypes="app*4016*20170526*" /stext=" 18:.+((SYSTEM_STATE.+slice.+state.+changed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3"/>
        <v>"%USERPROFILE%\Documents\GitHub\eaglep3\Utilities\RefineRTDCRunTimes.py" --tripid 167-26 --locoid 4016 --swversion DE.1.0.9.0 --startMP 204:471 --initTime 2017-05-26T11:58:00 --startdatetime 2017-05-26T12:00:21 --delay 1 --endMP 204:233255 --enddatetime 2017-05-26T12:37:43 --enforcementcount 0 &gt;&gt;C:\Users\stu\Documents\GitHub\eaglep3-reporting\EC\2017-05-26-refined-times.txt</v>
      </c>
      <c r="AI7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{"issue":{"subject":"","project_id":79,"tracker_id":40,"status_id":1,"priority_id":2,"assigned_to_id":23,"start_date":"2017-05-26","description":"","custom_fields":[{"id":1,"name":"Subdivision","value":"EC"},{"id":4,"name":"Milepost","value":"23.3255"},{"id":17,"name":"Train ID","value":"167-26"},{"id":16,"name":"Locomotive ID","value":"4016"},{"id":130,"name":"Impact","value":""},{"id":150,"name":"Time of Event (Mountain Time)","value":"12:37:43"},{"id":151,"name":"Denver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5"/>
        <v>start /low /b %USERPROFILE%\Documents\GitHub\eaglep3\Utilities\DownloadLogsFromS3.py --loco 4016 --day 2017-05-26</v>
      </c>
      <c r="AN79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735</v>
      </c>
      <c r="B80" s="7">
        <v>4015</v>
      </c>
      <c r="C80" s="21" t="s">
        <v>204</v>
      </c>
      <c r="D80" s="21" t="s">
        <v>558</v>
      </c>
      <c r="E80" s="13">
        <v>42881.535381944443</v>
      </c>
      <c r="F80" s="13">
        <v>42881.539826388886</v>
      </c>
      <c r="G80" s="7">
        <v>1</v>
      </c>
      <c r="H80" s="21" t="s">
        <v>557</v>
      </c>
      <c r="I80" s="13">
        <v>42881.566921296297</v>
      </c>
      <c r="J80" s="7">
        <v>0</v>
      </c>
      <c r="K80" s="92" t="str">
        <f t="shared" si="28"/>
        <v>4015/4016</v>
      </c>
      <c r="L80" s="21" t="str">
        <f>VLOOKUP(A80,'Trips&amp;Operators'!$C$1:$G$99999,5,FALSE)</f>
        <v>CHANDLER KELVIN</v>
      </c>
      <c r="M80" s="6">
        <f t="shared" si="29"/>
        <v>2.7094907411083113E-2</v>
      </c>
      <c r="N80" s="7">
        <f t="shared" si="42"/>
        <v>39.016666671959683</v>
      </c>
      <c r="O80" s="7"/>
      <c r="P80" s="7"/>
      <c r="Q80" s="22"/>
      <c r="R80" s="173"/>
      <c r="S80" s="176">
        <f t="shared" si="30"/>
        <v>1</v>
      </c>
      <c r="T80" s="202" t="str">
        <f t="shared" si="31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2"/>
        <v>https://d0f6bd738d7f1b3e5a7ca70fe4ff75f0.us-east-1.aws.found.io/app/kibana#/discover/Steve-Slow-Train-Analysis-(2080s-and-2083s)?_g=(refreshInterval:(display:Off,pause:!f,section:0,value:0),time:(from:'2017-05-26T11:50:57-0600',mode:absolute,to:'2017-05-26T14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04" t="str">
        <f t="shared" si="33"/>
        <v>N</v>
      </c>
      <c r="X80" s="204">
        <f t="shared" si="34"/>
        <v>1</v>
      </c>
      <c r="Y80" s="204">
        <f t="shared" si="35"/>
        <v>23.2989</v>
      </c>
      <c r="Z80" s="204">
        <f t="shared" si="36"/>
        <v>1.5599999999999999E-2</v>
      </c>
      <c r="AA80" s="204">
        <f t="shared" si="37"/>
        <v>23.283300000000001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0168-26</v>
      </c>
      <c r="AE80" s="80" t="str">
        <f t="shared" si="39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80" s="77" t="str">
        <f t="shared" si="40"/>
        <v>"C:\Program Files (x86)\AstroGrep\AstroGrep.exe" /e /r /s /spath="%USERPROFILE%\AppData\Local\Temp\OnboardLogs" /stypes="app*4015*20170526*" /stext=" 19:.+((SYSTEM_STATE.+slice.+state.+changed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3"/>
        <v>"%USERPROFILE%\Documents\GitHub\eaglep3\Utilities\RefineRTDCRunTimes.py" --tripid 168-26 --locoid 4015 --swversion DE.1.0.9.0 --startMP 204:232989 --initTime 2017-05-26T12:50:57 --startdatetime 2017-05-26T12:57:21 --delay 1 --endMP 204:156 --enddatetime 2017-05-26T13:36:22 --enforcementcount 0 &gt;&gt;C:\Users\stu\Documents\GitHub\eaglep3-reporting\EC\2017-05-26-refined-times.txt</v>
      </c>
      <c r="AI8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{"issue":{"subject":"","project_id":79,"tracker_id":40,"status_id":1,"priority_id":2,"assigned_to_id":23,"start_date":"2017-05-26","description":"","custom_fields":[{"id":1,"name":"Subdivision","value":"EC"},{"id":4,"name":"Milepost","value":"0.0156"},{"id":17,"name":"Train ID","value":"168-26"},{"id":16,"name":"Locomotive ID","value":"4015"},{"id":130,"name":"Impact","value":""},{"id":150,"name":"Time of Event (Mountain Time)","value":"13:36:22"},{"id":151,"name":"Denver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5"/>
        <v>start /low /b %USERPROFILE%\Documents\GitHub\eaglep3\Utilities\DownloadLogsFromS3.py --loco 4015 --day 2017-05-26</v>
      </c>
      <c r="AN80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729</v>
      </c>
      <c r="B81" s="7">
        <v>4026</v>
      </c>
      <c r="C81" s="21" t="s">
        <v>204</v>
      </c>
      <c r="D81" s="21" t="s">
        <v>555</v>
      </c>
      <c r="E81" s="13">
        <v>42881.509097222224</v>
      </c>
      <c r="F81" s="13">
        <v>42881.511354166665</v>
      </c>
      <c r="G81" s="7">
        <v>1</v>
      </c>
      <c r="H81" s="21" t="s">
        <v>501</v>
      </c>
      <c r="I81" s="13">
        <v>42881.535324074073</v>
      </c>
      <c r="J81" s="7">
        <v>0</v>
      </c>
      <c r="K81" s="92" t="str">
        <f t="shared" si="28"/>
        <v>4025/4026</v>
      </c>
      <c r="L81" s="21" t="str">
        <f>VLOOKUP(A81,'Trips&amp;Operators'!$C$1:$G$99999,5,FALSE)</f>
        <v>LEVIN SCOTT</v>
      </c>
      <c r="M81" s="6">
        <f t="shared" si="29"/>
        <v>2.396990740817273E-2</v>
      </c>
      <c r="N81" s="7">
        <f t="shared" si="42"/>
        <v>34.516666667768732</v>
      </c>
      <c r="O81" s="7"/>
      <c r="P81" s="7"/>
      <c r="Q81" s="22"/>
      <c r="R81" s="173"/>
      <c r="S81" s="176">
        <f t="shared" si="30"/>
        <v>1</v>
      </c>
      <c r="T81" s="202" t="str">
        <f t="shared" si="31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2"/>
        <v>https://d0f6bd738d7f1b3e5a7ca70fe4ff75f0.us-east-1.aws.found.io/app/kibana#/discover/Steve-Slow-Train-Analysis-(2080s-and-2083s)?_g=(refreshInterval:(display:Off,pause:!f,section:0,value:0),time:(from:'2017-05-26T11:13:06-0600',mode:absolute,to:'2017-05-26T13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204" t="str">
        <f t="shared" si="33"/>
        <v>N</v>
      </c>
      <c r="X81" s="204">
        <f t="shared" si="34"/>
        <v>1</v>
      </c>
      <c r="Y81" s="204">
        <f t="shared" si="35"/>
        <v>4.6699999999999998E-2</v>
      </c>
      <c r="Z81" s="204">
        <f t="shared" si="36"/>
        <v>23.329699999999999</v>
      </c>
      <c r="AA81" s="204">
        <f t="shared" si="37"/>
        <v>23.282999999999998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0169-26</v>
      </c>
      <c r="AE81" s="80" t="str">
        <f t="shared" si="39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81" s="77" t="str">
        <f t="shared" si="40"/>
        <v>"C:\Program Files (x86)\AstroGrep\AstroGrep.exe" /e /r /s /spath="%USERPROFILE%\AppData\Local\Temp\OnboardLogs" /stypes="app*4026*20170526*" /stext=" 18:.+((SYSTEM_STATE.+slice.+state.+changed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3"/>
        <v>"%USERPROFILE%\Documents\GitHub\eaglep3\Utilities\RefineRTDCRunTimes.py" --tripid 169-26 --locoid 4026 --swversion DE.1.0.9.0 --startMP 204:467 --initTime 2017-05-26T12:13:06 --startdatetime 2017-05-26T12:16:21 --delay 1 --endMP 204:233297 --enddatetime 2017-05-26T12:50:52 --enforcementcount 0 &gt;&gt;C:\Users\stu\Documents\GitHub\eaglep3-reporting\EC\2017-05-26-refined-times.txt</v>
      </c>
      <c r="AI8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{"issue":{"subject":"","project_id":79,"tracker_id":40,"status_id":1,"priority_id":2,"assigned_to_id":23,"start_date":"2017-05-26","description":"","custom_fields":[{"id":1,"name":"Subdivision","value":"EC"},{"id":4,"name":"Milepost","value":"23.3297"},{"id":17,"name":"Train ID","value":"169-26"},{"id":16,"name":"Locomotive ID","value":"4026"},{"id":130,"name":"Impact","value":""},{"id":150,"name":"Time of Event (Mountain Time)","value":"12:50:52"},{"id":151,"name":"Denver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5"/>
        <v>start /low /b %USERPROFILE%\Documents\GitHub\eaglep3\Utilities\DownloadLogsFromS3.py --loco 4026 --day 2017-05-26</v>
      </c>
      <c r="AN81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616</v>
      </c>
      <c r="B82" s="7">
        <v>4025</v>
      </c>
      <c r="C82" s="21" t="s">
        <v>204</v>
      </c>
      <c r="D82" s="21" t="s">
        <v>445</v>
      </c>
      <c r="E82" s="13">
        <v>42881.547256944446</v>
      </c>
      <c r="F82" s="13">
        <v>42881.550405092596</v>
      </c>
      <c r="G82" s="7">
        <v>1</v>
      </c>
      <c r="H82" s="21" t="s">
        <v>371</v>
      </c>
      <c r="I82" s="13">
        <v>42881.577731481484</v>
      </c>
      <c r="J82" s="7">
        <v>0</v>
      </c>
      <c r="K82" s="92" t="str">
        <f t="shared" si="28"/>
        <v>4025/4026</v>
      </c>
      <c r="L82" s="21" t="str">
        <f>VLOOKUP(A82,'Trips&amp;Operators'!$C$1:$G$99999,5,FALSE)</f>
        <v>LEVIN SCOTT</v>
      </c>
      <c r="M82" s="6">
        <f t="shared" si="29"/>
        <v>2.73263888884685E-2</v>
      </c>
      <c r="N82" s="7">
        <f t="shared" si="42"/>
        <v>39.34999999939464</v>
      </c>
      <c r="O82" s="7"/>
      <c r="P82" s="7"/>
      <c r="Q82" s="22"/>
      <c r="R82" s="173"/>
      <c r="S82" s="176">
        <f t="shared" si="30"/>
        <v>1</v>
      </c>
      <c r="T82" s="202" t="str">
        <f t="shared" si="31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2"/>
        <v>https://d0f6bd738d7f1b3e5a7ca70fe4ff75f0.us-east-1.aws.found.io/app/kibana#/discover/Steve-Slow-Train-Analysis-(2080s-and-2083s)?_g=(refreshInterval:(display:Off,pause:!f,section:0,value:0),time:(from:'2017-05-26T12:08:03-0600',mode:absolute,to:'2017-05-26T14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204" t="str">
        <f t="shared" si="33"/>
        <v>N</v>
      </c>
      <c r="X82" s="204">
        <f t="shared" si="34"/>
        <v>1</v>
      </c>
      <c r="Y82" s="204">
        <f t="shared" si="35"/>
        <v>23.299800000000001</v>
      </c>
      <c r="Z82" s="204">
        <f t="shared" si="36"/>
        <v>1.3599999999999999E-2</v>
      </c>
      <c r="AA82" s="204">
        <f t="shared" si="37"/>
        <v>23.286200000000001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38"/>
        <v>0170-26</v>
      </c>
      <c r="AE82" s="80" t="str">
        <f t="shared" si="39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82" s="77" t="str">
        <f t="shared" si="40"/>
        <v>"C:\Program Files (x86)\AstroGrep\AstroGrep.exe" /e /r /s /spath="%USERPROFILE%\AppData\Local\Temp\OnboardLogs" /stypes="app*4025*20170526*" /stext=" 19:.+((SYSTEM_STATE.+slice.+state.+changed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3"/>
        <v>"%USERPROFILE%\Documents\GitHub\eaglep3\Utilities\RefineRTDCRunTimes.py" --tripid 170-26 --locoid 4025 --swversion DE.1.0.9.0 --startMP 204:232998 --initTime 2017-05-26T13:08:03 --startdatetime 2017-05-26T13:12:35 --delay 1 --endMP 204:136 --enddatetime 2017-05-26T13:51:56 --enforcementcount 0 &gt;&gt;C:\Users\stu\Documents\GitHub\eaglep3-reporting\EC\2017-05-26-refined-times.txt</v>
      </c>
      <c r="AI8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{"issue":{"subject":"","project_id":79,"tracker_id":40,"status_id":1,"priority_id":2,"assigned_to_id":23,"start_date":"2017-05-26","description":"","custom_fields":[{"id":1,"name":"Subdivision","value":"EC"},{"id":4,"name":"Milepost","value":"0.0136"},{"id":17,"name":"Train ID","value":"170-26"},{"id":16,"name":"Locomotive ID","value":"4025"},{"id":130,"name":"Impact","value":""},{"id":150,"name":"Time of Event (Mountain Time)","value":"13:51:56"},{"id":151,"name":"Denver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5"/>
        <v>start /low /b %USERPROFILE%\Documents\GitHub\eaglep3\Utilities\DownloadLogsFromS3.py --loco 4025 --day 2017-05-26</v>
      </c>
      <c r="AN82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730</v>
      </c>
      <c r="B83" s="7">
        <v>4062</v>
      </c>
      <c r="C83" s="21" t="s">
        <v>204</v>
      </c>
      <c r="D83" s="21" t="s">
        <v>354</v>
      </c>
      <c r="E83" s="13">
        <v>42881.51667824074</v>
      </c>
      <c r="F83" s="13">
        <v>42881.521134259259</v>
      </c>
      <c r="G83" s="7">
        <v>1</v>
      </c>
      <c r="H83" s="21" t="s">
        <v>577</v>
      </c>
      <c r="I83" s="13">
        <v>42881.54614583333</v>
      </c>
      <c r="J83" s="7">
        <v>0</v>
      </c>
      <c r="K83" s="92" t="str">
        <f t="shared" si="28"/>
        <v>4061/4062</v>
      </c>
      <c r="L83" s="21" t="str">
        <f>VLOOKUP(A83,'Trips&amp;Operators'!$C$1:$G$99999,5,FALSE)</f>
        <v>WHITED DUSTIN</v>
      </c>
      <c r="M83" s="6">
        <f t="shared" si="29"/>
        <v>2.5011574070958886E-2</v>
      </c>
      <c r="N83" s="7">
        <f t="shared" si="42"/>
        <v>36.016666662180796</v>
      </c>
      <c r="O83" s="7"/>
      <c r="P83" s="7"/>
      <c r="Q83" s="22"/>
      <c r="R83" s="173"/>
      <c r="S83" s="176">
        <f t="shared" si="30"/>
        <v>1</v>
      </c>
      <c r="T83" s="202" t="str">
        <f t="shared" si="31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2"/>
        <v>https://d0f6bd738d7f1b3e5a7ca70fe4ff75f0.us-east-1.aws.found.io/app/kibana#/discover/Steve-Slow-Train-Analysis-(2080s-and-2083s)?_g=(refreshInterval:(display:Off,pause:!f,section:0,value:0),time:(from:'2017-05-26T11:24:01-0600',mode:absolute,to:'2017-05-26T14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3" s="204" t="str">
        <f t="shared" si="33"/>
        <v>N</v>
      </c>
      <c r="X83" s="204">
        <f t="shared" si="34"/>
        <v>1</v>
      </c>
      <c r="Y83" s="204">
        <f t="shared" si="35"/>
        <v>4.6600000000000003E-2</v>
      </c>
      <c r="Z83" s="204">
        <f t="shared" si="36"/>
        <v>23.330400000000001</v>
      </c>
      <c r="AA83" s="204">
        <f t="shared" si="37"/>
        <v>23.283799999999999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0171-26</v>
      </c>
      <c r="AE83" s="80" t="str">
        <f t="shared" si="39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83" s="77" t="str">
        <f t="shared" si="40"/>
        <v>"C:\Program Files (x86)\AstroGrep\AstroGrep.exe" /e /r /s /spath="%USERPROFILE%\AppData\Local\Temp\OnboardLogs" /stypes="app*4062*20170526*" /stext=" 19:.+((SYSTEM_STATE.+slice.+state.+changed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3"/>
        <v>"%USERPROFILE%\Documents\GitHub\eaglep3\Utilities\RefineRTDCRunTimes.py" --tripid 171-26 --locoid 4062 --swversion DE.1.0.9.0 --startMP 204:466 --initTime 2017-05-26T12:24:01 --startdatetime 2017-05-26T12:30:26 --delay 1 --endMP 204:233304 --enddatetime 2017-05-26T13:06:27 --enforcementcount 0 &gt;&gt;C:\Users\stu\Documents\GitHub\eaglep3-reporting\EC\2017-05-26-refined-times.txt</v>
      </c>
      <c r="AI8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{"issue":{"subject":"","project_id":79,"tracker_id":40,"status_id":1,"priority_id":2,"assigned_to_id":23,"start_date":"2017-05-26","description":"","custom_fields":[{"id":1,"name":"Subdivision","value":"EC"},{"id":4,"name":"Milepost","value":"23.3304"},{"id":17,"name":"Train ID","value":"171-26"},{"id":16,"name":"Locomotive ID","value":"4062"},{"id":130,"name":"Impact","value":""},{"id":150,"name":"Time of Event (Mountain Time)","value":"13:06:27"},{"id":151,"name":"Denver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5"/>
        <v>start /low /b %USERPROFILE%\Documents\GitHub\eaglep3\Utilities\DownloadLogsFromS3.py --loco 4062 --day 2017-05-26</v>
      </c>
      <c r="AN83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740</v>
      </c>
      <c r="B84" s="7">
        <v>4061</v>
      </c>
      <c r="C84" s="21" t="s">
        <v>204</v>
      </c>
      <c r="D84" s="21" t="s">
        <v>464</v>
      </c>
      <c r="E84" s="13">
        <v>42881.555162037039</v>
      </c>
      <c r="F84" s="13">
        <v>42881.560659722221</v>
      </c>
      <c r="G84" s="7">
        <v>1</v>
      </c>
      <c r="H84" s="21" t="s">
        <v>352</v>
      </c>
      <c r="I84" s="13">
        <v>42881.587824074071</v>
      </c>
      <c r="J84" s="7">
        <v>0</v>
      </c>
      <c r="K84" s="92" t="str">
        <f t="shared" si="28"/>
        <v>4061/4062</v>
      </c>
      <c r="L84" s="21" t="str">
        <f>VLOOKUP(A84,'Trips&amp;Operators'!$C$1:$G$99999,5,FALSE)</f>
        <v>WHITED DUSTIN</v>
      </c>
      <c r="M84" s="6">
        <f t="shared" si="29"/>
        <v>2.7164351849933155E-2</v>
      </c>
      <c r="N84" s="7">
        <f t="shared" si="42"/>
        <v>39.116666663903743</v>
      </c>
      <c r="O84" s="7"/>
      <c r="P84" s="7"/>
      <c r="Q84" s="22"/>
      <c r="R84" s="173"/>
      <c r="S84" s="176">
        <f t="shared" si="30"/>
        <v>1</v>
      </c>
      <c r="T84" s="202" t="str">
        <f t="shared" si="31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2"/>
        <v>https://d0f6bd738d7f1b3e5a7ca70fe4ff75f0.us-east-1.aws.found.io/app/kibana#/discover/Steve-Slow-Train-Analysis-(2080s-and-2083s)?_g=(refreshInterval:(display:Off,pause:!f,section:0,value:0),time:(from:'2017-05-26T12:19:26-0600',mode:absolute,to:'2017-05-26T15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4" s="204" t="str">
        <f t="shared" si="33"/>
        <v>N</v>
      </c>
      <c r="X84" s="204">
        <f t="shared" si="34"/>
        <v>1</v>
      </c>
      <c r="Y84" s="204">
        <f t="shared" si="35"/>
        <v>23.299399999999999</v>
      </c>
      <c r="Z84" s="204">
        <f t="shared" si="36"/>
        <v>1.49E-2</v>
      </c>
      <c r="AA84" s="204">
        <f t="shared" si="37"/>
        <v>23.284499999999998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0172-26</v>
      </c>
      <c r="AE84" s="80" t="str">
        <f t="shared" si="39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84" s="77" t="str">
        <f t="shared" si="40"/>
        <v>"C:\Program Files (x86)\AstroGrep\AstroGrep.exe" /e /r /s /spath="%USERPROFILE%\AppData\Local\Temp\OnboardLogs" /stypes="app*4061*20170526*" /stext=" 20:.+((SYSTEM_STATE.+slice.+state.+changed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3"/>
        <v>"%USERPROFILE%\Documents\GitHub\eaglep3\Utilities\RefineRTDCRunTimes.py" --tripid 172-26 --locoid 4061 --swversion DE.1.0.9.0 --startMP 204:232994 --initTime 2017-05-26T13:19:26 --startdatetime 2017-05-26T13:27:21 --delay 1 --endMP 204:149 --enddatetime 2017-05-26T14:06:28 --enforcementcount 0 &gt;&gt;C:\Users\stu\Documents\GitHub\eaglep3-reporting\EC\2017-05-26-refined-times.txt</v>
      </c>
      <c r="AI8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{"issue":{"subject":"","project_id":79,"tracker_id":40,"status_id":1,"priority_id":2,"assigned_to_id":23,"start_date":"2017-05-26","description":"","custom_fields":[{"id":1,"name":"Subdivision","value":"EC"},{"id":4,"name":"Milepost","value":"0.0149"},{"id":17,"name":"Train ID","value":"172-26"},{"id":16,"name":"Locomotive ID","value":"4061"},{"id":130,"name":"Impact","value":""},{"id":150,"name":"Time of Event (Mountain Time)","value":"14:06:28"},{"id":151,"name":"Denver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5"/>
        <v>start /low /b %USERPROFILE%\Documents\GitHub\eaglep3\Utilities\DownloadLogsFromS3.py --loco 4061 --day 2017-05-26</v>
      </c>
      <c r="AN84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734</v>
      </c>
      <c r="B85" s="7">
        <v>4006</v>
      </c>
      <c r="C85" s="21" t="s">
        <v>204</v>
      </c>
      <c r="D85" s="21" t="s">
        <v>354</v>
      </c>
      <c r="E85" s="13">
        <v>42881.530243055553</v>
      </c>
      <c r="F85" s="13">
        <v>42881.532719907409</v>
      </c>
      <c r="G85" s="7">
        <v>2</v>
      </c>
      <c r="H85" s="21" t="s">
        <v>531</v>
      </c>
      <c r="I85" s="13">
        <v>42881.557453703703</v>
      </c>
      <c r="J85" s="7">
        <v>0</v>
      </c>
      <c r="K85" s="92" t="str">
        <f t="shared" si="28"/>
        <v>4005/4006</v>
      </c>
      <c r="L85" s="21" t="str">
        <f>VLOOKUP(A85,'Trips&amp;Operators'!$C$1:$G$99999,5,FALSE)</f>
        <v>HOLCOMB KAMDEN</v>
      </c>
      <c r="M85" s="6">
        <f t="shared" si="29"/>
        <v>2.4733796293730848E-2</v>
      </c>
      <c r="N85" s="7">
        <f t="shared" si="42"/>
        <v>35.61666666297242</v>
      </c>
      <c r="O85" s="7"/>
      <c r="P85" s="7"/>
      <c r="Q85" s="22"/>
      <c r="R85" s="173"/>
      <c r="S85" s="176">
        <f t="shared" si="30"/>
        <v>1</v>
      </c>
      <c r="T85" s="202" t="str">
        <f t="shared" si="31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2"/>
        <v>https://d0f6bd738d7f1b3e5a7ca70fe4ff75f0.us-east-1.aws.found.io/app/kibana#/discover/Steve-Slow-Train-Analysis-(2080s-and-2083s)?_g=(refreshInterval:(display:Off,pause:!f,section:0,value:0),time:(from:'2017-05-26T11:43:33-0600',mode:absolute,to:'2017-05-26T14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204" t="str">
        <f t="shared" si="33"/>
        <v>N</v>
      </c>
      <c r="X85" s="204">
        <f t="shared" si="34"/>
        <v>1</v>
      </c>
      <c r="Y85" s="204">
        <f t="shared" si="35"/>
        <v>4.6600000000000003E-2</v>
      </c>
      <c r="Z85" s="204">
        <f t="shared" si="36"/>
        <v>23.331800000000001</v>
      </c>
      <c r="AA85" s="204">
        <f t="shared" si="37"/>
        <v>23.2852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0173-26</v>
      </c>
      <c r="AE85" s="80" t="str">
        <f t="shared" si="39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85" s="77" t="str">
        <f t="shared" si="40"/>
        <v>"C:\Program Files (x86)\AstroGrep\AstroGrep.exe" /e /r /s /spath="%USERPROFILE%\AppData\Local\Temp\OnboardLogs" /stypes="app*4006*20170526*"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3"/>
        <v>"%USERPROFILE%\Documents\GitHub\eaglep3\Utilities\RefineRTDCRunTimes.py" --tripid 173-26 --locoid 4006 --swversion DE.1.0.9.0 --startMP 204:466 --initTime 2017-05-26T12:43:33 --startdatetime 2017-05-26T12:47:07 --delay 2 --endMP 204:233318 --enddatetime 2017-05-26T13:22:44 --enforcementcount 0 &gt;&gt;C:\Users\stu\Documents\GitHub\eaglep3-reporting\EC\2017-05-26-refined-times.txt</v>
      </c>
      <c r="AI8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{"issue":{"subject":"","project_id":79,"tracker_id":40,"status_id":1,"priority_id":2,"assigned_to_id":23,"start_date":"2017-05-26","description":"","custom_fields":[{"id":1,"name":"Subdivision","value":"EC"},{"id":4,"name":"Milepost","value":"23.3318"},{"id":17,"name":"Train ID","value":"173-26"},{"id":16,"name":"Locomotive ID","value":"4006"},{"id":130,"name":"Impact","value":""},{"id":150,"name":"Time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5"/>
        <v>start /low /b %USERPROFILE%\Documents\GitHub\eaglep3\Utilities\DownloadLogsFromS3.py --loco 4006 --day 2017-05-26</v>
      </c>
      <c r="AN85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742</v>
      </c>
      <c r="B86" s="7">
        <v>4005</v>
      </c>
      <c r="C86" s="21" t="s">
        <v>204</v>
      </c>
      <c r="D86" s="21" t="s">
        <v>471</v>
      </c>
      <c r="E86" s="13">
        <v>42881.562326388892</v>
      </c>
      <c r="F86" s="13">
        <v>42881.571018518516</v>
      </c>
      <c r="G86" s="7">
        <v>1</v>
      </c>
      <c r="H86" s="21" t="s">
        <v>195</v>
      </c>
      <c r="I86" s="13">
        <v>42881.600335648145</v>
      </c>
      <c r="J86" s="7">
        <v>0</v>
      </c>
      <c r="K86" s="92" t="str">
        <f t="shared" si="28"/>
        <v>4005/4006</v>
      </c>
      <c r="L86" s="21" t="str">
        <f>VLOOKUP(A86,'Trips&amp;Operators'!$C$1:$G$99999,5,FALSE)</f>
        <v>HOLCOMB KAMDEN</v>
      </c>
      <c r="M86" s="6">
        <f t="shared" si="29"/>
        <v>2.9317129628907423E-2</v>
      </c>
      <c r="N86" s="7">
        <f t="shared" si="42"/>
        <v>42.21666666562669</v>
      </c>
      <c r="O86" s="7"/>
      <c r="P86" s="7"/>
      <c r="Q86" s="22"/>
      <c r="R86" s="173"/>
      <c r="S86" s="176">
        <f t="shared" si="30"/>
        <v>1</v>
      </c>
      <c r="T86" s="202" t="str">
        <f t="shared" si="31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2"/>
        <v>https://d0f6bd738d7f1b3e5a7ca70fe4ff75f0.us-east-1.aws.found.io/app/kibana#/discover/Steve-Slow-Train-Analysis-(2080s-and-2083s)?_g=(refreshInterval:(display:Off,pause:!f,section:0,value:0),time:(from:'2017-05-26T12:29:45-0600',mode:absolute,to:'2017-05-26T15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204" t="str">
        <f t="shared" si="33"/>
        <v>N</v>
      </c>
      <c r="X86" s="204">
        <f t="shared" si="34"/>
        <v>1</v>
      </c>
      <c r="Y86" s="204">
        <f t="shared" si="35"/>
        <v>23.299600000000002</v>
      </c>
      <c r="Z86" s="204">
        <f t="shared" si="36"/>
        <v>1.52E-2</v>
      </c>
      <c r="AA86" s="204">
        <f t="shared" si="37"/>
        <v>23.284400000000002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0174-26</v>
      </c>
      <c r="AE86" s="80" t="str">
        <f t="shared" si="39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86" s="77" t="str">
        <f t="shared" si="40"/>
        <v>"C:\Program Files (x86)\AstroGrep\AstroGrep.exe" /e /r /s /spath="%USERPROFILE%\AppData\Local\Temp\OnboardLogs" /stypes="app*4005*20170526*"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3"/>
        <v>"%USERPROFILE%\Documents\GitHub\eaglep3\Utilities\RefineRTDCRunTimes.py" --tripid 174-26 --locoid 4005 --swversion DE.1.0.9.0 --startMP 204:232996 --initTime 2017-05-26T13:29:45 --startdatetime 2017-05-26T13:42:16 --delay 1 --endMP 204:152 --enddatetime 2017-05-26T14:24:29 --enforcementcount 0 &gt;&gt;C:\Users\stu\Documents\GitHub\eaglep3-reporting\EC\2017-05-26-refined-times.txt</v>
      </c>
      <c r="AI8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ID","value":"174-26"},{"id":16,"name":"Locomotive ID","value":"4005"},{"id":130,"name":"Impact","value":""},{"id":150,"name":"Time of Event (Mountain Time)","value":"14:24:29"},{"id":151,"name":"Denver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5"/>
        <v>start /low /b %USERPROFILE%\Documents\GitHub\eaglep3\Utilities\DownloadLogsFromS3.py --loco 4005 --day 2017-05-26</v>
      </c>
      <c r="AN86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736</v>
      </c>
      <c r="B87" s="7">
        <v>4002</v>
      </c>
      <c r="C87" s="21" t="s">
        <v>204</v>
      </c>
      <c r="D87" s="21" t="s">
        <v>360</v>
      </c>
      <c r="E87" s="13">
        <v>42881.536944444444</v>
      </c>
      <c r="F87" s="13">
        <v>42881.541979166665</v>
      </c>
      <c r="G87" s="7">
        <v>2</v>
      </c>
      <c r="H87" s="21" t="s">
        <v>867</v>
      </c>
      <c r="I87" s="13">
        <v>42881.568252314813</v>
      </c>
      <c r="J87" s="7">
        <v>0</v>
      </c>
      <c r="K87" s="92" t="str">
        <f t="shared" si="28"/>
        <v>4001/4002</v>
      </c>
      <c r="L87" s="21" t="str">
        <f>VLOOKUP(A87,'Trips&amp;Operators'!$C$1:$G$99999,5,FALSE)</f>
        <v>BRANDNER MELINDA</v>
      </c>
      <c r="M87" s="6">
        <f t="shared" si="29"/>
        <v>2.6273148148902692E-2</v>
      </c>
      <c r="N87" s="7">
        <f t="shared" si="42"/>
        <v>37.833333334419876</v>
      </c>
      <c r="O87" s="7"/>
      <c r="P87" s="7"/>
      <c r="Q87" s="22"/>
      <c r="R87" s="173"/>
      <c r="S87" s="176">
        <f t="shared" si="30"/>
        <v>1</v>
      </c>
      <c r="T87" s="202" t="str">
        <f t="shared" si="31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2"/>
        <v>https://d0f6bd738d7f1b3e5a7ca70fe4ff75f0.us-east-1.aws.found.io/app/kibana#/discover/Steve-Slow-Train-Analysis-(2080s-and-2083s)?_g=(refreshInterval:(display:Off,pause:!f,section:0,value:0),time:(from:'2017-05-26T11:53:12-0600',mode:absolute,to:'2017-05-26T14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204" t="str">
        <f t="shared" si="33"/>
        <v>N</v>
      </c>
      <c r="X87" s="204">
        <f t="shared" si="34"/>
        <v>1</v>
      </c>
      <c r="Y87" s="204">
        <f t="shared" si="35"/>
        <v>4.4699999999999997E-2</v>
      </c>
      <c r="Z87" s="204">
        <f t="shared" si="36"/>
        <v>23.332100000000001</v>
      </c>
      <c r="AA87" s="204">
        <f t="shared" si="37"/>
        <v>23.287400000000002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0175-26</v>
      </c>
      <c r="AE87" s="80" t="str">
        <f t="shared" si="39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87" s="77" t="str">
        <f t="shared" si="40"/>
        <v>"C:\Program Files (x86)\AstroGrep\AstroGrep.exe" /e /r /s /spath="%USERPROFILE%\AppData\Local\Temp\OnboardLogs" /stypes="app*4002*20170526*"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3"/>
        <v>"%USERPROFILE%\Documents\GitHub\eaglep3\Utilities\RefineRTDCRunTimes.py" --tripid 175-26 --locoid 4002 --swversion DE.1.0.9.0 --startMP 204:447 --initTime 2017-05-26T12:53:12 --startdatetime 2017-05-26T13:00:27 --delay 2 --endMP 204:233321 --enddatetime 2017-05-26T13:38:17 --enforcementcount 0 &gt;&gt;C:\Users\stu\Documents\GitHub\eaglep3-reporting\EC\2017-05-26-refined-times.txt</v>
      </c>
      <c r="AI8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{"issue":{"subject":"","project_id":79,"tracker_id":40,"status_id":1,"priority_id":2,"assigned_to_id":23,"start_date":"2017-05-26","description":"","custom_fields":[{"id":1,"name":"Subdivision","value":"EC"},{"id":4,"name":"Milepost","value":"23.3321"},{"id":17,"name":"Train ID","value":"175-26"},{"id":16,"name":"Locomotive ID","value":"4002"},{"id":130,"name":"Impact","value":""},{"id":150,"name":"Time of Event (Mountain Time)","value":"13:38:17"},{"id":151,"name":"Denver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5"/>
        <v>start /low /b %USERPROFILE%\Documents\GitHub\eaglep3\Utilities\DownloadLogsFromS3.py --loco 4002 --day 2017-05-26</v>
      </c>
      <c r="AN87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745</v>
      </c>
      <c r="B88" s="7">
        <v>4001</v>
      </c>
      <c r="C88" s="21" t="s">
        <v>204</v>
      </c>
      <c r="D88" s="21" t="s">
        <v>569</v>
      </c>
      <c r="E88" s="13">
        <v>42881.57885416667</v>
      </c>
      <c r="F88" s="13">
        <v>42881.581562500003</v>
      </c>
      <c r="G88" s="7">
        <v>1</v>
      </c>
      <c r="H88" s="21" t="s">
        <v>465</v>
      </c>
      <c r="I88" s="13">
        <v>42881.608599537038</v>
      </c>
      <c r="J88" s="7">
        <v>0</v>
      </c>
      <c r="K88" s="92" t="str">
        <f t="shared" si="28"/>
        <v>4001/4002</v>
      </c>
      <c r="L88" s="21" t="str">
        <f>VLOOKUP(A88,'Trips&amp;Operators'!$C$1:$G$99999,5,FALSE)</f>
        <v>BRANDNER MELINDA</v>
      </c>
      <c r="M88" s="6">
        <f t="shared" si="29"/>
        <v>2.7037037034460809E-2</v>
      </c>
      <c r="N88" s="7">
        <f t="shared" si="42"/>
        <v>38.933333329623565</v>
      </c>
      <c r="O88" s="7"/>
      <c r="P88" s="7"/>
      <c r="Q88" s="22"/>
      <c r="R88" s="173"/>
      <c r="S88" s="176">
        <f t="shared" si="30"/>
        <v>1</v>
      </c>
      <c r="T88" s="202" t="str">
        <f t="shared" si="31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2"/>
        <v>https://d0f6bd738d7f1b3e5a7ca70fe4ff75f0.us-east-1.aws.found.io/app/kibana#/discover/Steve-Slow-Train-Analysis-(2080s-and-2083s)?_g=(refreshInterval:(display:Off,pause:!f,section:0,value:0),time:(from:'2017-05-26T12:53:33-0600',mode:absolute,to:'2017-05-26T15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204" t="str">
        <f t="shared" si="33"/>
        <v>N</v>
      </c>
      <c r="X88" s="204">
        <f t="shared" si="34"/>
        <v>1</v>
      </c>
      <c r="Y88" s="204">
        <f t="shared" si="35"/>
        <v>23.3002</v>
      </c>
      <c r="Z88" s="204">
        <f t="shared" si="36"/>
        <v>1.4500000000000001E-2</v>
      </c>
      <c r="AA88" s="204">
        <f t="shared" si="37"/>
        <v>23.285699999999999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0176-26</v>
      </c>
      <c r="AE88" s="80" t="str">
        <f t="shared" si="39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88" s="77" t="str">
        <f t="shared" si="40"/>
        <v>"C:\Program Files (x86)\AstroGrep\AstroGrep.exe" /e /r /s /spath="%USERPROFILE%\AppData\Local\Temp\OnboardLogs" /stypes="app*4001*20170526*"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3"/>
        <v>"%USERPROFILE%\Documents\GitHub\eaglep3\Utilities\RefineRTDCRunTimes.py" --tripid 176-26 --locoid 4001 --swversion DE.1.0.9.0 --startMP 204:233002 --initTime 2017-05-26T13:53:33 --startdatetime 2017-05-26T13:57:27 --delay 1 --endMP 204:145 --enddatetime 2017-05-26T14:36:23 --enforcementcount 0 &gt;&gt;C:\Users\stu\Documents\GitHub\eaglep3-reporting\EC\2017-05-26-refined-times.txt</v>
      </c>
      <c r="AI8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{"issue":{"subject":"","project_id":79,"tracker_id":40,"status_id":1,"priority_id":2,"assigned_to_id":23,"start_date":"2017-05-26","description":"","custom_fields":[{"id":1,"name":"Subdivision","value":"EC"},{"id":4,"name":"Milepost","value":"0.0145"},{"id":17,"name":"Train ID","value":"176-26"},{"id":16,"name":"Locomotive ID","value":"4001"},{"id":130,"name":"Impact","value":""},{"id":150,"name":"Time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5"/>
        <v>start /low /b %USERPROFILE%\Documents\GitHub\eaglep3\Utilities\DownloadLogsFromS3.py --loco 4001 --day 2017-05-26</v>
      </c>
      <c r="AN88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615</v>
      </c>
      <c r="B89" s="7">
        <v>4058</v>
      </c>
      <c r="C89" s="21" t="s">
        <v>204</v>
      </c>
      <c r="D89" s="21" t="s">
        <v>864</v>
      </c>
      <c r="E89" s="13">
        <v>42881.549050925925</v>
      </c>
      <c r="F89" s="13">
        <v>42881.552291666667</v>
      </c>
      <c r="G89" s="7">
        <v>1</v>
      </c>
      <c r="H89" s="21" t="s">
        <v>868</v>
      </c>
      <c r="I89" s="13">
        <v>42881.556863425925</v>
      </c>
      <c r="J89" s="7">
        <v>0</v>
      </c>
      <c r="K89" s="92" t="str">
        <f t="shared" si="28"/>
        <v>4057/4058</v>
      </c>
      <c r="L89" s="21" t="str">
        <f>VLOOKUP(A89,'Trips&amp;Operators'!$C$1:$G$99999,5,FALSE)</f>
        <v>STEWART MICHAEL</v>
      </c>
      <c r="M89" s="6">
        <f t="shared" si="29"/>
        <v>4.5717592583969235E-3</v>
      </c>
      <c r="N89" s="7"/>
      <c r="O89" s="7"/>
      <c r="P89" s="7">
        <f>24*60*SUM($M89:$M89)</f>
        <v>6.5833333320915699</v>
      </c>
      <c r="Q89" s="22"/>
      <c r="R89" s="173" t="s">
        <v>426</v>
      </c>
      <c r="S89" s="176">
        <f t="shared" si="30"/>
        <v>0</v>
      </c>
      <c r="T89" s="202" t="str">
        <f t="shared" si="31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203" t="str">
        <f t="shared" si="32"/>
        <v>https://d0f6bd738d7f1b3e5a7ca70fe4ff75f0.us-east-1.aws.found.io/app/kibana#/discover/Steve-Slow-Train-Analysis-(2080s-and-2083s)?_g=(refreshInterval:(display:Off,pause:!f,section:0,value:0),time:(from:'2017-05-26T12:10:38-0600',mode:absolute,to:'2017-05-26T14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9" s="204" t="str">
        <f t="shared" si="33"/>
        <v>Y</v>
      </c>
      <c r="X89" s="204">
        <f t="shared" si="34"/>
        <v>1</v>
      </c>
      <c r="Y89" s="204">
        <f t="shared" si="35"/>
        <v>4.6899999999999997E-2</v>
      </c>
      <c r="Z89" s="204">
        <f t="shared" si="36"/>
        <v>1.9137999999999999</v>
      </c>
      <c r="AA89" s="204">
        <f t="shared" si="37"/>
        <v>1.8669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0177-26</v>
      </c>
      <c r="AE89" s="80" t="str">
        <f t="shared" si="39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89" s="77" t="str">
        <f t="shared" si="40"/>
        <v>"C:\Program Files (x86)\AstroGrep\AstroGrep.exe" /e /r /s /spath="%USERPROFILE%\AppData\Local\Temp\OnboardLogs" /stypes="app*4058*20170526*"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3"/>
        <v>"%USERPROFILE%\Documents\GitHub\eaglep3\Utilities\RefineRTDCRunTimes.py" --tripid 177-26 --locoid 4058 --swversion DE.1.0.9.0 --startMP 204:469 --initTime 2017-05-26T13:10:38 --startdatetime 2017-05-26T13:15:18 --delay 1 --endMP 204:19138 --enddatetime 2017-05-26T13:21:53 --enforcementcount 0 &gt;&gt;C:\Users\stu\Documents\GitHub\eaglep3-reporting\EC\2017-05-26-refined-times.txt</v>
      </c>
      <c r="AI89" s="99" t="str">
        <f t="shared" si="44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drop","project_id":79,"tracker_id":40,"status_id":1,"priority_id":2,"assigned_to_id":23,"start_date":"2017-05-26","description":"","custom_fields":[{"id":1,"name":"Subdivision","value":"EC"},{"id":4,"name":"Milepost","value":"1.9138"},{"id":17,"name":"Train ID","value":"177-26"},{"id":16,"name":"Locomotive ID","value":"4058"},{"id":130,"name":"Impact","value":""},{"id":150,"name":"Time of Event (Mountain Time)","value":"13:21:53"},{"id":151,"name":"Denver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5"/>
        <v>start /low /b %USERPROFILE%\Documents\GitHub\eaglep3\Utilities\DownloadLogsFromS3.py --loco 4058 --day 2017-05-26</v>
      </c>
      <c r="AN89" s="154" t="str">
        <f t="shared" si="46"/>
        <v>echo {"issue":{"subject":"Wi-MAX data drop","project_id":30,"tracker_id":4,"status_id":1,"priority_id":1,"assigned_to_id":10,"start_date":"2017-05-26","description":"","custom_fields":[{"id":30,"name":"Category","value":"Issue"},{"id":3,"name":"Functional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747</v>
      </c>
      <c r="B90" s="7">
        <v>4057</v>
      </c>
      <c r="C90" s="21" t="s">
        <v>204</v>
      </c>
      <c r="D90" s="21" t="s">
        <v>869</v>
      </c>
      <c r="E90" s="13">
        <v>42881.588923611111</v>
      </c>
      <c r="F90" s="13">
        <v>42881.592789351853</v>
      </c>
      <c r="G90" s="7">
        <v>5</v>
      </c>
      <c r="H90" s="21" t="s">
        <v>557</v>
      </c>
      <c r="I90" s="13">
        <v>42881.62027777778</v>
      </c>
      <c r="J90" s="7">
        <v>0</v>
      </c>
      <c r="K90" s="92" t="str">
        <f t="shared" si="28"/>
        <v>4057/4058</v>
      </c>
      <c r="L90" s="21" t="str">
        <f>VLOOKUP(A90,'Trips&amp;Operators'!$C$1:$G$99999,5,FALSE)</f>
        <v>STEWART MICHAEL</v>
      </c>
      <c r="M90" s="6">
        <f t="shared" si="29"/>
        <v>2.7488425927003846E-2</v>
      </c>
      <c r="N90" s="7">
        <f>24*60*SUM($M90:$M90)</f>
        <v>39.583333334885538</v>
      </c>
      <c r="O90" s="7"/>
      <c r="P90" s="7"/>
      <c r="Q90" s="22"/>
      <c r="R90" s="173"/>
      <c r="S90" s="176">
        <f t="shared" si="30"/>
        <v>1</v>
      </c>
      <c r="T90" s="202" t="str">
        <f t="shared" si="31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2"/>
        <v>https://d0f6bd738d7f1b3e5a7ca70fe4ff75f0.us-east-1.aws.found.io/app/kibana#/discover/Steve-Slow-Train-Analysis-(2080s-and-2083s)?_g=(refreshInterval:(display:Off,pause:!f,section:0,value:0),time:(from:'2017-05-26T13:08:03-0600',mode:absolute,to:'2017-05-26T15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0" s="204" t="str">
        <f t="shared" si="33"/>
        <v>N</v>
      </c>
      <c r="X90" s="204">
        <f t="shared" si="34"/>
        <v>1</v>
      </c>
      <c r="Y90" s="204">
        <f t="shared" si="35"/>
        <v>23.295500000000001</v>
      </c>
      <c r="Z90" s="204">
        <f t="shared" si="36"/>
        <v>1.5599999999999999E-2</v>
      </c>
      <c r="AA90" s="204">
        <f t="shared" si="37"/>
        <v>23.279900000000001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8"/>
        <v>0178-26</v>
      </c>
      <c r="AE90" s="80" t="str">
        <f t="shared" si="39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90" s="77" t="str">
        <f t="shared" si="40"/>
        <v>"C:\Program Files (x86)\AstroGrep\AstroGrep.exe" /e /r /s /spath="%USERPROFILE%\AppData\Local\Temp\OnboardLogs" /stypes="app*4057*20170526*"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3"/>
        <v>"%USERPROFILE%\Documents\GitHub\eaglep3\Utilities\RefineRTDCRunTimes.py" --tripid 178-26 --locoid 4057 --swversion DE.1.0.9.0 --startMP 204:232955 --initTime 2017-05-26T14:08:03 --startdatetime 2017-05-26T14:13:37 --delay 5 --endMP 204:156 --enddatetime 2017-05-26T14:53:12 --enforcementcount 0 &gt;&gt;C:\Users\stu\Documents\GitHub\eaglep3-reporting\EC\2017-05-26-refined-times.txt</v>
      </c>
      <c r="AI9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{"issue":{"subject":"","project_id":79,"tracker_id":40,"status_id":1,"priority_id":2,"assigned_to_id":23,"start_date":"2017-05-26","description":"","custom_fields":[{"id":1,"name":"Subdivision","value":"EC"},{"id":4,"name":"Milepost","value":"0.0156"},{"id":17,"name":"Train ID","value":"178-26"},{"id":16,"name":"Locomotive ID","value":"4057"},{"id":130,"name":"Impact","value":""},{"id":150,"name":"Time of Event (Mountain Time)","value":"14:53:12"},{"id":151,"name":"Denver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5"/>
        <v>start /low /b %USERPROFILE%\Documents\GitHub\eaglep3\Utilities\DownloadLogsFromS3.py --loco 4057 --day 2017-05-26</v>
      </c>
      <c r="AN90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741</v>
      </c>
      <c r="B91" s="7">
        <v>4044</v>
      </c>
      <c r="C91" s="21" t="s">
        <v>204</v>
      </c>
      <c r="D91" s="21" t="s">
        <v>870</v>
      </c>
      <c r="E91" s="13">
        <v>42881.567662037036</v>
      </c>
      <c r="F91" s="13">
        <v>42881.569479166668</v>
      </c>
      <c r="G91" s="7">
        <v>1</v>
      </c>
      <c r="H91" s="21" t="s">
        <v>871</v>
      </c>
      <c r="I91" s="13">
        <v>42881.595127314817</v>
      </c>
      <c r="J91" s="7">
        <v>0</v>
      </c>
      <c r="K91" s="92" t="str">
        <f t="shared" si="28"/>
        <v>4043/4044</v>
      </c>
      <c r="L91" s="21" t="str">
        <f>VLOOKUP(A91,'Trips&amp;Operators'!$C$1:$G$99999,5,FALSE)</f>
        <v>COOLAHAN JOHN</v>
      </c>
      <c r="M91" s="6">
        <f t="shared" si="29"/>
        <v>2.5648148148320615E-2</v>
      </c>
      <c r="N91" s="7"/>
      <c r="O91" s="7"/>
      <c r="P91" s="7">
        <f>24*60*SUM($M91:$M91)</f>
        <v>36.933333333581686</v>
      </c>
      <c r="Q91" s="22"/>
      <c r="R91" s="173" t="s">
        <v>1013</v>
      </c>
      <c r="S91" s="176">
        <f t="shared" si="30"/>
        <v>1</v>
      </c>
      <c r="T91" s="202" t="str">
        <f t="shared" si="31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2"/>
        <v>https://d0f6bd738d7f1b3e5a7ca70fe4ff75f0.us-east-1.aws.found.io/app/kibana#/discover/Steve-Slow-Train-Analysis-(2080s-and-2083s)?_g=(refreshInterval:(display:Off,pause:!f,section:0,value:0),time:(from:'2017-05-26T12:37:26-0600',mode:absolute,to:'2017-05-26T15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1" s="204" t="str">
        <f t="shared" si="33"/>
        <v>Y</v>
      </c>
      <c r="X91" s="204">
        <f t="shared" si="34"/>
        <v>1</v>
      </c>
      <c r="Y91" s="204">
        <f t="shared" si="35"/>
        <v>1.9140999999999999</v>
      </c>
      <c r="Z91" s="204">
        <f t="shared" si="36"/>
        <v>23.333400000000001</v>
      </c>
      <c r="AA91" s="204">
        <f t="shared" si="37"/>
        <v>21.4193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0179-26</v>
      </c>
      <c r="AE91" s="80" t="str">
        <f t="shared" si="39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91" s="77" t="str">
        <f t="shared" si="40"/>
        <v>"C:\Program Files (x86)\AstroGrep\AstroGrep.exe" /e /r /s /spath="%USERPROFILE%\AppData\Local\Temp\OnboardLogs" /stypes="app*4044*20170526*" /stext=" 20:.+((SYSTEM_STATE.+slice.+state.+changed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3"/>
        <v>"%USERPROFILE%\Documents\GitHub\eaglep3\Utilities\RefineRTDCRunTimes.py" --tripid 179-26 --locoid 4044 --swversion DE.1.0.9.0 --startMP 204:19141 --initTime 2017-05-26T13:37:26 --startdatetime 2017-05-26T13:40:03 --delay 1 --endMP 204:233334 --enddatetime 2017-05-26T14:16:59 --enforcementcount 0 &gt;&gt;C:\Users\stu\Documents\GitHub\eaglep3-reporting\EC\2017-05-26-refined-times.txt</v>
      </c>
      <c r="AI91" s="99" t="str">
        <f t="shared" si="44"/>
        <v>echo {"issue":{"subject":"Onboard in-route failure","project_id":79,"tracker_id":40,"status_id":1,"priority_id":2,"assigned_to_id":23,"start_date":"2017-05-26","description":"","custom_fields":[{"id":1,"name":"Subdivision","value":"EC"},{"id":4,"name":"Milepost","value":"23.3334"},{"id":17,"name":"Train ID","value":"179-26"},{"id":16,"name":"Locomotive ID","value":"4044"},{"id":130,"name":"Impact","value":""},{"id":150,"name":"Time of Event (Mountain Time)","value":"14:16:59"},{"id":151,"name":"Denver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5"/>
        <v>start /low /b %USERPROFILE%\Documents\GitHub\eaglep3\Utilities\DownloadLogsFromS3.py --loco 4044 --day 2017-05-26</v>
      </c>
      <c r="AN91" s="154" t="str">
        <f t="shared" si="46"/>
        <v>echo {"issue":{"subject":"Onboard in-route failure","project_id":30,"tracker_id":4,"status_id":1,"priority_id":1,"assigned_to_id":10,"start_date":"2017-05-26","description":"","custom_fields":[{"id":30,"name":"Category","value":"Issue"},{"id":3,"name":"Functional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741</v>
      </c>
      <c r="B92" s="7">
        <v>4044</v>
      </c>
      <c r="C92" s="21" t="s">
        <v>204</v>
      </c>
      <c r="D92" s="21" t="s">
        <v>566</v>
      </c>
      <c r="E92" s="13">
        <v>42881.558240740742</v>
      </c>
      <c r="F92" s="13">
        <v>42881.569479166668</v>
      </c>
      <c r="G92" s="7">
        <v>2</v>
      </c>
      <c r="H92" s="21" t="s">
        <v>862</v>
      </c>
      <c r="I92" s="13">
        <v>42881.595127314817</v>
      </c>
      <c r="J92" s="7">
        <v>0</v>
      </c>
      <c r="K92" s="92" t="str">
        <f t="shared" si="28"/>
        <v>4043/4044</v>
      </c>
      <c r="L92" s="21" t="str">
        <f>VLOOKUP(A92,'Trips&amp;Operators'!$C$1:$G$99999,5,FALSE)</f>
        <v>COOLAHAN JOHN</v>
      </c>
      <c r="M92" s="6">
        <f t="shared" si="29"/>
        <v>2.5648148148320615E-2</v>
      </c>
      <c r="N92" s="7"/>
      <c r="O92" s="7"/>
      <c r="P92" s="7"/>
      <c r="Q92" s="22"/>
      <c r="R92" s="173"/>
      <c r="S92" s="176"/>
      <c r="T92" s="202" t="str">
        <f t="shared" si="31"/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203" t="str">
        <f t="shared" si="32"/>
        <v>https://d0f6bd738d7f1b3e5a7ca70fe4ff75f0.us-east-1.aws.found.io/app/kibana#/discover/Steve-Slow-Train-Analysis-(2080s-and-2083s)?_g=(refreshInterval:(display:Off,pause:!f,section:0,value:0),time:(from:'2017-05-26T12:23:52-0600',mode:absolute,to:'2017-05-26T15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204" t="str">
        <f t="shared" si="33"/>
        <v>Y</v>
      </c>
      <c r="X92" s="204">
        <f t="shared" si="34"/>
        <v>0</v>
      </c>
      <c r="Y92" s="204">
        <f t="shared" si="35"/>
        <v>4.2700000000000002E-2</v>
      </c>
      <c r="Z92" s="204">
        <f t="shared" si="36"/>
        <v>4.3700000000000003E-2</v>
      </c>
      <c r="AA92" s="204">
        <f t="shared" si="37"/>
        <v>1.0000000000000009E-3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0179-26</v>
      </c>
      <c r="AE92" s="80" t="str">
        <f t="shared" si="39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92" s="77" t="str">
        <f t="shared" si="40"/>
        <v>"C:\Program Files (x86)\AstroGrep\AstroGrep.exe" /e /r /s /spath="%USERPROFILE%\AppData\Local\Temp\OnboardLogs" /stypes="app*4044*20170526*" /stext=" 20:.+((SYSTEM_STATE.+slice.+state.+changed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3"/>
        <v>"%USERPROFILE%\Documents\GitHub\eaglep3\Utilities\RefineRTDCRunTimes.py" --tripid 179-26 --locoid 4044 --swversion DE.1.0.9.0 --startMP 204:427 --initTime 2017-05-26T13:23:52 --startdatetime 2017-05-26T13:40:03 --delay 2 --endMP 204:437 --enddatetime 2017-05-26T14:16:59 --enforcementcount 0 &gt;&gt;C:\Users\stu\Documents\GitHub\eaglep3-reporting\EC\2017-05-26-refined-times.txt</v>
      </c>
      <c r="AI9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{"issue":{"subject":"","project_id":79,"tracker_id":40,"status_id":1,"priority_id":2,"assigned_to_id":23,"start_date":"2017-05-26","description":"","custom_fields":[{"id":1,"name":"Subdivision","value":"EC"},{"id":4,"name":"Milepost","value":"0.0437"},{"id":17,"name":"Train ID","value":"179-26"},{"id":16,"name":"Locomotive ID","value":"4044"},{"id":130,"name":"Impact","value":""},{"id":150,"name":"Time of Event (Mountain Time)","value":"14:16:59"},{"id":151,"name":"Denver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5"/>
        <v>start /low /b %USERPROFILE%\Documents\GitHub\eaglep3\Utilities\DownloadLogsFromS3.py --loco 4044 --day 2017-05-26</v>
      </c>
      <c r="AN92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749</v>
      </c>
      <c r="B93" s="7">
        <v>4043</v>
      </c>
      <c r="C93" s="21" t="s">
        <v>204</v>
      </c>
      <c r="D93" s="21" t="s">
        <v>872</v>
      </c>
      <c r="E93" s="13">
        <v>42881.598796296297</v>
      </c>
      <c r="F93" s="13">
        <v>42881.602337962962</v>
      </c>
      <c r="G93" s="7">
        <v>1</v>
      </c>
      <c r="H93" s="21" t="s">
        <v>352</v>
      </c>
      <c r="I93" s="13">
        <v>42881.628946759258</v>
      </c>
      <c r="J93" s="7">
        <v>0</v>
      </c>
      <c r="K93" s="92" t="str">
        <f t="shared" si="28"/>
        <v>4043/4044</v>
      </c>
      <c r="L93" s="21" t="str">
        <f>VLOOKUP(A93,'Trips&amp;Operators'!$C$1:$G$99999,5,FALSE)</f>
        <v>COOLAHAN JOHN</v>
      </c>
      <c r="M93" s="6">
        <f t="shared" si="29"/>
        <v>2.6608796295477077E-2</v>
      </c>
      <c r="N93" s="7">
        <f t="shared" ref="N93:N124" si="47">24*60*SUM($M93:$M93)</f>
        <v>38.316666665486991</v>
      </c>
      <c r="O93" s="7"/>
      <c r="P93" s="7"/>
      <c r="Q93" s="22"/>
      <c r="R93" s="173"/>
      <c r="S93" s="176">
        <f t="shared" ref="S93:S124" si="48">SUM(U93:U93)/IF(AG93="EC",12,1)</f>
        <v>1</v>
      </c>
      <c r="T93" s="202" t="str">
        <f t="shared" si="31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2"/>
        <v>https://d0f6bd738d7f1b3e5a7ca70fe4ff75f0.us-east-1.aws.found.io/app/kibana#/discover/Steve-Slow-Train-Analysis-(2080s-and-2083s)?_g=(refreshInterval:(display:Off,pause:!f,section:0,value:0),time:(from:'2017-05-26T13:22:16-0600',mode:absolute,to:'2017-05-26T16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204" t="str">
        <f t="shared" si="33"/>
        <v>N</v>
      </c>
      <c r="X93" s="204">
        <f t="shared" si="34"/>
        <v>1</v>
      </c>
      <c r="Y93" s="204">
        <f t="shared" si="35"/>
        <v>23.301300000000001</v>
      </c>
      <c r="Z93" s="204">
        <f t="shared" si="36"/>
        <v>1.49E-2</v>
      </c>
      <c r="AA93" s="204">
        <f t="shared" si="37"/>
        <v>23.2864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0180-26</v>
      </c>
      <c r="AE93" s="80" t="str">
        <f t="shared" si="39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93" s="77" t="str">
        <f t="shared" si="40"/>
        <v>"C:\Program Files (x86)\AstroGrep\AstroGrep.exe" /e /r /s /spath="%USERPROFILE%\AppData\Local\Temp\OnboardLogs" /stypes="app*4043*20170526*" /stext=" 21:.+((SYSTEM_STATE.+slice.+state.+changed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3"/>
        <v>"%USERPROFILE%\Documents\GitHub\eaglep3\Utilities\RefineRTDCRunTimes.py" --tripid 180-26 --locoid 4043 --swversion DE.1.0.9.0 --startMP 204:233013 --initTime 2017-05-26T14:22:16 --startdatetime 2017-05-26T14:27:22 --delay 1 --endMP 204:149 --enddatetime 2017-05-26T15:05:41 --enforcementcount 0 &gt;&gt;C:\Users\stu\Documents\GitHub\eaglep3-reporting\EC\2017-05-26-refined-times.txt</v>
      </c>
      <c r="AI9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{"issue":{"subject":"","project_id":79,"tracker_id":40,"status_id":1,"priority_id":2,"assigned_to_id":23,"start_date":"2017-05-26","description":"","custom_fields":[{"id":1,"name":"Subdivision","value":"EC"},{"id":4,"name":"Milepost","value":"0.0149"},{"id":17,"name":"Train ID","value":"180-26"},{"id":16,"name":"Locomotive ID","value":"4043"},{"id":130,"name":"Impact","value":""},{"id":150,"name":"Time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5"/>
        <v>start /low /b %USERPROFILE%\Documents\GitHub\eaglep3\Utilities\DownloadLogsFromS3.py --loco 4043 --day 2017-05-26</v>
      </c>
      <c r="AN93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744</v>
      </c>
      <c r="B94" s="7">
        <v>4016</v>
      </c>
      <c r="C94" s="21" t="s">
        <v>204</v>
      </c>
      <c r="D94" s="21" t="s">
        <v>201</v>
      </c>
      <c r="E94" s="13">
        <v>42881.570752314816</v>
      </c>
      <c r="F94" s="13">
        <v>42881.573182870372</v>
      </c>
      <c r="G94" s="7">
        <v>1</v>
      </c>
      <c r="H94" s="21" t="s">
        <v>873</v>
      </c>
      <c r="I94" s="13">
        <v>42881.599699074075</v>
      </c>
      <c r="J94" s="7">
        <v>0</v>
      </c>
      <c r="K94" s="92" t="str">
        <f t="shared" si="28"/>
        <v>4015/4016</v>
      </c>
      <c r="L94" s="21" t="str">
        <f>VLOOKUP(A94,'Trips&amp;Operators'!$C$1:$G$99999,5,FALSE)</f>
        <v>CHANDLER KELVIN</v>
      </c>
      <c r="M94" s="6">
        <f t="shared" si="29"/>
        <v>2.6516203703067731E-2</v>
      </c>
      <c r="N94" s="7">
        <f t="shared" si="47"/>
        <v>38.183333332417533</v>
      </c>
      <c r="O94" s="7"/>
      <c r="P94" s="7"/>
      <c r="Q94" s="22"/>
      <c r="R94" s="173"/>
      <c r="S94" s="176">
        <f t="shared" si="48"/>
        <v>1</v>
      </c>
      <c r="T94" s="202" t="str">
        <f t="shared" si="31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2"/>
        <v>https://d0f6bd738d7f1b3e5a7ca70fe4ff75f0.us-east-1.aws.found.io/app/kibana#/discover/Steve-Slow-Train-Analysis-(2080s-and-2083s)?_g=(refreshInterval:(display:Off,pause:!f,section:0,value:0),time:(from:'2017-05-26T12:41:53-0600',mode:absolute,to:'2017-05-26T15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204" t="str">
        <f t="shared" si="33"/>
        <v>N</v>
      </c>
      <c r="X94" s="204">
        <f t="shared" si="34"/>
        <v>1</v>
      </c>
      <c r="Y94" s="204">
        <f t="shared" si="35"/>
        <v>4.5999999999999999E-2</v>
      </c>
      <c r="Z94" s="204">
        <f t="shared" si="36"/>
        <v>23.3278</v>
      </c>
      <c r="AA94" s="204">
        <f t="shared" si="37"/>
        <v>23.2818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0181-26</v>
      </c>
      <c r="AE94" s="80" t="str">
        <f t="shared" si="39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94" s="77" t="str">
        <f t="shared" si="40"/>
        <v>"C:\Program Files (x86)\AstroGrep\AstroGrep.exe" /e /r /s /spath="%USERPROFILE%\AppData\Local\Temp\OnboardLogs" /stypes="app*4016*20170526*" /stext=" 20:.+((SYSTEM_STATE.+slice.+state.+changed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3"/>
        <v>"%USERPROFILE%\Documents\GitHub\eaglep3\Utilities\RefineRTDCRunTimes.py" --tripid 181-26 --locoid 4016 --swversion DE.1.0.9.0 --startMP 204:460 --initTime 2017-05-26T13:41:53 --startdatetime 2017-05-26T13:45:23 --delay 1 --endMP 204:233278 --enddatetime 2017-05-26T14:23:34 --enforcementcount 0 &gt;&gt;C:\Users\stu\Documents\GitHub\eaglep3-reporting\EC\2017-05-26-refined-times.txt</v>
      </c>
      <c r="AI9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{"issue":{"subject":"","project_id":79,"tracker_id":40,"status_id":1,"priority_id":2,"assigned_to_id":23,"start_date":"2017-05-26","description":"","custom_fields":[{"id":1,"name":"Subdivision","value":"EC"},{"id":4,"name":"Milepost","value":"23.3278"},{"id":17,"name":"Train ID","value":"181-26"},{"id":16,"name":"Locomotive ID","value":"4016"},{"id":130,"name":"Impact","value":""},{"id":150,"name":"Time of Event (Mountain Time)","value":"14:23:34"},{"id":151,"name":"Denver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5"/>
        <v>start /low /b %USERPROFILE%\Documents\GitHub\eaglep3\Utilities\DownloadLogsFromS3.py --loco 4016 --day 2017-05-26</v>
      </c>
      <c r="AN94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751</v>
      </c>
      <c r="B95" s="7">
        <v>4015</v>
      </c>
      <c r="C95" s="21" t="s">
        <v>204</v>
      </c>
      <c r="D95" s="21" t="s">
        <v>874</v>
      </c>
      <c r="E95" s="13">
        <v>42881.610752314817</v>
      </c>
      <c r="F95" s="13">
        <v>42881.612766203703</v>
      </c>
      <c r="G95" s="7">
        <v>1</v>
      </c>
      <c r="H95" s="21" t="s">
        <v>350</v>
      </c>
      <c r="I95" s="13">
        <v>42881.641493055555</v>
      </c>
      <c r="J95" s="7">
        <v>0</v>
      </c>
      <c r="K95" s="92" t="str">
        <f t="shared" si="28"/>
        <v>4015/4016</v>
      </c>
      <c r="L95" s="21" t="str">
        <f>VLOOKUP(A95,'Trips&amp;Operators'!$C$1:$G$99999,5,FALSE)</f>
        <v>CHANDLER KELVIN</v>
      </c>
      <c r="M95" s="6">
        <f t="shared" si="29"/>
        <v>2.8726851851388346E-2</v>
      </c>
      <c r="N95" s="7">
        <f t="shared" si="47"/>
        <v>41.366666665999219</v>
      </c>
      <c r="O95" s="7"/>
      <c r="P95" s="7"/>
      <c r="Q95" s="22"/>
      <c r="R95" s="173"/>
      <c r="S95" s="176">
        <f t="shared" si="48"/>
        <v>1</v>
      </c>
      <c r="T95" s="202" t="str">
        <f t="shared" si="31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2"/>
        <v>https://d0f6bd738d7f1b3e5a7ca70fe4ff75f0.us-east-1.aws.found.io/app/kibana#/discover/Steve-Slow-Train-Analysis-(2080s-and-2083s)?_g=(refreshInterval:(display:Off,pause:!f,section:0,value:0),time:(from:'2017-05-26T13:39:29-0600',mode:absolute,to:'2017-05-26T16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204" t="str">
        <f t="shared" si="33"/>
        <v>N</v>
      </c>
      <c r="X95" s="204">
        <f t="shared" si="34"/>
        <v>1</v>
      </c>
      <c r="Y95" s="204">
        <f t="shared" si="35"/>
        <v>23.297799999999999</v>
      </c>
      <c r="Z95" s="204">
        <f t="shared" si="36"/>
        <v>1.6E-2</v>
      </c>
      <c r="AA95" s="204">
        <f t="shared" si="37"/>
        <v>23.2818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0182-26</v>
      </c>
      <c r="AE95" s="80" t="str">
        <f t="shared" si="39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95" s="77" t="str">
        <f t="shared" si="40"/>
        <v>"C:\Program Files (x86)\AstroGrep\AstroGrep.exe" /e /r /s /spath="%USERPROFILE%\AppData\Local\Temp\OnboardLogs" /stypes="app*4015*20170526*" /stext=" 21:.+((SYSTEM_STATE.+slice.+state.+changed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3"/>
        <v>"%USERPROFILE%\Documents\GitHub\eaglep3\Utilities\RefineRTDCRunTimes.py" --tripid 182-26 --locoid 4015 --swversion DE.1.0.9.0 --startMP 204:232978 --initTime 2017-05-26T14:39:29 --startdatetime 2017-05-26T14:42:23 --delay 1 --endMP 204:160 --enddatetime 2017-05-26T15:23:45 --enforcementcount 0 &gt;&gt;C:\Users\stu\Documents\GitHub\eaglep3-reporting\EC\2017-05-26-refined-times.txt</v>
      </c>
      <c r="AI9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ID","value":"182-26"},{"id":16,"name":"Locomotive ID","value":"4015"},{"id":130,"name":"Impact","value":""},{"id":150,"name":"Time of Event (Mountain Time)","value":"15:23:45"},{"id":151,"name":"Denver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5"/>
        <v>start /low /b %USERPROFILE%\Documents\GitHub\eaglep3\Utilities\DownloadLogsFromS3.py --loco 4015 --day 2017-05-26</v>
      </c>
      <c r="AN95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746</v>
      </c>
      <c r="B96" s="7">
        <v>4026</v>
      </c>
      <c r="C96" s="21" t="s">
        <v>204</v>
      </c>
      <c r="D96" s="21" t="s">
        <v>875</v>
      </c>
      <c r="E96" s="13">
        <v>42881.580740740741</v>
      </c>
      <c r="F96" s="13">
        <v>42881.58353009259</v>
      </c>
      <c r="G96" s="7">
        <v>1</v>
      </c>
      <c r="H96" s="21" t="s">
        <v>530</v>
      </c>
      <c r="I96" s="13">
        <v>42881.608495370368</v>
      </c>
      <c r="J96" s="7">
        <v>0</v>
      </c>
      <c r="K96" s="92" t="str">
        <f t="shared" si="28"/>
        <v>4025/4026</v>
      </c>
      <c r="L96" s="21" t="str">
        <f>VLOOKUP(A96,'Trips&amp;Operators'!$C$1:$G$99999,5,FALSE)</f>
        <v>LEVIN SCOTT</v>
      </c>
      <c r="M96" s="6">
        <f t="shared" si="29"/>
        <v>2.4965277778392192E-2</v>
      </c>
      <c r="N96" s="7">
        <f t="shared" si="47"/>
        <v>35.950000000884756</v>
      </c>
      <c r="O96" s="7"/>
      <c r="P96" s="7"/>
      <c r="Q96" s="22"/>
      <c r="R96" s="173"/>
      <c r="S96" s="176">
        <f t="shared" si="48"/>
        <v>1</v>
      </c>
      <c r="T96" s="202" t="str">
        <f t="shared" si="31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2"/>
        <v>https://d0f6bd738d7f1b3e5a7ca70fe4ff75f0.us-east-1.aws.found.io/app/kibana#/discover/Steve-Slow-Train-Analysis-(2080s-and-2083s)?_g=(refreshInterval:(display:Off,pause:!f,section:0,value:0),time:(from:'2017-05-26T12:56:16-0600',mode:absolute,to:'2017-05-26T15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204" t="str">
        <f t="shared" si="33"/>
        <v>N</v>
      </c>
      <c r="X96" s="204">
        <f t="shared" si="34"/>
        <v>1</v>
      </c>
      <c r="Y96" s="204">
        <f t="shared" si="35"/>
        <v>4.2900000000000001E-2</v>
      </c>
      <c r="Z96" s="204">
        <f t="shared" si="36"/>
        <v>23.337</v>
      </c>
      <c r="AA96" s="204">
        <f t="shared" si="37"/>
        <v>23.2941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0183-26</v>
      </c>
      <c r="AE96" s="80" t="str">
        <f t="shared" si="39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96" s="77" t="str">
        <f t="shared" si="40"/>
        <v>"C:\Program Files (x86)\AstroGrep\AstroGrep.exe" /e /r /s /spath="%USERPROFILE%\AppData\Local\Temp\OnboardLogs" /stypes="app*4026*20170526*" /stext=" 20:.+((SYSTEM_STATE.+slice.+state.+changed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3"/>
        <v>"%USERPROFILE%\Documents\GitHub\eaglep3\Utilities\RefineRTDCRunTimes.py" --tripid 183-26 --locoid 4026 --swversion DE.1.0.9.0 --startMP 204:429 --initTime 2017-05-26T13:56:16 --startdatetime 2017-05-26T14:00:17 --delay 1 --endMP 204:233370 --enddatetime 2017-05-26T14:36:14 --enforcementcount 0 &gt;&gt;C:\Users\stu\Documents\GitHub\eaglep3-reporting\EC\2017-05-26-refined-times.txt</v>
      </c>
      <c r="AI9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{"issue":{"subject":"","project_id":79,"tracker_id":40,"status_id":1,"priority_id":2,"assigned_to_id":23,"start_date":"2017-05-26","description":"","custom_fields":[{"id":1,"name":"Subdivision","value":"EC"},{"id":4,"name":"Milepost","value":"23.337"},{"id":17,"name":"Train ID","value":"183-26"},{"id":16,"name":"Locomotive ID","value":"4026"},{"id":130,"name":"Impact","value":""},{"id":150,"name":"Time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5"/>
        <v>start /low /b %USERPROFILE%\Documents\GitHub\eaglep3\Utilities\DownloadLogsFromS3.py --loco 4026 --day 2017-05-26</v>
      </c>
      <c r="AN96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753</v>
      </c>
      <c r="B97" s="7">
        <v>4025</v>
      </c>
      <c r="C97" s="21" t="s">
        <v>204</v>
      </c>
      <c r="D97" s="21" t="s">
        <v>876</v>
      </c>
      <c r="E97" s="13">
        <v>42881.618090277778</v>
      </c>
      <c r="F97" s="13">
        <v>42881.623182870368</v>
      </c>
      <c r="G97" s="7">
        <v>1</v>
      </c>
      <c r="H97" s="21" t="s">
        <v>351</v>
      </c>
      <c r="I97" s="13">
        <v>42881.649409722224</v>
      </c>
      <c r="J97" s="7">
        <v>0</v>
      </c>
      <c r="K97" s="92" t="str">
        <f t="shared" si="28"/>
        <v>4025/4026</v>
      </c>
      <c r="L97" s="21" t="str">
        <f>VLOOKUP(A97,'Trips&amp;Operators'!$C$1:$G$99999,5,FALSE)</f>
        <v>LEVIN SCOTT</v>
      </c>
      <c r="M97" s="6">
        <f t="shared" si="29"/>
        <v>2.6226851856335998E-2</v>
      </c>
      <c r="N97" s="7">
        <f t="shared" si="47"/>
        <v>37.766666673123837</v>
      </c>
      <c r="O97" s="7"/>
      <c r="P97" s="7"/>
      <c r="Q97" s="22"/>
      <c r="R97" s="173"/>
      <c r="S97" s="176">
        <f t="shared" si="48"/>
        <v>1</v>
      </c>
      <c r="T97" s="202" t="str">
        <f t="shared" si="31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2"/>
        <v>https://d0f6bd738d7f1b3e5a7ca70fe4ff75f0.us-east-1.aws.found.io/app/kibana#/discover/Steve-Slow-Train-Analysis-(2080s-and-2083s)?_g=(refreshInterval:(display:Off,pause:!f,section:0,value:0),time:(from:'2017-05-26T13:50:03-0600',mode:absolute,to:'2017-05-26T16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204" t="str">
        <f t="shared" si="33"/>
        <v>N</v>
      </c>
      <c r="X97" s="204">
        <f t="shared" si="34"/>
        <v>1</v>
      </c>
      <c r="Y97" s="204">
        <f t="shared" si="35"/>
        <v>23.3066</v>
      </c>
      <c r="Z97" s="204">
        <f t="shared" si="36"/>
        <v>1.4999999999999999E-2</v>
      </c>
      <c r="AA97" s="204">
        <f t="shared" si="37"/>
        <v>23.291599999999999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8"/>
        <v>0184-26</v>
      </c>
      <c r="AE97" s="80" t="str">
        <f t="shared" si="39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97" s="77" t="str">
        <f t="shared" si="40"/>
        <v>"C:\Program Files (x86)\AstroGrep\AstroGrep.exe" /e /r /s /spath="%USERPROFILE%\AppData\Local\Temp\OnboardLogs" /stypes="app*4025*20170526*" /stext=" 21:.+((SYSTEM_STATE.+slice.+state.+changed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3"/>
        <v>"%USERPROFILE%\Documents\GitHub\eaglep3\Utilities\RefineRTDCRunTimes.py" --tripid 184-26 --locoid 4025 --swversion DE.1.0.9.0 --startMP 204:233066 --initTime 2017-05-26T14:50:03 --startdatetime 2017-05-26T14:57:23 --delay 1 --endMP 204:150 --enddatetime 2017-05-26T15:35:09 --enforcementcount 0 &gt;&gt;C:\Users\stu\Documents\GitHub\eaglep3-reporting\EC\2017-05-26-refined-times.txt</v>
      </c>
      <c r="AI9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{"issue":{"subject":"","project_id":79,"tracker_id":40,"status_id":1,"priority_id":2,"assigned_to_id":23,"start_date":"2017-05-26","description":"","custom_fields":[{"id":1,"name":"Subdivision","value":"EC"},{"id":4,"name":"Milepost","value":"0.015"},{"id":17,"name":"Train ID","value":"184-26"},{"id":16,"name":"Locomotive ID","value":"4025"},{"id":130,"name":"Impact","value":""},{"id":150,"name":"Time of Event (Mountain Time)","value":"15:35:09"},{"id":151,"name":"Denver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5"/>
        <v>start /low /b %USERPROFILE%\Documents\GitHub\eaglep3\Utilities\DownloadLogsFromS3.py --loco 4025 --day 2017-05-26</v>
      </c>
      <c r="AN97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748</v>
      </c>
      <c r="B98" s="7">
        <v>4062</v>
      </c>
      <c r="C98" s="21" t="s">
        <v>204</v>
      </c>
      <c r="D98" s="21" t="s">
        <v>349</v>
      </c>
      <c r="E98" s="13">
        <v>42881.590532407405</v>
      </c>
      <c r="F98" s="13">
        <v>42881.593958333331</v>
      </c>
      <c r="G98" s="7">
        <v>1</v>
      </c>
      <c r="H98" s="21" t="s">
        <v>877</v>
      </c>
      <c r="I98" s="13">
        <v>42881.620729166665</v>
      </c>
      <c r="J98" s="7">
        <v>0</v>
      </c>
      <c r="K98" s="92" t="str">
        <f t="shared" si="28"/>
        <v>4061/4062</v>
      </c>
      <c r="L98" s="21" t="str">
        <f>VLOOKUP(A98,'Trips&amp;Operators'!$C$1:$G$99999,5,FALSE)</f>
        <v>WHITED DUSTIN</v>
      </c>
      <c r="M98" s="6">
        <f t="shared" si="29"/>
        <v>2.6770833334012423E-2</v>
      </c>
      <c r="N98" s="7">
        <f t="shared" si="47"/>
        <v>38.550000000977889</v>
      </c>
      <c r="O98" s="7"/>
      <c r="P98" s="7"/>
      <c r="Q98" s="22"/>
      <c r="R98" s="173"/>
      <c r="S98" s="176">
        <f t="shared" si="48"/>
        <v>1</v>
      </c>
      <c r="T98" s="202" t="str">
        <f t="shared" si="31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2"/>
        <v>https://d0f6bd738d7f1b3e5a7ca70fe4ff75f0.us-east-1.aws.found.io/app/kibana#/discover/Steve-Slow-Train-Analysis-(2080s-and-2083s)?_g=(refreshInterval:(display:Off,pause:!f,section:0,value:0),time:(from:'2017-05-26T13:10:22-0600',mode:absolute,to:'2017-05-26T15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8" s="204" t="str">
        <f t="shared" si="33"/>
        <v>N</v>
      </c>
      <c r="X98" s="204">
        <f t="shared" si="34"/>
        <v>1</v>
      </c>
      <c r="Y98" s="204">
        <f t="shared" si="35"/>
        <v>4.4600000000000001E-2</v>
      </c>
      <c r="Z98" s="204">
        <f t="shared" si="36"/>
        <v>23.328399999999998</v>
      </c>
      <c r="AA98" s="204">
        <f t="shared" si="37"/>
        <v>23.283799999999999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0185-26</v>
      </c>
      <c r="AE98" s="80" t="str">
        <f t="shared" si="39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98" s="77" t="str">
        <f t="shared" si="40"/>
        <v>"C:\Program Files (x86)\AstroGrep\AstroGrep.exe" /e /r /s /spath="%USERPROFILE%\AppData\Local\Temp\OnboardLogs" /stypes="app*4062*20170526*" /stext=" 20:.+((SYSTEM_STATE.+slice.+state.+changed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3"/>
        <v>"%USERPROFILE%\Documents\GitHub\eaglep3\Utilities\RefineRTDCRunTimes.py" --tripid 185-26 --locoid 4062 --swversion DE.1.0.9.0 --startMP 204:446 --initTime 2017-05-26T14:10:22 --startdatetime 2017-05-26T14:15:18 --delay 1 --endMP 204:233284 --enddatetime 2017-05-26T14:53:51 --enforcementcount 0 &gt;&gt;C:\Users\stu\Documents\GitHub\eaglep3-reporting\EC\2017-05-26-refined-times.txt</v>
      </c>
      <c r="AI9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{"issue":{"subject":"","project_id":79,"tracker_id":40,"status_id":1,"priority_id":2,"assigned_to_id":23,"start_date":"2017-05-26","description":"","custom_fields":[{"id":1,"name":"Subdivision","value":"EC"},{"id":4,"name":"Milepost","value":"23.3284"},{"id":17,"name":"Train ID","value":"185-26"},{"id":16,"name":"Locomotive ID","value":"4062"},{"id":130,"name":"Impact","value":""},{"id":150,"name":"Time of Event (Mountain Time)","value":"14:53:51"},{"id":151,"name":"Denver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5"/>
        <v>start /low /b %USERPROFILE%\Documents\GitHub\eaglep3\Utilities\DownloadLogsFromS3.py --loco 4062 --day 2017-05-26</v>
      </c>
      <c r="AN98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755</v>
      </c>
      <c r="B99" s="7">
        <v>4061</v>
      </c>
      <c r="C99" s="21" t="s">
        <v>204</v>
      </c>
      <c r="D99" s="21" t="s">
        <v>869</v>
      </c>
      <c r="E99" s="13">
        <v>42881.62835648148</v>
      </c>
      <c r="F99" s="13">
        <v>42881.633692129632</v>
      </c>
      <c r="G99" s="7">
        <v>1</v>
      </c>
      <c r="H99" s="21" t="s">
        <v>353</v>
      </c>
      <c r="I99" s="13">
        <v>42881.659421296295</v>
      </c>
      <c r="J99" s="7">
        <v>0</v>
      </c>
      <c r="K99" s="92" t="str">
        <f t="shared" si="28"/>
        <v>4061/4062</v>
      </c>
      <c r="L99" s="21" t="str">
        <f>VLOOKUP(A99,'Trips&amp;Operators'!$C$1:$G$99999,5,FALSE)</f>
        <v>WHITED DUSTIN</v>
      </c>
      <c r="M99" s="6">
        <f t="shared" si="29"/>
        <v>2.5729166663950309E-2</v>
      </c>
      <c r="N99" s="7">
        <f t="shared" si="47"/>
        <v>37.049999996088445</v>
      </c>
      <c r="O99" s="7"/>
      <c r="P99" s="7"/>
      <c r="Q99" s="22"/>
      <c r="R99" s="173"/>
      <c r="S99" s="176">
        <f t="shared" si="48"/>
        <v>1</v>
      </c>
      <c r="T99" s="202" t="str">
        <f t="shared" si="31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2"/>
        <v>https://d0f6bd738d7f1b3e5a7ca70fe4ff75f0.us-east-1.aws.found.io/app/kibana#/discover/Steve-Slow-Train-Analysis-(2080s-and-2083s)?_g=(refreshInterval:(display:Off,pause:!f,section:0,value:0),time:(from:'2017-05-26T14:04:50-0600',mode:absolute,to:'2017-05-26T16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9" s="204" t="str">
        <f t="shared" si="33"/>
        <v>N</v>
      </c>
      <c r="X99" s="204">
        <f t="shared" si="34"/>
        <v>1</v>
      </c>
      <c r="Y99" s="204">
        <f t="shared" si="35"/>
        <v>23.295500000000001</v>
      </c>
      <c r="Z99" s="204">
        <f t="shared" si="36"/>
        <v>1.43E-2</v>
      </c>
      <c r="AA99" s="204">
        <f t="shared" si="37"/>
        <v>23.281200000000002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8"/>
        <v>0186-26</v>
      </c>
      <c r="AE99" s="80" t="str">
        <f t="shared" si="39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99" s="77" t="str">
        <f t="shared" si="40"/>
        <v>"C:\Program Files (x86)\AstroGrep\AstroGrep.exe" /e /r /s /spath="%USERPROFILE%\AppData\Local\Temp\OnboardLogs" /stypes="app*4061*20170526*" /stext=" 21:.+((SYSTEM_STATE.+slice.+state.+changed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3"/>
        <v>"%USERPROFILE%\Documents\GitHub\eaglep3\Utilities\RefineRTDCRunTimes.py" --tripid 186-26 --locoid 4061 --swversion DE.1.0.9.0 --startMP 204:232955 --initTime 2017-05-26T15:04:50 --startdatetime 2017-05-26T15:12:31 --delay 1 --endMP 204:143 --enddatetime 2017-05-26T15:49:34 --enforcementcount 0 &gt;&gt;C:\Users\stu\Documents\GitHub\eaglep3-reporting\EC\2017-05-26-refined-times.txt</v>
      </c>
      <c r="AI9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ID","value":"186-26"},{"id":16,"name":"Locomotive ID","value":"4061"},{"id":130,"name":"Impact","value":""},{"id":150,"name":"Time of Event (Mountain Time)","value":"15:49:34"},{"id":151,"name":"Denver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5"/>
        <v>start /low /b %USERPROFILE%\Documents\GitHub\eaglep3\Utilities\DownloadLogsFromS3.py --loco 4061 --day 2017-05-26</v>
      </c>
      <c r="AN99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750</v>
      </c>
      <c r="B100" s="7">
        <v>4006</v>
      </c>
      <c r="C100" s="21" t="s">
        <v>204</v>
      </c>
      <c r="D100" s="21" t="s">
        <v>360</v>
      </c>
      <c r="E100" s="13">
        <v>42881.601990740739</v>
      </c>
      <c r="F100" s="13">
        <v>42881.644166666665</v>
      </c>
      <c r="G100" s="7">
        <v>1</v>
      </c>
      <c r="H100" s="21" t="s">
        <v>401</v>
      </c>
      <c r="I100" s="13">
        <v>42881.671018518522</v>
      </c>
      <c r="J100" s="7">
        <v>0</v>
      </c>
      <c r="K100" s="92" t="str">
        <f t="shared" si="28"/>
        <v>4005/4006</v>
      </c>
      <c r="L100" s="21" t="str">
        <f>VLOOKUP(A100,'Trips&amp;Operators'!$C$1:$G$99999,5,FALSE)</f>
        <v>HOLCOMB KAMDEN</v>
      </c>
      <c r="M100" s="6">
        <f t="shared" si="29"/>
        <v>2.6851851856918074E-2</v>
      </c>
      <c r="N100" s="7">
        <f t="shared" si="47"/>
        <v>38.666666673962027</v>
      </c>
      <c r="O100" s="7"/>
      <c r="P100" s="7"/>
      <c r="Q100" s="22"/>
      <c r="R100" s="173"/>
      <c r="S100" s="176">
        <f t="shared" si="48"/>
        <v>1</v>
      </c>
      <c r="T100" s="202" t="str">
        <f t="shared" si="31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2"/>
        <v>https://d0f6bd738d7f1b3e5a7ca70fe4ff75f0.us-east-1.aws.found.io/app/kibana#/discover/Steve-Slow-Train-Analysis-(2080s-and-2083s)?_g=(refreshInterval:(display:Off,pause:!f,section:0,value:0),time:(from:'2017-05-26T13:26:52-0600',mode:absolute,to:'2017-05-26T17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0" s="204" t="str">
        <f t="shared" si="33"/>
        <v>N</v>
      </c>
      <c r="X100" s="204">
        <f t="shared" si="34"/>
        <v>1</v>
      </c>
      <c r="Y100" s="204">
        <f t="shared" si="35"/>
        <v>4.4699999999999997E-2</v>
      </c>
      <c r="Z100" s="204">
        <f t="shared" si="36"/>
        <v>23.3293</v>
      </c>
      <c r="AA100" s="204">
        <f t="shared" si="37"/>
        <v>23.284600000000001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8"/>
        <v>0187-26</v>
      </c>
      <c r="AE100" s="80" t="str">
        <f t="shared" si="39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100" s="77" t="str">
        <f t="shared" si="40"/>
        <v>"C:\Program Files (x86)\AstroGrep\AstroGrep.exe" /e /r /s /spath="%USERPROFILE%\AppData\Local\Temp\OnboardLogs" /stypes="app*4006*20170526*" /stext=" 22:.+((SYSTEM_STATE.+slice.+state.+changed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3"/>
        <v>"%USERPROFILE%\Documents\GitHub\eaglep3\Utilities\RefineRTDCRunTimes.py" --tripid 187-26 --locoid 4006 --swversion DE.1.0.9.0 --startMP 204:447 --initTime 2017-05-26T14:26:52 --startdatetime 2017-05-26T15:27:36 --delay 1 --endMP 204:233293 --enddatetime 2017-05-26T16:06:16 --enforcementcount 0 &gt;&gt;C:\Users\stu\Documents\GitHub\eaglep3-reporting\EC\2017-05-26-refined-times.txt</v>
      </c>
      <c r="AI10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{"issue":{"subject":"","project_id":79,"tracker_id":40,"status_id":1,"priority_id":2,"assigned_to_id":23,"start_date":"2017-05-26","description":"","custom_fields":[{"id":1,"name":"Subdivision","value":"EC"},{"id":4,"name":"Milepost","value":"23.3293"},{"id":17,"name":"Train ID","value":"187-26"},{"id":16,"name":"Locomotive ID","value":"4006"},{"id":130,"name":"Impact","value":""},{"id":150,"name":"Time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5"/>
        <v>start /low /b %USERPROFILE%\Documents\GitHub\eaglep3\Utilities\DownloadLogsFromS3.py --loco 4006 --day 2017-05-26</v>
      </c>
      <c r="AN100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760</v>
      </c>
      <c r="B101" s="7">
        <v>4005</v>
      </c>
      <c r="C101" s="21" t="s">
        <v>204</v>
      </c>
      <c r="D101" s="21" t="s">
        <v>852</v>
      </c>
      <c r="E101" s="13">
        <v>42881.641828703701</v>
      </c>
      <c r="F101" s="13">
        <v>42881.644166666665</v>
      </c>
      <c r="G101" s="7">
        <v>1</v>
      </c>
      <c r="H101" s="21" t="s">
        <v>364</v>
      </c>
      <c r="I101" s="13">
        <v>42881.671018518522</v>
      </c>
      <c r="J101" s="7">
        <v>0</v>
      </c>
      <c r="K101" s="92" t="str">
        <f t="shared" si="28"/>
        <v>4005/4006</v>
      </c>
      <c r="L101" s="21" t="str">
        <f>VLOOKUP(A101,'Trips&amp;Operators'!$C$1:$G$99999,5,FALSE)</f>
        <v>HOLCOMB KAMDEN</v>
      </c>
      <c r="M101" s="6">
        <f t="shared" si="29"/>
        <v>2.6851851856918074E-2</v>
      </c>
      <c r="N101" s="7">
        <f t="shared" si="47"/>
        <v>38.666666673962027</v>
      </c>
      <c r="O101" s="7"/>
      <c r="P101" s="7"/>
      <c r="Q101" s="22"/>
      <c r="R101" s="173"/>
      <c r="S101" s="176">
        <f t="shared" si="48"/>
        <v>1</v>
      </c>
      <c r="T101" s="202" t="str">
        <f t="shared" si="31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2"/>
        <v>https://d0f6bd738d7f1b3e5a7ca70fe4ff75f0.us-east-1.aws.found.io/app/kibana#/discover/Steve-Slow-Train-Analysis-(2080s-and-2083s)?_g=(refreshInterval:(display:Off,pause:!f,section:0,value:0),time:(from:'2017-05-26T14:24:14-0600',mode:absolute,to:'2017-05-26T17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1" s="204" t="str">
        <f t="shared" si="33"/>
        <v>N</v>
      </c>
      <c r="X101" s="204">
        <f t="shared" si="34"/>
        <v>1</v>
      </c>
      <c r="Y101" s="204">
        <f t="shared" si="35"/>
        <v>23.298500000000001</v>
      </c>
      <c r="Z101" s="204">
        <f t="shared" si="36"/>
        <v>1.47E-2</v>
      </c>
      <c r="AA101" s="204">
        <f t="shared" si="37"/>
        <v>23.283799999999999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0188-26</v>
      </c>
      <c r="AE101" s="80" t="str">
        <f t="shared" si="39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101" s="77" t="str">
        <f t="shared" si="40"/>
        <v>"C:\Program Files (x86)\AstroGrep\AstroGrep.exe" /e /r /s /spath="%USERPROFILE%\AppData\Local\Temp\OnboardLogs" /stypes="app*4005*20170526*" /stext=" 22:.+((SYSTEM_STATE.+slice.+state.+changed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3"/>
        <v>"%USERPROFILE%\Documents\GitHub\eaglep3\Utilities\RefineRTDCRunTimes.py" --tripid 188-26 --locoid 4005 --swversion DE.1.0.9.0 --startMP 204:232985 --initTime 2017-05-26T15:24:14 --startdatetime 2017-05-26T15:27:36 --delay 1 --endMP 204:147 --enddatetime 2017-05-26T16:06:16 --enforcementcount 0 &gt;&gt;C:\Users\stu\Documents\GitHub\eaglep3-reporting\EC\2017-05-26-refined-times.txt</v>
      </c>
      <c r="AI10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{"issue":{"subject":"","project_id":79,"tracker_id":40,"status_id":1,"priority_id":2,"assigned_to_id":23,"start_date":"2017-05-26","description":"","custom_fields":[{"id":1,"name":"Subdivision","value":"EC"},{"id":4,"name":"Milepost","value":"0.0147"},{"id":17,"name":"Train ID","value":"188-26"},{"id":16,"name":"Locomotive ID","value":"4005"},{"id":130,"name":"Impact","value":""},{"id":150,"name":"Time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5"/>
        <v>start /low /b %USERPROFILE%\Documents\GitHub\eaglep3\Utilities\DownloadLogsFromS3.py --loco 4005 --day 2017-05-26</v>
      </c>
      <c r="AN101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752</v>
      </c>
      <c r="B102" s="7">
        <v>4002</v>
      </c>
      <c r="C102" s="21" t="s">
        <v>204</v>
      </c>
      <c r="D102" s="21" t="s">
        <v>862</v>
      </c>
      <c r="E102" s="13">
        <v>42881.611180555556</v>
      </c>
      <c r="F102" s="13">
        <v>42881.614814814813</v>
      </c>
      <c r="G102" s="7">
        <v>1</v>
      </c>
      <c r="H102" s="21" t="s">
        <v>878</v>
      </c>
      <c r="I102" s="13">
        <v>42881.641504629632</v>
      </c>
      <c r="J102" s="7">
        <v>0</v>
      </c>
      <c r="K102" s="92" t="str">
        <f t="shared" si="28"/>
        <v>4001/4002</v>
      </c>
      <c r="L102" s="21" t="str">
        <f>VLOOKUP(A102,'Trips&amp;Operators'!$C$1:$G$99999,5,FALSE)</f>
        <v>BRANDNER MELINDA</v>
      </c>
      <c r="M102" s="6">
        <f t="shared" si="29"/>
        <v>2.6689814818382729E-2</v>
      </c>
      <c r="N102" s="7">
        <f t="shared" si="47"/>
        <v>38.43333333847113</v>
      </c>
      <c r="O102" s="7"/>
      <c r="P102" s="7"/>
      <c r="Q102" s="22"/>
      <c r="R102" s="173"/>
      <c r="S102" s="176">
        <f t="shared" si="48"/>
        <v>1</v>
      </c>
      <c r="T102" s="202" t="str">
        <f t="shared" si="31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2"/>
        <v>https://d0f6bd738d7f1b3e5a7ca70fe4ff75f0.us-east-1.aws.found.io/app/kibana#/discover/Steve-Slow-Train-Analysis-(2080s-and-2083s)?_g=(refreshInterval:(display:Off,pause:!f,section:0,value:0),time:(from:'2017-05-26T13:40:06-0600',mode:absolute,to:'2017-05-26T16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4" t="str">
        <f t="shared" si="33"/>
        <v>N</v>
      </c>
      <c r="X102" s="204">
        <f t="shared" si="34"/>
        <v>1</v>
      </c>
      <c r="Y102" s="204">
        <f t="shared" si="35"/>
        <v>4.3700000000000003E-2</v>
      </c>
      <c r="Z102" s="204">
        <f t="shared" si="36"/>
        <v>23.338200000000001</v>
      </c>
      <c r="AA102" s="204">
        <f t="shared" si="37"/>
        <v>23.294499999999999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0189-26</v>
      </c>
      <c r="AE102" s="80" t="str">
        <f t="shared" si="39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02" s="77" t="str">
        <f t="shared" si="40"/>
        <v>"C:\Program Files (x86)\AstroGrep\AstroGrep.exe" /e /r /s /spath="%USERPROFILE%\AppData\Local\Temp\OnboardLogs" /stypes="app*4002*20170526*" /stext=" 21:.+((SYSTEM_STATE.+slice.+state.+changed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3"/>
        <v>"%USERPROFILE%\Documents\GitHub\eaglep3\Utilities\RefineRTDCRunTimes.py" --tripid 189-26 --locoid 4002 --swversion DE.1.0.9.0 --startMP 204:437 --initTime 2017-05-26T14:40:06 --startdatetime 2017-05-26T14:45:20 --delay 1 --endMP 204:233382 --enddatetime 2017-05-26T15:23:46 --enforcementcount 0 &gt;&gt;C:\Users\stu\Documents\GitHub\eaglep3-reporting\EC\2017-05-26-refined-times.txt</v>
      </c>
      <c r="AI10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{"issue":{"subject":"","project_id":79,"tracker_id":40,"status_id":1,"priority_id":2,"assigned_to_id":23,"start_date":"2017-05-26","description":"","custom_fields":[{"id":1,"name":"Subdivision","value":"EC"},{"id":4,"name":"Milepost","value":"23.3382"},{"id":17,"name":"Train ID","value":"189-26"},{"id":16,"name":"Locomotive ID","value":"4002"},{"id":130,"name":"Impact","value":""},{"id":150,"name":"Time of Event (Mountain Time)","value":"15:23:46"},{"id":151,"name":"Denver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5"/>
        <v>start /low /b %USERPROFILE%\Documents\GitHub\eaglep3\Utilities\DownloadLogsFromS3.py --loco 4002 --day 2017-05-26</v>
      </c>
      <c r="AN102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762</v>
      </c>
      <c r="B103" s="7">
        <v>4001</v>
      </c>
      <c r="C103" s="21" t="s">
        <v>204</v>
      </c>
      <c r="D103" s="21" t="s">
        <v>879</v>
      </c>
      <c r="E103" s="13">
        <v>42881.649988425925</v>
      </c>
      <c r="F103" s="13">
        <v>42881.654467592591</v>
      </c>
      <c r="G103" s="7">
        <v>1</v>
      </c>
      <c r="H103" s="21" t="s">
        <v>363</v>
      </c>
      <c r="I103" s="13">
        <v>42881.681944444441</v>
      </c>
      <c r="J103" s="7">
        <v>0</v>
      </c>
      <c r="K103" s="92" t="str">
        <f t="shared" si="28"/>
        <v>4001/4002</v>
      </c>
      <c r="L103" s="21" t="str">
        <f>VLOOKUP(A103,'Trips&amp;Operators'!$C$1:$G$99999,5,FALSE)</f>
        <v>BRANDNER MELINDA</v>
      </c>
      <c r="M103" s="6">
        <f t="shared" si="29"/>
        <v>2.7476851850224193E-2</v>
      </c>
      <c r="N103" s="7">
        <f t="shared" si="47"/>
        <v>39.566666664322838</v>
      </c>
      <c r="O103" s="7"/>
      <c r="P103" s="7"/>
      <c r="Q103" s="22"/>
      <c r="R103" s="173"/>
      <c r="S103" s="176">
        <f t="shared" si="48"/>
        <v>1</v>
      </c>
      <c r="T103" s="202" t="str">
        <f t="shared" si="31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2"/>
        <v>https://d0f6bd738d7f1b3e5a7ca70fe4ff75f0.us-east-1.aws.found.io/app/kibana#/discover/Steve-Slow-Train-Analysis-(2080s-and-2083s)?_g=(refreshInterval:(display:Off,pause:!f,section:0,value:0),time:(from:'2017-05-26T14:35:59-0600',mode:absolute,to:'2017-05-26T17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4" t="str">
        <f t="shared" si="33"/>
        <v>N</v>
      </c>
      <c r="X103" s="204">
        <f t="shared" si="34"/>
        <v>1</v>
      </c>
      <c r="Y103" s="204">
        <f t="shared" si="35"/>
        <v>23.3049</v>
      </c>
      <c r="Z103" s="204">
        <f t="shared" si="36"/>
        <v>1.41E-2</v>
      </c>
      <c r="AA103" s="204">
        <f t="shared" si="37"/>
        <v>23.290800000000001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0190-26</v>
      </c>
      <c r="AE103" s="80" t="str">
        <f t="shared" si="39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03" s="77" t="str">
        <f t="shared" si="40"/>
        <v>"C:\Program Files (x86)\AstroGrep\AstroGrep.exe" /e /r /s /spath="%USERPROFILE%\AppData\Local\Temp\OnboardLogs" /stypes="app*4001*20170526*" /stext=" 22:.+((SYSTEM_STATE.+slice.+state.+changed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3"/>
        <v>"%USERPROFILE%\Documents\GitHub\eaglep3\Utilities\RefineRTDCRunTimes.py" --tripid 190-26 --locoid 4001 --swversion DE.1.0.9.0 --startMP 204:233049 --initTime 2017-05-26T15:35:59 --startdatetime 2017-05-26T15:42:26 --delay 1 --endMP 204:141 --enddatetime 2017-05-26T16:22:00 --enforcementcount 0 &gt;&gt;C:\Users\stu\Documents\GitHub\eaglep3-reporting\EC\2017-05-26-refined-times.txt</v>
      </c>
      <c r="AI10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{"issue":{"subject":"","project_id":79,"tracker_id":40,"status_id":1,"priority_id":2,"assigned_to_id":23,"start_date":"2017-05-26","description":"","custom_fields":[{"id":1,"name":"Subdivision","value":"EC"},{"id":4,"name":"Milepost","value":"0.0141"},{"id":17,"name":"Train ID","value":"190-26"},{"id":16,"name":"Locomotive ID","value":"4001"},{"id":130,"name":"Impact","value":""},{"id":150,"name":"Time of Event (Mountain Time)","value":"16:22:00"},{"id":151,"name":"Denver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5"/>
        <v>start /low /b %USERPROFILE%\Documents\GitHub\eaglep3\Utilities\DownloadLogsFromS3.py --loco 4001 --day 2017-05-26</v>
      </c>
      <c r="AN103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619</v>
      </c>
      <c r="B104" s="7">
        <v>4058</v>
      </c>
      <c r="C104" s="21" t="s">
        <v>204</v>
      </c>
      <c r="D104" s="21" t="s">
        <v>349</v>
      </c>
      <c r="E104" s="13">
        <v>42881.623287037037</v>
      </c>
      <c r="F104" s="13">
        <v>42881.698229166665</v>
      </c>
      <c r="G104" s="7">
        <v>2</v>
      </c>
      <c r="H104" s="21" t="s">
        <v>880</v>
      </c>
      <c r="I104" s="13">
        <v>42881.723252314812</v>
      </c>
      <c r="J104" s="7">
        <v>0</v>
      </c>
      <c r="K104" s="92" t="str">
        <f t="shared" si="28"/>
        <v>4057/4058</v>
      </c>
      <c r="L104" s="21" t="str">
        <f>VLOOKUP(A104,'Trips&amp;Operators'!$C$1:$G$99999,5,FALSE)</f>
        <v>STEWART MICHAEL</v>
      </c>
      <c r="M104" s="6">
        <f t="shared" si="29"/>
        <v>2.5023148147738539E-2</v>
      </c>
      <c r="N104" s="7">
        <f t="shared" si="47"/>
        <v>36.033333332743496</v>
      </c>
      <c r="O104" s="7"/>
      <c r="P104" s="7"/>
      <c r="Q104" s="22"/>
      <c r="R104" s="173"/>
      <c r="S104" s="176">
        <f t="shared" si="48"/>
        <v>1</v>
      </c>
      <c r="T104" s="202" t="str">
        <f t="shared" si="31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2"/>
        <v>https://d0f6bd738d7f1b3e5a7ca70fe4ff75f0.us-east-1.aws.found.io/app/kibana#/discover/Steve-Slow-Train-Analysis-(2080s-and-2083s)?_g=(refreshInterval:(display:Off,pause:!f,section:0,value:0),time:(from:'2017-05-26T13:57:32-0600',mode:absolute,to:'2017-05-26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4" s="204" t="str">
        <f t="shared" si="33"/>
        <v>N</v>
      </c>
      <c r="X104" s="204">
        <f t="shared" si="34"/>
        <v>1</v>
      </c>
      <c r="Y104" s="204">
        <f t="shared" si="35"/>
        <v>4.4600000000000001E-2</v>
      </c>
      <c r="Z104" s="204">
        <f t="shared" si="36"/>
        <v>23.311</v>
      </c>
      <c r="AA104" s="204">
        <f t="shared" si="37"/>
        <v>23.266400000000001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0191-26</v>
      </c>
      <c r="AE104" s="80" t="str">
        <f t="shared" si="39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04" s="77" t="str">
        <f t="shared" si="40"/>
        <v>"C:\Program Files (x86)\AstroGrep\AstroGrep.exe" /e /r /s /spath="%USERPROFILE%\AppData\Local\Temp\OnboardLogs" /stypes="app*4058*20170526*" /stext=" 23:.+((SYSTEM_STATE.+slice.+state.+changed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3"/>
        <v>"%USERPROFILE%\Documents\GitHub\eaglep3\Utilities\RefineRTDCRunTimes.py" --tripid 191-26 --locoid 4058 --swversion DE.1.0.9.0 --startMP 204:446 --initTime 2017-05-26T14:57:32 --startdatetime 2017-05-26T16:45:27 --delay 2 --endMP 204:233110 --enddatetime 2017-05-26T17:21:29 --enforcementcount 0 &gt;&gt;C:\Users\stu\Documents\GitHub\eaglep3-reporting\EC\2017-05-26-refined-times.txt</v>
      </c>
      <c r="AI10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{"issue":{"subject":"","project_id":79,"tracker_id":40,"status_id":1,"priority_id":2,"assigned_to_id":23,"start_date":"2017-05-26","description":"","custom_fields":[{"id":1,"name":"Subdivision","value":"EC"},{"id":4,"name":"Milepost","value":"23.311"},{"id":17,"name":"Train ID","value":"191-26"},{"id":16,"name":"Locomotive ID","value":"4058"},{"id":130,"name":"Impact","value":""},{"id":150,"name":"Time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5"/>
        <v>start /low /b %USERPROFILE%\Documents\GitHub\eaglep3\Utilities\DownloadLogsFromS3.py --loco 4058 --day 2017-05-26</v>
      </c>
      <c r="AN104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766</v>
      </c>
      <c r="B105" s="7">
        <v>4057</v>
      </c>
      <c r="C105" s="21" t="s">
        <v>204</v>
      </c>
      <c r="D105" s="21" t="s">
        <v>407</v>
      </c>
      <c r="E105" s="13">
        <v>42881.660046296296</v>
      </c>
      <c r="F105" s="13">
        <v>42881.665196759262</v>
      </c>
      <c r="G105" s="7">
        <v>1</v>
      </c>
      <c r="H105" s="21" t="s">
        <v>881</v>
      </c>
      <c r="I105" s="13">
        <v>42881.69321759259</v>
      </c>
      <c r="J105" s="7">
        <v>0</v>
      </c>
      <c r="K105" s="92" t="str">
        <f t="shared" si="28"/>
        <v>4057/4058</v>
      </c>
      <c r="L105" s="21" t="str">
        <f>VLOOKUP(A105,'Trips&amp;Operators'!$C$1:$G$99999,5,FALSE)</f>
        <v>STEWART MICHAEL</v>
      </c>
      <c r="M105" s="6">
        <f t="shared" si="29"/>
        <v>2.8020833327900618E-2</v>
      </c>
      <c r="N105" s="7">
        <f t="shared" si="47"/>
        <v>40.34999999217689</v>
      </c>
      <c r="O105" s="7"/>
      <c r="P105" s="7"/>
      <c r="Q105" s="22"/>
      <c r="R105" s="173"/>
      <c r="S105" s="176">
        <f t="shared" si="48"/>
        <v>1</v>
      </c>
      <c r="T105" s="202" t="str">
        <f t="shared" si="31"/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2"/>
        <v>https://d0f6bd738d7f1b3e5a7ca70fe4ff75f0.us-east-1.aws.found.io/app/kibana#/discover/Steve-Slow-Train-Analysis-(2080s-and-2083s)?_g=(refreshInterval:(display:Off,pause:!f,section:0,value:0),time:(from:'2017-05-26T14:50:28-0600',mode:absolute,to:'2017-05-26T17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5" s="204" t="str">
        <f t="shared" si="33"/>
        <v>N</v>
      </c>
      <c r="X105" s="204">
        <f t="shared" si="34"/>
        <v>1</v>
      </c>
      <c r="Y105" s="204">
        <f t="shared" si="35"/>
        <v>23.2974</v>
      </c>
      <c r="Z105" s="204">
        <f t="shared" si="36"/>
        <v>0.17519999999999999</v>
      </c>
      <c r="AA105" s="204">
        <f t="shared" si="37"/>
        <v>23.122199999999999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0192-26</v>
      </c>
      <c r="AE105" s="80" t="str">
        <f t="shared" si="39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105" s="77" t="str">
        <f t="shared" si="40"/>
        <v>"C:\Program Files (x86)\AstroGrep\AstroGrep.exe" /e /r /s /spath="%USERPROFILE%\AppData\Local\Temp\OnboardLogs" /stypes="app*4057*20170526*" /stext=" 22:.+((SYSTEM_STATE.+slice.+state.+changed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3"/>
        <v>"%USERPROFILE%\Documents\GitHub\eaglep3\Utilities\RefineRTDCRunTimes.py" --tripid 192-26 --locoid 4057 --swversion DE.1.0.9.0 --startMP 204:232974 --initTime 2017-05-26T15:50:28 --startdatetime 2017-05-26T15:57:53 --delay 1 --endMP 204:1752 --enddatetime 2017-05-26T16:38:14 --enforcementcount 0 &gt;&gt;C:\Users\stu\Documents\GitHub\eaglep3-reporting\EC\2017-05-26-refined-times.txt</v>
      </c>
      <c r="AI10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{"issue":{"subject":"","project_id":79,"tracker_id":40,"status_id":1,"priority_id":2,"assigned_to_id":23,"start_date":"2017-05-26","description":"","custom_fields":[{"id":1,"name":"Subdivision","value":"EC"},{"id":4,"name":"Milepost","value":"0.1752"},{"id":17,"name":"Train ID","value":"192-26"},{"id":16,"name":"Locomotive ID","value":"4057"},{"id":130,"name":"Impact","value":""},{"id":150,"name":"Time of Event (Mountain Time)","value":"16:38:14"},{"id":151,"name":"Denver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5"/>
        <v>start /low /b %USERPROFILE%\Documents\GitHub\eaglep3\Utilities\DownloadLogsFromS3.py --loco 4057 --day 2017-05-26</v>
      </c>
      <c r="AN105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756</v>
      </c>
      <c r="B106" s="7">
        <v>4044</v>
      </c>
      <c r="C106" s="21" t="s">
        <v>204</v>
      </c>
      <c r="D106" s="21" t="s">
        <v>354</v>
      </c>
      <c r="E106" s="13">
        <v>42881.631030092591</v>
      </c>
      <c r="F106" s="13">
        <v>42881.635648148149</v>
      </c>
      <c r="G106" s="7">
        <v>1</v>
      </c>
      <c r="H106" s="21" t="s">
        <v>882</v>
      </c>
      <c r="I106" s="13">
        <v>42881.661249999997</v>
      </c>
      <c r="J106" s="7">
        <v>0</v>
      </c>
      <c r="K106" s="92" t="str">
        <f t="shared" si="28"/>
        <v>4043/4044</v>
      </c>
      <c r="L106" s="21" t="str">
        <f>VLOOKUP(A106,'Trips&amp;Operators'!$C$1:$G$99999,5,FALSE)</f>
        <v>SANTIZO D. EDY</v>
      </c>
      <c r="M106" s="6">
        <f t="shared" si="29"/>
        <v>2.5601851848477963E-2</v>
      </c>
      <c r="N106" s="7">
        <f t="shared" si="47"/>
        <v>36.866666661808267</v>
      </c>
      <c r="O106" s="7"/>
      <c r="P106" s="7"/>
      <c r="Q106" s="22"/>
      <c r="R106" s="173"/>
      <c r="S106" s="176">
        <f t="shared" si="48"/>
        <v>1</v>
      </c>
      <c r="T106" s="202" t="str">
        <f t="shared" si="31"/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2"/>
        <v>https://d0f6bd738d7f1b3e5a7ca70fe4ff75f0.us-east-1.aws.found.io/app/kibana#/discover/Steve-Slow-Train-Analysis-(2080s-and-2083s)?_g=(refreshInterval:(display:Off,pause:!f,section:0,value:0),time:(from:'2017-05-26T14:08:41-0600',mode:absolute,to:'2017-05-26T16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204" t="str">
        <f t="shared" si="33"/>
        <v>N</v>
      </c>
      <c r="X106" s="204">
        <f t="shared" si="34"/>
        <v>1</v>
      </c>
      <c r="Y106" s="204">
        <f t="shared" si="35"/>
        <v>4.6600000000000003E-2</v>
      </c>
      <c r="Z106" s="204">
        <f t="shared" si="36"/>
        <v>23.3276</v>
      </c>
      <c r="AA106" s="204">
        <f t="shared" si="37"/>
        <v>23.280999999999999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0193-26</v>
      </c>
      <c r="AE106" s="80" t="str">
        <f t="shared" si="39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106" s="77" t="str">
        <f t="shared" si="40"/>
        <v>"C:\Program Files (x86)\AstroGrep\AstroGrep.exe" /e /r /s /spath="%USERPROFILE%\AppData\Local\Temp\OnboardLogs" /stypes="app*4044*20170526*" /stext=" 21:.+((SYSTEM_STATE.+slice.+state.+changed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3"/>
        <v>"%USERPROFILE%\Documents\GitHub\eaglep3\Utilities\RefineRTDCRunTimes.py" --tripid 193-26 --locoid 4044 --swversion DE.1.0.9.0 --startMP 204:466 --initTime 2017-05-26T15:08:41 --startdatetime 2017-05-26T15:15:20 --delay 1 --endMP 204:233276 --enddatetime 2017-05-26T15:52:12 --enforcementcount 0 &gt;&gt;C:\Users\stu\Documents\GitHub\eaglep3-reporting\EC\2017-05-26-refined-times.txt</v>
      </c>
      <c r="AI10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{"issue":{"subject":"","project_id":79,"tracker_id":40,"status_id":1,"priority_id":2,"assigned_to_id":23,"start_date":"2017-05-26","description":"","custom_fields":[{"id":1,"name":"Subdivision","value":"EC"},{"id":4,"name":"Milepost","value":"23.3276"},{"id":17,"name":"Train ID","value":"193-26"},{"id":16,"name":"Locomotive ID","value":"4044"},{"id":130,"name":"Impact","value":""},{"id":150,"name":"Time of Event (Mountain Time)","value":"15:52:12"},{"id":151,"name":"Denver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5"/>
        <v>start /low /b %USERPROFILE%\Documents\GitHub\eaglep3\Utilities\DownloadLogsFromS3.py --loco 4044 --day 2017-05-26</v>
      </c>
      <c r="AN106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768</v>
      </c>
      <c r="B107" s="7">
        <v>4043</v>
      </c>
      <c r="C107" s="21" t="s">
        <v>204</v>
      </c>
      <c r="D107" s="21" t="s">
        <v>883</v>
      </c>
      <c r="E107" s="13">
        <v>42881.662847222222</v>
      </c>
      <c r="F107" s="13">
        <v>42881.675312500003</v>
      </c>
      <c r="G107" s="7">
        <v>1</v>
      </c>
      <c r="H107" s="21" t="s">
        <v>861</v>
      </c>
      <c r="I107" s="13">
        <v>42881.704409722224</v>
      </c>
      <c r="J107" s="7">
        <v>0</v>
      </c>
      <c r="K107" s="92" t="str">
        <f t="shared" si="28"/>
        <v>4043/4044</v>
      </c>
      <c r="L107" s="21" t="str">
        <f>VLOOKUP(A107,'Trips&amp;Operators'!$C$1:$G$99999,5,FALSE)</f>
        <v>SANTIZO D. EDY</v>
      </c>
      <c r="M107" s="6">
        <f t="shared" si="29"/>
        <v>2.9097222221025731E-2</v>
      </c>
      <c r="N107" s="7">
        <f t="shared" si="47"/>
        <v>41.899999998277053</v>
      </c>
      <c r="O107" s="7"/>
      <c r="P107" s="7"/>
      <c r="Q107" s="22"/>
      <c r="R107" s="173"/>
      <c r="S107" s="176">
        <f t="shared" si="48"/>
        <v>1</v>
      </c>
      <c r="T107" s="202" t="str">
        <f t="shared" si="31"/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2"/>
        <v>https://d0f6bd738d7f1b3e5a7ca70fe4ff75f0.us-east-1.aws.found.io/app/kibana#/discover/Steve-Slow-Train-Analysis-(2080s-and-2083s)?_g=(refreshInterval:(display:Off,pause:!f,section:0,value:0),time:(from:'2017-05-26T14:54:30-0600',mode:absolute,to:'2017-05-26T17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204" t="str">
        <f t="shared" si="33"/>
        <v>N</v>
      </c>
      <c r="X107" s="204">
        <f t="shared" si="34"/>
        <v>1</v>
      </c>
      <c r="Y107" s="204">
        <f t="shared" si="35"/>
        <v>23.2957</v>
      </c>
      <c r="Z107" s="204">
        <f t="shared" si="36"/>
        <v>1.38E-2</v>
      </c>
      <c r="AA107" s="204">
        <f t="shared" si="37"/>
        <v>23.2819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0194-26</v>
      </c>
      <c r="AE107" s="80" t="str">
        <f t="shared" si="39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107" s="77" t="str">
        <f t="shared" si="40"/>
        <v>"C:\Program Files (x86)\AstroGrep\AstroGrep.exe" /e /r /s /spath="%USERPROFILE%\AppData\Local\Temp\OnboardLogs" /stypes="app*4043*20170526*" /stext=" 22:.+((SYSTEM_STATE.+slice.+state.+changed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3"/>
        <v>"%USERPROFILE%\Documents\GitHub\eaglep3\Utilities\RefineRTDCRunTimes.py" --tripid 194-26 --locoid 4043 --swversion DE.1.0.9.0 --startMP 204:232957 --initTime 2017-05-26T15:54:30 --startdatetime 2017-05-26T16:12:27 --delay 1 --endMP 204:138 --enddatetime 2017-05-26T16:54:21 --enforcementcount 0 &gt;&gt;C:\Users\stu\Documents\GitHub\eaglep3-reporting\EC\2017-05-26-refined-times.txt</v>
      </c>
      <c r="AI10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{"issue":{"subject":"","project_id":79,"tracker_id":40,"status_id":1,"priority_id":2,"assigned_to_id":23,"start_date":"2017-05-26","description":"","custom_fields":[{"id":1,"name":"Subdivision","value":"EC"},{"id":4,"name":"Milepost","value":"0.0138"},{"id":17,"name":"Train ID","value":"194-26"},{"id":16,"name":"Locomotive ID","value":"4043"},{"id":130,"name":"Impact","value":""},{"id":150,"name":"Time of Event (Mountain Time)","value":"16:54:21"},{"id":151,"name":"Denver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5"/>
        <v>start /low /b %USERPROFILE%\Documents\GitHub\eaglep3\Utilities\DownloadLogsFromS3.py --loco 4043 --day 2017-05-26</v>
      </c>
      <c r="AN107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761</v>
      </c>
      <c r="B108" s="7">
        <v>4016</v>
      </c>
      <c r="C108" s="21" t="s">
        <v>204</v>
      </c>
      <c r="D108" s="21" t="s">
        <v>555</v>
      </c>
      <c r="E108" s="13">
        <v>42881.644293981481</v>
      </c>
      <c r="F108" s="13">
        <v>42881.646122685182</v>
      </c>
      <c r="G108" s="7">
        <v>1</v>
      </c>
      <c r="H108" s="21" t="s">
        <v>882</v>
      </c>
      <c r="I108" s="13">
        <v>42881.671689814815</v>
      </c>
      <c r="J108" s="7">
        <v>0</v>
      </c>
      <c r="K108" s="92" t="str">
        <f t="shared" si="28"/>
        <v>4015/4016</v>
      </c>
      <c r="L108" s="21" t="str">
        <f>VLOOKUP(A108,'Trips&amp;Operators'!$C$1:$G$99999,5,FALSE)</f>
        <v>CHANDLER KELVIN</v>
      </c>
      <c r="M108" s="6">
        <f t="shared" si="29"/>
        <v>2.5567129632690921E-2</v>
      </c>
      <c r="N108" s="7">
        <f t="shared" si="47"/>
        <v>36.816666671074927</v>
      </c>
      <c r="O108" s="7"/>
      <c r="P108" s="7"/>
      <c r="Q108" s="22"/>
      <c r="R108" s="173"/>
      <c r="S108" s="176">
        <f t="shared" si="48"/>
        <v>1</v>
      </c>
      <c r="T108" s="202" t="str">
        <f t="shared" si="31"/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2"/>
        <v>https://d0f6bd738d7f1b3e5a7ca70fe4ff75f0.us-east-1.aws.found.io/app/kibana#/discover/Steve-Slow-Train-Analysis-(2080s-and-2083s)?_g=(refreshInterval:(display:Off,pause:!f,section:0,value:0),time:(from:'2017-05-26T14:27:47-0600',mode:absolute,to:'2017-05-26T17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8" s="204" t="str">
        <f t="shared" si="33"/>
        <v>N</v>
      </c>
      <c r="X108" s="204">
        <f t="shared" si="34"/>
        <v>1</v>
      </c>
      <c r="Y108" s="204">
        <f t="shared" si="35"/>
        <v>4.6699999999999998E-2</v>
      </c>
      <c r="Z108" s="204">
        <f t="shared" si="36"/>
        <v>23.3276</v>
      </c>
      <c r="AA108" s="204">
        <f t="shared" si="37"/>
        <v>23.280899999999999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0195-26</v>
      </c>
      <c r="AE108" s="80" t="str">
        <f t="shared" si="39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108" s="77" t="str">
        <f t="shared" si="40"/>
        <v>"C:\Program Files (x86)\AstroGrep\AstroGrep.exe" /e /r /s /spath="%USERPROFILE%\AppData\Local\Temp\OnboardLogs" /stypes="app*4016*20170526*" /stext=" 22:.+((SYSTEM_STATE.+slice.+state.+changed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3"/>
        <v>"%USERPROFILE%\Documents\GitHub\eaglep3\Utilities\RefineRTDCRunTimes.py" --tripid 195-26 --locoid 4016 --swversion DE.1.0.9.0 --startMP 204:467 --initTime 2017-05-26T15:27:47 --startdatetime 2017-05-26T15:30:25 --delay 1 --endMP 204:233276 --enddatetime 2017-05-26T16:07:14 --enforcementcount 0 &gt;&gt;C:\Users\stu\Documents\GitHub\eaglep3-reporting\EC\2017-05-26-refined-times.txt</v>
      </c>
      <c r="AI10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{"issue":{"subject":"","project_id":79,"tracker_id":40,"status_id":1,"priority_id":2,"assigned_to_id":23,"start_date":"2017-05-26","description":"","custom_fields":[{"id":1,"name":"Subdivision","value":"EC"},{"id":4,"name":"Milepost","value":"23.3276"},{"id":17,"name":"Train ID","value":"195-26"},{"id":16,"name":"Locomotive ID","value":"4016"},{"id":130,"name":"Impact","value":""},{"id":150,"name":"Time of Event (Mountain Time)","value":"16:07:14"},{"id":151,"name":"Denver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5"/>
        <v>start /low /b %USERPROFILE%\Documents\GitHub\eaglep3\Utilities\DownloadLogsFromS3.py --loco 4016 --day 2017-05-26</v>
      </c>
      <c r="AN108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771</v>
      </c>
      <c r="B109" s="7">
        <v>4015</v>
      </c>
      <c r="C109" s="21" t="s">
        <v>204</v>
      </c>
      <c r="D109" s="21" t="s">
        <v>884</v>
      </c>
      <c r="E109" s="13">
        <v>42881.682719907411</v>
      </c>
      <c r="F109" s="13">
        <v>42881.685729166667</v>
      </c>
      <c r="G109" s="7">
        <v>1</v>
      </c>
      <c r="H109" s="21" t="s">
        <v>350</v>
      </c>
      <c r="I109" s="13">
        <v>42881.713645833333</v>
      </c>
      <c r="J109" s="7">
        <v>0</v>
      </c>
      <c r="K109" s="92" t="str">
        <f t="shared" si="28"/>
        <v>4015/4016</v>
      </c>
      <c r="L109" s="21" t="str">
        <f>VLOOKUP(A109,'Trips&amp;Operators'!$C$1:$G$99999,5,FALSE)</f>
        <v>CHANDLER KELVIN</v>
      </c>
      <c r="M109" s="6">
        <f t="shared" si="29"/>
        <v>2.7916666665987577E-2</v>
      </c>
      <c r="N109" s="7">
        <f t="shared" si="47"/>
        <v>40.199999999022111</v>
      </c>
      <c r="O109" s="7"/>
      <c r="P109" s="7"/>
      <c r="Q109" s="22"/>
      <c r="R109" s="173"/>
      <c r="S109" s="176">
        <f t="shared" si="48"/>
        <v>1</v>
      </c>
      <c r="T109" s="202" t="str">
        <f t="shared" si="31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2"/>
        <v>https://d0f6bd738d7f1b3e5a7ca70fe4ff75f0.us-east-1.aws.found.io/app/kibana#/discover/Steve-Slow-Train-Analysis-(2080s-and-2083s)?_g=(refreshInterval:(display:Off,pause:!f,section:0,value:0),time:(from:'2017-05-26T15:23:07-0600',mode:absolute,to:'2017-05-26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204" t="str">
        <f t="shared" si="33"/>
        <v>N</v>
      </c>
      <c r="X109" s="204">
        <f t="shared" ref="X109:X140" si="49">VALUE(LEFT(AD109,4))-VALUE(LEFT(AD108,4))</f>
        <v>1</v>
      </c>
      <c r="Y109" s="204">
        <f t="shared" ref="Y109:Y140" si="50">RIGHT(D109,LEN(D109)-4)/10000</f>
        <v>23.296800000000001</v>
      </c>
      <c r="Z109" s="204">
        <f t="shared" ref="Z109:Z140" si="51">RIGHT(H109,LEN(H109)-4)/10000</f>
        <v>1.6E-2</v>
      </c>
      <c r="AA109" s="204">
        <f t="shared" si="37"/>
        <v>23.280800000000003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0196-26</v>
      </c>
      <c r="AE109" s="80" t="str">
        <f t="shared" si="39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109" s="77" t="str">
        <f t="shared" si="40"/>
        <v>"C:\Program Files (x86)\AstroGrep\AstroGrep.exe" /e /r /s /spath="%USERPROFILE%\AppData\Local\Temp\OnboardLogs" /stypes="app*4015*20170526*" /stext=" 23:.+((SYSTEM_STATE.+slice.+state.+changed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3"/>
        <v>"%USERPROFILE%\Documents\GitHub\eaglep3\Utilities\RefineRTDCRunTimes.py" --tripid 196-26 --locoid 4015 --swversion DE.1.0.9.0 --startMP 204:232968 --initTime 2017-05-26T16:23:07 --startdatetime 2017-05-26T16:27:27 --delay 1 --endMP 204:160 --enddatetime 2017-05-26T17:07:39 --enforcementcount 0 &gt;&gt;C:\Users\stu\Documents\GitHub\eaglep3-reporting\EC\2017-05-26-refined-times.txt</v>
      </c>
      <c r="AI10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{"issue":{"subject":"","project_id":79,"tracker_id":40,"status_id":1,"priority_id":2,"assigned_to_id":23,"start_date":"2017-05-26","description":"","custom_fields":[{"id":1,"name":"Subdivision","value":"EC"},{"id":4,"name":"Milepost","value":"0.016"},{"id":17,"name":"Train ID","value":"196-26"},{"id":16,"name":"Locomotive ID","value":"4015"},{"id":130,"name":"Impact","value":""},{"id":150,"name":"Time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5"/>
        <v>start /low /b %USERPROFILE%\Documents\GitHub\eaglep3\Utilities\DownloadLogsFromS3.py --loco 4015 --day 2017-05-26</v>
      </c>
      <c r="AN109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764</v>
      </c>
      <c r="B110" s="7">
        <v>4026</v>
      </c>
      <c r="C110" s="21" t="s">
        <v>204</v>
      </c>
      <c r="D110" s="21" t="s">
        <v>354</v>
      </c>
      <c r="E110" s="13">
        <v>42881.651990740742</v>
      </c>
      <c r="F110" s="13">
        <v>42881.656412037039</v>
      </c>
      <c r="G110" s="7">
        <v>1</v>
      </c>
      <c r="H110" s="21" t="s">
        <v>885</v>
      </c>
      <c r="I110" s="13">
        <v>42881.681666666664</v>
      </c>
      <c r="J110" s="7">
        <v>0</v>
      </c>
      <c r="K110" s="92" t="str">
        <f t="shared" si="28"/>
        <v>4025/4026</v>
      </c>
      <c r="L110" s="21" t="str">
        <f>VLOOKUP(A110,'Trips&amp;Operators'!$C$1:$G$99999,5,FALSE)</f>
        <v>LEVIN SCOTT</v>
      </c>
      <c r="M110" s="6">
        <f t="shared" si="29"/>
        <v>2.5254629625123926E-2</v>
      </c>
      <c r="N110" s="7">
        <f t="shared" si="47"/>
        <v>36.366666660178453</v>
      </c>
      <c r="O110" s="7"/>
      <c r="P110" s="7"/>
      <c r="Q110" s="22"/>
      <c r="R110" s="173"/>
      <c r="S110" s="176">
        <f t="shared" si="48"/>
        <v>1</v>
      </c>
      <c r="T110" s="202" t="str">
        <f t="shared" si="31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2"/>
        <v>https://d0f6bd738d7f1b3e5a7ca70fe4ff75f0.us-east-1.aws.found.io/app/kibana#/discover/Steve-Slow-Train-Analysis-(2080s-and-2083s)?_g=(refreshInterval:(display:Off,pause:!f,section:0,value:0),time:(from:'2017-05-26T14:38:52-0600',mode:absolute,to:'2017-05-26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204" t="str">
        <f t="shared" si="33"/>
        <v>N</v>
      </c>
      <c r="X110" s="204">
        <f t="shared" si="49"/>
        <v>1</v>
      </c>
      <c r="Y110" s="204">
        <f t="shared" si="50"/>
        <v>4.6600000000000003E-2</v>
      </c>
      <c r="Z110" s="204">
        <f t="shared" si="51"/>
        <v>23.340800000000002</v>
      </c>
      <c r="AA110" s="204">
        <f t="shared" si="37"/>
        <v>23.2942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0197-26</v>
      </c>
      <c r="AE110" s="80" t="str">
        <f t="shared" si="39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110" s="77" t="str">
        <f t="shared" si="40"/>
        <v>"C:\Program Files (x86)\AstroGrep\AstroGrep.exe" /e /r /s /spath="%USERPROFILE%\AppData\Local\Temp\OnboardLogs" /stypes="app*4026*20170526*" /stext=" 22:.+((SYSTEM_STATE.+slice.+state.+changed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3"/>
        <v>"%USERPROFILE%\Documents\GitHub\eaglep3\Utilities\RefineRTDCRunTimes.py" --tripid 197-26 --locoid 4026 --swversion DE.1.0.9.0 --startMP 204:466 --initTime 2017-05-26T15:38:52 --startdatetime 2017-05-26T15:45:14 --delay 1 --endMP 204:233408 --enddatetime 2017-05-26T16:21:36 --enforcementcount 0 &gt;&gt;C:\Users\stu\Documents\GitHub\eaglep3-reporting\EC\2017-05-26-refined-times.txt</v>
      </c>
      <c r="AI11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{"issue":{"subject":"","project_id":79,"tracker_id":40,"status_id":1,"priority_id":2,"assigned_to_id":23,"start_date":"2017-05-26","description":"","custom_fields":[{"id":1,"name":"Subdivision","value":"EC"},{"id":4,"name":"Milepost","value":"23.3408"},{"id":17,"name":"Train ID","value":"197-26"},{"id":16,"name":"Locomotive ID","value":"4026"},{"id":130,"name":"Impact","value":""},{"id":150,"name":"Time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5"/>
        <v>start /low /b %USERPROFILE%\Documents\GitHub\eaglep3\Utilities\DownloadLogsFromS3.py --loco 4026 --day 2017-05-26</v>
      </c>
      <c r="AN110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773</v>
      </c>
      <c r="B111" s="7">
        <v>4025</v>
      </c>
      <c r="C111" s="21" t="s">
        <v>204</v>
      </c>
      <c r="D111" s="21" t="s">
        <v>571</v>
      </c>
      <c r="E111" s="13">
        <v>42881.691562499997</v>
      </c>
      <c r="F111" s="13">
        <v>42881.696053240739</v>
      </c>
      <c r="G111" s="7">
        <v>1</v>
      </c>
      <c r="H111" s="21" t="s">
        <v>570</v>
      </c>
      <c r="I111" s="13">
        <v>42881.722511574073</v>
      </c>
      <c r="J111" s="7">
        <v>0</v>
      </c>
      <c r="K111" s="92" t="str">
        <f t="shared" si="28"/>
        <v>4025/4026</v>
      </c>
      <c r="L111" s="21" t="str">
        <f>VLOOKUP(A111,'Trips&amp;Operators'!$C$1:$G$99999,5,FALSE)</f>
        <v>LEVIN SCOTT</v>
      </c>
      <c r="M111" s="6">
        <f t="shared" si="29"/>
        <v>2.6458333333721384E-2</v>
      </c>
      <c r="N111" s="7">
        <f t="shared" si="47"/>
        <v>38.100000000558794</v>
      </c>
      <c r="O111" s="7"/>
      <c r="P111" s="7"/>
      <c r="Q111" s="22"/>
      <c r="R111" s="173"/>
      <c r="S111" s="176">
        <f t="shared" si="48"/>
        <v>1</v>
      </c>
      <c r="T111" s="202" t="str">
        <f t="shared" si="31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2"/>
        <v>https://d0f6bd738d7f1b3e5a7ca70fe4ff75f0.us-east-1.aws.found.io/app/kibana#/discover/Steve-Slow-Train-Analysis-(2080s-and-2083s)?_g=(refreshInterval:(display:Off,pause:!f,section:0,value:0),time:(from:'2017-05-26T15:35:51-0600',mode:absolute,to:'2017-05-26T18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204" t="str">
        <f t="shared" si="33"/>
        <v>N</v>
      </c>
      <c r="X111" s="204">
        <f t="shared" si="49"/>
        <v>1</v>
      </c>
      <c r="Y111" s="204">
        <f t="shared" si="50"/>
        <v>23.308599999999998</v>
      </c>
      <c r="Z111" s="204">
        <f t="shared" si="51"/>
        <v>1.34E-2</v>
      </c>
      <c r="AA111" s="204">
        <f t="shared" si="37"/>
        <v>23.295199999999998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0198-26</v>
      </c>
      <c r="AE111" s="80" t="str">
        <f t="shared" si="39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111" s="77" t="str">
        <f t="shared" si="40"/>
        <v>"C:\Program Files (x86)\AstroGrep\AstroGrep.exe" /e /r /s /spath="%USERPROFILE%\AppData\Local\Temp\OnboardLogs" /stypes="app*4025*20170526*" /stext=" 23:.+((SYSTEM_STATE.+slice.+state.+changed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3"/>
        <v>"%USERPROFILE%\Documents\GitHub\eaglep3\Utilities\RefineRTDCRunTimes.py" --tripid 198-26 --locoid 4025 --swversion DE.1.0.9.0 --startMP 204:233086 --initTime 2017-05-26T16:35:51 --startdatetime 2017-05-26T16:42:19 --delay 1 --endMP 204:134 --enddatetime 2017-05-26T17:20:25 --enforcementcount 0 &gt;&gt;C:\Users\stu\Documents\GitHub\eaglep3-reporting\EC\2017-05-26-refined-times.txt</v>
      </c>
      <c r="AI11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{"issue":{"subject":"","project_id":79,"tracker_id":40,"status_id":1,"priority_id":2,"assigned_to_id":23,"start_date":"2017-05-26","description":"","custom_fields":[{"id":1,"name":"Subdivision","value":"EC"},{"id":4,"name":"Milepost","value":"0.0134"},{"id":17,"name":"Train ID","value":"198-26"},{"id":16,"name":"Locomotive ID","value":"4025"},{"id":130,"name":"Impact","value":""},{"id":150,"name":"Time of Event (Mountain Time)","value":"17:20:25"},{"id":151,"name":"Denver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5"/>
        <v>start /low /b %USERPROFILE%\Documents\GitHub\eaglep3\Utilities\DownloadLogsFromS3.py --loco 4025 --day 2017-05-26</v>
      </c>
      <c r="AN111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767</v>
      </c>
      <c r="B112" s="7">
        <v>4062</v>
      </c>
      <c r="C112" s="21" t="s">
        <v>204</v>
      </c>
      <c r="D112" s="21" t="s">
        <v>469</v>
      </c>
      <c r="E112" s="13">
        <v>42881.661793981482</v>
      </c>
      <c r="F112" s="13">
        <v>42881.666956018518</v>
      </c>
      <c r="G112" s="7">
        <v>1</v>
      </c>
      <c r="H112" s="21" t="s">
        <v>886</v>
      </c>
      <c r="I112" s="13">
        <v>42881.699548611112</v>
      </c>
      <c r="J112" s="7">
        <v>0</v>
      </c>
      <c r="K112" s="92" t="str">
        <f t="shared" si="28"/>
        <v>4061/4062</v>
      </c>
      <c r="L112" s="21" t="str">
        <f>VLOOKUP(A112,'Trips&amp;Operators'!$C$1:$G$99999,5,FALSE)</f>
        <v>WHITED DUSTIN</v>
      </c>
      <c r="M112" s="6">
        <f t="shared" si="29"/>
        <v>3.2592592593573499E-2</v>
      </c>
      <c r="N112" s="7">
        <f t="shared" si="47"/>
        <v>46.933333334745839</v>
      </c>
      <c r="O112" s="7"/>
      <c r="P112" s="7"/>
      <c r="Q112" s="22"/>
      <c r="R112" s="173"/>
      <c r="S112" s="176">
        <f t="shared" si="48"/>
        <v>1</v>
      </c>
      <c r="T112" s="202" t="str">
        <f t="shared" si="31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2"/>
        <v>https://d0f6bd738d7f1b3e5a7ca70fe4ff75f0.us-east-1.aws.found.io/app/kibana#/discover/Steve-Slow-Train-Analysis-(2080s-and-2083s)?_g=(refreshInterval:(display:Off,pause:!f,section:0,value:0),time:(from:'2017-05-26T14:52:59-0600',mode:absolute,to:'2017-05-26T17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2" s="204" t="str">
        <f t="shared" si="33"/>
        <v>N</v>
      </c>
      <c r="X112" s="204">
        <f t="shared" si="49"/>
        <v>1</v>
      </c>
      <c r="Y112" s="204">
        <f t="shared" si="50"/>
        <v>4.3499999999999997E-2</v>
      </c>
      <c r="Z112" s="204">
        <f t="shared" si="51"/>
        <v>23.334199999999999</v>
      </c>
      <c r="AA112" s="204">
        <f t="shared" si="37"/>
        <v>23.290699999999998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0199-26</v>
      </c>
      <c r="AE112" s="80" t="str">
        <f t="shared" si="39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12" s="77" t="str">
        <f t="shared" si="40"/>
        <v>"C:\Program Files (x86)\AstroGrep\AstroGrep.exe" /e /r /s /spath="%USERPROFILE%\AppData\Local\Temp\OnboardLogs" /stypes="app*4062*20170526*" /stext=" 22:.+((SYSTEM_STATE.+slice.+state.+changed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3"/>
        <v>"%USERPROFILE%\Documents\GitHub\eaglep3\Utilities\RefineRTDCRunTimes.py" --tripid 199-26 --locoid 4062 --swversion DE.1.0.9.0 --startMP 204:435 --initTime 2017-05-26T15:52:59 --startdatetime 2017-05-26T16:00:25 --delay 1 --endMP 204:233342 --enddatetime 2017-05-26T16:47:21 --enforcementcount 0 &gt;&gt;C:\Users\stu\Documents\GitHub\eaglep3-reporting\EC\2017-05-26-refined-times.txt</v>
      </c>
      <c r="AI11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{"issue":{"subject":"","project_id":79,"tracker_id":40,"status_id":1,"priority_id":2,"assigned_to_id":23,"start_date":"2017-05-26","description":"","custom_fields":[{"id":1,"name":"Subdivision","value":"EC"},{"id":4,"name":"Milepost","value":"23.3342"},{"id":17,"name":"Train ID","value":"199-26"},{"id":16,"name":"Locomotive ID","value":"4062"},{"id":130,"name":"Impact","value":""},{"id":150,"name":"Time of Event (Mountain Time)","value":"16:47:21"},{"id":151,"name":"Denver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5"/>
        <v>start /low /b %USERPROFILE%\Documents\GitHub\eaglep3\Utilities\DownloadLogsFromS3.py --loco 4062 --day 2017-05-26</v>
      </c>
      <c r="AN112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777</v>
      </c>
      <c r="B113" s="7">
        <v>4061</v>
      </c>
      <c r="C113" s="21" t="s">
        <v>204</v>
      </c>
      <c r="D113" s="21" t="s">
        <v>872</v>
      </c>
      <c r="E113" s="13">
        <v>42881.703263888892</v>
      </c>
      <c r="F113" s="13">
        <v>42881.706435185188</v>
      </c>
      <c r="G113" s="7">
        <v>1</v>
      </c>
      <c r="H113" s="21" t="s">
        <v>371</v>
      </c>
      <c r="I113" s="13">
        <v>42881.733923611115</v>
      </c>
      <c r="J113" s="7">
        <v>0</v>
      </c>
      <c r="K113" s="92" t="str">
        <f t="shared" si="28"/>
        <v>4061/4062</v>
      </c>
      <c r="L113" s="21" t="str">
        <f>VLOOKUP(A113,'Trips&amp;Operators'!$C$1:$G$99999,5,FALSE)</f>
        <v>WHITED DUSTIN</v>
      </c>
      <c r="M113" s="6">
        <f t="shared" si="29"/>
        <v>2.7488425927003846E-2</v>
      </c>
      <c r="N113" s="7">
        <f t="shared" si="47"/>
        <v>39.583333334885538</v>
      </c>
      <c r="O113" s="7"/>
      <c r="P113" s="7"/>
      <c r="Q113" s="22"/>
      <c r="R113" s="173"/>
      <c r="S113" s="176">
        <f t="shared" si="48"/>
        <v>1</v>
      </c>
      <c r="T113" s="202" t="str">
        <f t="shared" si="31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2"/>
        <v>https://d0f6bd738d7f1b3e5a7ca70fe4ff75f0.us-east-1.aws.found.io/app/kibana#/discover/Steve-Slow-Train-Analysis-(2080s-and-2083s)?_g=(refreshInterval:(display:Off,pause:!f,section:0,value:0),time:(from:'2017-05-26T15:52:42-0600',mode:absolute,to:'2017-05-26T18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3" s="204" t="str">
        <f t="shared" si="33"/>
        <v>N</v>
      </c>
      <c r="X113" s="204">
        <f t="shared" si="49"/>
        <v>1</v>
      </c>
      <c r="Y113" s="204">
        <f t="shared" si="50"/>
        <v>23.301300000000001</v>
      </c>
      <c r="Z113" s="204">
        <f t="shared" si="51"/>
        <v>1.3599999999999999E-2</v>
      </c>
      <c r="AA113" s="204">
        <f t="shared" si="37"/>
        <v>23.287700000000001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0200-26</v>
      </c>
      <c r="AE113" s="80" t="str">
        <f t="shared" si="39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113" s="77" t="str">
        <f t="shared" si="40"/>
        <v>"C:\Program Files (x86)\AstroGrep\AstroGrep.exe" /e /r /s /spath="%USERPROFILE%\AppData\Local\Temp\OnboardLogs" /stypes="app*4061*20170526*" /stext=" 23:.+((SYSTEM_STATE.+slice.+state.+changed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3"/>
        <v>"%USERPROFILE%\Documents\GitHub\eaglep3\Utilities\RefineRTDCRunTimes.py" --tripid 200-26 --locoid 4061 --swversion DE.1.0.9.0 --startMP 204:233013 --initTime 2017-05-26T16:52:42 --startdatetime 2017-05-26T16:57:16 --delay 1 --endMP 204:136 --enddatetime 2017-05-26T17:36:51 --enforcementcount 0 &gt;&gt;C:\Users\stu\Documents\GitHub\eaglep3-reporting\EC\2017-05-26-refined-times.txt</v>
      </c>
      <c r="AI11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{"issue":{"subject":"","project_id":79,"tracker_id":40,"status_id":1,"priority_id":2,"assigned_to_id":23,"start_date":"2017-05-26","description":"","custom_fields":[{"id":1,"name":"Subdivision","value":"EC"},{"id":4,"name":"Milepost","value":"0.0136"},{"id":17,"name":"Train ID","value":"200-26"},{"id":16,"name":"Locomotive ID","value":"4061"},{"id":130,"name":"Impact","value":""},{"id":150,"name":"Time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5"/>
        <v>start /low /b %USERPROFILE%\Documents\GitHub\eaglep3\Utilities\DownloadLogsFromS3.py --loco 4061 --day 2017-05-26</v>
      </c>
      <c r="AN113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770</v>
      </c>
      <c r="B114" s="7">
        <v>4006</v>
      </c>
      <c r="C114" s="21" t="s">
        <v>204</v>
      </c>
      <c r="D114" s="21" t="s">
        <v>345</v>
      </c>
      <c r="E114" s="13">
        <v>42881.672939814816</v>
      </c>
      <c r="F114" s="13">
        <v>42881.677453703705</v>
      </c>
      <c r="G114" s="7">
        <v>3</v>
      </c>
      <c r="H114" s="21" t="s">
        <v>887</v>
      </c>
      <c r="I114" s="13">
        <v>42881.704722222225</v>
      </c>
      <c r="J114" s="7">
        <v>0</v>
      </c>
      <c r="K114" s="92" t="str">
        <f t="shared" si="28"/>
        <v>4005/4006</v>
      </c>
      <c r="L114" s="21" t="str">
        <f>VLOOKUP(A114,'Trips&amp;Operators'!$C$1:$G$99999,5,FALSE)</f>
        <v>HOLCOMB KAMDEN</v>
      </c>
      <c r="M114" s="6">
        <f t="shared" si="29"/>
        <v>2.7268518519122154E-2</v>
      </c>
      <c r="N114" s="7">
        <f t="shared" si="47"/>
        <v>39.266666667535901</v>
      </c>
      <c r="O114" s="7"/>
      <c r="P114" s="7"/>
      <c r="Q114" s="22"/>
      <c r="R114" s="173"/>
      <c r="S114" s="176">
        <f t="shared" si="48"/>
        <v>1</v>
      </c>
      <c r="T114" s="202" t="str">
        <f t="shared" si="31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2"/>
        <v>https://d0f6bd738d7f1b3e5a7ca70fe4ff75f0.us-east-1.aws.found.io/app/kibana#/discover/Steve-Slow-Train-Analysis-(2080s-and-2083s)?_g=(refreshInterval:(display:Off,pause:!f,section:0,value:0),time:(from:'2017-05-26T15:09:02-0600',mode:absolute,to:'2017-05-26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4" s="204" t="str">
        <f t="shared" si="33"/>
        <v>N</v>
      </c>
      <c r="X114" s="204">
        <f t="shared" si="49"/>
        <v>1</v>
      </c>
      <c r="Y114" s="204">
        <f t="shared" si="50"/>
        <v>4.4900000000000002E-2</v>
      </c>
      <c r="Z114" s="204">
        <f t="shared" si="51"/>
        <v>23.333200000000001</v>
      </c>
      <c r="AA114" s="204">
        <f t="shared" si="37"/>
        <v>23.288300000000003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0201-26</v>
      </c>
      <c r="AE114" s="80" t="str">
        <f t="shared" si="39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114" s="77" t="str">
        <f t="shared" si="40"/>
        <v>"C:\Program Files (x86)\AstroGrep\AstroGrep.exe" /e /r /s /spath="%USERPROFILE%\AppData\Local\Temp\OnboardLogs" /stypes="app*4006*20170526*" /stext=" 22:.+((SYSTEM_STATE.+slice.+state.+changed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3"/>
        <v>"%USERPROFILE%\Documents\GitHub\eaglep3\Utilities\RefineRTDCRunTimes.py" --tripid 201-26 --locoid 4006 --swversion DE.1.0.9.0 --startMP 204:449 --initTime 2017-05-26T16:09:02 --startdatetime 2017-05-26T16:15:32 --delay 3 --endMP 204:233332 --enddatetime 2017-05-26T16:54:48 --enforcementcount 0 &gt;&gt;C:\Users\stu\Documents\GitHub\eaglep3-reporting\EC\2017-05-26-refined-times.txt</v>
      </c>
      <c r="AI11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{"issue":{"subject":"","project_id":79,"tracker_id":40,"status_id":1,"priority_id":2,"assigned_to_id":23,"start_date":"2017-05-26","description":"","custom_fields":[{"id":1,"name":"Subdivision","value":"EC"},{"id":4,"name":"Milepost","value":"23.3332"},{"id":17,"name":"Train ID","value":"201-26"},{"id":16,"name":"Locomotive ID","value":"4006"},{"id":130,"name":"Impact","value":""},{"id":150,"name":"Time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5"/>
        <v>start /low /b %USERPROFILE%\Documents\GitHub\eaglep3\Utilities\DownloadLogsFromS3.py --loco 4006 --day 2017-05-26</v>
      </c>
      <c r="AN114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781</v>
      </c>
      <c r="B115" s="7">
        <v>4005</v>
      </c>
      <c r="C115" s="21" t="s">
        <v>204</v>
      </c>
      <c r="D115" s="21" t="s">
        <v>888</v>
      </c>
      <c r="E115" s="13">
        <v>42881.71607638889</v>
      </c>
      <c r="F115" s="13">
        <v>42881.717303240737</v>
      </c>
      <c r="G115" s="7">
        <v>1</v>
      </c>
      <c r="H115" s="21" t="s">
        <v>404</v>
      </c>
      <c r="I115" s="13">
        <v>42881.744722222225</v>
      </c>
      <c r="J115" s="7">
        <v>0</v>
      </c>
      <c r="K115" s="92" t="str">
        <f t="shared" si="28"/>
        <v>4005/4006</v>
      </c>
      <c r="L115" s="21" t="str">
        <f>VLOOKUP(A115,'Trips&amp;Operators'!$C$1:$G$99999,5,FALSE)</f>
        <v>HOLCOMB KAMDEN</v>
      </c>
      <c r="M115" s="6">
        <f t="shared" si="29"/>
        <v>2.7418981488153804E-2</v>
      </c>
      <c r="N115" s="7">
        <f t="shared" si="47"/>
        <v>39.483333342941478</v>
      </c>
      <c r="O115" s="7"/>
      <c r="P115" s="7"/>
      <c r="Q115" s="22"/>
      <c r="R115" s="173"/>
      <c r="S115" s="176">
        <f t="shared" si="48"/>
        <v>1</v>
      </c>
      <c r="T115" s="202" t="str">
        <f t="shared" si="31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2"/>
        <v>https://d0f6bd738d7f1b3e5a7ca70fe4ff75f0.us-east-1.aws.found.io/app/kibana#/discover/Steve-Slow-Train-Analysis-(2080s-and-2083s)?_g=(refreshInterval:(display:Off,pause:!f,section:0,value:0),time:(from:'2017-05-26T16:11:09-0600',mode:absolute,to:'2017-05-26T18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5" s="204" t="str">
        <f t="shared" si="33"/>
        <v>N</v>
      </c>
      <c r="X115" s="204">
        <f t="shared" si="49"/>
        <v>1</v>
      </c>
      <c r="Y115" s="204">
        <f t="shared" si="50"/>
        <v>23.3017</v>
      </c>
      <c r="Z115" s="204">
        <f t="shared" si="51"/>
        <v>1.54E-2</v>
      </c>
      <c r="AA115" s="204">
        <f t="shared" si="37"/>
        <v>23.286300000000001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8"/>
        <v>0202-26</v>
      </c>
      <c r="AE115" s="80" t="str">
        <f t="shared" si="39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115" s="77" t="str">
        <f t="shared" si="40"/>
        <v>"C:\Program Files (x86)\AstroGrep\AstroGrep.exe" /e /r /s /spath="%USERPROFILE%\AppData\Local\Temp\OnboardLogs" /stypes="app*4005*20170526*" /stext=" 23:.+((SYSTEM_STATE.+slice.+state.+changed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3"/>
        <v>"%USERPROFILE%\Documents\GitHub\eaglep3\Utilities\RefineRTDCRunTimes.py" --tripid 202-26 --locoid 4005 --swversion DE.1.0.9.0 --startMP 204:233017 --initTime 2017-05-26T17:11:09 --startdatetime 2017-05-26T17:12:55 --delay 1 --endMP 204:154 --enddatetime 2017-05-26T17:52:24 --enforcementcount 0 &gt;&gt;C:\Users\stu\Documents\GitHub\eaglep3-reporting\EC\2017-05-26-refined-times.txt</v>
      </c>
      <c r="AI11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{"issue":{"subject":"","project_id":79,"tracker_id":40,"status_id":1,"priority_id":2,"assigned_to_id":23,"start_date":"2017-05-26","description":"","custom_fields":[{"id":1,"name":"Subdivision","value":"EC"},{"id":4,"name":"Milepost","value":"0.0154"},{"id":17,"name":"Train ID","value":"202-26"},{"id":16,"name":"Locomotive ID","value":"4005"},{"id":130,"name":"Impact","value":""},{"id":150,"name":"Time of Event (Mountain Time)","value":"17:52:24"},{"id":151,"name":"Denver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5"/>
        <v>start /low /b %USERPROFILE%\Documents\GitHub\eaglep3\Utilities\DownloadLogsFromS3.py --loco 4005 --day 2017-05-26</v>
      </c>
      <c r="AN115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772</v>
      </c>
      <c r="B116" s="7">
        <v>4002</v>
      </c>
      <c r="C116" s="21" t="s">
        <v>204</v>
      </c>
      <c r="D116" s="21" t="s">
        <v>355</v>
      </c>
      <c r="E116" s="13">
        <v>42881.683796296296</v>
      </c>
      <c r="F116" s="13">
        <v>42881.687662037039</v>
      </c>
      <c r="G116" s="7">
        <v>1</v>
      </c>
      <c r="H116" s="21" t="s">
        <v>889</v>
      </c>
      <c r="I116" s="13">
        <v>42881.714791666665</v>
      </c>
      <c r="J116" s="7">
        <v>0</v>
      </c>
      <c r="K116" s="92" t="str">
        <f t="shared" si="28"/>
        <v>4001/4002</v>
      </c>
      <c r="L116" s="21" t="str">
        <f>VLOOKUP(A116,'Trips&amp;Operators'!$C$1:$G$99999,5,FALSE)</f>
        <v>BRANDNER MELINDA</v>
      </c>
      <c r="M116" s="6">
        <f t="shared" si="29"/>
        <v>2.7129629626870155E-2</v>
      </c>
      <c r="N116" s="7">
        <f t="shared" si="47"/>
        <v>39.066666662693024</v>
      </c>
      <c r="O116" s="7"/>
      <c r="P116" s="7"/>
      <c r="Q116" s="22"/>
      <c r="R116" s="173"/>
      <c r="S116" s="176">
        <f t="shared" si="48"/>
        <v>1</v>
      </c>
      <c r="T116" s="202" t="str">
        <f t="shared" si="31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2"/>
        <v>https://d0f6bd738d7f1b3e5a7ca70fe4ff75f0.us-east-1.aws.found.io/app/kibana#/discover/Steve-Slow-Train-Analysis-(2080s-and-2083s)?_g=(refreshInterval:(display:Off,pause:!f,section:0,value:0),time:(from:'2017-05-26T15:24:40-0600',mode:absolute,to:'2017-05-26T18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204" t="str">
        <f t="shared" si="33"/>
        <v>N</v>
      </c>
      <c r="X116" s="204">
        <f t="shared" si="49"/>
        <v>1</v>
      </c>
      <c r="Y116" s="204">
        <f t="shared" si="50"/>
        <v>4.5100000000000001E-2</v>
      </c>
      <c r="Z116" s="204">
        <f t="shared" si="51"/>
        <v>23.3444</v>
      </c>
      <c r="AA116" s="204">
        <f t="shared" si="37"/>
        <v>23.299299999999999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0203-26</v>
      </c>
      <c r="AE116" s="80" t="str">
        <f t="shared" si="39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16" s="77" t="str">
        <f t="shared" si="40"/>
        <v>"C:\Program Files (x86)\AstroGrep\AstroGrep.exe" /e /r /s /spath="%USERPROFILE%\AppData\Local\Temp\OnboardLogs" /stypes="app*4002*20170526*" /stext=" 23:.+((SYSTEM_STATE.+slice.+state.+changed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3"/>
        <v>"%USERPROFILE%\Documents\GitHub\eaglep3\Utilities\RefineRTDCRunTimes.py" --tripid 203-26 --locoid 4002 --swversion DE.1.0.9.0 --startMP 204:451 --initTime 2017-05-26T16:24:40 --startdatetime 2017-05-26T16:30:14 --delay 1 --endMP 204:233444 --enddatetime 2017-05-26T17:09:18 --enforcementcount 0 &gt;&gt;C:\Users\stu\Documents\GitHub\eaglep3-reporting\EC\2017-05-26-refined-times.txt</v>
      </c>
      <c r="AI11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{"issue":{"subject":"","project_id":79,"tracker_id":40,"status_id":1,"priority_id":2,"assigned_to_id":23,"start_date":"2017-05-26","description":"","custom_fields":[{"id":1,"name":"Subdivision","value":"EC"},{"id":4,"name":"Milepost","value":"23.3444"},{"id":17,"name":"Train ID","value":"203-26"},{"id":16,"name":"Locomotive ID","value":"4002"},{"id":130,"name":"Impact","value":""},{"id":150,"name":"Time of Event (Mountain Time)","value":"17:09:18"},{"id":151,"name":"Denver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5"/>
        <v>start /low /b %USERPROFILE%\Documents\GitHub\eaglep3\Utilities\DownloadLogsFromS3.py --loco 4002 --day 2017-05-26</v>
      </c>
      <c r="AN116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783</v>
      </c>
      <c r="B117" s="7">
        <v>4001</v>
      </c>
      <c r="C117" s="21" t="s">
        <v>204</v>
      </c>
      <c r="D117" s="21" t="s">
        <v>890</v>
      </c>
      <c r="E117" s="13">
        <v>42881.723460648151</v>
      </c>
      <c r="F117" s="13">
        <v>42881.727280092593</v>
      </c>
      <c r="G117" s="7">
        <v>1</v>
      </c>
      <c r="H117" s="21" t="s">
        <v>891</v>
      </c>
      <c r="I117" s="13">
        <v>42881.756041666667</v>
      </c>
      <c r="J117" s="7">
        <v>0</v>
      </c>
      <c r="K117" s="92" t="str">
        <f t="shared" si="28"/>
        <v>4001/4002</v>
      </c>
      <c r="L117" s="21" t="str">
        <f>VLOOKUP(A117,'Trips&amp;Operators'!$C$1:$G$99999,5,FALSE)</f>
        <v>BRANDNER MELINDA</v>
      </c>
      <c r="M117" s="6">
        <f t="shared" si="29"/>
        <v>2.8761574074451346E-2</v>
      </c>
      <c r="N117" s="7">
        <f t="shared" si="47"/>
        <v>41.416666667209938</v>
      </c>
      <c r="O117" s="7"/>
      <c r="P117" s="7"/>
      <c r="Q117" s="22"/>
      <c r="R117" s="173"/>
      <c r="S117" s="176">
        <f t="shared" si="48"/>
        <v>1</v>
      </c>
      <c r="T117" s="202" t="str">
        <f t="shared" si="31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2"/>
        <v>https://d0f6bd738d7f1b3e5a7ca70fe4ff75f0.us-east-1.aws.found.io/app/kibana#/discover/Steve-Slow-Train-Analysis-(2080s-and-2083s)?_g=(refreshInterval:(display:Off,pause:!f,section:0,value:0),time:(from:'2017-05-26T16:21:47-0600',mode:absolute,to:'2017-05-26T19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204" t="str">
        <f t="shared" si="33"/>
        <v>N</v>
      </c>
      <c r="X117" s="204">
        <f t="shared" si="49"/>
        <v>1</v>
      </c>
      <c r="Y117" s="204">
        <f t="shared" si="50"/>
        <v>23.313400000000001</v>
      </c>
      <c r="Z117" s="204">
        <f t="shared" si="51"/>
        <v>1.18E-2</v>
      </c>
      <c r="AA117" s="204">
        <f t="shared" si="37"/>
        <v>23.301600000000001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8"/>
        <v>0204-26</v>
      </c>
      <c r="AE117" s="80" t="str">
        <f t="shared" si="39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17" s="77" t="str">
        <f t="shared" si="40"/>
        <v>"C:\Program Files (x86)\AstroGrep\AstroGrep.exe" /e /r /s /spath="%USERPROFILE%\AppData\Local\Temp\OnboardLogs" /stypes="app*4001*20170527*" /stext=" 00:.+((SYSTEM_STATE.+slice.+state.+changed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3"/>
        <v>"%USERPROFILE%\Documents\GitHub\eaglep3\Utilities\RefineRTDCRunTimes.py" --tripid 204-26 --locoid 4001 --swversion DE.1.0.9.0 --startMP 204:233134 --initTime 2017-05-26T17:21:47 --startdatetime 2017-05-26T17:27:17 --delay 1 --endMP 204:118 --enddatetime 2017-05-26T18:08:42 --enforcementcount 0 &gt;&gt;C:\Users\stu\Documents\GitHub\eaglep3-reporting\EC\2017-05-26-refined-times.txt</v>
      </c>
      <c r="AI11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{"issue":{"subject":"","project_id":79,"tracker_id":40,"status_id":1,"priority_id":2,"assigned_to_id":23,"start_date":"2017-05-26","description":"","custom_fields":[{"id":1,"name":"Subdivision","value":"EC"},{"id":4,"name":"Milepost","value":"0.0118"},{"id":17,"name":"Train ID","value":"204-26"},{"id":16,"name":"Locomotive ID","value":"4001"},{"id":130,"name":"Impact","value":""},{"id":150,"name":"Time of Event (Mountain Time)","value":"18:08:42"},{"id":151,"name":"Denver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5"/>
        <v>start /low /b %USERPROFILE%\Documents\GitHub\eaglep3\Utilities\DownloadLogsFromS3.py --loco 4001 --day 2017-05-26</v>
      </c>
      <c r="AN117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775</v>
      </c>
      <c r="B118" s="7">
        <v>4058</v>
      </c>
      <c r="C118" s="21" t="s">
        <v>204</v>
      </c>
      <c r="D118" s="21" t="s">
        <v>358</v>
      </c>
      <c r="E118" s="13">
        <v>42881.695925925924</v>
      </c>
      <c r="F118" s="13">
        <v>42881.738136574073</v>
      </c>
      <c r="G118" s="7">
        <v>1</v>
      </c>
      <c r="H118" s="21" t="s">
        <v>851</v>
      </c>
      <c r="I118" s="13">
        <v>42881.767604166664</v>
      </c>
      <c r="J118" s="7">
        <v>0</v>
      </c>
      <c r="K118" s="92" t="str">
        <f t="shared" si="28"/>
        <v>4057/4058</v>
      </c>
      <c r="L118" s="21" t="str">
        <f>VLOOKUP(A118,'Trips&amp;Operators'!$C$1:$G$99999,5,FALSE)</f>
        <v>STEWART MICHAEL</v>
      </c>
      <c r="M118" s="6">
        <f t="shared" si="29"/>
        <v>2.9467592590663116E-2</v>
      </c>
      <c r="N118" s="7">
        <f t="shared" si="47"/>
        <v>42.433333330554888</v>
      </c>
      <c r="O118" s="7"/>
      <c r="P118" s="7"/>
      <c r="Q118" s="22"/>
      <c r="R118" s="173"/>
      <c r="S118" s="176">
        <f t="shared" si="48"/>
        <v>1</v>
      </c>
      <c r="T118" s="202" t="str">
        <f t="shared" si="31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2"/>
        <v>https://d0f6bd738d7f1b3e5a7ca70fe4ff75f0.us-east-1.aws.found.io/app/kibana#/discover/Steve-Slow-Train-Analysis-(2080s-and-2083s)?_g=(refreshInterval:(display:Off,pause:!f,section:0,value:0),time:(from:'2017-05-26T15:42:08-0600',mode:absolute,to:'2017-05-26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8" s="204" t="str">
        <f t="shared" si="33"/>
        <v>N</v>
      </c>
      <c r="X118" s="204">
        <f t="shared" si="49"/>
        <v>1</v>
      </c>
      <c r="Y118" s="204">
        <f t="shared" si="50"/>
        <v>4.53E-2</v>
      </c>
      <c r="Z118" s="204">
        <f t="shared" si="51"/>
        <v>23.327000000000002</v>
      </c>
      <c r="AA118" s="204">
        <f t="shared" si="37"/>
        <v>23.281700000000001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0205-26</v>
      </c>
      <c r="AE118" s="80" t="str">
        <f t="shared" si="39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18" s="77" t="str">
        <f t="shared" si="40"/>
        <v>"C:\Program Files (x86)\AstroGrep\AstroGrep.exe" /e /r /s /spath="%USERPROFILE%\AppData\Local\Temp\OnboardLogs" /stypes="app*4058*20170527*" /stext=" 00:.+((SYSTEM_STATE.+slice.+state.+changed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3"/>
        <v>"%USERPROFILE%\Documents\GitHub\eaglep3\Utilities\RefineRTDCRunTimes.py" --tripid 205-26 --locoid 4058 --swversion DE.1.0.9.0 --startMP 204:453 --initTime 2017-05-26T16:42:08 --startdatetime 2017-05-26T17:42:55 --delay 1 --endMP 204:233270 --enddatetime 2017-05-26T18:25:21 --enforcementcount 0 &gt;&gt;C:\Users\stu\Documents\GitHub\eaglep3-reporting\EC\2017-05-26-refined-times.txt</v>
      </c>
      <c r="AI11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{"issue":{"subject":"","project_id":79,"tracker_id":40,"status_id":1,"priority_id":2,"assigned_to_id":23,"start_date":"2017-05-26","description":"","custom_fields":[{"id":1,"name":"Subdivision","value":"EC"},{"id":4,"name":"Milepost","value":"23.327"},{"id":17,"name":"Train ID","value":"205-26"},{"id":16,"name":"Locomotive ID","value":"4058"},{"id":130,"name":"Impact","value":""},{"id":150,"name":"Time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5"/>
        <v>start /low /b %USERPROFILE%\Documents\GitHub\eaglep3\Utilities\DownloadLogsFromS3.py --loco 4058 --day 2017-05-26</v>
      </c>
      <c r="AN118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786</v>
      </c>
      <c r="B119" s="7">
        <v>4057</v>
      </c>
      <c r="C119" s="21" t="s">
        <v>204</v>
      </c>
      <c r="D119" s="21" t="s">
        <v>892</v>
      </c>
      <c r="E119" s="13">
        <v>42881.735208333332</v>
      </c>
      <c r="F119" s="13">
        <v>42881.738136574073</v>
      </c>
      <c r="G119" s="7">
        <v>1</v>
      </c>
      <c r="H119" s="21" t="s">
        <v>893</v>
      </c>
      <c r="I119" s="13">
        <v>42881.767604166664</v>
      </c>
      <c r="J119" s="7">
        <v>0</v>
      </c>
      <c r="K119" s="92" t="str">
        <f t="shared" si="28"/>
        <v>4057/4058</v>
      </c>
      <c r="L119" s="21" t="str">
        <f>VLOOKUP(A119,'Trips&amp;Operators'!$C$1:$G$99999,5,FALSE)</f>
        <v>STEWART MICHAEL</v>
      </c>
      <c r="M119" s="6">
        <f t="shared" si="29"/>
        <v>2.9467592590663116E-2</v>
      </c>
      <c r="N119" s="7">
        <f t="shared" si="47"/>
        <v>42.433333330554888</v>
      </c>
      <c r="O119" s="7"/>
      <c r="P119" s="7"/>
      <c r="Q119" s="22"/>
      <c r="R119" s="173"/>
      <c r="S119" s="176">
        <f t="shared" si="48"/>
        <v>1</v>
      </c>
      <c r="T119" s="202" t="str">
        <f t="shared" si="31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2"/>
        <v>https://d0f6bd738d7f1b3e5a7ca70fe4ff75f0.us-east-1.aws.found.io/app/kibana#/discover/Steve-Slow-Train-Analysis-(2080s-and-2083s)?_g=(refreshInterval:(display:Off,pause:!f,section:0,value:0),time:(from:'2017-05-26T16:38:42-0600',mode:absolute,to:'2017-05-26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9" s="204" t="str">
        <f t="shared" si="33"/>
        <v>N</v>
      </c>
      <c r="X119" s="204">
        <f t="shared" si="49"/>
        <v>1</v>
      </c>
      <c r="Y119" s="204">
        <f t="shared" si="50"/>
        <v>23.295300000000001</v>
      </c>
      <c r="Z119" s="204">
        <f t="shared" si="51"/>
        <v>1.6899999999999998E-2</v>
      </c>
      <c r="AA119" s="204">
        <f t="shared" si="37"/>
        <v>23.278400000000001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0206-26</v>
      </c>
      <c r="AE119" s="80" t="str">
        <f t="shared" si="39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119" s="77" t="str">
        <f t="shared" si="40"/>
        <v>"C:\Program Files (x86)\AstroGrep\AstroGrep.exe" /e /r /s /spath="%USERPROFILE%\AppData\Local\Temp\OnboardLogs" /stypes="app*4057*20170527*" /stext=" 00:.+((SYSTEM_STATE.+slice.+state.+changed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3"/>
        <v>"%USERPROFILE%\Documents\GitHub\eaglep3\Utilities\RefineRTDCRunTimes.py" --tripid 206-26 --locoid 4057 --swversion DE.1.0.9.0 --startMP 204:232953 --initTime 2017-05-26T17:38:42 --startdatetime 2017-05-26T17:42:55 --delay 1 --endMP 204:169 --enddatetime 2017-05-26T18:25:21 --enforcementcount 0 &gt;&gt;C:\Users\stu\Documents\GitHub\eaglep3-reporting\EC\2017-05-26-refined-times.txt</v>
      </c>
      <c r="AI11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{"issue":{"subject":"","project_id":79,"tracker_id":40,"status_id":1,"priority_id":2,"assigned_to_id":23,"start_date":"2017-05-26","description":"","custom_fields":[{"id":1,"name":"Subdivision","value":"EC"},{"id":4,"name":"Milepost","value":"0.0169"},{"id":17,"name":"Train ID","value":"206-26"},{"id":16,"name":"Locomotive ID","value":"4057"},{"id":130,"name":"Impact","value":""},{"id":150,"name":"Time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5"/>
        <v>start /low /b %USERPROFILE%\Documents\GitHub\eaglep3\Utilities\DownloadLogsFromS3.py --loco 4057 --day 2017-05-26</v>
      </c>
      <c r="AN119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778</v>
      </c>
      <c r="B120" s="7">
        <v>4044</v>
      </c>
      <c r="C120" s="21" t="s">
        <v>204</v>
      </c>
      <c r="D120" s="21" t="s">
        <v>349</v>
      </c>
      <c r="E120" s="13">
        <v>42881.707303240742</v>
      </c>
      <c r="F120" s="13">
        <v>42881.709097222221</v>
      </c>
      <c r="G120" s="7">
        <v>1</v>
      </c>
      <c r="H120" s="21" t="s">
        <v>575</v>
      </c>
      <c r="I120" s="13">
        <v>42881.735439814816</v>
      </c>
      <c r="J120" s="7">
        <v>0</v>
      </c>
      <c r="K120" s="92" t="str">
        <f t="shared" si="28"/>
        <v>4043/4044</v>
      </c>
      <c r="L120" s="21" t="str">
        <f>VLOOKUP(A120,'Trips&amp;Operators'!$C$1:$G$99999,5,FALSE)</f>
        <v>DE LA ROSA ALEX</v>
      </c>
      <c r="M120" s="6">
        <f t="shared" si="29"/>
        <v>2.6342592595028691E-2</v>
      </c>
      <c r="N120" s="7">
        <f t="shared" si="47"/>
        <v>37.933333336841315</v>
      </c>
      <c r="O120" s="7"/>
      <c r="P120" s="7"/>
      <c r="Q120" s="22"/>
      <c r="R120" s="173"/>
      <c r="S120" s="176">
        <f t="shared" si="48"/>
        <v>1</v>
      </c>
      <c r="T120" s="202" t="str">
        <f t="shared" si="31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2"/>
        <v>https://d0f6bd738d7f1b3e5a7ca70fe4ff75f0.us-east-1.aws.found.io/app/kibana#/discover/Steve-Slow-Train-Analysis-(2080s-and-2083s)?_g=(refreshInterval:(display:Off,pause:!f,section:0,value:0),time:(from:'2017-05-26T15:58:31-0600',mode:absolute,to:'2017-05-26T18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0" s="204" t="str">
        <f t="shared" si="33"/>
        <v>N</v>
      </c>
      <c r="X120" s="204">
        <f t="shared" si="49"/>
        <v>1</v>
      </c>
      <c r="Y120" s="204">
        <f t="shared" si="50"/>
        <v>4.4600000000000001E-2</v>
      </c>
      <c r="Z120" s="204">
        <f t="shared" si="51"/>
        <v>23.33</v>
      </c>
      <c r="AA120" s="204">
        <f t="shared" si="37"/>
        <v>23.285399999999999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0207-26</v>
      </c>
      <c r="AE120" s="80" t="str">
        <f t="shared" si="39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120" s="77" t="str">
        <f t="shared" si="40"/>
        <v>"C:\Program Files (x86)\AstroGrep\AstroGrep.exe" /e /r /s /spath="%USERPROFILE%\AppData\Local\Temp\OnboardLogs" /stypes="app*4044*20170526*" /stext=" 23:.+((SYSTEM_STATE.+slice.+state.+changed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3"/>
        <v>"%USERPROFILE%\Documents\GitHub\eaglep3\Utilities\RefineRTDCRunTimes.py" --tripid 207-26 --locoid 4044 --swversion DE.1.0.9.0 --startMP 204:446 --initTime 2017-05-26T16:58:31 --startdatetime 2017-05-26T17:01:06 --delay 1 --endMP 204:233300 --enddatetime 2017-05-26T17:39:02 --enforcementcount 0 &gt;&gt;C:\Users\stu\Documents\GitHub\eaglep3-reporting\EC\2017-05-26-refined-times.txt</v>
      </c>
      <c r="AI12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{"issue":{"subject":"","project_id":79,"tracker_id":40,"status_id":1,"priority_id":2,"assigned_to_id":23,"start_date":"2017-05-26","description":"","custom_fields":[{"id":1,"name":"Subdivision","value":"EC"},{"id":4,"name":"Milepost","value":"23.33"},{"id":17,"name":"Train ID","value":"207-26"},{"id":16,"name":"Locomotive ID","value":"4044"},{"id":130,"name":"Impact","value":""},{"id":150,"name":"Time of Event (Mountain Time)","value":"17:39:02"},{"id":151,"name":"Denver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5"/>
        <v>start /low /b %USERPROFILE%\Documents\GitHub\eaglep3\Utilities\DownloadLogsFromS3.py --loco 4044 --day 2017-05-26</v>
      </c>
      <c r="AN120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789</v>
      </c>
      <c r="B121" s="7">
        <v>4043</v>
      </c>
      <c r="C121" s="21" t="s">
        <v>204</v>
      </c>
      <c r="D121" s="21" t="s">
        <v>431</v>
      </c>
      <c r="E121" s="13">
        <v>42881.744120370371</v>
      </c>
      <c r="F121" s="13">
        <v>42881.748101851852</v>
      </c>
      <c r="G121" s="7">
        <v>1</v>
      </c>
      <c r="H121" s="21" t="s">
        <v>195</v>
      </c>
      <c r="I121" s="13">
        <v>42881.774525462963</v>
      </c>
      <c r="J121" s="7">
        <v>0</v>
      </c>
      <c r="K121" s="92" t="str">
        <f t="shared" si="28"/>
        <v>4043/4044</v>
      </c>
      <c r="L121" s="21" t="str">
        <f>VLOOKUP(A121,'Trips&amp;Operators'!$C$1:$G$99999,5,FALSE)</f>
        <v>DE LA ROSA ALEX</v>
      </c>
      <c r="M121" s="6">
        <f t="shared" si="29"/>
        <v>2.6423611110658385E-2</v>
      </c>
      <c r="N121" s="7">
        <f t="shared" si="47"/>
        <v>38.049999999348074</v>
      </c>
      <c r="O121" s="7"/>
      <c r="P121" s="7"/>
      <c r="Q121" s="22"/>
      <c r="R121" s="173"/>
      <c r="S121" s="176">
        <f t="shared" si="48"/>
        <v>1</v>
      </c>
      <c r="T121" s="202" t="str">
        <f t="shared" si="31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2"/>
        <v>https://d0f6bd738d7f1b3e5a7ca70fe4ff75f0.us-east-1.aws.found.io/app/kibana#/discover/Steve-Slow-Train-Analysis-(2080s-and-2083s)?_g=(refreshInterval:(display:Off,pause:!f,section:0,value:0),time:(from:'2017-05-26T16:51:32-0600',mode:absolute,to:'2017-05-26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1" s="204" t="str">
        <f t="shared" si="33"/>
        <v>N</v>
      </c>
      <c r="X121" s="204">
        <f t="shared" si="49"/>
        <v>1</v>
      </c>
      <c r="Y121" s="204">
        <f t="shared" si="50"/>
        <v>23.298300000000001</v>
      </c>
      <c r="Z121" s="204">
        <f t="shared" si="51"/>
        <v>1.52E-2</v>
      </c>
      <c r="AA121" s="204">
        <f t="shared" si="37"/>
        <v>23.283100000000001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0208-26</v>
      </c>
      <c r="AE121" s="80" t="str">
        <f t="shared" si="39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121" s="77" t="str">
        <f t="shared" si="40"/>
        <v>"C:\Program Files (x86)\AstroGrep\AstroGrep.exe" /e /r /s /spath="%USERPROFILE%\AppData\Local\Temp\OnboardLogs" /stypes="app*4043*20170527*" /stext=" 00:.+((SYSTEM_STATE.+slice.+state.+changed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3"/>
        <v>"%USERPROFILE%\Documents\GitHub\eaglep3\Utilities\RefineRTDCRunTimes.py" --tripid 208-26 --locoid 4043 --swversion DE.1.0.9.0 --startMP 204:232983 --initTime 2017-05-26T17:51:32 --startdatetime 2017-05-26T17:57:16 --delay 1 --endMP 204:152 --enddatetime 2017-05-26T18:35:19 --enforcementcount 0 &gt;&gt;C:\Users\stu\Documents\GitHub\eaglep3-reporting\EC\2017-05-26-refined-times.txt</v>
      </c>
      <c r="AI12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{"issue":{"subject":"","project_id":79,"tracker_id":40,"status_id":1,"priority_id":2,"assigned_to_id":23,"start_date":"2017-05-26","description":"","custom_fields":[{"id":1,"name":"Subdivision","value":"EC"},{"id":4,"name":"Milepost","value":"0.0152"},{"id":17,"name":"Train ID","value":"208-26"},{"id":16,"name":"Locomotive ID","value":"4043"},{"id":130,"name":"Impact","value":""},{"id":150,"name":"Time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5"/>
        <v>start /low /b %USERPROFILE%\Documents\GitHub\eaglep3\Utilities\DownloadLogsFromS3.py --loco 4043 --day 2017-05-26</v>
      </c>
      <c r="AN121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782</v>
      </c>
      <c r="B122" s="7">
        <v>4016</v>
      </c>
      <c r="C122" s="21" t="s">
        <v>204</v>
      </c>
      <c r="D122" s="21" t="s">
        <v>357</v>
      </c>
      <c r="E122" s="13">
        <v>42881.717002314814</v>
      </c>
      <c r="F122" s="13">
        <v>42881.722256944442</v>
      </c>
      <c r="G122" s="7">
        <v>1</v>
      </c>
      <c r="H122" s="21" t="s">
        <v>894</v>
      </c>
      <c r="I122" s="13">
        <v>42881.748182870368</v>
      </c>
      <c r="J122" s="7">
        <v>0</v>
      </c>
      <c r="K122" s="92" t="str">
        <f t="shared" si="28"/>
        <v>4015/4016</v>
      </c>
      <c r="L122" s="21" t="str">
        <f>VLOOKUP(A122,'Trips&amp;Operators'!$C$1:$G$99999,5,FALSE)</f>
        <v>CHANDLER KELVIN</v>
      </c>
      <c r="M122" s="6">
        <f t="shared" si="29"/>
        <v>2.5925925925548654E-2</v>
      </c>
      <c r="N122" s="7">
        <f t="shared" si="47"/>
        <v>37.333333332790062</v>
      </c>
      <c r="O122" s="7"/>
      <c r="P122" s="7"/>
      <c r="Q122" s="22"/>
      <c r="R122" s="173"/>
      <c r="S122" s="176">
        <f t="shared" si="48"/>
        <v>1</v>
      </c>
      <c r="T122" s="202" t="str">
        <f t="shared" si="31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2"/>
        <v>https://d0f6bd738d7f1b3e5a7ca70fe4ff75f0.us-east-1.aws.found.io/app/kibana#/discover/Steve-Slow-Train-Analysis-(2080s-and-2083s)?_g=(refreshInterval:(display:Off,pause:!f,section:0,value:0),time:(from:'2017-05-26T16:12:29-0600',mode:absolute,to:'2017-05-26T18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204" t="str">
        <f t="shared" si="33"/>
        <v>N</v>
      </c>
      <c r="X122" s="204">
        <f t="shared" si="49"/>
        <v>1</v>
      </c>
      <c r="Y122" s="204">
        <f t="shared" si="50"/>
        <v>4.6399999999999997E-2</v>
      </c>
      <c r="Z122" s="204">
        <f t="shared" si="51"/>
        <v>23.328900000000001</v>
      </c>
      <c r="AA122" s="204">
        <f t="shared" si="37"/>
        <v>23.282500000000002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0209-26</v>
      </c>
      <c r="AE122" s="80" t="str">
        <f t="shared" si="39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122" s="77" t="str">
        <f t="shared" si="40"/>
        <v>"C:\Program Files (x86)\AstroGrep\AstroGrep.exe" /e /r /s /spath="%USERPROFILE%\AppData\Local\Temp\OnboardLogs" /stypes="app*4016*20170526*" /stext=" 23:.+((SYSTEM_STATE.+slice.+state.+changed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3"/>
        <v>"%USERPROFILE%\Documents\GitHub\eaglep3\Utilities\RefineRTDCRunTimes.py" --tripid 209-26 --locoid 4016 --swversion DE.1.0.9.0 --startMP 204:464 --initTime 2017-05-26T17:12:29 --startdatetime 2017-05-26T17:20:03 --delay 1 --endMP 204:233289 --enddatetime 2017-05-26T17:57:23 --enforcementcount 0 &gt;&gt;C:\Users\stu\Documents\GitHub\eaglep3-reporting\EC\2017-05-26-refined-times.txt</v>
      </c>
      <c r="AI12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{"issue":{"subject":"","project_id":79,"tracker_id":40,"status_id":1,"priority_id":2,"assigned_to_id":23,"start_date":"2017-05-26","description":"","custom_fields":[{"id":1,"name":"Subdivision","value":"EC"},{"id":4,"name":"Milepost","value":"23.3289"},{"id":17,"name":"Train ID","value":"209-26"},{"id":16,"name":"Locomotive ID","value":"4016"},{"id":130,"name":"Impact","value":""},{"id":150,"name":"Time of Event (Mountain Time)","value":"17:57:23"},{"id":151,"name":"Denver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5"/>
        <v>start /low /b %USERPROFILE%\Documents\GitHub\eaglep3\Utilities\DownloadLogsFromS3.py --loco 4016 --day 2017-05-26</v>
      </c>
      <c r="AN122" s="154" t="str">
        <f t="shared" si="46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793</v>
      </c>
      <c r="B123" s="7">
        <v>4015</v>
      </c>
      <c r="C123" s="21" t="s">
        <v>204</v>
      </c>
      <c r="D123" s="21" t="s">
        <v>497</v>
      </c>
      <c r="E123" s="13">
        <v>42881.755381944444</v>
      </c>
      <c r="F123" s="13">
        <v>42881.758622685185</v>
      </c>
      <c r="G123" s="7">
        <v>1</v>
      </c>
      <c r="H123" s="21" t="s">
        <v>895</v>
      </c>
      <c r="I123" s="13">
        <v>42881.786898148152</v>
      </c>
      <c r="J123" s="7">
        <v>0</v>
      </c>
      <c r="K123" s="92" t="str">
        <f t="shared" si="28"/>
        <v>4015/4016</v>
      </c>
      <c r="L123" s="21" t="str">
        <f>VLOOKUP(A123,'Trips&amp;Operators'!$C$1:$G$99999,5,FALSE)</f>
        <v>CHANDLER KELVIN</v>
      </c>
      <c r="M123" s="6">
        <f t="shared" si="29"/>
        <v>2.8275462966121268E-2</v>
      </c>
      <c r="N123" s="7">
        <f t="shared" si="47"/>
        <v>40.716666671214625</v>
      </c>
      <c r="O123" s="7"/>
      <c r="P123" s="7"/>
      <c r="Q123" s="22"/>
      <c r="R123" s="173"/>
      <c r="S123" s="176">
        <f t="shared" si="48"/>
        <v>1</v>
      </c>
      <c r="T123" s="202" t="str">
        <f t="shared" si="31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2"/>
        <v>https://d0f6bd738d7f1b3e5a7ca70fe4ff75f0.us-east-1.aws.found.io/app/kibana#/discover/Steve-Slow-Train-Analysis-(2080s-and-2083s)?_g=(refreshInterval:(display:Off,pause:!f,section:0,value:0),time:(from:'2017-05-26T17:07:45-0600',mode:absolute,to:'2017-05-26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204" t="str">
        <f t="shared" si="33"/>
        <v>N</v>
      </c>
      <c r="X123" s="204">
        <f t="shared" si="49"/>
        <v>1</v>
      </c>
      <c r="Y123" s="204">
        <f t="shared" si="50"/>
        <v>23.296900000000001</v>
      </c>
      <c r="Z123" s="204">
        <f t="shared" si="51"/>
        <v>1.67E-2</v>
      </c>
      <c r="AA123" s="204">
        <f t="shared" si="37"/>
        <v>23.280200000000001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0210-26</v>
      </c>
      <c r="AE123" s="80" t="str">
        <f t="shared" si="39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123" s="77" t="str">
        <f t="shared" si="40"/>
        <v>"C:\Program Files (x86)\AstroGrep\AstroGrep.exe" /e /r /s /spath="%USERPROFILE%\AppData\Local\Temp\OnboardLogs" /stypes="app*4015*20170527*" /stext=" 00:.+((SYSTEM_STATE.+slice.+state.+changed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3"/>
        <v>"%USERPROFILE%\Documents\GitHub\eaglep3\Utilities\RefineRTDCRunTimes.py" --tripid 210-26 --locoid 4015 --swversion DE.1.0.9.0 --startMP 204:232969 --initTime 2017-05-26T18:07:45 --startdatetime 2017-05-26T18:12:25 --delay 1 --endMP 204:167 --enddatetime 2017-05-26T18:53:08 --enforcementcount 0 &gt;&gt;C:\Users\stu\Documents\GitHub\eaglep3-reporting\EC\2017-05-26-refined-times.txt</v>
      </c>
      <c r="AI12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{"issue":{"subject":"","project_id":79,"tracker_id":40,"status_id":1,"priority_id":2,"assigned_to_id":23,"start_date":"2017-05-26","description":"","custom_fields":[{"id":1,"name":"Subdivision","value":"EC"},{"id":4,"name":"Milepost","value":"0.0167"},{"id":17,"name":"Train ID","value":"210-26"},{"id":16,"name":"Locomotive ID","value":"4015"},{"id":130,"name":"Impact","value":""},{"id":150,"name":"Time of Event (Mountain Time)","value":"18:53:08"},{"id":151,"name":"Denver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5"/>
        <v>start /low /b %USERPROFILE%\Documents\GitHub\eaglep3\Utilities\DownloadLogsFromS3.py --loco 4015 --day 2017-05-26</v>
      </c>
      <c r="AN123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784</v>
      </c>
      <c r="B124" s="7">
        <v>4026</v>
      </c>
      <c r="C124" s="21" t="s">
        <v>204</v>
      </c>
      <c r="D124" s="21" t="s">
        <v>896</v>
      </c>
      <c r="E124" s="13">
        <v>42881.725590277776</v>
      </c>
      <c r="F124" s="13">
        <v>42881.729328703703</v>
      </c>
      <c r="G124" s="7">
        <v>1</v>
      </c>
      <c r="H124" s="21" t="s">
        <v>897</v>
      </c>
      <c r="I124" s="13">
        <v>42881.753900462965</v>
      </c>
      <c r="J124" s="7">
        <v>0</v>
      </c>
      <c r="K124" s="92" t="str">
        <f t="shared" si="28"/>
        <v>4025/4026</v>
      </c>
      <c r="L124" s="21" t="str">
        <f>VLOOKUP(A124,'Trips&amp;Operators'!$C$1:$G$99999,5,FALSE)</f>
        <v>LEVIN SCOTT</v>
      </c>
      <c r="M124" s="6">
        <f t="shared" si="29"/>
        <v>2.457175926247146E-2</v>
      </c>
      <c r="N124" s="7">
        <f t="shared" si="47"/>
        <v>35.383333337958902</v>
      </c>
      <c r="O124" s="7"/>
      <c r="P124" s="7"/>
      <c r="Q124" s="22"/>
      <c r="R124" s="173"/>
      <c r="S124" s="176">
        <f t="shared" si="48"/>
        <v>1</v>
      </c>
      <c r="T124" s="202" t="str">
        <f t="shared" si="31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2"/>
        <v>https://d0f6bd738d7f1b3e5a7ca70fe4ff75f0.us-east-1.aws.found.io/app/kibana#/discover/Steve-Slow-Train-Analysis-(2080s-and-2083s)?_g=(refreshInterval:(display:Off,pause:!f,section:0,value:0),time:(from:'2017-05-26T16:24:51-0600',mode:absolute,to:'2017-05-26T19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204" t="str">
        <f t="shared" si="33"/>
        <v>N</v>
      </c>
      <c r="X124" s="204">
        <f t="shared" si="49"/>
        <v>1</v>
      </c>
      <c r="Y124" s="204">
        <f t="shared" si="50"/>
        <v>4.2599999999999999E-2</v>
      </c>
      <c r="Z124" s="204">
        <f t="shared" si="51"/>
        <v>23.337199999999999</v>
      </c>
      <c r="AA124" s="204">
        <f t="shared" si="37"/>
        <v>23.294599999999999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0211-26</v>
      </c>
      <c r="AE124" s="80" t="str">
        <f t="shared" si="39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124" s="77" t="str">
        <f t="shared" si="40"/>
        <v>"C:\Program Files (x86)\AstroGrep\AstroGrep.exe" /e /r /s /spath="%USERPROFILE%\AppData\Local\Temp\OnboardLogs" /stypes="app*4026*20170527*" /stext=" 00:.+((SYSTEM_STATE.+slice.+state.+changed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3"/>
        <v>"%USERPROFILE%\Documents\GitHub\eaglep3\Utilities\RefineRTDCRunTimes.py" --tripid 211-26 --locoid 4026 --swversion DE.1.0.9.0 --startMP 204:426 --initTime 2017-05-26T17:24:51 --startdatetime 2017-05-26T17:30:14 --delay 1 --endMP 204:233372 --enddatetime 2017-05-26T18:05:37 --enforcementcount 0 &gt;&gt;C:\Users\stu\Documents\GitHub\eaglep3-reporting\EC\2017-05-26-refined-times.txt</v>
      </c>
      <c r="AI12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{"issue":{"subject":"","project_id":79,"tracker_id":40,"status_id":1,"priority_id":2,"assigned_to_id":23,"start_date":"2017-05-26","description":"","custom_fields":[{"id":1,"name":"Subdivision","value":"EC"},{"id":4,"name":"Milepost","value":"23.3372"},{"id":17,"name":"Train ID","value":"211-26"},{"id":16,"name":"Locomotive ID","value":"4026"},{"id":130,"name":"Impact","value":""},{"id":150,"name":"Time of Event (Mountain Time)","value":"18:05:37"},{"id":151,"name":"Denver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5"/>
        <v>start /low /b %USERPROFILE%\Documents\GitHub\eaglep3\Utilities\DownloadLogsFromS3.py --loco 4026 --day 2017-05-26</v>
      </c>
      <c r="AN124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623</v>
      </c>
      <c r="B125" s="7">
        <v>4025</v>
      </c>
      <c r="C125" s="21" t="s">
        <v>204</v>
      </c>
      <c r="D125" s="21" t="s">
        <v>898</v>
      </c>
      <c r="E125" s="13">
        <v>42881.761180555557</v>
      </c>
      <c r="F125" s="13">
        <v>42881.768923611111</v>
      </c>
      <c r="G125" s="7">
        <v>1</v>
      </c>
      <c r="H125" s="21" t="s">
        <v>899</v>
      </c>
      <c r="I125" s="13">
        <v>42881.797534722224</v>
      </c>
      <c r="J125" s="7">
        <v>0</v>
      </c>
      <c r="K125" s="92" t="str">
        <f t="shared" si="28"/>
        <v>4025/4026</v>
      </c>
      <c r="L125" s="21" t="str">
        <f>VLOOKUP(A125,'Trips&amp;Operators'!$C$1:$G$99999,5,FALSE)</f>
        <v>LEVIN SCOTT</v>
      </c>
      <c r="M125" s="6">
        <f t="shared" si="29"/>
        <v>2.8611111112695653E-2</v>
      </c>
      <c r="N125" s="7">
        <f t="shared" ref="N125:N156" si="52">24*60*SUM($M125:$M125)</f>
        <v>41.20000000228174</v>
      </c>
      <c r="O125" s="7"/>
      <c r="P125" s="7"/>
      <c r="Q125" s="22"/>
      <c r="R125" s="173"/>
      <c r="S125" s="176">
        <f t="shared" ref="S125:S156" si="53">SUM(U125:U125)/IF(AG125="EC",12,1)</f>
        <v>1</v>
      </c>
      <c r="T125" s="202" t="str">
        <f t="shared" si="31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2"/>
        <v>https://d0f6bd738d7f1b3e5a7ca70fe4ff75f0.us-east-1.aws.found.io/app/kibana#/discover/Steve-Slow-Train-Analysis-(2080s-and-2083s)?_g=(refreshInterval:(display:Off,pause:!f,section:0,value:0),time:(from:'2017-05-26T17:16:06-0600',mode:absolute,to:'2017-05-26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204" t="str">
        <f t="shared" si="33"/>
        <v>N</v>
      </c>
      <c r="X125" s="204">
        <f t="shared" si="49"/>
        <v>1</v>
      </c>
      <c r="Y125" s="204">
        <f t="shared" si="50"/>
        <v>23.306799999999999</v>
      </c>
      <c r="Z125" s="204">
        <f t="shared" si="51"/>
        <v>2.12E-2</v>
      </c>
      <c r="AA125" s="204">
        <f t="shared" si="37"/>
        <v>23.285599999999999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 t="shared" si="38"/>
        <v>0212-26</v>
      </c>
      <c r="AE125" s="80" t="str">
        <f t="shared" si="39"/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AF125" s="77" t="str">
        <f t="shared" si="40"/>
        <v>"C:\Program Files (x86)\AstroGrep\AstroGrep.exe" /e /r /s /spath="%USERPROFILE%\AppData\Local\Temp\OnboardLogs" /stypes="app*4025*20170527*" /stext=" 01:.+((SYSTEM_STATE.+slice.+state.+changed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3"/>
        <v>"%USERPROFILE%\Documents\GitHub\eaglep3\Utilities\RefineRTDCRunTimes.py" --tripid 212-26 --locoid 4025 --swversion DE.1.0.9.0 --startMP 204:233068 --initTime 2017-05-26T18:16:06 --startdatetime 2017-05-26T18:27:15 --delay 1 --endMP 204:212 --enddatetime 2017-05-26T19:08:27 --enforcementcount 0 &gt;&gt;C:\Users\stu\Documents\GitHub\eaglep3-reporting\EC\2017-05-26-refined-times.txt</v>
      </c>
      <c r="AI12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{"issue":{"subject":"","project_id":79,"tracker_id":40,"status_id":1,"priority_id":2,"assigned_to_id":23,"start_date":"2017-05-26","description":"","custom_fields":[{"id":1,"name":"Subdivision","value":"EC"},{"id":4,"name":"Milepost","value":"0.0212"},{"id":17,"name":"Train ID","value":"212-26"},{"id":16,"name":"Locomotive ID","value":"4025"},{"id":130,"name":"Impact","value":""},{"id":150,"name":"Time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5"/>
        <v>start /low /b %USERPROFILE%\Documents\GitHub\eaglep3\Utilities\DownloadLogsFromS3.py --loco 4025 --day 2017-05-26</v>
      </c>
      <c r="AN125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787</v>
      </c>
      <c r="B126" s="7">
        <v>4062</v>
      </c>
      <c r="C126" s="21" t="s">
        <v>204</v>
      </c>
      <c r="D126" s="21" t="s">
        <v>358</v>
      </c>
      <c r="E126" s="13">
        <v>42881.736724537041</v>
      </c>
      <c r="F126" s="13">
        <v>42881.73982638889</v>
      </c>
      <c r="G126" s="7">
        <v>1</v>
      </c>
      <c r="H126" s="21" t="s">
        <v>567</v>
      </c>
      <c r="I126" s="13">
        <v>42881.765219907407</v>
      </c>
      <c r="J126" s="7">
        <v>0</v>
      </c>
      <c r="K126" s="92" t="str">
        <f t="shared" si="28"/>
        <v>4061/4062</v>
      </c>
      <c r="L126" s="21" t="str">
        <f>VLOOKUP(A126,'Trips&amp;Operators'!$C$1:$G$99999,5,FALSE)</f>
        <v>HELVIE ADAM</v>
      </c>
      <c r="M126" s="6">
        <f t="shared" si="29"/>
        <v>2.5393518517375924E-2</v>
      </c>
      <c r="N126" s="7">
        <f t="shared" si="52"/>
        <v>36.56666666502133</v>
      </c>
      <c r="O126" s="7"/>
      <c r="P126" s="7"/>
      <c r="Q126" s="22"/>
      <c r="R126" s="173"/>
      <c r="S126" s="176">
        <f t="shared" si="53"/>
        <v>1</v>
      </c>
      <c r="T126" s="202" t="str">
        <f t="shared" si="31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2"/>
        <v>https://d0f6bd738d7f1b3e5a7ca70fe4ff75f0.us-east-1.aws.found.io/app/kibana#/discover/Steve-Slow-Train-Analysis-(2080s-and-2083s)?_g=(refreshInterval:(display:Off,pause:!f,section:0,value:0),time:(from:'2017-05-26T16:40:53-0600',mode:absolute,to:'2017-05-26T19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6" s="204" t="str">
        <f t="shared" si="33"/>
        <v>N</v>
      </c>
      <c r="X126" s="204">
        <f t="shared" si="49"/>
        <v>1</v>
      </c>
      <c r="Y126" s="204">
        <f t="shared" si="50"/>
        <v>4.53E-2</v>
      </c>
      <c r="Z126" s="204">
        <f t="shared" si="51"/>
        <v>23.333600000000001</v>
      </c>
      <c r="AA126" s="204">
        <f t="shared" si="37"/>
        <v>23.2883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0213-26</v>
      </c>
      <c r="AE126" s="80" t="str">
        <f t="shared" si="39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26" s="77" t="str">
        <f t="shared" si="40"/>
        <v>"C:\Program Files (x86)\AstroGrep\AstroGrep.exe" /e /r /s /spath="%USERPROFILE%\AppData\Local\Temp\OnboardLogs" /stypes="app*4062*20170527*" /stext=" 00:.+((SYSTEM_STATE.+slice.+state.+changed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3"/>
        <v>"%USERPROFILE%\Documents\GitHub\eaglep3\Utilities\RefineRTDCRunTimes.py" --tripid 213-26 --locoid 4062 --swversion DE.1.0.9.0 --startMP 204:453 --initTime 2017-05-26T17:40:53 --startdatetime 2017-05-26T17:45:21 --delay 1 --endMP 204:233336 --enddatetime 2017-05-26T18:21:55 --enforcementcount 0 &gt;&gt;C:\Users\stu\Documents\GitHub\eaglep3-reporting\EC\2017-05-26-refined-times.txt</v>
      </c>
      <c r="AI12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{"issue":{"subject":"","project_id":79,"tracker_id":40,"status_id":1,"priority_id":2,"assigned_to_id":23,"start_date":"2017-05-26","description":"","custom_fields":[{"id":1,"name":"Subdivision","value":"EC"},{"id":4,"name":"Milepost","value":"23.3336"},{"id":17,"name":"Train ID","value":"213-26"},{"id":16,"name":"Locomotive ID","value":"4062"},{"id":130,"name":"Impact","value":""},{"id":150,"name":"Time of Event (Mountain Time)","value":"18:21:55"},{"id":151,"name":"Denver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5"/>
        <v>start /low /b %USERPROFILE%\Documents\GitHub\eaglep3\Utilities\DownloadLogsFromS3.py --loco 4062 --day 2017-05-26</v>
      </c>
      <c r="AN126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4061</v>
      </c>
      <c r="C127" s="21" t="s">
        <v>204</v>
      </c>
      <c r="D127" s="21" t="s">
        <v>554</v>
      </c>
      <c r="E127" s="13">
        <v>42881.775520833333</v>
      </c>
      <c r="F127" s="13">
        <v>42881.779386574075</v>
      </c>
      <c r="G127" s="7">
        <v>1</v>
      </c>
      <c r="H127" s="21" t="s">
        <v>893</v>
      </c>
      <c r="I127" s="13">
        <v>42881.806203703702</v>
      </c>
      <c r="J127" s="7">
        <v>0</v>
      </c>
      <c r="K127" s="92" t="str">
        <f t="shared" si="28"/>
        <v>4061/4062</v>
      </c>
      <c r="L127" s="21" t="str">
        <f>VLOOKUP(A127,'Trips&amp;Operators'!$C$1:$G$99999,5,FALSE)</f>
        <v>HELVIE ADAM</v>
      </c>
      <c r="M127" s="6">
        <f t="shared" si="29"/>
        <v>2.6817129626579117E-2</v>
      </c>
      <c r="N127" s="7">
        <f t="shared" si="52"/>
        <v>38.616666662273929</v>
      </c>
      <c r="O127" s="7"/>
      <c r="P127" s="7"/>
      <c r="Q127" s="22"/>
      <c r="R127" s="173"/>
      <c r="S127" s="176">
        <f t="shared" si="53"/>
        <v>1</v>
      </c>
      <c r="T127" s="202" t="str">
        <f t="shared" si="31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2"/>
        <v>https://d0f6bd738d7f1b3e5a7ca70fe4ff75f0.us-east-1.aws.found.io/app/kibana#/discover/Steve-Slow-Train-Analysis-(2080s-and-2083s)?_g=(refreshInterval:(display:Off,pause:!f,section:0,value:0),time:(from:'2017-05-26T17:36:45-0600',mode:absolute,to:'2017-05-26T20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7" s="204" t="str">
        <f t="shared" si="33"/>
        <v>N</v>
      </c>
      <c r="X127" s="204">
        <f t="shared" si="49"/>
        <v>1</v>
      </c>
      <c r="Y127" s="204">
        <f t="shared" si="50"/>
        <v>23.3019</v>
      </c>
      <c r="Z127" s="204">
        <f t="shared" si="51"/>
        <v>1.6899999999999998E-2</v>
      </c>
      <c r="AA127" s="204">
        <f t="shared" si="37"/>
        <v>23.285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8"/>
        <v>0214-26</v>
      </c>
      <c r="AE127" s="80" t="str">
        <f t="shared" si="39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127" s="77" t="str">
        <f t="shared" si="40"/>
        <v>"C:\Program Files (x86)\AstroGrep\AstroGrep.exe" /e /r /s /spath="%USERPROFILE%\AppData\Local\Temp\OnboardLogs" /stypes="app*4061*20170527*" /stext=" 01:.+((SYSTEM_STATE.+slice.+state.+changed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3"/>
        <v>"%USERPROFILE%\Documents\GitHub\eaglep3\Utilities\RefineRTDCRunTimes.py" --tripid 214-26 --locoid 4061 --swversion DE.1.0.9.0 --startMP 204:233019 --initTime 2017-05-26T18:36:45 --startdatetime 2017-05-26T18:42:19 --delay 1 --endMP 204:169 --enddatetime 2017-05-26T19:20:56 --enforcementcount 0 &gt;&gt;C:\Users\stu\Documents\GitHub\eaglep3-reporting\EC\2017-05-26-refined-times.txt</v>
      </c>
      <c r="AI12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{"issue":{"subject":"","project_id":79,"tracker_id":40,"status_id":1,"priority_id":2,"assigned_to_id":23,"start_date":"2017-05-26","description":"","custom_fields":[{"id":1,"name":"Subdivision","value":"EC"},{"id":4,"name":"Milepost","value":"0.0169"},{"id":17,"name":"Train ID","value":"214-26"},{"id":16,"name":"Locomotive ID","value":"4061"},{"id":130,"name":"Impact","value":""},{"id":150,"name":"Time of Event (Mountain Time)","value":"19:20:56"},{"id":151,"name":"Denver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5"/>
        <v>start /low /b %USERPROFILE%\Documents\GitHub\eaglep3\Utilities\DownloadLogsFromS3.py --loco 4061 --day 2017-05-26</v>
      </c>
      <c r="AN127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790</v>
      </c>
      <c r="B128" s="7">
        <v>4006</v>
      </c>
      <c r="C128" s="21" t="s">
        <v>204</v>
      </c>
      <c r="D128" s="21" t="s">
        <v>345</v>
      </c>
      <c r="E128" s="13">
        <v>42881.746828703705</v>
      </c>
      <c r="F128" s="13">
        <v>42881.750358796293</v>
      </c>
      <c r="G128" s="7">
        <v>1</v>
      </c>
      <c r="H128" s="21" t="s">
        <v>871</v>
      </c>
      <c r="I128" s="13">
        <v>42881.778553240743</v>
      </c>
      <c r="J128" s="7">
        <v>0</v>
      </c>
      <c r="K128" s="92" t="str">
        <f t="shared" si="28"/>
        <v>4005/4006</v>
      </c>
      <c r="L128" s="21" t="str">
        <f>VLOOKUP(A128,'Trips&amp;Operators'!$C$1:$G$99999,5,FALSE)</f>
        <v>HOLCOMB KAMDEN</v>
      </c>
      <c r="M128" s="6">
        <f t="shared" si="29"/>
        <v>2.8194444450491574E-2</v>
      </c>
      <c r="N128" s="7">
        <f t="shared" si="52"/>
        <v>40.600000008707866</v>
      </c>
      <c r="O128" s="7"/>
      <c r="P128" s="7"/>
      <c r="Q128" s="22"/>
      <c r="R128" s="173"/>
      <c r="S128" s="176">
        <f t="shared" si="53"/>
        <v>1</v>
      </c>
      <c r="T128" s="202" t="str">
        <f t="shared" si="31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2"/>
        <v>https://d0f6bd738d7f1b3e5a7ca70fe4ff75f0.us-east-1.aws.found.io/app/kibana#/discover/Steve-Slow-Train-Analysis-(2080s-and-2083s)?_g=(refreshInterval:(display:Off,pause:!f,section:0,value:0),time:(from:'2017-05-26T16:55:26-0600',mode:absolute,to:'2017-05-26T19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8" s="204" t="str">
        <f t="shared" si="33"/>
        <v>N</v>
      </c>
      <c r="X128" s="204">
        <f t="shared" si="49"/>
        <v>1</v>
      </c>
      <c r="Y128" s="204">
        <f t="shared" si="50"/>
        <v>4.4900000000000002E-2</v>
      </c>
      <c r="Z128" s="204">
        <f t="shared" si="51"/>
        <v>23.333400000000001</v>
      </c>
      <c r="AA128" s="204">
        <f t="shared" si="37"/>
        <v>23.288500000000003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0215-26</v>
      </c>
      <c r="AE128" s="80" t="str">
        <f t="shared" si="39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128" s="77" t="str">
        <f t="shared" si="40"/>
        <v>"C:\Program Files (x86)\AstroGrep\AstroGrep.exe" /e /r /s /spath="%USERPROFILE%\AppData\Local\Temp\OnboardLogs" /stypes="app*4006*20170527*" /stext=" 00:.+((SYSTEM_STATE.+slice.+state.+changed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3"/>
        <v>"%USERPROFILE%\Documents\GitHub\eaglep3\Utilities\RefineRTDCRunTimes.py" --tripid 215-26 --locoid 4006 --swversion DE.1.0.9.0 --startMP 204:449 --initTime 2017-05-26T17:55:26 --startdatetime 2017-05-26T18:00:31 --delay 1 --endMP 204:233334 --enddatetime 2017-05-26T18:41:07 --enforcementcount 0 &gt;&gt;C:\Users\stu\Documents\GitHub\eaglep3-reporting\EC\2017-05-26-refined-times.txt</v>
      </c>
      <c r="AI12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{"issue":{"subject":"","project_id":79,"tracker_id":40,"status_id":1,"priority_id":2,"assigned_to_id":23,"start_date":"2017-05-26","description":"","custom_fields":[{"id":1,"name":"Subdivision","value":"EC"},{"id":4,"name":"Milepost","value":"23.3334"},{"id":17,"name":"Train ID","value":"215-26"},{"id":16,"name":"Locomotive ID","value":"4006"},{"id":130,"name":"Impact","value":""},{"id":150,"name":"Time of Event (Mountain Time)","value":"18:41:07"},{"id":151,"name":"Denver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5"/>
        <v>start /low /b %USERPROFILE%\Documents\GitHub\eaglep3\Utilities\DownloadLogsFromS3.py --loco 4006 --day 2017-05-26</v>
      </c>
      <c r="AN128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800</v>
      </c>
      <c r="B129" s="7">
        <v>4005</v>
      </c>
      <c r="C129" s="21" t="s">
        <v>204</v>
      </c>
      <c r="D129" s="21" t="s">
        <v>900</v>
      </c>
      <c r="E129" s="13">
        <v>42881.788553240738</v>
      </c>
      <c r="F129" s="13">
        <v>42881.79</v>
      </c>
      <c r="G129" s="7">
        <v>1</v>
      </c>
      <c r="H129" s="21" t="s">
        <v>465</v>
      </c>
      <c r="I129" s="13">
        <v>42881.817627314813</v>
      </c>
      <c r="J129" s="7">
        <v>0</v>
      </c>
      <c r="K129" s="92" t="str">
        <f t="shared" si="28"/>
        <v>4005/4006</v>
      </c>
      <c r="L129" s="21" t="str">
        <f>VLOOKUP(A129,'Trips&amp;Operators'!$C$1:$G$99999,5,FALSE)</f>
        <v>HOLCOMB KAMDEN</v>
      </c>
      <c r="M129" s="6">
        <f t="shared" si="29"/>
        <v>2.7627314811979886E-2</v>
      </c>
      <c r="N129" s="7">
        <f t="shared" si="52"/>
        <v>39.783333329251036</v>
      </c>
      <c r="O129" s="7"/>
      <c r="P129" s="7"/>
      <c r="Q129" s="22"/>
      <c r="R129" s="173"/>
      <c r="S129" s="176">
        <f t="shared" si="53"/>
        <v>1</v>
      </c>
      <c r="T129" s="202" t="str">
        <f t="shared" si="31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2"/>
        <v>https://d0f6bd738d7f1b3e5a7ca70fe4ff75f0.us-east-1.aws.found.io/app/kibana#/discover/Steve-Slow-Train-Analysis-(2080s-and-2083s)?_g=(refreshInterval:(display:Off,pause:!f,section:0,value:0),time:(from:'2017-05-26T17:55:31-0600',mode:absolute,to:'2017-05-26T20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9" s="204" t="str">
        <f t="shared" si="33"/>
        <v>N</v>
      </c>
      <c r="X129" s="204">
        <f t="shared" si="49"/>
        <v>1</v>
      </c>
      <c r="Y129" s="204">
        <f t="shared" si="50"/>
        <v>23.3034</v>
      </c>
      <c r="Z129" s="204">
        <f t="shared" si="51"/>
        <v>1.4500000000000001E-2</v>
      </c>
      <c r="AA129" s="204">
        <f t="shared" si="37"/>
        <v>23.288899999999998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0216-26</v>
      </c>
      <c r="AE129" s="80" t="str">
        <f t="shared" si="39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129" s="77" t="str">
        <f t="shared" si="40"/>
        <v>"C:\Program Files (x86)\AstroGrep\AstroGrep.exe" /e /r /s /spath="%USERPROFILE%\AppData\Local\Temp\OnboardLogs" /stypes="app*4005*20170527*" /stext=" 01:.+((SYSTEM_STATE.+slice.+state.+changed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3"/>
        <v>"%USERPROFILE%\Documents\GitHub\eaglep3\Utilities\RefineRTDCRunTimes.py" --tripid 216-26 --locoid 4005 --swversion DE.1.0.9.0 --startMP 204:233034 --initTime 2017-05-26T18:55:31 --startdatetime 2017-05-26T18:57:36 --delay 1 --endMP 204:145 --enddatetime 2017-05-26T19:37:23 --enforcementcount 0 &gt;&gt;C:\Users\stu\Documents\GitHub\eaglep3-reporting\EC\2017-05-26-refined-times.txt</v>
      </c>
      <c r="AI12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{"issue":{"subject":"","project_id":79,"tracker_id":40,"status_id":1,"priority_id":2,"assigned_to_id":23,"start_date":"2017-05-26","description":"","custom_fields":[{"id":1,"name":"Subdivision","value":"EC"},{"id":4,"name":"Milepost","value":"0.0145"},{"id":17,"name":"Train ID","value":"216-26"},{"id":16,"name":"Locomotive ID","value":"4005"},{"id":130,"name":"Impact","value":""},{"id":150,"name":"Time of Event (Mountain Time)","value":"19:37:23"},{"id":151,"name":"Denver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5"/>
        <v>start /low /b %USERPROFILE%\Documents\GitHub\eaglep3\Utilities\DownloadLogsFromS3.py --loco 4005 --day 2017-05-26</v>
      </c>
      <c r="AN129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794</v>
      </c>
      <c r="B130" s="7">
        <v>4002</v>
      </c>
      <c r="C130" s="21" t="s">
        <v>204</v>
      </c>
      <c r="D130" s="21" t="s">
        <v>200</v>
      </c>
      <c r="E130" s="13">
        <v>42881.758587962962</v>
      </c>
      <c r="F130" s="13">
        <v>42881.760763888888</v>
      </c>
      <c r="G130" s="7">
        <v>1</v>
      </c>
      <c r="H130" s="21" t="s">
        <v>447</v>
      </c>
      <c r="I130" s="13">
        <v>42881.786631944444</v>
      </c>
      <c r="J130" s="7">
        <v>0</v>
      </c>
      <c r="K130" s="92" t="str">
        <f t="shared" si="28"/>
        <v>4001/4002</v>
      </c>
      <c r="L130" s="21" t="str">
        <f>VLOOKUP(A130,'Trips&amp;Operators'!$C$1:$G$99999,5,FALSE)</f>
        <v>ARVIDSON DANIEL</v>
      </c>
      <c r="M130" s="6">
        <f t="shared" si="29"/>
        <v>2.5868055556202307E-2</v>
      </c>
      <c r="N130" s="7">
        <f t="shared" si="52"/>
        <v>37.250000000931323</v>
      </c>
      <c r="O130" s="7"/>
      <c r="P130" s="7"/>
      <c r="Q130" s="22"/>
      <c r="R130" s="173"/>
      <c r="S130" s="176">
        <f t="shared" si="53"/>
        <v>1</v>
      </c>
      <c r="T130" s="202" t="str">
        <f t="shared" si="31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2"/>
        <v>https://d0f6bd738d7f1b3e5a7ca70fe4ff75f0.us-east-1.aws.found.io/app/kibana#/discover/Steve-Slow-Train-Analysis-(2080s-and-2083s)?_g=(refreshInterval:(display:Off,pause:!f,section:0,value:0),time:(from:'2017-05-26T17:12:22-0600',mode:absolute,to:'2017-05-26T19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204" t="str">
        <f t="shared" si="33"/>
        <v>N</v>
      </c>
      <c r="X130" s="204">
        <f t="shared" si="49"/>
        <v>1</v>
      </c>
      <c r="Y130" s="204">
        <f t="shared" si="50"/>
        <v>4.5699999999999998E-2</v>
      </c>
      <c r="Z130" s="204">
        <f t="shared" si="51"/>
        <v>23.334700000000002</v>
      </c>
      <c r="AA130" s="204">
        <f t="shared" si="37"/>
        <v>23.289000000000001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0217-26</v>
      </c>
      <c r="AE130" s="80" t="str">
        <f t="shared" si="39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30" s="77" t="str">
        <f t="shared" si="40"/>
        <v>"C:\Program Files (x86)\AstroGrep\AstroGrep.exe" /e /r /s /spath="%USERPROFILE%\AppData\Local\Temp\OnboardLogs" /stypes="app*4002*20170527*" /stext=" 00:.+((SYSTEM_STATE.+slice.+state.+changed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3"/>
        <v>"%USERPROFILE%\Documents\GitHub\eaglep3\Utilities\RefineRTDCRunTimes.py" --tripid 217-26 --locoid 4002 --swversion DE.1.0.9.0 --startMP 204:457 --initTime 2017-05-26T18:12:22 --startdatetime 2017-05-26T18:15:30 --delay 1 --endMP 204:233347 --enddatetime 2017-05-26T18:52:45 --enforcementcount 0 &gt;&gt;C:\Users\stu\Documents\GitHub\eaglep3-reporting\EC\2017-05-26-refined-times.txt</v>
      </c>
      <c r="AI13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{"issue":{"subject":"","project_id":79,"tracker_id":40,"status_id":1,"priority_id":2,"assigned_to_id":23,"start_date":"2017-05-26","description":"","custom_fields":[{"id":1,"name":"Subdivision","value":"EC"},{"id":4,"name":"Milepost","value":"23.3347"},{"id":17,"name":"Train ID","value":"217-26"},{"id":16,"name":"Locomotive ID","value":"4002"},{"id":130,"name":"Impact","value":""},{"id":150,"name":"Time of Event (Mountain Time)","value":"18:52:45"},{"id":151,"name":"Denver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5"/>
        <v>start /low /b %USERPROFILE%\Documents\GitHub\eaglep3\Utilities\DownloadLogsFromS3.py --loco 4002 --day 2017-05-26</v>
      </c>
      <c r="AN130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625</v>
      </c>
      <c r="B131" s="7">
        <v>4001</v>
      </c>
      <c r="C131" s="21" t="s">
        <v>204</v>
      </c>
      <c r="D131" s="21" t="s">
        <v>901</v>
      </c>
      <c r="E131" s="13">
        <v>42881.797210648147</v>
      </c>
      <c r="F131" s="13">
        <v>42881.800266203703</v>
      </c>
      <c r="G131" s="7">
        <v>1</v>
      </c>
      <c r="H131" s="21" t="s">
        <v>351</v>
      </c>
      <c r="I131" s="13">
        <v>42881.827233796299</v>
      </c>
      <c r="J131" s="7">
        <v>0</v>
      </c>
      <c r="K131" s="92" t="str">
        <f t="shared" si="28"/>
        <v>4001/4002</v>
      </c>
      <c r="L131" s="21" t="str">
        <f>VLOOKUP(A131,'Trips&amp;Operators'!$C$1:$G$99999,5,FALSE)</f>
        <v>ARVIDSON DANIEL</v>
      </c>
      <c r="M131" s="6">
        <f t="shared" si="29"/>
        <v>2.6967592595610768E-2</v>
      </c>
      <c r="N131" s="7">
        <f t="shared" si="52"/>
        <v>38.833333337679505</v>
      </c>
      <c r="O131" s="7"/>
      <c r="P131" s="7"/>
      <c r="Q131" s="22"/>
      <c r="R131" s="173"/>
      <c r="S131" s="176">
        <f t="shared" si="53"/>
        <v>1</v>
      </c>
      <c r="T131" s="202" t="str">
        <f t="shared" si="31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2"/>
        <v>https://d0f6bd738d7f1b3e5a7ca70fe4ff75f0.us-east-1.aws.found.io/app/kibana#/discover/Steve-Slow-Train-Analysis-(2080s-and-2083s)?_g=(refreshInterval:(display:Off,pause:!f,section:0,value:0),time:(from:'2017-05-26T18:07:59-0600',mode:absolute,to:'2017-05-26T20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204" t="str">
        <f t="shared" si="33"/>
        <v>N</v>
      </c>
      <c r="X131" s="204">
        <f t="shared" si="49"/>
        <v>1</v>
      </c>
      <c r="Y131" s="204">
        <f t="shared" si="50"/>
        <v>23.302600000000002</v>
      </c>
      <c r="Z131" s="204">
        <f t="shared" si="51"/>
        <v>1.4999999999999999E-2</v>
      </c>
      <c r="AA131" s="204">
        <f t="shared" si="37"/>
        <v>23.287600000000001</v>
      </c>
      <c r="AB131" s="57" t="str">
        <f>VLOOKUP(A131,Enforcements!$C$7:$K$13,8,0)</f>
        <v>Bulletin (2)</v>
      </c>
      <c r="AC131" s="53" t="str">
        <f>VLOOKUP(A131,Enforcements!$C$7:$E$13,3,0)</f>
        <v>GRADE CROSSING</v>
      </c>
      <c r="AD131" s="54" t="str">
        <f t="shared" si="38"/>
        <v>0218-26</v>
      </c>
      <c r="AE131" s="80" t="str">
        <f t="shared" si="39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31" s="77" t="str">
        <f t="shared" si="40"/>
        <v>"C:\Program Files (x86)\AstroGrep\AstroGrep.exe" /e /r /s /spath="%USERPROFILE%\AppData\Local\Temp\OnboardLogs" /stypes="app*4001*20170527*" /stext=" 01:.+((SYSTEM_STATE.+slice.+state.+changed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3"/>
        <v>"%USERPROFILE%\Documents\GitHub\eaglep3\Utilities\RefineRTDCRunTimes.py" --tripid 218-26 --locoid 4001 --swversion DE.1.0.9.0 --startMP 204:233026 --initTime 2017-05-26T19:07:59 --startdatetime 2017-05-26T19:12:23 --delay 1 --endMP 204:150 --enddatetime 2017-05-26T19:51:13 --enforcementcount 0 &gt;&gt;C:\Users\stu\Documents\GitHub\eaglep3-reporting\EC\2017-05-26-refined-times.txt</v>
      </c>
      <c r="AI13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{"issue":{"subject":"","project_id":79,"tracker_id":40,"status_id":1,"priority_id":2,"assigned_to_id":23,"start_date":"2017-05-26","description":"","custom_fields":[{"id":1,"name":"Subdivision","value":"EC"},{"id":4,"name":"Milepost","value":"0.015"},{"id":17,"name":"Train ID","value":"218-26"},{"id":16,"name":"Locomotive ID","value":"4001"},{"id":130,"name":"Impact","value":""},{"id":150,"name":"Time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5"/>
        <v>start /low /b %USERPROFILE%\Documents\GitHub\eaglep3\Utilities\DownloadLogsFromS3.py --loco 4001 --day 2017-05-26</v>
      </c>
      <c r="AN131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795</v>
      </c>
      <c r="B132" s="7">
        <v>4058</v>
      </c>
      <c r="C132" s="21" t="s">
        <v>204</v>
      </c>
      <c r="D132" s="21" t="s">
        <v>574</v>
      </c>
      <c r="E132" s="13">
        <v>42881.770590277774</v>
      </c>
      <c r="F132" s="13">
        <v>42881.772847222222</v>
      </c>
      <c r="G132" s="7">
        <v>1</v>
      </c>
      <c r="H132" s="21" t="s">
        <v>871</v>
      </c>
      <c r="I132" s="13">
        <v>42881.798402777778</v>
      </c>
      <c r="J132" s="7">
        <v>0</v>
      </c>
      <c r="K132" s="92" t="str">
        <f t="shared" si="28"/>
        <v>4057/4058</v>
      </c>
      <c r="L132" s="21" t="str">
        <f>VLOOKUP(A132,'Trips&amp;Operators'!$C$1:$G$99999,5,FALSE)</f>
        <v>FORTUNATO FRANK</v>
      </c>
      <c r="M132" s="6">
        <f t="shared" si="29"/>
        <v>2.5555555555911269E-2</v>
      </c>
      <c r="N132" s="7">
        <f t="shared" si="52"/>
        <v>36.800000000512227</v>
      </c>
      <c r="O132" s="7"/>
      <c r="P132" s="7"/>
      <c r="Q132" s="22"/>
      <c r="R132" s="173"/>
      <c r="S132" s="176">
        <f t="shared" si="53"/>
        <v>1</v>
      </c>
      <c r="T132" s="202" t="str">
        <f t="shared" si="31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2"/>
        <v>https://d0f6bd738d7f1b3e5a7ca70fe4ff75f0.us-east-1.aws.found.io/app/kibana#/discover/Steve-Slow-Train-Analysis-(2080s-and-2083s)?_g=(refreshInterval:(display:Off,pause:!f,section:0,value:0),time:(from:'2017-05-26T17:29:39-0600',mode:absolute,to:'2017-05-26T20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2" s="204" t="str">
        <f t="shared" si="33"/>
        <v>N</v>
      </c>
      <c r="X132" s="204">
        <f t="shared" si="49"/>
        <v>1</v>
      </c>
      <c r="Y132" s="204">
        <f t="shared" si="50"/>
        <v>4.82E-2</v>
      </c>
      <c r="Z132" s="204">
        <f t="shared" si="51"/>
        <v>23.333400000000001</v>
      </c>
      <c r="AA132" s="204">
        <f t="shared" si="37"/>
        <v>23.2852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0219-26</v>
      </c>
      <c r="AE132" s="80" t="str">
        <f t="shared" si="39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32" s="77" t="str">
        <f t="shared" si="40"/>
        <v>"C:\Program Files (x86)\AstroGrep\AstroGrep.exe" /e /r /s /spath="%USERPROFILE%\AppData\Local\Temp\OnboardLogs" /stypes="app*4058*20170527*" /stext=" 01:.+((SYSTEM_STATE.+slice.+state.+changed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3"/>
        <v>"%USERPROFILE%\Documents\GitHub\eaglep3\Utilities\RefineRTDCRunTimes.py" --tripid 219-26 --locoid 4058 --swversion DE.1.0.9.0 --startMP 204:482 --initTime 2017-05-26T18:29:39 --startdatetime 2017-05-26T18:32:54 --delay 1 --endMP 204:233334 --enddatetime 2017-05-26T19:09:42 --enforcementcount 0 &gt;&gt;C:\Users\stu\Documents\GitHub\eaglep3-reporting\EC\2017-05-26-refined-times.txt</v>
      </c>
      <c r="AI132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{"issue":{"subject":"","project_id":79,"tracker_id":40,"status_id":1,"priority_id":2,"assigned_to_id":23,"start_date":"2017-05-26","description":"","custom_fields":[{"id":1,"name":"Subdivision","value":"EC"},{"id":4,"name":"Milepost","value":"23.3334"},{"id":17,"name":"Train ID","value":"219-26"},{"id":16,"name":"Locomotive ID","value":"4058"},{"id":130,"name":"Impact","value":""},{"id":150,"name":"Time of Event (Mountain Time)","value":"19:09:42"},{"id":151,"name":"Denver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5"/>
        <v>start /low /b %USERPROFILE%\Documents\GitHub\eaglep3\Utilities\DownloadLogsFromS3.py --loco 4058 --day 2017-05-26</v>
      </c>
      <c r="AN132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805</v>
      </c>
      <c r="B133" s="7">
        <v>4057</v>
      </c>
      <c r="C133" s="21" t="s">
        <v>204</v>
      </c>
      <c r="D133" s="21" t="s">
        <v>554</v>
      </c>
      <c r="E133" s="13">
        <v>42881.802372685182</v>
      </c>
      <c r="F133" s="13">
        <v>42881.811574074076</v>
      </c>
      <c r="G133" s="7">
        <v>1</v>
      </c>
      <c r="H133" s="21" t="s">
        <v>465</v>
      </c>
      <c r="I133" s="13">
        <v>42881.839201388888</v>
      </c>
      <c r="J133" s="7">
        <v>0</v>
      </c>
      <c r="K133" s="92" t="str">
        <f t="shared" si="28"/>
        <v>4057/4058</v>
      </c>
      <c r="L133" s="21" t="str">
        <f>VLOOKUP(A133,'Trips&amp;Operators'!$C$1:$G$99999,5,FALSE)</f>
        <v>FORTUNATO FRANK</v>
      </c>
      <c r="M133" s="6">
        <f t="shared" si="29"/>
        <v>2.7627314811979886E-2</v>
      </c>
      <c r="N133" s="7">
        <f t="shared" si="52"/>
        <v>39.783333329251036</v>
      </c>
      <c r="O133" s="7"/>
      <c r="P133" s="7"/>
      <c r="Q133" s="22"/>
      <c r="R133" s="173"/>
      <c r="S133" s="176">
        <f t="shared" si="53"/>
        <v>1</v>
      </c>
      <c r="T133" s="202" t="str">
        <f t="shared" si="31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2"/>
        <v>https://d0f6bd738d7f1b3e5a7ca70fe4ff75f0.us-east-1.aws.found.io/app/kibana#/discover/Steve-Slow-Train-Analysis-(2080s-and-2083s)?_g=(refreshInterval:(display:Off,pause:!f,section:0,value:0),time:(from:'2017-05-26T18:15:25-0600',mode:absolute,to:'2017-05-26T21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3" s="204" t="str">
        <f t="shared" si="33"/>
        <v>N</v>
      </c>
      <c r="X133" s="204">
        <f t="shared" si="49"/>
        <v>1</v>
      </c>
      <c r="Y133" s="204">
        <f t="shared" si="50"/>
        <v>23.3019</v>
      </c>
      <c r="Z133" s="204">
        <f t="shared" si="51"/>
        <v>1.4500000000000001E-2</v>
      </c>
      <c r="AA133" s="204">
        <f t="shared" si="37"/>
        <v>23.287399999999998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0220-26</v>
      </c>
      <c r="AE133" s="80" t="str">
        <f t="shared" si="39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133" s="77" t="str">
        <f t="shared" si="40"/>
        <v>"C:\Program Files (x86)\AstroGrep\AstroGrep.exe" /e /r /s /spath="%USERPROFILE%\AppData\Local\Temp\OnboardLogs" /stypes="app*4057*20170527*" /stext=" 02:.+((SYSTEM_STATE.+slice.+state.+changed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3"/>
        <v>"%USERPROFILE%\Documents\GitHub\eaglep3\Utilities\RefineRTDCRunTimes.py" --tripid 220-26 --locoid 4057 --swversion DE.1.0.9.0 --startMP 204:233019 --initTime 2017-05-26T19:15:25 --startdatetime 2017-05-26T19:28:40 --delay 1 --endMP 204:145 --enddatetime 2017-05-26T20:08:27 --enforcementcount 0 &gt;&gt;C:\Users\stu\Documents\GitHub\eaglep3-reporting\EC\2017-05-26-refined-times.txt</v>
      </c>
      <c r="AI133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{"issue":{"subject":"","project_id":79,"tracker_id":40,"status_id":1,"priority_id":2,"assigned_to_id":23,"start_date":"2017-05-26","description":"","custom_fields":[{"id":1,"name":"Subdivision","value":"EC"},{"id":4,"name":"Milepost","value":"0.0145"},{"id":17,"name":"Train ID","value":"220-26"},{"id":16,"name":"Locomotive ID","value":"4057"},{"id":130,"name":"Impact","value":""},{"id":150,"name":"Time of Event (Mountain Time)","value":"20:08:27"},{"id":151,"name":"Denver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5"/>
        <v>start /low /b %USERPROFILE%\Documents\GitHub\eaglep3\Utilities\DownloadLogsFromS3.py --loco 4057 --day 2017-05-26</v>
      </c>
      <c r="AN133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801</v>
      </c>
      <c r="B134" s="7">
        <v>4016</v>
      </c>
      <c r="C134" s="21" t="s">
        <v>204</v>
      </c>
      <c r="D134" s="21" t="s">
        <v>200</v>
      </c>
      <c r="E134" s="13">
        <v>42881.788900462961</v>
      </c>
      <c r="F134" s="13">
        <v>42881.79184027778</v>
      </c>
      <c r="G134" s="7">
        <v>1</v>
      </c>
      <c r="H134" s="21" t="s">
        <v>466</v>
      </c>
      <c r="I134" s="13">
        <v>42881.816724537035</v>
      </c>
      <c r="J134" s="7">
        <v>0</v>
      </c>
      <c r="K134" s="92" t="str">
        <f t="shared" si="28"/>
        <v>4015/4016</v>
      </c>
      <c r="L134" s="21" t="str">
        <f>VLOOKUP(A134,'Trips&amp;Operators'!$C$1:$G$99999,5,FALSE)</f>
        <v>LOPES KIMBERLY</v>
      </c>
      <c r="M134" s="6">
        <f t="shared" si="29"/>
        <v>2.488425925548654E-2</v>
      </c>
      <c r="N134" s="7">
        <f t="shared" si="52"/>
        <v>35.833333327900618</v>
      </c>
      <c r="O134" s="7"/>
      <c r="P134" s="7"/>
      <c r="Q134" s="22"/>
      <c r="R134" s="173"/>
      <c r="S134" s="176">
        <f t="shared" si="53"/>
        <v>1</v>
      </c>
      <c r="T134" s="202" t="str">
        <f t="shared" si="31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2"/>
        <v>https://d0f6bd738d7f1b3e5a7ca70fe4ff75f0.us-east-1.aws.found.io/app/kibana#/discover/Steve-Slow-Train-Analysis-(2080s-and-2083s)?_g=(refreshInterval:(display:Off,pause:!f,section:0,value:0),time:(from:'2017-05-26T17:56:01-0600',mode:absolute,to:'2017-05-26T20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204" t="str">
        <f t="shared" si="33"/>
        <v>N</v>
      </c>
      <c r="X134" s="204">
        <f t="shared" si="49"/>
        <v>1</v>
      </c>
      <c r="Y134" s="204">
        <f t="shared" si="50"/>
        <v>4.5699999999999998E-2</v>
      </c>
      <c r="Z134" s="204">
        <f t="shared" si="51"/>
        <v>23.329799999999999</v>
      </c>
      <c r="AA134" s="204">
        <f t="shared" si="37"/>
        <v>23.284099999999999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8"/>
        <v>0221-26</v>
      </c>
      <c r="AE134" s="80" t="str">
        <f t="shared" si="39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134" s="77" t="str">
        <f t="shared" si="40"/>
        <v>"C:\Program Files (x86)\AstroGrep\AstroGrep.exe" /e /r /s /spath="%USERPROFILE%\AppData\Local\Temp\OnboardLogs" /stypes="app*4016*20170527*" /stext=" 01:.+((SYSTEM_STATE.+slice.+state.+changed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3"/>
        <v>"%USERPROFILE%\Documents\GitHub\eaglep3\Utilities\RefineRTDCRunTimes.py" --tripid 221-26 --locoid 4016 --swversion DE.1.0.9.0 --startMP 204:457 --initTime 2017-05-26T18:56:01 --startdatetime 2017-05-26T19:00:15 --delay 1 --endMP 204:233298 --enddatetime 2017-05-26T19:36:05 --enforcementcount 0 &gt;&gt;C:\Users\stu\Documents\GitHub\eaglep3-reporting\EC\2017-05-26-refined-times.txt</v>
      </c>
      <c r="AI134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{"issue":{"subject":"","project_id":79,"tracker_id":40,"status_id":1,"priority_id":2,"assigned_to_id":23,"start_date":"2017-05-26","description":"","custom_fields":[{"id":1,"name":"Subdivision","value":"EC"},{"id":4,"name":"Milepost","value":"23.3298"},{"id":17,"name":"Train ID","value":"221-26"},{"id":16,"name":"Locomotive ID","value":"4016"},{"id":130,"name":"Impact","value":""},{"id":150,"name":"Time of Event (Mountain Time)","value":"19:36:05"},{"id":151,"name":"Denver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5"/>
        <v>start /low /b %USERPROFILE%\Documents\GitHub\eaglep3\Utilities\DownloadLogsFromS3.py --loco 4016 --day 2017-05-26</v>
      </c>
      <c r="AN134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808</v>
      </c>
      <c r="B135" s="7">
        <v>4015</v>
      </c>
      <c r="C135" s="21" t="s">
        <v>204</v>
      </c>
      <c r="D135" s="21" t="s">
        <v>560</v>
      </c>
      <c r="E135" s="13">
        <v>42881.823738425926</v>
      </c>
      <c r="F135" s="13">
        <v>42881.831875000003</v>
      </c>
      <c r="G135" s="7">
        <v>1</v>
      </c>
      <c r="H135" s="21" t="s">
        <v>353</v>
      </c>
      <c r="I135" s="13">
        <v>42881.857800925929</v>
      </c>
      <c r="J135" s="7">
        <v>0</v>
      </c>
      <c r="K135" s="92" t="str">
        <f t="shared" si="28"/>
        <v>4015/4016</v>
      </c>
      <c r="L135" s="21" t="str">
        <f>VLOOKUP(A135,'Trips&amp;Operators'!$C$1:$G$99999,5,FALSE)</f>
        <v>LOPES KIMBERLY</v>
      </c>
      <c r="M135" s="6">
        <f t="shared" si="29"/>
        <v>2.5925925925548654E-2</v>
      </c>
      <c r="N135" s="7">
        <f t="shared" si="52"/>
        <v>37.333333332790062</v>
      </c>
      <c r="O135" s="7"/>
      <c r="P135" s="7"/>
      <c r="Q135" s="22"/>
      <c r="R135" s="173"/>
      <c r="S135" s="176">
        <f t="shared" si="53"/>
        <v>1</v>
      </c>
      <c r="T135" s="202" t="str">
        <f t="shared" si="31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2"/>
        <v>https://d0f6bd738d7f1b3e5a7ca70fe4ff75f0.us-east-1.aws.found.io/app/kibana#/discover/Steve-Slow-Train-Analysis-(2080s-and-2083s)?_g=(refreshInterval:(display:Off,pause:!f,section:0,value:0),time:(from:'2017-05-26T18:46:11-0600',mode:absolute,to:'2017-05-26T21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204" t="str">
        <f t="shared" si="33"/>
        <v>N</v>
      </c>
      <c r="X135" s="204">
        <f t="shared" si="49"/>
        <v>1</v>
      </c>
      <c r="Y135" s="204">
        <f t="shared" si="50"/>
        <v>23.3</v>
      </c>
      <c r="Z135" s="204">
        <f t="shared" si="51"/>
        <v>1.43E-2</v>
      </c>
      <c r="AA135" s="204">
        <f t="shared" si="37"/>
        <v>23.285700000000002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0222-26</v>
      </c>
      <c r="AE135" s="80" t="str">
        <f t="shared" si="39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135" s="77" t="str">
        <f t="shared" si="40"/>
        <v>"C:\Program Files (x86)\AstroGrep\AstroGrep.exe" /e /r /s /spath="%USERPROFILE%\AppData\Local\Temp\OnboardLogs" /stypes="app*4015*20170527*" /stext=" 02:.+((SYSTEM_STATE.+slice.+state.+changed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3"/>
        <v>"%USERPROFILE%\Documents\GitHub\eaglep3\Utilities\RefineRTDCRunTimes.py" --tripid 222-26 --locoid 4015 --swversion DE.1.0.9.0 --startMP 204:233000 --initTime 2017-05-26T19:46:11 --startdatetime 2017-05-26T19:57:54 --delay 1 --endMP 204:143 --enddatetime 2017-05-26T20:35:14 --enforcementcount 0 &gt;&gt;C:\Users\stu\Documents\GitHub\eaglep3-reporting\EC\2017-05-26-refined-times.txt</v>
      </c>
      <c r="AI135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ID","value":"222-26"},{"id":16,"name":"Locomotive ID","value":"4015"},{"id":130,"name":"Impact","value":""},{"id":150,"name":"Time of Event (Mountain Time)","value":"20:35:14"},{"id":151,"name":"Denver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5"/>
        <v>start /low /b %USERPROFILE%\Documents\GitHub\eaglep3\Utilities\DownloadLogsFromS3.py --loco 4015 --day 2017-05-26</v>
      </c>
      <c r="AN135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806</v>
      </c>
      <c r="B136" s="7">
        <v>4062</v>
      </c>
      <c r="C136" s="21" t="s">
        <v>204</v>
      </c>
      <c r="D136" s="21" t="s">
        <v>357</v>
      </c>
      <c r="E136" s="13">
        <v>42881.809745370374</v>
      </c>
      <c r="F136" s="13">
        <v>42881.813009259262</v>
      </c>
      <c r="G136" s="7">
        <v>1</v>
      </c>
      <c r="H136" s="21" t="s">
        <v>504</v>
      </c>
      <c r="I136" s="13">
        <v>42881.837372685186</v>
      </c>
      <c r="J136" s="7">
        <v>0</v>
      </c>
      <c r="K136" s="92" t="str">
        <f t="shared" si="28"/>
        <v>4061/4062</v>
      </c>
      <c r="L136" s="21" t="str">
        <f>VLOOKUP(A136,'Trips&amp;Operators'!$C$1:$G$99999,5,FALSE)</f>
        <v>HELVIE ADAM</v>
      </c>
      <c r="M136" s="6">
        <f t="shared" si="29"/>
        <v>2.4363425924093463E-2</v>
      </c>
      <c r="N136" s="7">
        <f t="shared" si="52"/>
        <v>35.083333330694586</v>
      </c>
      <c r="O136" s="7"/>
      <c r="P136" s="7"/>
      <c r="Q136" s="22"/>
      <c r="R136" s="173"/>
      <c r="S136" s="176">
        <f t="shared" si="53"/>
        <v>1</v>
      </c>
      <c r="T136" s="202" t="str">
        <f t="shared" si="31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2"/>
        <v>https://d0f6bd738d7f1b3e5a7ca70fe4ff75f0.us-east-1.aws.found.io/app/kibana#/discover/Steve-Slow-Train-Analysis-(2080s-and-2083s)?_g=(refreshInterval:(display:Off,pause:!f,section:0,value:0),time:(from:'2017-05-26T18:26:02-0600',mode:absolute,to:'2017-05-26T21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6" s="204" t="str">
        <f t="shared" si="33"/>
        <v>N</v>
      </c>
      <c r="X136" s="204">
        <f t="shared" si="49"/>
        <v>1</v>
      </c>
      <c r="Y136" s="204">
        <f t="shared" si="50"/>
        <v>4.6399999999999997E-2</v>
      </c>
      <c r="Z136" s="204">
        <f t="shared" si="51"/>
        <v>23.328800000000001</v>
      </c>
      <c r="AA136" s="204">
        <f t="shared" si="37"/>
        <v>23.282400000000003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0223-26</v>
      </c>
      <c r="AE136" s="80" t="str">
        <f t="shared" si="39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36" s="77" t="str">
        <f t="shared" si="40"/>
        <v>"C:\Program Files (x86)\AstroGrep\AstroGrep.exe" /e /r /s /spath="%USERPROFILE%\AppData\Local\Temp\OnboardLogs" /stypes="app*4062*20170527*" /stext=" 02:.+((SYSTEM_STATE.+slice.+state.+changed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3"/>
        <v>"%USERPROFILE%\Documents\GitHub\eaglep3\Utilities\RefineRTDCRunTimes.py" --tripid 223-26 --locoid 4062 --swversion DE.1.0.9.0 --startMP 204:464 --initTime 2017-05-26T19:26:02 --startdatetime 2017-05-26T19:30:44 --delay 1 --endMP 204:233288 --enddatetime 2017-05-26T20:05:49 --enforcementcount 0 &gt;&gt;C:\Users\stu\Documents\GitHub\eaglep3-reporting\EC\2017-05-26-refined-times.txt</v>
      </c>
      <c r="AI136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{"issue":{"subject":"","project_id":79,"tracker_id":40,"status_id":1,"priority_id":2,"assigned_to_id":23,"start_date":"2017-05-26","description":"","custom_fields":[{"id":1,"name":"Subdivision","value":"EC"},{"id":4,"name":"Milepost","value":"23.3288"},{"id":17,"name":"Train ID","value":"223-26"},{"id":16,"name":"Locomotive ID","value":"4062"},{"id":130,"name":"Impact","value":""},{"id":150,"name":"Time of Event (Mountain Time)","value":"20:05:49"},{"id":151,"name":"Denver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5"/>
        <v>start /low /b %USERPROFILE%\Documents\GitHub\eaglep3\Utilities\DownloadLogsFromS3.py --loco 4062 --day 2017-05-26</v>
      </c>
      <c r="AN136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813</v>
      </c>
      <c r="B137" s="7">
        <v>4061</v>
      </c>
      <c r="C137" s="21" t="s">
        <v>204</v>
      </c>
      <c r="D137" s="21" t="s">
        <v>847</v>
      </c>
      <c r="E137" s="13">
        <v>42881.850115740737</v>
      </c>
      <c r="F137" s="13">
        <v>42881.852256944447</v>
      </c>
      <c r="G137" s="7">
        <v>1</v>
      </c>
      <c r="H137" s="21" t="s">
        <v>351</v>
      </c>
      <c r="I137" s="13">
        <v>42881.878217592595</v>
      </c>
      <c r="J137" s="7">
        <v>0</v>
      </c>
      <c r="K137" s="92" t="str">
        <f t="shared" si="28"/>
        <v>4061/4062</v>
      </c>
      <c r="L137" s="21" t="str">
        <f>VLOOKUP(A137,'Trips&amp;Operators'!$C$1:$G$99999,5,FALSE)</f>
        <v>HELVIE ADAM</v>
      </c>
      <c r="M137" s="6">
        <f t="shared" si="29"/>
        <v>2.5960648148611654E-2</v>
      </c>
      <c r="N137" s="7">
        <f t="shared" si="52"/>
        <v>37.383333334000781</v>
      </c>
      <c r="O137" s="7"/>
      <c r="P137" s="7"/>
      <c r="Q137" s="22"/>
      <c r="R137" s="173"/>
      <c r="S137" s="176">
        <f t="shared" si="53"/>
        <v>1</v>
      </c>
      <c r="T137" s="202" t="str">
        <f t="shared" si="31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2"/>
        <v>https://d0f6bd738d7f1b3e5a7ca70fe4ff75f0.us-east-1.aws.found.io/app/kibana#/discover/Steve-Slow-Train-Analysis-(2080s-and-2083s)?_g=(refreshInterval:(display:Off,pause:!f,section:0,value:0),time:(from:'2017-05-26T19:24:10-0600',mode:absolute,to:'2017-05-26T22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7" s="204" t="str">
        <f t="shared" si="33"/>
        <v>N</v>
      </c>
      <c r="X137" s="204">
        <f t="shared" si="49"/>
        <v>1</v>
      </c>
      <c r="Y137" s="204">
        <f t="shared" si="50"/>
        <v>23.296500000000002</v>
      </c>
      <c r="Z137" s="204">
        <f t="shared" si="51"/>
        <v>1.4999999999999999E-2</v>
      </c>
      <c r="AA137" s="204">
        <f t="shared" si="37"/>
        <v>23.281500000000001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0224-26</v>
      </c>
      <c r="AE137" s="80" t="str">
        <f t="shared" si="39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137" s="77" t="str">
        <f t="shared" si="40"/>
        <v>"C:\Program Files (x86)\AstroGrep\AstroGrep.exe" /e /r /s /spath="%USERPROFILE%\AppData\Local\Temp\OnboardLogs" /stypes="app*4061*20170527*" /stext=" 03:.+((SYSTEM_STATE.+slice.+state.+changed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3"/>
        <v>"%USERPROFILE%\Documents\GitHub\eaglep3\Utilities\RefineRTDCRunTimes.py" --tripid 224-26 --locoid 4061 --swversion DE.1.0.9.0 --startMP 204:232965 --initTime 2017-05-26T20:24:10 --startdatetime 2017-05-26T20:27:15 --delay 1 --endMP 204:150 --enddatetime 2017-05-26T21:04:38 --enforcementcount 0 &gt;&gt;C:\Users\stu\Documents\GitHub\eaglep3-reporting\EC\2017-05-26-refined-times.txt</v>
      </c>
      <c r="AI137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{"issue":{"subject":"","project_id":79,"tracker_id":40,"status_id":1,"priority_id":2,"assigned_to_id":23,"start_date":"2017-05-26","description":"","custom_fields":[{"id":1,"name":"Subdivision","value":"EC"},{"id":4,"name":"Milepost","value":"0.015"},{"id":17,"name":"Train ID","value":"224-26"},{"id":16,"name":"Locomotive ID","value":"4061"},{"id":130,"name":"Impact","value":""},{"id":150,"name":"Time of Event (Mountain Time)","value":"21:04:38"},{"id":151,"name":"Denver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5"/>
        <v>start /low /b %USERPROFILE%\Documents\GitHub\eaglep3\Utilities\DownloadLogsFromS3.py --loco 4061 --day 2017-05-26</v>
      </c>
      <c r="AN137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810</v>
      </c>
      <c r="B138" s="7">
        <v>4002</v>
      </c>
      <c r="C138" s="21" t="s">
        <v>204</v>
      </c>
      <c r="D138" s="21" t="s">
        <v>357</v>
      </c>
      <c r="E138" s="13">
        <v>42881.832013888888</v>
      </c>
      <c r="F138" s="13">
        <v>42881.833611111113</v>
      </c>
      <c r="G138" s="7">
        <v>1</v>
      </c>
      <c r="H138" s="21" t="s">
        <v>902</v>
      </c>
      <c r="I138" s="13">
        <v>42881.858865740738</v>
      </c>
      <c r="J138" s="7">
        <v>0</v>
      </c>
      <c r="K138" s="92" t="str">
        <f t="shared" si="28"/>
        <v>4001/4002</v>
      </c>
      <c r="L138" s="21" t="str">
        <f>VLOOKUP(A138,'Trips&amp;Operators'!$C$1:$G$99999,5,FALSE)</f>
        <v>ARVIDSON DANIEL</v>
      </c>
      <c r="M138" s="6">
        <f t="shared" si="29"/>
        <v>2.5254629625123926E-2</v>
      </c>
      <c r="N138" s="7">
        <f t="shared" si="52"/>
        <v>36.366666660178453</v>
      </c>
      <c r="O138" s="7"/>
      <c r="P138" s="7"/>
      <c r="Q138" s="22"/>
      <c r="R138" s="173"/>
      <c r="S138" s="176">
        <f t="shared" si="53"/>
        <v>1</v>
      </c>
      <c r="T138" s="202" t="str">
        <f t="shared" si="31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2"/>
        <v>https://d0f6bd738d7f1b3e5a7ca70fe4ff75f0.us-east-1.aws.found.io/app/kibana#/discover/Steve-Slow-Train-Analysis-(2080s-and-2083s)?_g=(refreshInterval:(display:Off,pause:!f,section:0,value:0),time:(from:'2017-05-26T18:58:06-0600',mode:absolute,to:'2017-05-26T21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204" t="str">
        <f t="shared" si="33"/>
        <v>N</v>
      </c>
      <c r="X138" s="204">
        <f t="shared" si="49"/>
        <v>1</v>
      </c>
      <c r="Y138" s="204">
        <f t="shared" si="50"/>
        <v>4.6399999999999997E-2</v>
      </c>
      <c r="Z138" s="204">
        <f t="shared" si="51"/>
        <v>23.3325</v>
      </c>
      <c r="AA138" s="204">
        <f t="shared" si="37"/>
        <v>23.286100000000001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8"/>
        <v>0225-26</v>
      </c>
      <c r="AE138" s="80" t="str">
        <f t="shared" si="39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38" s="77" t="str">
        <f t="shared" si="40"/>
        <v>"C:\Program Files (x86)\AstroGrep\AstroGrep.exe" /e /r /s /spath="%USERPROFILE%\AppData\Local\Temp\OnboardLogs" /stypes="app*4002*20170527*" /stext=" 02:.+((SYSTEM_STATE.+slice.+state.+changed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3"/>
        <v>"%USERPROFILE%\Documents\GitHub\eaglep3\Utilities\RefineRTDCRunTimes.py" --tripid 225-26 --locoid 4002 --swversion DE.1.0.9.0 --startMP 204:464 --initTime 2017-05-26T19:58:06 --startdatetime 2017-05-26T20:00:24 --delay 1 --endMP 204:233325 --enddatetime 2017-05-26T20:36:46 --enforcementcount 0 &gt;&gt;C:\Users\stu\Documents\GitHub\eaglep3-reporting\EC\2017-05-26-refined-times.txt</v>
      </c>
      <c r="AI138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{"issue":{"subject":"","project_id":79,"tracker_id":40,"status_id":1,"priority_id":2,"assigned_to_id":23,"start_date":"2017-05-26","description":"","custom_fields":[{"id":1,"name":"Subdivision","value":"EC"},{"id":4,"name":"Milepost","value":"23.3325"},{"id":17,"name":"Train ID","value":"225-26"},{"id":16,"name":"Locomotive ID","value":"4002"},{"id":130,"name":"Impact","value":""},{"id":150,"name":"Time of Event (Mountain Time)","value":"20:36:46"},{"id":151,"name":"Denver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5"/>
        <v>start /low /b %USERPROFILE%\Documents\GitHub\eaglep3\Utilities\DownloadLogsFromS3.py --loco 4002 --day 2017-05-26</v>
      </c>
      <c r="AN138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815</v>
      </c>
      <c r="B139" s="7">
        <v>4001</v>
      </c>
      <c r="C139" s="21" t="s">
        <v>204</v>
      </c>
      <c r="D139" s="21" t="s">
        <v>872</v>
      </c>
      <c r="E139" s="13">
        <v>42881.869097222225</v>
      </c>
      <c r="F139" s="13">
        <v>42881.873136574075</v>
      </c>
      <c r="G139" s="7">
        <v>1</v>
      </c>
      <c r="H139" s="21" t="s">
        <v>568</v>
      </c>
      <c r="I139" s="13">
        <v>42881.900277777779</v>
      </c>
      <c r="J139" s="7">
        <v>0</v>
      </c>
      <c r="K139" s="92" t="str">
        <f t="shared" si="28"/>
        <v>4001/4002</v>
      </c>
      <c r="L139" s="21" t="str">
        <f>VLOOKUP(A139,'Trips&amp;Operators'!$C$1:$G$99999,5,FALSE)</f>
        <v>ARVIDSON DANIEL</v>
      </c>
      <c r="M139" s="6">
        <f t="shared" si="29"/>
        <v>2.7141203703649808E-2</v>
      </c>
      <c r="N139" s="7">
        <f t="shared" si="52"/>
        <v>39.083333333255723</v>
      </c>
      <c r="O139" s="7"/>
      <c r="P139" s="7"/>
      <c r="Q139" s="22"/>
      <c r="R139" s="173"/>
      <c r="S139" s="176">
        <f t="shared" si="53"/>
        <v>1</v>
      </c>
      <c r="T139" s="202" t="str">
        <f t="shared" si="31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2"/>
        <v>https://d0f6bd738d7f1b3e5a7ca70fe4ff75f0.us-east-1.aws.found.io/app/kibana#/discover/Steve-Slow-Train-Analysis-(2080s-and-2083s)?_g=(refreshInterval:(display:Off,pause:!f,section:0,value:0),time:(from:'2017-05-26T19:51:30-0600',mode:absolute,to:'2017-05-26T22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204" t="str">
        <f t="shared" si="33"/>
        <v>N</v>
      </c>
      <c r="X139" s="204">
        <f t="shared" si="49"/>
        <v>1</v>
      </c>
      <c r="Y139" s="204">
        <f t="shared" si="50"/>
        <v>23.301300000000001</v>
      </c>
      <c r="Z139" s="204">
        <f t="shared" si="51"/>
        <v>1.8499999999999999E-2</v>
      </c>
      <c r="AA139" s="204">
        <f t="shared" si="37"/>
        <v>23.282800000000002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8"/>
        <v>0226-26</v>
      </c>
      <c r="AE139" s="80" t="str">
        <f t="shared" si="39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39" s="77" t="str">
        <f t="shared" si="40"/>
        <v>"C:\Program Files (x86)\AstroGrep\AstroGrep.exe" /e /r /s /spath="%USERPROFILE%\AppData\Local\Temp\OnboardLogs" /stypes="app*4001*20170527*" /stext=" 03:.+((SYSTEM_STATE.+slice.+state.+changed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3"/>
        <v>"%USERPROFILE%\Documents\GitHub\eaglep3\Utilities\RefineRTDCRunTimes.py" --tripid 226-26 --locoid 4001 --swversion DE.1.0.9.0 --startMP 204:233013 --initTime 2017-05-26T20:51:30 --startdatetime 2017-05-26T20:57:19 --delay 1 --endMP 204:185 --enddatetime 2017-05-26T21:36:24 --enforcementcount 0 &gt;&gt;C:\Users\stu\Documents\GitHub\eaglep3-reporting\EC\2017-05-26-refined-times.txt</v>
      </c>
      <c r="AI139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{"issue":{"subject":"","project_id":79,"tracker_id":40,"status_id":1,"priority_id":2,"assigned_to_id":23,"start_date":"2017-05-26","description":"","custom_fields":[{"id":1,"name":"Subdivision","value":"EC"},{"id":4,"name":"Milepost","value":"0.0185"},{"id":17,"name":"Train ID","value":"226-26"},{"id":16,"name":"Locomotive ID","value":"4001"},{"id":130,"name":"Impact","value":""},{"id":150,"name":"Time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5"/>
        <v>start /low /b %USERPROFILE%\Documents\GitHub\eaglep3\Utilities\DownloadLogsFromS3.py --loco 4001 --day 2017-05-26</v>
      </c>
      <c r="AN139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812</v>
      </c>
      <c r="B140" s="7">
        <v>4058</v>
      </c>
      <c r="C140" s="21" t="s">
        <v>204</v>
      </c>
      <c r="D140" s="21" t="s">
        <v>400</v>
      </c>
      <c r="E140" s="13">
        <v>42881.844930555555</v>
      </c>
      <c r="F140" s="13">
        <v>42881.854317129626</v>
      </c>
      <c r="G140" s="7">
        <v>1</v>
      </c>
      <c r="H140" s="21" t="s">
        <v>903</v>
      </c>
      <c r="I140" s="13">
        <v>42881.879965277774</v>
      </c>
      <c r="J140" s="7">
        <v>0</v>
      </c>
      <c r="K140" s="92" t="str">
        <f t="shared" si="28"/>
        <v>4057/4058</v>
      </c>
      <c r="L140" s="21" t="str">
        <f>VLOOKUP(A140,'Trips&amp;Operators'!$C$1:$G$99999,5,FALSE)</f>
        <v>FORTUNATO FRANK</v>
      </c>
      <c r="M140" s="6">
        <f t="shared" si="29"/>
        <v>2.5648148148320615E-2</v>
      </c>
      <c r="N140" s="7">
        <f t="shared" si="52"/>
        <v>36.933333333581686</v>
      </c>
      <c r="O140" s="7"/>
      <c r="P140" s="7"/>
      <c r="Q140" s="22"/>
      <c r="R140" s="173"/>
      <c r="S140" s="176">
        <f t="shared" si="53"/>
        <v>1</v>
      </c>
      <c r="T140" s="202" t="str">
        <f t="shared" si="31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2"/>
        <v>https://d0f6bd738d7f1b3e5a7ca70fe4ff75f0.us-east-1.aws.found.io/app/kibana#/discover/Steve-Slow-Train-Analysis-(2080s-and-2083s)?_g=(refreshInterval:(display:Off,pause:!f,section:0,value:0),time:(from:'2017-05-26T19:16:42-0600',mode:absolute,to:'2017-05-26T22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0" s="204" t="str">
        <f t="shared" si="33"/>
        <v>N</v>
      </c>
      <c r="X140" s="204">
        <f t="shared" si="49"/>
        <v>1</v>
      </c>
      <c r="Y140" s="204">
        <f t="shared" si="50"/>
        <v>4.6199999999999998E-2</v>
      </c>
      <c r="Z140" s="204">
        <f t="shared" si="51"/>
        <v>23.327999999999999</v>
      </c>
      <c r="AA140" s="204">
        <f t="shared" si="37"/>
        <v>23.2818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0227-26</v>
      </c>
      <c r="AE140" s="80" t="str">
        <f t="shared" si="39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40" s="77" t="str">
        <f t="shared" si="40"/>
        <v>"C:\Program Files (x86)\AstroGrep\AstroGrep.exe" /e /r /s /spath="%USERPROFILE%\AppData\Local\Temp\OnboardLogs" /stypes="app*4058*20170527*" /stext=" 03:.+((SYSTEM_STATE.+slice.+state.+changed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3"/>
        <v>"%USERPROFILE%\Documents\GitHub\eaglep3\Utilities\RefineRTDCRunTimes.py" --tripid 227-26 --locoid 4058 --swversion DE.1.0.9.0 --startMP 204:462 --initTime 2017-05-26T20:16:42 --startdatetime 2017-05-26T20:30:13 --delay 1 --endMP 204:233280 --enddatetime 2017-05-26T21:07:09 --enforcementcount 0 &gt;&gt;C:\Users\stu\Documents\GitHub\eaglep3-reporting\EC\2017-05-26-refined-times.txt</v>
      </c>
      <c r="AI140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{"issue":{"subject":"","project_id":79,"tracker_id":40,"status_id":1,"priority_id":2,"assigned_to_id":23,"start_date":"2017-05-26","description":"","custom_fields":[{"id":1,"name":"Subdivision","value":"EC"},{"id":4,"name":"Milepost","value":"23.328"},{"id":17,"name":"Train ID","value":"227-26"},{"id":16,"name":"Locomotive ID","value":"4058"},{"id":130,"name":"Impact","value":""},{"id":150,"name":"Time of Event (Mountain Time)","value":"21:07:09"},{"id":151,"name":"Denver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5"/>
        <v>start /low /b %USERPROFILE%\Documents\GitHub\eaglep3\Utilities\DownloadLogsFromS3.py --loco 4058 --day 2017-05-26</v>
      </c>
      <c r="AN140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817</v>
      </c>
      <c r="B141" s="7">
        <v>4057</v>
      </c>
      <c r="C141" s="21" t="s">
        <v>204</v>
      </c>
      <c r="D141" s="21" t="s">
        <v>874</v>
      </c>
      <c r="E141" s="13">
        <v>42881.881180555552</v>
      </c>
      <c r="F141" s="13">
        <v>42881.893900462965</v>
      </c>
      <c r="G141" s="7">
        <v>1</v>
      </c>
      <c r="H141" s="21" t="s">
        <v>351</v>
      </c>
      <c r="I141" s="13">
        <v>42881.921412037038</v>
      </c>
      <c r="J141" s="7">
        <v>0</v>
      </c>
      <c r="K141" s="92" t="str">
        <f t="shared" ref="K141:K204" si="54">IF(ISEVEN(B141),(B141-1)&amp;"/"&amp;B141,B141&amp;"/"&amp;(B141+1))</f>
        <v>4057/4058</v>
      </c>
      <c r="L141" s="21" t="str">
        <f>VLOOKUP(A141,'Trips&amp;Operators'!$C$1:$G$99999,5,FALSE)</f>
        <v>FORTUNATO FRANK</v>
      </c>
      <c r="M141" s="6">
        <f t="shared" ref="M141:M204" si="55">I141-F141</f>
        <v>2.7511574073287193E-2</v>
      </c>
      <c r="N141" s="7">
        <f t="shared" si="52"/>
        <v>39.616666665533558</v>
      </c>
      <c r="O141" s="7"/>
      <c r="P141" s="7"/>
      <c r="Q141" s="22"/>
      <c r="R141" s="173"/>
      <c r="S141" s="176">
        <f t="shared" si="53"/>
        <v>1</v>
      </c>
      <c r="T141" s="202" t="str">
        <f t="shared" ref="T141:T204" si="56"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-26T20:08:54-0600',mode:absolute,to:'2017-05-26T23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1" s="204" t="str">
        <f t="shared" ref="W141:W204" si="58">IF(AA141&lt;IF(AG141="EC",23,5.65),"Y","N")</f>
        <v>N</v>
      </c>
      <c r="X141" s="204">
        <f t="shared" ref="X141:X156" si="59">VALUE(LEFT(AD141,4))-VALUE(LEFT(AD140,4))</f>
        <v>1</v>
      </c>
      <c r="Y141" s="204">
        <f t="shared" ref="Y141:Y158" si="60">RIGHT(D141,LEN(D141)-4)/10000</f>
        <v>23.297799999999999</v>
      </c>
      <c r="Z141" s="204">
        <f t="shared" ref="Z141:Z158" si="61">RIGHT(H141,LEN(H141)-4)/10000</f>
        <v>1.4999999999999999E-2</v>
      </c>
      <c r="AA141" s="204">
        <f t="shared" ref="AA141:AA204" si="62">ABS(Z141-Y141)</f>
        <v>23.282799999999998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3">IF(LEN(A141)=6,"0"&amp;A141,A141)</f>
        <v>0228-26</v>
      </c>
      <c r="AE141" s="80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141" s="77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/stypes="app*4057*20170527*"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1" t="str">
        <f t="shared" si="43"/>
        <v>"%USERPROFILE%\Documents\GitHub\eaglep3\Utilities\RefineRTDCRunTimes.py" --tripid 228-26 --locoid 4057 --swversion DE.1.0.9.0 --startMP 204:232978 --initTime 2017-05-26T21:08:54 --startdatetime 2017-05-26T21:27:13 --delay 1 --endMP 204:150 --enddatetime 2017-05-26T22:06:50 --enforcementcount 0 &gt;&gt;C:\Users\stu\Documents\GitHub\eaglep3-reporting\EC\2017-05-26-refined-times.txt</v>
      </c>
      <c r="AI141" s="99" t="str">
        <f t="shared" si="44"/>
        <v>echo {"issue":{"subject":"","project_id":79,"tracker_id":40,"status_id":1,"priority_id":2,"assigned_to_id":23,"start_date":"2017-05-26","description":"","custom_fields":[{"id":1,"name":"Subdivision","value":"EC"},{"id":4,"name":"Milepost","value":"0.015"},{"id":17,"name":"Train ID","value":"228-26"},{"id":16,"name":"Locomotive ID","value":"4057"},{"id":130,"name":"Impact","value":""},{"id":150,"name":"Time of Event (Mountain Time)","value":"22:06:50"},{"id":151,"name":"Denver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5"/>
        <v>start /low /b %USERPROFILE%\Documents\GitHub\eaglep3\Utilities\DownloadLogsFromS3.py --loco 4057 --day 2017-05-26</v>
      </c>
      <c r="AN141" s="154" t="str">
        <f t="shared" si="46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2" t="s">
        <v>816</v>
      </c>
      <c r="B142" s="7">
        <v>4016</v>
      </c>
      <c r="C142" s="21" t="s">
        <v>204</v>
      </c>
      <c r="D142" s="21" t="s">
        <v>470</v>
      </c>
      <c r="E142" s="13">
        <v>42881.871354166666</v>
      </c>
      <c r="F142" s="13">
        <v>42881.875162037039</v>
      </c>
      <c r="G142" s="7">
        <v>1</v>
      </c>
      <c r="H142" s="21" t="s">
        <v>565</v>
      </c>
      <c r="I142" s="13">
        <v>42881.901238425926</v>
      </c>
      <c r="J142" s="7">
        <v>0</v>
      </c>
      <c r="K142" s="92" t="str">
        <f t="shared" si="54"/>
        <v>4015/4016</v>
      </c>
      <c r="L142" s="21" t="str">
        <f>VLOOKUP(A142,'Trips&amp;Operators'!$C$1:$G$99999,5,FALSE)</f>
        <v>LOPES KIMBERLY</v>
      </c>
      <c r="M142" s="6">
        <f t="shared" si="55"/>
        <v>2.6076388887304347E-2</v>
      </c>
      <c r="N142" s="7">
        <f t="shared" si="52"/>
        <v>37.54999999771826</v>
      </c>
      <c r="O142" s="7"/>
      <c r="P142" s="7"/>
      <c r="Q142" s="22"/>
      <c r="R142" s="173"/>
      <c r="S142" s="176">
        <f t="shared" si="53"/>
        <v>1</v>
      </c>
      <c r="T142" s="202" t="str">
        <f t="shared" si="56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7"/>
        <v>https://d0f6bd738d7f1b3e5a7ca70fe4ff75f0.us-east-1.aws.found.io/app/kibana#/discover/Steve-Slow-Train-Analysis-(2080s-and-2083s)?_g=(refreshInterval:(display:Off,pause:!f,section:0,value:0),time:(from:'2017-05-26T19:54:45-0600',mode:absolute,to:'2017-05-26T22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204" t="str">
        <f t="shared" si="58"/>
        <v>N</v>
      </c>
      <c r="X142" s="204">
        <f t="shared" si="59"/>
        <v>1</v>
      </c>
      <c r="Y142" s="204">
        <f t="shared" si="60"/>
        <v>4.4200000000000003E-2</v>
      </c>
      <c r="Z142" s="204">
        <f t="shared" si="61"/>
        <v>23.331099999999999</v>
      </c>
      <c r="AA142" s="204">
        <f t="shared" si="62"/>
        <v>23.286899999999999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3"/>
        <v>0229-26</v>
      </c>
      <c r="AE142" s="80" t="str">
        <f t="shared" si="64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142" s="77" t="str">
        <f t="shared" si="65"/>
        <v>"C:\Program Files (x86)\AstroGrep\AstroGrep.exe" /e /r /s /spath="%USERPROFILE%\AppData\Local\Temp\OnboardLogs" /stypes="app*4016*20170527*" /stext=" 03:.+((SYSTEM_STATE.+slice.+state.+changed )|(ment ac)|(multiple cpu faults)|(system.+state.+changed )|(\[timeout)|(PRM\|1\|D)|(kpr)|(kdp)|(train st.+moving)|(\|lc)|(penalty))"</v>
      </c>
      <c r="AG142" s="1" t="str">
        <f t="shared" si="66"/>
        <v>EC</v>
      </c>
      <c r="AH142" s="81" t="str">
        <f t="shared" ref="AH142:AH205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229-26 --locoid 4016 --swversion DE.1.0.9.0 --startMP 204:442 --initTime 2017-05-26T20:54:45 --startdatetime 2017-05-26T21:00:14 --delay 1 --endMP 204:233311 --enddatetime 2017-05-26T21:37:47 --enforcementcount 0 &gt;&gt;C:\Users\stu\Documents\GitHub\eaglep3-reporting\EC\2017-05-26-refined-times.txt</v>
      </c>
      <c r="AI142" s="99" t="str">
        <f t="shared" ref="AI142:AI205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{"issue":{"subject":"","project_id":79,"tracker_id":40,"status_id":1,"priority_id":2,"assigned_to_id":23,"start_date":"2017-05-26","description":"","custom_fields":[{"id":1,"name":"Subdivision","value":"EC"},{"id":4,"name":"Milepost","value":"23.3311"},{"id":17,"name":"Train ID","value":"229-26"},{"id":16,"name":"Locomotive ID","value":"4016"},{"id":130,"name":"Impact","value":""},{"id":150,"name":"Time of Event (Mountain Time)","value":"21:37:47"},{"id":151,"name":"Denver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7"/>
      <c r="AL142" s="47"/>
      <c r="AM142" s="145" t="str">
        <f t="shared" ref="AM142:AM205" si="69">"start /low /b "&amp;dls3logs&amp;" --loco "&amp;B142&amp;" --day "&amp;TEXT(F142,"YYYY-MM-DD")</f>
        <v>start /low /b %USERPROFILE%\Documents\GitHub\eaglep3\Utilities\DownloadLogsFromS3.py --loco 4016 --day 2017-05-26</v>
      </c>
      <c r="AN142" s="154" t="str">
        <f t="shared" ref="AN142:AN205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2" t="s">
        <v>821</v>
      </c>
      <c r="B143" s="7">
        <v>4015</v>
      </c>
      <c r="C143" s="21" t="s">
        <v>204</v>
      </c>
      <c r="D143" s="21" t="s">
        <v>553</v>
      </c>
      <c r="E143" s="13">
        <v>42881.908148148148</v>
      </c>
      <c r="F143" s="13">
        <v>42881.914930555555</v>
      </c>
      <c r="G143" s="7">
        <v>1</v>
      </c>
      <c r="H143" s="21" t="s">
        <v>570</v>
      </c>
      <c r="I143" s="13">
        <v>42881.94153935185</v>
      </c>
      <c r="J143" s="7">
        <v>0</v>
      </c>
      <c r="K143" s="92" t="str">
        <f t="shared" si="54"/>
        <v>4015/4016</v>
      </c>
      <c r="L143" s="21" t="str">
        <f>VLOOKUP(A143,'Trips&amp;Operators'!$C$1:$G$99999,5,FALSE)</f>
        <v>LOPES KIMBERLY</v>
      </c>
      <c r="M143" s="6">
        <f t="shared" si="55"/>
        <v>2.6608796295477077E-2</v>
      </c>
      <c r="N143" s="7">
        <f t="shared" si="52"/>
        <v>38.316666665486991</v>
      </c>
      <c r="O143" s="7"/>
      <c r="P143" s="7"/>
      <c r="Q143" s="22"/>
      <c r="R143" s="173"/>
      <c r="S143" s="176">
        <f t="shared" si="53"/>
        <v>1</v>
      </c>
      <c r="T143" s="202" t="str">
        <f t="shared" si="56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7"/>
        <v>https://d0f6bd738d7f1b3e5a7ca70fe4ff75f0.us-east-1.aws.found.io/app/kibana#/discover/Steve-Slow-Train-Analysis-(2080s-and-2083s)?_g=(refreshInterval:(display:Off,pause:!f,section:0,value:0),time:(from:'2017-05-26T20:47:44-0600',mode:absolute,to:'2017-05-26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204" t="str">
        <f t="shared" si="58"/>
        <v>N</v>
      </c>
      <c r="X143" s="204">
        <f t="shared" si="59"/>
        <v>1</v>
      </c>
      <c r="Y143" s="204">
        <f t="shared" si="60"/>
        <v>23.2988</v>
      </c>
      <c r="Z143" s="204">
        <f t="shared" si="61"/>
        <v>1.34E-2</v>
      </c>
      <c r="AA143" s="204">
        <f t="shared" si="62"/>
        <v>23.285399999999999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3"/>
        <v>0230-26</v>
      </c>
      <c r="AE143" s="80" t="str">
        <f t="shared" si="64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143" s="77" t="str">
        <f t="shared" si="65"/>
        <v>"C:\Program Files (x86)\AstroGrep\AstroGrep.exe" /e /r /s /spath="%USERPROFILE%\AppData\Local\Temp\OnboardLogs" /stypes="app*4015*20170527*" /stext=" 04:.+((SYSTEM_STATE.+slice.+state.+changed )|(ment ac)|(multiple cpu faults)|(system.+state.+changed )|(\[timeout)|(PRM\|1\|D)|(kpr)|(kdp)|(train st.+moving)|(\|lc)|(penalty))"</v>
      </c>
      <c r="AG143" s="1" t="str">
        <f t="shared" si="66"/>
        <v>EC</v>
      </c>
      <c r="AH143" s="81" t="str">
        <f t="shared" si="67"/>
        <v>"%USERPROFILE%\Documents\GitHub\eaglep3\Utilities\RefineRTDCRunTimes.py" --tripid 230-26 --locoid 4015 --swversion DE.1.0.9.0 --startMP 204:232988 --initTime 2017-05-26T21:47:44 --startdatetime 2017-05-26T21:57:30 --delay 1 --endMP 204:134 --enddatetime 2017-05-26T22:35:49 --enforcementcount 0 &gt;&gt;C:\Users\stu\Documents\GitHub\eaglep3-reporting\EC\2017-05-26-refined-times.txt</v>
      </c>
      <c r="AI143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{"issue":{"subject":"","project_id":79,"tracker_id":40,"status_id":1,"priority_id":2,"assigned_to_id":23,"start_date":"2017-05-26","description":"","custom_fields":[{"id":1,"name":"Subdivision","value":"EC"},{"id":4,"name":"Milepost","value":"0.0134"},{"id":17,"name":"Train ID","value":"230-26"},{"id":16,"name":"Locomotive ID","value":"4015"},{"id":130,"name":"Impact","value":""},{"id":150,"name":"Time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9"/>
        <v>start /low /b %USERPROFILE%\Documents\GitHub\eaglep3\Utilities\DownloadLogsFromS3.py --loco 4015 --day 2017-05-26</v>
      </c>
      <c r="AN143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819</v>
      </c>
      <c r="B144" s="7">
        <v>4062</v>
      </c>
      <c r="C144" s="21" t="s">
        <v>204</v>
      </c>
      <c r="D144" s="21" t="s">
        <v>904</v>
      </c>
      <c r="E144" s="13">
        <v>42881.890972222223</v>
      </c>
      <c r="F144" s="13">
        <v>42881.895995370367</v>
      </c>
      <c r="G144" s="7">
        <v>1</v>
      </c>
      <c r="H144" s="21" t="s">
        <v>905</v>
      </c>
      <c r="I144" s="13">
        <v>42881.9218287037</v>
      </c>
      <c r="J144" s="7">
        <v>0</v>
      </c>
      <c r="K144" s="92" t="str">
        <f t="shared" si="54"/>
        <v>4061/4062</v>
      </c>
      <c r="L144" s="21" t="str">
        <f>VLOOKUP(A144,'Trips&amp;Operators'!$C$1:$G$99999,5,FALSE)</f>
        <v>HELVIE ADAM</v>
      </c>
      <c r="M144" s="6">
        <f t="shared" si="55"/>
        <v>2.5833333333139308E-2</v>
      </c>
      <c r="N144" s="7">
        <f t="shared" si="52"/>
        <v>37.199999999720603</v>
      </c>
      <c r="O144" s="7"/>
      <c r="P144" s="7"/>
      <c r="Q144" s="22"/>
      <c r="R144" s="173"/>
      <c r="S144" s="176">
        <f t="shared" si="53"/>
        <v>1</v>
      </c>
      <c r="T144" s="202" t="str">
        <f t="shared" si="56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7"/>
        <v>https://d0f6bd738d7f1b3e5a7ca70fe4ff75f0.us-east-1.aws.found.io/app/kibana#/discover/Steve-Slow-Train-Analysis-(2080s-and-2083s)?_g=(refreshInterval:(display:Off,pause:!f,section:0,value:0),time:(from:'2017-05-26T20:23:00-0600',mode:absolute,to:'2017-05-26T23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4" s="204" t="str">
        <f t="shared" si="58"/>
        <v>N</v>
      </c>
      <c r="X144" s="204">
        <f t="shared" si="59"/>
        <v>1</v>
      </c>
      <c r="Y144" s="204">
        <f t="shared" si="60"/>
        <v>4.7800000000000002E-2</v>
      </c>
      <c r="Z144" s="204">
        <f t="shared" si="61"/>
        <v>23.327200000000001</v>
      </c>
      <c r="AA144" s="204">
        <f t="shared" si="62"/>
        <v>23.279400000000003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3"/>
        <v>0231-26</v>
      </c>
      <c r="AE144" s="80" t="str">
        <f t="shared" si="64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44" s="77" t="str">
        <f t="shared" si="65"/>
        <v>"C:\Program Files (x86)\AstroGrep\AstroGrep.exe" /e /r /s /spath="%USERPROFILE%\AppData\Local\Temp\OnboardLogs" /stypes="app*4062*20170527*" /stext=" 04:.+((SYSTEM_STATE.+slice.+state.+changed )|(ment ac)|(multiple cpu faults)|(system.+state.+changed )|(\[timeout)|(PRM\|1\|D)|(kpr)|(kdp)|(train st.+moving)|(\|lc)|(penalty))"</v>
      </c>
      <c r="AG144" s="1" t="str">
        <f t="shared" si="66"/>
        <v>EC</v>
      </c>
      <c r="AH144" s="81" t="str">
        <f t="shared" si="67"/>
        <v>"%USERPROFILE%\Documents\GitHub\eaglep3\Utilities\RefineRTDCRunTimes.py" --tripid 231-26 --locoid 4062 --swversion DE.1.0.9.0 --startMP 204:478 --initTime 2017-05-26T21:23:00 --startdatetime 2017-05-26T21:30:14 --delay 1 --endMP 204:233272 --enddatetime 2017-05-26T22:07:26 --enforcementcount 0 &gt;&gt;C:\Users\stu\Documents\GitHub\eaglep3-reporting\EC\2017-05-26-refined-times.txt</v>
      </c>
      <c r="AI144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{"issue":{"subject":"","project_id":79,"tracker_id":40,"status_id":1,"priority_id":2,"assigned_to_id":23,"start_date":"2017-05-26","description":"","custom_fields":[{"id":1,"name":"Subdivision","value":"EC"},{"id":4,"name":"Milepost","value":"23.3272"},{"id":17,"name":"Train ID","value":"231-26"},{"id":16,"name":"Locomotive ID","value":"4062"},{"id":130,"name":"Impact","value":""},{"id":150,"name":"Time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9"/>
        <v>start /low /b %USERPROFILE%\Documents\GitHub\eaglep3\Utilities\DownloadLogsFromS3.py --loco 4062 --day 2017-05-26</v>
      </c>
      <c r="AN144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825</v>
      </c>
      <c r="B145" s="7">
        <v>4061</v>
      </c>
      <c r="C145" s="21" t="s">
        <v>204</v>
      </c>
      <c r="D145" s="21" t="s">
        <v>906</v>
      </c>
      <c r="E145" s="13">
        <v>42881.934212962966</v>
      </c>
      <c r="F145" s="13">
        <v>42881.935706018521</v>
      </c>
      <c r="G145" s="7">
        <v>1</v>
      </c>
      <c r="H145" s="21" t="s">
        <v>557</v>
      </c>
      <c r="I145" s="13">
        <v>42881.962152777778</v>
      </c>
      <c r="J145" s="7">
        <v>0</v>
      </c>
      <c r="K145" s="92" t="str">
        <f t="shared" si="54"/>
        <v>4061/4062</v>
      </c>
      <c r="L145" s="21" t="str">
        <f>VLOOKUP(A145,'Trips&amp;Operators'!$C$1:$G$99999,5,FALSE)</f>
        <v>HELVIE ADAM</v>
      </c>
      <c r="M145" s="6">
        <f t="shared" si="55"/>
        <v>2.6446759256941732E-2</v>
      </c>
      <c r="N145" s="7">
        <f t="shared" si="52"/>
        <v>38.083333329996094</v>
      </c>
      <c r="O145" s="7"/>
      <c r="P145" s="7"/>
      <c r="Q145" s="22"/>
      <c r="R145" s="173"/>
      <c r="S145" s="176">
        <f t="shared" si="53"/>
        <v>1</v>
      </c>
      <c r="T145" s="202" t="str">
        <f t="shared" si="56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7"/>
        <v>https://d0f6bd738d7f1b3e5a7ca70fe4ff75f0.us-east-1.aws.found.io/app/kibana#/discover/Steve-Slow-Train-Analysis-(2080s-and-2083s)?_g=(refreshInterval:(display:Off,pause:!f,section:0,value:0),time:(from:'2017-05-26T21:25:16-0600',mode:absolute,to:'2017-05-27T00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5" s="204" t="str">
        <f t="shared" si="58"/>
        <v>N</v>
      </c>
      <c r="X145" s="204">
        <f t="shared" si="59"/>
        <v>1</v>
      </c>
      <c r="Y145" s="204">
        <f t="shared" si="60"/>
        <v>23.296399999999998</v>
      </c>
      <c r="Z145" s="204">
        <f t="shared" si="61"/>
        <v>1.5599999999999999E-2</v>
      </c>
      <c r="AA145" s="204">
        <f t="shared" si="62"/>
        <v>23.280799999999999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3"/>
        <v>0232-26</v>
      </c>
      <c r="AE145" s="80" t="str">
        <f t="shared" si="64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145" s="77" t="str">
        <f t="shared" si="65"/>
        <v>"C:\Program Files (x86)\AstroGrep\AstroGrep.exe" /e /r /s /spath="%USERPROFILE%\AppData\Local\Temp\OnboardLogs" /stypes="app*4061*20170527*" /stext=" 05:.+((SYSTEM_STATE.+slice.+state.+changed )|(ment ac)|(multiple cpu faults)|(system.+state.+changed )|(\[timeout)|(PRM\|1\|D)|(kpr)|(kdp)|(train st.+moving)|(\|lc)|(penalty))"</v>
      </c>
      <c r="AG145" s="1" t="str">
        <f t="shared" si="66"/>
        <v>EC</v>
      </c>
      <c r="AH145" s="81" t="str">
        <f t="shared" si="67"/>
        <v>"%USERPROFILE%\Documents\GitHub\eaglep3\Utilities\RefineRTDCRunTimes.py" --tripid 232-26 --locoid 4061 --swversion DE.1.0.9.0 --startMP 204:232964 --initTime 2017-05-26T22:25:16 --startdatetime 2017-05-26T22:27:25 --delay 1 --endMP 204:156 --enddatetime 2017-05-26T23:05:30 --enforcementcount 0 &gt;&gt;C:\Users\stu\Documents\GitHub\eaglep3-reporting\EC\2017-05-26-refined-times.txt</v>
      </c>
      <c r="AI145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{"issue":{"subject":"","project_id":79,"tracker_id":40,"status_id":1,"priority_id":2,"assigned_to_id":23,"start_date":"2017-05-26","description":"","custom_fields":[{"id":1,"name":"Subdivision","value":"EC"},{"id":4,"name":"Milepost","value":"0.0156"},{"id":17,"name":"Train ID","value":"232-26"},{"id":16,"name":"Locomotive ID","value":"4061"},{"id":130,"name":"Impact","value":""},{"id":150,"name":"Time of Event (Mountain Time)","value":"23:05:30"},{"id":151,"name":"Denver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9"/>
        <v>start /low /b %USERPROFILE%\Documents\GitHub\eaglep3\Utilities\DownloadLogsFromS3.py --loco 4061 --day 2017-05-26</v>
      </c>
      <c r="AN145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822</v>
      </c>
      <c r="B146" s="7">
        <v>4002</v>
      </c>
      <c r="C146" s="21" t="s">
        <v>204</v>
      </c>
      <c r="D146" s="21" t="s">
        <v>355</v>
      </c>
      <c r="E146" s="13">
        <v>42881.913541666669</v>
      </c>
      <c r="F146" s="13">
        <v>42881.916875000003</v>
      </c>
      <c r="G146" s="7">
        <v>1</v>
      </c>
      <c r="H146" s="21" t="s">
        <v>907</v>
      </c>
      <c r="I146" s="13">
        <v>42881.943611111114</v>
      </c>
      <c r="J146" s="7">
        <v>0</v>
      </c>
      <c r="K146" s="92" t="str">
        <f t="shared" si="54"/>
        <v>4001/4002</v>
      </c>
      <c r="L146" s="21" t="str">
        <f>VLOOKUP(A146,'Trips&amp;Operators'!$C$1:$G$99999,5,FALSE)</f>
        <v>ARVIDSON DANIEL</v>
      </c>
      <c r="M146" s="6">
        <f t="shared" si="55"/>
        <v>2.6736111110949423E-2</v>
      </c>
      <c r="N146" s="7">
        <f t="shared" si="52"/>
        <v>38.499999999767169</v>
      </c>
      <c r="O146" s="7"/>
      <c r="P146" s="7"/>
      <c r="Q146" s="22"/>
      <c r="R146" s="173"/>
      <c r="S146" s="176">
        <f t="shared" si="53"/>
        <v>1</v>
      </c>
      <c r="T146" s="202" t="str">
        <f t="shared" si="56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7"/>
        <v>https://d0f6bd738d7f1b3e5a7ca70fe4ff75f0.us-east-1.aws.found.io/app/kibana#/discover/Steve-Slow-Train-Analysis-(2080s-and-2083s)?_g=(refreshInterval:(display:Off,pause:!f,section:0,value:0),time:(from:'2017-05-26T20:55:30-0600',mode:absolute,to:'2017-05-26T23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204" t="str">
        <f t="shared" si="58"/>
        <v>N</v>
      </c>
      <c r="X146" s="204">
        <f t="shared" si="59"/>
        <v>1</v>
      </c>
      <c r="Y146" s="204">
        <f t="shared" si="60"/>
        <v>4.5100000000000001E-2</v>
      </c>
      <c r="Z146" s="204">
        <f t="shared" si="61"/>
        <v>23.336200000000002</v>
      </c>
      <c r="AA146" s="204">
        <f t="shared" si="62"/>
        <v>23.2911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3"/>
        <v>0233-26</v>
      </c>
      <c r="AE146" s="80" t="str">
        <f t="shared" si="64"/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AF146" s="77" t="str">
        <f t="shared" si="65"/>
        <v>"C:\Program Files (x86)\AstroGrep\AstroGrep.exe" /e /r /s /spath="%USERPROFILE%\AppData\Local\Temp\OnboardLogs" /stypes="app*4002*20170527*" /stext=" 04:.+((SYSTEM_STATE.+slice.+state.+changed )|(ment ac)|(multiple cpu faults)|(system.+state.+changed )|(\[timeout)|(PRM\|1\|D)|(kpr)|(kdp)|(train st.+moving)|(\|lc)|(penalty))"</v>
      </c>
      <c r="AG146" s="1" t="str">
        <f t="shared" si="66"/>
        <v>EC</v>
      </c>
      <c r="AH146" s="81" t="str">
        <f t="shared" si="67"/>
        <v>"%USERPROFILE%\Documents\GitHub\eaglep3\Utilities\RefineRTDCRunTimes.py" --tripid 233-26 --locoid 4002 --swversion DE.1.0.9.0 --startMP 204:451 --initTime 2017-05-26T21:55:30 --startdatetime 2017-05-26T22:00:18 --delay 1 --endMP 204:233362 --enddatetime 2017-05-26T22:38:48 --enforcementcount 0 &gt;&gt;C:\Users\stu\Documents\GitHub\eaglep3-reporting\EC\2017-05-26-refined-times.txt</v>
      </c>
      <c r="AI146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{"issue":{"subject":"","project_id":79,"tracker_id":40,"status_id":1,"priority_id":2,"assigned_to_id":23,"start_date":"2017-05-26","description":"","custom_fields":[{"id":1,"name":"Subdivision","value":"EC"},{"id":4,"name":"Milepost","value":"23.3362"},{"id":17,"name":"Train ID","value":"233-26"},{"id":16,"name":"Locomotive ID","value":"4002"},{"id":130,"name":"Impact","value":""},{"id":150,"name":"Time of Event (Mountain Time)","value":"22:38:48"},{"id":151,"name":"Denver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9"/>
        <v>start /low /b %USERPROFILE%\Documents\GitHub\eaglep3\Utilities\DownloadLogsFromS3.py --loco 4002 --day 2017-05-26</v>
      </c>
      <c r="AN146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628</v>
      </c>
      <c r="B147" s="7">
        <v>4001</v>
      </c>
      <c r="C147" s="21" t="s">
        <v>204</v>
      </c>
      <c r="D147" s="21" t="s">
        <v>908</v>
      </c>
      <c r="E147" s="13">
        <v>42881.954513888886</v>
      </c>
      <c r="F147" s="13">
        <v>42881.957083333335</v>
      </c>
      <c r="G147" s="7">
        <v>1</v>
      </c>
      <c r="H147" s="21" t="s">
        <v>446</v>
      </c>
      <c r="I147" s="13">
        <v>42881.985439814816</v>
      </c>
      <c r="J147" s="7">
        <v>0</v>
      </c>
      <c r="K147" s="92" t="str">
        <f t="shared" si="54"/>
        <v>4001/4002</v>
      </c>
      <c r="L147" s="21" t="str">
        <f>VLOOKUP(A147,'Trips&amp;Operators'!$C$1:$G$99999,5,FALSE)</f>
        <v>ARVIDSON DANIEL</v>
      </c>
      <c r="M147" s="6">
        <f t="shared" si="55"/>
        <v>2.8356481481750961E-2</v>
      </c>
      <c r="N147" s="7">
        <f t="shared" si="52"/>
        <v>40.833333333721384</v>
      </c>
      <c r="O147" s="7"/>
      <c r="P147" s="7"/>
      <c r="Q147" s="22"/>
      <c r="R147" s="173"/>
      <c r="S147" s="176">
        <f t="shared" si="53"/>
        <v>1</v>
      </c>
      <c r="T147" s="202" t="str">
        <f t="shared" si="56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7"/>
        <v>https://d0f6bd738d7f1b3e5a7ca70fe4ff75f0.us-east-1.aws.found.io/app/kibana#/discover/Steve-Slow-Train-Analysis-(2080s-and-2083s)?_g=(refreshInterval:(display:Off,pause:!f,section:0,value:0),time:(from:'2017-05-26T21:54:30-0600',mode:absolute,to:'2017-05-27T00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204" t="str">
        <f t="shared" si="58"/>
        <v>N</v>
      </c>
      <c r="X147" s="204">
        <f t="shared" si="59"/>
        <v>1</v>
      </c>
      <c r="Y147" s="204">
        <f t="shared" si="60"/>
        <v>23.304400000000001</v>
      </c>
      <c r="Z147" s="204">
        <f t="shared" si="61"/>
        <v>1.61E-2</v>
      </c>
      <c r="AA147" s="204">
        <f t="shared" si="62"/>
        <v>23.2883</v>
      </c>
      <c r="AB147" s="57" t="str">
        <f>VLOOKUP(A147,Enforcements!$C$7:$K$13,8,0)</f>
        <v>Bulletin (2)</v>
      </c>
      <c r="AC147" s="53" t="str">
        <f>VLOOKUP(A147,Enforcements!$C$7:$E$13,3,0)</f>
        <v>GRADE CROSSING</v>
      </c>
      <c r="AD147" s="54" t="str">
        <f t="shared" si="63"/>
        <v>0234-26</v>
      </c>
      <c r="AE147" s="80" t="str">
        <f t="shared" si="64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147" s="77" t="str">
        <f t="shared" si="65"/>
        <v>"C:\Program Files (x86)\AstroGrep\AstroGrep.exe" /e /r /s /spath="%USERPROFILE%\AppData\Local\Temp\OnboardLogs" /stypes="app*4001*20170527*" /stext=" 05:.+((SYSTEM_STATE.+slice.+state.+changed )|(ment ac)|(multiple cpu faults)|(system.+state.+changed )|(\[timeout)|(PRM\|1\|D)|(kpr)|(kdp)|(train st.+moving)|(\|lc)|(penalty))"</v>
      </c>
      <c r="AG147" s="1" t="str">
        <f t="shared" si="66"/>
        <v>EC</v>
      </c>
      <c r="AH147" s="81" t="str">
        <f t="shared" si="67"/>
        <v>"%USERPROFILE%\Documents\GitHub\eaglep3\Utilities\RefineRTDCRunTimes.py" --tripid 234-26 --locoid 4001 --swversion DE.1.0.9.0 --startMP 204:233044 --initTime 2017-05-26T22:54:30 --startdatetime 2017-05-26T22:58:12 --delay 1 --endMP 204:161 --enddatetime 2017-05-26T23:39:02 --enforcementcount 0 &gt;&gt;C:\Users\stu\Documents\GitHub\eaglep3-reporting\EC\2017-05-26-refined-times.txt</v>
      </c>
      <c r="AI147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{"issue":{"subject":"","project_id":79,"tracker_id":40,"status_id":1,"priority_id":2,"assigned_to_id":23,"start_date":"2017-05-26","description":"","custom_fields":[{"id":1,"name":"Subdivision","value":"EC"},{"id":4,"name":"Milepost","value":"0.0161"},{"id":17,"name":"Train ID","value":"234-26"},{"id":16,"name":"Locomotive ID","value":"4001"},{"id":130,"name":"Impact","value":""},{"id":150,"name":"Time of Event (Mountain Time)","value":"23:39:02"},{"id":151,"name":"Denver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9"/>
        <v>start /low /b %USERPROFILE%\Documents\GitHub\eaglep3\Utilities\DownloadLogsFromS3.py --loco 4001 --day 2017-05-26</v>
      </c>
      <c r="AN147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823</v>
      </c>
      <c r="B148" s="7">
        <v>4058</v>
      </c>
      <c r="C148" s="21" t="s">
        <v>204</v>
      </c>
      <c r="D148" s="21" t="s">
        <v>200</v>
      </c>
      <c r="E148" s="13">
        <v>42881.922789351855</v>
      </c>
      <c r="F148" s="13">
        <v>42881.937824074077</v>
      </c>
      <c r="G148" s="7">
        <v>9</v>
      </c>
      <c r="H148" s="21" t="s">
        <v>499</v>
      </c>
      <c r="I148" s="13">
        <v>42881.964270833334</v>
      </c>
      <c r="J148" s="7">
        <v>0</v>
      </c>
      <c r="K148" s="92" t="str">
        <f t="shared" si="54"/>
        <v>4057/4058</v>
      </c>
      <c r="L148" s="21" t="str">
        <f>VLOOKUP(A148,'Trips&amp;Operators'!$C$1:$G$99999,5,FALSE)</f>
        <v>FORTUNATO FRANK</v>
      </c>
      <c r="M148" s="6">
        <f t="shared" si="55"/>
        <v>2.6446759256941732E-2</v>
      </c>
      <c r="N148" s="7">
        <f t="shared" si="52"/>
        <v>38.083333329996094</v>
      </c>
      <c r="O148" s="7"/>
      <c r="P148" s="7"/>
      <c r="Q148" s="22"/>
      <c r="R148" s="173"/>
      <c r="S148" s="176">
        <f t="shared" si="53"/>
        <v>1</v>
      </c>
      <c r="T148" s="202" t="str">
        <f t="shared" si="56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7"/>
        <v>https://d0f6bd738d7f1b3e5a7ca70fe4ff75f0.us-east-1.aws.found.io/app/kibana#/discover/Steve-Slow-Train-Analysis-(2080s-and-2083s)?_g=(refreshInterval:(display:Off,pause:!f,section:0,value:0),time:(from:'2017-05-26T21:08:49-0600',mode:absolute,to:'2017-05-27T00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8" s="204" t="str">
        <f t="shared" si="58"/>
        <v>N</v>
      </c>
      <c r="X148" s="204">
        <f t="shared" si="59"/>
        <v>1</v>
      </c>
      <c r="Y148" s="204">
        <f t="shared" si="60"/>
        <v>4.5699999999999998E-2</v>
      </c>
      <c r="Z148" s="204">
        <f t="shared" si="61"/>
        <v>23.332899999999999</v>
      </c>
      <c r="AA148" s="204">
        <f t="shared" si="62"/>
        <v>23.287199999999999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3"/>
        <v>0235-26</v>
      </c>
      <c r="AE148" s="80" t="str">
        <f t="shared" si="64"/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AF148" s="77" t="str">
        <f t="shared" si="65"/>
        <v>"C:\Program Files (x86)\AstroGrep\AstroGrep.exe" /e /r /s /spath="%USERPROFILE%\AppData\Local\Temp\OnboardLogs" /stypes="app*4058*20170527*" /stext=" 05:.+((SYSTEM_STATE.+slice.+state.+changed )|(ment ac)|(multiple cpu faults)|(system.+state.+changed )|(\[timeout)|(PRM\|1\|D)|(kpr)|(kdp)|(train st.+moving)|(\|lc)|(penalty))"</v>
      </c>
      <c r="AG148" s="1" t="str">
        <f t="shared" si="66"/>
        <v>EC</v>
      </c>
      <c r="AH148" s="81" t="str">
        <f t="shared" si="67"/>
        <v>"%USERPROFILE%\Documents\GitHub\eaglep3\Utilities\RefineRTDCRunTimes.py" --tripid 235-26 --locoid 4058 --swversion DE.1.0.9.0 --startMP 204:457 --initTime 2017-05-26T22:08:49 --startdatetime 2017-05-26T22:30:28 --delay 9 --endMP 204:233329 --enddatetime 2017-05-26T23:08:33 --enforcementcount 0 &gt;&gt;C:\Users\stu\Documents\GitHub\eaglep3-reporting\EC\2017-05-26-refined-times.txt</v>
      </c>
      <c r="AI148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{"issue":{"subject":"","project_id":79,"tracker_id":40,"status_id":1,"priority_id":2,"assigned_to_id":23,"start_date":"2017-05-26","description":"","custom_fields":[{"id":1,"name":"Subdivision","value":"EC"},{"id":4,"name":"Milepost","value":"23.3329"},{"id":17,"name":"Train ID","value":"235-26"},{"id":16,"name":"Locomotive ID","value":"4058"},{"id":130,"name":"Impact","value":""},{"id":150,"name":"Time of Event (Mountain Time)","value":"23:08:33"},{"id":151,"name":"Denver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9"/>
        <v>start /low /b %USERPROFILE%\Documents\GitHub\eaglep3\Utilities\DownloadLogsFromS3.py --loco 4058 --day 2017-05-26</v>
      </c>
      <c r="AN148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829</v>
      </c>
      <c r="B149" s="7">
        <v>4057</v>
      </c>
      <c r="C149" s="21" t="s">
        <v>204</v>
      </c>
      <c r="D149" s="21" t="s">
        <v>852</v>
      </c>
      <c r="E149" s="13">
        <v>42881.967037037037</v>
      </c>
      <c r="F149" s="13">
        <v>42881.977326388886</v>
      </c>
      <c r="G149" s="7">
        <v>0</v>
      </c>
      <c r="H149" s="21" t="s">
        <v>364</v>
      </c>
      <c r="I149" s="13">
        <v>42882.004745370374</v>
      </c>
      <c r="J149" s="7">
        <v>0</v>
      </c>
      <c r="K149" s="92" t="str">
        <f t="shared" si="54"/>
        <v>4057/4058</v>
      </c>
      <c r="L149" s="21" t="str">
        <f>VLOOKUP(A149,'Trips&amp;Operators'!$C$1:$G$99999,5,FALSE)</f>
        <v>FORTUNATO FRANK</v>
      </c>
      <c r="M149" s="6">
        <f t="shared" si="55"/>
        <v>2.7418981488153804E-2</v>
      </c>
      <c r="N149" s="7">
        <f t="shared" si="52"/>
        <v>39.483333342941478</v>
      </c>
      <c r="O149" s="7"/>
      <c r="P149" s="7"/>
      <c r="Q149" s="22"/>
      <c r="R149" s="173"/>
      <c r="S149" s="176">
        <f t="shared" si="53"/>
        <v>1</v>
      </c>
      <c r="T149" s="202" t="str">
        <f t="shared" si="56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7"/>
        <v>https://d0f6bd738d7f1b3e5a7ca70fe4ff75f0.us-east-1.aws.found.io/app/kibana#/discover/Steve-Slow-Train-Analysis-(2080s-and-2083s)?_g=(refreshInterval:(display:Off,pause:!f,section:0,value:0),time:(from:'2017-05-26T22:12:32-0600',mode:absolute,to:'2017-05-27T01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9" s="204" t="str">
        <f t="shared" si="58"/>
        <v>N</v>
      </c>
      <c r="X149" s="204">
        <f t="shared" si="59"/>
        <v>1</v>
      </c>
      <c r="Y149" s="204">
        <f t="shared" si="60"/>
        <v>23.298500000000001</v>
      </c>
      <c r="Z149" s="204">
        <f t="shared" si="61"/>
        <v>1.47E-2</v>
      </c>
      <c r="AA149" s="204">
        <f t="shared" si="62"/>
        <v>23.283799999999999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3"/>
        <v>0236-26</v>
      </c>
      <c r="AE149" s="80" t="str">
        <f t="shared" si="64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149" s="77" t="str">
        <f t="shared" si="65"/>
        <v>"C:\Program Files (x86)\AstroGrep\AstroGrep.exe" /e /r /s /spath="%USERPROFILE%\AppData\Local\Temp\OnboardLogs" /stypes="app*4057*20170527*" /stext=" 06:.+((SYSTEM_STATE.+slice.+state.+changed )|(ment ac)|(multiple cpu faults)|(system.+state.+changed )|(\[timeout)|(PRM\|1\|D)|(kpr)|(kdp)|(train st.+moving)|(\|lc)|(penalty))"</v>
      </c>
      <c r="AG149" s="1" t="str">
        <f t="shared" si="66"/>
        <v>EC</v>
      </c>
      <c r="AH149" s="81" t="str">
        <f t="shared" si="67"/>
        <v>"%USERPROFILE%\Documents\GitHub\eaglep3\Utilities\RefineRTDCRunTimes.py" --tripid 236-26 --locoid 4057 --swversion DE.1.0.9.0 --startMP 204:232985 --initTime 2017-05-26T23:12:32 --startdatetime 2017-05-26T23:27:21 --delay 0 --endMP 204:147 --enddatetime 2017-05-27T00:06:50 --enforcementcount 0 &gt;&gt;C:\Users\stu\Documents\GitHub\eaglep3-reporting\EC\2017-05-26-refined-times.txt</v>
      </c>
      <c r="AI149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ID","value":"236-26"},{"id":16,"name":"Locomotive ID","value":"4057"},{"id":130,"name":"Impact","value":""},{"id":150,"name":"Time of Event (Mountain Time)","value":"00:06:50"},{"id":151,"name":"Denver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9"/>
        <v>start /low /b %USERPROFILE%\Documents\GitHub\eaglep3\Utilities\DownloadLogsFromS3.py --loco 4057 --day 2017-05-26</v>
      </c>
      <c r="AN149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827</v>
      </c>
      <c r="B150" s="7">
        <v>4016</v>
      </c>
      <c r="C150" s="21" t="s">
        <v>204</v>
      </c>
      <c r="D150" s="21" t="s">
        <v>345</v>
      </c>
      <c r="E150" s="13">
        <v>42881.956516203703</v>
      </c>
      <c r="F150" s="13">
        <v>42881.958518518521</v>
      </c>
      <c r="G150" s="7">
        <v>1</v>
      </c>
      <c r="H150" s="21" t="s">
        <v>855</v>
      </c>
      <c r="I150" s="13">
        <v>42881.983738425923</v>
      </c>
      <c r="J150" s="7">
        <v>0</v>
      </c>
      <c r="K150" s="92" t="str">
        <f t="shared" si="54"/>
        <v>4015/4016</v>
      </c>
      <c r="L150" s="21" t="str">
        <f>VLOOKUP(A150,'Trips&amp;Operators'!$C$1:$G$99999,5,FALSE)</f>
        <v>LOPES KIMBERLY</v>
      </c>
      <c r="M150" s="6">
        <f t="shared" si="55"/>
        <v>2.5219907402060926E-2</v>
      </c>
      <c r="N150" s="7">
        <f t="shared" si="52"/>
        <v>36.316666658967733</v>
      </c>
      <c r="O150" s="7"/>
      <c r="P150" s="7"/>
      <c r="Q150" s="22"/>
      <c r="R150" s="173"/>
      <c r="S150" s="176">
        <f t="shared" si="53"/>
        <v>1</v>
      </c>
      <c r="T150" s="202" t="str">
        <f t="shared" si="56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7"/>
        <v>https://d0f6bd738d7f1b3e5a7ca70fe4ff75f0.us-east-1.aws.found.io/app/kibana#/discover/Steve-Slow-Train-Analysis-(2080s-and-2083s)?_g=(refreshInterval:(display:Off,pause:!f,section:0,value:0),time:(from:'2017-05-26T21:57:23-0600',mode:absolute,to:'2017-05-27T00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204" t="str">
        <f t="shared" si="58"/>
        <v>N</v>
      </c>
      <c r="X150" s="204">
        <f t="shared" si="59"/>
        <v>1</v>
      </c>
      <c r="Y150" s="204">
        <f t="shared" si="60"/>
        <v>4.4900000000000002E-2</v>
      </c>
      <c r="Z150" s="204">
        <f t="shared" si="61"/>
        <v>23.331199999999999</v>
      </c>
      <c r="AA150" s="204">
        <f t="shared" si="62"/>
        <v>23.286300000000001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3"/>
        <v>0237-26</v>
      </c>
      <c r="AE150" s="80" t="str">
        <f t="shared" si="64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150" s="77" t="str">
        <f t="shared" si="65"/>
        <v>"C:\Program Files (x86)\AstroGrep\AstroGrep.exe" /e /r /s /spath="%USERPROFILE%\AppData\Local\Temp\OnboardLogs" /stypes="app*4016*20170527*" /stext=" 05:.+((SYSTEM_STATE.+slice.+state.+changed )|(ment ac)|(multiple cpu faults)|(system.+state.+changed )|(\[timeout)|(PRM\|1\|D)|(kpr)|(kdp)|(train st.+moving)|(\|lc)|(penalty))"</v>
      </c>
      <c r="AG150" s="1" t="str">
        <f t="shared" si="66"/>
        <v>EC</v>
      </c>
      <c r="AH150" s="81" t="str">
        <f t="shared" si="67"/>
        <v>"%USERPROFILE%\Documents\GitHub\eaglep3\Utilities\RefineRTDCRunTimes.py" --tripid 237-26 --locoid 4016 --swversion DE.1.0.9.0 --startMP 204:449 --initTime 2017-05-26T22:57:23 --startdatetime 2017-05-26T23:00:16 --delay 1 --endMP 204:233312 --enddatetime 2017-05-26T23:36:35 --enforcementcount 0 &gt;&gt;C:\Users\stu\Documents\GitHub\eaglep3-reporting\EC\2017-05-26-refined-times.txt</v>
      </c>
      <c r="AI150" s="99" t="str">
        <f t="shared" si="68"/>
        <v>echo {"issue":{"subject":"","project_id":79,"tracker_id":40,"status_id":1,"priority_id":2,"assigned_to_id":23,"start_date":"2017-05-26","description":"","custom_fields":[{"id":1,"name":"Subdivision","value":"EC"},{"id":4,"name":"Milepost","value":"23.3312"},{"id":17,"name":"Train ID","value":"237-26"},{"id":16,"name":"Locomotive ID","value":"4016"},{"id":130,"name":"Impact","value":""},{"id":150,"name":"Time of Event (Mountain Time)","value":"23:36:35"},{"id":151,"name":"Denver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9"/>
        <v>start /low /b %USERPROFILE%\Documents\GitHub\eaglep3\Utilities\DownloadLogsFromS3.py --loco 4016 --day 2017-05-26</v>
      </c>
      <c r="AN150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832</v>
      </c>
      <c r="B151" s="7">
        <v>4015</v>
      </c>
      <c r="C151" s="21" t="s">
        <v>204</v>
      </c>
      <c r="D151" s="21" t="s">
        <v>909</v>
      </c>
      <c r="E151" s="13">
        <v>42881.993715277778</v>
      </c>
      <c r="F151" s="13">
        <v>42881.998124999998</v>
      </c>
      <c r="G151" s="7">
        <v>0</v>
      </c>
      <c r="H151" s="21" t="s">
        <v>351</v>
      </c>
      <c r="I151" s="13">
        <v>42882.025069444448</v>
      </c>
      <c r="J151" s="7">
        <v>0</v>
      </c>
      <c r="K151" s="92" t="str">
        <f t="shared" si="54"/>
        <v>4015/4016</v>
      </c>
      <c r="L151" s="21" t="str">
        <f>VLOOKUP(A151,'Trips&amp;Operators'!$C$1:$G$99999,5,FALSE)</f>
        <v>LOPES KIMBERLY</v>
      </c>
      <c r="M151" s="6">
        <f t="shared" si="55"/>
        <v>2.694444444932742E-2</v>
      </c>
      <c r="N151" s="7">
        <f t="shared" si="52"/>
        <v>38.800000007031485</v>
      </c>
      <c r="O151" s="7"/>
      <c r="P151" s="7"/>
      <c r="Q151" s="22"/>
      <c r="R151" s="173"/>
      <c r="S151" s="176">
        <f t="shared" si="53"/>
        <v>1</v>
      </c>
      <c r="T151" s="202" t="str">
        <f t="shared" si="56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7"/>
        <v>https://d0f6bd738d7f1b3e5a7ca70fe4ff75f0.us-east-1.aws.found.io/app/kibana#/discover/Steve-Slow-Train-Analysis-(2080s-and-2083s)?_g=(refreshInterval:(display:Off,pause:!f,section:0,value:0),time:(from:'2017-05-26T22:50:57-0600',mode:absolute,to:'2017-05-27T01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204" t="str">
        <f t="shared" si="58"/>
        <v>N</v>
      </c>
      <c r="X151" s="204">
        <f t="shared" si="59"/>
        <v>1</v>
      </c>
      <c r="Y151" s="204">
        <f t="shared" si="60"/>
        <v>23.299099999999999</v>
      </c>
      <c r="Z151" s="204">
        <f t="shared" si="61"/>
        <v>1.4999999999999999E-2</v>
      </c>
      <c r="AA151" s="204">
        <f t="shared" si="62"/>
        <v>23.284099999999999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3"/>
        <v>0238-26</v>
      </c>
      <c r="AE151" s="80" t="str">
        <f t="shared" si="64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151" s="77" t="str">
        <f t="shared" si="65"/>
        <v>"C:\Program Files (x86)\AstroGrep\AstroGrep.exe" /e /r /s /spath="%USERPROFILE%\AppData\Local\Temp\OnboardLogs" /stypes="app*4015*20170527*" /stext=" 06:.+((SYSTEM_STATE.+slice.+state.+changed )|(ment ac)|(multiple cpu faults)|(system.+state.+changed )|(\[timeout)|(PRM\|1\|D)|(kpr)|(kdp)|(train st.+moving)|(\|lc)|(penalty))"</v>
      </c>
      <c r="AG151" s="1" t="str">
        <f t="shared" si="66"/>
        <v>EC</v>
      </c>
      <c r="AH151" s="81" t="str">
        <f t="shared" si="67"/>
        <v>"%USERPROFILE%\Documents\GitHub\eaglep3\Utilities\RefineRTDCRunTimes.py" --tripid 238-26 --locoid 4015 --swversion DE.1.0.9.0 --startMP 204:232991 --initTime 2017-05-26T23:50:57 --startdatetime 2017-05-26T23:57:18 --delay 0 --endMP 204:150 --enddatetime 2017-05-27T00:36:06 --enforcementcount 0 &gt;&gt;C:\Users\stu\Documents\GitHub\eaglep3-reporting\EC\2017-05-26-refined-times.txt</v>
      </c>
      <c r="AI151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ID","value":"238-26"},{"id":16,"name":"Locomotive ID","value":"4015"},{"id":130,"name":"Impact","value":""},{"id":150,"name":"Time of Event (Mountain Time)","value":"00:36:06"},{"id":151,"name":"Denver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69"/>
        <v>start /low /b %USERPROFILE%\Documents\GitHub\eaglep3\Utilities\DownloadLogsFromS3.py --loco 4015 --day 2017-05-26</v>
      </c>
      <c r="AN151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830</v>
      </c>
      <c r="B152" s="7">
        <v>4062</v>
      </c>
      <c r="C152" s="21" t="s">
        <v>204</v>
      </c>
      <c r="D152" s="21" t="s">
        <v>345</v>
      </c>
      <c r="E152" s="13">
        <v>42881.976956018516</v>
      </c>
      <c r="F152" s="13">
        <v>42881.97934027778</v>
      </c>
      <c r="G152" s="7">
        <v>0</v>
      </c>
      <c r="H152" s="21" t="s">
        <v>894</v>
      </c>
      <c r="I152" s="13">
        <v>42882.003668981481</v>
      </c>
      <c r="J152" s="7">
        <v>0</v>
      </c>
      <c r="K152" s="92" t="str">
        <f t="shared" si="54"/>
        <v>4061/4062</v>
      </c>
      <c r="L152" s="21" t="str">
        <f>VLOOKUP(A152,'Trips&amp;Operators'!$C$1:$G$99999,5,FALSE)</f>
        <v>HELVIE ADAM</v>
      </c>
      <c r="M152" s="6">
        <f t="shared" si="55"/>
        <v>2.4328703701030463E-2</v>
      </c>
      <c r="N152" s="7">
        <f t="shared" si="52"/>
        <v>35.033333329483867</v>
      </c>
      <c r="O152" s="7"/>
      <c r="P152" s="7"/>
      <c r="Q152" s="22"/>
      <c r="R152" s="173"/>
      <c r="S152" s="176">
        <f t="shared" si="53"/>
        <v>1</v>
      </c>
      <c r="T152" s="202" t="str">
        <f t="shared" si="56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7"/>
        <v>https://d0f6bd738d7f1b3e5a7ca70fe4ff75f0.us-east-1.aws.found.io/app/kibana#/discover/Steve-Slow-Train-Analysis-(2080s-and-2083s)?_g=(refreshInterval:(display:Off,pause:!f,section:0,value:0),time:(from:'2017-05-26T22:26:49-0600',mode:absolute,to:'2017-05-27T01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2" s="204" t="str">
        <f t="shared" si="58"/>
        <v>N</v>
      </c>
      <c r="X152" s="204">
        <f t="shared" si="59"/>
        <v>1</v>
      </c>
      <c r="Y152" s="204">
        <f t="shared" si="60"/>
        <v>4.4900000000000002E-2</v>
      </c>
      <c r="Z152" s="204">
        <f t="shared" si="61"/>
        <v>23.328900000000001</v>
      </c>
      <c r="AA152" s="204">
        <f t="shared" si="62"/>
        <v>23.284000000000002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3"/>
        <v>0239-26</v>
      </c>
      <c r="AE152" s="80" t="str">
        <f t="shared" si="64"/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AF152" s="77" t="str">
        <f t="shared" si="65"/>
        <v>"C:\Program Files (x86)\AstroGrep\AstroGrep.exe" /e /r /s /spath="%USERPROFILE%\AppData\Local\Temp\OnboardLogs" /stypes="app*4062*20170527*" /stext=" 06:.+((SYSTEM_STATE.+slice.+state.+changed )|(ment ac)|(multiple cpu faults)|(system.+state.+changed )|(\[timeout)|(PRM\|1\|D)|(kpr)|(kdp)|(train st.+moving)|(\|lc)|(penalty))"</v>
      </c>
      <c r="AG152" s="1" t="str">
        <f t="shared" si="66"/>
        <v>EC</v>
      </c>
      <c r="AH152" s="81" t="str">
        <f t="shared" si="67"/>
        <v>"%USERPROFILE%\Documents\GitHub\eaglep3\Utilities\RefineRTDCRunTimes.py" --tripid 239-26 --locoid 4062 --swversion DE.1.0.9.0 --startMP 204:449 --initTime 2017-05-26T23:26:49 --startdatetime 2017-05-26T23:30:15 --delay 0 --endMP 204:233289 --enddatetime 2017-05-27T00:05:17 --enforcementcount 0 &gt;&gt;C:\Users\stu\Documents\GitHub\eaglep3-reporting\EC\2017-05-26-refined-times.txt</v>
      </c>
      <c r="AI152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{"issue":{"subject":"","project_id":79,"tracker_id":40,"status_id":1,"priority_id":2,"assigned_to_id":23,"start_date":"2017-05-27","description":"","custom_fields":[{"id":1,"name":"Subdivision","value":"EC"},{"id":4,"name":"Milepost","value":"23.3289"},{"id":17,"name":"Train ID","value":"239-26"},{"id":16,"name":"Locomotive ID","value":"4062"},{"id":130,"name":"Impact","value":""},{"id":150,"name":"Time of Event (Mountain Time)","value":"00:05:17"},{"id":151,"name":"Denver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9"/>
        <v>start /low /b %USERPROFILE%\Documents\GitHub\eaglep3\Utilities\DownloadLogsFromS3.py --loco 4062 --day 2017-05-26</v>
      </c>
      <c r="AN152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835</v>
      </c>
      <c r="B153" s="7">
        <v>4061</v>
      </c>
      <c r="C153" s="21" t="s">
        <v>204</v>
      </c>
      <c r="D153" s="21" t="s">
        <v>573</v>
      </c>
      <c r="E153" s="13">
        <v>42882.01390046296</v>
      </c>
      <c r="F153" s="13">
        <v>42882.018923611111</v>
      </c>
      <c r="G153" s="7">
        <v>1</v>
      </c>
      <c r="H153" s="21" t="s">
        <v>446</v>
      </c>
      <c r="I153" s="13">
        <v>42882.044652777775</v>
      </c>
      <c r="J153" s="7">
        <v>0</v>
      </c>
      <c r="K153" s="92" t="str">
        <f t="shared" si="54"/>
        <v>4061/4062</v>
      </c>
      <c r="L153" s="21" t="str">
        <f>VLOOKUP(A153,'Trips&amp;Operators'!$C$1:$G$99999,5,FALSE)</f>
        <v>HELVIE ADAM</v>
      </c>
      <c r="M153" s="6">
        <f t="shared" si="55"/>
        <v>2.5729166663950309E-2</v>
      </c>
      <c r="N153" s="7">
        <f t="shared" si="52"/>
        <v>37.049999996088445</v>
      </c>
      <c r="O153" s="7"/>
      <c r="P153" s="7"/>
      <c r="Q153" s="22"/>
      <c r="R153" s="173"/>
      <c r="S153" s="176">
        <f t="shared" si="53"/>
        <v>1</v>
      </c>
      <c r="T153" s="202" t="str">
        <f t="shared" si="56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7"/>
        <v>https://d0f6bd738d7f1b3e5a7ca70fe4ff75f0.us-east-1.aws.found.io/app/kibana#/discover/Steve-Slow-Train-Analysis-(2080s-and-2083s)?_g=(refreshInterval:(display:Off,pause:!f,section:0,value:0),time:(from:'2017-05-26T23:20:01-0600',mode:absolute,to:'2017-05-27T02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3" s="204" t="str">
        <f t="shared" si="58"/>
        <v>N</v>
      </c>
      <c r="X153" s="204">
        <f t="shared" si="59"/>
        <v>1</v>
      </c>
      <c r="Y153" s="204">
        <f t="shared" si="60"/>
        <v>23.296700000000001</v>
      </c>
      <c r="Z153" s="204">
        <f t="shared" si="61"/>
        <v>1.61E-2</v>
      </c>
      <c r="AA153" s="204">
        <f t="shared" si="62"/>
        <v>23.2806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3"/>
        <v>0240-26</v>
      </c>
      <c r="AE153" s="80" t="str">
        <f t="shared" si="64"/>
        <v>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 &amp; 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</v>
      </c>
      <c r="AF153" s="77" t="str">
        <f t="shared" si="65"/>
        <v>"C:\Program Files (x86)\AstroGrep\AstroGrep.exe" /e /r /s /spath="%USERPROFILE%\AppData\Local\Temp\OnboardLogs" /stypes="app*4061*20170527*" /stext=" 07:.+((SYSTEM_STATE.+slice.+state.+changed )|(ment ac)|(multiple cpu faults)|(system.+state.+changed )|(\[timeout)|(PRM\|1\|D)|(kpr)|(kdp)|(train st.+moving)|(\|lc)|(penalty))"</v>
      </c>
      <c r="AG153" s="1" t="str">
        <f t="shared" si="66"/>
        <v>EC</v>
      </c>
      <c r="AH153" s="81" t="str">
        <f t="shared" si="67"/>
        <v>"%USERPROFILE%\Documents\GitHub\eaglep3\Utilities\RefineRTDCRunTimes.py" --tripid 240-26 --locoid 4061 --swversion DE.1.0.9.0 --startMP 204:232967 --initTime 2017-05-27T00:20:01 --startdatetime 2017-05-27T00:27:15 --delay 1 --endMP 204:161 --enddatetime 2017-05-27T01:04:18 --enforcementcount 0 &gt;&gt;C:\Users\stu\Documents\GitHub\eaglep3-reporting\EC\2017-05-26-refined-times.txt</v>
      </c>
      <c r="AI153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{"issue":{"subject":"","project_id":79,"tracker_id":40,"status_id":1,"priority_id":2,"assigned_to_id":23,"start_date":"2017-05-27","description":"","custom_fields":[{"id":1,"name":"Subdivision","value":"EC"},{"id":4,"name":"Milepost","value":"0.0161"},{"id":17,"name":"Train ID","value":"240-26"},{"id":16,"name":"Locomotive ID","value":"4061"},{"id":130,"name":"Impact","value":""},{"id":150,"name":"Time of Event (Mountain Time)","value":"01:04:18"},{"id":151,"name":"Denver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9"/>
        <v>start /low /b %USERPROFILE%\Documents\GitHub\eaglep3\Utilities\DownloadLogsFromS3.py --loco 4061 --day 2017-05-27</v>
      </c>
      <c r="AN153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07:04:18"},{"id":29,"name":"Sharepoint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833</v>
      </c>
      <c r="B154" s="7">
        <v>4002</v>
      </c>
      <c r="C154" s="21" t="s">
        <v>204</v>
      </c>
      <c r="D154" s="21" t="s">
        <v>468</v>
      </c>
      <c r="E154" s="13">
        <v>42881.996851851851</v>
      </c>
      <c r="F154" s="13">
        <v>42882.000196759262</v>
      </c>
      <c r="G154" s="7">
        <v>1</v>
      </c>
      <c r="H154" s="21" t="s">
        <v>910</v>
      </c>
      <c r="I154" s="13">
        <v>42882.025636574072</v>
      </c>
      <c r="J154" s="7">
        <v>0</v>
      </c>
      <c r="K154" s="92" t="str">
        <f t="shared" si="54"/>
        <v>4001/4002</v>
      </c>
      <c r="L154" s="21" t="str">
        <f>VLOOKUP(A154,'Trips&amp;Operators'!$C$1:$G$99999,5,FALSE)</f>
        <v>ARVIDSON DANIEL</v>
      </c>
      <c r="M154" s="6">
        <f t="shared" si="55"/>
        <v>2.5439814809942618E-2</v>
      </c>
      <c r="N154" s="7">
        <f t="shared" si="52"/>
        <v>36.63333332631737</v>
      </c>
      <c r="O154" s="7"/>
      <c r="P154" s="7"/>
      <c r="Q154" s="22"/>
      <c r="R154" s="173"/>
      <c r="S154" s="176">
        <f t="shared" si="53"/>
        <v>1</v>
      </c>
      <c r="T154" s="202" t="str">
        <f t="shared" si="56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7"/>
        <v>https://d0f6bd738d7f1b3e5a7ca70fe4ff75f0.us-east-1.aws.found.io/app/kibana#/discover/Steve-Slow-Train-Analysis-(2080s-and-2083s)?_g=(refreshInterval:(display:Off,pause:!f,section:0,value:0),time:(from:'2017-05-26T22:55:28-0600',mode:absolute,to:'2017-05-27T01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204" t="str">
        <f t="shared" si="58"/>
        <v>N</v>
      </c>
      <c r="X154" s="204">
        <f t="shared" si="59"/>
        <v>1</v>
      </c>
      <c r="Y154" s="204">
        <f t="shared" si="60"/>
        <v>4.8000000000000001E-2</v>
      </c>
      <c r="Z154" s="204">
        <f t="shared" si="61"/>
        <v>23.336099999999998</v>
      </c>
      <c r="AA154" s="204">
        <f t="shared" si="62"/>
        <v>23.2881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3"/>
        <v>0241-26</v>
      </c>
      <c r="AE154" s="80" t="str">
        <f t="shared" si="64"/>
        <v>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 &amp; 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</v>
      </c>
      <c r="AF154" s="77" t="str">
        <f t="shared" si="65"/>
        <v>"C:\Program Files (x86)\AstroGrep\AstroGrep.exe" /e /r /s /spath="%USERPROFILE%\AppData\Local\Temp\OnboardLogs" /stypes="app*4002*20170527*" /stext=" 06:.+((SYSTEM_STATE.+slice.+state.+changed )|(ment ac)|(multiple cpu faults)|(system.+state.+changed )|(\[timeout)|(PRM\|1\|D)|(kpr)|(kdp)|(train st.+moving)|(\|lc)|(penalty))"</v>
      </c>
      <c r="AG154" s="1" t="str">
        <f t="shared" si="66"/>
        <v>EC</v>
      </c>
      <c r="AH154" s="81" t="str">
        <f t="shared" si="67"/>
        <v>"%USERPROFILE%\Documents\GitHub\eaglep3\Utilities\RefineRTDCRunTimes.py" --tripid 241-26 --locoid 4002 --swversion DE.1.0.9.0 --startMP 204:480 --initTime 2017-05-26T23:55:28 --startdatetime 2017-05-27T00:00:17 --delay 1 --endMP 204:233361 --enddatetime 2017-05-27T00:36:55 --enforcementcount 0 &gt;&gt;C:\Users\stu\Documents\GitHub\eaglep3-reporting\EC\2017-05-26-refined-times.txt</v>
      </c>
      <c r="AI154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{"issue":{"subject":"","project_id":79,"tracker_id":40,"status_id":1,"priority_id":2,"assigned_to_id":23,"start_date":"2017-05-27","description":"","custom_fields":[{"id":1,"name":"Subdivision","value":"EC"},{"id":4,"name":"Milepost","value":"23.3361"},{"id":17,"name":"Train ID","value":"241-26"},{"id":16,"name":"Locomotive ID","value":"4002"},{"id":130,"name":"Impact","value":""},{"id":150,"name":"Time of Event (Mountain Time)","value":"00:36:55"},{"id":151,"name":"Denver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9"/>
        <v>start /low /b %USERPROFILE%\Documents\GitHub\eaglep3\Utilities\DownloadLogsFromS3.py --loco 4002 --day 2017-05-27</v>
      </c>
      <c r="AN154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837</v>
      </c>
      <c r="B155" s="7">
        <v>4001</v>
      </c>
      <c r="C155" s="21" t="s">
        <v>204</v>
      </c>
      <c r="D155" s="21" t="s">
        <v>556</v>
      </c>
      <c r="E155" s="13">
        <v>42882.037905092591</v>
      </c>
      <c r="F155" s="13">
        <v>42882.039942129632</v>
      </c>
      <c r="G155" s="7">
        <v>1</v>
      </c>
      <c r="H155" s="21" t="s">
        <v>352</v>
      </c>
      <c r="I155" s="13">
        <v>42882.066793981481</v>
      </c>
      <c r="J155" s="7">
        <v>0</v>
      </c>
      <c r="K155" s="92" t="str">
        <f t="shared" si="54"/>
        <v>4001/4002</v>
      </c>
      <c r="L155" s="21" t="str">
        <f>VLOOKUP(A155,'Trips&amp;Operators'!$C$1:$G$99999,5,FALSE)</f>
        <v>ARVIDSON DANIEL</v>
      </c>
      <c r="M155" s="6">
        <f t="shared" si="55"/>
        <v>2.6851851849642117E-2</v>
      </c>
      <c r="N155" s="7">
        <f t="shared" si="52"/>
        <v>38.666666663484648</v>
      </c>
      <c r="O155" s="7"/>
      <c r="P155" s="7"/>
      <c r="Q155" s="22"/>
      <c r="R155" s="173"/>
      <c r="S155" s="176">
        <f t="shared" si="53"/>
        <v>1</v>
      </c>
      <c r="T155" s="202" t="str">
        <f t="shared" si="56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7"/>
        <v>https://d0f6bd738d7f1b3e5a7ca70fe4ff75f0.us-east-1.aws.found.io/app/kibana#/discover/Steve-Slow-Train-Analysis-(2080s-and-2083s)?_g=(refreshInterval:(display:Off,pause:!f,section:0,value:0),time:(from:'2017-05-26T23:54:35-0600',mode:absolute,to:'2017-05-27T02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204" t="str">
        <f t="shared" si="58"/>
        <v>N</v>
      </c>
      <c r="X155" s="204">
        <f t="shared" si="59"/>
        <v>1</v>
      </c>
      <c r="Y155" s="204">
        <f t="shared" si="60"/>
        <v>23.301500000000001</v>
      </c>
      <c r="Z155" s="204">
        <f t="shared" si="61"/>
        <v>1.49E-2</v>
      </c>
      <c r="AA155" s="204">
        <f t="shared" si="62"/>
        <v>23.2866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3"/>
        <v>0242-26</v>
      </c>
      <c r="AE155" s="80" t="str">
        <f t="shared" si="64"/>
        <v>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 &amp; 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</v>
      </c>
      <c r="AF155" s="77" t="str">
        <f t="shared" si="65"/>
        <v>"C:\Program Files (x86)\AstroGrep\AstroGrep.exe" /e /r /s /spath="%USERPROFILE%\AppData\Local\Temp\OnboardLogs" /stypes="app*4001*20170527*" /stext=" 07:.+((SYSTEM_STATE.+slice.+state.+changed )|(ment ac)|(multiple cpu faults)|(system.+state.+changed )|(\[timeout)|(PRM\|1\|D)|(kpr)|(kdp)|(train st.+moving)|(\|lc)|(penalty))"</v>
      </c>
      <c r="AG155" s="1" t="str">
        <f t="shared" si="66"/>
        <v>EC</v>
      </c>
      <c r="AH155" s="81" t="str">
        <f t="shared" si="67"/>
        <v>"%USERPROFILE%\Documents\GitHub\eaglep3\Utilities\RefineRTDCRunTimes.py" --tripid 242-26 --locoid 4001 --swversion DE.1.0.9.0 --startMP 204:233015 --initTime 2017-05-27T00:54:35 --startdatetime 2017-05-27T00:57:31 --delay 1 --endMP 204:149 --enddatetime 2017-05-27T01:36:11 --enforcementcount 0 &gt;&gt;C:\Users\stu\Documents\GitHub\eaglep3-reporting\EC\2017-05-26-refined-times.txt</v>
      </c>
      <c r="AI155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ID","value":"242-26"},{"id":16,"name":"Locomotive ID","value":"4001"},{"id":130,"name":"Impact","value":""},{"id":150,"name":"Time of Event (Mountain Time)","value":"01:36:11"},{"id":151,"name":"Denver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9"/>
        <v>start /low /b %USERPROFILE%\Documents\GitHub\eaglep3\Utilities\DownloadLogsFromS3.py --loco 4001 --day 2017-05-27</v>
      </c>
      <c r="AN155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834</v>
      </c>
      <c r="B156" s="7">
        <v>4058</v>
      </c>
      <c r="C156" s="21" t="s">
        <v>204</v>
      </c>
      <c r="D156" s="21" t="s">
        <v>864</v>
      </c>
      <c r="E156" s="13">
        <v>42882.007141203707</v>
      </c>
      <c r="F156" s="13">
        <v>42882.020972222221</v>
      </c>
      <c r="G156" s="7">
        <v>1</v>
      </c>
      <c r="H156" s="21" t="s">
        <v>406</v>
      </c>
      <c r="I156" s="13">
        <v>42882.046770833331</v>
      </c>
      <c r="J156" s="7">
        <v>0</v>
      </c>
      <c r="K156" s="92" t="str">
        <f t="shared" si="54"/>
        <v>4057/4058</v>
      </c>
      <c r="L156" s="21" t="str">
        <f>VLOOKUP(A156,'Trips&amp;Operators'!$C$1:$G$99999,5,FALSE)</f>
        <v>FORTUNATO FRANK</v>
      </c>
      <c r="M156" s="6">
        <f t="shared" si="55"/>
        <v>2.5798611110076308E-2</v>
      </c>
      <c r="N156" s="7">
        <f t="shared" si="52"/>
        <v>37.149999998509884</v>
      </c>
      <c r="O156" s="7"/>
      <c r="P156" s="7"/>
      <c r="Q156" s="22"/>
      <c r="R156" s="173"/>
      <c r="S156" s="176">
        <f t="shared" si="53"/>
        <v>1</v>
      </c>
      <c r="T156" s="202" t="str">
        <f t="shared" si="56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7"/>
        <v>https://d0f6bd738d7f1b3e5a7ca70fe4ff75f0.us-east-1.aws.found.io/app/kibana#/discover/Steve-Slow-Train-Analysis-(2080s-and-2083s)?_g=(refreshInterval:(display:Off,pause:!f,section:0,value:0),time:(from:'2017-05-26T23:10:17-0600',mode:absolute,to:'2017-05-27T02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6" s="204" t="str">
        <f t="shared" si="58"/>
        <v>N</v>
      </c>
      <c r="X156" s="204">
        <f t="shared" si="59"/>
        <v>1</v>
      </c>
      <c r="Y156" s="204">
        <f t="shared" si="60"/>
        <v>4.6899999999999997E-2</v>
      </c>
      <c r="Z156" s="204">
        <f t="shared" si="61"/>
        <v>23.329499999999999</v>
      </c>
      <c r="AA156" s="204">
        <f t="shared" si="62"/>
        <v>23.282599999999999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3"/>
        <v>0243-26</v>
      </c>
      <c r="AE156" s="80" t="str">
        <f t="shared" si="64"/>
        <v>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 &amp; 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</v>
      </c>
      <c r="AF156" s="77" t="str">
        <f t="shared" si="65"/>
        <v>"C:\Program Files (x86)\AstroGrep\AstroGrep.exe" /e /r /s /spath="%USERPROFILE%\AppData\Local\Temp\OnboardLogs" /stypes="app*4058*20170527*" /stext=" 07:.+((SYSTEM_STATE.+slice.+state.+changed )|(ment ac)|(multiple cpu faults)|(system.+state.+changed )|(\[timeout)|(PRM\|1\|D)|(kpr)|(kdp)|(train st.+moving)|(\|lc)|(penalty))"</v>
      </c>
      <c r="AG156" s="1" t="str">
        <f t="shared" si="66"/>
        <v>EC</v>
      </c>
      <c r="AH156" s="81" t="str">
        <f t="shared" si="67"/>
        <v>"%USERPROFILE%\Documents\GitHub\eaglep3\Utilities\RefineRTDCRunTimes.py" --tripid 243-26 --locoid 4058 --swversion DE.1.0.9.0 --startMP 204:469 --initTime 2017-05-27T00:10:17 --startdatetime 2017-05-27T00:30:12 --delay 1 --endMP 204:233295 --enddatetime 2017-05-27T01:07:21 --enforcementcount 0 &gt;&gt;C:\Users\stu\Documents\GitHub\eaglep3-reporting\EC\2017-05-26-refined-times.txt</v>
      </c>
      <c r="AI156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{"issue":{"subject":"","project_id":79,"tracker_id":40,"status_id":1,"priority_id":2,"assigned_to_id":23,"start_date":"2017-05-27","description":"","custom_fields":[{"id":1,"name":"Subdivision","value":"EC"},{"id":4,"name":"Milepost","value":"23.3295"},{"id":17,"name":"Train ID","value":"243-26"},{"id":16,"name":"Locomotive ID","value":"4058"},{"id":130,"name":"Impact","value":""},{"id":150,"name":"Time of Event (Mountain Time)","value":"01:07:21"},{"id":151,"name":"Denver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9"/>
        <v>start /low /b %USERPROFILE%\Documents\GitHub\eaglep3\Utilities\DownloadLogsFromS3.py --loco 4058 --day 2017-05-27</v>
      </c>
      <c r="AN156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839</v>
      </c>
      <c r="B157" s="7">
        <v>4057</v>
      </c>
      <c r="C157" s="21" t="s">
        <v>204</v>
      </c>
      <c r="D157" s="21" t="s">
        <v>467</v>
      </c>
      <c r="E157" s="13">
        <v>42882.048645833333</v>
      </c>
      <c r="F157" s="13">
        <v>42882.060763888891</v>
      </c>
      <c r="G157" s="7">
        <v>1</v>
      </c>
      <c r="H157" s="21" t="s">
        <v>570</v>
      </c>
      <c r="I157" s="13">
        <v>42882.088993055557</v>
      </c>
      <c r="J157" s="7">
        <v>0</v>
      </c>
      <c r="K157" s="92" t="str">
        <f t="shared" si="54"/>
        <v>4057/4058</v>
      </c>
      <c r="L157" s="21" t="str">
        <f>VLOOKUP(A157,'Trips&amp;Operators'!$C$1:$G$99999,5,FALSE)</f>
        <v>FORTUNATO FRANK</v>
      </c>
      <c r="M157" s="6">
        <f t="shared" si="55"/>
        <v>2.8229166666278616E-2</v>
      </c>
      <c r="N157" s="7">
        <f t="shared" ref="N157:N188" si="71">24*60*SUM($M157:$M157)</f>
        <v>40.649999999441206</v>
      </c>
      <c r="O157" s="7"/>
      <c r="P157" s="7"/>
      <c r="Q157" s="22"/>
      <c r="R157" s="173"/>
      <c r="S157" s="176">
        <f t="shared" ref="S157:S188" si="72">SUM(U157:U157)/IF(AG157="EC",12,1)</f>
        <v>1</v>
      </c>
      <c r="T157" s="202" t="str">
        <f t="shared" si="56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7"/>
        <v>https://d0f6bd738d7f1b3e5a7ca70fe4ff75f0.us-east-1.aws.found.io/app/kibana#/discover/Steve-Slow-Train-Analysis-(2080s-and-2083s)?_g=(refreshInterval:(display:Off,pause:!f,section:0,value:0),time:(from:'2017-05-27T00:10:03-0600',mode:absolute,to:'2017-05-27T03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7" s="204" t="str">
        <f t="shared" si="58"/>
        <v>N</v>
      </c>
      <c r="X157" s="204">
        <f t="shared" ref="X157:X169" si="73">VALUE(LEFT(AD157,4))-VALUE(LEFT(AD156,4))</f>
        <v>1</v>
      </c>
      <c r="Y157" s="204">
        <f t="shared" si="60"/>
        <v>23.297999999999998</v>
      </c>
      <c r="Z157" s="204">
        <f t="shared" si="61"/>
        <v>1.34E-2</v>
      </c>
      <c r="AA157" s="204">
        <f t="shared" si="62"/>
        <v>23.284599999999998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3"/>
        <v>0244-26</v>
      </c>
      <c r="AE157" s="80" t="str">
        <f t="shared" si="64"/>
        <v>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 &amp; 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</v>
      </c>
      <c r="AF157" s="77" t="str">
        <f t="shared" si="65"/>
        <v>"C:\Program Files (x86)\AstroGrep\AstroGrep.exe" /e /r /s /spath="%USERPROFILE%\AppData\Local\Temp\OnboardLogs" /stypes="app*4057*20170527*" /stext=" 08:.+((SYSTEM_STATE.+slice.+state.+changed )|(ment ac)|(multiple cpu faults)|(system.+state.+changed )|(\[timeout)|(PRM\|1\|D)|(kpr)|(kdp)|(train st.+moving)|(\|lc)|(penalty))"</v>
      </c>
      <c r="AG157" s="1" t="str">
        <f t="shared" si="66"/>
        <v>EC</v>
      </c>
      <c r="AH157" s="81" t="str">
        <f t="shared" si="67"/>
        <v>"%USERPROFILE%\Documents\GitHub\eaglep3\Utilities\RefineRTDCRunTimes.py" --tripid 244-26 --locoid 4057 --swversion DE.1.0.9.0 --startMP 204:232980 --initTime 2017-05-27T01:10:03 --startdatetime 2017-05-27T01:27:30 --delay 1 --endMP 204:134 --enddatetime 2017-05-27T02:08:09 --enforcementcount 0 &gt;&gt;C:\Users\stu\Documents\GitHub\eaglep3-reporting\EC\2017-05-26-refined-times.txt</v>
      </c>
      <c r="AI157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{"issue":{"subject":"","project_id":79,"tracker_id":40,"status_id":1,"priority_id":2,"assigned_to_id":23,"start_date":"2017-05-27","description":"","custom_fields":[{"id":1,"name":"Subdivision","value":"EC"},{"id":4,"name":"Milepost","value":"0.0134"},{"id":17,"name":"Train ID","value":"244-26"},{"id":16,"name":"Locomotive ID","value":"4057"},{"id":130,"name":"Impact","value":""},{"id":150,"name":"Time of Event (Mountain Time)","value":"02:08:09"},{"id":151,"name":"Denver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9"/>
        <v>start /low /b %USERPROFILE%\Documents\GitHub\eaglep3\Utilities\DownloadLogsFromS3.py --loco 4057 --day 2017-05-27</v>
      </c>
      <c r="AN157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08:08:09"},{"id":29,"name":"Sharepoint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836</v>
      </c>
      <c r="B158" s="7">
        <v>4016</v>
      </c>
      <c r="C158" s="21" t="s">
        <v>204</v>
      </c>
      <c r="D158" s="21" t="s">
        <v>355</v>
      </c>
      <c r="E158" s="13">
        <v>42882.037210648145</v>
      </c>
      <c r="F158" s="13">
        <v>42882.042511574073</v>
      </c>
      <c r="G158" s="7">
        <v>1</v>
      </c>
      <c r="H158" s="21" t="s">
        <v>500</v>
      </c>
      <c r="I158" s="13">
        <v>42882.066782407404</v>
      </c>
      <c r="J158" s="7">
        <v>0</v>
      </c>
      <c r="K158" s="92" t="str">
        <f t="shared" si="54"/>
        <v>4015/4016</v>
      </c>
      <c r="L158" s="21" t="str">
        <f>VLOOKUP(A158,'Trips&amp;Operators'!$C$1:$G$99999,5,FALSE)</f>
        <v>LOPES KIMBERLY</v>
      </c>
      <c r="M158" s="6">
        <f t="shared" si="55"/>
        <v>2.4270833331684116E-2</v>
      </c>
      <c r="N158" s="7">
        <f t="shared" si="71"/>
        <v>34.949999997625127</v>
      </c>
      <c r="O158" s="7"/>
      <c r="P158" s="7"/>
      <c r="Q158" s="22"/>
      <c r="R158" s="173"/>
      <c r="S158" s="176">
        <f t="shared" si="72"/>
        <v>1</v>
      </c>
      <c r="T158" s="202" t="str">
        <f t="shared" si="56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57"/>
        <v>https://d0f6bd738d7f1b3e5a7ca70fe4ff75f0.us-east-1.aws.found.io/app/kibana#/discover/Steve-Slow-Train-Analysis-(2080s-and-2083s)?_g=(refreshInterval:(display:Off,pause:!f,section:0,value:0),time:(from:'2017-05-26T23:53:35-0600',mode:absolute,to:'2017-05-27T02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204" t="str">
        <f t="shared" si="58"/>
        <v>N</v>
      </c>
      <c r="X158" s="204">
        <f t="shared" si="73"/>
        <v>1</v>
      </c>
      <c r="Y158" s="204">
        <f t="shared" si="60"/>
        <v>4.5100000000000001E-2</v>
      </c>
      <c r="Z158" s="204">
        <f t="shared" si="61"/>
        <v>23.330300000000001</v>
      </c>
      <c r="AA158" s="204">
        <f t="shared" si="62"/>
        <v>23.2852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3"/>
        <v>0245-26</v>
      </c>
      <c r="AE158" s="80" t="str">
        <f t="shared" si="64"/>
        <v>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 &amp; 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</v>
      </c>
      <c r="AF158" s="77" t="str">
        <f t="shared" si="65"/>
        <v>"C:\Program Files (x86)\AstroGrep\AstroGrep.exe" /e /r /s /spath="%USERPROFILE%\AppData\Local\Temp\OnboardLogs" /stypes="app*4016*20170527*" /stext=" 07:.+((SYSTEM_STATE.+slice.+state.+changed )|(ment ac)|(multiple cpu faults)|(system.+state.+changed )|(\[timeout)|(PRM\|1\|D)|(kpr)|(kdp)|(train st.+moving)|(\|lc)|(penalty))"</v>
      </c>
      <c r="AG158" s="1" t="str">
        <f t="shared" si="66"/>
        <v>EC</v>
      </c>
      <c r="AH158" s="81" t="str">
        <f t="shared" si="67"/>
        <v>"%USERPROFILE%\Documents\GitHub\eaglep3\Utilities\RefineRTDCRunTimes.py" --tripid 245-26 --locoid 4016 --swversion DE.1.0.9.0 --startMP 204:451 --initTime 2017-05-27T00:53:35 --startdatetime 2017-05-27T01:01:13 --delay 1 --endMP 204:233303 --enddatetime 2017-05-27T01:36:10 --enforcementcount 0 &gt;&gt;C:\Users\stu\Documents\GitHub\eaglep3-reporting\EC\2017-05-26-refined-times.txt</v>
      </c>
      <c r="AI158" s="99" t="str">
        <f t="shared" si="68"/>
        <v>echo {"issue":{"subject":"","project_id":79,"tracker_id":40,"status_id":1,"priority_id":2,"assigned_to_id":23,"start_date":"2017-05-27","description":"","custom_fields":[{"id":1,"name":"Subdivision","value":"EC"},{"id":4,"name":"Milepost","value":"23.3303"},{"id":17,"name":"Train ID","value":"245-26"},{"id":16,"name":"Locomotive ID","value":"4016"},{"id":130,"name":"Impact","value":""},{"id":150,"name":"Time of Event (Mountain Time)","value":"01:36:10"},{"id":151,"name":"Denver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9"/>
        <v>start /low /b %USERPROFILE%\Documents\GitHub\eaglep3\Utilities\DownloadLogsFromS3.py --loco 4016 --day 2017-05-27</v>
      </c>
      <c r="AN158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841</v>
      </c>
      <c r="B159" s="7">
        <v>4015</v>
      </c>
      <c r="C159" s="21" t="s">
        <v>204</v>
      </c>
      <c r="D159" s="21" t="s">
        <v>355</v>
      </c>
      <c r="E159" s="13">
        <v>42882.037210648145</v>
      </c>
      <c r="F159" s="13">
        <v>42882.081458333334</v>
      </c>
      <c r="G159" s="7">
        <v>1</v>
      </c>
      <c r="H159" s="21" t="s">
        <v>500</v>
      </c>
      <c r="I159" s="13">
        <v>42882.107905092591</v>
      </c>
      <c r="J159" s="7">
        <v>0</v>
      </c>
      <c r="K159" s="92" t="str">
        <f t="shared" si="54"/>
        <v>4015/4016</v>
      </c>
      <c r="L159" s="21" t="str">
        <f>VLOOKUP(A159,'Trips&amp;Operators'!$C$1:$G$99999,5,FALSE)</f>
        <v>LOPES KIMBERLY</v>
      </c>
      <c r="M159" s="6">
        <f t="shared" si="55"/>
        <v>2.6446759256941732E-2</v>
      </c>
      <c r="N159" s="7">
        <f t="shared" si="71"/>
        <v>38.083333329996094</v>
      </c>
      <c r="O159" s="7"/>
      <c r="P159" s="7"/>
      <c r="Q159" s="22"/>
      <c r="R159" s="173"/>
      <c r="S159" s="176">
        <f t="shared" si="72"/>
        <v>1</v>
      </c>
      <c r="T159" s="202" t="str">
        <f t="shared" si="56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57"/>
        <v>https://d0f6bd738d7f1b3e5a7ca70fe4ff75f0.us-east-1.aws.found.io/app/kibana#/discover/Steve-Slow-Train-Analysis-(2080s-and-2083s)?_g=(refreshInterval:(display:Off,pause:!f,section:0,value:0),time:(from:'2017-05-26T23:53:35-0600',mode:absolute,to:'2017-05-27T03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04" t="str">
        <f t="shared" si="58"/>
        <v>N</v>
      </c>
      <c r="X159" s="204">
        <f t="shared" si="73"/>
        <v>1</v>
      </c>
      <c r="Y159" s="204">
        <v>23.297999999999998</v>
      </c>
      <c r="Z159" s="204">
        <v>1.34E-2</v>
      </c>
      <c r="AA159" s="204">
        <f t="shared" si="62"/>
        <v>23.284599999999998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3"/>
        <v>0246-26</v>
      </c>
      <c r="AE159" s="80" t="str">
        <f t="shared" si="64"/>
        <v>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 &amp; 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</v>
      </c>
      <c r="AF159" s="77" t="str">
        <f t="shared" si="65"/>
        <v>"C:\Program Files (x86)\AstroGrep\AstroGrep.exe" /e /r /s /spath="%USERPROFILE%\AppData\Local\Temp\OnboardLogs" /stypes="app*4015*20170527*" /stext=" 08:.+((SYSTEM_STATE.+slice.+state.+changed )|(ment ac)|(multiple cpu faults)|(system.+state.+changed )|(\[timeout)|(PRM\|1\|D)|(kpr)|(kdp)|(train st.+moving)|(\|lc)|(penalty))"</v>
      </c>
      <c r="AG159" s="1" t="str">
        <f t="shared" si="66"/>
        <v>EC</v>
      </c>
      <c r="AH159" s="81" t="str">
        <f t="shared" ref="AH159" si="74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246-26 --locoid 4015 --swversion DE.1.0.9.0 --startMP 204:451 --initTime 2017-05-27T00:53:35 --startdatetime 2017-05-27T01:57:18 --delay 1 --endMP 204:233303 --enddatetime 2017-05-27T02:35:23 --enforcementcount 0 &gt;&gt;C:\Users\stu\Documents\GitHub\eaglep3-reporting\EC\2017-05-26-refined-times.txt</v>
      </c>
      <c r="AI159" s="99" t="str">
        <f t="shared" ref="AI159" si="75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{"issue":{"subject":"","project_id":79,"tracker_id":40,"status_id":1,"priority_id":2,"assigned_to_id":23,"start_date":"2017-05-27","description":"","custom_fields":[{"id":1,"name":"Subdivision","value":"EC"},{"id":4,"name":"Milepost","value":"0.0134"},{"id":17,"name":"Train ID","value":"246-26"},{"id":16,"name":"Locomotive ID","value":"4015"},{"id":130,"name":"Impact","value":""},{"id":150,"name":"Time of Event (Mountain Time)","value":"02:35:23"},{"id":151,"name":"Denver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76">"start /low /b "&amp;dls3logs&amp;" --loco "&amp;B159&amp;" --day "&amp;TEXT(F159,"YYYY-MM-DD")</f>
        <v>start /low /b %USERPROFILE%\Documents\GitHub\eaglep3\Utilities\DownloadLogsFromS3.py --loco 4015 --day 2017-05-27</v>
      </c>
      <c r="AN159" s="154" t="str">
        <f t="shared" ref="AN159" si="77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08:35:23"},{"id":29,"name":"Sharepoint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645</v>
      </c>
      <c r="B160" s="7">
        <v>4019</v>
      </c>
      <c r="C160" s="21" t="s">
        <v>204</v>
      </c>
      <c r="D160" s="21" t="s">
        <v>940</v>
      </c>
      <c r="E160" s="13">
        <v>42881.213449074072</v>
      </c>
      <c r="F160" s="13">
        <v>42881.215787037036</v>
      </c>
      <c r="G160" s="7">
        <v>2</v>
      </c>
      <c r="H160" s="21" t="s">
        <v>592</v>
      </c>
      <c r="I160" s="13">
        <v>42881.226261574076</v>
      </c>
      <c r="J160" s="7">
        <v>0</v>
      </c>
      <c r="K160" s="92" t="str">
        <f t="shared" si="54"/>
        <v>4019/4020</v>
      </c>
      <c r="L160" s="21" t="str">
        <f>VLOOKUP(A160,'Trips&amp;Operators'!$C$1:$G$99999,5,FALSE)</f>
        <v>GUZMAN DANNY</v>
      </c>
      <c r="M160" s="6">
        <f t="shared" si="55"/>
        <v>1.0474537040863652E-2</v>
      </c>
      <c r="N160" s="7">
        <f t="shared" si="71"/>
        <v>15.083333338843659</v>
      </c>
      <c r="O160" s="7"/>
      <c r="P160" s="7"/>
      <c r="Q160" s="22"/>
      <c r="R160" s="173"/>
      <c r="S160" s="176">
        <f t="shared" si="72"/>
        <v>1</v>
      </c>
      <c r="T160" s="202" t="str">
        <f t="shared" si="56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7"/>
        <v>https://d0f6bd738d7f1b3e5a7ca70fe4ff75f0.us-east-1.aws.found.io/app/kibana#/discover/Steve-Slow-Train-Analysis-(2080s-and-2083s)?_g=(refreshInterval:(display:Off,pause:!f,section:0,value:0),time:(from:'2017-05-26T04:07:22-0600',mode:absolute,to:'2017-05-26T06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0" s="204" t="str">
        <f t="shared" si="58"/>
        <v>N</v>
      </c>
      <c r="X160" s="204">
        <f t="shared" si="73"/>
        <v>554</v>
      </c>
      <c r="Y160" s="204">
        <f t="shared" ref="Y160:Y194" si="78">RIGHT(D160,LEN(D160)-4)/10000</f>
        <v>5.8643000000000001</v>
      </c>
      <c r="Z160" s="204">
        <f t="shared" ref="Z160:Z194" si="79">RIGHT(H160,LEN(H160)-4)/10000</f>
        <v>6.8500000000000005E-2</v>
      </c>
      <c r="AA160" s="204">
        <f t="shared" si="62"/>
        <v>5.7957999999999998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3"/>
        <v>0800-26</v>
      </c>
      <c r="AE160" s="80" t="str">
        <f t="shared" si="64"/>
        <v>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 &amp; aws s3 cp s3://rtdc.mdm.uploadarchive.raw/RTDC4019/ "%USERPROFILE%\AppData\Local\Temp\OnboardLogs"\RTDC4019\2017-05-27 --exclude "*" --recursive --include "*20170527*" &amp; "%USERPROFILE%\Documents\GitHub\mrs-test-scripts\Headless Mode &amp; Sideloading\WalkAndUnGZ.bat" "%USERPROFILE%\AppData\Local\Temp\OnboardLogs"\RTDC4019\2017-05-27</v>
      </c>
      <c r="AF160" s="77" t="str">
        <f t="shared" si="65"/>
        <v>"C:\Program Files (x86)\AstroGrep\AstroGrep.exe" /e /r /s /spath="%USERPROFILE%\AppData\Local\Temp\OnboardLogs" /stypes="app*4019*20170526*" /stext=" 11:.+((SYSTEM_STATE.+slice.+state.+changed )|(ment ac)|(multiple cpu faults)|(system.+state.+changed )|(\[timeout)|(PRM\|1\|D)|(kpr)|(kdp)|(train st.+moving)|(\|lc)|(penalty))"</v>
      </c>
      <c r="AG160" s="1" t="str">
        <f t="shared" si="66"/>
        <v>NW</v>
      </c>
      <c r="AH160" s="81" t="str">
        <f t="shared" si="67"/>
        <v>"%USERPROFILE%\Documents\GitHub\eaglep3\Utilities\RefineRTDCRunTimes.py" --tripid 800-26 --locoid 4019 --swversion DE.1.0.9.0 --startMP 300:58643 --initTime 2017-05-26T05:07:22 --startdatetime 2017-05-26T05:10:44 --delay 2 --endMP 204:685 --enddatetime 2017-05-26T05:25:49 --enforcementcount 0 &gt;&gt;C:\Users\stu\Documents\GitHub\eaglep3-reporting\EC\2017-05-26-refined-times.txt</v>
      </c>
      <c r="AI160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{"issue":{"subject":"","project_id":79,"tracker_id":40,"status_id":1,"priority_id":2,"assigned_to_id":23,"start_date":"2017-05-26","description":"","custom_fields":[{"id":1,"name":"Subdivision","value":"NW"},{"id":4,"name":"Milepost","value":"0.0685"},{"id":17,"name":"Train ID","value":"800-26"},{"id":16,"name":"Locomotive ID","value":"4019"},{"id":130,"name":"Impact","value":""},{"id":150,"name":"Time of Event (Mountain Time)","value":"05:25:49"},{"id":151,"name":"Denver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9"/>
        <v>start /low /b %USERPROFILE%\Documents\GitHub\eaglep3\Utilities\DownloadLogsFromS3.py --loco 4019 --day 2017-05-26</v>
      </c>
      <c r="AN160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649</v>
      </c>
      <c r="B161" s="7">
        <v>4020</v>
      </c>
      <c r="C161" s="21" t="s">
        <v>204</v>
      </c>
      <c r="D161" s="21" t="s">
        <v>581</v>
      </c>
      <c r="E161" s="13">
        <v>42881.227939814817</v>
      </c>
      <c r="F161" s="13">
        <v>42881.235636574071</v>
      </c>
      <c r="G161" s="7">
        <v>1</v>
      </c>
      <c r="H161" s="21" t="s">
        <v>941</v>
      </c>
      <c r="I161" s="13">
        <v>42881.245891203704</v>
      </c>
      <c r="J161" s="7">
        <v>0</v>
      </c>
      <c r="K161" s="92" t="str">
        <f t="shared" si="54"/>
        <v>4019/4020</v>
      </c>
      <c r="L161" s="21" t="str">
        <f>VLOOKUP(A161,'Trips&amp;Operators'!$C$1:$G$99999,5,FALSE)</f>
        <v>GUZMAN DANNY</v>
      </c>
      <c r="M161" s="6">
        <f t="shared" si="55"/>
        <v>1.025462963298196E-2</v>
      </c>
      <c r="N161" s="7">
        <f t="shared" si="71"/>
        <v>14.766666671494022</v>
      </c>
      <c r="O161" s="7"/>
      <c r="P161" s="7"/>
      <c r="Q161" s="22"/>
      <c r="R161" s="173"/>
      <c r="S161" s="176">
        <f t="shared" si="72"/>
        <v>1</v>
      </c>
      <c r="T161" s="202" t="str">
        <f t="shared" si="56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7"/>
        <v>https://d0f6bd738d7f1b3e5a7ca70fe4ff75f0.us-east-1.aws.found.io/app/kibana#/discover/Steve-Slow-Train-Analysis-(2080s-and-2083s)?_g=(refreshInterval:(display:Off,pause:!f,section:0,value:0),time:(from:'2017-05-26T04:28:14-0600',mode:absolute,to:'2017-05-26T06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1" s="204" t="str">
        <f t="shared" si="58"/>
        <v>N</v>
      </c>
      <c r="X161" s="204">
        <f t="shared" si="73"/>
        <v>1</v>
      </c>
      <c r="Y161" s="204">
        <f t="shared" si="78"/>
        <v>9.6699999999999994E-2</v>
      </c>
      <c r="Z161" s="204">
        <f t="shared" si="79"/>
        <v>5.8943000000000003</v>
      </c>
      <c r="AA161" s="204">
        <f t="shared" si="62"/>
        <v>5.7976000000000001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3"/>
        <v>0801-26</v>
      </c>
      <c r="AE161" s="80" t="str">
        <f t="shared" si="64"/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AF161" s="77" t="str">
        <f t="shared" si="65"/>
        <v>"C:\Program Files (x86)\AstroGrep\AstroGrep.exe" /e /r /s /spath="%USERPROFILE%\AppData\Local\Temp\OnboardLogs" /stypes="app*4020*20170526*" /stext=" 11:.+((SYSTEM_STATE.+slice.+state.+changed )|(ment ac)|(multiple cpu faults)|(system.+state.+changed )|(\[timeout)|(PRM\|1\|D)|(kpr)|(kdp)|(train st.+moving)|(\|lc)|(penalty))"</v>
      </c>
      <c r="AG161" s="1" t="str">
        <f t="shared" si="66"/>
        <v>NW</v>
      </c>
      <c r="AH161" s="81" t="str">
        <f t="shared" si="67"/>
        <v>"%USERPROFILE%\Documents\GitHub\eaglep3\Utilities\RefineRTDCRunTimes.py" --tripid 801-26 --locoid 4020 --swversion DE.1.0.9.0 --startMP 204:967 --initTime 2017-05-26T05:28:14 --startdatetime 2017-05-26T05:39:19 --delay 1 --endMP 300:58943 --enddatetime 2017-05-26T05:54:05 --enforcementcount 0 &gt;&gt;C:\Users\stu\Documents\GitHub\eaglep3-reporting\EC\2017-05-26-refined-times.txt</v>
      </c>
      <c r="AI161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{"issue":{"subject":"","project_id":79,"tracker_id":40,"status_id":1,"priority_id":2,"assigned_to_id":23,"start_date":"2017-05-26","description":"","custom_fields":[{"id":1,"name":"Subdivision","value":"NW"},{"id":4,"name":"Milepost","value":"5.8943"},{"id":17,"name":"Train ID","value":"801-26"},{"id":16,"name":"Locomotive ID","value":"4020"},{"id":130,"name":"Impact","value":""},{"id":150,"name":"Time of Event (Mountain Time)","value":"05:54:05"},{"id":151,"name":"Denver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9"/>
        <v>start /low /b %USERPROFILE%\Documents\GitHub\eaglep3\Utilities\DownloadLogsFromS3.py --loco 4020 --day 2017-05-26</v>
      </c>
      <c r="AN161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656</v>
      </c>
      <c r="B162" s="7">
        <v>4019</v>
      </c>
      <c r="C162" s="21" t="s">
        <v>204</v>
      </c>
      <c r="D162" s="21" t="s">
        <v>588</v>
      </c>
      <c r="E162" s="13">
        <v>42881.247048611112</v>
      </c>
      <c r="F162" s="13">
        <v>42881.259722222225</v>
      </c>
      <c r="G162" s="7">
        <v>1</v>
      </c>
      <c r="H162" s="21" t="s">
        <v>942</v>
      </c>
      <c r="I162" s="13">
        <v>42881.269826388889</v>
      </c>
      <c r="J162" s="7">
        <v>0</v>
      </c>
      <c r="K162" s="92" t="str">
        <f t="shared" si="54"/>
        <v>4019/4020</v>
      </c>
      <c r="L162" s="21" t="str">
        <f>VLOOKUP(A162,'Trips&amp;Operators'!$C$1:$G$99999,5,FALSE)</f>
        <v>GUZMAN DANNY</v>
      </c>
      <c r="M162" s="6">
        <f t="shared" si="55"/>
        <v>1.0104166663950309E-2</v>
      </c>
      <c r="N162" s="7">
        <f t="shared" si="71"/>
        <v>14.549999996088445</v>
      </c>
      <c r="O162" s="7"/>
      <c r="P162" s="7"/>
      <c r="Q162" s="22"/>
      <c r="R162" s="173"/>
      <c r="S162" s="176">
        <f t="shared" si="72"/>
        <v>1</v>
      </c>
      <c r="T162" s="202" t="str">
        <f t="shared" si="56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7"/>
        <v>https://d0f6bd738d7f1b3e5a7ca70fe4ff75f0.us-east-1.aws.found.io/app/kibana#/discover/Steve-Slow-Train-Analysis-(2080s-and-2083s)?_g=(refreshInterval:(display:Off,pause:!f,section:0,value:0),time:(from:'2017-05-26T04:55:45-0600',mode:absolute,to:'2017-05-26T07:28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2" s="204" t="str">
        <f t="shared" si="58"/>
        <v>N</v>
      </c>
      <c r="X162" s="204">
        <f t="shared" si="73"/>
        <v>1</v>
      </c>
      <c r="Y162" s="204">
        <f t="shared" si="78"/>
        <v>5.8620999999999999</v>
      </c>
      <c r="Z162" s="204">
        <f t="shared" si="79"/>
        <v>8.8000000000000005E-3</v>
      </c>
      <c r="AA162" s="204">
        <f t="shared" si="62"/>
        <v>5.8532999999999999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3"/>
        <v>0802-26</v>
      </c>
      <c r="AE162" s="80" t="str">
        <f t="shared" si="64"/>
        <v>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 &amp; aws s3 cp s3://rtdc.mdm.uploadarchive.raw/RTDC4019/ "%USERPROFILE%\AppData\Local\Temp\OnboardLogs"\RTDC4019\2017-05-27 --exclude "*" --recursive --include "*20170527*" &amp; "%USERPROFILE%\Documents\GitHub\mrs-test-scripts\Headless Mode &amp; Sideloading\WalkAndUnGZ.bat" "%USERPROFILE%\AppData\Local\Temp\OnboardLogs"\RTDC4019\2017-05-27</v>
      </c>
      <c r="AF162" s="77" t="str">
        <f t="shared" si="65"/>
        <v>"C:\Program Files (x86)\AstroGrep\AstroGrep.exe" /e /r /s /spath="%USERPROFILE%\AppData\Local\Temp\OnboardLogs" /stypes="app*4019*20170526*" /stext=" 12:.+((SYSTEM_STATE.+slice.+state.+changed )|(ment ac)|(multiple cpu faults)|(system.+state.+changed )|(\[timeout)|(PRM\|1\|D)|(kpr)|(kdp)|(train st.+moving)|(\|lc)|(penalty))"</v>
      </c>
      <c r="AG162" s="1" t="str">
        <f t="shared" si="66"/>
        <v>NW</v>
      </c>
      <c r="AH162" s="81" t="str">
        <f t="shared" si="67"/>
        <v>"%USERPROFILE%\Documents\GitHub\eaglep3\Utilities\RefineRTDCRunTimes.py" --tripid 802-26 --locoid 4019 --swversion DE.1.0.9.0 --startMP 300:58621 --initTime 2017-05-26T05:55:45 --startdatetime 2017-05-26T06:14:00 --delay 1 --endMP 204:88 --enddatetime 2017-05-26T06:28:33 --enforcementcount 0 &gt;&gt;C:\Users\stu\Documents\GitHub\eaglep3-reporting\EC\2017-05-26-refined-times.txt</v>
      </c>
      <c r="AI162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{"issue":{"subject":"","project_id":79,"tracker_id":40,"status_id":1,"priority_id":2,"assigned_to_id":23,"start_date":"2017-05-26","description":"","custom_fields":[{"id":1,"name":"Subdivision","value":"NW"},{"id":4,"name":"Milepost","value":"0.0088"},{"id":17,"name":"Train ID","value":"802-26"},{"id":16,"name":"Locomotive ID","value":"4019"},{"id":130,"name":"Impact","value":""},{"id":150,"name":"Time of Event (Mountain Time)","value":"06:28:33"},{"id":151,"name":"Denver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9"/>
        <v>start /low /b %USERPROFILE%\Documents\GitHub\eaglep3\Utilities\DownloadLogsFromS3.py --loco 4019 --day 2017-05-26</v>
      </c>
      <c r="AN162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12:28:33"},{"id":29,"name":"Sharepoint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663</v>
      </c>
      <c r="B163" s="7">
        <v>4020</v>
      </c>
      <c r="C163" s="21" t="s">
        <v>204</v>
      </c>
      <c r="D163" s="21" t="s">
        <v>943</v>
      </c>
      <c r="E163" s="13">
        <v>42881.272187499999</v>
      </c>
      <c r="F163" s="13">
        <v>42881.288726851853</v>
      </c>
      <c r="G163" s="7">
        <v>1</v>
      </c>
      <c r="H163" s="21" t="s">
        <v>505</v>
      </c>
      <c r="I163" s="13">
        <v>42881.298888888887</v>
      </c>
      <c r="J163" s="7">
        <v>0</v>
      </c>
      <c r="K163" s="92" t="str">
        <f t="shared" si="54"/>
        <v>4019/4020</v>
      </c>
      <c r="L163" s="21" t="str">
        <f>VLOOKUP(A163,'Trips&amp;Operators'!$C$1:$G$99999,5,FALSE)</f>
        <v>GUZMAN DANNY</v>
      </c>
      <c r="M163" s="6">
        <f t="shared" si="55"/>
        <v>1.0162037033296656E-2</v>
      </c>
      <c r="N163" s="7">
        <f t="shared" si="71"/>
        <v>14.633333327947184</v>
      </c>
      <c r="O163" s="7"/>
      <c r="P163" s="7"/>
      <c r="Q163" s="22"/>
      <c r="R163" s="173"/>
      <c r="S163" s="176">
        <f t="shared" si="72"/>
        <v>1</v>
      </c>
      <c r="T163" s="202" t="str">
        <f t="shared" si="56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7"/>
        <v>https://d0f6bd738d7f1b3e5a7ca70fe4ff75f0.us-east-1.aws.found.io/app/kibana#/discover/Steve-Slow-Train-Analysis-(2080s-and-2083s)?_g=(refreshInterval:(display:Off,pause:!f,section:0,value:0),time:(from:'2017-05-26T05:31:57-0600',mode:absolute,to:'2017-05-26T08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3" s="204" t="str">
        <f t="shared" si="58"/>
        <v>N</v>
      </c>
      <c r="X163" s="204">
        <f t="shared" si="73"/>
        <v>3</v>
      </c>
      <c r="Y163" s="204">
        <f t="shared" si="78"/>
        <v>3.7900000000000003E-2</v>
      </c>
      <c r="Z163" s="204">
        <f t="shared" si="79"/>
        <v>5.8952</v>
      </c>
      <c r="AA163" s="204">
        <f t="shared" si="62"/>
        <v>5.8573000000000004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3"/>
        <v>0805-26</v>
      </c>
      <c r="AE163" s="80" t="str">
        <f t="shared" si="64"/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AF163" s="77" t="str">
        <f t="shared" si="65"/>
        <v>"C:\Program Files (x86)\AstroGrep\AstroGrep.exe" /e /r /s /spath="%USERPROFILE%\AppData\Local\Temp\OnboardLogs" /stypes="app*4020*20170526*" /stext=" 13:.+((SYSTEM_STATE.+slice.+state.+changed )|(ment ac)|(multiple cpu faults)|(system.+state.+changed )|(\[timeout)|(PRM\|1\|D)|(kpr)|(kdp)|(train st.+moving)|(\|lc)|(penalty))"</v>
      </c>
      <c r="AG163" s="1" t="str">
        <f t="shared" si="66"/>
        <v>NW</v>
      </c>
      <c r="AH163" s="81" t="str">
        <f t="shared" si="67"/>
        <v>"%USERPROFILE%\Documents\GitHub\eaglep3\Utilities\RefineRTDCRunTimes.py" --tripid 805-26 --locoid 4020 --swversion DE.1.0.9.0 --startMP 204:379 --initTime 2017-05-26T06:31:57 --startdatetime 2017-05-26T06:55:46 --delay 1 --endMP 300:58952 --enddatetime 2017-05-26T07:10:24 --enforcementcount 0 &gt;&gt;C:\Users\stu\Documents\GitHub\eaglep3-reporting\EC\2017-05-26-refined-times.txt</v>
      </c>
      <c r="AI163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{"issue":{"subject":"","project_id":79,"tracker_id":40,"status_id":1,"priority_id":2,"assigned_to_id":23,"start_date":"2017-05-26","description":"","custom_fields":[{"id":1,"name":"Subdivision","value":"NW"},{"id":4,"name":"Milepost","value":"5.8952"},{"id":17,"name":"Train ID","value":"805-26"},{"id":16,"name":"Locomotive ID","value":"4020"},{"id":130,"name":"Impact","value":""},{"id":150,"name":"Time of Event (Mountain Time)","value":"07:10:24"},{"id":151,"name":"Denver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9"/>
        <v>start /low /b %USERPROFILE%\Documents\GitHub\eaglep3\Utilities\DownloadLogsFromS3.py --loco 4020 --day 2017-05-26</v>
      </c>
      <c r="AN163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13:10:24"},{"id":29,"name":"Sharepoint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672</v>
      </c>
      <c r="B164" s="7">
        <v>4019</v>
      </c>
      <c r="C164" s="21" t="s">
        <v>204</v>
      </c>
      <c r="D164" s="21" t="s">
        <v>510</v>
      </c>
      <c r="E164" s="13">
        <v>42881.299583333333</v>
      </c>
      <c r="F164" s="13">
        <v>42881.300925925927</v>
      </c>
      <c r="G164" s="7">
        <v>1</v>
      </c>
      <c r="H164" s="21" t="s">
        <v>944</v>
      </c>
      <c r="I164" s="13">
        <v>42881.311273148145</v>
      </c>
      <c r="J164" s="7">
        <v>0</v>
      </c>
      <c r="K164" s="92" t="str">
        <f t="shared" si="54"/>
        <v>4019/4020</v>
      </c>
      <c r="L164" s="21" t="str">
        <f>VLOOKUP(A164,'Trips&amp;Operators'!$C$1:$G$99999,5,FALSE)</f>
        <v>GUZMAN DANNY</v>
      </c>
      <c r="M164" s="6">
        <f t="shared" si="55"/>
        <v>1.0347222218115348E-2</v>
      </c>
      <c r="N164" s="7">
        <f t="shared" si="71"/>
        <v>14.899999994086102</v>
      </c>
      <c r="O164" s="7"/>
      <c r="P164" s="7"/>
      <c r="Q164" s="22"/>
      <c r="R164" s="173"/>
      <c r="S164" s="176">
        <f t="shared" si="72"/>
        <v>1</v>
      </c>
      <c r="T164" s="202" t="str">
        <f t="shared" si="56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7"/>
        <v>https://d0f6bd738d7f1b3e5a7ca70fe4ff75f0.us-east-1.aws.found.io/app/kibana#/discover/Steve-Slow-Train-Analysis-(2080s-and-2083s)?_g=(refreshInterval:(display:Off,pause:!f,section:0,value:0),time:(from:'2017-05-26T06:11:24-0600',mode:absolute,to:'2017-05-26T08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4" s="204" t="str">
        <f t="shared" si="58"/>
        <v>N</v>
      </c>
      <c r="X164" s="204">
        <f t="shared" si="73"/>
        <v>1</v>
      </c>
      <c r="Y164" s="204">
        <f t="shared" si="78"/>
        <v>5.8634000000000004</v>
      </c>
      <c r="Z164" s="204">
        <f t="shared" si="79"/>
        <v>6.7799999999999999E-2</v>
      </c>
      <c r="AA164" s="204">
        <f t="shared" si="62"/>
        <v>5.7956000000000003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3"/>
        <v>0806-26</v>
      </c>
      <c r="AE164" s="80" t="str">
        <f t="shared" si="64"/>
        <v>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 &amp; aws s3 cp s3://rtdc.mdm.uploadarchive.raw/RTDC4019/ "%USERPROFILE%\AppData\Local\Temp\OnboardLogs"\RTDC4019\2017-05-27 --exclude "*" --recursive --include "*20170527*" &amp; "%USERPROFILE%\Documents\GitHub\mrs-test-scripts\Headless Mode &amp; Sideloading\WalkAndUnGZ.bat" "%USERPROFILE%\AppData\Local\Temp\OnboardLogs"\RTDC4019\2017-05-27</v>
      </c>
      <c r="AF164" s="77" t="str">
        <f t="shared" si="65"/>
        <v>"C:\Program Files (x86)\AstroGrep\AstroGrep.exe" /e /r /s /spath="%USERPROFILE%\AppData\Local\Temp\OnboardLogs" /stypes="app*4019*20170526*" /stext=" 13:.+((SYSTEM_STATE.+slice.+state.+changed )|(ment ac)|(multiple cpu faults)|(system.+state.+changed )|(\[timeout)|(PRM\|1\|D)|(kpr)|(kdp)|(train st.+moving)|(\|lc)|(penalty))"</v>
      </c>
      <c r="AG164" s="1" t="str">
        <f t="shared" si="66"/>
        <v>NW</v>
      </c>
      <c r="AH164" s="81" t="str">
        <f t="shared" si="67"/>
        <v>"%USERPROFILE%\Documents\GitHub\eaglep3\Utilities\RefineRTDCRunTimes.py" --tripid 806-26 --locoid 4019 --swversion DE.1.0.9.0 --startMP 300:58634 --initTime 2017-05-26T07:11:24 --startdatetime 2017-05-26T07:13:20 --delay 1 --endMP 204:678 --enddatetime 2017-05-26T07:28:14 --enforcementcount 0 &gt;&gt;C:\Users\stu\Documents\GitHub\eaglep3-reporting\EC\2017-05-26-refined-times.txt</v>
      </c>
      <c r="AI164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{"issue":{"subject":"","project_id":79,"tracker_id":40,"status_id":1,"priority_id":2,"assigned_to_id":23,"start_date":"2017-05-26","description":"","custom_fields":[{"id":1,"name":"Subdivision","value":"NW"},{"id":4,"name":"Milepost","value":"0.0678"},{"id":17,"name":"Train ID","value":"806-26"},{"id":16,"name":"Locomotive ID","value":"4019"},{"id":130,"name":"Impact","value":""},{"id":150,"name":"Time of Event (Mountain Time)","value":"07:28:14"},{"id":151,"name":"Denver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9"/>
        <v>start /low /b %USERPROFILE%\Documents\GitHub\eaglep3\Utilities\DownloadLogsFromS3.py --loco 4019 --day 2017-05-26</v>
      </c>
      <c r="AN164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673</v>
      </c>
      <c r="B165" s="7">
        <v>4010</v>
      </c>
      <c r="C165" s="21" t="s">
        <v>204</v>
      </c>
      <c r="D165" s="21" t="s">
        <v>585</v>
      </c>
      <c r="E165" s="13">
        <v>42881.306828703702</v>
      </c>
      <c r="F165" s="13">
        <v>42881.308321759258</v>
      </c>
      <c r="G165" s="7">
        <v>1</v>
      </c>
      <c r="H165" s="21" t="s">
        <v>474</v>
      </c>
      <c r="I165" s="13">
        <v>42881.317384259259</v>
      </c>
      <c r="J165" s="7">
        <v>0</v>
      </c>
      <c r="K165" s="92" t="str">
        <f t="shared" si="54"/>
        <v>4009/4010</v>
      </c>
      <c r="L165" s="21" t="str">
        <f>VLOOKUP(A165,'Trips&amp;Operators'!$C$1:$G$99999,5,FALSE)</f>
        <v>ZEWDU DEREJE</v>
      </c>
      <c r="M165" s="6">
        <f t="shared" si="55"/>
        <v>9.0625000011641532E-3</v>
      </c>
      <c r="N165" s="7">
        <f t="shared" si="71"/>
        <v>13.050000001676381</v>
      </c>
      <c r="O165" s="7"/>
      <c r="P165" s="7"/>
      <c r="Q165" s="22"/>
      <c r="R165" s="173"/>
      <c r="S165" s="176">
        <f t="shared" si="72"/>
        <v>1</v>
      </c>
      <c r="T165" s="202" t="str">
        <f t="shared" si="56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7"/>
        <v>https://d0f6bd738d7f1b3e5a7ca70fe4ff75f0.us-east-1.aws.found.io/app/kibana#/discover/Steve-Slow-Train-Analysis-(2080s-and-2083s)?_g=(refreshInterval:(display:Off,pause:!f,section:0,value:0),time:(from:'2017-05-26T06:21:50-0600',mode:absolute,to:'2017-05-26T08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204" t="str">
        <f t="shared" si="58"/>
        <v>N</v>
      </c>
      <c r="X165" s="204">
        <f t="shared" si="73"/>
        <v>1</v>
      </c>
      <c r="Y165" s="204">
        <f t="shared" si="78"/>
        <v>9.8799999999999999E-2</v>
      </c>
      <c r="Z165" s="204">
        <f t="shared" si="79"/>
        <v>5.8945999999999996</v>
      </c>
      <c r="AA165" s="204">
        <f t="shared" si="62"/>
        <v>5.7957999999999998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3"/>
        <v>0807-26</v>
      </c>
      <c r="AE165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65" s="77" t="str">
        <f t="shared" si="65"/>
        <v>"C:\Program Files (x86)\AstroGrep\AstroGrep.exe" /e /r /s /spath="%USERPROFILE%\AppData\Local\Temp\OnboardLogs" /stypes="app*4010*20170526*" /stext=" 13:.+((SYSTEM_STATE.+slice.+state.+changed )|(ment ac)|(multiple cpu faults)|(system.+state.+changed )|(\[timeout)|(PRM\|1\|D)|(kpr)|(kdp)|(train st.+moving)|(\|lc)|(penalty))"</v>
      </c>
      <c r="AG165" s="1" t="str">
        <f t="shared" si="66"/>
        <v>NW</v>
      </c>
      <c r="AH165" s="81" t="str">
        <f t="shared" si="67"/>
        <v>"%USERPROFILE%\Documents\GitHub\eaglep3\Utilities\RefineRTDCRunTimes.py" --tripid 807-26 --locoid 4010 --swversion DE.1.0.9.0 --startMP 204:988 --initTime 2017-05-26T07:21:50 --startdatetime 2017-05-26T07:23:59 --delay 1 --endMP 300:58946 --enddatetime 2017-05-26T07:37:02 --enforcementcount 0 &gt;&gt;C:\Users\stu\Documents\GitHub\eaglep3-reporting\EC\2017-05-26-refined-times.txt</v>
      </c>
      <c r="AI165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{"issue":{"subject":"","project_id":79,"tracker_id":40,"status_id":1,"priority_id":2,"assigned_to_id":23,"start_date":"2017-05-26","description":"","custom_fields":[{"id":1,"name":"Subdivision","value":"NW"},{"id":4,"name":"Milepost","value":"5.8946"},{"id":17,"name":"Train ID","value":"807-26"},{"id":16,"name":"Locomotive ID","value":"4010"},{"id":130,"name":"Impact","value":""},{"id":150,"name":"Time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9"/>
        <v>start /low /b %USERPROFILE%\Documents\GitHub\eaglep3\Utilities\DownloadLogsFromS3.py --loco 4010 --day 2017-05-26</v>
      </c>
      <c r="AN165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678</v>
      </c>
      <c r="B166" s="7">
        <v>4009</v>
      </c>
      <c r="C166" s="21" t="s">
        <v>204</v>
      </c>
      <c r="D166" s="21" t="s">
        <v>508</v>
      </c>
      <c r="E166" s="13">
        <v>42881.318194444444</v>
      </c>
      <c r="F166" s="13">
        <v>42881.319675925923</v>
      </c>
      <c r="G166" s="7">
        <v>1</v>
      </c>
      <c r="H166" s="21" t="s">
        <v>583</v>
      </c>
      <c r="I166" s="13">
        <v>42881.329872685186</v>
      </c>
      <c r="J166" s="7">
        <v>0</v>
      </c>
      <c r="K166" s="92" t="str">
        <f t="shared" si="54"/>
        <v>4009/4010</v>
      </c>
      <c r="L166" s="21" t="str">
        <f>VLOOKUP(A166,'Trips&amp;Operators'!$C$1:$G$99999,5,FALSE)</f>
        <v>ZEWDU DEREJE</v>
      </c>
      <c r="M166" s="6">
        <f t="shared" si="55"/>
        <v>1.0196759263635613E-2</v>
      </c>
      <c r="N166" s="7">
        <f t="shared" si="71"/>
        <v>14.683333339635283</v>
      </c>
      <c r="O166" s="7"/>
      <c r="P166" s="7"/>
      <c r="Q166" s="22"/>
      <c r="R166" s="173"/>
      <c r="S166" s="176">
        <f t="shared" si="72"/>
        <v>1</v>
      </c>
      <c r="T166" s="202" t="str">
        <f t="shared" si="56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7"/>
        <v>https://d0f6bd738d7f1b3e5a7ca70fe4ff75f0.us-east-1.aws.found.io/app/kibana#/discover/Steve-Slow-Train-Analysis-(2080s-and-2083s)?_g=(refreshInterval:(display:Off,pause:!f,section:0,value:0),time:(from:'2017-05-26T06:38:12-0600',mode:absolute,to:'2017-05-26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204" t="str">
        <f t="shared" si="58"/>
        <v>N</v>
      </c>
      <c r="X166" s="204">
        <f t="shared" si="73"/>
        <v>1</v>
      </c>
      <c r="Y166" s="204">
        <f t="shared" si="78"/>
        <v>5.8635999999999999</v>
      </c>
      <c r="Z166" s="204">
        <f t="shared" si="79"/>
        <v>6.8199999999999997E-2</v>
      </c>
      <c r="AA166" s="204">
        <f t="shared" si="62"/>
        <v>5.7953999999999999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3"/>
        <v>0808-26</v>
      </c>
      <c r="AE166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66" s="77" t="str">
        <f t="shared" si="65"/>
        <v>"C:\Program Files (x86)\AstroGrep\AstroGrep.exe" /e /r /s /spath="%USERPROFILE%\AppData\Local\Temp\OnboardLogs" /stypes="app*4009*20170526*" /stext=" 13:.+((SYSTEM_STATE.+slice.+state.+changed )|(ment ac)|(multiple cpu faults)|(system.+state.+changed )|(\[timeout)|(PRM\|1\|D)|(kpr)|(kdp)|(train st.+moving)|(\|lc)|(penalty))"</v>
      </c>
      <c r="AG166" s="1" t="str">
        <f t="shared" si="66"/>
        <v>NW</v>
      </c>
      <c r="AH166" s="81" t="str">
        <f t="shared" si="67"/>
        <v>"%USERPROFILE%\Documents\GitHub\eaglep3\Utilities\RefineRTDCRunTimes.py" --tripid 808-26 --locoid 4009 --swversion DE.1.0.9.0 --startMP 300:58636 --initTime 2017-05-26T07:38:12 --startdatetime 2017-05-26T07:40:20 --delay 1 --endMP 204:682 --enddatetime 2017-05-26T07:55:01 --enforcementcount 0 &gt;&gt;C:\Users\stu\Documents\GitHub\eaglep3-reporting\EC\2017-05-26-refined-times.txt</v>
      </c>
      <c r="AI166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{"issue":{"subject":"","project_id":79,"tracker_id":40,"status_id":1,"priority_id":2,"assigned_to_id":23,"start_date":"2017-05-26","description":"","custom_fields":[{"id":1,"name":"Subdivision","value":"NW"},{"id":4,"name":"Milepost","value":"0.0682"},{"id":17,"name":"Train ID","value":"808-26"},{"id":16,"name":"Locomotive ID","value":"4009"},{"id":130,"name":"Impact","value":""},{"id":150,"name":"Time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9"/>
        <v>start /low /b %USERPROFILE%\Documents\GitHub\eaglep3\Utilities\DownloadLogsFromS3.py --loco 4009 --day 2017-05-26</v>
      </c>
      <c r="AN166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676</v>
      </c>
      <c r="B167" s="7">
        <v>4020</v>
      </c>
      <c r="C167" s="21" t="s">
        <v>204</v>
      </c>
      <c r="D167" s="21" t="s">
        <v>945</v>
      </c>
      <c r="E167" s="13">
        <v>42881.313564814816</v>
      </c>
      <c r="F167" s="13">
        <v>42881.327280092592</v>
      </c>
      <c r="G167" s="7">
        <v>1</v>
      </c>
      <c r="H167" s="21" t="s">
        <v>533</v>
      </c>
      <c r="I167" s="13">
        <v>42881.336550925924</v>
      </c>
      <c r="J167" s="7">
        <v>0</v>
      </c>
      <c r="K167" s="92" t="str">
        <f t="shared" si="54"/>
        <v>4019/4020</v>
      </c>
      <c r="L167" s="21" t="str">
        <f>VLOOKUP(A167,'Trips&amp;Operators'!$C$1:$G$99999,5,FALSE)</f>
        <v>GUZMAN DANNY</v>
      </c>
      <c r="M167" s="6">
        <f t="shared" si="55"/>
        <v>9.2708333322661929E-3</v>
      </c>
      <c r="N167" s="7">
        <f t="shared" si="71"/>
        <v>13.349999998463318</v>
      </c>
      <c r="O167" s="7"/>
      <c r="P167" s="7"/>
      <c r="Q167" s="22"/>
      <c r="R167" s="173"/>
      <c r="S167" s="176">
        <f t="shared" si="72"/>
        <v>1</v>
      </c>
      <c r="T167" s="202" t="str">
        <f t="shared" si="56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7"/>
        <v>https://d0f6bd738d7f1b3e5a7ca70fe4ff75f0.us-east-1.aws.found.io/app/kibana#/discover/Steve-Slow-Train-Analysis-(2080s-and-2083s)?_g=(refreshInterval:(display:Off,pause:!f,section:0,value:0),time:(from:'2017-05-26T06:31:32-0600',mode:absolute,to:'2017-05-26T09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7" s="204" t="str">
        <f t="shared" si="58"/>
        <v>N</v>
      </c>
      <c r="X167" s="204">
        <f t="shared" si="73"/>
        <v>1</v>
      </c>
      <c r="Y167" s="204">
        <f t="shared" si="78"/>
        <v>9.7100000000000006E-2</v>
      </c>
      <c r="Z167" s="204">
        <f t="shared" si="79"/>
        <v>5.8949999999999996</v>
      </c>
      <c r="AA167" s="204">
        <f t="shared" si="62"/>
        <v>5.7978999999999994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3"/>
        <v>0809-26</v>
      </c>
      <c r="AE167" s="80" t="str">
        <f t="shared" si="64"/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AF167" s="77" t="str">
        <f t="shared" si="65"/>
        <v>"C:\Program Files (x86)\AstroGrep\AstroGrep.exe" /e /r /s /spath="%USERPROFILE%\AppData\Local\Temp\OnboardLogs" /stypes="app*4020*20170526*" /stext=" 14:.+((SYSTEM_STATE.+slice.+state.+changed )|(ment ac)|(multiple cpu faults)|(system.+state.+changed )|(\[timeout)|(PRM\|1\|D)|(kpr)|(kdp)|(train st.+moving)|(\|lc)|(penalty))"</v>
      </c>
      <c r="AG167" s="1" t="str">
        <f t="shared" si="66"/>
        <v>NW</v>
      </c>
      <c r="AH167" s="81" t="str">
        <f t="shared" si="67"/>
        <v>"%USERPROFILE%\Documents\GitHub\eaglep3\Utilities\RefineRTDCRunTimes.py" --tripid 809-26 --locoid 4020 --swversion DE.1.0.9.0 --startMP 204:971 --initTime 2017-05-26T07:31:32 --startdatetime 2017-05-26T07:51:17 --delay 1 --endMP 300:58950 --enddatetime 2017-05-26T08:04:38 --enforcementcount 0 &gt;&gt;C:\Users\stu\Documents\GitHub\eaglep3-reporting\EC\2017-05-26-refined-times.txt</v>
      </c>
      <c r="AI167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{"issue":{"subject":"","project_id":79,"tracker_id":40,"status_id":1,"priority_id":2,"assigned_to_id":23,"start_date":"2017-05-26","description":"","custom_fields":[{"id":1,"name":"Subdivision","value":"NW"},{"id":4,"name":"Milepost","value":"5.895"},{"id":17,"name":"Train ID","value":"809-26"},{"id":16,"name":"Locomotive ID","value":"4020"},{"id":130,"name":"Impact","value":""},{"id":150,"name":"Time of Event (Mountain Time)","value":"08:04:38"},{"id":151,"name":"Denver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9"/>
        <v>start /low /b %USERPROFILE%\Documents\GitHub\eaglep3\Utilities\DownloadLogsFromS3.py --loco 4020 --day 2017-05-26</v>
      </c>
      <c r="AN167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684</v>
      </c>
      <c r="B168" s="7">
        <v>4019</v>
      </c>
      <c r="C168" s="21" t="s">
        <v>204</v>
      </c>
      <c r="D168" s="21" t="s">
        <v>510</v>
      </c>
      <c r="E168" s="13">
        <v>42881.338206018518</v>
      </c>
      <c r="F168" s="13">
        <v>42881.339606481481</v>
      </c>
      <c r="G168" s="7">
        <v>1</v>
      </c>
      <c r="H168" s="21" t="s">
        <v>580</v>
      </c>
      <c r="I168" s="13">
        <v>42881.351365740738</v>
      </c>
      <c r="J168" s="7">
        <v>0</v>
      </c>
      <c r="K168" s="92" t="str">
        <f t="shared" si="54"/>
        <v>4019/4020</v>
      </c>
      <c r="L168" s="21" t="str">
        <f>VLOOKUP(A168,'Trips&amp;Operators'!$C$1:$G$99999,5,FALSE)</f>
        <v>GUZMAN DANNY</v>
      </c>
      <c r="M168" s="6">
        <f t="shared" si="55"/>
        <v>1.1759259257814847E-2</v>
      </c>
      <c r="N168" s="7">
        <f t="shared" si="71"/>
        <v>16.93333333125338</v>
      </c>
      <c r="O168" s="7"/>
      <c r="P168" s="7"/>
      <c r="Q168" s="22"/>
      <c r="R168" s="173"/>
      <c r="S168" s="176">
        <f t="shared" si="72"/>
        <v>1</v>
      </c>
      <c r="T168" s="202" t="str">
        <f t="shared" si="56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7"/>
        <v>https://d0f6bd738d7f1b3e5a7ca70fe4ff75f0.us-east-1.aws.found.io/app/kibana#/discover/Steve-Slow-Train-Analysis-(2080s-and-2083s)?_g=(refreshInterval:(display:Off,pause:!f,section:0,value:0),time:(from:'2017-05-26T07:07:01-0600',mode:absolute,to:'2017-05-26T09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8" s="204" t="str">
        <f t="shared" si="58"/>
        <v>N</v>
      </c>
      <c r="X168" s="204">
        <f t="shared" si="73"/>
        <v>1</v>
      </c>
      <c r="Y168" s="204">
        <f t="shared" si="78"/>
        <v>5.8634000000000004</v>
      </c>
      <c r="Z168" s="204">
        <f t="shared" si="79"/>
        <v>0.115</v>
      </c>
      <c r="AA168" s="204">
        <f t="shared" si="62"/>
        <v>5.7484000000000002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3"/>
        <v>0810-26</v>
      </c>
      <c r="AE168" s="80" t="str">
        <f t="shared" si="64"/>
        <v>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 &amp; aws s3 cp s3://rtdc.mdm.uploadarchive.raw/RTDC4019/ "%USERPROFILE%\AppData\Local\Temp\OnboardLogs"\RTDC4019\2017-05-27 --exclude "*" --recursive --include "*20170527*" &amp; "%USERPROFILE%\Documents\GitHub\mrs-test-scripts\Headless Mode &amp; Sideloading\WalkAndUnGZ.bat" "%USERPROFILE%\AppData\Local\Temp\OnboardLogs"\RTDC4019\2017-05-27</v>
      </c>
      <c r="AF168" s="77" t="str">
        <f t="shared" si="65"/>
        <v>"C:\Program Files (x86)\AstroGrep\AstroGrep.exe" /e /r /s /spath="%USERPROFILE%\AppData\Local\Temp\OnboardLogs" /stypes="app*4019*20170526*" /stext=" 14:.+((SYSTEM_STATE.+slice.+state.+changed )|(ment ac)|(multiple cpu faults)|(system.+state.+changed )|(\[timeout)|(PRM\|1\|D)|(kpr)|(kdp)|(train st.+moving)|(\|lc)|(penalty))"</v>
      </c>
      <c r="AG168" s="1" t="str">
        <f t="shared" si="66"/>
        <v>NW</v>
      </c>
      <c r="AH168" s="81" t="str">
        <f t="shared" si="67"/>
        <v>"%USERPROFILE%\Documents\GitHub\eaglep3\Utilities\RefineRTDCRunTimes.py" --tripid 810-26 --locoid 4019 --swversion DE.1.0.9.0 --startMP 300:58634 --initTime 2017-05-26T08:07:01 --startdatetime 2017-05-26T08:09:02 --delay 1 --endMP 204:1150 --enddatetime 2017-05-26T08:25:58 --enforcementcount 0 &gt;&gt;C:\Users\stu\Documents\GitHub\eaglep3-reporting\EC\2017-05-26-refined-times.txt</v>
      </c>
      <c r="AI168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{"issue":{"subject":"","project_id":79,"tracker_id":40,"status_id":1,"priority_id":2,"assigned_to_id":23,"start_date":"2017-05-26","description":"","custom_fields":[{"id":1,"name":"Subdivision","value":"NW"},{"id":4,"name":"Milepost","value":"0.115"},{"id":17,"name":"Train ID","value":"810-26"},{"id":16,"name":"Locomotive ID","value":"4019"},{"id":130,"name":"Impact","value":""},{"id":150,"name":"Time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9"/>
        <v>start /low /b %USERPROFILE%\Documents\GitHub\eaglep3\Utilities\DownloadLogsFromS3.py --loco 4019 --day 2017-05-26</v>
      </c>
      <c r="AN168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683</v>
      </c>
      <c r="B169" s="7">
        <v>4010</v>
      </c>
      <c r="C169" s="21" t="s">
        <v>204</v>
      </c>
      <c r="D169" s="21" t="s">
        <v>582</v>
      </c>
      <c r="E169" s="13">
        <v>42881.33185185185</v>
      </c>
      <c r="F169" s="13">
        <v>42881.348090277781</v>
      </c>
      <c r="G169" s="7">
        <v>1</v>
      </c>
      <c r="H169" s="21" t="s">
        <v>948</v>
      </c>
      <c r="I169" s="13">
        <v>42881.357581018521</v>
      </c>
      <c r="J169" s="7">
        <v>0</v>
      </c>
      <c r="K169" s="92" t="str">
        <f t="shared" si="54"/>
        <v>4009/4010</v>
      </c>
      <c r="L169" s="21" t="str">
        <f>VLOOKUP(A169,'Trips&amp;Operators'!$C$1:$G$99999,5,FALSE)</f>
        <v>ZEWDU DEREJE</v>
      </c>
      <c r="M169" s="6">
        <f t="shared" si="55"/>
        <v>9.4907407401478849E-3</v>
      </c>
      <c r="N169" s="7">
        <f t="shared" si="71"/>
        <v>13.666666665812954</v>
      </c>
      <c r="O169" s="7"/>
      <c r="P169" s="7"/>
      <c r="Q169" s="22"/>
      <c r="R169" s="173"/>
      <c r="S169" s="176">
        <f t="shared" si="72"/>
        <v>1</v>
      </c>
      <c r="T169" s="202" t="str">
        <f t="shared" si="56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7"/>
        <v>https://d0f6bd738d7f1b3e5a7ca70fe4ff75f0.us-east-1.aws.found.io/app/kibana#/discover/Steve-Slow-Train-Analysis-(2080s-and-2083s)?_g=(refreshInterval:(display:Off,pause:!f,section:0,value:0),time:(from:'2017-05-26T06:57:52-0600',mode:absolute,to:'2017-05-26T09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204" t="str">
        <f t="shared" si="58"/>
        <v>N</v>
      </c>
      <c r="X169" s="204">
        <f t="shared" si="73"/>
        <v>1</v>
      </c>
      <c r="Y169" s="204">
        <f t="shared" si="78"/>
        <v>9.69E-2</v>
      </c>
      <c r="Z169" s="204">
        <f t="shared" si="79"/>
        <v>5.8973000000000004</v>
      </c>
      <c r="AA169" s="204">
        <f t="shared" si="62"/>
        <v>5.8004000000000007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3"/>
        <v>0811-26</v>
      </c>
      <c r="AE169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69" s="77" t="str">
        <f t="shared" si="65"/>
        <v>"C:\Program Files (x86)\AstroGrep\AstroGrep.exe" /e /r /s /spath="%USERPROFILE%\AppData\Local\Temp\OnboardLogs" /stypes="app*4010*20170526*" /stext=" 14:.+((SYSTEM_STATE.+slice.+state.+changed )|(ment ac)|(multiple cpu faults)|(system.+state.+changed )|(\[timeout)|(PRM\|1\|D)|(kpr)|(kdp)|(train st.+moving)|(\|lc)|(penalty))"</v>
      </c>
      <c r="AG169" s="1" t="str">
        <f t="shared" si="66"/>
        <v>NW</v>
      </c>
      <c r="AH169" s="81" t="str">
        <f t="shared" si="67"/>
        <v>"%USERPROFILE%\Documents\GitHub\eaglep3\Utilities\RefineRTDCRunTimes.py" --tripid 811-26 --locoid 4010 --swversion DE.1.0.9.0 --startMP 204:969 --initTime 2017-05-26T07:57:52 --startdatetime 2017-05-26T08:21:15 --delay 1 --endMP 300:58973 --enddatetime 2017-05-26T08:34:55 --enforcementcount 0 &gt;&gt;C:\Users\stu\Documents\GitHub\eaglep3-reporting\EC\2017-05-26-refined-times.txt</v>
      </c>
      <c r="AI169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{"issue":{"subject":"","project_id":79,"tracker_id":40,"status_id":1,"priority_id":2,"assigned_to_id":23,"start_date":"2017-05-26","description":"","custom_fields":[{"id":1,"name":"Subdivision","value":"NW"},{"id":4,"name":"Milepost","value":"5.8973"},{"id":17,"name":"Train ID","value":"811-26"},{"id":16,"name":"Locomotive ID","value":"4010"},{"id":130,"name":"Impact","value":""},{"id":150,"name":"Time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9"/>
        <v>start /low /b %USERPROFILE%\Documents\GitHub\eaglep3\Utilities\DownloadLogsFromS3.py --loco 4010 --day 2017-05-26</v>
      </c>
      <c r="AN169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689</v>
      </c>
      <c r="B170" s="7">
        <v>4009</v>
      </c>
      <c r="C170" s="21" t="s">
        <v>204</v>
      </c>
      <c r="D170" s="21" t="s">
        <v>949</v>
      </c>
      <c r="E170" s="13">
        <v>42881.358738425923</v>
      </c>
      <c r="F170" s="13">
        <v>42881.360486111109</v>
      </c>
      <c r="G170" s="7">
        <v>1</v>
      </c>
      <c r="H170" s="21" t="s">
        <v>950</v>
      </c>
      <c r="I170" s="13">
        <v>42881.371550925927</v>
      </c>
      <c r="J170" s="7">
        <v>0</v>
      </c>
      <c r="K170" s="92" t="str">
        <f t="shared" si="54"/>
        <v>4009/4010</v>
      </c>
      <c r="L170" s="21" t="str">
        <f>VLOOKUP(A170,'Trips&amp;Operators'!$C$1:$G$99999,5,FALSE)</f>
        <v>ZEWDU DEREJE</v>
      </c>
      <c r="M170" s="6">
        <f t="shared" si="55"/>
        <v>1.1064814818382729E-2</v>
      </c>
      <c r="N170" s="7">
        <f t="shared" si="71"/>
        <v>15.93333333847113</v>
      </c>
      <c r="O170" s="7"/>
      <c r="P170" s="7"/>
      <c r="Q170" s="22"/>
      <c r="R170" s="173"/>
      <c r="S170" s="176">
        <f t="shared" si="72"/>
        <v>1</v>
      </c>
      <c r="T170" s="202" t="str">
        <f t="shared" si="56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7"/>
        <v>https://d0f6bd738d7f1b3e5a7ca70fe4ff75f0.us-east-1.aws.found.io/app/kibana#/discover/Steve-Slow-Train-Analysis-(2080s-and-2083s)?_g=(refreshInterval:(display:Off,pause:!f,section:0,value:0),time:(from:'2017-05-26T07:36:35-0600',mode:absolute,to:'2017-05-26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0" s="204" t="str">
        <f t="shared" si="58"/>
        <v>N</v>
      </c>
      <c r="X170" s="204">
        <f t="shared" ref="X170:X194" si="80">VALUE(LEFT(AD170,4))-VALUE(LEFT(AD169,4))</f>
        <v>1</v>
      </c>
      <c r="Y170" s="204">
        <f t="shared" si="78"/>
        <v>5.8647</v>
      </c>
      <c r="Z170" s="204">
        <f t="shared" si="79"/>
        <v>6.8699999999999997E-2</v>
      </c>
      <c r="AA170" s="204">
        <f t="shared" si="62"/>
        <v>5.7960000000000003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3"/>
        <v>0812-26</v>
      </c>
      <c r="AE170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70" s="77" t="str">
        <f t="shared" si="65"/>
        <v>"C:\Program Files (x86)\AstroGrep\AstroGrep.exe" /e /r /s /spath="%USERPROFILE%\AppData\Local\Temp\OnboardLogs" /stypes="app*4009*20170526*" /stext=" 14:.+((SYSTEM_STATE.+slice.+state.+changed )|(ment ac)|(multiple cpu faults)|(system.+state.+changed )|(\[timeout)|(PRM\|1\|D)|(kpr)|(kdp)|(train st.+moving)|(\|lc)|(penalty))"</v>
      </c>
      <c r="AG170" s="1" t="str">
        <f t="shared" si="66"/>
        <v>NW</v>
      </c>
      <c r="AH170" s="81" t="str">
        <f t="shared" si="67"/>
        <v>"%USERPROFILE%\Documents\GitHub\eaglep3\Utilities\RefineRTDCRunTimes.py" --tripid 812-26 --locoid 4009 --swversion DE.1.0.9.0 --startMP 300:58647 --initTime 2017-05-26T08:36:35 --startdatetime 2017-05-26T08:39:06 --delay 1 --endMP 204:687 --enddatetime 2017-05-26T08:55:02 --enforcementcount 0 &gt;&gt;C:\Users\stu\Documents\GitHub\eaglep3-reporting\EC\2017-05-26-refined-times.txt</v>
      </c>
      <c r="AI170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{"issue":{"subject":"","project_id":79,"tracker_id":40,"status_id":1,"priority_id":2,"assigned_to_id":23,"start_date":"2017-05-26","description":"","custom_fields":[{"id":1,"name":"Subdivision","value":"NW"},{"id":4,"name":"Milepost","value":"0.0687"},{"id":17,"name":"Train ID","value":"812-26"},{"id":16,"name":"Locomotive ID","value":"4009"},{"id":130,"name":"Impact","value":""},{"id":150,"name":"Time of Event (Mountain Time)","value":"08:55:02"},{"id":151,"name":"Denver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9"/>
        <v>start /low /b %USERPROFILE%\Documents\GitHub\eaglep3\Utilities\DownloadLogsFromS3.py --loco 4009 --day 2017-05-26</v>
      </c>
      <c r="AN170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694</v>
      </c>
      <c r="B171" s="7">
        <v>4010</v>
      </c>
      <c r="C171" s="21" t="s">
        <v>204</v>
      </c>
      <c r="D171" s="21" t="s">
        <v>587</v>
      </c>
      <c r="E171" s="13">
        <v>42881.373229166667</v>
      </c>
      <c r="F171" s="13">
        <v>42881.389768518522</v>
      </c>
      <c r="G171" s="7">
        <v>1</v>
      </c>
      <c r="H171" s="21" t="s">
        <v>951</v>
      </c>
      <c r="I171" s="13">
        <v>42881.399375000001</v>
      </c>
      <c r="J171" s="7">
        <v>0</v>
      </c>
      <c r="K171" s="92" t="str">
        <f t="shared" si="54"/>
        <v>4009/4010</v>
      </c>
      <c r="L171" s="21" t="str">
        <f>VLOOKUP(A171,'Trips&amp;Operators'!$C$1:$G$99999,5,FALSE)</f>
        <v>ZEWDU DEREJE</v>
      </c>
      <c r="M171" s="6">
        <f t="shared" si="55"/>
        <v>9.6064814788405783E-3</v>
      </c>
      <c r="N171" s="7">
        <f t="shared" si="71"/>
        <v>13.833333329530433</v>
      </c>
      <c r="O171" s="7"/>
      <c r="P171" s="7"/>
      <c r="Q171" s="22"/>
      <c r="R171" s="173"/>
      <c r="S171" s="176">
        <f t="shared" si="72"/>
        <v>1</v>
      </c>
      <c r="T171" s="202" t="str">
        <f t="shared" si="56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7"/>
        <v>https://d0f6bd738d7f1b3e5a7ca70fe4ff75f0.us-east-1.aws.found.io/app/kibana#/discover/Steve-Slow-Train-Analysis-(2080s-and-2083s)?_g=(refreshInterval:(display:Off,pause:!f,section:0,value:0),time:(from:'2017-05-26T07:57:27-0600',mode:absolute,to:'2017-05-26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1" s="204" t="str">
        <f t="shared" si="58"/>
        <v>N</v>
      </c>
      <c r="X171" s="204">
        <f t="shared" si="80"/>
        <v>1</v>
      </c>
      <c r="Y171" s="204">
        <f t="shared" si="78"/>
        <v>9.7199999999999995E-2</v>
      </c>
      <c r="Z171" s="204">
        <f t="shared" si="79"/>
        <v>5.8975</v>
      </c>
      <c r="AA171" s="204">
        <f t="shared" si="62"/>
        <v>5.8003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3"/>
        <v>0813-26</v>
      </c>
      <c r="AE171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71" s="77" t="str">
        <f t="shared" si="65"/>
        <v>"C:\Program Files (x86)\AstroGrep\AstroGrep.exe" /e /r /s /spath="%USERPROFILE%\AppData\Local\Temp\OnboardLogs" /stypes="app*4010*20170526*" /stext=" 15:.+((SYSTEM_STATE.+slice.+state.+changed )|(ment ac)|(multiple cpu faults)|(system.+state.+changed )|(\[timeout)|(PRM\|1\|D)|(kpr)|(kdp)|(train st.+moving)|(\|lc)|(penalty))"</v>
      </c>
      <c r="AG171" s="1" t="str">
        <f t="shared" si="66"/>
        <v>NW</v>
      </c>
      <c r="AH171" s="81" t="str">
        <f t="shared" si="67"/>
        <v>"%USERPROFILE%\Documents\GitHub\eaglep3\Utilities\RefineRTDCRunTimes.py" --tripid 813-26 --locoid 4010 --swversion DE.1.0.9.0 --startMP 204:972 --initTime 2017-05-26T08:57:27 --startdatetime 2017-05-26T09:21:16 --delay 1 --endMP 300:58975 --enddatetime 2017-05-26T09:35:06 --enforcementcount 0 &gt;&gt;C:\Users\stu\Documents\GitHub\eaglep3-reporting\EC\2017-05-26-refined-times.txt</v>
      </c>
      <c r="AI171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{"issue":{"subject":"","project_id":79,"tracker_id":40,"status_id":1,"priority_id":2,"assigned_to_id":23,"start_date":"2017-05-26","description":"","custom_fields":[{"id":1,"name":"Subdivision","value":"NW"},{"id":4,"name":"Milepost","value":"5.8975"},{"id":17,"name":"Train ID","value":"813-26"},{"id":16,"name":"Locomotive ID","value":"4010"},{"id":130,"name":"Impact","value":""},{"id":150,"name":"Time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9"/>
        <v>start /low /b %USERPROFILE%\Documents\GitHub\eaglep3\Utilities\DownloadLogsFromS3.py --loco 4010 --day 2017-05-26</v>
      </c>
      <c r="AN171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606</v>
      </c>
      <c r="B172" s="7">
        <v>4009</v>
      </c>
      <c r="C172" s="21" t="s">
        <v>204</v>
      </c>
      <c r="D172" s="21" t="s">
        <v>532</v>
      </c>
      <c r="E172" s="13">
        <v>42881.400567129633</v>
      </c>
      <c r="F172" s="13">
        <v>42881.402314814812</v>
      </c>
      <c r="G172" s="7">
        <v>1</v>
      </c>
      <c r="H172" s="21" t="s">
        <v>534</v>
      </c>
      <c r="I172" s="13">
        <v>42881.413263888891</v>
      </c>
      <c r="J172" s="7">
        <v>0</v>
      </c>
      <c r="K172" s="92" t="str">
        <f t="shared" si="54"/>
        <v>4009/4010</v>
      </c>
      <c r="L172" s="21" t="str">
        <f>VLOOKUP(A172,'Trips&amp;Operators'!$C$1:$G$99999,5,FALSE)</f>
        <v>ZEWDU DEREJE</v>
      </c>
      <c r="M172" s="6">
        <f t="shared" si="55"/>
        <v>1.0949074079690035E-2</v>
      </c>
      <c r="N172" s="7">
        <f t="shared" si="71"/>
        <v>15.766666674753651</v>
      </c>
      <c r="O172" s="7"/>
      <c r="P172" s="7"/>
      <c r="Q172" s="22"/>
      <c r="R172" s="173"/>
      <c r="S172" s="176">
        <f t="shared" si="72"/>
        <v>1</v>
      </c>
      <c r="T172" s="202" t="str">
        <f t="shared" si="56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7"/>
        <v>https://d0f6bd738d7f1b3e5a7ca70fe4ff75f0.us-east-1.aws.found.io/app/kibana#/discover/Steve-Slow-Train-Analysis-(2080s-and-2083s)?_g=(refreshInterval:(display:Off,pause:!f,section:0,value:0),time:(from:'2017-05-26T08:36:49-0600',mode:absolute,to:'2017-05-26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2" s="204" t="str">
        <f t="shared" si="58"/>
        <v>N</v>
      </c>
      <c r="X172" s="204">
        <f t="shared" si="80"/>
        <v>1</v>
      </c>
      <c r="Y172" s="204">
        <f t="shared" si="78"/>
        <v>5.8654999999999999</v>
      </c>
      <c r="Z172" s="204">
        <f t="shared" si="79"/>
        <v>7.1300000000000002E-2</v>
      </c>
      <c r="AA172" s="204">
        <f t="shared" si="62"/>
        <v>5.7942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3"/>
        <v>0814-26</v>
      </c>
      <c r="AE172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72" s="77" t="str">
        <f t="shared" si="65"/>
        <v>"C:\Program Files (x86)\AstroGrep\AstroGrep.exe" /e /r /s /spath="%USERPROFILE%\AppData\Local\Temp\OnboardLogs" /stypes="app*4009*20170526*" /stext=" 15:.+((SYSTEM_STATE.+slice.+state.+changed )|(ment ac)|(multiple cpu faults)|(system.+state.+changed )|(\[timeout)|(PRM\|1\|D)|(kpr)|(kdp)|(train st.+moving)|(\|lc)|(penalty))"</v>
      </c>
      <c r="AG172" s="1" t="str">
        <f t="shared" si="66"/>
        <v>NW</v>
      </c>
      <c r="AH172" s="81" t="str">
        <f t="shared" si="67"/>
        <v>"%USERPROFILE%\Documents\GitHub\eaglep3\Utilities\RefineRTDCRunTimes.py" --tripid 814-26 --locoid 4009 --swversion DE.1.0.9.0 --startMP 300:58655 --initTime 2017-05-26T09:36:49 --startdatetime 2017-05-26T09:39:20 --delay 1 --endMP 204:713 --enddatetime 2017-05-26T09:55:06 --enforcementcount 0 &gt;&gt;C:\Users\stu\Documents\GitHub\eaglep3-reporting\EC\2017-05-26-refined-times.txt</v>
      </c>
      <c r="AI172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{"issue":{"subject":"","project_id":79,"tracker_id":40,"status_id":1,"priority_id":2,"assigned_to_id":23,"start_date":"2017-05-26","description":"","custom_fields":[{"id":1,"name":"Subdivision","value":"NW"},{"id":4,"name":"Milepost","value":"0.0713"},{"id":17,"name":"Train ID","value":"814-26"},{"id":16,"name":"Locomotive ID","value":"4009"},{"id":130,"name":"Impact","value":""},{"id":150,"name":"Time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9"/>
        <v>start /low /b %USERPROFILE%\Documents\GitHub\eaglep3\Utilities\DownloadLogsFromS3.py --loco 4009 --day 2017-05-26</v>
      </c>
      <c r="AN172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610</v>
      </c>
      <c r="B173" s="7">
        <v>4010</v>
      </c>
      <c r="C173" s="21" t="s">
        <v>204</v>
      </c>
      <c r="D173" s="21" t="s">
        <v>952</v>
      </c>
      <c r="E173" s="13">
        <v>42881.415069444447</v>
      </c>
      <c r="F173" s="13">
        <v>42881.431423611109</v>
      </c>
      <c r="G173" s="7">
        <v>1</v>
      </c>
      <c r="H173" s="21" t="s">
        <v>951</v>
      </c>
      <c r="I173" s="13">
        <v>42881.442002314812</v>
      </c>
      <c r="J173" s="7">
        <v>0</v>
      </c>
      <c r="K173" s="92" t="str">
        <f t="shared" si="54"/>
        <v>4009/4010</v>
      </c>
      <c r="L173" s="21" t="str">
        <f>VLOOKUP(A173,'Trips&amp;Operators'!$C$1:$G$99999,5,FALSE)</f>
        <v>ZEWDU DEREJE</v>
      </c>
      <c r="M173" s="6">
        <f t="shared" si="55"/>
        <v>1.0578703702776693E-2</v>
      </c>
      <c r="N173" s="7">
        <f t="shared" si="71"/>
        <v>15.233333331998438</v>
      </c>
      <c r="O173" s="7"/>
      <c r="P173" s="7"/>
      <c r="Q173" s="22"/>
      <c r="R173" s="173"/>
      <c r="S173" s="176">
        <f t="shared" si="72"/>
        <v>1</v>
      </c>
      <c r="T173" s="202" t="str">
        <f t="shared" si="56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7"/>
        <v>https://d0f6bd738d7f1b3e5a7ca70fe4ff75f0.us-east-1.aws.found.io/app/kibana#/discover/Steve-Slow-Train-Analysis-(2080s-and-2083s)?_g=(refreshInterval:(display:Off,pause:!f,section:0,value:0),time:(from:'2017-05-26T08:57:42-0600',mode:absolute,to:'2017-05-26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3" s="204" t="str">
        <f t="shared" si="58"/>
        <v>N</v>
      </c>
      <c r="X173" s="204">
        <f t="shared" si="80"/>
        <v>1</v>
      </c>
      <c r="Y173" s="204">
        <f t="shared" si="78"/>
        <v>9.9199999999999997E-2</v>
      </c>
      <c r="Z173" s="204">
        <f t="shared" si="79"/>
        <v>5.8975</v>
      </c>
      <c r="AA173" s="204">
        <f t="shared" si="62"/>
        <v>5.7983000000000002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3"/>
        <v>0815-26</v>
      </c>
      <c r="AE173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73" s="77" t="str">
        <f t="shared" si="65"/>
        <v>"C:\Program Files (x86)\AstroGrep\AstroGrep.exe" /e /r /s /spath="%USERPROFILE%\AppData\Local\Temp\OnboardLogs" /stypes="app*4010*20170526*" /stext=" 16:.+((SYSTEM_STATE.+slice.+state.+changed )|(ment ac)|(multiple cpu faults)|(system.+state.+changed )|(\[timeout)|(PRM\|1\|D)|(kpr)|(kdp)|(train st.+moving)|(\|lc)|(penalty))"</v>
      </c>
      <c r="AG173" s="1" t="str">
        <f t="shared" si="66"/>
        <v>NW</v>
      </c>
      <c r="AH173" s="81" t="str">
        <f t="shared" si="67"/>
        <v>"%USERPROFILE%\Documents\GitHub\eaglep3\Utilities\RefineRTDCRunTimes.py" --tripid 815-26 --locoid 4010 --swversion DE.1.0.9.0 --startMP 204:992 --initTime 2017-05-26T09:57:42 --startdatetime 2017-05-26T10:21:15 --delay 1 --endMP 300:58975 --enddatetime 2017-05-26T10:36:29 --enforcementcount 0 &gt;&gt;C:\Users\stu\Documents\GitHub\eaglep3-reporting\EC\2017-05-26-refined-times.txt</v>
      </c>
      <c r="AI173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{"issue":{"subject":"","project_id":79,"tracker_id":40,"status_id":1,"priority_id":2,"assigned_to_id":23,"start_date":"2017-05-26","description":"","custom_fields":[{"id":1,"name":"Subdivision","value":"NW"},{"id":4,"name":"Milepost","value":"5.8975"},{"id":17,"name":"Train ID","value":"815-26"},{"id":16,"name":"Locomotive ID","value":"4010"},{"id":130,"name":"Impact","value":""},{"id":150,"name":"Time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9"/>
        <v>start /low /b %USERPROFILE%\Documents\GitHub\eaglep3\Utilities\DownloadLogsFromS3.py --loco 4010 --day 2017-05-26</v>
      </c>
      <c r="AN173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711</v>
      </c>
      <c r="B174" s="7">
        <v>4009</v>
      </c>
      <c r="C174" s="21" t="s">
        <v>204</v>
      </c>
      <c r="D174" s="21" t="s">
        <v>953</v>
      </c>
      <c r="E174" s="13">
        <v>42881.442939814813</v>
      </c>
      <c r="F174" s="13">
        <v>42881.444837962961</v>
      </c>
      <c r="G174" s="7">
        <v>1</v>
      </c>
      <c r="H174" s="21" t="s">
        <v>954</v>
      </c>
      <c r="I174" s="13">
        <v>42881.455069444448</v>
      </c>
      <c r="J174" s="7">
        <v>0</v>
      </c>
      <c r="K174" s="92" t="str">
        <f t="shared" si="54"/>
        <v>4009/4010</v>
      </c>
      <c r="L174" s="21" t="str">
        <f>VLOOKUP(A174,'Trips&amp;Operators'!$C$1:$G$99999,5,FALSE)</f>
        <v>ZEWDU DEREJE</v>
      </c>
      <c r="M174" s="6">
        <f t="shared" si="55"/>
        <v>1.0231481486698613E-2</v>
      </c>
      <c r="N174" s="7">
        <f t="shared" si="71"/>
        <v>14.733333340846002</v>
      </c>
      <c r="O174" s="7"/>
      <c r="P174" s="7"/>
      <c r="Q174" s="22"/>
      <c r="R174" s="173"/>
      <c r="S174" s="176">
        <f t="shared" si="72"/>
        <v>1</v>
      </c>
      <c r="T174" s="202" t="str">
        <f t="shared" si="56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7"/>
        <v>https://d0f6bd738d7f1b3e5a7ca70fe4ff75f0.us-east-1.aws.found.io/app/kibana#/discover/Steve-Slow-Train-Analysis-(2080s-and-2083s)?_g=(refreshInterval:(display:Off,pause:!f,section:0,value:0),time:(from:'2017-05-26T09:37:50-0600',mode:absolute,to:'2017-05-26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4" s="204" t="str">
        <f t="shared" si="58"/>
        <v>N</v>
      </c>
      <c r="X174" s="204">
        <f t="shared" si="80"/>
        <v>1</v>
      </c>
      <c r="Y174" s="204">
        <f t="shared" si="78"/>
        <v>5.8662000000000001</v>
      </c>
      <c r="Z174" s="204">
        <f t="shared" si="79"/>
        <v>6.8000000000000005E-2</v>
      </c>
      <c r="AA174" s="204">
        <f t="shared" si="62"/>
        <v>5.7982000000000005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3"/>
        <v>0816-26</v>
      </c>
      <c r="AE174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74" s="77" t="str">
        <f t="shared" si="65"/>
        <v>"C:\Program Files (x86)\AstroGrep\AstroGrep.exe" /e /r /s /spath="%USERPROFILE%\AppData\Local\Temp\OnboardLogs" /stypes="app*4009*20170526*" /stext=" 16:.+((SYSTEM_STATE.+slice.+state.+changed )|(ment ac)|(multiple cpu faults)|(system.+state.+changed )|(\[timeout)|(PRM\|1\|D)|(kpr)|(kdp)|(train st.+moving)|(\|lc)|(penalty))"</v>
      </c>
      <c r="AG174" s="1" t="str">
        <f t="shared" si="66"/>
        <v>NW</v>
      </c>
      <c r="AH174" s="81" t="str">
        <f t="shared" si="67"/>
        <v>"%USERPROFILE%\Documents\GitHub\eaglep3\Utilities\RefineRTDCRunTimes.py" --tripid 816-26 --locoid 4009 --swversion DE.1.0.9.0 --startMP 300:58662 --initTime 2017-05-26T10:37:50 --startdatetime 2017-05-26T10:40:34 --delay 1 --endMP 204:680 --enddatetime 2017-05-26T10:55:18 --enforcementcount 0 &gt;&gt;C:\Users\stu\Documents\GitHub\eaglep3-reporting\EC\2017-05-26-refined-times.txt</v>
      </c>
      <c r="AI174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{"issue":{"subject":"","project_id":79,"tracker_id":40,"status_id":1,"priority_id":2,"assigned_to_id":23,"start_date":"2017-05-26","description":"","custom_fields":[{"id":1,"name":"Subdivision","value":"NW"},{"id":4,"name":"Milepost","value":"0.068"},{"id":17,"name":"Train ID","value":"816-26"},{"id":16,"name":"Locomotive ID","value":"4009"},{"id":130,"name":"Impact","value":""},{"id":150,"name":"Time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9"/>
        <v>start /low /b %USERPROFILE%\Documents\GitHub\eaglep3\Utilities\DownloadLogsFromS3.py --loco 4009 --day 2017-05-26</v>
      </c>
      <c r="AN174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2" t="s">
        <v>718</v>
      </c>
      <c r="B175" s="7">
        <v>4010</v>
      </c>
      <c r="C175" s="21" t="s">
        <v>204</v>
      </c>
      <c r="D175" s="21" t="s">
        <v>587</v>
      </c>
      <c r="E175" s="13">
        <v>42881.457175925927</v>
      </c>
      <c r="F175" s="13">
        <v>42881.473101851851</v>
      </c>
      <c r="G175" s="7">
        <v>1</v>
      </c>
      <c r="H175" s="21" t="s">
        <v>955</v>
      </c>
      <c r="I175" s="13">
        <v>42881.483206018522</v>
      </c>
      <c r="J175" s="7">
        <v>0</v>
      </c>
      <c r="K175" s="92" t="str">
        <f t="shared" si="54"/>
        <v>4009/4010</v>
      </c>
      <c r="L175" s="21" t="str">
        <f>VLOOKUP(A175,'Trips&amp;Operators'!$C$1:$G$99999,5,FALSE)</f>
        <v>ZEWDU DEREJE</v>
      </c>
      <c r="M175" s="6">
        <f t="shared" si="55"/>
        <v>1.0104166671226267E-2</v>
      </c>
      <c r="N175" s="7">
        <f t="shared" si="71"/>
        <v>14.550000006565824</v>
      </c>
      <c r="O175" s="7"/>
      <c r="P175" s="7"/>
      <c r="Q175" s="22"/>
      <c r="R175" s="173"/>
      <c r="S175" s="176">
        <f t="shared" si="72"/>
        <v>1</v>
      </c>
      <c r="T175" s="202" t="str">
        <f t="shared" si="56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7"/>
        <v>https://d0f6bd738d7f1b3e5a7ca70fe4ff75f0.us-east-1.aws.found.io/app/kibana#/discover/Steve-Slow-Train-Analysis-(2080s-and-2083s)?_g=(refreshInterval:(display:Off,pause:!f,section:0,value:0),time:(from:'2017-05-26T09:58:20-0600',mode:absolute,to:'2017-05-26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5" s="204" t="str">
        <f t="shared" si="58"/>
        <v>N</v>
      </c>
      <c r="X175" s="204">
        <f t="shared" si="80"/>
        <v>1</v>
      </c>
      <c r="Y175" s="204">
        <f t="shared" si="78"/>
        <v>9.7199999999999995E-2</v>
      </c>
      <c r="Z175" s="204">
        <f t="shared" si="79"/>
        <v>5.8964999999999996</v>
      </c>
      <c r="AA175" s="204">
        <f t="shared" si="62"/>
        <v>5.7992999999999997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3"/>
        <v>0817-26</v>
      </c>
      <c r="AE175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75" s="77" t="str">
        <f t="shared" si="65"/>
        <v>"C:\Program Files (x86)\AstroGrep\AstroGrep.exe" /e /r /s /spath="%USERPROFILE%\AppData\Local\Temp\OnboardLogs" /stypes="app*4010*20170526*" /stext=" 17:.+((SYSTEM_STATE.+slice.+state.+changed )|(ment ac)|(multiple cpu faults)|(system.+state.+changed )|(\[timeout)|(PRM\|1\|D)|(kpr)|(kdp)|(train st.+moving)|(\|lc)|(penalty))"</v>
      </c>
      <c r="AG175" s="1" t="str">
        <f t="shared" si="66"/>
        <v>NW</v>
      </c>
      <c r="AH175" s="81" t="str">
        <f t="shared" si="67"/>
        <v>"%USERPROFILE%\Documents\GitHub\eaglep3\Utilities\RefineRTDCRunTimes.py" --tripid 817-26 --locoid 4010 --swversion DE.1.0.9.0 --startMP 204:972 --initTime 2017-05-26T10:58:20 --startdatetime 2017-05-26T11:21:16 --delay 1 --endMP 300:58965 --enddatetime 2017-05-26T11:35:49 --enforcementcount 0 &gt;&gt;C:\Users\stu\Documents\GitHub\eaglep3-reporting\EC\2017-05-26-refined-times.txt</v>
      </c>
      <c r="AI175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{"issue":{"subject":"","project_id":79,"tracker_id":40,"status_id":1,"priority_id":2,"assigned_to_id":23,"start_date":"2017-05-26","description":"","custom_fields":[{"id":1,"name":"Subdivision","value":"NW"},{"id":4,"name":"Milepost","value":"5.8965"},{"id":17,"name":"Train ID","value":"817-26"},{"id":16,"name":"Locomotive ID","value":"4010"},{"id":130,"name":"Impact","value":""},{"id":150,"name":"Time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9"/>
        <v>start /low /b %USERPROFILE%\Documents\GitHub\eaglep3\Utilities\DownloadLogsFromS3.py --loco 4010 --day 2017-05-26</v>
      </c>
      <c r="AN175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725</v>
      </c>
      <c r="B176" s="7">
        <v>4009</v>
      </c>
      <c r="C176" s="21" t="s">
        <v>204</v>
      </c>
      <c r="D176" s="21" t="s">
        <v>949</v>
      </c>
      <c r="E176" s="13">
        <v>42881.484386574077</v>
      </c>
      <c r="F176" s="13">
        <v>42881.486192129632</v>
      </c>
      <c r="G176" s="7">
        <v>1</v>
      </c>
      <c r="H176" s="21" t="s">
        <v>944</v>
      </c>
      <c r="I176" s="13">
        <v>42881.496481481481</v>
      </c>
      <c r="J176" s="7">
        <v>0</v>
      </c>
      <c r="K176" s="92" t="str">
        <f t="shared" si="54"/>
        <v>4009/4010</v>
      </c>
      <c r="L176" s="21" t="str">
        <f>VLOOKUP(A176,'Trips&amp;Operators'!$C$1:$G$99999,5,FALSE)</f>
        <v>ZEWDU DEREJE</v>
      </c>
      <c r="M176" s="6">
        <f t="shared" si="55"/>
        <v>1.0289351848769002E-2</v>
      </c>
      <c r="N176" s="7">
        <f t="shared" si="71"/>
        <v>14.816666662227362</v>
      </c>
      <c r="O176" s="7"/>
      <c r="P176" s="7"/>
      <c r="Q176" s="22"/>
      <c r="R176" s="173"/>
      <c r="S176" s="176">
        <f t="shared" si="72"/>
        <v>1</v>
      </c>
      <c r="T176" s="202" t="str">
        <f t="shared" si="56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7"/>
        <v>https://d0f6bd738d7f1b3e5a7ca70fe4ff75f0.us-east-1.aws.found.io/app/kibana#/discover/Steve-Slow-Train-Analysis-(2080s-and-2083s)?_g=(refreshInterval:(display:Off,pause:!f,section:0,value:0),time:(from:'2017-05-26T10:37:31-0600',mode:absolute,to:'2017-05-26T12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6" s="204" t="str">
        <f t="shared" si="58"/>
        <v>N</v>
      </c>
      <c r="X176" s="204">
        <f t="shared" si="80"/>
        <v>1</v>
      </c>
      <c r="Y176" s="204">
        <f t="shared" si="78"/>
        <v>5.8647</v>
      </c>
      <c r="Z176" s="204">
        <f t="shared" si="79"/>
        <v>6.7799999999999999E-2</v>
      </c>
      <c r="AA176" s="204">
        <f t="shared" si="62"/>
        <v>5.7968999999999999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3"/>
        <v>0818-26</v>
      </c>
      <c r="AE176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76" s="77" t="str">
        <f t="shared" si="65"/>
        <v>"C:\Program Files (x86)\AstroGrep\AstroGrep.exe" /e /r /s /spath="%USERPROFILE%\AppData\Local\Temp\OnboardLogs" /stypes="app*4009*20170526*" /stext=" 17:.+((SYSTEM_STATE.+slice.+state.+changed )|(ment ac)|(multiple cpu faults)|(system.+state.+changed )|(\[timeout)|(PRM\|1\|D)|(kpr)|(kdp)|(train st.+moving)|(\|lc)|(penalty))"</v>
      </c>
      <c r="AG176" s="1" t="str">
        <f t="shared" si="66"/>
        <v>NW</v>
      </c>
      <c r="AH176" s="81" t="str">
        <f t="shared" si="67"/>
        <v>"%USERPROFILE%\Documents\GitHub\eaglep3\Utilities\RefineRTDCRunTimes.py" --tripid 818-26 --locoid 4009 --swversion DE.1.0.9.0 --startMP 300:58647 --initTime 2017-05-26T11:37:31 --startdatetime 2017-05-26T11:40:07 --delay 1 --endMP 204:678 --enddatetime 2017-05-26T11:54:56 --enforcementcount 0 &gt;&gt;C:\Users\stu\Documents\GitHub\eaglep3-reporting\EC\2017-05-26-refined-times.txt</v>
      </c>
      <c r="AI176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{"issue":{"subject":"","project_id":79,"tracker_id":40,"status_id":1,"priority_id":2,"assigned_to_id":23,"start_date":"2017-05-26","description":"","custom_fields":[{"id":1,"name":"Subdivision","value":"NW"},{"id":4,"name":"Milepost","value":"0.0678"},{"id":17,"name":"Train ID","value":"818-26"},{"id":16,"name":"Locomotive ID","value":"4009"},{"id":130,"name":"Impact","value":""},{"id":150,"name":"Time of Event (Mountain Time)","value":"11:54:56"},{"id":151,"name":"Denver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9"/>
        <v>start /low /b %USERPROFILE%\Documents\GitHub\eaglep3\Utilities\DownloadLogsFromS3.py --loco 4009 --day 2017-05-26</v>
      </c>
      <c r="AN176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613</v>
      </c>
      <c r="B177" s="7">
        <v>4010</v>
      </c>
      <c r="C177" s="21" t="s">
        <v>204</v>
      </c>
      <c r="D177" s="21" t="s">
        <v>956</v>
      </c>
      <c r="E177" s="13">
        <v>42881.49790509259</v>
      </c>
      <c r="F177" s="13">
        <v>42881.514733796299</v>
      </c>
      <c r="G177" s="7">
        <v>1</v>
      </c>
      <c r="H177" s="21" t="s">
        <v>957</v>
      </c>
      <c r="I177" s="13">
        <v>42881.525081018517</v>
      </c>
      <c r="J177" s="7">
        <v>0</v>
      </c>
      <c r="K177" s="92" t="str">
        <f t="shared" si="54"/>
        <v>4009/4010</v>
      </c>
      <c r="L177" s="21" t="str">
        <f>VLOOKUP(A177,'Trips&amp;Operators'!$C$1:$G$99999,5,FALSE)</f>
        <v>ZEWDU DEREJE</v>
      </c>
      <c r="M177" s="6">
        <f t="shared" si="55"/>
        <v>1.0347222218115348E-2</v>
      </c>
      <c r="N177" s="7">
        <f t="shared" si="71"/>
        <v>14.899999994086102</v>
      </c>
      <c r="O177" s="7"/>
      <c r="P177" s="7"/>
      <c r="Q177" s="22"/>
      <c r="R177" s="173"/>
      <c r="S177" s="176">
        <f t="shared" si="72"/>
        <v>1</v>
      </c>
      <c r="T177" s="202" t="str">
        <f t="shared" si="56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7"/>
        <v>https://d0f6bd738d7f1b3e5a7ca70fe4ff75f0.us-east-1.aws.found.io/app/kibana#/discover/Steve-Slow-Train-Analysis-(2080s-and-2083s)?_g=(refreshInterval:(display:Off,pause:!f,section:0,value:0),time:(from:'2017-05-26T10:56:59-0600',mode:absolute,to:'2017-05-26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7" s="204" t="str">
        <f t="shared" si="58"/>
        <v>N</v>
      </c>
      <c r="X177" s="204">
        <f t="shared" si="80"/>
        <v>1</v>
      </c>
      <c r="Y177" s="204">
        <f t="shared" si="78"/>
        <v>9.5000000000000001E-2</v>
      </c>
      <c r="Z177" s="204">
        <f t="shared" si="79"/>
        <v>5.8963000000000001</v>
      </c>
      <c r="AA177" s="204">
        <f t="shared" si="62"/>
        <v>5.8013000000000003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3"/>
        <v>0819-26</v>
      </c>
      <c r="AE177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77" s="77" t="str">
        <f t="shared" si="65"/>
        <v>"C:\Program Files (x86)\AstroGrep\AstroGrep.exe" /e /r /s /spath="%USERPROFILE%\AppData\Local\Temp\OnboardLogs" /stypes="app*4010*20170526*" /stext=" 18:.+((SYSTEM_STATE.+slice.+state.+changed )|(ment ac)|(multiple cpu faults)|(system.+state.+changed )|(\[timeout)|(PRM\|1\|D)|(kpr)|(kdp)|(train st.+moving)|(\|lc)|(penalty))"</v>
      </c>
      <c r="AG177" s="1" t="str">
        <f t="shared" si="66"/>
        <v>NW</v>
      </c>
      <c r="AH177" s="81" t="str">
        <f t="shared" si="67"/>
        <v>"%USERPROFILE%\Documents\GitHub\eaglep3\Utilities\RefineRTDCRunTimes.py" --tripid 819-26 --locoid 4010 --swversion DE.1.0.9.0 --startMP 204:950 --initTime 2017-05-26T11:56:59 --startdatetime 2017-05-26T12:21:13 --delay 1 --endMP 300:58963 --enddatetime 2017-05-26T12:36:07 --enforcementcount 0 &gt;&gt;C:\Users\stu\Documents\GitHub\eaglep3-reporting\EC\2017-05-26-refined-times.txt</v>
      </c>
      <c r="AI177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{"issue":{"subject":"","project_id":79,"tracker_id":40,"status_id":1,"priority_id":2,"assigned_to_id":23,"start_date":"2017-05-26","description":"","custom_fields":[{"id":1,"name":"Subdivision","value":"NW"},{"id":4,"name":"Milepost","value":"5.8963"},{"id":17,"name":"Train ID","value":"819-26"},{"id":16,"name":"Locomotive ID","value":"4010"},{"id":130,"name":"Impact","value":""},{"id":150,"name":"Time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9"/>
        <v>start /low /b %USERPROFILE%\Documents\GitHub\eaglep3\Utilities\DownloadLogsFromS3.py --loco 4010 --day 2017-05-26</v>
      </c>
      <c r="AN177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731</v>
      </c>
      <c r="B178" s="7">
        <v>4009</v>
      </c>
      <c r="C178" s="21" t="s">
        <v>204</v>
      </c>
      <c r="D178" s="21" t="s">
        <v>510</v>
      </c>
      <c r="E178" s="13">
        <v>42881.526192129626</v>
      </c>
      <c r="F178" s="13">
        <v>42881.527546296296</v>
      </c>
      <c r="G178" s="7">
        <v>1</v>
      </c>
      <c r="H178" s="21" t="s">
        <v>954</v>
      </c>
      <c r="I178" s="13">
        <v>42881.537939814814</v>
      </c>
      <c r="J178" s="7">
        <v>0</v>
      </c>
      <c r="K178" s="92" t="str">
        <f t="shared" si="54"/>
        <v>4009/4010</v>
      </c>
      <c r="L178" s="21" t="str">
        <f>VLOOKUP(A178,'Trips&amp;Operators'!$C$1:$G$99999,5,FALSE)</f>
        <v>ZEWDU DEREJE</v>
      </c>
      <c r="M178" s="6">
        <f t="shared" si="55"/>
        <v>1.0393518517958E-2</v>
      </c>
      <c r="N178" s="7">
        <f t="shared" si="71"/>
        <v>14.96666666585952</v>
      </c>
      <c r="O178" s="7"/>
      <c r="P178" s="7"/>
      <c r="Q178" s="22"/>
      <c r="R178" s="173"/>
      <c r="S178" s="176">
        <f t="shared" si="72"/>
        <v>1</v>
      </c>
      <c r="T178" s="202" t="str">
        <f t="shared" si="56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7"/>
        <v>https://d0f6bd738d7f1b3e5a7ca70fe4ff75f0.us-east-1.aws.found.io/app/kibana#/discover/Steve-Slow-Train-Analysis-(2080s-and-2083s)?_g=(refreshInterval:(display:Off,pause:!f,section:0,value:0),time:(from:'2017-05-26T11:37:43-0600',mode:absolute,to:'2017-05-26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8" s="204" t="str">
        <f t="shared" si="58"/>
        <v>N</v>
      </c>
      <c r="X178" s="204">
        <f t="shared" si="80"/>
        <v>1</v>
      </c>
      <c r="Y178" s="204">
        <f t="shared" si="78"/>
        <v>5.8634000000000004</v>
      </c>
      <c r="Z178" s="204">
        <f t="shared" si="79"/>
        <v>6.8000000000000005E-2</v>
      </c>
      <c r="AA178" s="204">
        <f t="shared" si="62"/>
        <v>5.7954000000000008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3"/>
        <v>0820-26</v>
      </c>
      <c r="AE178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78" s="77" t="str">
        <f t="shared" si="65"/>
        <v>"C:\Program Files (x86)\AstroGrep\AstroGrep.exe" /e /r /s /spath="%USERPROFILE%\AppData\Local\Temp\OnboardLogs" /stypes="app*4009*20170526*" /stext=" 18:.+((SYSTEM_STATE.+slice.+state.+changed )|(ment ac)|(multiple cpu faults)|(system.+state.+changed )|(\[timeout)|(PRM\|1\|D)|(kpr)|(kdp)|(train st.+moving)|(\|lc)|(penalty))"</v>
      </c>
      <c r="AG178" s="1" t="str">
        <f t="shared" si="66"/>
        <v>NW</v>
      </c>
      <c r="AH178" s="81" t="str">
        <f t="shared" si="67"/>
        <v>"%USERPROFILE%\Documents\GitHub\eaglep3\Utilities\RefineRTDCRunTimes.py" --tripid 820-26 --locoid 4009 --swversion DE.1.0.9.0 --startMP 300:58634 --initTime 2017-05-26T12:37:43 --startdatetime 2017-05-26T12:39:40 --delay 1 --endMP 204:680 --enddatetime 2017-05-26T12:54:38 --enforcementcount 0 &gt;&gt;C:\Users\stu\Documents\GitHub\eaglep3-reporting\EC\2017-05-26-refined-times.txt</v>
      </c>
      <c r="AI178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{"issue":{"subject":"","project_id":79,"tracker_id":40,"status_id":1,"priority_id":2,"assigned_to_id":23,"start_date":"2017-05-26","description":"","custom_fields":[{"id":1,"name":"Subdivision","value":"NW"},{"id":4,"name":"Milepost","value":"0.068"},{"id":17,"name":"Train ID","value":"820-26"},{"id":16,"name":"Locomotive ID","value":"4009"},{"id":130,"name":"Impact","value":""},{"id":150,"name":"Time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9"/>
        <v>start /low /b %USERPROFILE%\Documents\GitHub\eaglep3\Utilities\DownloadLogsFromS3.py --loco 4009 --day 2017-05-26</v>
      </c>
      <c r="AN178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739</v>
      </c>
      <c r="B179" s="7">
        <v>4010</v>
      </c>
      <c r="C179" s="21" t="s">
        <v>204</v>
      </c>
      <c r="D179" s="21" t="s">
        <v>581</v>
      </c>
      <c r="E179" s="13">
        <v>42881.539490740739</v>
      </c>
      <c r="F179" s="13">
        <v>42881.556423611109</v>
      </c>
      <c r="G179" s="7">
        <v>1</v>
      </c>
      <c r="H179" s="21" t="s">
        <v>958</v>
      </c>
      <c r="I179" s="13">
        <v>42881.565879629627</v>
      </c>
      <c r="J179" s="7">
        <v>0</v>
      </c>
      <c r="K179" s="92" t="str">
        <f t="shared" si="54"/>
        <v>4009/4010</v>
      </c>
      <c r="L179" s="21" t="str">
        <f>VLOOKUP(A179,'Trips&amp;Operators'!$C$1:$G$99999,5,FALSE)</f>
        <v>LAMAR NEKESHA</v>
      </c>
      <c r="M179" s="6">
        <f t="shared" si="55"/>
        <v>9.4560185170848854E-3</v>
      </c>
      <c r="N179" s="7">
        <f t="shared" si="71"/>
        <v>13.616666664602235</v>
      </c>
      <c r="O179" s="7"/>
      <c r="P179" s="7"/>
      <c r="Q179" s="22"/>
      <c r="R179" s="173"/>
      <c r="S179" s="176">
        <f t="shared" si="72"/>
        <v>1</v>
      </c>
      <c r="T179" s="202" t="str">
        <f t="shared" si="56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7"/>
        <v>https://d0f6bd738d7f1b3e5a7ca70fe4ff75f0.us-east-1.aws.found.io/app/kibana#/discover/Steve-Slow-Train-Analysis-(2080s-and-2083s)?_g=(refreshInterval:(display:Off,pause:!f,section:0,value:0),time:(from:'2017-05-26T11:56:52-0600',mode:absolute,to:'2017-05-26T14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9" s="204" t="str">
        <f t="shared" si="58"/>
        <v>N</v>
      </c>
      <c r="X179" s="204">
        <f t="shared" si="80"/>
        <v>1</v>
      </c>
      <c r="Y179" s="204">
        <f t="shared" si="78"/>
        <v>9.6699999999999994E-2</v>
      </c>
      <c r="Z179" s="204">
        <f t="shared" si="79"/>
        <v>5.8986000000000001</v>
      </c>
      <c r="AA179" s="204">
        <f t="shared" si="62"/>
        <v>5.8018999999999998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3"/>
        <v>0821-26</v>
      </c>
      <c r="AE179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79" s="77" t="str">
        <f t="shared" si="65"/>
        <v>"C:\Program Files (x86)\AstroGrep\AstroGrep.exe" /e /r /s /spath="%USERPROFILE%\AppData\Local\Temp\OnboardLogs" /stypes="app*4010*20170526*" /stext=" 19:.+((SYSTEM_STATE.+slice.+state.+changed )|(ment ac)|(multiple cpu faults)|(system.+state.+changed )|(\[timeout)|(PRM\|1\|D)|(kpr)|(kdp)|(train st.+moving)|(\|lc)|(penalty))"</v>
      </c>
      <c r="AG179" s="1" t="str">
        <f t="shared" si="66"/>
        <v>NW</v>
      </c>
      <c r="AH179" s="81" t="str">
        <f t="shared" si="67"/>
        <v>"%USERPROFILE%\Documents\GitHub\eaglep3\Utilities\RefineRTDCRunTimes.py" --tripid 821-26 --locoid 4010 --swversion DE.1.0.9.0 --startMP 204:967 --initTime 2017-05-26T12:56:52 --startdatetime 2017-05-26T13:21:15 --delay 1 --endMP 300:58986 --enddatetime 2017-05-26T13:34:52 --enforcementcount 0 &gt;&gt;C:\Users\stu\Documents\GitHub\eaglep3-reporting\EC\2017-05-26-refined-times.txt</v>
      </c>
      <c r="AI179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{"issue":{"subject":"","project_id":79,"tracker_id":40,"status_id":1,"priority_id":2,"assigned_to_id":23,"start_date":"2017-05-26","description":"","custom_fields":[{"id":1,"name":"Subdivision","value":"NW"},{"id":4,"name":"Milepost","value":"5.8986"},{"id":17,"name":"Train ID","value":"821-26"},{"id":16,"name":"Locomotive ID","value":"4010"},{"id":130,"name":"Impact","value":""},{"id":150,"name":"Time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9"/>
        <v>start /low /b %USERPROFILE%\Documents\GitHub\eaglep3\Utilities\DownloadLogsFromS3.py --loco 4010 --day 2017-05-26</v>
      </c>
      <c r="AN179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743</v>
      </c>
      <c r="B180" s="7">
        <v>4009</v>
      </c>
      <c r="C180" s="21" t="s">
        <v>204</v>
      </c>
      <c r="D180" s="21" t="s">
        <v>959</v>
      </c>
      <c r="E180" s="13">
        <v>42881.566944444443</v>
      </c>
      <c r="F180" s="13">
        <v>42881.568379629629</v>
      </c>
      <c r="G180" s="7">
        <v>1</v>
      </c>
      <c r="H180" s="21" t="s">
        <v>960</v>
      </c>
      <c r="I180" s="13">
        <v>42881.580127314817</v>
      </c>
      <c r="J180" s="7">
        <v>0</v>
      </c>
      <c r="K180" s="92" t="str">
        <f t="shared" si="54"/>
        <v>4009/4010</v>
      </c>
      <c r="L180" s="21" t="str">
        <f>VLOOKUP(A180,'Trips&amp;Operators'!$C$1:$G$99999,5,FALSE)</f>
        <v>DELGADO DIANAH</v>
      </c>
      <c r="M180" s="6">
        <f t="shared" si="55"/>
        <v>1.1747685188311152E-2</v>
      </c>
      <c r="N180" s="7">
        <f t="shared" si="71"/>
        <v>16.916666671168059</v>
      </c>
      <c r="O180" s="7"/>
      <c r="P180" s="7"/>
      <c r="Q180" s="22"/>
      <c r="R180" s="173"/>
      <c r="S180" s="176">
        <f t="shared" si="72"/>
        <v>1</v>
      </c>
      <c r="T180" s="202" t="str">
        <f t="shared" si="56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7"/>
        <v>https://d0f6bd738d7f1b3e5a7ca70fe4ff75f0.us-east-1.aws.found.io/app/kibana#/discover/Steve-Slow-Train-Analysis-(2080s-and-2083s)?_g=(refreshInterval:(display:Off,pause:!f,section:0,value:0),time:(from:'2017-05-26T12:36:24-0600',mode:absolute,to:'2017-05-26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0" s="204" t="str">
        <f t="shared" si="58"/>
        <v>N</v>
      </c>
      <c r="X180" s="204">
        <f t="shared" si="80"/>
        <v>1</v>
      </c>
      <c r="Y180" s="204">
        <f t="shared" si="78"/>
        <v>5.8667999999999996</v>
      </c>
      <c r="Z180" s="204">
        <f t="shared" si="79"/>
        <v>6.5699999999999995E-2</v>
      </c>
      <c r="AA180" s="204">
        <f t="shared" si="62"/>
        <v>5.8010999999999999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3"/>
        <v>0822-26</v>
      </c>
      <c r="AE180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80" s="77" t="str">
        <f t="shared" si="65"/>
        <v>"C:\Program Files (x86)\AstroGrep\AstroGrep.exe" /e /r /s /spath="%USERPROFILE%\AppData\Local\Temp\OnboardLogs" /stypes="app*4009*20170526*" /stext=" 19:.+((SYSTEM_STATE.+slice.+state.+changed )|(ment ac)|(multiple cpu faults)|(system.+state.+changed )|(\[timeout)|(PRM\|1\|D)|(kpr)|(kdp)|(train st.+moving)|(\|lc)|(penalty))"</v>
      </c>
      <c r="AG180" s="1" t="str">
        <f t="shared" si="66"/>
        <v>NW</v>
      </c>
      <c r="AH180" s="81" t="str">
        <f t="shared" si="67"/>
        <v>"%USERPROFILE%\Documents\GitHub\eaglep3\Utilities\RefineRTDCRunTimes.py" --tripid 822-26 --locoid 4009 --swversion DE.1.0.9.0 --startMP 300:58668 --initTime 2017-05-26T13:36:24 --startdatetime 2017-05-26T13:38:28 --delay 1 --endMP 204:657 --enddatetime 2017-05-26T13:55:23 --enforcementcount 0 &gt;&gt;C:\Users\stu\Documents\GitHub\eaglep3-reporting\EC\2017-05-26-refined-times.txt</v>
      </c>
      <c r="AI180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{"issue":{"subject":"","project_id":79,"tracker_id":40,"status_id":1,"priority_id":2,"assigned_to_id":23,"start_date":"2017-05-26","description":"","custom_fields":[{"id":1,"name":"Subdivision","value":"NW"},{"id":4,"name":"Milepost","value":"0.0657"},{"id":17,"name":"Train ID","value":"822-26"},{"id":16,"name":"Locomotive ID","value":"4009"},{"id":130,"name":"Impact","value":""},{"id":150,"name":"Time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9"/>
        <v>start /low /b %USERPROFILE%\Documents\GitHub\eaglep3\Utilities\DownloadLogsFromS3.py --loco 4009 --day 2017-05-26</v>
      </c>
      <c r="AN180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617</v>
      </c>
      <c r="B181" s="7">
        <v>4010</v>
      </c>
      <c r="C181" s="21" t="s">
        <v>204</v>
      </c>
      <c r="D181" s="21" t="s">
        <v>961</v>
      </c>
      <c r="E181" s="13">
        <v>42881.584907407407</v>
      </c>
      <c r="F181" s="13">
        <v>42881.598090277781</v>
      </c>
      <c r="G181" s="7">
        <v>5</v>
      </c>
      <c r="H181" s="21" t="s">
        <v>962</v>
      </c>
      <c r="I181" s="13">
        <v>42881.608194444445</v>
      </c>
      <c r="J181" s="7">
        <v>0</v>
      </c>
      <c r="K181" s="92" t="str">
        <f t="shared" si="54"/>
        <v>4009/4010</v>
      </c>
      <c r="L181" s="21" t="str">
        <f>VLOOKUP(A181,'Trips&amp;Operators'!$C$1:$G$99999,5,FALSE)</f>
        <v>LAMAR NEKESHA</v>
      </c>
      <c r="M181" s="6">
        <f t="shared" si="55"/>
        <v>1.0104166663950309E-2</v>
      </c>
      <c r="N181" s="7">
        <f t="shared" si="71"/>
        <v>14.549999996088445</v>
      </c>
      <c r="O181" s="7"/>
      <c r="P181" s="7"/>
      <c r="Q181" s="22"/>
      <c r="R181" s="173"/>
      <c r="S181" s="176">
        <f t="shared" si="72"/>
        <v>1</v>
      </c>
      <c r="T181" s="202" t="str">
        <f t="shared" si="56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7"/>
        <v>https://d0f6bd738d7f1b3e5a7ca70fe4ff75f0.us-east-1.aws.found.io/app/kibana#/discover/Steve-Slow-Train-Analysis-(2080s-and-2083s)?_g=(refreshInterval:(display:Off,pause:!f,section:0,value:0),time:(from:'2017-05-26T13:02:16-0600',mode:absolute,to:'2017-05-26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1" s="204" t="str">
        <f t="shared" si="58"/>
        <v>N</v>
      </c>
      <c r="X181" s="204">
        <f t="shared" si="80"/>
        <v>1</v>
      </c>
      <c r="Y181" s="204">
        <f t="shared" si="78"/>
        <v>9.5799999999999996E-2</v>
      </c>
      <c r="Z181" s="204">
        <f t="shared" si="79"/>
        <v>5.8924000000000003</v>
      </c>
      <c r="AA181" s="204">
        <f t="shared" si="62"/>
        <v>5.7966000000000006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3"/>
        <v>0823-26</v>
      </c>
      <c r="AE181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81" s="77" t="str">
        <f t="shared" si="65"/>
        <v>"C:\Program Files (x86)\AstroGrep\AstroGrep.exe" /e /r /s /spath="%USERPROFILE%\AppData\Local\Temp\OnboardLogs" /stypes="app*4010*20170526*" /stext=" 20:.+((SYSTEM_STATE.+slice.+state.+changed )|(ment ac)|(multiple cpu faults)|(system.+state.+changed )|(\[timeout)|(PRM\|1\|D)|(kpr)|(kdp)|(train st.+moving)|(\|lc)|(penalty))"</v>
      </c>
      <c r="AG181" s="1" t="str">
        <f t="shared" si="66"/>
        <v>NW</v>
      </c>
      <c r="AH181" s="81" t="str">
        <f t="shared" si="67"/>
        <v>"%USERPROFILE%\Documents\GitHub\eaglep3\Utilities\RefineRTDCRunTimes.py" --tripid 823-26 --locoid 4010 --swversion DE.1.0.9.0 --startMP 204:958 --initTime 2017-05-26T14:02:16 --startdatetime 2017-05-26T14:21:15 --delay 5 --endMP 300:58924 --enddatetime 2017-05-26T14:35:48 --enforcementcount 0 &gt;&gt;C:\Users\stu\Documents\GitHub\eaglep3-reporting\EC\2017-05-26-refined-times.txt</v>
      </c>
      <c r="AI181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{"issue":{"subject":"","project_id":79,"tracker_id":40,"status_id":1,"priority_id":2,"assigned_to_id":23,"start_date":"2017-05-26","description":"","custom_fields":[{"id":1,"name":"Subdivision","value":"NW"},{"id":4,"name":"Milepost","value":"5.8924"},{"id":17,"name":"Train ID","value":"823-26"},{"id":16,"name":"Locomotive ID","value":"4010"},{"id":130,"name":"Impact","value":""},{"id":150,"name":"Time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9"/>
        <v>start /low /b %USERPROFILE%\Documents\GitHub\eaglep3\Utilities\DownloadLogsFromS3.py --loco 4010 --day 2017-05-26</v>
      </c>
      <c r="AN181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618</v>
      </c>
      <c r="B182" s="7">
        <v>4009</v>
      </c>
      <c r="C182" s="21" t="s">
        <v>204</v>
      </c>
      <c r="D182" s="21" t="s">
        <v>586</v>
      </c>
      <c r="E182" s="13">
        <v>42881.609432870369</v>
      </c>
      <c r="F182" s="13">
        <v>42881.612349537034</v>
      </c>
      <c r="G182" s="7">
        <v>2</v>
      </c>
      <c r="H182" s="21" t="s">
        <v>963</v>
      </c>
      <c r="I182" s="13">
        <v>42881.623668981483</v>
      </c>
      <c r="J182" s="7">
        <v>0</v>
      </c>
      <c r="K182" s="92" t="str">
        <f t="shared" si="54"/>
        <v>4009/4010</v>
      </c>
      <c r="L182" s="21" t="str">
        <f>VLOOKUP(A182,'Trips&amp;Operators'!$C$1:$G$99999,5,FALSE)</f>
        <v>LAMAR NEKESHA</v>
      </c>
      <c r="M182" s="6">
        <f t="shared" si="55"/>
        <v>1.131944444932742E-2</v>
      </c>
      <c r="N182" s="7">
        <f t="shared" si="71"/>
        <v>16.300000007031485</v>
      </c>
      <c r="O182" s="7"/>
      <c r="P182" s="7"/>
      <c r="Q182" s="22"/>
      <c r="R182" s="173"/>
      <c r="S182" s="176">
        <f t="shared" si="72"/>
        <v>1</v>
      </c>
      <c r="T182" s="202" t="str">
        <f t="shared" si="56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7"/>
        <v>https://d0f6bd738d7f1b3e5a7ca70fe4ff75f0.us-east-1.aws.found.io/app/kibana#/discover/Steve-Slow-Train-Analysis-(2080s-and-2083s)?_g=(refreshInterval:(display:Off,pause:!f,section:0,value:0),time:(from:'2017-05-26T13:37:35-0600',mode:absolute,to:'2017-05-26T15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2" s="204" t="str">
        <f t="shared" si="58"/>
        <v>N</v>
      </c>
      <c r="X182" s="204">
        <f t="shared" si="80"/>
        <v>1</v>
      </c>
      <c r="Y182" s="204">
        <f t="shared" si="78"/>
        <v>5.859</v>
      </c>
      <c r="Z182" s="204">
        <f t="shared" si="79"/>
        <v>6.9800000000000001E-2</v>
      </c>
      <c r="AA182" s="204">
        <f t="shared" si="62"/>
        <v>5.7892000000000001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3"/>
        <v>0824-26</v>
      </c>
      <c r="AE182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82" s="77" t="str">
        <f t="shared" si="65"/>
        <v>"C:\Program Files (x86)\AstroGrep\AstroGrep.exe" /e /r /s /spath="%USERPROFILE%\AppData\Local\Temp\OnboardLogs" /stypes="app*4009*20170526*" /stext=" 20:.+((SYSTEM_STATE.+slice.+state.+changed )|(ment ac)|(multiple cpu faults)|(system.+state.+changed )|(\[timeout)|(PRM\|1\|D)|(kpr)|(kdp)|(train st.+moving)|(\|lc)|(penalty))"</v>
      </c>
      <c r="AG182" s="1" t="str">
        <f t="shared" si="66"/>
        <v>NW</v>
      </c>
      <c r="AH182" s="81" t="str">
        <f t="shared" si="67"/>
        <v>"%USERPROFILE%\Documents\GitHub\eaglep3\Utilities\RefineRTDCRunTimes.py" --tripid 824-26 --locoid 4009 --swversion DE.1.0.9.0 --startMP 300:58590 --initTime 2017-05-26T14:37:35 --startdatetime 2017-05-26T14:41:47 --delay 2 --endMP 204:698 --enddatetime 2017-05-26T14:58:05 --enforcementcount 0 &gt;&gt;C:\Users\stu\Documents\GitHub\eaglep3-reporting\EC\2017-05-26-refined-times.txt</v>
      </c>
      <c r="AI182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{"issue":{"subject":"","project_id":79,"tracker_id":40,"status_id":1,"priority_id":2,"assigned_to_id":23,"start_date":"2017-05-26","description":"","custom_fields":[{"id":1,"name":"Subdivision","value":"NW"},{"id":4,"name":"Milepost","value":"0.0698"},{"id":17,"name":"Train ID","value":"824-26"},{"id":16,"name":"Locomotive ID","value":"4009"},{"id":130,"name":"Impact","value":""},{"id":150,"name":"Time of Event (Mountain Time)","value":"14:58:05"},{"id":151,"name":"Denver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9"/>
        <v>start /low /b %USERPROFILE%\Documents\GitHub\eaglep3\Utilities\DownloadLogsFromS3.py --loco 4009 --day 2017-05-26</v>
      </c>
      <c r="AN182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20:58:05"},{"id":29,"name":"Sharepoint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754</v>
      </c>
      <c r="B183" s="7">
        <v>4010</v>
      </c>
      <c r="C183" s="21" t="s">
        <v>204</v>
      </c>
      <c r="D183" s="21" t="s">
        <v>945</v>
      </c>
      <c r="E183" s="13">
        <v>42881.627013888887</v>
      </c>
      <c r="F183" s="13">
        <v>42881.639745370368</v>
      </c>
      <c r="G183" s="7">
        <v>16</v>
      </c>
      <c r="H183" s="21" t="s">
        <v>964</v>
      </c>
      <c r="I183" s="13">
        <v>42881.649131944447</v>
      </c>
      <c r="J183" s="7">
        <v>0</v>
      </c>
      <c r="K183" s="92" t="str">
        <f t="shared" si="54"/>
        <v>4009/4010</v>
      </c>
      <c r="L183" s="21" t="str">
        <f>VLOOKUP(A183,'Trips&amp;Operators'!$C$1:$G$99999,5,FALSE)</f>
        <v>LAMAR NEKESHA</v>
      </c>
      <c r="M183" s="6">
        <f t="shared" si="55"/>
        <v>9.3865740782348439E-3</v>
      </c>
      <c r="N183" s="7">
        <f t="shared" si="71"/>
        <v>13.516666672658175</v>
      </c>
      <c r="O183" s="7"/>
      <c r="P183" s="7"/>
      <c r="Q183" s="22"/>
      <c r="R183" s="173"/>
      <c r="S183" s="176">
        <f t="shared" si="72"/>
        <v>1</v>
      </c>
      <c r="T183" s="202" t="str">
        <f t="shared" si="56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7"/>
        <v>https://d0f6bd738d7f1b3e5a7ca70fe4ff75f0.us-east-1.aws.found.io/app/kibana#/discover/Steve-Slow-Train-Analysis-(2080s-and-2083s)?_g=(refreshInterval:(display:Off,pause:!f,section:0,value:0),time:(from:'2017-05-26T14:02:54-0600',mode:absolute,to:'2017-05-26T16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3" s="204" t="str">
        <f t="shared" si="58"/>
        <v>N</v>
      </c>
      <c r="X183" s="204">
        <f t="shared" si="80"/>
        <v>1</v>
      </c>
      <c r="Y183" s="204">
        <f t="shared" si="78"/>
        <v>9.7100000000000006E-2</v>
      </c>
      <c r="Z183" s="204">
        <f t="shared" si="79"/>
        <v>5.8993000000000002</v>
      </c>
      <c r="AA183" s="204">
        <f t="shared" si="62"/>
        <v>5.8022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3"/>
        <v>0825-26</v>
      </c>
      <c r="AE183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83" s="77" t="str">
        <f t="shared" si="65"/>
        <v>"C:\Program Files (x86)\AstroGrep\AstroGrep.exe" /e /r /s /spath="%USERPROFILE%\AppData\Local\Temp\OnboardLogs" /stypes="app*4010*20170526*" /stext=" 21:.+((SYSTEM_STATE.+slice.+state.+changed )|(ment ac)|(multiple cpu faults)|(system.+state.+changed )|(\[timeout)|(PRM\|1\|D)|(kpr)|(kdp)|(train st.+moving)|(\|lc)|(penalty))"</v>
      </c>
      <c r="AG183" s="1" t="str">
        <f t="shared" si="66"/>
        <v>NW</v>
      </c>
      <c r="AH183" s="81" t="str">
        <f t="shared" si="67"/>
        <v>"%USERPROFILE%\Documents\GitHub\eaglep3\Utilities\RefineRTDCRunTimes.py" --tripid 825-26 --locoid 4010 --swversion DE.1.0.9.0 --startMP 204:971 --initTime 2017-05-26T15:02:54 --startdatetime 2017-05-26T15:21:14 --delay 16 --endMP 300:58993 --enddatetime 2017-05-26T15:34:45 --enforcementcount 0 &gt;&gt;C:\Users\stu\Documents\GitHub\eaglep3-reporting\EC\2017-05-26-refined-times.txt</v>
      </c>
      <c r="AI183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{"issue":{"subject":"","project_id":79,"tracker_id":40,"status_id":1,"priority_id":2,"assigned_to_id":23,"start_date":"2017-05-26","description":"","custom_fields":[{"id":1,"name":"Subdivision","value":"NW"},{"id":4,"name":"Milepost","value":"5.8993"},{"id":17,"name":"Train ID","value":"825-26"},{"id":16,"name":"Locomotive ID","value":"4010"},{"id":130,"name":"Impact","value":""},{"id":150,"name":"Time of Event (Mountain Time)","value":"15:34:45"},{"id":151,"name":"Denver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9"/>
        <v>start /low /b %USERPROFILE%\Documents\GitHub\eaglep3\Utilities\DownloadLogsFromS3.py --loco 4010 --day 2017-05-26</v>
      </c>
      <c r="AN183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763</v>
      </c>
      <c r="B184" s="7">
        <v>4009</v>
      </c>
      <c r="C184" s="21" t="s">
        <v>204</v>
      </c>
      <c r="D184" s="21" t="s">
        <v>965</v>
      </c>
      <c r="E184" s="13">
        <v>42881.650416666664</v>
      </c>
      <c r="F184" s="13">
        <v>42881.651875000003</v>
      </c>
      <c r="G184" s="7">
        <v>1</v>
      </c>
      <c r="H184" s="21" t="s">
        <v>954</v>
      </c>
      <c r="I184" s="13">
        <v>42881.663321759261</v>
      </c>
      <c r="J184" s="7">
        <v>0</v>
      </c>
      <c r="K184" s="92" t="str">
        <f t="shared" si="54"/>
        <v>4009/4010</v>
      </c>
      <c r="L184" s="21" t="str">
        <f>VLOOKUP(A184,'Trips&amp;Operators'!$C$1:$G$99999,5,FALSE)</f>
        <v>LAMAR NEKESHA</v>
      </c>
      <c r="M184" s="6">
        <f t="shared" si="55"/>
        <v>1.1446759257523809E-2</v>
      </c>
      <c r="N184" s="7">
        <f t="shared" si="71"/>
        <v>16.483333330834284</v>
      </c>
      <c r="O184" s="7"/>
      <c r="P184" s="7"/>
      <c r="Q184" s="22"/>
      <c r="R184" s="173"/>
      <c r="S184" s="176">
        <f t="shared" si="72"/>
        <v>1</v>
      </c>
      <c r="T184" s="202" t="str">
        <f t="shared" si="56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7"/>
        <v>https://d0f6bd738d7f1b3e5a7ca70fe4ff75f0.us-east-1.aws.found.io/app/kibana#/discover/Steve-Slow-Train-Analysis-(2080s-and-2083s)?_g=(refreshInterval:(display:Off,pause:!f,section:0,value:0),time:(from:'2017-05-26T14:36:36-0600',mode:absolute,to:'2017-05-26T16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4" s="204" t="str">
        <f t="shared" si="58"/>
        <v>N</v>
      </c>
      <c r="X184" s="204">
        <f t="shared" si="80"/>
        <v>1</v>
      </c>
      <c r="Y184" s="204">
        <f t="shared" si="78"/>
        <v>5.8674999999999997</v>
      </c>
      <c r="Z184" s="204">
        <f t="shared" si="79"/>
        <v>6.8000000000000005E-2</v>
      </c>
      <c r="AA184" s="204">
        <f t="shared" si="62"/>
        <v>5.7995000000000001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3"/>
        <v>0826-26</v>
      </c>
      <c r="AE184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84" s="77" t="str">
        <f t="shared" si="65"/>
        <v>"C:\Program Files (x86)\AstroGrep\AstroGrep.exe" /e /r /s /spath="%USERPROFILE%\AppData\Local\Temp\OnboardLogs" /stypes="app*4009*20170526*" /stext=" 21:.+((SYSTEM_STATE.+slice.+state.+changed )|(ment ac)|(multiple cpu faults)|(system.+state.+changed )|(\[timeout)|(PRM\|1\|D)|(kpr)|(kdp)|(train st.+moving)|(\|lc)|(penalty))"</v>
      </c>
      <c r="AG184" s="1" t="str">
        <f t="shared" si="66"/>
        <v>NW</v>
      </c>
      <c r="AH184" s="81" t="str">
        <f t="shared" si="67"/>
        <v>"%USERPROFILE%\Documents\GitHub\eaglep3\Utilities\RefineRTDCRunTimes.py" --tripid 826-26 --locoid 4009 --swversion DE.1.0.9.0 --startMP 300:58675 --initTime 2017-05-26T15:36:36 --startdatetime 2017-05-26T15:38:42 --delay 1 --endMP 204:680 --enddatetime 2017-05-26T15:55:11 --enforcementcount 0 &gt;&gt;C:\Users\stu\Documents\GitHub\eaglep3-reporting\EC\2017-05-26-refined-times.txt</v>
      </c>
      <c r="AI184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{"issue":{"subject":"","project_id":79,"tracker_id":40,"status_id":1,"priority_id":2,"assigned_to_id":23,"start_date":"2017-05-26","description":"","custom_fields":[{"id":1,"name":"Subdivision","value":"NW"},{"id":4,"name":"Milepost","value":"0.068"},{"id":17,"name":"Train ID","value":"826-26"},{"id":16,"name":"Locomotive ID","value":"4009"},{"id":130,"name":"Impact","value":""},{"id":150,"name":"Time of Event (Mountain Time)","value":"15:55:11"},{"id":151,"name":"Denver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9"/>
        <v>start /low /b %USERPROFILE%\Documents\GitHub\eaglep3\Utilities\DownloadLogsFromS3.py --loco 4009 --day 2017-05-26</v>
      </c>
      <c r="AN184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765</v>
      </c>
      <c r="B185" s="7">
        <v>4040</v>
      </c>
      <c r="C185" s="21" t="s">
        <v>204</v>
      </c>
      <c r="D185" s="21" t="s">
        <v>966</v>
      </c>
      <c r="E185" s="13">
        <v>42881.656377314815</v>
      </c>
      <c r="F185" s="13">
        <v>42881.660590277781</v>
      </c>
      <c r="G185" s="7">
        <v>1</v>
      </c>
      <c r="H185" s="21" t="s">
        <v>509</v>
      </c>
      <c r="I185" s="13">
        <v>42881.670231481483</v>
      </c>
      <c r="J185" s="7">
        <v>0</v>
      </c>
      <c r="K185" s="92" t="str">
        <f t="shared" si="54"/>
        <v>4039/4040</v>
      </c>
      <c r="L185" s="21" t="str">
        <f>VLOOKUP(A185,'Trips&amp;Operators'!$C$1:$G$99999,5,FALSE)</f>
        <v>MCREYNOLDS KYLE</v>
      </c>
      <c r="M185" s="6">
        <f t="shared" si="55"/>
        <v>9.6412037019035779E-3</v>
      </c>
      <c r="N185" s="7">
        <f t="shared" si="71"/>
        <v>13.883333330741152</v>
      </c>
      <c r="O185" s="7"/>
      <c r="P185" s="7"/>
      <c r="Q185" s="22"/>
      <c r="R185" s="173"/>
      <c r="S185" s="176">
        <f t="shared" si="72"/>
        <v>1</v>
      </c>
      <c r="T185" s="202" t="str">
        <f t="shared" si="56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7"/>
        <v>https://d0f6bd738d7f1b3e5a7ca70fe4ff75f0.us-east-1.aws.found.io/app/kibana#/discover/Steve-Slow-Train-Analysis-(2080s-and-2083s)?_g=(refreshInterval:(display:Off,pause:!f,section:0,value:0),time:(from:'2017-05-26T14:45:11-0600',mode:absolute,to:'2017-05-26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04" t="str">
        <f t="shared" si="58"/>
        <v>N</v>
      </c>
      <c r="X185" s="204">
        <f t="shared" si="80"/>
        <v>1</v>
      </c>
      <c r="Y185" s="204">
        <f t="shared" si="78"/>
        <v>9.8100000000000007E-2</v>
      </c>
      <c r="Z185" s="204">
        <f t="shared" si="79"/>
        <v>5.8954000000000004</v>
      </c>
      <c r="AA185" s="204">
        <f t="shared" si="62"/>
        <v>5.7973000000000008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3"/>
        <v>0827-26</v>
      </c>
      <c r="AE185" s="80" t="str">
        <f t="shared" si="64"/>
        <v>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 &amp; 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</v>
      </c>
      <c r="AF185" s="77" t="str">
        <f t="shared" si="65"/>
        <v>"C:\Program Files (x86)\AstroGrep\AstroGrep.exe" /e /r /s /spath="%USERPROFILE%\AppData\Local\Temp\OnboardLogs" /stypes="app*4040*20170526*" /stext=" 22:.+((SYSTEM_STATE.+slice.+state.+changed )|(ment ac)|(multiple cpu faults)|(system.+state.+changed )|(\[timeout)|(PRM\|1\|D)|(kpr)|(kdp)|(train st.+moving)|(\|lc)|(penalty))"</v>
      </c>
      <c r="AG185" s="1" t="str">
        <f t="shared" si="66"/>
        <v>NW</v>
      </c>
      <c r="AH185" s="81" t="str">
        <f t="shared" si="67"/>
        <v>"%USERPROFILE%\Documents\GitHub\eaglep3\Utilities\RefineRTDCRunTimes.py" --tripid 827-26 --locoid 4040 --swversion DE.1.0.9.0 --startMP 204:981 --initTime 2017-05-26T15:45:11 --startdatetime 2017-05-26T15:51:15 --delay 1 --endMP 300:58954 --enddatetime 2017-05-26T16:05:08 --enforcementcount 0 &gt;&gt;C:\Users\stu\Documents\GitHub\eaglep3-reporting\EC\2017-05-26-refined-times.txt</v>
      </c>
      <c r="AI185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{"issue":{"subject":"","project_id":79,"tracker_id":40,"status_id":1,"priority_id":2,"assigned_to_id":23,"start_date":"2017-05-26","description":"","custom_fields":[{"id":1,"name":"Subdivision","value":"NW"},{"id":4,"name":"Milepost","value":"5.8954"},{"id":17,"name":"Train ID","value":"827-26"},{"id":16,"name":"Locomotive ID","value":"4040"},{"id":130,"name":"Impact","value":""},{"id":150,"name":"Time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9"/>
        <v>start /low /b %USERPROFILE%\Documents\GitHub\eaglep3\Utilities\DownloadLogsFromS3.py --loco 4040 --day 2017-05-26</v>
      </c>
      <c r="AN185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620</v>
      </c>
      <c r="B186" s="7">
        <v>4039</v>
      </c>
      <c r="C186" s="21" t="s">
        <v>204</v>
      </c>
      <c r="D186" s="21" t="s">
        <v>510</v>
      </c>
      <c r="E186" s="13">
        <v>42881.671481481484</v>
      </c>
      <c r="F186" s="13">
        <v>42881.673020833332</v>
      </c>
      <c r="G186" s="7">
        <v>1</v>
      </c>
      <c r="H186" s="21" t="s">
        <v>590</v>
      </c>
      <c r="I186" s="13">
        <v>42881.684282407405</v>
      </c>
      <c r="J186" s="7">
        <v>0</v>
      </c>
      <c r="K186" s="92" t="str">
        <f t="shared" si="54"/>
        <v>4039/4040</v>
      </c>
      <c r="L186" s="21" t="str">
        <f>VLOOKUP(A186,'Trips&amp;Operators'!$C$1:$G$99999,5,FALSE)</f>
        <v>MCREYNOLDS KYLE</v>
      </c>
      <c r="M186" s="6">
        <f t="shared" si="55"/>
        <v>1.1261574072705116E-2</v>
      </c>
      <c r="N186" s="7">
        <f t="shared" si="71"/>
        <v>16.216666664695367</v>
      </c>
      <c r="O186" s="7"/>
      <c r="P186" s="7"/>
      <c r="Q186" s="22"/>
      <c r="R186" s="173"/>
      <c r="S186" s="176">
        <f t="shared" si="72"/>
        <v>1</v>
      </c>
      <c r="T186" s="202" t="str">
        <f t="shared" si="56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7"/>
        <v>https://d0f6bd738d7f1b3e5a7ca70fe4ff75f0.us-east-1.aws.found.io/app/kibana#/discover/Steve-Slow-Train-Analysis-(2080s-and-2083s)?_g=(refreshInterval:(display:Off,pause:!f,section:0,value:0),time:(from:'2017-05-26T15:06:56-0600',mode:absolute,to:'2017-05-26T17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04" t="str">
        <f t="shared" si="58"/>
        <v>N</v>
      </c>
      <c r="X186" s="204">
        <f t="shared" si="80"/>
        <v>1</v>
      </c>
      <c r="Y186" s="204">
        <f t="shared" si="78"/>
        <v>5.8634000000000004</v>
      </c>
      <c r="Z186" s="204">
        <f t="shared" si="79"/>
        <v>6.9199999999999998E-2</v>
      </c>
      <c r="AA186" s="204">
        <f t="shared" si="62"/>
        <v>5.7942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3"/>
        <v>0828-26</v>
      </c>
      <c r="AE186" s="80" t="str">
        <f t="shared" si="64"/>
        <v>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 &amp; 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</v>
      </c>
      <c r="AF186" s="77" t="str">
        <f t="shared" si="65"/>
        <v>"C:\Program Files (x86)\AstroGrep\AstroGrep.exe" /e /r /s /spath="%USERPROFILE%\AppData\Local\Temp\OnboardLogs" /stypes="app*4039*20170526*" /stext=" 22:.+((SYSTEM_STATE.+slice.+state.+changed )|(ment ac)|(multiple cpu faults)|(system.+state.+changed )|(\[timeout)|(PRM\|1\|D)|(kpr)|(kdp)|(train st.+moving)|(\|lc)|(penalty))"</v>
      </c>
      <c r="AG186" s="1" t="str">
        <f t="shared" si="66"/>
        <v>NW</v>
      </c>
      <c r="AH186" s="81" t="str">
        <f t="shared" si="67"/>
        <v>"%USERPROFILE%\Documents\GitHub\eaglep3\Utilities\RefineRTDCRunTimes.py" --tripid 828-26 --locoid 4039 --swversion DE.1.0.9.0 --startMP 300:58634 --initTime 2017-05-26T16:06:56 --startdatetime 2017-05-26T16:09:09 --delay 1 --endMP 204:692 --enddatetime 2017-05-26T16:25:22 --enforcementcount 0 &gt;&gt;C:\Users\stu\Documents\GitHub\eaglep3-reporting\EC\2017-05-26-refined-times.txt</v>
      </c>
      <c r="AI186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{"issue":{"subject":"","project_id":79,"tracker_id":40,"status_id":1,"priority_id":2,"assigned_to_id":23,"start_date":"2017-05-26","description":"","custom_fields":[{"id":1,"name":"Subdivision","value":"NW"},{"id":4,"name":"Milepost","value":"0.0692"},{"id":17,"name":"Train ID","value":"828-26"},{"id":16,"name":"Locomotive ID","value":"4039"},{"id":130,"name":"Impact","value":""},{"id":150,"name":"Time of Event (Mountain Time)","value":"16:25:22"},{"id":151,"name":"Denver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9"/>
        <v>start /low /b %USERPROFILE%\Documents\GitHub\eaglep3\Utilities\DownloadLogsFromS3.py --loco 4039 --day 2017-05-26</v>
      </c>
      <c r="AN186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769</v>
      </c>
      <c r="B187" s="7">
        <v>4010</v>
      </c>
      <c r="C187" s="21" t="s">
        <v>204</v>
      </c>
      <c r="D187" s="21" t="s">
        <v>967</v>
      </c>
      <c r="E187" s="13">
        <v>42881.665127314816</v>
      </c>
      <c r="F187" s="13">
        <v>42881.681423611109</v>
      </c>
      <c r="G187" s="7">
        <v>1</v>
      </c>
      <c r="H187" s="21" t="s">
        <v>968</v>
      </c>
      <c r="I187" s="13">
        <v>42881.690833333334</v>
      </c>
      <c r="J187" s="7">
        <v>0</v>
      </c>
      <c r="K187" s="92" t="str">
        <f t="shared" si="54"/>
        <v>4009/4010</v>
      </c>
      <c r="L187" s="21" t="str">
        <f>VLOOKUP(A187,'Trips&amp;Operators'!$C$1:$G$99999,5,FALSE)</f>
        <v>LAMAR NEKESHA</v>
      </c>
      <c r="M187" s="6">
        <f t="shared" si="55"/>
        <v>9.4097222245181911E-3</v>
      </c>
      <c r="N187" s="7">
        <f t="shared" si="71"/>
        <v>13.550000003306195</v>
      </c>
      <c r="O187" s="7"/>
      <c r="P187" s="7"/>
      <c r="Q187" s="22"/>
      <c r="R187" s="173"/>
      <c r="S187" s="176">
        <f t="shared" si="72"/>
        <v>1</v>
      </c>
      <c r="T187" s="202" t="str">
        <f t="shared" si="56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7"/>
        <v>https://d0f6bd738d7f1b3e5a7ca70fe4ff75f0.us-east-1.aws.found.io/app/kibana#/discover/Steve-Slow-Train-Analysis-(2080s-and-2083s)?_g=(refreshInterval:(display:Off,pause:!f,section:0,value:0),time:(from:'2017-05-26T14:57:47-0600',mode:absolute,to:'2017-05-26T17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7" s="204" t="str">
        <f t="shared" si="58"/>
        <v>N</v>
      </c>
      <c r="X187" s="204">
        <f t="shared" si="80"/>
        <v>1</v>
      </c>
      <c r="Y187" s="204">
        <f t="shared" si="78"/>
        <v>9.5699999999999993E-2</v>
      </c>
      <c r="Z187" s="204">
        <f t="shared" si="79"/>
        <v>5.8939000000000004</v>
      </c>
      <c r="AA187" s="204">
        <f t="shared" si="62"/>
        <v>5.7982000000000005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3"/>
        <v>0829-26</v>
      </c>
      <c r="AE187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87" s="77" t="str">
        <f t="shared" si="65"/>
        <v>"C:\Program Files (x86)\AstroGrep\AstroGrep.exe" /e /r /s /spath="%USERPROFILE%\AppData\Local\Temp\OnboardLogs" /stypes="app*4010*20170526*" /stext=" 22:.+((SYSTEM_STATE.+slice.+state.+changed )|(ment ac)|(multiple cpu faults)|(system.+state.+changed )|(\[timeout)|(PRM\|1\|D)|(kpr)|(kdp)|(train st.+moving)|(\|lc)|(penalty))"</v>
      </c>
      <c r="AG187" s="1" t="str">
        <f t="shared" si="66"/>
        <v>NW</v>
      </c>
      <c r="AH187" s="81" t="str">
        <f t="shared" si="67"/>
        <v>"%USERPROFILE%\Documents\GitHub\eaglep3\Utilities\RefineRTDCRunTimes.py" --tripid 829-26 --locoid 4010 --swversion DE.1.0.9.0 --startMP 204:957 --initTime 2017-05-26T15:57:47 --startdatetime 2017-05-26T16:21:15 --delay 1 --endMP 300:58939 --enddatetime 2017-05-26T16:34:48 --enforcementcount 0 &gt;&gt;C:\Users\stu\Documents\GitHub\eaglep3-reporting\EC\2017-05-26-refined-times.txt</v>
      </c>
      <c r="AI187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{"issue":{"subject":"","project_id":79,"tracker_id":40,"status_id":1,"priority_id":2,"assigned_to_id":23,"start_date":"2017-05-26","description":"","custom_fields":[{"id":1,"name":"Subdivision","value":"NW"},{"id":4,"name":"Milepost","value":"5.8939"},{"id":17,"name":"Train ID","value":"829-26"},{"id":16,"name":"Locomotive ID","value":"4010"},{"id":130,"name":"Impact","value":""},{"id":150,"name":"Time of Event (Mountain Time)","value":"16:34:48"},{"id":151,"name":"Denver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9"/>
        <v>start /low /b %USERPROFILE%\Documents\GitHub\eaglep3\Utilities\DownloadLogsFromS3.py --loco 4010 --day 2017-05-26</v>
      </c>
      <c r="AN187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774</v>
      </c>
      <c r="B188" s="7">
        <v>4009</v>
      </c>
      <c r="C188" s="21" t="s">
        <v>204</v>
      </c>
      <c r="D188" s="21" t="s">
        <v>473</v>
      </c>
      <c r="E188" s="13">
        <v>42881.69190972222</v>
      </c>
      <c r="F188" s="13">
        <v>42881.693090277775</v>
      </c>
      <c r="G188" s="7">
        <v>1</v>
      </c>
      <c r="H188" s="21" t="s">
        <v>969</v>
      </c>
      <c r="I188" s="13">
        <v>42881.706099537034</v>
      </c>
      <c r="J188" s="7">
        <v>0</v>
      </c>
      <c r="K188" s="92" t="str">
        <f t="shared" si="54"/>
        <v>4009/4010</v>
      </c>
      <c r="L188" s="21" t="str">
        <f>VLOOKUP(A188,'Trips&amp;Operators'!$C$1:$G$99999,5,FALSE)</f>
        <v>LAMAR NEKESHA</v>
      </c>
      <c r="M188" s="6">
        <f t="shared" si="55"/>
        <v>1.3009259258979E-2</v>
      </c>
      <c r="N188" s="7">
        <f t="shared" si="71"/>
        <v>18.73333333292976</v>
      </c>
      <c r="O188" s="7"/>
      <c r="P188" s="7"/>
      <c r="Q188" s="22"/>
      <c r="R188" s="173"/>
      <c r="S188" s="176">
        <f t="shared" si="72"/>
        <v>1</v>
      </c>
      <c r="T188" s="202" t="str">
        <f t="shared" si="56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7"/>
        <v>https://d0f6bd738d7f1b3e5a7ca70fe4ff75f0.us-east-1.aws.found.io/app/kibana#/discover/Steve-Slow-Train-Analysis-(2080s-and-2083s)?_g=(refreshInterval:(display:Off,pause:!f,section:0,value:0),time:(from:'2017-05-26T15:36:21-0600',mode:absolute,to:'2017-05-26T17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8" s="204" t="str">
        <f t="shared" si="58"/>
        <v>N</v>
      </c>
      <c r="X188" s="204">
        <f t="shared" si="80"/>
        <v>1</v>
      </c>
      <c r="Y188" s="204">
        <f t="shared" si="78"/>
        <v>5.8619000000000003</v>
      </c>
      <c r="Z188" s="204">
        <f t="shared" si="79"/>
        <v>6.5199999999999994E-2</v>
      </c>
      <c r="AA188" s="204">
        <f t="shared" si="62"/>
        <v>5.7967000000000004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3"/>
        <v>0830-26</v>
      </c>
      <c r="AE188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88" s="77" t="str">
        <f t="shared" si="65"/>
        <v>"C:\Program Files (x86)\AstroGrep\AstroGrep.exe" /e /r /s /spath="%USERPROFILE%\AppData\Local\Temp\OnboardLogs" /stypes="app*4009*20170526*" /stext=" 22:.+((SYSTEM_STATE.+slice.+state.+changed )|(ment ac)|(multiple cpu faults)|(system.+state.+changed )|(\[timeout)|(PRM\|1\|D)|(kpr)|(kdp)|(train st.+moving)|(\|lc)|(penalty))"</v>
      </c>
      <c r="AG188" s="1" t="str">
        <f t="shared" si="66"/>
        <v>NW</v>
      </c>
      <c r="AH188" s="81" t="str">
        <f t="shared" si="67"/>
        <v>"%USERPROFILE%\Documents\GitHub\eaglep3\Utilities\RefineRTDCRunTimes.py" --tripid 830-26 --locoid 4009 --swversion DE.1.0.9.0 --startMP 300:58619 --initTime 2017-05-26T16:36:21 --startdatetime 2017-05-26T16:38:03 --delay 1 --endMP 204:652 --enddatetime 2017-05-26T16:56:47 --enforcementcount 0 &gt;&gt;C:\Users\stu\Documents\GitHub\eaglep3-reporting\EC\2017-05-26-refined-times.txt</v>
      </c>
      <c r="AI188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{"issue":{"subject":"","project_id":79,"tracker_id":40,"status_id":1,"priority_id":2,"assigned_to_id":23,"start_date":"2017-05-26","description":"","custom_fields":[{"id":1,"name":"Subdivision","value":"NW"},{"id":4,"name":"Milepost","value":"0.0652"},{"id":17,"name":"Train ID","value":"830-26"},{"id":16,"name":"Locomotive ID","value":"4009"},{"id":130,"name":"Impact","value":""},{"id":150,"name":"Time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9"/>
        <v>start /low /b %USERPROFILE%\Documents\GitHub\eaglep3\Utilities\DownloadLogsFromS3.py --loco 4009 --day 2017-05-26</v>
      </c>
      <c r="AN188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776</v>
      </c>
      <c r="B189" s="7">
        <v>4040</v>
      </c>
      <c r="C189" s="21" t="s">
        <v>204</v>
      </c>
      <c r="D189" s="21" t="s">
        <v>585</v>
      </c>
      <c r="E189" s="13">
        <v>42881.696851851855</v>
      </c>
      <c r="F189" s="13">
        <v>42881.702337962961</v>
      </c>
      <c r="G189" s="7">
        <v>1</v>
      </c>
      <c r="H189" s="21" t="s">
        <v>970</v>
      </c>
      <c r="I189" s="13">
        <v>42881.71193287037</v>
      </c>
      <c r="J189" s="7">
        <v>0</v>
      </c>
      <c r="K189" s="92" t="str">
        <f t="shared" si="54"/>
        <v>4039/4040</v>
      </c>
      <c r="L189" s="21" t="str">
        <f>VLOOKUP(A189,'Trips&amp;Operators'!$C$1:$G$99999,5,FALSE)</f>
        <v>MCREYNOLDS KYLE</v>
      </c>
      <c r="M189" s="6">
        <f t="shared" si="55"/>
        <v>9.5949074093368836E-3</v>
      </c>
      <c r="N189" s="7">
        <f t="shared" ref="N189:N220" si="81">24*60*SUM($M189:$M189)</f>
        <v>13.816666669445112</v>
      </c>
      <c r="O189" s="7"/>
      <c r="P189" s="7"/>
      <c r="Q189" s="22"/>
      <c r="R189" s="173"/>
      <c r="S189" s="176">
        <f t="shared" ref="S189:S220" si="82">SUM(U189:U189)/IF(AG189="EC",12,1)</f>
        <v>1</v>
      </c>
      <c r="T189" s="202" t="str">
        <f t="shared" si="56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7"/>
        <v>https://d0f6bd738d7f1b3e5a7ca70fe4ff75f0.us-east-1.aws.found.io/app/kibana#/discover/Steve-Slow-Train-Analysis-(2080s-and-2083s)?_g=(refreshInterval:(display:Off,pause:!f,section:0,value:0),time:(from:'2017-05-26T15:43:28-0600',mode:absolute,to:'2017-05-26T18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04" t="str">
        <f t="shared" si="58"/>
        <v>N</v>
      </c>
      <c r="X189" s="204">
        <f t="shared" si="80"/>
        <v>1</v>
      </c>
      <c r="Y189" s="204">
        <f t="shared" si="78"/>
        <v>9.8799999999999999E-2</v>
      </c>
      <c r="Z189" s="204">
        <f t="shared" si="79"/>
        <v>5.8992000000000004</v>
      </c>
      <c r="AA189" s="204">
        <f t="shared" si="62"/>
        <v>5.8004000000000007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3"/>
        <v>0831-26</v>
      </c>
      <c r="AE189" s="80" t="str">
        <f t="shared" si="64"/>
        <v>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 &amp; 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</v>
      </c>
      <c r="AF189" s="77" t="str">
        <f t="shared" si="65"/>
        <v>"C:\Program Files (x86)\AstroGrep\AstroGrep.exe" /e /r /s /spath="%USERPROFILE%\AppData\Local\Temp\OnboardLogs" /stypes="app*4040*20170526*" /stext=" 23:.+((SYSTEM_STATE.+slice.+state.+changed )|(ment ac)|(multiple cpu faults)|(system.+state.+changed )|(\[timeout)|(PRM\|1\|D)|(kpr)|(kdp)|(train st.+moving)|(\|lc)|(penalty))"</v>
      </c>
      <c r="AG189" s="1" t="str">
        <f t="shared" si="66"/>
        <v>NW</v>
      </c>
      <c r="AH189" s="81" t="str">
        <f t="shared" si="67"/>
        <v>"%USERPROFILE%\Documents\GitHub\eaglep3\Utilities\RefineRTDCRunTimes.py" --tripid 831-26 --locoid 4040 --swversion DE.1.0.9.0 --startMP 204:988 --initTime 2017-05-26T16:43:28 --startdatetime 2017-05-26T16:51:22 --delay 1 --endMP 300:58992 --enddatetime 2017-05-26T17:05:11 --enforcementcount 0 &gt;&gt;C:\Users\stu\Documents\GitHub\eaglep3-reporting\EC\2017-05-26-refined-times.txt</v>
      </c>
      <c r="AI189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{"issue":{"subject":"","project_id":79,"tracker_id":40,"status_id":1,"priority_id":2,"assigned_to_id":23,"start_date":"2017-05-26","description":"","custom_fields":[{"id":1,"name":"Subdivision","value":"NW"},{"id":4,"name":"Milepost","value":"5.8992"},{"id":17,"name":"Train ID","value":"831-26"},{"id":16,"name":"Locomotive ID","value":"4040"},{"id":130,"name":"Impact","value":""},{"id":150,"name":"Time of Event (Mountain Time)","value":"17:05:11"},{"id":151,"name":"Denver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9"/>
        <v>start /low /b %USERPROFILE%\Documents\GitHub\eaglep3\Utilities\DownloadLogsFromS3.py --loco 4040 --day 2017-05-26</v>
      </c>
      <c r="AN189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780</v>
      </c>
      <c r="B190" s="7">
        <v>4039</v>
      </c>
      <c r="C190" s="21" t="s">
        <v>204</v>
      </c>
      <c r="D190" s="21" t="s">
        <v>959</v>
      </c>
      <c r="E190" s="13">
        <v>42881.713761574072</v>
      </c>
      <c r="F190" s="13">
        <v>42881.715069444443</v>
      </c>
      <c r="G190" s="7">
        <v>1</v>
      </c>
      <c r="H190" s="21" t="s">
        <v>971</v>
      </c>
      <c r="I190" s="13">
        <v>42881.726099537038</v>
      </c>
      <c r="J190" s="7">
        <v>0</v>
      </c>
      <c r="K190" s="92" t="str">
        <f t="shared" si="54"/>
        <v>4039/4040</v>
      </c>
      <c r="L190" s="21" t="str">
        <f>VLOOKUP(A190,'Trips&amp;Operators'!$C$1:$G$99999,5,FALSE)</f>
        <v>MCREYNOLDS KYLE</v>
      </c>
      <c r="M190" s="6">
        <f t="shared" si="55"/>
        <v>1.1030092595319729E-2</v>
      </c>
      <c r="N190" s="7">
        <f t="shared" si="81"/>
        <v>15.88333333726041</v>
      </c>
      <c r="O190" s="7"/>
      <c r="P190" s="7"/>
      <c r="Q190" s="22"/>
      <c r="R190" s="173"/>
      <c r="S190" s="176">
        <f t="shared" si="82"/>
        <v>1</v>
      </c>
      <c r="T190" s="202" t="str">
        <f t="shared" si="56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7"/>
        <v>https://d0f6bd738d7f1b3e5a7ca70fe4ff75f0.us-east-1.aws.found.io/app/kibana#/discover/Steve-Slow-Train-Analysis-(2080s-and-2083s)?_g=(refreshInterval:(display:Off,pause:!f,section:0,value:0),time:(from:'2017-05-26T16:07:49-0600',mode:absolute,to:'2017-05-26T18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04" t="str">
        <f t="shared" si="58"/>
        <v>N</v>
      </c>
      <c r="X190" s="204">
        <f t="shared" si="80"/>
        <v>1</v>
      </c>
      <c r="Y190" s="204">
        <f t="shared" si="78"/>
        <v>5.8667999999999996</v>
      </c>
      <c r="Z190" s="204">
        <f t="shared" si="79"/>
        <v>6.9400000000000003E-2</v>
      </c>
      <c r="AA190" s="204">
        <f t="shared" si="62"/>
        <v>5.7973999999999997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3"/>
        <v>0832-26</v>
      </c>
      <c r="AE190" s="80" t="str">
        <f t="shared" si="64"/>
        <v>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 &amp; 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</v>
      </c>
      <c r="AF190" s="77" t="str">
        <f t="shared" si="65"/>
        <v>"C:\Program Files (x86)\AstroGrep\AstroGrep.exe" /e /r /s /spath="%USERPROFILE%\AppData\Local\Temp\OnboardLogs" /stypes="app*4039*20170526*" /stext=" 23:.+((SYSTEM_STATE.+slice.+state.+changed )|(ment ac)|(multiple cpu faults)|(system.+state.+changed )|(\[timeout)|(PRM\|1\|D)|(kpr)|(kdp)|(train st.+moving)|(\|lc)|(penalty))"</v>
      </c>
      <c r="AG190" s="1" t="str">
        <f t="shared" si="66"/>
        <v>NW</v>
      </c>
      <c r="AH190" s="81" t="str">
        <f t="shared" si="67"/>
        <v>"%USERPROFILE%\Documents\GitHub\eaglep3\Utilities\RefineRTDCRunTimes.py" --tripid 832-26 --locoid 4039 --swversion DE.1.0.9.0 --startMP 300:58668 --initTime 2017-05-26T17:07:49 --startdatetime 2017-05-26T17:09:42 --delay 1 --endMP 204:694 --enddatetime 2017-05-26T17:25:35 --enforcementcount 0 &gt;&gt;C:\Users\stu\Documents\GitHub\eaglep3-reporting\EC\2017-05-26-refined-times.txt</v>
      </c>
      <c r="AI190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{"issue":{"subject":"","project_id":79,"tracker_id":40,"status_id":1,"priority_id":2,"assigned_to_id":23,"start_date":"2017-05-26","description":"","custom_fields":[{"id":1,"name":"Subdivision","value":"NW"},{"id":4,"name":"Milepost","value":"0.0694"},{"id":17,"name":"Train ID","value":"832-26"},{"id":16,"name":"Locomotive ID","value":"4039"},{"id":130,"name":"Impact","value":""},{"id":150,"name":"Time of Event (Mountain Time)","value":"17:25:35"},{"id":151,"name":"Denver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9"/>
        <v>start /low /b %USERPROFILE%\Documents\GitHub\eaglep3\Utilities\DownloadLogsFromS3.py --loco 4039 --day 2017-05-26</v>
      </c>
      <c r="AN190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779</v>
      </c>
      <c r="B191" s="7">
        <v>4010</v>
      </c>
      <c r="C191" s="21" t="s">
        <v>204</v>
      </c>
      <c r="D191" s="21" t="s">
        <v>956</v>
      </c>
      <c r="E191" s="13">
        <v>42881.707939814813</v>
      </c>
      <c r="F191" s="13">
        <v>42881.723090277781</v>
      </c>
      <c r="G191" s="7">
        <v>1</v>
      </c>
      <c r="H191" s="21" t="s">
        <v>972</v>
      </c>
      <c r="I191" s="13">
        <v>42881.732916666668</v>
      </c>
      <c r="J191" s="7">
        <v>0</v>
      </c>
      <c r="K191" s="92" t="str">
        <f t="shared" si="54"/>
        <v>4009/4010</v>
      </c>
      <c r="L191" s="21" t="str">
        <f>VLOOKUP(A191,'Trips&amp;Operators'!$C$1:$G$99999,5,FALSE)</f>
        <v>LAMAR NEKESHA</v>
      </c>
      <c r="M191" s="6">
        <f t="shared" si="55"/>
        <v>9.8263888867222704E-3</v>
      </c>
      <c r="N191" s="7">
        <f t="shared" si="81"/>
        <v>14.149999996880069</v>
      </c>
      <c r="O191" s="7"/>
      <c r="P191" s="7"/>
      <c r="Q191" s="22"/>
      <c r="R191" s="173"/>
      <c r="S191" s="176">
        <f t="shared" si="82"/>
        <v>1</v>
      </c>
      <c r="T191" s="202" t="str">
        <f t="shared" si="56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7"/>
        <v>https://d0f6bd738d7f1b3e5a7ca70fe4ff75f0.us-east-1.aws.found.io/app/kibana#/discover/Steve-Slow-Train-Analysis-(2080s-and-2083s)?_g=(refreshInterval:(display:Off,pause:!f,section:0,value:0),time:(from:'2017-05-26T15:59:26-0600',mode:absolute,to:'2017-05-26T18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1" s="204" t="str">
        <f t="shared" si="58"/>
        <v>N</v>
      </c>
      <c r="X191" s="204">
        <f t="shared" si="80"/>
        <v>1</v>
      </c>
      <c r="Y191" s="204">
        <f t="shared" si="78"/>
        <v>9.5000000000000001E-2</v>
      </c>
      <c r="Z191" s="204">
        <f t="shared" si="79"/>
        <v>5.9009999999999998</v>
      </c>
      <c r="AA191" s="204">
        <f t="shared" si="62"/>
        <v>5.806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3"/>
        <v>0833-26</v>
      </c>
      <c r="AE191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91" s="77" t="str">
        <f t="shared" si="65"/>
        <v>"C:\Program Files (x86)\AstroGrep\AstroGrep.exe" /e /r /s /spath="%USERPROFILE%\AppData\Local\Temp\OnboardLogs" /stypes="app*4010*20170526*" /stext=" 23:.+((SYSTEM_STATE.+slice.+state.+changed )|(ment ac)|(multiple cpu faults)|(system.+state.+changed )|(\[timeout)|(PRM\|1\|D)|(kpr)|(kdp)|(train st.+moving)|(\|lc)|(penalty))"</v>
      </c>
      <c r="AG191" s="1" t="str">
        <f t="shared" si="66"/>
        <v>NW</v>
      </c>
      <c r="AH191" s="81" t="str">
        <f t="shared" si="67"/>
        <v>"%USERPROFILE%\Documents\GitHub\eaglep3\Utilities\RefineRTDCRunTimes.py" --tripid 833-26 --locoid 4010 --swversion DE.1.0.9.0 --startMP 204:950 --initTime 2017-05-26T16:59:26 --startdatetime 2017-05-26T17:21:15 --delay 1 --endMP 300:59010 --enddatetime 2017-05-26T17:35:24 --enforcementcount 0 &gt;&gt;C:\Users\stu\Documents\GitHub\eaglep3-reporting\EC\2017-05-26-refined-times.txt</v>
      </c>
      <c r="AI191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{"issue":{"subject":"","project_id":79,"tracker_id":40,"status_id":1,"priority_id":2,"assigned_to_id":23,"start_date":"2017-05-26","description":"","custom_fields":[{"id":1,"name":"Subdivision","value":"NW"},{"id":4,"name":"Milepost","value":"5.901"},{"id":17,"name":"Train ID","value":"833-26"},{"id":16,"name":"Locomotive ID","value":"4010"},{"id":130,"name":"Impact","value":""},{"id":150,"name":"Time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9"/>
        <v>start /low /b %USERPROFILE%\Documents\GitHub\eaglep3\Utilities\DownloadLogsFromS3.py --loco 4010 --day 2017-05-26</v>
      </c>
      <c r="AN191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622</v>
      </c>
      <c r="B192" s="7">
        <v>4009</v>
      </c>
      <c r="C192" s="21" t="s">
        <v>204</v>
      </c>
      <c r="D192" s="21" t="s">
        <v>973</v>
      </c>
      <c r="E192" s="13">
        <v>42881.734456018516</v>
      </c>
      <c r="F192" s="13">
        <v>42881.735983796294</v>
      </c>
      <c r="G192" s="7">
        <v>1</v>
      </c>
      <c r="H192" s="21" t="s">
        <v>974</v>
      </c>
      <c r="I192" s="13">
        <v>42881.747430555559</v>
      </c>
      <c r="J192" s="7">
        <v>0</v>
      </c>
      <c r="K192" s="92" t="str">
        <f t="shared" si="54"/>
        <v>4009/4010</v>
      </c>
      <c r="L192" s="21" t="str">
        <f>VLOOKUP(A192,'Trips&amp;Operators'!$C$1:$G$99999,5,FALSE)</f>
        <v>LAMAR NEKESHA</v>
      </c>
      <c r="M192" s="6">
        <f t="shared" si="55"/>
        <v>1.1446759264799766E-2</v>
      </c>
      <c r="N192" s="7">
        <f t="shared" si="81"/>
        <v>16.483333341311663</v>
      </c>
      <c r="O192" s="7"/>
      <c r="P192" s="7"/>
      <c r="Q192" s="22"/>
      <c r="R192" s="173"/>
      <c r="S192" s="176">
        <f t="shared" si="82"/>
        <v>1</v>
      </c>
      <c r="T192" s="202" t="str">
        <f t="shared" si="56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7"/>
        <v>https://d0f6bd738d7f1b3e5a7ca70fe4ff75f0.us-east-1.aws.found.io/app/kibana#/discover/Steve-Slow-Train-Analysis-(2080s-and-2083s)?_g=(refreshInterval:(display:Off,pause:!f,section:0,value:0),time:(from:'2017-05-26T16:37:37-0600',mode:absolute,to:'2017-05-26T18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2" s="204" t="str">
        <f t="shared" si="58"/>
        <v>N</v>
      </c>
      <c r="X192" s="204">
        <f t="shared" si="80"/>
        <v>1</v>
      </c>
      <c r="Y192" s="204">
        <f t="shared" si="78"/>
        <v>5.8681000000000001</v>
      </c>
      <c r="Z192" s="204">
        <f t="shared" si="79"/>
        <v>6.6100000000000006E-2</v>
      </c>
      <c r="AA192" s="204">
        <f t="shared" si="62"/>
        <v>5.8020000000000005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3"/>
        <v>0834-26</v>
      </c>
      <c r="AE192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92" s="77" t="str">
        <f t="shared" si="65"/>
        <v>"C:\Program Files (x86)\AstroGrep\AstroGrep.exe" /e /r /s /spath="%USERPROFILE%\AppData\Local\Temp\OnboardLogs" /stypes="app*4009*20170526*" /stext=" 23:.+((SYSTEM_STATE.+slice.+state.+changed )|(ment ac)|(multiple cpu faults)|(system.+state.+changed )|(\[timeout)|(PRM\|1\|D)|(kpr)|(kdp)|(train st.+moving)|(\|lc)|(penalty))"</v>
      </c>
      <c r="AG192" s="1" t="str">
        <f t="shared" si="66"/>
        <v>NW</v>
      </c>
      <c r="AH192" s="81" t="str">
        <f t="shared" si="67"/>
        <v>"%USERPROFILE%\Documents\GitHub\eaglep3\Utilities\RefineRTDCRunTimes.py" --tripid 834-26 --locoid 4009 --swversion DE.1.0.9.0 --startMP 300:58681 --initTime 2017-05-26T17:37:37 --startdatetime 2017-05-26T17:39:49 --delay 1 --endMP 204:661 --enddatetime 2017-05-26T17:56:18 --enforcementcount 0 &gt;&gt;C:\Users\stu\Documents\GitHub\eaglep3-reporting\EC\2017-05-26-refined-times.txt</v>
      </c>
      <c r="AI192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{"issue":{"subject":"","project_id":79,"tracker_id":40,"status_id":1,"priority_id":2,"assigned_to_id":23,"start_date":"2017-05-26","description":"","custom_fields":[{"id":1,"name":"Subdivision","value":"NW"},{"id":4,"name":"Milepost","value":"0.0661"},{"id":17,"name":"Train ID","value":"834-26"},{"id":16,"name":"Locomotive ID","value":"4009"},{"id":130,"name":"Impact","value":""},{"id":150,"name":"Time of Event (Mountain Time)","value":"17:56:18"},{"id":151,"name":"Denver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9"/>
        <v>start /low /b %USERPROFILE%\Documents\GitHub\eaglep3\Utilities\DownloadLogsFromS3.py --loco 4009 --day 2017-05-26</v>
      </c>
      <c r="AN192" s="154" t="str">
        <f t="shared" si="70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788</v>
      </c>
      <c r="B193" s="7">
        <v>4040</v>
      </c>
      <c r="C193" s="21" t="s">
        <v>204</v>
      </c>
      <c r="D193" s="21" t="s">
        <v>975</v>
      </c>
      <c r="E193" s="13">
        <v>42881.738877314812</v>
      </c>
      <c r="F193" s="13">
        <v>42881.743923611109</v>
      </c>
      <c r="G193" s="7">
        <v>1</v>
      </c>
      <c r="H193" s="21" t="s">
        <v>976</v>
      </c>
      <c r="I193" s="13">
        <v>42881.753958333335</v>
      </c>
      <c r="J193" s="7">
        <v>0</v>
      </c>
      <c r="K193" s="92" t="str">
        <f t="shared" si="54"/>
        <v>4039/4040</v>
      </c>
      <c r="L193" s="21" t="str">
        <f>VLOOKUP(A193,'Trips&amp;Operators'!$C$1:$G$99999,5,FALSE)</f>
        <v>MCREYNOLDS KYLE</v>
      </c>
      <c r="M193" s="6">
        <f t="shared" si="55"/>
        <v>1.0034722225100268E-2</v>
      </c>
      <c r="N193" s="7">
        <f t="shared" si="81"/>
        <v>14.450000004144385</v>
      </c>
      <c r="O193" s="7"/>
      <c r="P193" s="7"/>
      <c r="Q193" s="22"/>
      <c r="R193" s="173"/>
      <c r="S193" s="176">
        <f t="shared" si="82"/>
        <v>1</v>
      </c>
      <c r="T193" s="202" t="str">
        <f t="shared" si="56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7"/>
        <v>https://d0f6bd738d7f1b3e5a7ca70fe4ff75f0.us-east-1.aws.found.io/app/kibana#/discover/Steve-Slow-Train-Analysis-(2080s-and-2083s)?_g=(refreshInterval:(display:Off,pause:!f,section:0,value:0),time:(from:'2017-05-26T16:43:59-0600',mode:absolute,to:'2017-05-26T19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04" t="str">
        <f t="shared" si="58"/>
        <v>N</v>
      </c>
      <c r="X193" s="204">
        <f t="shared" si="80"/>
        <v>1</v>
      </c>
      <c r="Y193" s="204">
        <f t="shared" si="78"/>
        <v>9.7799999999999998E-2</v>
      </c>
      <c r="Z193" s="204">
        <f t="shared" si="79"/>
        <v>5.8956</v>
      </c>
      <c r="AA193" s="204">
        <f t="shared" si="62"/>
        <v>5.7977999999999996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3"/>
        <v>0835-26</v>
      </c>
      <c r="AE193" s="80" t="str">
        <f t="shared" si="64"/>
        <v>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 &amp; 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</v>
      </c>
      <c r="AF193" s="77" t="str">
        <f t="shared" si="65"/>
        <v>"C:\Program Files (x86)\AstroGrep\AstroGrep.exe" /e /r /s /spath="%USERPROFILE%\AppData\Local\Temp\OnboardLogs" /stypes="app*4040*20170527*" /stext=" 00:.+((SYSTEM_STATE.+slice.+state.+changed )|(ment ac)|(multiple cpu faults)|(system.+state.+changed )|(\[timeout)|(PRM\|1\|D)|(kpr)|(kdp)|(train st.+moving)|(\|lc)|(penalty))"</v>
      </c>
      <c r="AG193" s="1" t="str">
        <f t="shared" si="66"/>
        <v>NW</v>
      </c>
      <c r="AH193" s="81" t="str">
        <f t="shared" si="67"/>
        <v>"%USERPROFILE%\Documents\GitHub\eaglep3\Utilities\RefineRTDCRunTimes.py" --tripid 835-26 --locoid 4040 --swversion DE.1.0.9.0 --startMP 204:978 --initTime 2017-05-26T17:43:59 --startdatetime 2017-05-26T17:51:15 --delay 1 --endMP 300:58956 --enddatetime 2017-05-26T18:05:42 --enforcementcount 0 &gt;&gt;C:\Users\stu\Documents\GitHub\eaglep3-reporting\EC\2017-05-26-refined-times.txt</v>
      </c>
      <c r="AI193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{"issue":{"subject":"","project_id":79,"tracker_id":40,"status_id":1,"priority_id":2,"assigned_to_id":23,"start_date":"2017-05-26","description":"","custom_fields":[{"id":1,"name":"Subdivision","value":"NW"},{"id":4,"name":"Milepost","value":"5.8956"},{"id":17,"name":"Train ID","value":"835-26"},{"id":16,"name":"Locomotive ID","value":"4040"},{"id":130,"name":"Impact","value":""},{"id":150,"name":"Time of Event (Mountain Time)","value":"18:05:42"},{"id":151,"name":"Denver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69"/>
        <v>start /low /b %USERPROFILE%\Documents\GitHub\eaglep3\Utilities\DownloadLogsFromS3.py --loco 4040 --day 2017-05-26</v>
      </c>
      <c r="AN193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792</v>
      </c>
      <c r="B194" s="7">
        <v>4039</v>
      </c>
      <c r="C194" s="21" t="s">
        <v>204</v>
      </c>
      <c r="D194" s="21" t="s">
        <v>510</v>
      </c>
      <c r="E194" s="13">
        <v>42881.75540509259</v>
      </c>
      <c r="F194" s="13">
        <v>42881.756620370368</v>
      </c>
      <c r="G194" s="7">
        <v>1</v>
      </c>
      <c r="H194" s="21" t="s">
        <v>583</v>
      </c>
      <c r="I194" s="13">
        <v>42881.76766203704</v>
      </c>
      <c r="J194" s="7">
        <v>0</v>
      </c>
      <c r="K194" s="92" t="str">
        <f t="shared" si="54"/>
        <v>4039/4040</v>
      </c>
      <c r="L194" s="21" t="str">
        <f>VLOOKUP(A194,'Trips&amp;Operators'!$C$1:$G$99999,5,FALSE)</f>
        <v>MCREYNOLDS KYLE</v>
      </c>
      <c r="M194" s="6">
        <f t="shared" si="55"/>
        <v>1.1041666672099382E-2</v>
      </c>
      <c r="N194" s="7">
        <f t="shared" si="81"/>
        <v>15.90000000782311</v>
      </c>
      <c r="O194" s="7"/>
      <c r="P194" s="7"/>
      <c r="Q194" s="22"/>
      <c r="R194" s="173"/>
      <c r="S194" s="176">
        <f t="shared" si="82"/>
        <v>1</v>
      </c>
      <c r="T194" s="202" t="str">
        <f t="shared" si="56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7"/>
        <v>https://d0f6bd738d7f1b3e5a7ca70fe4ff75f0.us-east-1.aws.found.io/app/kibana#/discover/Steve-Slow-Train-Analysis-(2080s-and-2083s)?_g=(refreshInterval:(display:Off,pause:!f,section:0,value:0),time:(from:'2017-05-26T17:07:47-0600',mode:absolute,to:'2017-05-26T19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04" t="str">
        <f t="shared" si="58"/>
        <v>N</v>
      </c>
      <c r="X194" s="204">
        <f t="shared" si="80"/>
        <v>1</v>
      </c>
      <c r="Y194" s="204">
        <f t="shared" si="78"/>
        <v>5.8634000000000004</v>
      </c>
      <c r="Z194" s="204">
        <f t="shared" si="79"/>
        <v>6.8199999999999997E-2</v>
      </c>
      <c r="AA194" s="204">
        <f t="shared" si="62"/>
        <v>5.7952000000000004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3"/>
        <v>0836-26</v>
      </c>
      <c r="AE194" s="80" t="str">
        <f t="shared" si="64"/>
        <v>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 &amp; 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</v>
      </c>
      <c r="AF194" s="77" t="str">
        <f t="shared" si="65"/>
        <v>"C:\Program Files (x86)\AstroGrep\AstroGrep.exe" /e /r /s /spath="%USERPROFILE%\AppData\Local\Temp\OnboardLogs" /stypes="app*4039*20170527*" /stext=" 00:.+((SYSTEM_STATE.+slice.+state.+changed )|(ment ac)|(multiple cpu faults)|(system.+state.+changed )|(\[timeout)|(PRM\|1\|D)|(kpr)|(kdp)|(train st.+moving)|(\|lc)|(penalty))"</v>
      </c>
      <c r="AG194" s="1" t="str">
        <f t="shared" si="66"/>
        <v>NW</v>
      </c>
      <c r="AH194" s="81" t="str">
        <f t="shared" si="67"/>
        <v>"%USERPROFILE%\Documents\GitHub\eaglep3\Utilities\RefineRTDCRunTimes.py" --tripid 836-26 --locoid 4039 --swversion DE.1.0.9.0 --startMP 300:58634 --initTime 2017-05-26T18:07:47 --startdatetime 2017-05-26T18:09:32 --delay 1 --endMP 204:682 --enddatetime 2017-05-26T18:25:26 --enforcementcount 0 &gt;&gt;C:\Users\stu\Documents\GitHub\eaglep3-reporting\EC\2017-05-26-refined-times.txt</v>
      </c>
      <c r="AI194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{"issue":{"subject":"","project_id":79,"tracker_id":40,"status_id":1,"priority_id":2,"assigned_to_id":23,"start_date":"2017-05-26","description":"","custom_fields":[{"id":1,"name":"Subdivision","value":"NW"},{"id":4,"name":"Milepost","value":"0.0682"},{"id":17,"name":"Train ID","value":"836-26"},{"id":16,"name":"Locomotive ID","value":"4039"},{"id":130,"name":"Impact","value":""},{"id":150,"name":"Time of Event (Mountain Time)","value":"18:25:26"},{"id":151,"name":"Denver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9"/>
        <v>start /low /b %USERPROFILE%\Documents\GitHub\eaglep3\Utilities\DownloadLogsFromS3.py --loco 4039 --day 2017-05-26</v>
      </c>
      <c r="AN194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791</v>
      </c>
      <c r="B195" s="7">
        <v>4010</v>
      </c>
      <c r="C195" s="21" t="s">
        <v>204</v>
      </c>
      <c r="D195" s="21" t="s">
        <v>510</v>
      </c>
      <c r="E195" s="13">
        <v>42881.75540509259</v>
      </c>
      <c r="F195" s="13">
        <v>42881.764733796299</v>
      </c>
      <c r="G195" s="7">
        <v>1</v>
      </c>
      <c r="H195" s="21" t="s">
        <v>583</v>
      </c>
      <c r="I195" s="13">
        <v>42881.774224537039</v>
      </c>
      <c r="J195" s="7">
        <v>0</v>
      </c>
      <c r="K195" s="92" t="str">
        <f t="shared" si="54"/>
        <v>4009/4010</v>
      </c>
      <c r="L195" s="21" t="str">
        <f>VLOOKUP(A195,'Trips&amp;Operators'!$C$1:$G$99999,5,FALSE)</f>
        <v>LAMAR NEKESHA</v>
      </c>
      <c r="M195" s="6">
        <f t="shared" si="55"/>
        <v>9.4907407401478849E-3</v>
      </c>
      <c r="N195" s="7">
        <f t="shared" si="81"/>
        <v>13.666666665812954</v>
      </c>
      <c r="O195" s="7"/>
      <c r="P195" s="7"/>
      <c r="Q195" s="22"/>
      <c r="R195" s="173"/>
      <c r="S195" s="176">
        <f t="shared" si="82"/>
        <v>1</v>
      </c>
      <c r="T195" s="202" t="str">
        <f t="shared" si="56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7"/>
        <v>https://d0f6bd738d7f1b3e5a7ca70fe4ff75f0.us-east-1.aws.found.io/app/kibana#/discover/Steve-Slow-Train-Analysis-(2080s-and-2083s)?_g=(refreshInterval:(display:Off,pause:!f,section:0,value:0),time:(from:'2017-05-26T17:07:47-0600',mode:absolute,to:'2017-05-26T19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5" s="204" t="str">
        <f t="shared" si="58"/>
        <v>N</v>
      </c>
      <c r="X195" s="204">
        <f t="shared" ref="X195:X198" si="83">VALUE(LEFT(AD195,4))-VALUE(LEFT(AD194,4))</f>
        <v>1</v>
      </c>
      <c r="Y195" s="204">
        <v>9.7799999999999998E-2</v>
      </c>
      <c r="Z195" s="204">
        <v>5.8956</v>
      </c>
      <c r="AA195" s="204">
        <f t="shared" si="62"/>
        <v>5.7977999999999996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3"/>
        <v>0837-26</v>
      </c>
      <c r="AE195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95" s="77" t="str">
        <f t="shared" si="65"/>
        <v>"C:\Program Files (x86)\AstroGrep\AstroGrep.exe" /e /r /s /spath="%USERPROFILE%\AppData\Local\Temp\OnboardLogs" /stypes="app*4010*20170527*" /stext=" 00:.+((SYSTEM_STATE.+slice.+state.+changed )|(ment ac)|(multiple cpu faults)|(system.+state.+changed )|(\[timeout)|(PRM\|1\|D)|(kpr)|(kdp)|(train st.+moving)|(\|lc)|(penalty))"</v>
      </c>
      <c r="AG195" s="1" t="str">
        <f t="shared" si="66"/>
        <v>NW</v>
      </c>
      <c r="AH195" s="81" t="str">
        <f t="shared" ref="AH195" si="84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837-26 --locoid 4010 --swversion DE.1.0.9.0 --startMP 300:58634 --initTime 2017-05-26T18:07:47 --startdatetime 2017-05-26T18:21:13 --delay 1 --endMP 204:682 --enddatetime 2017-05-26T18:34:53 --enforcementcount 0 &gt;&gt;C:\Users\stu\Documents\GitHub\eaglep3-reporting\EC\2017-05-26-refined-times.txt</v>
      </c>
      <c r="AI195" s="99" t="str">
        <f t="shared" ref="AI195" si="85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{"issue":{"subject":"","project_id":79,"tracker_id":40,"status_id":1,"priority_id":2,"assigned_to_id":23,"start_date":"2017-05-26","description":"","custom_fields":[{"id":1,"name":"Subdivision","value":"NW"},{"id":4,"name":"Milepost","value":"5.8956"},{"id":17,"name":"Train ID","value":"837-26"},{"id":16,"name":"Locomotive ID","value":"4010"},{"id":130,"name":"Impact","value":""},{"id":150,"name":"Time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ref="AM195" si="86">"start /low /b "&amp;dls3logs&amp;" --loco "&amp;B195&amp;" --day "&amp;TEXT(F195,"YYYY-MM-DD")</f>
        <v>start /low /b %USERPROFILE%\Documents\GitHub\eaglep3\Utilities\DownloadLogsFromS3.py --loco 4010 --day 2017-05-26</v>
      </c>
      <c r="AN195" s="154" t="str">
        <f t="shared" ref="AN195" si="87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796</v>
      </c>
      <c r="B196" s="7">
        <v>4009</v>
      </c>
      <c r="C196" s="21" t="s">
        <v>204</v>
      </c>
      <c r="D196" s="21" t="s">
        <v>965</v>
      </c>
      <c r="E196" s="13">
        <v>42881.775254629632</v>
      </c>
      <c r="F196" s="13">
        <v>42881.776805555557</v>
      </c>
      <c r="G196" s="7">
        <v>1</v>
      </c>
      <c r="H196" s="21" t="s">
        <v>584</v>
      </c>
      <c r="I196" s="13">
        <v>42881.790069444447</v>
      </c>
      <c r="J196" s="7">
        <v>0</v>
      </c>
      <c r="K196" s="92" t="str">
        <f t="shared" si="54"/>
        <v>4009/4010</v>
      </c>
      <c r="L196" s="21" t="str">
        <f>VLOOKUP(A196,'Trips&amp;Operators'!$C$1:$G$99999,5,FALSE)</f>
        <v>LAMAR NEKESHA</v>
      </c>
      <c r="M196" s="6">
        <f t="shared" si="55"/>
        <v>1.3263888889923692E-2</v>
      </c>
      <c r="N196" s="7">
        <f t="shared" si="81"/>
        <v>19.100000001490116</v>
      </c>
      <c r="O196" s="7"/>
      <c r="P196" s="7"/>
      <c r="Q196" s="22"/>
      <c r="R196" s="173"/>
      <c r="S196" s="176">
        <f t="shared" si="82"/>
        <v>1</v>
      </c>
      <c r="T196" s="202" t="str">
        <f t="shared" si="56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7"/>
        <v>https://d0f6bd738d7f1b3e5a7ca70fe4ff75f0.us-east-1.aws.found.io/app/kibana#/discover/Steve-Slow-Train-Analysis-(2080s-and-2083s)?_g=(refreshInterval:(display:Off,pause:!f,section:0,value:0),time:(from:'2017-05-26T17:36:22-0600',mode:absolute,to:'2017-05-26T19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6" s="204" t="str">
        <f t="shared" si="58"/>
        <v>N</v>
      </c>
      <c r="X196" s="204">
        <f t="shared" si="83"/>
        <v>1</v>
      </c>
      <c r="Y196" s="204">
        <f t="shared" ref="Y196:Y242" si="88">RIGHT(D196,LEN(D196)-4)/10000</f>
        <v>5.8674999999999997</v>
      </c>
      <c r="Z196" s="204">
        <f t="shared" ref="Z196:Z242" si="89">RIGHT(H196,LEN(H196)-4)/10000</f>
        <v>6.7500000000000004E-2</v>
      </c>
      <c r="AA196" s="204">
        <f t="shared" si="62"/>
        <v>5.8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3"/>
        <v>0838-26</v>
      </c>
      <c r="AE196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96" s="77" t="str">
        <f t="shared" si="65"/>
        <v>"C:\Program Files (x86)\AstroGrep\AstroGrep.exe" /e /r /s /spath="%USERPROFILE%\AppData\Local\Temp\OnboardLogs" /stypes="app*4009*20170527*" /stext=" 00:.+((SYSTEM_STATE.+slice.+state.+changed )|(ment ac)|(multiple cpu faults)|(system.+state.+changed )|(\[timeout)|(PRM\|1\|D)|(kpr)|(kdp)|(train st.+moving)|(\|lc)|(penalty))"</v>
      </c>
      <c r="AG196" s="1" t="str">
        <f t="shared" si="66"/>
        <v>NW</v>
      </c>
      <c r="AH196" s="81" t="str">
        <f t="shared" si="67"/>
        <v>"%USERPROFILE%\Documents\GitHub\eaglep3\Utilities\RefineRTDCRunTimes.py" --tripid 838-26 --locoid 4009 --swversion DE.1.0.9.0 --startMP 300:58675 --initTime 2017-05-26T18:36:22 --startdatetime 2017-05-26T18:38:36 --delay 1 --endMP 204:675 --enddatetime 2017-05-26T18:57:42 --enforcementcount 0 &gt;&gt;C:\Users\stu\Documents\GitHub\eaglep3-reporting\EC\2017-05-26-refined-times.txt</v>
      </c>
      <c r="AI196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{"issue":{"subject":"","project_id":79,"tracker_id":40,"status_id":1,"priority_id":2,"assigned_to_id":23,"start_date":"2017-05-26","description":"","custom_fields":[{"id":1,"name":"Subdivision","value":"NW"},{"id":4,"name":"Milepost","value":"0.0675"},{"id":17,"name":"Train ID","value":"838-26"},{"id":16,"name":"Locomotive ID","value":"4009"},{"id":130,"name":"Impact","value":""},{"id":150,"name":"Time of Event (Mountain Time)","value":"18:57:42"},{"id":151,"name":"Denver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69"/>
        <v>start /low /b %USERPROFILE%\Documents\GitHub\eaglep3\Utilities\DownloadLogsFromS3.py --loco 4009 --day 2017-05-26</v>
      </c>
      <c r="AN196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799</v>
      </c>
      <c r="B197" s="7">
        <v>4040</v>
      </c>
      <c r="C197" s="21" t="s">
        <v>204</v>
      </c>
      <c r="D197" s="21" t="s">
        <v>966</v>
      </c>
      <c r="E197" s="13">
        <v>42881.779340277775</v>
      </c>
      <c r="F197" s="13">
        <v>42881.785787037035</v>
      </c>
      <c r="G197" s="7">
        <v>1</v>
      </c>
      <c r="H197" s="21" t="s">
        <v>505</v>
      </c>
      <c r="I197" s="13">
        <v>42881.795659722222</v>
      </c>
      <c r="J197" s="7">
        <v>0</v>
      </c>
      <c r="K197" s="92" t="str">
        <f t="shared" si="54"/>
        <v>4039/4040</v>
      </c>
      <c r="L197" s="21" t="str">
        <f>VLOOKUP(A197,'Trips&amp;Operators'!$C$1:$G$99999,5,FALSE)</f>
        <v>MCREYNOLDS KYLE</v>
      </c>
      <c r="M197" s="6">
        <f t="shared" si="55"/>
        <v>9.8726851865649223E-3</v>
      </c>
      <c r="N197" s="7">
        <f t="shared" si="81"/>
        <v>14.216666668653488</v>
      </c>
      <c r="O197" s="7"/>
      <c r="P197" s="7"/>
      <c r="Q197" s="22"/>
      <c r="R197" s="173"/>
      <c r="S197" s="176">
        <f t="shared" si="82"/>
        <v>1</v>
      </c>
      <c r="T197" s="202" t="str">
        <f t="shared" si="56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7"/>
        <v>https://d0f6bd738d7f1b3e5a7ca70fe4ff75f0.us-east-1.aws.found.io/app/kibana#/discover/Steve-Slow-Train-Analysis-(2080s-and-2083s)?_g=(refreshInterval:(display:Off,pause:!f,section:0,value:0),time:(from:'2017-05-26T17:42:15-0600',mode:absolute,to:'2017-05-26T20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04" t="str">
        <f t="shared" si="58"/>
        <v>N</v>
      </c>
      <c r="X197" s="204">
        <f t="shared" si="83"/>
        <v>1</v>
      </c>
      <c r="Y197" s="204">
        <f t="shared" si="88"/>
        <v>9.8100000000000007E-2</v>
      </c>
      <c r="Z197" s="204">
        <f t="shared" si="89"/>
        <v>5.8952</v>
      </c>
      <c r="AA197" s="204">
        <f t="shared" si="62"/>
        <v>5.7971000000000004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3"/>
        <v>0839-26</v>
      </c>
      <c r="AE197" s="80" t="str">
        <f t="shared" si="64"/>
        <v>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 &amp; 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</v>
      </c>
      <c r="AF197" s="77" t="str">
        <f t="shared" si="65"/>
        <v>"C:\Program Files (x86)\AstroGrep\AstroGrep.exe" /e /r /s /spath="%USERPROFILE%\AppData\Local\Temp\OnboardLogs" /stypes="app*4040*20170527*" /stext=" 01:.+((SYSTEM_STATE.+slice.+state.+changed )|(ment ac)|(multiple cpu faults)|(system.+state.+changed )|(\[timeout)|(PRM\|1\|D)|(kpr)|(kdp)|(train st.+moving)|(\|lc)|(penalty))"</v>
      </c>
      <c r="AG197" s="1" t="str">
        <f t="shared" si="66"/>
        <v>NW</v>
      </c>
      <c r="AH197" s="81" t="str">
        <f t="shared" si="67"/>
        <v>"%USERPROFILE%\Documents\GitHub\eaglep3\Utilities\RefineRTDCRunTimes.py" --tripid 839-26 --locoid 4040 --swversion DE.1.0.9.0 --startMP 204:981 --initTime 2017-05-26T18:42:15 --startdatetime 2017-05-26T18:51:32 --delay 1 --endMP 300:58952 --enddatetime 2017-05-26T19:05:45 --enforcementcount 0 &gt;&gt;C:\Users\stu\Documents\GitHub\eaglep3-reporting\EC\2017-05-26-refined-times.txt</v>
      </c>
      <c r="AI197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{"issue":{"subject":"","project_id":79,"tracker_id":40,"status_id":1,"priority_id":2,"assigned_to_id":23,"start_date":"2017-05-26","description":"","custom_fields":[{"id":1,"name":"Subdivision","value":"NW"},{"id":4,"name":"Milepost","value":"5.8952"},{"id":17,"name":"Train ID","value":"839-26"},{"id":16,"name":"Locomotive ID","value":"4040"},{"id":130,"name":"Impact","value":""},{"id":150,"name":"Time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9"/>
        <v>start /low /b %USERPROFILE%\Documents\GitHub\eaglep3\Utilities\DownloadLogsFromS3.py --loco 4040 --day 2017-05-26</v>
      </c>
      <c r="AN197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626</v>
      </c>
      <c r="B198" s="7">
        <v>4009</v>
      </c>
      <c r="C198" s="21" t="s">
        <v>204</v>
      </c>
      <c r="D198" s="21" t="s">
        <v>977</v>
      </c>
      <c r="E198" s="13">
        <v>42881.818159722221</v>
      </c>
      <c r="F198" s="13">
        <v>42881.819074074076</v>
      </c>
      <c r="G198" s="7">
        <v>1</v>
      </c>
      <c r="H198" s="21" t="s">
        <v>978</v>
      </c>
      <c r="I198" s="13">
        <v>42881.832858796297</v>
      </c>
      <c r="J198" s="7">
        <v>0</v>
      </c>
      <c r="K198" s="92" t="str">
        <f t="shared" si="54"/>
        <v>4009/4010</v>
      </c>
      <c r="L198" s="21" t="str">
        <f>VLOOKUP(A198,'Trips&amp;Operators'!$C$1:$G$99999,5,FALSE)</f>
        <v>LAMAR NEKESHA</v>
      </c>
      <c r="M198" s="6">
        <f t="shared" si="55"/>
        <v>1.378472222131677E-2</v>
      </c>
      <c r="N198" s="7">
        <f t="shared" si="81"/>
        <v>19.849999998696148</v>
      </c>
      <c r="O198" s="7"/>
      <c r="P198" s="7"/>
      <c r="Q198" s="22"/>
      <c r="R198" s="173"/>
      <c r="S198" s="176">
        <f t="shared" si="82"/>
        <v>1</v>
      </c>
      <c r="T198" s="202" t="str">
        <f t="shared" si="56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7"/>
        <v>https://d0f6bd738d7f1b3e5a7ca70fe4ff75f0.us-east-1.aws.found.io/app/kibana#/discover/Steve-Slow-Train-Analysis-(2080s-and-2083s)?_g=(refreshInterval:(display:Off,pause:!f,section:0,value:0),time:(from:'2017-05-26T18:38:09-0600',mode:absolute,to:'2017-05-26T20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8" s="204" t="str">
        <f t="shared" si="58"/>
        <v>N</v>
      </c>
      <c r="X198" s="204">
        <f t="shared" si="83"/>
        <v>1</v>
      </c>
      <c r="Y198" s="204">
        <f t="shared" si="88"/>
        <v>5.8468</v>
      </c>
      <c r="Z198" s="204">
        <f t="shared" si="89"/>
        <v>7.7299999999999994E-2</v>
      </c>
      <c r="AA198" s="204">
        <f t="shared" si="62"/>
        <v>5.7694999999999999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3"/>
        <v>0840-26</v>
      </c>
      <c r="AE198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198" s="77" t="str">
        <f t="shared" si="65"/>
        <v>"C:\Program Files (x86)\AstroGrep\AstroGrep.exe" /e /r /s /spath="%USERPROFILE%\AppData\Local\Temp\OnboardLogs" /stypes="app*4009*20170527*" /stext=" 01:.+((SYSTEM_STATE.+slice.+state.+changed )|(ment ac)|(multiple cpu faults)|(system.+state.+changed )|(\[timeout)|(PRM\|1\|D)|(kpr)|(kdp)|(train st.+moving)|(\|lc)|(penalty))"</v>
      </c>
      <c r="AG198" s="1" t="str">
        <f t="shared" si="66"/>
        <v>NW</v>
      </c>
      <c r="AH198" s="81" t="str">
        <f t="shared" si="67"/>
        <v>"%USERPROFILE%\Documents\GitHub\eaglep3\Utilities\RefineRTDCRunTimes.py" --tripid 840-26 --locoid 4009 --swversion DE.1.0.9.0 --startMP 300:58468 --initTime 2017-05-26T19:38:09 --startdatetime 2017-05-26T19:39:28 --delay 1 --endMP 204:773 --enddatetime 2017-05-26T19:59:19 --enforcementcount 0 &gt;&gt;C:\Users\stu\Documents\GitHub\eaglep3-reporting\EC\2017-05-26-refined-times.txt</v>
      </c>
      <c r="AI198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{"issue":{"subject":"","project_id":79,"tracker_id":40,"status_id":1,"priority_id":2,"assigned_to_id":23,"start_date":"2017-05-26","description":"","custom_fields":[{"id":1,"name":"Subdivision","value":"NW"},{"id":4,"name":"Milepost","value":"0.0773"},{"id":17,"name":"Train ID","value":"840-26"},{"id":16,"name":"Locomotive ID","value":"4009"},{"id":130,"name":"Impact","value":""},{"id":150,"name":"Time of Event (Mountain Time)","value":"19:59:19"},{"id":151,"name":"Denver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9"/>
        <v>start /low /b %USERPROFILE%\Documents\GitHub\eaglep3\Utilities\DownloadLogsFromS3.py --loco 4009 --day 2017-05-26</v>
      </c>
      <c r="AN198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802</v>
      </c>
      <c r="B199" s="7">
        <v>4010</v>
      </c>
      <c r="C199" s="21" t="s">
        <v>204</v>
      </c>
      <c r="D199" s="21" t="s">
        <v>979</v>
      </c>
      <c r="E199" s="13">
        <v>42881.794965277775</v>
      </c>
      <c r="F199" s="13">
        <v>42881.819074074076</v>
      </c>
      <c r="G199" s="7">
        <v>15</v>
      </c>
      <c r="H199" s="21" t="s">
        <v>968</v>
      </c>
      <c r="I199" s="13">
        <v>42881.832858796297</v>
      </c>
      <c r="J199" s="7">
        <v>0</v>
      </c>
      <c r="K199" s="92" t="str">
        <f t="shared" si="54"/>
        <v>4009/4010</v>
      </c>
      <c r="L199" s="21" t="str">
        <f>VLOOKUP(A199,'Trips&amp;Operators'!$C$1:$G$99999,5,FALSE)</f>
        <v>LAMAR NEKESHA</v>
      </c>
      <c r="M199" s="6">
        <f t="shared" si="55"/>
        <v>1.378472222131677E-2</v>
      </c>
      <c r="N199" s="7">
        <f t="shared" si="81"/>
        <v>19.849999998696148</v>
      </c>
      <c r="O199" s="7"/>
      <c r="P199" s="7"/>
      <c r="Q199" s="22"/>
      <c r="R199" s="173"/>
      <c r="S199" s="176">
        <f t="shared" si="82"/>
        <v>1</v>
      </c>
      <c r="T199" s="202" t="str">
        <f t="shared" si="56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7"/>
        <v>https://d0f6bd738d7f1b3e5a7ca70fe4ff75f0.us-east-1.aws.found.io/app/kibana#/discover/Steve-Slow-Train-Analysis-(2080s-and-2083s)?_g=(refreshInterval:(display:Off,pause:!f,section:0,value:0),time:(from:'2017-05-26T18:04:45-0600',mode:absolute,to:'2017-05-26T20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204" t="str">
        <f t="shared" si="58"/>
        <v>N</v>
      </c>
      <c r="X199" s="204">
        <f>VALUE(LEFT(AD199,4))-VALUE(LEFT(AD198,4))</f>
        <v>1</v>
      </c>
      <c r="Y199" s="204">
        <f t="shared" si="88"/>
        <v>9.4600000000000004E-2</v>
      </c>
      <c r="Z199" s="204">
        <f t="shared" si="89"/>
        <v>5.8939000000000004</v>
      </c>
      <c r="AA199" s="204">
        <f t="shared" si="62"/>
        <v>5.7993000000000006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3"/>
        <v>0841-26</v>
      </c>
      <c r="AE199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199" s="77" t="str">
        <f t="shared" si="65"/>
        <v>"C:\Program Files (x86)\AstroGrep\AstroGrep.exe" /e /r /s /spath="%USERPROFILE%\AppData\Local\Temp\OnboardLogs" /stypes="app*4010*20170527*" /stext=" 01:.+((SYSTEM_STATE.+slice.+state.+changed )|(ment ac)|(multiple cpu faults)|(system.+state.+changed )|(\[timeout)|(PRM\|1\|D)|(kpr)|(kdp)|(train st.+moving)|(\|lc)|(penalty))"</v>
      </c>
      <c r="AG199" s="1" t="str">
        <f t="shared" si="66"/>
        <v>NW</v>
      </c>
      <c r="AH199" s="81" t="str">
        <f t="shared" si="67"/>
        <v>"%USERPROFILE%\Documents\GitHub\eaglep3\Utilities\RefineRTDCRunTimes.py" --tripid 841-26 --locoid 4010 --swversion DE.1.0.9.0 --startMP 204:946 --initTime 2017-05-26T19:04:45 --startdatetime 2017-05-26T19:39:28 --delay 15 --endMP 300:58939 --enddatetime 2017-05-26T19:59:19 --enforcementcount 0 &gt;&gt;C:\Users\stu\Documents\GitHub\eaglep3-reporting\EC\2017-05-26-refined-times.txt</v>
      </c>
      <c r="AI199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{"issue":{"subject":"","project_id":79,"tracker_id":40,"status_id":1,"priority_id":2,"assigned_to_id":23,"start_date":"2017-05-26","description":"","custom_fields":[{"id":1,"name":"Subdivision","value":"NW"},{"id":4,"name":"Milepost","value":"5.8939"},{"id":17,"name":"Train ID","value":"841-26"},{"id":16,"name":"Locomotive ID","value":"4010"},{"id":130,"name":"Impact","value":""},{"id":150,"name":"Time of Event (Mountain Time)","value":"19:59:19"},{"id":151,"name":"Denver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9"/>
        <v>start /low /b %USERPROFILE%\Documents\GitHub\eaglep3\Utilities\DownloadLogsFromS3.py --loco 4010 --day 2017-05-26</v>
      </c>
      <c r="AN199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814</v>
      </c>
      <c r="B200" s="7">
        <v>4009</v>
      </c>
      <c r="C200" s="21" t="s">
        <v>204</v>
      </c>
      <c r="D200" s="21" t="s">
        <v>980</v>
      </c>
      <c r="E200" s="13">
        <v>42881.85832175926</v>
      </c>
      <c r="F200" s="13">
        <v>42881.859895833331</v>
      </c>
      <c r="G200" s="7">
        <v>0</v>
      </c>
      <c r="H200" s="21" t="s">
        <v>981</v>
      </c>
      <c r="I200" s="13">
        <v>42881.871689814812</v>
      </c>
      <c r="J200" s="7">
        <v>0</v>
      </c>
      <c r="K200" s="92" t="str">
        <f t="shared" si="54"/>
        <v>4009/4010</v>
      </c>
      <c r="L200" s="21" t="str">
        <f>VLOOKUP(A200,'Trips&amp;Operators'!$C$1:$G$99999,5,FALSE)</f>
        <v>LAMAR NEKESHA</v>
      </c>
      <c r="M200" s="6">
        <f t="shared" si="55"/>
        <v>1.1793981480877846E-2</v>
      </c>
      <c r="N200" s="7">
        <f t="shared" si="81"/>
        <v>16.983333332464099</v>
      </c>
      <c r="O200" s="7"/>
      <c r="P200" s="7"/>
      <c r="Q200" s="22"/>
      <c r="R200" s="173"/>
      <c r="S200" s="176">
        <f t="shared" si="82"/>
        <v>1</v>
      </c>
      <c r="T200" s="202" t="str">
        <f t="shared" si="56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7"/>
        <v>https://d0f6bd738d7f1b3e5a7ca70fe4ff75f0.us-east-1.aws.found.io/app/kibana#/discover/Steve-Slow-Train-Analysis-(2080s-and-2083s)?_g=(refreshInterval:(display:Off,pause:!f,section:0,value:0),time:(from:'2017-05-26T19:35:59-0600',mode:absolute,to:'2017-05-26T21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0" s="204" t="str">
        <f t="shared" si="58"/>
        <v>N</v>
      </c>
      <c r="X200" s="204">
        <f t="shared" ref="X200:X205" si="90">VALUE(LEFT(AD200,4))-VALUE(LEFT(AD199,4))</f>
        <v>1</v>
      </c>
      <c r="Y200" s="204">
        <f t="shared" si="88"/>
        <v>5.8672000000000004</v>
      </c>
      <c r="Z200" s="204">
        <f t="shared" si="89"/>
        <v>6.7299999999999999E-2</v>
      </c>
      <c r="AA200" s="204">
        <f t="shared" si="62"/>
        <v>5.7999000000000001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3"/>
        <v>0842-26</v>
      </c>
      <c r="AE200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00" s="77" t="str">
        <f t="shared" si="65"/>
        <v>"C:\Program Files (x86)\AstroGrep\AstroGrep.exe" /e /r /s /spath="%USERPROFILE%\AppData\Local\Temp\OnboardLogs" /stypes="app*4009*20170527*" /stext=" 02:.+((SYSTEM_STATE.+slice.+state.+changed )|(ment ac)|(multiple cpu faults)|(system.+state.+changed )|(\[timeout)|(PRM\|1\|D)|(kpr)|(kdp)|(train st.+moving)|(\|lc)|(penalty))"</v>
      </c>
      <c r="AG200" s="1" t="str">
        <f t="shared" si="66"/>
        <v>NW</v>
      </c>
      <c r="AH200" s="81" t="str">
        <f t="shared" si="67"/>
        <v>"%USERPROFILE%\Documents\GitHub\eaglep3\Utilities\RefineRTDCRunTimes.py" --tripid 842-26 --locoid 4009 --swversion DE.1.0.9.0 --startMP 300:58672 --initTime 2017-05-26T20:35:59 --startdatetime 2017-05-26T20:38:15 --delay 0 --endMP 204:673 --enddatetime 2017-05-26T20:55:14 --enforcementcount 0 &gt;&gt;C:\Users\stu\Documents\GitHub\eaglep3-reporting\EC\2017-05-26-refined-times.txt</v>
      </c>
      <c r="AI200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{"issue":{"subject":"","project_id":79,"tracker_id":40,"status_id":1,"priority_id":2,"assigned_to_id":23,"start_date":"2017-05-26","description":"","custom_fields":[{"id":1,"name":"Subdivision","value":"NW"},{"id":4,"name":"Milepost","value":"0.0673"},{"id":17,"name":"Train ID","value":"842-26"},{"id":16,"name":"Locomotive ID","value":"4009"},{"id":130,"name":"Impact","value":""},{"id":150,"name":"Time of Event (Mountain Time)","value":"20:55:14"},{"id":151,"name":"Denver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9"/>
        <v>start /low /b %USERPROFILE%\Documents\GitHub\eaglep3\Utilities\DownloadLogsFromS3.py --loco 4009 --day 2017-05-26</v>
      </c>
      <c r="AN200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811</v>
      </c>
      <c r="B201" s="7">
        <v>4010</v>
      </c>
      <c r="C201" s="21" t="s">
        <v>204</v>
      </c>
      <c r="D201" s="21" t="s">
        <v>982</v>
      </c>
      <c r="E201" s="13">
        <v>42881.843136574076</v>
      </c>
      <c r="F201" s="13">
        <v>42881.848067129627</v>
      </c>
      <c r="G201" s="7">
        <v>0</v>
      </c>
      <c r="H201" s="21" t="s">
        <v>983</v>
      </c>
      <c r="I201" s="13">
        <v>42881.857129629629</v>
      </c>
      <c r="J201" s="7">
        <v>0</v>
      </c>
      <c r="K201" s="92" t="str">
        <f t="shared" si="54"/>
        <v>4009/4010</v>
      </c>
      <c r="L201" s="21" t="str">
        <f>VLOOKUP(A201,'Trips&amp;Operators'!$C$1:$G$99999,5,FALSE)</f>
        <v>LAMAR NEKESHA</v>
      </c>
      <c r="M201" s="6">
        <f t="shared" si="55"/>
        <v>9.0625000011641532E-3</v>
      </c>
      <c r="N201" s="7">
        <f t="shared" si="81"/>
        <v>13.050000001676381</v>
      </c>
      <c r="O201" s="7"/>
      <c r="P201" s="7"/>
      <c r="Q201" s="22"/>
      <c r="R201" s="173"/>
      <c r="S201" s="176">
        <f t="shared" si="82"/>
        <v>1</v>
      </c>
      <c r="T201" s="202" t="str">
        <f t="shared" si="56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7"/>
        <v>https://d0f6bd738d7f1b3e5a7ca70fe4ff75f0.us-east-1.aws.found.io/app/kibana#/discover/Steve-Slow-Train-Analysis-(2080s-and-2083s)?_g=(refreshInterval:(display:Off,pause:!f,section:0,value:0),time:(from:'2017-05-26T19:14:07-0600',mode:absolute,to:'2017-05-26T21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204" t="str">
        <f t="shared" si="58"/>
        <v>N</v>
      </c>
      <c r="X201" s="204">
        <f t="shared" si="90"/>
        <v>1</v>
      </c>
      <c r="Y201" s="204">
        <f t="shared" si="88"/>
        <v>0.1076</v>
      </c>
      <c r="Z201" s="204">
        <f t="shared" si="89"/>
        <v>5.8987999999999996</v>
      </c>
      <c r="AA201" s="204">
        <f t="shared" si="62"/>
        <v>5.7911999999999999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3"/>
        <v>0843-26</v>
      </c>
      <c r="AE201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01" s="77" t="str">
        <f t="shared" si="65"/>
        <v>"C:\Program Files (x86)\AstroGrep\AstroGrep.exe" /e /r /s /spath="%USERPROFILE%\AppData\Local\Temp\OnboardLogs" /stypes="app*4010*20170527*" /stext=" 02:.+((SYSTEM_STATE.+slice.+state.+changed )|(ment ac)|(multiple cpu faults)|(system.+state.+changed )|(\[timeout)|(PRM\|1\|D)|(kpr)|(kdp)|(train st.+moving)|(\|lc)|(penalty))"</v>
      </c>
      <c r="AG201" s="1" t="str">
        <f t="shared" si="66"/>
        <v>NW</v>
      </c>
      <c r="AH201" s="81" t="str">
        <f t="shared" si="67"/>
        <v>"%USERPROFILE%\Documents\GitHub\eaglep3\Utilities\RefineRTDCRunTimes.py" --tripid 843-26 --locoid 4010 --swversion DE.1.0.9.0 --startMP 204:1076 --initTime 2017-05-26T20:14:07 --startdatetime 2017-05-26T20:21:13 --delay 0 --endMP 300:58988 --enddatetime 2017-05-26T20:34:16 --enforcementcount 0 &gt;&gt;C:\Users\stu\Documents\GitHub\eaglep3-reporting\EC\2017-05-26-refined-times.txt</v>
      </c>
      <c r="AI201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{"issue":{"subject":"","project_id":79,"tracker_id":40,"status_id":1,"priority_id":2,"assigned_to_id":23,"start_date":"2017-05-26","description":"","custom_fields":[{"id":1,"name":"Subdivision","value":"NW"},{"id":4,"name":"Milepost","value":"5.8988"},{"id":17,"name":"Train ID","value":"843-26"},{"id":16,"name":"Locomotive ID","value":"4010"},{"id":130,"name":"Impact","value":""},{"id":150,"name":"Time of Event (Mountain Time)","value":"20:34:16"},{"id":151,"name":"Denver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9"/>
        <v>start /low /b %USERPROFILE%\Documents\GitHub\eaglep3\Utilities\DownloadLogsFromS3.py --loco 4010 --day 2017-05-26</v>
      </c>
      <c r="AN201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820</v>
      </c>
      <c r="B202" s="7">
        <v>4009</v>
      </c>
      <c r="C202" s="21" t="s">
        <v>204</v>
      </c>
      <c r="D202" s="21" t="s">
        <v>588</v>
      </c>
      <c r="E202" s="13">
        <v>42881.901956018519</v>
      </c>
      <c r="F202" s="13">
        <v>42881.903587962966</v>
      </c>
      <c r="G202" s="7">
        <v>1</v>
      </c>
      <c r="H202" s="21" t="s">
        <v>984</v>
      </c>
      <c r="I202" s="13">
        <v>42881.913252314815</v>
      </c>
      <c r="J202" s="7">
        <v>0</v>
      </c>
      <c r="K202" s="92" t="str">
        <f t="shared" si="54"/>
        <v>4009/4010</v>
      </c>
      <c r="L202" s="21" t="str">
        <f>VLOOKUP(A202,'Trips&amp;Operators'!$C$1:$G$99999,5,FALSE)</f>
        <v>MCREYNOLDS KYLE</v>
      </c>
      <c r="M202" s="6">
        <f t="shared" si="55"/>
        <v>9.6643518481869251E-3</v>
      </c>
      <c r="N202" s="7">
        <f t="shared" si="81"/>
        <v>13.916666661389172</v>
      </c>
      <c r="O202" s="7"/>
      <c r="P202" s="7"/>
      <c r="Q202" s="22"/>
      <c r="R202" s="173"/>
      <c r="S202" s="176">
        <f t="shared" si="82"/>
        <v>1</v>
      </c>
      <c r="T202" s="202" t="str">
        <f t="shared" si="56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7"/>
        <v>https://d0f6bd738d7f1b3e5a7ca70fe4ff75f0.us-east-1.aws.found.io/app/kibana#/discover/Steve-Slow-Train-Analysis-(2080s-and-2083s)?_g=(refreshInterval:(display:Off,pause:!f,section:0,value:0),time:(from:'2017-05-26T20:38:49-0600',mode:absolute,to:'2017-05-26T22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2" s="204" t="str">
        <f t="shared" si="58"/>
        <v>N</v>
      </c>
      <c r="X202" s="204">
        <f t="shared" si="90"/>
        <v>1</v>
      </c>
      <c r="Y202" s="204">
        <f t="shared" si="88"/>
        <v>5.8620999999999999</v>
      </c>
      <c r="Z202" s="204">
        <f t="shared" si="89"/>
        <v>6.8900000000000003E-2</v>
      </c>
      <c r="AA202" s="204">
        <f t="shared" si="62"/>
        <v>5.7931999999999997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3"/>
        <v>0844-26</v>
      </c>
      <c r="AE202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02" s="77" t="str">
        <f t="shared" si="65"/>
        <v>"C:\Program Files (x86)\AstroGrep\AstroGrep.exe" /e /r /s /spath="%USERPROFILE%\AppData\Local\Temp\OnboardLogs" /stypes="app*4009*20170527*" /stext=" 03:.+((SYSTEM_STATE.+slice.+state.+changed )|(ment ac)|(multiple cpu faults)|(system.+state.+changed )|(\[timeout)|(PRM\|1\|D)|(kpr)|(kdp)|(train st.+moving)|(\|lc)|(penalty))"</v>
      </c>
      <c r="AG202" s="1" t="str">
        <f t="shared" si="66"/>
        <v>NW</v>
      </c>
      <c r="AH202" s="81" t="str">
        <f t="shared" si="67"/>
        <v>"%USERPROFILE%\Documents\GitHub\eaglep3\Utilities\RefineRTDCRunTimes.py" --tripid 844-26 --locoid 4009 --swversion DE.1.0.9.0 --startMP 300:58621 --initTime 2017-05-26T21:38:49 --startdatetime 2017-05-26T21:41:10 --delay 1 --endMP 204:689 --enddatetime 2017-05-26T21:55:05 --enforcementcount 0 &gt;&gt;C:\Users\stu\Documents\GitHub\eaglep3-reporting\EC\2017-05-26-refined-times.txt</v>
      </c>
      <c r="AI202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{"issue":{"subject":"","project_id":79,"tracker_id":40,"status_id":1,"priority_id":2,"assigned_to_id":23,"start_date":"2017-05-26","description":"","custom_fields":[{"id":1,"name":"Subdivision","value":"NW"},{"id":4,"name":"Milepost","value":"0.0689"},{"id":17,"name":"Train ID","value":"844-26"},{"id":16,"name":"Locomotive ID","value":"4009"},{"id":130,"name":"Impact","value":""},{"id":150,"name":"Time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9"/>
        <v>start /low /b %USERPROFILE%\Documents\GitHub\eaglep3\Utilities\DownloadLogsFromS3.py --loco 4009 --day 2017-05-26</v>
      </c>
      <c r="AN202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818</v>
      </c>
      <c r="B203" s="7">
        <v>4010</v>
      </c>
      <c r="C203" s="21" t="s">
        <v>204</v>
      </c>
      <c r="D203" s="21" t="s">
        <v>985</v>
      </c>
      <c r="E203" s="13">
        <v>42881.88386574074</v>
      </c>
      <c r="F203" s="13">
        <v>42881.889826388891</v>
      </c>
      <c r="G203" s="7">
        <v>1</v>
      </c>
      <c r="H203" s="21" t="s">
        <v>589</v>
      </c>
      <c r="I203" s="13">
        <v>42881.900104166663</v>
      </c>
      <c r="J203" s="7">
        <v>0</v>
      </c>
      <c r="K203" s="92" t="str">
        <f t="shared" si="54"/>
        <v>4009/4010</v>
      </c>
      <c r="L203" s="21" t="str">
        <f>VLOOKUP(A203,'Trips&amp;Operators'!$C$1:$G$99999,5,FALSE)</f>
        <v>MCREYNOLDS KYLE</v>
      </c>
      <c r="M203" s="6">
        <f t="shared" si="55"/>
        <v>1.0277777771989349E-2</v>
      </c>
      <c r="N203" s="7">
        <f t="shared" si="81"/>
        <v>14.799999991664663</v>
      </c>
      <c r="O203" s="7"/>
      <c r="P203" s="7"/>
      <c r="Q203" s="22"/>
      <c r="R203" s="173"/>
      <c r="S203" s="176">
        <f t="shared" si="82"/>
        <v>1</v>
      </c>
      <c r="T203" s="202" t="str">
        <f t="shared" si="56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7"/>
        <v>https://d0f6bd738d7f1b3e5a7ca70fe4ff75f0.us-east-1.aws.found.io/app/kibana#/discover/Steve-Slow-Train-Analysis-(2080s-and-2083s)?_g=(refreshInterval:(display:Off,pause:!f,section:0,value:0),time:(from:'2017-05-26T20:12:46-0600',mode:absolute,to:'2017-05-26T22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204" t="str">
        <f t="shared" si="58"/>
        <v>N</v>
      </c>
      <c r="X203" s="204">
        <f t="shared" si="90"/>
        <v>1</v>
      </c>
      <c r="Y203" s="204">
        <f t="shared" si="88"/>
        <v>9.74E-2</v>
      </c>
      <c r="Z203" s="204">
        <f t="shared" si="89"/>
        <v>5.8940999999999999</v>
      </c>
      <c r="AA203" s="204">
        <f t="shared" si="62"/>
        <v>5.7966999999999995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3"/>
        <v>0845-26</v>
      </c>
      <c r="AE203" s="80" t="str">
        <f t="shared" si="64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03" s="77" t="str">
        <f t="shared" si="65"/>
        <v>"C:\Program Files (x86)\AstroGrep\AstroGrep.exe" /e /r /s /spath="%USERPROFILE%\AppData\Local\Temp\OnboardLogs" /stypes="app*4010*20170527*" /stext=" 03:.+((SYSTEM_STATE.+slice.+state.+changed )|(ment ac)|(multiple cpu faults)|(system.+state.+changed )|(\[timeout)|(PRM\|1\|D)|(kpr)|(kdp)|(train st.+moving)|(\|lc)|(penalty))"</v>
      </c>
      <c r="AG203" s="1" t="str">
        <f t="shared" si="66"/>
        <v>NW</v>
      </c>
      <c r="AH203" s="81" t="str">
        <f t="shared" si="67"/>
        <v>"%USERPROFILE%\Documents\GitHub\eaglep3\Utilities\RefineRTDCRunTimes.py" --tripid 845-26 --locoid 4010 --swversion DE.1.0.9.0 --startMP 204:974 --initTime 2017-05-26T21:12:46 --startdatetime 2017-05-26T21:21:21 --delay 1 --endMP 300:58941 --enddatetime 2017-05-26T21:36:09 --enforcementcount 0 &gt;&gt;C:\Users\stu\Documents\GitHub\eaglep3-reporting\EC\2017-05-26-refined-times.txt</v>
      </c>
      <c r="AI203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{"issue":{"subject":"","project_id":79,"tracker_id":40,"status_id":1,"priority_id":2,"assigned_to_id":23,"start_date":"2017-05-26","description":"","custom_fields":[{"id":1,"name":"Subdivision","value":"NW"},{"id":4,"name":"Milepost","value":"5.8941"},{"id":17,"name":"Train ID","value":"845-26"},{"id":16,"name":"Locomotive ID","value":"4010"},{"id":130,"name":"Impact","value":""},{"id":150,"name":"Time of Event (Mountain Time)","value":"21:36:09"},{"id":151,"name":"Denver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9"/>
        <v>start /low /b %USERPROFILE%\Documents\GitHub\eaglep3\Utilities\DownloadLogsFromS3.py --loco 4010 --day 2017-05-26</v>
      </c>
      <c r="AN203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826</v>
      </c>
      <c r="B204" s="7">
        <v>4009</v>
      </c>
      <c r="C204" s="21" t="s">
        <v>204</v>
      </c>
      <c r="D204" s="21" t="s">
        <v>980</v>
      </c>
      <c r="E204" s="13">
        <v>42881.944039351853</v>
      </c>
      <c r="F204" s="13">
        <v>42881.945254629631</v>
      </c>
      <c r="G204" s="7">
        <v>1</v>
      </c>
      <c r="H204" s="21" t="s">
        <v>986</v>
      </c>
      <c r="I204" s="13">
        <v>42881.955474537041</v>
      </c>
      <c r="J204" s="7">
        <v>0</v>
      </c>
      <c r="K204" s="92" t="str">
        <f t="shared" si="54"/>
        <v>4009/4010</v>
      </c>
      <c r="L204" s="21" t="str">
        <f>VLOOKUP(A204,'Trips&amp;Operators'!$C$1:$G$99999,5,FALSE)</f>
        <v>MCREYNOLDS KYLE</v>
      </c>
      <c r="M204" s="6">
        <f t="shared" si="55"/>
        <v>1.021990740991896E-2</v>
      </c>
      <c r="N204" s="7">
        <f t="shared" si="81"/>
        <v>14.716666670283303</v>
      </c>
      <c r="O204" s="7"/>
      <c r="P204" s="7"/>
      <c r="Q204" s="22"/>
      <c r="R204" s="173"/>
      <c r="S204" s="176">
        <f t="shared" si="82"/>
        <v>1</v>
      </c>
      <c r="T204" s="202" t="str">
        <f t="shared" si="56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7"/>
        <v>https://d0f6bd738d7f1b3e5a7ca70fe4ff75f0.us-east-1.aws.found.io/app/kibana#/discover/Steve-Slow-Train-Analysis-(2080s-and-2083s)?_g=(refreshInterval:(display:Off,pause:!f,section:0,value:0),time:(from:'2017-05-26T21:39:25-0600',mode:absolute,to:'2017-05-26T23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204" t="str">
        <f t="shared" si="58"/>
        <v>N</v>
      </c>
      <c r="X204" s="204">
        <f t="shared" si="90"/>
        <v>1</v>
      </c>
      <c r="Y204" s="204">
        <f t="shared" si="88"/>
        <v>5.8672000000000004</v>
      </c>
      <c r="Z204" s="204">
        <f t="shared" si="89"/>
        <v>7.0300000000000001E-2</v>
      </c>
      <c r="AA204" s="204">
        <f t="shared" si="62"/>
        <v>5.7969000000000008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3"/>
        <v>0846-26</v>
      </c>
      <c r="AE204" s="80" t="str">
        <f t="shared" si="64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04" s="77" t="str">
        <f t="shared" si="65"/>
        <v>"C:\Program Files (x86)\AstroGrep\AstroGrep.exe" /e /r /s /spath="%USERPROFILE%\AppData\Local\Temp\OnboardLogs" /stypes="app*4009*20170527*" /stext=" 04:.+((SYSTEM_STATE.+slice.+state.+changed )|(ment ac)|(multiple cpu faults)|(system.+state.+changed )|(\[timeout)|(PRM\|1\|D)|(kpr)|(kdp)|(train st.+moving)|(\|lc)|(penalty))"</v>
      </c>
      <c r="AG204" s="1" t="str">
        <f t="shared" si="66"/>
        <v>NW</v>
      </c>
      <c r="AH204" s="81" t="str">
        <f t="shared" si="67"/>
        <v>"%USERPROFILE%\Documents\GitHub\eaglep3\Utilities\RefineRTDCRunTimes.py" --tripid 846-26 --locoid 4009 --swversion DE.1.0.9.0 --startMP 300:58672 --initTime 2017-05-26T22:39:25 --startdatetime 2017-05-26T22:41:10 --delay 1 --endMP 204:703 --enddatetime 2017-05-26T22:55:53 --enforcementcount 0 &gt;&gt;C:\Users\stu\Documents\GitHub\eaglep3-reporting\EC\2017-05-26-refined-times.txt</v>
      </c>
      <c r="AI204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{"issue":{"subject":"","project_id":79,"tracker_id":40,"status_id":1,"priority_id":2,"assigned_to_id":23,"start_date":"2017-05-26","description":"","custom_fields":[{"id":1,"name":"Subdivision","value":"NW"},{"id":4,"name":"Milepost","value":"0.0703"},{"id":17,"name":"Train ID","value":"846-26"},{"id":16,"name":"Locomotive ID","value":"4009"},{"id":130,"name":"Impact","value":""},{"id":150,"name":"Time of Event (Mountain Time)","value":"22:55:53"},{"id":151,"name":"Denver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9"/>
        <v>start /low /b %USERPROFILE%\Documents\GitHub\eaglep3\Utilities\DownloadLogsFromS3.py --loco 4009 --day 2017-05-26</v>
      </c>
      <c r="AN204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824</v>
      </c>
      <c r="B205" s="7">
        <v>4010</v>
      </c>
      <c r="C205" s="21" t="s">
        <v>204</v>
      </c>
      <c r="D205" s="21" t="s">
        <v>987</v>
      </c>
      <c r="E205" s="13">
        <v>42881.926817129628</v>
      </c>
      <c r="F205" s="13">
        <v>42881.931608796294</v>
      </c>
      <c r="G205" s="7">
        <v>1</v>
      </c>
      <c r="H205" s="21" t="s">
        <v>988</v>
      </c>
      <c r="I205" s="13">
        <v>42881.942511574074</v>
      </c>
      <c r="J205" s="7">
        <v>0</v>
      </c>
      <c r="K205" s="92" t="str">
        <f t="shared" ref="K205:K242" si="91">IF(ISEVEN(B205),(B205-1)&amp;"/"&amp;B205,B205&amp;"/"&amp;(B205+1))</f>
        <v>4009/4010</v>
      </c>
      <c r="L205" s="21" t="str">
        <f>VLOOKUP(A205,'Trips&amp;Operators'!$C$1:$G$99999,5,FALSE)</f>
        <v>MCREYNOLDS KYLE</v>
      </c>
      <c r="M205" s="6">
        <f t="shared" ref="M205:M242" si="92">I205-F205</f>
        <v>1.0902777779847383E-2</v>
      </c>
      <c r="N205" s="7">
        <f t="shared" si="81"/>
        <v>15.700000002980232</v>
      </c>
      <c r="O205" s="7"/>
      <c r="P205" s="7"/>
      <c r="Q205" s="22"/>
      <c r="R205" s="173"/>
      <c r="S205" s="176">
        <f t="shared" si="82"/>
        <v>1</v>
      </c>
      <c r="T205" s="202" t="str">
        <f t="shared" ref="T205:T242" si="93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2" si="9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-26T21:14:37-0600',mode:absolute,to:'2017-05-26T23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204" t="str">
        <f t="shared" ref="W205:W242" si="95">IF(AA205&lt;IF(AG205="EC",23,5.65),"Y","N")</f>
        <v>N</v>
      </c>
      <c r="X205" s="204">
        <f t="shared" si="90"/>
        <v>1</v>
      </c>
      <c r="Y205" s="204">
        <f t="shared" si="88"/>
        <v>9.7900000000000001E-2</v>
      </c>
      <c r="Z205" s="204">
        <f t="shared" si="89"/>
        <v>5.8983999999999996</v>
      </c>
      <c r="AA205" s="204">
        <f t="shared" ref="AA205:AA268" si="96">ABS(Z205-Y205)</f>
        <v>5.8004999999999995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2" si="97">IF(LEN(A205)=6,"0"&amp;A205,A205)</f>
        <v>0847-26</v>
      </c>
      <c r="AE205" s="80" t="str">
        <f t="shared" ref="AE205:AE242" si="9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05" s="77" t="str">
        <f t="shared" ref="AF205:AF242" si="9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/stypes="app*4010*20170527*" /stext=" 04:.+((SYSTEM_STATE.+slice.+state.+changed )|(ment ac)|(multiple cpu faults)|(system.+state.+changed )|(\[timeout)|(PRM\|1\|D)|(kpr)|(kdp)|(train st.+moving)|(\|lc)|(penalty))"</v>
      </c>
      <c r="AG205" s="1" t="str">
        <f t="shared" ref="AG205:AG242" si="100">IFERROR(IF(VALUE(LEFT(AD205,2))&lt;=2,"EC",IF(OR(VALUE(LEFT(AD205,2))=8,VALUE(LEFT(AD205,2))=18),"NW","Other")),"Other")</f>
        <v>NW</v>
      </c>
      <c r="AH205" s="81" t="str">
        <f t="shared" si="67"/>
        <v>"%USERPROFILE%\Documents\GitHub\eaglep3\Utilities\RefineRTDCRunTimes.py" --tripid 847-26 --locoid 4010 --swversion DE.1.0.9.0 --startMP 204:979 --initTime 2017-05-26T22:14:37 --startdatetime 2017-05-26T22:21:31 --delay 1 --endMP 300:58984 --enddatetime 2017-05-26T22:37:13 --enforcementcount 0 &gt;&gt;C:\Users\stu\Documents\GitHub\eaglep3-reporting\EC\2017-05-26-refined-times.txt</v>
      </c>
      <c r="AI205" s="99" t="str">
        <f t="shared" si="68"/>
        <v>echo {"issue":{"subject":"","project_id":79,"tracker_id":40,"status_id":1,"priority_id":2,"assigned_to_id":23,"start_date":"2017-05-26","description":"","custom_fields":[{"id":1,"name":"Subdivision","value":"NW"},{"id":4,"name":"Milepost","value":"5.8984"},{"id":17,"name":"Train ID","value":"847-26"},{"id":16,"name":"Locomotive ID","value":"4010"},{"id":130,"name":"Impact","value":""},{"id":150,"name":"Time of Event (Mountain Time)","value":"22:37:13"},{"id":151,"name":"Denver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69"/>
        <v>start /low /b %USERPROFILE%\Documents\GitHub\eaglep3\Utilities\DownloadLogsFromS3.py --loco 4010 --day 2017-05-26</v>
      </c>
      <c r="AN205" s="154" t="str">
        <f t="shared" si="70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828</v>
      </c>
      <c r="B206" s="7">
        <v>4010</v>
      </c>
      <c r="C206" s="21" t="s">
        <v>204</v>
      </c>
      <c r="D206" s="21" t="s">
        <v>985</v>
      </c>
      <c r="E206" s="13">
        <v>42881.956678240742</v>
      </c>
      <c r="F206" s="13">
        <v>42881.973229166666</v>
      </c>
      <c r="G206" s="7">
        <v>0</v>
      </c>
      <c r="H206" s="21" t="s">
        <v>589</v>
      </c>
      <c r="I206" s="13">
        <v>42881.983402777776</v>
      </c>
      <c r="J206" s="7">
        <v>0</v>
      </c>
      <c r="K206" s="92" t="str">
        <f t="shared" si="91"/>
        <v>4009/4010</v>
      </c>
      <c r="L206" s="21" t="str">
        <f>VLOOKUP(A206,'Trips&amp;Operators'!$C$1:$G$99999,5,FALSE)</f>
        <v>MCREYNOLDS KYLE</v>
      </c>
      <c r="M206" s="6">
        <f t="shared" si="92"/>
        <v>1.0173611110076308E-2</v>
      </c>
      <c r="N206" s="7">
        <f t="shared" si="81"/>
        <v>14.649999998509884</v>
      </c>
      <c r="O206" s="7"/>
      <c r="P206" s="7"/>
      <c r="Q206" s="22"/>
      <c r="R206" s="173"/>
      <c r="S206" s="176">
        <f t="shared" si="82"/>
        <v>1</v>
      </c>
      <c r="T206" s="202" t="str">
        <f t="shared" si="93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94"/>
        <v>https://d0f6bd738d7f1b3e5a7ca70fe4ff75f0.us-east-1.aws.found.io/app/kibana#/discover/Steve-Slow-Train-Analysis-(2080s-and-2083s)?_g=(refreshInterval:(display:Off,pause:!f,section:0,value:0),time:(from:'2017-05-26T21:57:37-0600',mode:absolute,to:'2017-05-27T00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204" t="str">
        <f t="shared" si="95"/>
        <v>N</v>
      </c>
      <c r="X206" s="204">
        <f t="shared" ref="X206:X242" si="101">VALUE(LEFT(AD206,4))-VALUE(LEFT(AD205,4))</f>
        <v>2</v>
      </c>
      <c r="Y206" s="204">
        <f t="shared" si="88"/>
        <v>9.74E-2</v>
      </c>
      <c r="Z206" s="204">
        <f t="shared" si="89"/>
        <v>5.8940999999999999</v>
      </c>
      <c r="AA206" s="204">
        <f t="shared" si="96"/>
        <v>5.7966999999999995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7"/>
        <v>0849-26</v>
      </c>
      <c r="AE206" s="80" t="str">
        <f t="shared" si="98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06" s="77" t="str">
        <f t="shared" si="99"/>
        <v>"C:\Program Files (x86)\AstroGrep\AstroGrep.exe" /e /r /s /spath="%USERPROFILE%\AppData\Local\Temp\OnboardLogs" /stypes="app*4010*20170527*" /stext=" 05:.+((SYSTEM_STATE.+slice.+state.+changed )|(ment ac)|(multiple cpu faults)|(system.+state.+changed )|(\[timeout)|(PRM\|1\|D)|(kpr)|(kdp)|(train st.+moving)|(\|lc)|(penalty))"</v>
      </c>
      <c r="AG206" s="1" t="str">
        <f t="shared" si="100"/>
        <v>NW</v>
      </c>
      <c r="AH206" s="81" t="str">
        <f t="shared" ref="AH206:AH242" si="10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849-26 --locoid 4010 --swversion DE.1.0.9.0 --startMP 204:974 --initTime 2017-05-26T22:57:37 --startdatetime 2017-05-26T23:21:27 --delay 0 --endMP 300:58941 --enddatetime 2017-05-26T23:36:06 --enforcementcount 0 &gt;&gt;C:\Users\stu\Documents\GitHub\eaglep3-reporting\EC\2017-05-26-refined-times.txt</v>
      </c>
      <c r="AI206" s="99" t="str">
        <f t="shared" ref="AI206:AI242" si="10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{"issue":{"subject":"","project_id":79,"tracker_id":40,"status_id":1,"priority_id":2,"assigned_to_id":23,"start_date":"2017-05-26","description":"","custom_fields":[{"id":1,"name":"Subdivision","value":"NW"},{"id":4,"name":"Milepost","value":"5.8941"},{"id":17,"name":"Train ID","value":"849-26"},{"id":16,"name":"Locomotive ID","value":"4010"},{"id":130,"name":"Impact","value":""},{"id":150,"name":"Time of Event (Mountain Time)","value":"23:36:06"},{"id":151,"name":"Denver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42" si="104">"start /low /b "&amp;dls3logs&amp;" --loco "&amp;B206&amp;" --day "&amp;TEXT(F206,"YYYY-MM-DD")</f>
        <v>start /low /b %USERPROFILE%\Documents\GitHub\eaglep3\Utilities\DownloadLogsFromS3.py --loco 4010 --day 2017-05-26</v>
      </c>
      <c r="AN206" s="154" t="str">
        <f t="shared" ref="AN206:AN242" si="10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549</v>
      </c>
      <c r="B207" s="7">
        <v>4015</v>
      </c>
      <c r="C207" s="21" t="s">
        <v>204</v>
      </c>
      <c r="D207" s="21" t="s">
        <v>911</v>
      </c>
      <c r="E207" s="13">
        <v>42881.115717592591</v>
      </c>
      <c r="F207" s="13">
        <v>42881.118356481478</v>
      </c>
      <c r="G207" s="7">
        <v>3</v>
      </c>
      <c r="H207" s="21" t="s">
        <v>557</v>
      </c>
      <c r="I207" s="13">
        <v>42881.124351851853</v>
      </c>
      <c r="J207" s="7">
        <v>0</v>
      </c>
      <c r="K207" s="92" t="str">
        <f t="shared" si="91"/>
        <v>4015/4016</v>
      </c>
      <c r="L207" s="21" t="str">
        <f>VLOOKUP(A207,'Trips&amp;Operators'!$C$1:$G$99999,5,FALSE)</f>
        <v>STARKS ANGELINA</v>
      </c>
      <c r="M207" s="6">
        <f t="shared" si="92"/>
        <v>5.9953703748760745E-3</v>
      </c>
      <c r="N207" s="7">
        <f t="shared" si="81"/>
        <v>8.6333333398215473</v>
      </c>
      <c r="O207" s="7"/>
      <c r="P207" s="7"/>
      <c r="Q207" s="22"/>
      <c r="R207" s="173"/>
      <c r="S207" s="176">
        <f t="shared" si="82"/>
        <v>1</v>
      </c>
      <c r="T207" s="202" t="str">
        <f t="shared" si="93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94"/>
        <v>https://d0f6bd738d7f1b3e5a7ca70fe4ff75f0.us-east-1.aws.found.io/app/kibana#/discover/Steve-Slow-Train-Analysis-(2080s-and-2083s)?_g=(refreshInterval:(display:Off,pause:!f,section:0,value:0),time:(from:'2017-05-26T01:46:38-0600',mode:absolute,to:'2017-05-26T03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204" t="str">
        <f t="shared" si="95"/>
        <v>Y</v>
      </c>
      <c r="X207" s="204">
        <f t="shared" si="101"/>
        <v>-549</v>
      </c>
      <c r="Y207" s="204">
        <f t="shared" si="88"/>
        <v>2.2498999999999998</v>
      </c>
      <c r="Z207" s="204">
        <f t="shared" si="89"/>
        <v>1.5599999999999999E-2</v>
      </c>
      <c r="AA207" s="204">
        <f t="shared" si="96"/>
        <v>2.2342999999999997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7"/>
        <v>0300-26</v>
      </c>
      <c r="AE207" s="80" t="str">
        <f t="shared" si="98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207" s="77" t="str">
        <f t="shared" si="99"/>
        <v>"C:\Program Files (x86)\AstroGrep\AstroGrep.exe" /e /r /s /spath="%USERPROFILE%\AppData\Local\Temp\OnboardLogs" /stypes="app*4015*20170526*" /stext=" 08:.+((SYSTEM_STATE.+slice.+state.+changed )|(ment ac)|(multiple cpu faults)|(system.+state.+changed )|(\[timeout)|(PRM\|1\|D)|(kpr)|(kdp)|(train st.+moving)|(\|lc)|(penalty))"</v>
      </c>
      <c r="AG207" s="1" t="str">
        <f t="shared" si="100"/>
        <v>Other</v>
      </c>
      <c r="AH207" s="81" t="str">
        <f t="shared" si="102"/>
        <v>"%USERPROFILE%\Documents\GitHub\eaglep3\Utilities\RefineRTDCRunTimes.py" --tripid 300-26 --locoid 4015 --swversion DE.1.0.9.0 --startMP 300:22499 --initTime 2017-05-26T02:46:38 --startdatetime 2017-05-26T02:50:26 --delay 3 --endMP 204:156 --enddatetime 2017-05-26T02:59:04 --enforcementcount 0 &gt;&gt;C:\Users\stu\Documents\GitHub\eaglep3-reporting\EC\2017-05-26-refined-times.txt</v>
      </c>
      <c r="AI207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{"issue":{"subject":"","project_id":79,"tracker_id":40,"status_id":1,"priority_id":2,"assigned_to_id":23,"start_date":"2017-05-26","description":"","custom_fields":[{"id":1,"name":"Subdivision","value":"Other"},{"id":4,"name":"Milepost","value":"0.0156"},{"id":17,"name":"Train ID","value":"300-26"},{"id":16,"name":"Locomotive ID","value":"4015"},{"id":130,"name":"Impact","value":""},{"id":150,"name":"Time of Event (Mountain Time)","value":"02:59:04"},{"id":151,"name":"Denver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4"/>
        <v>start /low /b %USERPROFILE%\Documents\GitHub\eaglep3\Utilities\DownloadLogsFromS3.py --loco 4015 --day 2017-05-26</v>
      </c>
      <c r="AN207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08:59:04"},{"id":29,"name":"Sharepoint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798</v>
      </c>
      <c r="B208" s="7">
        <v>4044</v>
      </c>
      <c r="C208" s="21" t="s">
        <v>204</v>
      </c>
      <c r="D208" s="21" t="s">
        <v>400</v>
      </c>
      <c r="E208" s="13">
        <v>42881.776909722219</v>
      </c>
      <c r="F208" s="13">
        <v>42881.77857638889</v>
      </c>
      <c r="G208" s="7">
        <v>1</v>
      </c>
      <c r="H208" s="21" t="s">
        <v>912</v>
      </c>
      <c r="I208" s="13">
        <v>42881.787175925929</v>
      </c>
      <c r="J208" s="7">
        <v>0</v>
      </c>
      <c r="K208" s="92" t="str">
        <f t="shared" si="91"/>
        <v>4043/4044</v>
      </c>
      <c r="L208" s="21" t="str">
        <f>VLOOKUP(A208,'Trips&amp;Operators'!$C$1:$G$99999,5,FALSE)</f>
        <v>DE LA ROSA ALEX</v>
      </c>
      <c r="M208" s="6">
        <f t="shared" si="92"/>
        <v>8.599537039117422E-3</v>
      </c>
      <c r="N208" s="7">
        <f t="shared" si="81"/>
        <v>12.383333336329088</v>
      </c>
      <c r="O208" s="7"/>
      <c r="P208" s="7"/>
      <c r="Q208" s="22"/>
      <c r="R208" s="173"/>
      <c r="S208" s="176">
        <f t="shared" si="82"/>
        <v>1</v>
      </c>
      <c r="T208" s="202" t="str">
        <f t="shared" si="93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94"/>
        <v>https://d0f6bd738d7f1b3e5a7ca70fe4ff75f0.us-east-1.aws.found.io/app/kibana#/discover/Steve-Slow-Train-Analysis-(2080s-and-2083s)?_g=(refreshInterval:(display:Off,pause:!f,section:0,value:0),time:(from:'2017-05-26T17:38:45-0600',mode:absolute,to:'2017-05-26T19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204" t="str">
        <f t="shared" si="95"/>
        <v>Y</v>
      </c>
      <c r="X208" s="204">
        <f t="shared" si="101"/>
        <v>1</v>
      </c>
      <c r="Y208" s="204">
        <f t="shared" si="88"/>
        <v>4.6199999999999998E-2</v>
      </c>
      <c r="Z208" s="204">
        <f t="shared" si="89"/>
        <v>2.3290999999999999</v>
      </c>
      <c r="AA208" s="204">
        <f t="shared" si="96"/>
        <v>2.2829000000000002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7"/>
        <v>0301-26</v>
      </c>
      <c r="AE208" s="80" t="str">
        <f t="shared" si="98"/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AF208" s="77" t="str">
        <f t="shared" si="99"/>
        <v>"C:\Program Files (x86)\AstroGrep\AstroGrep.exe" /e /r /s /spath="%USERPROFILE%\AppData\Local\Temp\OnboardLogs" /stypes="app*4044*20170527*" /stext=" 00:.+((SYSTEM_STATE.+slice.+state.+changed )|(ment ac)|(multiple cpu faults)|(system.+state.+changed )|(\[timeout)|(PRM\|1\|D)|(kpr)|(kdp)|(train st.+moving)|(\|lc)|(penalty))"</v>
      </c>
      <c r="AG208" s="1" t="str">
        <f t="shared" si="100"/>
        <v>Other</v>
      </c>
      <c r="AH208" s="81" t="str">
        <f t="shared" si="102"/>
        <v>"%USERPROFILE%\Documents\GitHub\eaglep3\Utilities\RefineRTDCRunTimes.py" --tripid 301-26 --locoid 4044 --swversion DE.1.0.9.0 --startMP 204:462 --initTime 2017-05-26T18:38:45 --startdatetime 2017-05-26T18:41:09 --delay 1 --endMP 300:23291 --enddatetime 2017-05-26T18:53:32 --enforcementcount 0 &gt;&gt;C:\Users\stu\Documents\GitHub\eaglep3-reporting\EC\2017-05-26-refined-times.txt</v>
      </c>
      <c r="AI208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{"issue":{"subject":"","project_id":79,"tracker_id":40,"status_id":1,"priority_id":2,"assigned_to_id":23,"start_date":"2017-05-26","description":"","custom_fields":[{"id":1,"name":"Subdivision","value":"Other"},{"id":4,"name":"Milepost","value":"2.3291"},{"id":17,"name":"Train ID","value":"301-26"},{"id":16,"name":"Locomotive ID","value":"4044"},{"id":130,"name":"Impact","value":""},{"id":150,"name":"Time of Event (Mountain Time)","value":"18:53:32"},{"id":151,"name":"Denver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4"/>
        <v>start /low /b %USERPROFILE%\Documents\GitHub\eaglep3\Utilities\DownloadLogsFromS3.py --loco 4044 --day 2017-05-26</v>
      </c>
      <c r="AN208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633</v>
      </c>
      <c r="B209" s="7">
        <v>4061</v>
      </c>
      <c r="C209" s="21" t="s">
        <v>204</v>
      </c>
      <c r="D209" s="21" t="s">
        <v>913</v>
      </c>
      <c r="E209" s="13">
        <v>42881.140416666669</v>
      </c>
      <c r="F209" s="13">
        <v>42881.144849537035</v>
      </c>
      <c r="G209" s="7">
        <v>6</v>
      </c>
      <c r="H209" s="21" t="s">
        <v>350</v>
      </c>
      <c r="I209" s="13">
        <v>42881.150902777779</v>
      </c>
      <c r="J209" s="7">
        <v>0</v>
      </c>
      <c r="K209" s="92" t="str">
        <f t="shared" si="91"/>
        <v>4061/4062</v>
      </c>
      <c r="L209" s="21" t="str">
        <f>VLOOKUP(A209,'Trips&amp;Operators'!$C$1:$G$99999,5,FALSE)</f>
        <v>WILLIAMS DONTE</v>
      </c>
      <c r="M209" s="6">
        <f t="shared" si="92"/>
        <v>6.0532407442224212E-3</v>
      </c>
      <c r="N209" s="7">
        <f t="shared" si="81"/>
        <v>8.7166666716802865</v>
      </c>
      <c r="O209" s="7"/>
      <c r="P209" s="7"/>
      <c r="Q209" s="22"/>
      <c r="R209" s="173"/>
      <c r="S209" s="176">
        <f t="shared" si="82"/>
        <v>1</v>
      </c>
      <c r="T209" s="202" t="str">
        <f t="shared" si="93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94"/>
        <v>https://d0f6bd738d7f1b3e5a7ca70fe4ff75f0.us-east-1.aws.found.io/app/kibana#/discover/Steve-Slow-Train-Analysis-(2080s-and-2083s)?_g=(refreshInterval:(display:Off,pause:!f,section:0,value:0),time:(from:'2017-05-26T02:22:12-0600',mode:absolute,to:'2017-05-26T04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9" s="204" t="str">
        <f t="shared" si="95"/>
        <v>Y</v>
      </c>
      <c r="X209" s="204">
        <f t="shared" si="101"/>
        <v>1</v>
      </c>
      <c r="Y209" s="204">
        <f t="shared" si="88"/>
        <v>2.2730000000000001</v>
      </c>
      <c r="Z209" s="204">
        <f t="shared" si="89"/>
        <v>1.6E-2</v>
      </c>
      <c r="AA209" s="204">
        <f t="shared" si="96"/>
        <v>2.2570000000000001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7"/>
        <v>0302-26</v>
      </c>
      <c r="AE209" s="80" t="str">
        <f t="shared" si="98"/>
        <v>aws s3 cp s3://rtdc.mdm.uploadarchive.raw/RTDC4061/ "%USERPROFILE%\AppData\Local\Temp\OnboardLogs"\RTDC4061\2017-05-26 --exclude "*" --recursive --include "*20170526*" &amp; "%USERPROFILE%\Documents\GitHub\mrs-test-scripts\Headless Mode &amp; Sideloading\WalkAndUnGZ.bat" "%USERPROFILE%\AppData\Local\Temp\OnboardLogs"\RTDC4061\2017-05-26 &amp; aws s3 cp s3://rtdc.mdm.uploadarchive.raw/RTDC4061/ "%USERPROFILE%\AppData\Local\Temp\OnboardLogs"\RTDC4061\2017-05-27 --exclude "*" --recursive --include "*20170527*" &amp; "%USERPROFILE%\Documents\GitHub\mrs-test-scripts\Headless Mode &amp; Sideloading\WalkAndUnGZ.bat" "%USERPROFILE%\AppData\Local\Temp\OnboardLogs"\RTDC4061\2017-05-27</v>
      </c>
      <c r="AF209" s="77" t="str">
        <f t="shared" si="99"/>
        <v>"C:\Program Files (x86)\AstroGrep\AstroGrep.exe" /e /r /s /spath="%USERPROFILE%\AppData\Local\Temp\OnboardLogs" /stypes="app*4061*20170526*" /stext=" 09:.+((SYSTEM_STATE.+slice.+state.+changed )|(ment ac)|(multiple cpu faults)|(system.+state.+changed )|(\[timeout)|(PRM\|1\|D)|(kpr)|(kdp)|(train st.+moving)|(\|lc)|(penalty))"</v>
      </c>
      <c r="AG209" s="1" t="str">
        <f t="shared" si="100"/>
        <v>Other</v>
      </c>
      <c r="AH209" s="81" t="str">
        <f t="shared" si="102"/>
        <v>"%USERPROFILE%\Documents\GitHub\eaglep3\Utilities\RefineRTDCRunTimes.py" --tripid 302-26 --locoid 4061 --swversion DE.1.0.9.0 --startMP 300:22730 --initTime 2017-05-26T03:22:12 --startdatetime 2017-05-26T03:28:35 --delay 6 --endMP 204:160 --enddatetime 2017-05-26T03:37:18 --enforcementcount 0 &gt;&gt;C:\Users\stu\Documents\GitHub\eaglep3-reporting\EC\2017-05-26-refined-times.txt</v>
      </c>
      <c r="AI209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{"issue":{"subject":"","project_id":79,"tracker_id":40,"status_id":1,"priority_id":2,"assigned_to_id":23,"start_date":"2017-05-26","description":"","custom_fields":[{"id":1,"name":"Subdivision","value":"Other"},{"id":4,"name":"Milepost","value":"0.016"},{"id":17,"name":"Train ID","value":"302-26"},{"id":16,"name":"Locomotive ID","value":"4061"},{"id":130,"name":"Impact","value":""},{"id":150,"name":"Time of Event (Mountain Time)","value":"03:37:18"},{"id":151,"name":"Denver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4"/>
        <v>start /low /b %USERPROFILE%\Documents\GitHub\eaglep3\Utilities\DownloadLogsFromS3.py --loco 4061 --day 2017-05-26</v>
      </c>
      <c r="AN209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09:37:18"},{"id":29,"name":"Sharepoint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804</v>
      </c>
      <c r="B210" s="7">
        <v>4026</v>
      </c>
      <c r="C210" s="21" t="s">
        <v>204</v>
      </c>
      <c r="D210" s="21" t="s">
        <v>914</v>
      </c>
      <c r="E210" s="13">
        <v>42881.799872685187</v>
      </c>
      <c r="F210" s="13">
        <v>42881.801157407404</v>
      </c>
      <c r="G210" s="7">
        <v>1</v>
      </c>
      <c r="H210" s="21" t="s">
        <v>356</v>
      </c>
      <c r="I210" s="13">
        <v>42881.809259259258</v>
      </c>
      <c r="J210" s="7">
        <v>0</v>
      </c>
      <c r="K210" s="92" t="str">
        <f t="shared" si="91"/>
        <v>4025/4026</v>
      </c>
      <c r="L210" s="21" t="str">
        <f>VLOOKUP(A210,'Trips&amp;Operators'!$C$1:$G$99999,5,FALSE)</f>
        <v>LEVIN SCOTT</v>
      </c>
      <c r="M210" s="6">
        <f t="shared" si="92"/>
        <v>8.1018518540076911E-3</v>
      </c>
      <c r="N210" s="7">
        <f t="shared" si="81"/>
        <v>11.666666669771075</v>
      </c>
      <c r="O210" s="7"/>
      <c r="P210" s="7"/>
      <c r="Q210" s="22"/>
      <c r="R210" s="173"/>
      <c r="S210" s="176">
        <f t="shared" si="82"/>
        <v>1</v>
      </c>
      <c r="T210" s="202" t="str">
        <f t="shared" si="93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94"/>
        <v>https://d0f6bd738d7f1b3e5a7ca70fe4ff75f0.us-east-1.aws.found.io/app/kibana#/discover/Steve-Slow-Train-Analysis-(2080s-and-2083s)?_g=(refreshInterval:(display:Off,pause:!f,section:0,value:0),time:(from:'2017-05-26T18:11:49-0600',mode:absolute,to:'2017-05-26T20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 t="shared" si="95"/>
        <v>Y</v>
      </c>
      <c r="X210" s="204">
        <f t="shared" si="101"/>
        <v>1</v>
      </c>
      <c r="Y210" s="204">
        <f t="shared" si="88"/>
        <v>5.1499999999999997E-2</v>
      </c>
      <c r="Z210" s="204">
        <f t="shared" si="89"/>
        <v>2.3346</v>
      </c>
      <c r="AA210" s="204">
        <f t="shared" si="96"/>
        <v>2.2831000000000001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7"/>
        <v>0303-26</v>
      </c>
      <c r="AE210" s="80" t="str">
        <f t="shared" si="98"/>
        <v>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 &amp; 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</v>
      </c>
      <c r="AF210" s="77" t="str">
        <f t="shared" si="99"/>
        <v>"C:\Program Files (x86)\AstroGrep\AstroGrep.exe" /e /r /s /spath="%USERPROFILE%\AppData\Local\Temp\OnboardLogs" /stypes="app*4026*20170527*" /stext=" 01:.+((SYSTEM_STATE.+slice.+state.+changed )|(ment ac)|(multiple cpu faults)|(system.+state.+changed )|(\[timeout)|(PRM\|1\|D)|(kpr)|(kdp)|(train st.+moving)|(\|lc)|(penalty))"</v>
      </c>
      <c r="AG210" s="1" t="str">
        <f t="shared" si="100"/>
        <v>Other</v>
      </c>
      <c r="AH210" s="81" t="str">
        <f t="shared" si="102"/>
        <v>"%USERPROFILE%\Documents\GitHub\eaglep3\Utilities\RefineRTDCRunTimes.py" --tripid 303-26 --locoid 4026 --swversion DE.1.0.9.0 --startMP 204:515 --initTime 2017-05-26T19:11:49 --startdatetime 2017-05-26T19:13:40 --delay 1 --endMP 300:23346 --enddatetime 2017-05-26T19:25:20 --enforcementcount 0 &gt;&gt;C:\Users\stu\Documents\GitHub\eaglep3-reporting\EC\2017-05-26-refined-times.txt</v>
      </c>
      <c r="AI210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{"issue":{"subject":"","project_id":79,"tracker_id":40,"status_id":1,"priority_id":2,"assigned_to_id":23,"start_date":"2017-05-26","description":"","custom_fields":[{"id":1,"name":"Subdivision","value":"Other"},{"id":4,"name":"Milepost","value":"2.3346"},{"id":17,"name":"Train ID","value":"303-26"},{"id":16,"name":"Locomotive ID","value":"4026"},{"id":130,"name":"Impact","value":""},{"id":150,"name":"Time of Event (Mountain Time)","value":"19:25:20"},{"id":151,"name":"Denver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4"/>
        <v>start /low /b %USERPROFILE%\Documents\GitHub\eaglep3\Utilities\DownloadLogsFromS3.py --loco 4026 --day 2017-05-26</v>
      </c>
      <c r="AN210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634</v>
      </c>
      <c r="B211" s="7">
        <v>4001</v>
      </c>
      <c r="C211" s="21" t="s">
        <v>204</v>
      </c>
      <c r="D211" s="21" t="s">
        <v>915</v>
      </c>
      <c r="E211" s="13">
        <v>42881.162986111114</v>
      </c>
      <c r="F211" s="13">
        <v>42881.165416666663</v>
      </c>
      <c r="G211" s="7">
        <v>3</v>
      </c>
      <c r="H211" s="21" t="s">
        <v>351</v>
      </c>
      <c r="I211" s="13">
        <v>42881.171296296299</v>
      </c>
      <c r="J211" s="7">
        <v>0</v>
      </c>
      <c r="K211" s="92" t="str">
        <f t="shared" si="91"/>
        <v>4001/4002</v>
      </c>
      <c r="L211" s="21" t="str">
        <f>VLOOKUP(A211,'Trips&amp;Operators'!$C$1:$G$99999,5,FALSE)</f>
        <v>BONDS REYNALDO</v>
      </c>
      <c r="M211" s="6">
        <f t="shared" si="92"/>
        <v>5.8796296361833811E-3</v>
      </c>
      <c r="N211" s="7">
        <f t="shared" si="81"/>
        <v>8.4666666761040688</v>
      </c>
      <c r="O211" s="7"/>
      <c r="P211" s="7"/>
      <c r="Q211" s="22"/>
      <c r="R211" s="173"/>
      <c r="S211" s="176">
        <f t="shared" si="82"/>
        <v>1</v>
      </c>
      <c r="T211" s="202" t="str">
        <f t="shared" si="93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94"/>
        <v>https://d0f6bd738d7f1b3e5a7ca70fe4ff75f0.us-east-1.aws.found.io/app/kibana#/discover/Steve-Slow-Train-Analysis-(2080s-and-2083s)?_g=(refreshInterval:(display:Off,pause:!f,section:0,value:0),time:(from:'2017-05-26T02:54:42-0600',mode:absolute,to:'2017-05-26T05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1" s="204" t="str">
        <f t="shared" si="95"/>
        <v>Y</v>
      </c>
      <c r="X211" s="204">
        <f t="shared" si="101"/>
        <v>1</v>
      </c>
      <c r="Y211" s="204">
        <f t="shared" si="88"/>
        <v>2.3715999999999999</v>
      </c>
      <c r="Z211" s="204">
        <f t="shared" si="89"/>
        <v>1.4999999999999999E-2</v>
      </c>
      <c r="AA211" s="204">
        <f t="shared" si="96"/>
        <v>2.3565999999999998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7"/>
        <v>0304-26</v>
      </c>
      <c r="AE211" s="80" t="str">
        <f t="shared" si="98"/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AF211" s="77" t="str">
        <f t="shared" si="99"/>
        <v>"C:\Program Files (x86)\AstroGrep\AstroGrep.exe" /e /r /s /spath="%USERPROFILE%\AppData\Local\Temp\OnboardLogs" /stypes="app*4001*20170526*" /stext=" 10:.+((SYSTEM_STATE.+slice.+state.+changed )|(ment ac)|(multiple cpu faults)|(system.+state.+changed )|(\[timeout)|(PRM\|1\|D)|(kpr)|(kdp)|(train st.+moving)|(\|lc)|(penalty))"</v>
      </c>
      <c r="AG211" s="1" t="str">
        <f t="shared" si="100"/>
        <v>Other</v>
      </c>
      <c r="AH211" s="81" t="str">
        <f t="shared" si="102"/>
        <v>"%USERPROFILE%\Documents\GitHub\eaglep3\Utilities\RefineRTDCRunTimes.py" --tripid 304-26 --locoid 4001 --swversion DE.1.0.9.0 --startMP 300:23716 --initTime 2017-05-26T03:54:42 --startdatetime 2017-05-26T03:58:12 --delay 3 --endMP 204:150 --enddatetime 2017-05-26T04:06:40 --enforcementcount 0 &gt;&gt;C:\Users\stu\Documents\GitHub\eaglep3-reporting\EC\2017-05-26-refined-times.txt</v>
      </c>
      <c r="AI211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{"issue":{"subject":"","project_id":79,"tracker_id":40,"status_id":1,"priority_id":2,"assigned_to_id":23,"start_date":"2017-05-26","description":"","custom_fields":[{"id":1,"name":"Subdivision","value":"Other"},{"id":4,"name":"Milepost","value":"0.015"},{"id":17,"name":"Train ID","value":"304-26"},{"id":16,"name":"Locomotive ID","value":"4001"},{"id":130,"name":"Impact","value":""},{"id":150,"name":"Time of Event (Mountain Time)","value":"04:06:40"},{"id":151,"name":"Denver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4"/>
        <v>start /low /b %USERPROFILE%\Documents\GitHub\eaglep3\Utilities\DownloadLogsFromS3.py --loco 4001 --day 2017-05-26</v>
      </c>
      <c r="AN211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807</v>
      </c>
      <c r="B212" s="7">
        <v>4006</v>
      </c>
      <c r="C212" s="21" t="s">
        <v>204</v>
      </c>
      <c r="D212" s="21" t="s">
        <v>358</v>
      </c>
      <c r="E212" s="13">
        <v>42881.820474537039</v>
      </c>
      <c r="F212" s="13">
        <v>42881.822395833333</v>
      </c>
      <c r="G212" s="7">
        <v>1</v>
      </c>
      <c r="H212" s="21" t="s">
        <v>423</v>
      </c>
      <c r="I212" s="13">
        <v>42881.829768518517</v>
      </c>
      <c r="J212" s="7">
        <v>0</v>
      </c>
      <c r="K212" s="92" t="str">
        <f t="shared" si="91"/>
        <v>4005/4006</v>
      </c>
      <c r="L212" s="21" t="str">
        <f>VLOOKUP(A212,'Trips&amp;Operators'!$C$1:$G$99999,5,FALSE)</f>
        <v>HOLCOMB KAMDEN</v>
      </c>
      <c r="M212" s="6">
        <f t="shared" si="92"/>
        <v>7.3726851842366159E-3</v>
      </c>
      <c r="N212" s="7">
        <f t="shared" si="81"/>
        <v>10.616666665300727</v>
      </c>
      <c r="O212" s="7"/>
      <c r="P212" s="7"/>
      <c r="Q212" s="22"/>
      <c r="R212" s="173"/>
      <c r="S212" s="176">
        <f t="shared" si="82"/>
        <v>1</v>
      </c>
      <c r="T212" s="202" t="str">
        <f t="shared" si="93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94"/>
        <v>https://d0f6bd738d7f1b3e5a7ca70fe4ff75f0.us-east-1.aws.found.io/app/kibana#/discover/Steve-Slow-Train-Analysis-(2080s-and-2083s)?_g=(refreshInterval:(display:Off,pause:!f,section:0,value:0),time:(from:'2017-05-26T18:41:29-0600',mode:absolute,to:'2017-05-26T20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204" t="str">
        <f t="shared" si="95"/>
        <v>Y</v>
      </c>
      <c r="X212" s="204">
        <f t="shared" si="101"/>
        <v>1</v>
      </c>
      <c r="Y212" s="204">
        <f t="shared" si="88"/>
        <v>4.53E-2</v>
      </c>
      <c r="Z212" s="204">
        <f t="shared" si="89"/>
        <v>2.3308</v>
      </c>
      <c r="AA212" s="204">
        <f t="shared" si="96"/>
        <v>2.2854999999999999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7"/>
        <v>0305-26</v>
      </c>
      <c r="AE212" s="80" t="str">
        <f t="shared" si="98"/>
        <v>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 &amp; 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</v>
      </c>
      <c r="AF212" s="77" t="str">
        <f t="shared" si="99"/>
        <v>"C:\Program Files (x86)\AstroGrep\AstroGrep.exe" /e /r /s /spath="%USERPROFILE%\AppData\Local\Temp\OnboardLogs" /stypes="app*4006*20170527*" /stext=" 01:.+((SYSTEM_STATE.+slice.+state.+changed )|(ment ac)|(multiple cpu faults)|(system.+state.+changed )|(\[timeout)|(PRM\|1\|D)|(kpr)|(kdp)|(train st.+moving)|(\|lc)|(penalty))"</v>
      </c>
      <c r="AG212" s="1" t="str">
        <f t="shared" si="100"/>
        <v>Other</v>
      </c>
      <c r="AH212" s="81" t="str">
        <f t="shared" si="102"/>
        <v>"%USERPROFILE%\Documents\GitHub\eaglep3\Utilities\RefineRTDCRunTimes.py" --tripid 305-26 --locoid 4006 --swversion DE.1.0.9.0 --startMP 204:453 --initTime 2017-05-26T19:41:29 --startdatetime 2017-05-26T19:44:15 --delay 1 --endMP 300:23308 --enddatetime 2017-05-26T19:54:52 --enforcementcount 0 &gt;&gt;C:\Users\stu\Documents\GitHub\eaglep3-reporting\EC\2017-05-26-refined-times.txt</v>
      </c>
      <c r="AI212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{"issue":{"subject":"","project_id":79,"tracker_id":40,"status_id":1,"priority_id":2,"assigned_to_id":23,"start_date":"2017-05-26","description":"","custom_fields":[{"id":1,"name":"Subdivision","value":"Other"},{"id":4,"name":"Milepost","value":"2.3308"},{"id":17,"name":"Train ID","value":"305-26"},{"id":16,"name":"Locomotive ID","value":"4006"},{"id":130,"name":"Impact","value":""},{"id":150,"name":"Time of Event (Mountain Time)","value":"19:54:52"},{"id":151,"name":"Denver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4"/>
        <v>start /low /b %USERPROFILE%\Documents\GitHub\eaglep3\Utilities\DownloadLogsFromS3.py --loco 4006 --day 2017-05-26</v>
      </c>
      <c r="AN212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01:54:52"},{"id":29,"name":"Sharepoint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s="20" customFormat="1" x14ac:dyDescent="0.25">
      <c r="A213" s="32" t="s">
        <v>635</v>
      </c>
      <c r="B213" s="7">
        <v>4057</v>
      </c>
      <c r="C213" s="21" t="s">
        <v>204</v>
      </c>
      <c r="D213" s="21" t="s">
        <v>916</v>
      </c>
      <c r="E213" s="13">
        <v>42881.166608796295</v>
      </c>
      <c r="F213" s="13">
        <v>42881.170601851853</v>
      </c>
      <c r="G213" s="7">
        <v>5</v>
      </c>
      <c r="H213" s="21" t="s">
        <v>564</v>
      </c>
      <c r="I213" s="13">
        <v>42881.180405092593</v>
      </c>
      <c r="J213" s="7">
        <v>0</v>
      </c>
      <c r="K213" s="92" t="str">
        <f t="shared" si="91"/>
        <v>4057/4058</v>
      </c>
      <c r="L213" s="21" t="str">
        <f>VLOOKUP(A213,'Trips&amp;Operators'!$C$1:$G$99999,5,FALSE)</f>
        <v>BIRENBAUM THOMAS</v>
      </c>
      <c r="M213" s="6">
        <f t="shared" si="92"/>
        <v>9.8032407404389232E-3</v>
      </c>
      <c r="N213" s="7">
        <f t="shared" si="81"/>
        <v>14.116666666232049</v>
      </c>
      <c r="O213" s="7"/>
      <c r="P213" s="7"/>
      <c r="Q213" s="22"/>
      <c r="R213" s="173"/>
      <c r="S213" s="176">
        <f t="shared" si="82"/>
        <v>1</v>
      </c>
      <c r="T213" s="202" t="str">
        <f t="shared" si="93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94"/>
        <v>https://d0f6bd738d7f1b3e5a7ca70fe4ff75f0.us-east-1.aws.found.io/app/kibana#/discover/Steve-Slow-Train-Analysis-(2080s-and-2083s)?_g=(refreshInterval:(display:Off,pause:!f,section:0,value:0),time:(from:'2017-05-26T02:59:55-0600',mode:absolute,to:'2017-05-26T05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204" t="str">
        <f t="shared" si="95"/>
        <v>Y</v>
      </c>
      <c r="X213" s="204">
        <f t="shared" si="101"/>
        <v>1</v>
      </c>
      <c r="Y213" s="204">
        <f t="shared" si="88"/>
        <v>2.3473999999999999</v>
      </c>
      <c r="Z213" s="204">
        <f t="shared" si="89"/>
        <v>1.6500000000000001E-2</v>
      </c>
      <c r="AA213" s="204">
        <f t="shared" si="96"/>
        <v>2.3308999999999997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7"/>
        <v>0306-26</v>
      </c>
      <c r="AE213" s="80" t="str">
        <f t="shared" si="98"/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AF213" s="77" t="str">
        <f t="shared" si="99"/>
        <v>"C:\Program Files (x86)\AstroGrep\AstroGrep.exe" /e /r /s /spath="%USERPROFILE%\AppData\Local\Temp\OnboardLogs" /stypes="app*4057*20170526*" /stext=" 10:.+((SYSTEM_STATE.+slice.+state.+changed )|(ment ac)|(multiple cpu faults)|(system.+state.+changed )|(\[timeout)|(PRM\|1\|D)|(kpr)|(kdp)|(train st.+moving)|(\|lc)|(penalty))"</v>
      </c>
      <c r="AG213" s="1" t="str">
        <f t="shared" si="100"/>
        <v>Other</v>
      </c>
      <c r="AH213" s="81" t="str">
        <f t="shared" si="102"/>
        <v>"%USERPROFILE%\Documents\GitHub\eaglep3\Utilities\RefineRTDCRunTimes.py" --tripid 306-26 --locoid 4057 --swversion DE.1.0.9.0 --startMP 300:23474 --initTime 2017-05-26T03:59:55 --startdatetime 2017-05-26T04:05:40 --delay 5 --endMP 204:165 --enddatetime 2017-05-26T04:19:47 --enforcementcount 0 &gt;&gt;C:\Users\stu\Documents\GitHub\eaglep3-reporting\EC\2017-05-26-refined-times.txt</v>
      </c>
      <c r="AI213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{"issue":{"subject":"","project_id":79,"tracker_id":40,"status_id":1,"priority_id":2,"assigned_to_id":23,"start_date":"2017-05-26","description":"","custom_fields":[{"id":1,"name":"Subdivision","value":"Other"},{"id":4,"name":"Milepost","value":"0.0165"},{"id":17,"name":"Train ID","value":"306-26"},{"id":16,"name":"Locomotive ID","value":"4057"},{"id":130,"name":"Impact","value":""},{"id":150,"name":"Time of Event (Mountain Time)","value":"04:19:47"},{"id":151,"name":"Denver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104"/>
        <v>start /low /b %USERPROFILE%\Documents\GitHub\eaglep3\Utilities\DownloadLogsFromS3.py --loco 4057 --day 2017-05-26</v>
      </c>
      <c r="AN213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638</v>
      </c>
      <c r="B214" s="7">
        <v>4043</v>
      </c>
      <c r="C214" s="21" t="s">
        <v>204</v>
      </c>
      <c r="D214" s="21" t="s">
        <v>917</v>
      </c>
      <c r="E214" s="13">
        <v>42881.183055555557</v>
      </c>
      <c r="F214" s="13">
        <v>42881.185833333337</v>
      </c>
      <c r="G214" s="7">
        <v>3</v>
      </c>
      <c r="H214" s="21" t="s">
        <v>404</v>
      </c>
      <c r="I214" s="13">
        <v>42881.19153935185</v>
      </c>
      <c r="J214" s="7">
        <v>0</v>
      </c>
      <c r="K214" s="92" t="str">
        <f t="shared" si="91"/>
        <v>4043/4044</v>
      </c>
      <c r="L214" s="21" t="str">
        <f>VLOOKUP(A214,'Trips&amp;Operators'!$C$1:$G$99999,5,FALSE)</f>
        <v>DAVIS WENDY</v>
      </c>
      <c r="M214" s="6">
        <f t="shared" si="92"/>
        <v>5.7060185135924257E-3</v>
      </c>
      <c r="N214" s="7">
        <f t="shared" si="81"/>
        <v>8.2166666595730931</v>
      </c>
      <c r="O214" s="7"/>
      <c r="P214" s="7"/>
      <c r="Q214" s="22"/>
      <c r="R214" s="173"/>
      <c r="S214" s="176">
        <f t="shared" si="82"/>
        <v>1</v>
      </c>
      <c r="T214" s="202" t="str">
        <f t="shared" si="93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94"/>
        <v>https://d0f6bd738d7f1b3e5a7ca70fe4ff75f0.us-east-1.aws.found.io/app/kibana#/discover/Steve-Slow-Train-Analysis-(2080s-and-2083s)?_g=(refreshInterval:(display:Off,pause:!f,section:0,value:0),time:(from:'2017-05-26T03:23:36-0600',mode:absolute,to:'2017-05-26T05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204" t="str">
        <f t="shared" si="95"/>
        <v>Y</v>
      </c>
      <c r="X214" s="204">
        <f t="shared" si="101"/>
        <v>2</v>
      </c>
      <c r="Y214" s="204">
        <f t="shared" si="88"/>
        <v>2.3290000000000002</v>
      </c>
      <c r="Z214" s="204">
        <f t="shared" si="89"/>
        <v>1.54E-2</v>
      </c>
      <c r="AA214" s="204">
        <f t="shared" si="96"/>
        <v>2.3136000000000001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7"/>
        <v>0308-26</v>
      </c>
      <c r="AE214" s="80" t="str">
        <f t="shared" si="98"/>
        <v>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 &amp; 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</v>
      </c>
      <c r="AF214" s="77" t="str">
        <f t="shared" si="99"/>
        <v>"C:\Program Files (x86)\AstroGrep\AstroGrep.exe" /e /r /s /spath="%USERPROFILE%\AppData\Local\Temp\OnboardLogs" /stypes="app*4043*20170526*" /stext=" 10:.+((SYSTEM_STATE.+slice.+state.+changed )|(ment ac)|(multiple cpu faults)|(system.+state.+changed )|(\[timeout)|(PRM\|1\|D)|(kpr)|(kdp)|(train st.+moving)|(\|lc)|(penalty))"</v>
      </c>
      <c r="AG214" s="1" t="str">
        <f t="shared" si="100"/>
        <v>Other</v>
      </c>
      <c r="AH214" s="81" t="str">
        <f t="shared" si="102"/>
        <v>"%USERPROFILE%\Documents\GitHub\eaglep3\Utilities\RefineRTDCRunTimes.py" --tripid 308-26 --locoid 4043 --swversion DE.1.0.9.0 --startMP 300:23290 --initTime 2017-05-26T04:23:36 --startdatetime 2017-05-26T04:27:36 --delay 3 --endMP 204:154 --enddatetime 2017-05-26T04:35:49 --enforcementcount 0 &gt;&gt;C:\Users\stu\Documents\GitHub\eaglep3-reporting\EC\2017-05-26-refined-times.txt</v>
      </c>
      <c r="AI214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{"issue":{"subject":"","project_id":79,"tracker_id":40,"status_id":1,"priority_id":2,"assigned_to_id":23,"start_date":"2017-05-26","description":"","custom_fields":[{"id":1,"name":"Subdivision","value":"Other"},{"id":4,"name":"Milepost","value":"0.0154"},{"id":17,"name":"Train ID","value":"308-26"},{"id":16,"name":"Locomotive ID","value":"4043"},{"id":130,"name":"Impact","value":""},{"id":150,"name":"Time of Event (Mountain Time)","value":"04:35:49"},{"id":151,"name":"Denver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4"/>
        <v>start /low /b %USERPROFILE%\Documents\GitHub\eaglep3\Utilities\DownloadLogsFromS3.py --loco 4043 --day 2017-05-26</v>
      </c>
      <c r="AN214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641</v>
      </c>
      <c r="B215" s="7">
        <v>4009</v>
      </c>
      <c r="C215" s="21" t="s">
        <v>204</v>
      </c>
      <c r="D215" s="21" t="s">
        <v>918</v>
      </c>
      <c r="E215" s="13">
        <v>42881.198703703703</v>
      </c>
      <c r="F215" s="13">
        <v>42881.201319444444</v>
      </c>
      <c r="G215" s="7">
        <v>3</v>
      </c>
      <c r="H215" s="21" t="s">
        <v>919</v>
      </c>
      <c r="I215" s="13">
        <v>42881.212650462963</v>
      </c>
      <c r="J215" s="7">
        <v>0</v>
      </c>
      <c r="K215" s="92" t="str">
        <f t="shared" si="91"/>
        <v>4009/4010</v>
      </c>
      <c r="L215" s="21" t="str">
        <f>VLOOKUP(A215,'Trips&amp;Operators'!$C$1:$G$99999,5,FALSE)</f>
        <v>DAVIDSON DAVID</v>
      </c>
      <c r="M215" s="6">
        <f t="shared" si="92"/>
        <v>1.1331018518831115E-2</v>
      </c>
      <c r="N215" s="7">
        <f t="shared" si="81"/>
        <v>16.316666667116806</v>
      </c>
      <c r="O215" s="7"/>
      <c r="P215" s="7"/>
      <c r="Q215" s="22"/>
      <c r="R215" s="173"/>
      <c r="S215" s="176">
        <f t="shared" si="82"/>
        <v>1</v>
      </c>
      <c r="T215" s="202" t="str">
        <f t="shared" si="93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94"/>
        <v>https://d0f6bd738d7f1b3e5a7ca70fe4ff75f0.us-east-1.aws.found.io/app/kibana#/discover/Steve-Slow-Train-Analysis-(2080s-and-2083s)?_g=(refreshInterval:(display:Off,pause:!f,section:0,value:0),time:(from:'2017-05-26T03:46:08-0600',mode:absolute,to:'2017-05-26T06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204" t="str">
        <f t="shared" si="95"/>
        <v>Y</v>
      </c>
      <c r="X215" s="204">
        <f t="shared" si="101"/>
        <v>2</v>
      </c>
      <c r="Y215" s="204">
        <f t="shared" si="88"/>
        <v>2.3462999999999998</v>
      </c>
      <c r="Z215" s="204">
        <f t="shared" si="89"/>
        <v>0.1167</v>
      </c>
      <c r="AA215" s="204">
        <f t="shared" si="96"/>
        <v>2.2296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7"/>
        <v>0310-26</v>
      </c>
      <c r="AE215" s="80" t="str">
        <f t="shared" si="98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15" s="77" t="str">
        <f t="shared" si="99"/>
        <v>"C:\Program Files (x86)\AstroGrep\AstroGrep.exe" /e /r /s /spath="%USERPROFILE%\AppData\Local\Temp\OnboardLogs" /stypes="app*4009*20170526*" /stext=" 11:.+((SYSTEM_STATE.+slice.+state.+changed )|(ment ac)|(multiple cpu faults)|(system.+state.+changed )|(\[timeout)|(PRM\|1\|D)|(kpr)|(kdp)|(train st.+moving)|(\|lc)|(penalty))"</v>
      </c>
      <c r="AG215" s="1" t="str">
        <f t="shared" si="100"/>
        <v>Other</v>
      </c>
      <c r="AH215" s="81" t="str">
        <f t="shared" si="102"/>
        <v>"%USERPROFILE%\Documents\GitHub\eaglep3\Utilities\RefineRTDCRunTimes.py" --tripid 310-26 --locoid 4009 --swversion DE.1.0.9.0 --startMP 300:23463 --initTime 2017-05-26T04:46:08 --startdatetime 2017-05-26T04:49:54 --delay 3 --endMP 204:1167 --enddatetime 2017-05-26T05:06:13 --enforcementcount 0 &gt;&gt;C:\Users\stu\Documents\GitHub\eaglep3-reporting\EC\2017-05-26-refined-times.txt</v>
      </c>
      <c r="AI215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{"issue":{"subject":"","project_id":79,"tracker_id":40,"status_id":1,"priority_id":2,"assigned_to_id":23,"start_date":"2017-05-26","description":"","custom_fields":[{"id":1,"name":"Subdivision","value":"Other"},{"id":4,"name":"Milepost","value":"0.1167"},{"id":17,"name":"Train ID","value":"310-26"},{"id":16,"name":"Locomotive ID","value":"4009"},{"id":130,"name":"Impact","value":""},{"id":150,"name":"Time of Event (Mountain Time)","value":"05:06:13"},{"id":151,"name":"Denver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4"/>
        <v>start /low /b %USERPROFILE%\Documents\GitHub\eaglep3\Utilities\DownloadLogsFromS3.py --loco 4009 --day 2017-05-26</v>
      </c>
      <c r="AN215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547</v>
      </c>
      <c r="B216" s="7">
        <v>4012</v>
      </c>
      <c r="C216" s="21" t="s">
        <v>204</v>
      </c>
      <c r="D216" s="21" t="s">
        <v>201</v>
      </c>
      <c r="E216" s="13">
        <v>42881.080752314818</v>
      </c>
      <c r="F216" s="13">
        <v>42881.082673611112</v>
      </c>
      <c r="G216" s="7">
        <v>1</v>
      </c>
      <c r="H216" s="21" t="s">
        <v>578</v>
      </c>
      <c r="I216" s="13">
        <v>42881.088518518518</v>
      </c>
      <c r="J216" s="7">
        <v>0</v>
      </c>
      <c r="K216" s="92" t="str">
        <f t="shared" si="91"/>
        <v>4011/4012</v>
      </c>
      <c r="L216" s="21" t="str">
        <f>VLOOKUP(A216,'Trips&amp;Operators'!$C$1:$G$99999,5,FALSE)</f>
        <v>ARVIDSON DANIEL</v>
      </c>
      <c r="M216" s="6">
        <f t="shared" si="92"/>
        <v>5.8449074058444239E-3</v>
      </c>
      <c r="N216" s="7">
        <f t="shared" si="81"/>
        <v>8.4166666644159704</v>
      </c>
      <c r="O216" s="7"/>
      <c r="P216" s="7"/>
      <c r="Q216" s="22"/>
      <c r="R216" s="173"/>
      <c r="S216" s="176">
        <f t="shared" si="82"/>
        <v>1</v>
      </c>
      <c r="T216" s="202" t="str">
        <f t="shared" si="93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94"/>
        <v>https://d0f6bd738d7f1b3e5a7ca70fe4ff75f0.us-east-1.aws.found.io/app/kibana#/discover/Steve-Slow-Train-Analysis-(2080s-and-2083s)?_g=(refreshInterval:(display:Off,pause:!f,section:0,value:0),time:(from:'2017-05-26T00:56:17-0600',mode:absolute,to:'2017-05-26T03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04" t="str">
        <f t="shared" si="95"/>
        <v>Y</v>
      </c>
      <c r="X216" s="204">
        <f t="shared" si="101"/>
        <v>1</v>
      </c>
      <c r="Y216" s="204">
        <f t="shared" si="88"/>
        <v>4.5999999999999999E-2</v>
      </c>
      <c r="Z216" s="204">
        <f t="shared" si="89"/>
        <v>2.3128000000000002</v>
      </c>
      <c r="AA216" s="204">
        <f t="shared" si="96"/>
        <v>2.2668000000000004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7"/>
        <v>0311-25</v>
      </c>
      <c r="AE216" s="80" t="str">
        <f t="shared" si="98"/>
        <v>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 &amp; aws s3 cp s3://rtdc.mdm.uploadarchive.raw/RTDC4012/ "%USERPROFILE%\AppData\Local\Temp\OnboardLogs"\RTDC4012\2017-05-27 --exclude "*" --recursive --include "*20170527*" &amp; "%USERPROFILE%\Documents\GitHub\mrs-test-scripts\Headless Mode &amp; Sideloading\WalkAndUnGZ.bat" "%USERPROFILE%\AppData\Local\Temp\OnboardLogs"\RTDC4012\2017-05-27</v>
      </c>
      <c r="AF216" s="77" t="str">
        <f t="shared" si="99"/>
        <v>"C:\Program Files (x86)\AstroGrep\AstroGrep.exe" /e /r /s /spath="%USERPROFILE%\AppData\Local\Temp\OnboardLogs" /stypes="app*4012*20170526*" /stext=" 08:.+((SYSTEM_STATE.+slice.+state.+changed )|(ment ac)|(multiple cpu faults)|(system.+state.+changed )|(\[timeout)|(PRM\|1\|D)|(kpr)|(kdp)|(train st.+moving)|(\|lc)|(penalty))"</v>
      </c>
      <c r="AG216" s="1" t="str">
        <f t="shared" si="100"/>
        <v>Other</v>
      </c>
      <c r="AH216" s="81" t="str">
        <f t="shared" si="102"/>
        <v>"%USERPROFILE%\Documents\GitHub\eaglep3\Utilities\RefineRTDCRunTimes.py" --tripid 311-25 --locoid 4012 --swversion DE.1.0.9.0 --startMP 204:460 --initTime 2017-05-26T01:56:17 --startdatetime 2017-05-26T01:59:03 --delay 1 --endMP 300:23128 --enddatetime 2017-05-26T02:07:28 --enforcementcount 0 &gt;&gt;C:\Users\stu\Documents\GitHub\eaglep3-reporting\EC\2017-05-26-refined-times.txt</v>
      </c>
      <c r="AI216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{"issue":{"subject":"","project_id":79,"tracker_id":40,"status_id":1,"priority_id":2,"assigned_to_id":23,"start_date":"2017-05-26","description":"","custom_fields":[{"id":1,"name":"Subdivision","value":"Other"},{"id":4,"name":"Milepost","value":"2.3128"},{"id":17,"name":"Train ID","value":"311-25"},{"id":16,"name":"Locomotive ID","value":"4012"},{"id":130,"name":"Impact","value":""},{"id":150,"name":"Time of Event (Mountain Time)","value":"02:07:28"},{"id":151,"name":"Denver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4"/>
        <v>start /low /b %USERPROFILE%\Documents\GitHub\eaglep3\Utilities\DownloadLogsFromS3.py --loco 4012 --day 2017-05-26</v>
      </c>
      <c r="AN216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08:07:28"},{"id":29,"name":"Sharepoint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648</v>
      </c>
      <c r="B217" s="7">
        <v>4005</v>
      </c>
      <c r="C217" s="21" t="s">
        <v>204</v>
      </c>
      <c r="D217" s="21" t="s">
        <v>920</v>
      </c>
      <c r="E217" s="13">
        <v>42881.225393518522</v>
      </c>
      <c r="F217" s="13">
        <v>42881.229537037034</v>
      </c>
      <c r="G217" s="7">
        <v>5</v>
      </c>
      <c r="H217" s="21" t="s">
        <v>196</v>
      </c>
      <c r="I217" s="13">
        <v>42881.234756944446</v>
      </c>
      <c r="J217" s="7">
        <v>0</v>
      </c>
      <c r="K217" s="92" t="str">
        <f t="shared" si="91"/>
        <v>4005/4006</v>
      </c>
      <c r="L217" s="21" t="str">
        <f>VLOOKUP(A217,'Trips&amp;Operators'!$C$1:$G$99999,5,FALSE)</f>
        <v>LOZA FIDEL</v>
      </c>
      <c r="M217" s="6">
        <f t="shared" si="92"/>
        <v>5.2199074125383049E-3</v>
      </c>
      <c r="N217" s="7">
        <f t="shared" si="81"/>
        <v>7.5166666740551591</v>
      </c>
      <c r="O217" s="7"/>
      <c r="P217" s="7"/>
      <c r="Q217" s="22"/>
      <c r="R217" s="173"/>
      <c r="S217" s="176">
        <f t="shared" si="82"/>
        <v>1</v>
      </c>
      <c r="T217" s="202" t="str">
        <f t="shared" si="93"/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94"/>
        <v>https://d0f6bd738d7f1b3e5a7ca70fe4ff75f0.us-east-1.aws.found.io/app/kibana#/discover/Steve-Slow-Train-Analysis-(2080s-and-2083s)?_g=(refreshInterval:(display:Off,pause:!f,section:0,value:0),time:(from:'2017-05-26T04:24:34-0600',mode:absolute,to:'2017-05-26T06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204" t="str">
        <f t="shared" si="95"/>
        <v>Y</v>
      </c>
      <c r="X217" s="204">
        <f t="shared" si="101"/>
        <v>1</v>
      </c>
      <c r="Y217" s="204">
        <f t="shared" si="88"/>
        <v>2.3403999999999998</v>
      </c>
      <c r="Z217" s="204">
        <f t="shared" si="89"/>
        <v>1.5800000000000002E-2</v>
      </c>
      <c r="AA217" s="204">
        <f t="shared" si="96"/>
        <v>2.3245999999999998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7"/>
        <v>0312-26</v>
      </c>
      <c r="AE217" s="80" t="str">
        <f t="shared" si="98"/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AF217" s="77" t="str">
        <f t="shared" si="99"/>
        <v>"C:\Program Files (x86)\AstroGrep\AstroGrep.exe" /e /r /s /spath="%USERPROFILE%\AppData\Local\Temp\OnboardLogs" /stypes="app*4005*20170526*" /stext=" 11:.+((SYSTEM_STATE.+slice.+state.+changed )|(ment ac)|(multiple cpu faults)|(system.+state.+changed )|(\[timeout)|(PRM\|1\|D)|(kpr)|(kdp)|(train st.+moving)|(\|lc)|(penalty))"</v>
      </c>
      <c r="AG217" s="1" t="str">
        <f t="shared" si="100"/>
        <v>Other</v>
      </c>
      <c r="AH217" s="81" t="str">
        <f t="shared" si="102"/>
        <v>"%USERPROFILE%\Documents\GitHub\eaglep3\Utilities\RefineRTDCRunTimes.py" --tripid 312-26 --locoid 4005 --swversion DE.1.0.9.0 --startMP 300:23404 --initTime 2017-05-26T05:24:34 --startdatetime 2017-05-26T05:30:32 --delay 5 --endMP 204:158 --enddatetime 2017-05-26T05:38:03 --enforcementcount 0 &gt;&gt;C:\Users\stu\Documents\GitHub\eaglep3-reporting\EC\2017-05-26-refined-times.txt</v>
      </c>
      <c r="AI217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{"issue":{"subject":"","project_id":79,"tracker_id":40,"status_id":1,"priority_id":2,"assigned_to_id":23,"start_date":"2017-05-26","description":"","custom_fields":[{"id":1,"name":"Subdivision","value":"Other"},{"id":4,"name":"Milepost","value":"0.0158"},{"id":17,"name":"Train ID","value":"312-26"},{"id":16,"name":"Locomotive ID","value":"4005"},{"id":130,"name":"Impact","value":""},{"id":150,"name":"Time of Event (Mountain Time)","value":"05:38:03"},{"id":151,"name":"Denver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4"/>
        <v>start /low /b %USERPROFILE%\Documents\GitHub\eaglep3\Utilities\DownloadLogsFromS3.py --loco 4005 --day 2017-05-26</v>
      </c>
      <c r="AN217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11:38:03"},{"id":29,"name":"Sharepoint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548</v>
      </c>
      <c r="B218" s="7">
        <v>4028</v>
      </c>
      <c r="C218" s="21" t="s">
        <v>204</v>
      </c>
      <c r="D218" s="21" t="s">
        <v>360</v>
      </c>
      <c r="E218" s="13">
        <v>42881.105613425927</v>
      </c>
      <c r="F218" s="13">
        <v>42881.106898148151</v>
      </c>
      <c r="G218" s="7">
        <v>1</v>
      </c>
      <c r="H218" s="21" t="s">
        <v>579</v>
      </c>
      <c r="I218" s="13">
        <v>42881.115046296298</v>
      </c>
      <c r="J218" s="7">
        <v>0</v>
      </c>
      <c r="K218" s="92" t="str">
        <f t="shared" si="91"/>
        <v>4027/4028</v>
      </c>
      <c r="L218" s="21" t="str">
        <f>VLOOKUP(A218,'Trips&amp;Operators'!$C$1:$G$99999,5,FALSE)</f>
        <v>FORTUNATO FRANK</v>
      </c>
      <c r="M218" s="6">
        <f t="shared" si="92"/>
        <v>8.1481481465743855E-3</v>
      </c>
      <c r="N218" s="7">
        <f t="shared" si="81"/>
        <v>11.733333331067115</v>
      </c>
      <c r="O218" s="7"/>
      <c r="P218" s="7"/>
      <c r="Q218" s="22"/>
      <c r="R218" s="173"/>
      <c r="S218" s="176">
        <f t="shared" si="82"/>
        <v>1</v>
      </c>
      <c r="T218" s="202" t="str">
        <f t="shared" si="93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94"/>
        <v>https://d0f6bd738d7f1b3e5a7ca70fe4ff75f0.us-east-1.aws.found.io/app/kibana#/discover/Steve-Slow-Train-Analysis-(2080s-and-2083s)?_g=(refreshInterval:(display:Off,pause:!f,section:0,value:0),time:(from:'2017-05-26T01:32:05-0600',mode:absolute,to:'2017-05-26T03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204" t="str">
        <f t="shared" si="95"/>
        <v>Y</v>
      </c>
      <c r="X218" s="204">
        <f t="shared" si="101"/>
        <v>1</v>
      </c>
      <c r="Y218" s="204">
        <f t="shared" si="88"/>
        <v>4.4699999999999997E-2</v>
      </c>
      <c r="Z218" s="204">
        <f t="shared" si="89"/>
        <v>2.3302</v>
      </c>
      <c r="AA218" s="204">
        <f t="shared" si="96"/>
        <v>2.2854999999999999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7"/>
        <v>0313-25</v>
      </c>
      <c r="AE218" s="80" t="str">
        <f t="shared" si="98"/>
        <v>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 &amp; 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</v>
      </c>
      <c r="AF218" s="77" t="str">
        <f t="shared" si="99"/>
        <v>"C:\Program Files (x86)\AstroGrep\AstroGrep.exe" /e /r /s /spath="%USERPROFILE%\AppData\Local\Temp\OnboardLogs" /stypes="app*4028*20170526*" /stext=" 08:.+((SYSTEM_STATE.+slice.+state.+changed )|(ment ac)|(multiple cpu faults)|(system.+state.+changed )|(\[timeout)|(PRM\|1\|D)|(kpr)|(kdp)|(train st.+moving)|(\|lc)|(penalty))"</v>
      </c>
      <c r="AG218" s="1" t="str">
        <f t="shared" si="100"/>
        <v>Other</v>
      </c>
      <c r="AH218" s="81" t="str">
        <f t="shared" si="102"/>
        <v>"%USERPROFILE%\Documents\GitHub\eaglep3\Utilities\RefineRTDCRunTimes.py" --tripid 313-25 --locoid 4028 --swversion DE.1.0.9.0 --startMP 204:447 --initTime 2017-05-26T02:32:05 --startdatetime 2017-05-26T02:33:56 --delay 1 --endMP 300:23302 --enddatetime 2017-05-26T02:45:40 --enforcementcount 0 &gt;&gt;C:\Users\stu\Documents\GitHub\eaglep3-reporting\EC\2017-05-26-refined-times.txt</v>
      </c>
      <c r="AI218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{"issue":{"subject":"","project_id":79,"tracker_id":40,"status_id":1,"priority_id":2,"assigned_to_id":23,"start_date":"2017-05-26","description":"","custom_fields":[{"id":1,"name":"Subdivision","value":"Other"},{"id":4,"name":"Milepost","value":"2.3302"},{"id":17,"name":"Train ID","value":"313-25"},{"id":16,"name":"Locomotive ID","value":"4028"},{"id":130,"name":"Impact","value":""},{"id":150,"name":"Time of Event (Mountain Time)","value":"02:45:40"},{"id":151,"name":"Denver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4"/>
        <v>start /low /b %USERPROFILE%\Documents\GitHub\eaglep3\Utilities\DownloadLogsFromS3.py --loco 4028 --day 2017-05-26</v>
      </c>
      <c r="AN218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08:45:40"},{"id":29,"name":"Sharepoint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597</v>
      </c>
      <c r="B219" s="7">
        <v>4020</v>
      </c>
      <c r="C219" s="21" t="s">
        <v>204</v>
      </c>
      <c r="D219" s="21" t="s">
        <v>989</v>
      </c>
      <c r="E219" s="13">
        <v>42881.197384259256</v>
      </c>
      <c r="F219" s="13">
        <v>42881.205104166664</v>
      </c>
      <c r="G219" s="7">
        <v>11</v>
      </c>
      <c r="H219" s="21" t="s">
        <v>990</v>
      </c>
      <c r="I219" s="13">
        <v>42881.205254629633</v>
      </c>
      <c r="J219" s="7">
        <v>0</v>
      </c>
      <c r="K219" s="92" t="str">
        <f t="shared" si="91"/>
        <v>4019/4020</v>
      </c>
      <c r="L219" s="21" t="str">
        <f>VLOOKUP(A219,'Trips&amp;Operators'!$C$1:$G$99999,5,FALSE)</f>
        <v>GUZMAN DANNY</v>
      </c>
      <c r="M219" s="6">
        <f t="shared" si="92"/>
        <v>1.5046296903165057E-4</v>
      </c>
      <c r="N219" s="7">
        <f t="shared" si="81"/>
        <v>0.21666667540557683</v>
      </c>
      <c r="O219" s="7"/>
      <c r="P219" s="7"/>
      <c r="Q219" s="22"/>
      <c r="R219" s="173"/>
      <c r="S219" s="176">
        <f t="shared" si="82"/>
        <v>0</v>
      </c>
      <c r="T219" s="202" t="str">
        <f t="shared" si="93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94"/>
        <v>https://d0f6bd738d7f1b3e5a7ca70fe4ff75f0.us-east-1.aws.found.io/app/kibana#/discover/Steve-Slow-Train-Analysis-(2080s-and-2083s)?_g=(refreshInterval:(display:Off,pause:!f,section:0,value:0),time:(from:'2017-05-26T03:44:14-0600',mode:absolute,to:'2017-05-26T05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204" t="str">
        <f t="shared" si="95"/>
        <v>Y</v>
      </c>
      <c r="X219" s="204">
        <f t="shared" si="101"/>
        <v>588</v>
      </c>
      <c r="Y219" s="204">
        <f t="shared" si="88"/>
        <v>2.9234</v>
      </c>
      <c r="Z219" s="204">
        <f t="shared" si="89"/>
        <v>2.9664999999999999</v>
      </c>
      <c r="AA219" s="204">
        <f t="shared" si="96"/>
        <v>4.3099999999999916E-2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7"/>
        <v>0901-26</v>
      </c>
      <c r="AE219" s="80" t="str">
        <f t="shared" si="98"/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AF219" s="77" t="str">
        <f t="shared" si="99"/>
        <v>"C:\Program Files (x86)\AstroGrep\AstroGrep.exe" /e /r /s /spath="%USERPROFILE%\AppData\Local\Temp\OnboardLogs" /stypes="app*4020*20170526*" /stext=" 10:.+((SYSTEM_STATE.+slice.+state.+changed )|(ment ac)|(multiple cpu faults)|(system.+state.+changed )|(\[timeout)|(PRM\|1\|D)|(kpr)|(kdp)|(train st.+moving)|(\|lc)|(penalty))"</v>
      </c>
      <c r="AG219" s="1" t="str">
        <f t="shared" si="100"/>
        <v>Other</v>
      </c>
      <c r="AH219" s="81" t="str">
        <f t="shared" si="102"/>
        <v>"%USERPROFILE%\Documents\GitHub\eaglep3\Utilities\RefineRTDCRunTimes.py" --tripid 901-26 --locoid 4020 --swversion DE.1.0.9.0 --startMP 300:29234 --initTime 2017-05-26T04:44:14 --startdatetime 2017-05-26T04:55:21 --delay 11 --endMP 300:29665 --enddatetime 2017-05-26T04:55:34 --enforcementcount 0 &gt;&gt;C:\Users\stu\Documents\GitHub\eaglep3-reporting\EC\2017-05-26-refined-times.txt</v>
      </c>
      <c r="AI219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{"issue":{"subject":"","project_id":79,"tracker_id":40,"status_id":1,"priority_id":2,"assigned_to_id":23,"start_date":"2017-05-26","description":"","custom_fields":[{"id":1,"name":"Subdivision","value":"Other"},{"id":4,"name":"Milepost","value":"2.9665"},{"id":17,"name":"Train ID","value":"901-26"},{"id":16,"name":"Locomotive ID","value":"4020"},{"id":130,"name":"Impact","value":""},{"id":150,"name":"Time of Event (Mountain Time)","value":"04:55:34"},{"id":151,"name":"Denver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4"/>
        <v>start /low /b %USERPROFILE%\Documents\GitHub\eaglep3\Utilities\DownloadLogsFromS3.py --loco 4020 --day 2017-05-26</v>
      </c>
      <c r="AN219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654</v>
      </c>
      <c r="B220" s="7">
        <v>4023</v>
      </c>
      <c r="C220" s="21" t="s">
        <v>204</v>
      </c>
      <c r="D220" s="21" t="s">
        <v>991</v>
      </c>
      <c r="E220" s="13">
        <v>42881.242106481484</v>
      </c>
      <c r="F220" s="13">
        <v>42881.24490740741</v>
      </c>
      <c r="G220" s="7">
        <v>3</v>
      </c>
      <c r="H220" s="21" t="s">
        <v>584</v>
      </c>
      <c r="I220" s="13">
        <v>42881.250219907408</v>
      </c>
      <c r="J220" s="7">
        <v>0</v>
      </c>
      <c r="K220" s="92" t="str">
        <f t="shared" si="91"/>
        <v>4023/4024</v>
      </c>
      <c r="L220" s="21" t="str">
        <f>VLOOKUP(A220,'Trips&amp;Operators'!$C$1:$G$99999,5,FALSE)</f>
        <v>ZEWDU DEREJE</v>
      </c>
      <c r="M220" s="6">
        <f t="shared" si="92"/>
        <v>5.3124999976716936E-3</v>
      </c>
      <c r="N220" s="7">
        <f t="shared" si="81"/>
        <v>7.6499999966472387</v>
      </c>
      <c r="O220" s="7"/>
      <c r="P220" s="7"/>
      <c r="Q220" s="22"/>
      <c r="R220" s="173"/>
      <c r="S220" s="176">
        <f t="shared" si="82"/>
        <v>1</v>
      </c>
      <c r="T220" s="202" t="str">
        <f t="shared" si="93"/>
        <v>Southbound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94"/>
        <v>https://d0f6bd738d7f1b3e5a7ca70fe4ff75f0.us-east-1.aws.found.io/app/kibana#/discover/Steve-Slow-Train-Analysis-(2080s-and-2083s)?_g=(refreshInterval:(display:Off,pause:!f,section:0,value:0),time:(from:'2017-05-26T04:48:38-0600',mode:absolute,to:'2017-05-26T07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0" s="204" t="str">
        <f t="shared" si="95"/>
        <v>Y</v>
      </c>
      <c r="X220" s="204">
        <f t="shared" si="101"/>
        <v>1</v>
      </c>
      <c r="Y220" s="204">
        <f t="shared" si="88"/>
        <v>2.3169</v>
      </c>
      <c r="Z220" s="204">
        <f t="shared" si="89"/>
        <v>6.7500000000000004E-2</v>
      </c>
      <c r="AA220" s="204">
        <f t="shared" si="96"/>
        <v>2.2494000000000001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7"/>
        <v>0902-26</v>
      </c>
      <c r="AE220" s="80" t="str">
        <f t="shared" si="98"/>
        <v>aws s3 cp s3://rtdc.mdm.uploadarchive.raw/RTDC4023/ "%USERPROFILE%\AppData\Local\Temp\OnboardLogs"\RTDC4023\2017-05-26 --exclude "*" --recursive --include "*20170526*" &amp; "%USERPROFILE%\Documents\GitHub\mrs-test-scripts\Headless Mode &amp; Sideloading\WalkAndUnGZ.bat" "%USERPROFILE%\AppData\Local\Temp\OnboardLogs"\RTDC4023\2017-05-26 &amp; aws s3 cp s3://rtdc.mdm.uploadarchive.raw/RTDC4023/ "%USERPROFILE%\AppData\Local\Temp\OnboardLogs"\RTDC4023\2017-05-27 --exclude "*" --recursive --include "*20170527*" &amp; "%USERPROFILE%\Documents\GitHub\mrs-test-scripts\Headless Mode &amp; Sideloading\WalkAndUnGZ.bat" "%USERPROFILE%\AppData\Local\Temp\OnboardLogs"\RTDC4023\2017-05-27</v>
      </c>
      <c r="AF220" s="77" t="str">
        <f t="shared" si="99"/>
        <v>"C:\Program Files (x86)\AstroGrep\AstroGrep.exe" /e /r /s /spath="%USERPROFILE%\AppData\Local\Temp\OnboardLogs" /stypes="app*4023*20170526*" /stext=" 12:.+((SYSTEM_STATE.+slice.+state.+changed )|(ment ac)|(multiple cpu faults)|(system.+state.+changed )|(\[timeout)|(PRM\|1\|D)|(kpr)|(kdp)|(train st.+moving)|(\|lc)|(penalty))"</v>
      </c>
      <c r="AG220" s="1" t="str">
        <f t="shared" si="100"/>
        <v>Other</v>
      </c>
      <c r="AH220" s="81" t="str">
        <f t="shared" si="102"/>
        <v>"%USERPROFILE%\Documents\GitHub\eaglep3\Utilities\RefineRTDCRunTimes.py" --tripid 902-26 --locoid 4023 --swversion DE.1.0.9.0 --startMP 300:23169 --initTime 2017-05-26T05:48:38 --startdatetime 2017-05-26T05:52:40 --delay 3 --endMP 204:675 --enddatetime 2017-05-26T06:00:19 --enforcementcount 0 &gt;&gt;C:\Users\stu\Documents\GitHub\eaglep3-reporting\EC\2017-05-26-refined-times.txt</v>
      </c>
      <c r="AI220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{"issue":{"subject":"","project_id":79,"tracker_id":40,"status_id":1,"priority_id":2,"assigned_to_id":23,"start_date":"2017-05-26","description":"","custom_fields":[{"id":1,"name":"Subdivision","value":"Other"},{"id":4,"name":"Milepost","value":"0.0675"},{"id":17,"name":"Train ID","value":"902-26"},{"id":16,"name":"Locomotive ID","value":"4023"},{"id":130,"name":"Impact","value":""},{"id":150,"name":"Time of Event (Mountain Time)","value":"06:00:19"},{"id":151,"name":"Denver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4"/>
        <v>start /low /b %USERPROFILE%\Documents\GitHub\eaglep3\Utilities\DownloadLogsFromS3.py --loco 4023 --day 2017-05-26</v>
      </c>
      <c r="AN220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688</v>
      </c>
      <c r="B221" s="7">
        <v>4024</v>
      </c>
      <c r="C221" s="21" t="s">
        <v>204</v>
      </c>
      <c r="D221" s="21" t="s">
        <v>992</v>
      </c>
      <c r="E221" s="13">
        <v>42881.357256944444</v>
      </c>
      <c r="F221" s="13">
        <v>42881.359444444446</v>
      </c>
      <c r="G221" s="7">
        <v>1</v>
      </c>
      <c r="H221" s="21" t="s">
        <v>423</v>
      </c>
      <c r="I221" s="13">
        <v>42881.374062499999</v>
      </c>
      <c r="J221" s="7">
        <v>0</v>
      </c>
      <c r="K221" s="92" t="str">
        <f t="shared" si="91"/>
        <v>4023/4024</v>
      </c>
      <c r="L221" s="21" t="str">
        <f>VLOOKUP(A221,'Trips&amp;Operators'!$C$1:$G$99999,5,FALSE)</f>
        <v>GUZMAN DANNY</v>
      </c>
      <c r="M221" s="6">
        <f t="shared" si="92"/>
        <v>1.4618055553000886E-2</v>
      </c>
      <c r="N221" s="7">
        <f t="shared" ref="N221:N242" si="106">24*60*SUM($M221:$M221)</f>
        <v>21.049999996321276</v>
      </c>
      <c r="O221" s="7"/>
      <c r="P221" s="7"/>
      <c r="Q221" s="22"/>
      <c r="R221" s="173"/>
      <c r="S221" s="176">
        <f t="shared" ref="S221:S242" si="107">SUM(U221:U221)/IF(AG221="EC",12,1)</f>
        <v>1</v>
      </c>
      <c r="T221" s="202" t="str">
        <f t="shared" si="93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94"/>
        <v>https://d0f6bd738d7f1b3e5a7ca70fe4ff75f0.us-east-1.aws.found.io/app/kibana#/discover/Steve-Slow-Train-Analysis-(2080s-and-2083s)?_g=(refreshInterval:(display:Off,pause:!f,section:0,value:0),time:(from:'2017-05-26T07:34:27-0600',mode:absolute,to:'2017-05-26T09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204" t="str">
        <f t="shared" si="95"/>
        <v>Y</v>
      </c>
      <c r="X221" s="204">
        <f t="shared" si="101"/>
        <v>1</v>
      </c>
      <c r="Y221" s="204">
        <f t="shared" si="88"/>
        <v>0.1157</v>
      </c>
      <c r="Z221" s="204">
        <f t="shared" si="89"/>
        <v>2.3308</v>
      </c>
      <c r="AA221" s="204">
        <f t="shared" si="96"/>
        <v>2.2151000000000001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7"/>
        <v>0903-26</v>
      </c>
      <c r="AE221" s="80" t="str">
        <f t="shared" si="98"/>
        <v>aws s3 cp s3://rtdc.mdm.uploadarchive.raw/RTDC4024/ "%USERPROFILE%\AppData\Local\Temp\OnboardLogs"\RTDC4024\2017-05-26 --exclude "*" --recursive --include "*20170526*" &amp; "%USERPROFILE%\Documents\GitHub\mrs-test-scripts\Headless Mode &amp; Sideloading\WalkAndUnGZ.bat" "%USERPROFILE%\AppData\Local\Temp\OnboardLogs"\RTDC4024\2017-05-26 &amp; aws s3 cp s3://rtdc.mdm.uploadarchive.raw/RTDC4024/ "%USERPROFILE%\AppData\Local\Temp\OnboardLogs"\RTDC4024\2017-05-27 --exclude "*" --recursive --include "*20170527*" &amp; "%USERPROFILE%\Documents\GitHub\mrs-test-scripts\Headless Mode &amp; Sideloading\WalkAndUnGZ.bat" "%USERPROFILE%\AppData\Local\Temp\OnboardLogs"\RTDC4024\2017-05-27</v>
      </c>
      <c r="AF221" s="77" t="str">
        <f t="shared" si="99"/>
        <v>"C:\Program Files (x86)\AstroGrep\AstroGrep.exe" /e /r /s /spath="%USERPROFILE%\AppData\Local\Temp\OnboardLogs" /stypes="app*4024*20170526*" /stext=" 14:.+((SYSTEM_STATE.+slice.+state.+changed )|(ment ac)|(multiple cpu faults)|(system.+state.+changed )|(\[timeout)|(PRM\|1\|D)|(kpr)|(kdp)|(train st.+moving)|(\|lc)|(penalty))"</v>
      </c>
      <c r="AG221" s="1" t="str">
        <f t="shared" si="100"/>
        <v>Other</v>
      </c>
      <c r="AH221" s="81" t="str">
        <f t="shared" si="102"/>
        <v>"%USERPROFILE%\Documents\GitHub\eaglep3\Utilities\RefineRTDCRunTimes.py" --tripid 903-26 --locoid 4024 --swversion DE.1.0.9.0 --startMP 204:1157 --initTime 2017-05-26T08:34:27 --startdatetime 2017-05-26T08:37:36 --delay 1 --endMP 300:23308 --enddatetime 2017-05-26T08:58:39 --enforcementcount 0 &gt;&gt;C:\Users\stu\Documents\GitHub\eaglep3-reporting\EC\2017-05-26-refined-times.txt</v>
      </c>
      <c r="AI221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{"issue":{"subject":"","project_id":79,"tracker_id":40,"status_id":1,"priority_id":2,"assigned_to_id":23,"start_date":"2017-05-26","description":"","custom_fields":[{"id":1,"name":"Subdivision","value":"Other"},{"id":4,"name":"Milepost","value":"2.3308"},{"id":17,"name":"Train ID","value":"903-26"},{"id":16,"name":"Locomotive ID","value":"4024"},{"id":130,"name":"Impact","value":""},{"id":150,"name":"Time of Event (Mountain Time)","value":"08:58:39"},{"id":151,"name":"Denver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4"/>
        <v>start /low /b %USERPROFILE%\Documents\GitHub\eaglep3\Utilities\DownloadLogsFromS3.py --loco 4024 --day 2017-05-26</v>
      </c>
      <c r="AN221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757</v>
      </c>
      <c r="B222" s="7">
        <v>4039</v>
      </c>
      <c r="C222" s="21" t="s">
        <v>204</v>
      </c>
      <c r="D222" s="21" t="s">
        <v>993</v>
      </c>
      <c r="E222" s="13">
        <v>42881.639050925929</v>
      </c>
      <c r="F222" s="13">
        <v>42881.64261574074</v>
      </c>
      <c r="G222" s="7">
        <v>5</v>
      </c>
      <c r="H222" s="21" t="s">
        <v>984</v>
      </c>
      <c r="I222" s="13">
        <v>42881.648206018515</v>
      </c>
      <c r="J222" s="7">
        <v>0</v>
      </c>
      <c r="K222" s="92" t="str">
        <f t="shared" si="91"/>
        <v>4039/4040</v>
      </c>
      <c r="L222" s="21" t="str">
        <f>VLOOKUP(A222,'Trips&amp;Operators'!$C$1:$G$99999,5,FALSE)</f>
        <v>MCREYNOLDS KYLE</v>
      </c>
      <c r="M222" s="6">
        <f t="shared" si="92"/>
        <v>5.5902777748997323E-3</v>
      </c>
      <c r="N222" s="7">
        <f t="shared" si="106"/>
        <v>8.0499999958556145</v>
      </c>
      <c r="O222" s="7"/>
      <c r="P222" s="7"/>
      <c r="Q222" s="22"/>
      <c r="R222" s="173"/>
      <c r="S222" s="176">
        <f t="shared" si="107"/>
        <v>1</v>
      </c>
      <c r="T222" s="202" t="str">
        <f t="shared" si="93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94"/>
        <v>https://d0f6bd738d7f1b3e5a7ca70fe4ff75f0.us-east-1.aws.found.io/app/kibana#/discover/Steve-Slow-Train-Analysis-(2080s-and-2083s)?_g=(refreshInterval:(display:Off,pause:!f,section:0,value:0),time:(from:'2017-05-26T14:20:14-0600',mode:absolute,to:'2017-05-26T16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204" t="str">
        <f t="shared" si="95"/>
        <v>Y</v>
      </c>
      <c r="X222" s="204">
        <f t="shared" si="101"/>
        <v>1</v>
      </c>
      <c r="Y222" s="204">
        <f t="shared" si="88"/>
        <v>2.3681999999999999</v>
      </c>
      <c r="Z222" s="204">
        <f t="shared" si="89"/>
        <v>6.8900000000000003E-2</v>
      </c>
      <c r="AA222" s="204">
        <f t="shared" si="96"/>
        <v>2.2992999999999997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7"/>
        <v>0904-26</v>
      </c>
      <c r="AE222" s="80" t="str">
        <f t="shared" si="98"/>
        <v>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 &amp; 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</v>
      </c>
      <c r="AF222" s="77" t="str">
        <f t="shared" si="99"/>
        <v>"C:\Program Files (x86)\AstroGrep\AstroGrep.exe" /e /r /s /spath="%USERPROFILE%\AppData\Local\Temp\OnboardLogs" /stypes="app*4039*20170526*" /stext=" 21:.+((SYSTEM_STATE.+slice.+state.+changed )|(ment ac)|(multiple cpu faults)|(system.+state.+changed )|(\[timeout)|(PRM\|1\|D)|(kpr)|(kdp)|(train st.+moving)|(\|lc)|(penalty))"</v>
      </c>
      <c r="AG222" s="1" t="str">
        <f t="shared" si="100"/>
        <v>Other</v>
      </c>
      <c r="AH222" s="81" t="str">
        <f t="shared" si="102"/>
        <v>"%USERPROFILE%\Documents\GitHub\eaglep3\Utilities\RefineRTDCRunTimes.py" --tripid 904-26 --locoid 4039 --swversion DE.1.0.9.0 --startMP 300:23682 --initTime 2017-05-26T15:20:14 --startdatetime 2017-05-26T15:25:22 --delay 5 --endMP 204:689 --enddatetime 2017-05-26T15:33:25 --enforcementcount 0 &gt;&gt;C:\Users\stu\Documents\GitHub\eaglep3-reporting\EC\2017-05-26-refined-times.txt</v>
      </c>
      <c r="AI222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{"issue":{"subject":"","project_id":79,"tracker_id":40,"status_id":1,"priority_id":2,"assigned_to_id":23,"start_date":"2017-05-26","description":"","custom_fields":[{"id":1,"name":"Subdivision","value":"Other"},{"id":4,"name":"Milepost","value":"0.0689"},{"id":17,"name":"Train ID","value":"904-26"},{"id":16,"name":"Locomotive ID","value":"4039"},{"id":130,"name":"Impact","value":""},{"id":150,"name":"Time of Event (Mountain Time)","value":"15:33:25"},{"id":151,"name":"Denver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4"/>
        <v>start /low /b %USERPROFILE%\Documents\GitHub\eaglep3\Utilities\DownloadLogsFromS3.py --loco 4039 --day 2017-05-26</v>
      </c>
      <c r="AN222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21:33:25"},{"id":29,"name":"Sharepoint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831</v>
      </c>
      <c r="B223" s="7">
        <v>4009</v>
      </c>
      <c r="C223" s="21" t="s">
        <v>204</v>
      </c>
      <c r="D223" s="21" t="s">
        <v>591</v>
      </c>
      <c r="E223" s="13">
        <v>42881.984606481485</v>
      </c>
      <c r="F223" s="13">
        <v>42881.995057870372</v>
      </c>
      <c r="G223" s="7">
        <v>1</v>
      </c>
      <c r="H223" s="21" t="s">
        <v>994</v>
      </c>
      <c r="I223" s="13">
        <v>42882.000937500001</v>
      </c>
      <c r="J223" s="7">
        <v>0</v>
      </c>
      <c r="K223" s="92" t="str">
        <f t="shared" si="91"/>
        <v>4009/4010</v>
      </c>
      <c r="L223" s="21" t="str">
        <f>VLOOKUP(A223,'Trips&amp;Operators'!$C$1:$G$99999,5,FALSE)</f>
        <v>MCREYNOLDS KYLE</v>
      </c>
      <c r="M223" s="6">
        <f t="shared" si="92"/>
        <v>5.8796296289074235E-3</v>
      </c>
      <c r="N223" s="7">
        <f t="shared" si="106"/>
        <v>8.4666666656266898</v>
      </c>
      <c r="O223" s="7"/>
      <c r="P223" s="7"/>
      <c r="Q223" s="22"/>
      <c r="R223" s="173"/>
      <c r="S223" s="176">
        <f t="shared" si="107"/>
        <v>0</v>
      </c>
      <c r="T223" s="202" t="str">
        <f t="shared" si="93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94"/>
        <v>https://d0f6bd738d7f1b3e5a7ca70fe4ff75f0.us-east-1.aws.found.io/app/kibana#/discover/Steve-Slow-Train-Analysis-(2080s-and-2083s)?_g=(refreshInterval:(display:Off,pause:!f,section:0,value:0),time:(from:'2017-05-26T22:37:50-0600',mode:absolute,to:'2017-05-27T01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3" s="204" t="str">
        <f t="shared" si="95"/>
        <v>Y</v>
      </c>
      <c r="X223" s="204">
        <f t="shared" si="101"/>
        <v>4</v>
      </c>
      <c r="Y223" s="204">
        <f t="shared" si="88"/>
        <v>5.8628</v>
      </c>
      <c r="Z223" s="204">
        <f t="shared" si="89"/>
        <v>2.1709999999999998</v>
      </c>
      <c r="AA223" s="204">
        <f t="shared" si="96"/>
        <v>3.6918000000000002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7"/>
        <v>0908-26</v>
      </c>
      <c r="AE223" s="80" t="str">
        <f t="shared" si="98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23" s="77" t="str">
        <f t="shared" si="99"/>
        <v>"C:\Program Files (x86)\AstroGrep\AstroGrep.exe" /e /r /s /spath="%USERPROFILE%\AppData\Local\Temp\OnboardLogs" /stypes="app*4009*20170527*" /stext=" 06:.+((SYSTEM_STATE.+slice.+state.+changed )|(ment ac)|(multiple cpu faults)|(system.+state.+changed )|(\[timeout)|(PRM\|1\|D)|(kpr)|(kdp)|(train st.+moving)|(\|lc)|(penalty))"</v>
      </c>
      <c r="AG223" s="1" t="str">
        <f t="shared" si="100"/>
        <v>Other</v>
      </c>
      <c r="AH223" s="81" t="str">
        <f t="shared" si="102"/>
        <v>"%USERPROFILE%\Documents\GitHub\eaglep3\Utilities\RefineRTDCRunTimes.py" --tripid 908-26 --locoid 4009 --swversion DE.1.0.9.0 --startMP 300:58628 --initTime 2017-05-26T23:37:50 --startdatetime 2017-05-26T23:52:53 --delay 1 --endMP 300:21710 --enddatetime 2017-05-27T00:01:21 --enforcementcount 0 &gt;&gt;C:\Users\stu\Documents\GitHub\eaglep3-reporting\EC\2017-05-26-refined-times.txt</v>
      </c>
      <c r="AI223" s="99" t="str">
        <f t="shared" si="103"/>
        <v>echo {"issue":{"subject":"","project_id":79,"tracker_id":40,"status_id":1,"priority_id":2,"assigned_to_id":23,"start_date":"2017-05-27","description":"","custom_fields":[{"id":1,"name":"Subdivision","value":"Other"},{"id":4,"name":"Milepost","value":"2.171"},{"id":17,"name":"Train ID","value":"908-26"},{"id":16,"name":"Locomotive ID","value":"4009"},{"id":130,"name":"Impact","value":""},{"id":150,"name":"Time of Event (Mountain Time)","value":"00:01:21"},{"id":151,"name":"Denver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4"/>
        <v>start /low /b %USERPROFILE%\Documents\GitHub\eaglep3\Utilities\DownloadLogsFromS3.py --loco 4009 --day 2017-05-26</v>
      </c>
      <c r="AN223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831</v>
      </c>
      <c r="B224" s="7">
        <v>4010</v>
      </c>
      <c r="C224" s="21" t="s">
        <v>204</v>
      </c>
      <c r="D224" s="21" t="s">
        <v>995</v>
      </c>
      <c r="E224" s="13">
        <v>42881.993738425925</v>
      </c>
      <c r="F224" s="13">
        <v>42881.995057870372</v>
      </c>
      <c r="G224" s="7">
        <v>1</v>
      </c>
      <c r="H224" s="21" t="s">
        <v>356</v>
      </c>
      <c r="I224" s="13">
        <v>42882.000937500001</v>
      </c>
      <c r="J224" s="7">
        <v>0</v>
      </c>
      <c r="K224" s="92" t="str">
        <f t="shared" si="91"/>
        <v>4009/4010</v>
      </c>
      <c r="L224" s="21" t="str">
        <f>VLOOKUP(A224,'Trips&amp;Operators'!$C$1:$G$99999,5,FALSE)</f>
        <v>MCREYNOLDS KYLE</v>
      </c>
      <c r="M224" s="6">
        <f t="shared" si="92"/>
        <v>5.8796296289074235E-3</v>
      </c>
      <c r="N224" s="7">
        <f t="shared" si="106"/>
        <v>8.4666666656266898</v>
      </c>
      <c r="O224" s="7"/>
      <c r="P224" s="7"/>
      <c r="Q224" s="22"/>
      <c r="R224" s="173"/>
      <c r="S224" s="176">
        <f t="shared" si="107"/>
        <v>0</v>
      </c>
      <c r="T224" s="202" t="str">
        <f t="shared" si="93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94"/>
        <v>https://d0f6bd738d7f1b3e5a7ca70fe4ff75f0.us-east-1.aws.found.io/app/kibana#/discover/Steve-Slow-Train-Analysis-(2080s-and-2083s)?_g=(refreshInterval:(display:Off,pause:!f,section:0,value:0),time:(from:'2017-05-26T22:50:59-0600',mode:absolute,to:'2017-05-27T01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204" t="str">
        <f t="shared" si="95"/>
        <v>Y</v>
      </c>
      <c r="X224" s="204">
        <f t="shared" si="101"/>
        <v>0</v>
      </c>
      <c r="Y224" s="204">
        <f t="shared" si="88"/>
        <v>2.202</v>
      </c>
      <c r="Z224" s="204">
        <f t="shared" si="89"/>
        <v>2.3346</v>
      </c>
      <c r="AA224" s="204">
        <f t="shared" si="96"/>
        <v>0.13260000000000005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7"/>
        <v>0908-26</v>
      </c>
      <c r="AE224" s="80" t="str">
        <f t="shared" si="98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24" s="77" t="str">
        <f t="shared" si="99"/>
        <v>"C:\Program Files (x86)\AstroGrep\AstroGrep.exe" /e /r /s /spath="%USERPROFILE%\AppData\Local\Temp\OnboardLogs" /stypes="app*4010*20170527*" /stext=" 06:.+((SYSTEM_STATE.+slice.+state.+changed )|(ment ac)|(multiple cpu faults)|(system.+state.+changed )|(\[timeout)|(PRM\|1\|D)|(kpr)|(kdp)|(train st.+moving)|(\|lc)|(penalty))"</v>
      </c>
      <c r="AG224" s="1" t="str">
        <f t="shared" si="100"/>
        <v>Other</v>
      </c>
      <c r="AH224" s="81" t="str">
        <f t="shared" si="102"/>
        <v>"%USERPROFILE%\Documents\GitHub\eaglep3\Utilities\RefineRTDCRunTimes.py" --tripid 908-26 --locoid 4010 --swversion DE.1.0.9.0 --startMP 300:22020 --initTime 2017-05-26T23:50:59 --startdatetime 2017-05-26T23:52:53 --delay 1 --endMP 300:23346 --enddatetime 2017-05-27T00:01:21 --enforcementcount 0 &gt;&gt;C:\Users\stu\Documents\GitHub\eaglep3-reporting\EC\2017-05-26-refined-times.txt</v>
      </c>
      <c r="AI224" s="99" t="str">
        <f t="shared" si="103"/>
        <v>echo {"issue":{"subject":"","project_id":79,"tracker_id":40,"status_id":1,"priority_id":2,"assigned_to_id":23,"start_date":"2017-05-27","description":"","custom_fields":[{"id":1,"name":"Subdivision","value":"Other"},{"id":4,"name":"Milepost","value":"2.3346"},{"id":17,"name":"Train ID","value":"908-26"},{"id":16,"name":"Locomotive ID","value":"4010"},{"id":130,"name":"Impact","value":""},{"id":150,"name":"Time of Event (Mountain Time)","value":"00:01:21"},{"id":151,"name":"Denver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4"/>
        <v>start /low /b %USERPROFILE%\Documents\GitHub\eaglep3\Utilities\DownloadLogsFromS3.py --loco 4010 --day 2017-05-26</v>
      </c>
      <c r="AN224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629</v>
      </c>
      <c r="B225" s="7">
        <v>4016</v>
      </c>
      <c r="C225" s="21" t="s">
        <v>204</v>
      </c>
      <c r="D225" s="21" t="s">
        <v>469</v>
      </c>
      <c r="E225" s="13">
        <v>42881.127488425926</v>
      </c>
      <c r="F225" s="13">
        <v>42881.137523148151</v>
      </c>
      <c r="G225" s="7">
        <v>2</v>
      </c>
      <c r="H225" s="21" t="s">
        <v>921</v>
      </c>
      <c r="I225" s="13">
        <v>42881.138749999998</v>
      </c>
      <c r="J225" s="7">
        <v>0</v>
      </c>
      <c r="K225" s="92" t="str">
        <f t="shared" si="91"/>
        <v>4015/4016</v>
      </c>
      <c r="L225" s="21" t="str">
        <f>VLOOKUP(A225,'Trips&amp;Operators'!$C$1:$G$99999,5,FALSE)</f>
        <v>SPECTOR MICHAEL</v>
      </c>
      <c r="M225" s="6">
        <f t="shared" si="92"/>
        <v>1.2268518476048484E-3</v>
      </c>
      <c r="N225" s="7">
        <f t="shared" si="106"/>
        <v>1.7666666605509818</v>
      </c>
      <c r="O225" s="7"/>
      <c r="P225" s="7"/>
      <c r="Q225" s="22"/>
      <c r="R225" s="173"/>
      <c r="S225" s="176">
        <f t="shared" si="107"/>
        <v>0</v>
      </c>
      <c r="T225" s="202" t="e">
        <f t="shared" si="93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94"/>
        <v>https://d0f6bd738d7f1b3e5a7ca70fe4ff75f0.us-east-1.aws.found.io/app/kibana#/discover/Steve-Slow-Train-Analysis-(2080s-and-2083s)?_g=(refreshInterval:(display:Off,pause:!f,section:0,value:0),time:(from:'2017-05-26T02:03:35-0600',mode:absolute,to:'2017-05-26T04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204" t="str">
        <f t="shared" si="95"/>
        <v>Y</v>
      </c>
      <c r="X225" s="204" t="e">
        <f t="shared" si="101"/>
        <v>#VALUE!</v>
      </c>
      <c r="Y225" s="204">
        <f t="shared" si="88"/>
        <v>4.3499999999999997E-2</v>
      </c>
      <c r="Z225" s="204">
        <f t="shared" si="89"/>
        <v>0.33460000000000001</v>
      </c>
      <c r="AA225" s="204">
        <f t="shared" si="96"/>
        <v>0.29110000000000003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7"/>
        <v>51-26</v>
      </c>
      <c r="AE225" s="80" t="str">
        <f t="shared" si="98"/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AF225" s="77" t="str">
        <f t="shared" si="99"/>
        <v>"C:\Program Files (x86)\AstroGrep\AstroGrep.exe" /e /r /s /spath="%USERPROFILE%\AppData\Local\Temp\OnboardLogs" /stypes="app*4016*20170526*" /stext=" 09:.+((SYSTEM_STATE.+slice.+state.+changed )|(ment ac)|(multiple cpu faults)|(system.+state.+changed )|(\[timeout)|(PRM\|1\|D)|(kpr)|(kdp)|(train st.+moving)|(\|lc)|(penalty))"</v>
      </c>
      <c r="AG225" s="1" t="str">
        <f t="shared" si="100"/>
        <v>Other</v>
      </c>
      <c r="AH225" s="81" t="str">
        <f t="shared" si="102"/>
        <v>"%USERPROFILE%\Documents\GitHub\eaglep3\Utilities\RefineRTDCRunTimes.py" --tripid 51-26 --locoid 4016 --swversion DE.1.0.9.0 --startMP 204:435 --initTime 2017-05-26T03:03:35 --startdatetime 2017-05-26T03:18:02 --delay 2 --endMP 204:3346 --enddatetime 2017-05-26T03:19:48 --enforcementcount 0 &gt;&gt;C:\Users\stu\Documents\GitHub\eaglep3-reporting\EC\2017-05-26-refined-times.txt</v>
      </c>
      <c r="AI225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{"issue":{"subject":"","project_id":79,"tracker_id":40,"status_id":1,"priority_id":2,"assigned_to_id":23,"start_date":"2017-05-26","description":"","custom_fields":[{"id":1,"name":"Subdivision","value":"Other"},{"id":4,"name":"Milepost","value":"0.3346"},{"id":17,"name":"Train ID","value":"51-26"},{"id":16,"name":"Locomotive ID","value":"4016"},{"id":130,"name":"Impact","value":""},{"id":150,"name":"Time of Event (Mountain Time)","value":"03:19:48"},{"id":151,"name":"Denver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4"/>
        <v>start /low /b %USERPROFILE%\Documents\GitHub\eaglep3\Utilities\DownloadLogsFromS3.py --loco 4016 --day 2017-05-26</v>
      </c>
      <c r="AN225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s="20" customFormat="1" x14ac:dyDescent="0.25">
      <c r="A226" s="32" t="s">
        <v>629</v>
      </c>
      <c r="B226" s="7">
        <v>4023</v>
      </c>
      <c r="C226" s="21" t="s">
        <v>204</v>
      </c>
      <c r="D226" s="21" t="s">
        <v>922</v>
      </c>
      <c r="E226" s="13">
        <v>42881.282650462963</v>
      </c>
      <c r="F226" s="13">
        <v>42881.285520833335</v>
      </c>
      <c r="G226" s="7">
        <v>1</v>
      </c>
      <c r="H226" s="21" t="s">
        <v>923</v>
      </c>
      <c r="I226" s="13">
        <v>42881.288182870368</v>
      </c>
      <c r="J226" s="7">
        <v>0</v>
      </c>
      <c r="K226" s="92" t="str">
        <f t="shared" si="91"/>
        <v>4023/4024</v>
      </c>
      <c r="L226" s="21" t="str">
        <f>VLOOKUP(A226,'Trips&amp;Operators'!$C$1:$G$99999,5,FALSE)</f>
        <v>SPECTOR MICHAEL</v>
      </c>
      <c r="M226" s="6">
        <f t="shared" si="92"/>
        <v>2.6620370335876942E-3</v>
      </c>
      <c r="N226" s="7">
        <f t="shared" si="106"/>
        <v>3.8333333283662796</v>
      </c>
      <c r="O226" s="7"/>
      <c r="P226" s="7"/>
      <c r="Q226" s="22"/>
      <c r="R226" s="173"/>
      <c r="S226" s="176">
        <f t="shared" si="107"/>
        <v>0</v>
      </c>
      <c r="T226" s="202" t="e">
        <f t="shared" si="93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94"/>
        <v>https://d0f6bd738d7f1b3e5a7ca70fe4ff75f0.us-east-1.aws.found.io/app/kibana#/discover/Steve-Slow-Train-Analysis-(2080s-and-2083s)?_g=(refreshInterval:(display:Off,pause:!f,section:0,value:0),time:(from:'2017-05-26T05:47:01-0600',mode:absolute,to:'2017-05-26T07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 t="shared" si="95"/>
        <v>Y</v>
      </c>
      <c r="X226" s="204" t="e">
        <f t="shared" si="101"/>
        <v>#VALUE!</v>
      </c>
      <c r="Y226" s="204">
        <f t="shared" si="88"/>
        <v>0.31730000000000003</v>
      </c>
      <c r="Z226" s="204">
        <f t="shared" si="89"/>
        <v>9.4299999999999995E-2</v>
      </c>
      <c r="AA226" s="204">
        <f t="shared" si="96"/>
        <v>0.22300000000000003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7"/>
        <v>51-26</v>
      </c>
      <c r="AE226" s="80" t="str">
        <f t="shared" si="98"/>
        <v>aws s3 cp s3://rtdc.mdm.uploadarchive.raw/RTDC4023/ "%USERPROFILE%\AppData\Local\Temp\OnboardLogs"\RTDC4023\2017-05-26 --exclude "*" --recursive --include "*20170526*" &amp; "%USERPROFILE%\Documents\GitHub\mrs-test-scripts\Headless Mode &amp; Sideloading\WalkAndUnGZ.bat" "%USERPROFILE%\AppData\Local\Temp\OnboardLogs"\RTDC4023\2017-05-26 &amp; aws s3 cp s3://rtdc.mdm.uploadarchive.raw/RTDC4023/ "%USERPROFILE%\AppData\Local\Temp\OnboardLogs"\RTDC4023\2017-05-27 --exclude "*" --recursive --include "*20170527*" &amp; "%USERPROFILE%\Documents\GitHub\mrs-test-scripts\Headless Mode &amp; Sideloading\WalkAndUnGZ.bat" "%USERPROFILE%\AppData\Local\Temp\OnboardLogs"\RTDC4023\2017-05-27</v>
      </c>
      <c r="AF226" s="77" t="str">
        <f t="shared" si="99"/>
        <v>"C:\Program Files (x86)\AstroGrep\AstroGrep.exe" /e /r /s /spath="%USERPROFILE%\AppData\Local\Temp\OnboardLogs" /stypes="app*4023*20170526*" /stext=" 12:.+((SYSTEM_STATE.+slice.+state.+changed )|(ment ac)|(multiple cpu faults)|(system.+state.+changed )|(\[timeout)|(PRM\|1\|D)|(kpr)|(kdp)|(train st.+moving)|(\|lc)|(penalty))"</v>
      </c>
      <c r="AG226" s="1" t="str">
        <f t="shared" si="100"/>
        <v>Other</v>
      </c>
      <c r="AH226" s="81" t="str">
        <f t="shared" si="102"/>
        <v>"%USERPROFILE%\Documents\GitHub\eaglep3\Utilities\RefineRTDCRunTimes.py" --tripid 51-26 --locoid 4023 --swversion DE.1.0.9.0 --startMP 204:3173 --initTime 2017-05-26T06:47:01 --startdatetime 2017-05-26T06:51:09 --delay 1 --endMP 204:943 --enddatetime 2017-05-26T06:54:59 --enforcementcount 0 &gt;&gt;C:\Users\stu\Documents\GitHub\eaglep3-reporting\EC\2017-05-26-refined-times.txt</v>
      </c>
      <c r="AI226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{"issue":{"subject":"","project_id":79,"tracker_id":40,"status_id":1,"priority_id":2,"assigned_to_id":23,"start_date":"2017-05-26","description":"","custom_fields":[{"id":1,"name":"Subdivision","value":"Other"},{"id":4,"name":"Milepost","value":"0.0943"},{"id":17,"name":"Train ID","value":"51-26"},{"id":16,"name":"Locomotive ID","value":"4023"},{"id":130,"name":"Impact","value":""},{"id":150,"name":"Time of Event (Mountain Time)","value":"06:54:59"},{"id":151,"name":"Denver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5" t="str">
        <f t="shared" si="104"/>
        <v>start /low /b %USERPROFILE%\Documents\GitHub\eaglep3\Utilities\DownloadLogsFromS3.py --loco 4023 --day 2017-05-26</v>
      </c>
      <c r="AN226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631</v>
      </c>
      <c r="B227" s="7">
        <v>4015</v>
      </c>
      <c r="C227" s="21" t="s">
        <v>204</v>
      </c>
      <c r="D227" s="21" t="s">
        <v>924</v>
      </c>
      <c r="E227" s="13">
        <v>42881.139930555553</v>
      </c>
      <c r="F227" s="13">
        <v>42881.142175925925</v>
      </c>
      <c r="G227" s="7">
        <v>1</v>
      </c>
      <c r="H227" s="21" t="s">
        <v>506</v>
      </c>
      <c r="I227" s="13">
        <v>42881.143275462964</v>
      </c>
      <c r="J227" s="7">
        <v>0</v>
      </c>
      <c r="K227" s="92" t="str">
        <f t="shared" si="91"/>
        <v>4015/4016</v>
      </c>
      <c r="L227" s="21" t="str">
        <f>VLOOKUP(A227,'Trips&amp;Operators'!$C$1:$G$99999,5,FALSE)</f>
        <v>SPECTOR MICHAEL</v>
      </c>
      <c r="M227" s="6">
        <f t="shared" si="92"/>
        <v>1.0995370394084603E-3</v>
      </c>
      <c r="N227" s="7">
        <f t="shared" si="106"/>
        <v>1.5833333367481828</v>
      </c>
      <c r="O227" s="7"/>
      <c r="P227" s="7"/>
      <c r="Q227" s="22"/>
      <c r="R227" s="173"/>
      <c r="S227" s="176">
        <f t="shared" si="107"/>
        <v>0</v>
      </c>
      <c r="T227" s="202" t="e">
        <f t="shared" si="93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94"/>
        <v>https://d0f6bd738d7f1b3e5a7ca70fe4ff75f0.us-east-1.aws.found.io/app/kibana#/discover/Steve-Slow-Train-Analysis-(2080s-and-2083s)?_g=(refreshInterval:(display:Off,pause:!f,section:0,value:0),time:(from:'2017-05-26T02:21:30-0600',mode:absolute,to:'2017-05-26T04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204" t="str">
        <f t="shared" si="95"/>
        <v>Y</v>
      </c>
      <c r="X227" s="204" t="e">
        <f t="shared" si="101"/>
        <v>#VALUE!</v>
      </c>
      <c r="Y227" s="204">
        <f t="shared" si="88"/>
        <v>0.3009</v>
      </c>
      <c r="Z227" s="204">
        <f t="shared" si="89"/>
        <v>0.11650000000000001</v>
      </c>
      <c r="AA227" s="204">
        <f t="shared" si="96"/>
        <v>0.18440000000000001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7"/>
        <v>52-26</v>
      </c>
      <c r="AE227" s="80" t="str">
        <f t="shared" si="98"/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AF227" s="77" t="str">
        <f t="shared" si="99"/>
        <v>"C:\Program Files (x86)\AstroGrep\AstroGrep.exe" /e /r /s /spath="%USERPROFILE%\AppData\Local\Temp\OnboardLogs" /stypes="app*4015*20170526*" /stext=" 09:.+((SYSTEM_STATE.+slice.+state.+changed )|(ment ac)|(multiple cpu faults)|(system.+state.+changed )|(\[timeout)|(PRM\|1\|D)|(kpr)|(kdp)|(train st.+moving)|(\|lc)|(penalty))"</v>
      </c>
      <c r="AG227" s="1" t="str">
        <f t="shared" si="100"/>
        <v>Other</v>
      </c>
      <c r="AH227" s="81" t="str">
        <f t="shared" si="102"/>
        <v>"%USERPROFILE%\Documents\GitHub\eaglep3\Utilities\RefineRTDCRunTimes.py" --tripid 52-26 --locoid 4015 --swversion DE.1.0.9.0 --startMP 204:3009 --initTime 2017-05-26T03:21:30 --startdatetime 2017-05-26T03:24:44 --delay 1 --endMP 204:1165 --enddatetime 2017-05-26T03:26:19 --enforcementcount 0 &gt;&gt;C:\Users\stu\Documents\GitHub\eaglep3-reporting\EC\2017-05-26-refined-times.txt</v>
      </c>
      <c r="AI227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{"issue":{"subject":"","project_id":79,"tracker_id":40,"status_id":1,"priority_id":2,"assigned_to_id":23,"start_date":"2017-05-26","description":"","custom_fields":[{"id":1,"name":"Subdivision","value":"Other"},{"id":4,"name":"Milepost","value":"0.1165"},{"id":17,"name":"Train ID","value":"52-26"},{"id":16,"name":"Locomotive ID","value":"4015"},{"id":130,"name":"Impact","value":""},{"id":150,"name":"Time of Event (Mountain Time)","value":"03:26:19"},{"id":151,"name":"Denver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4"/>
        <v>start /low /b %USERPROFILE%\Documents\GitHub\eaglep3\Utilities\DownloadLogsFromS3.py --loco 4015 --day 2017-05-26</v>
      </c>
      <c r="AN227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09:26:19"},{"id":29,"name":"Sharepoint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668</v>
      </c>
      <c r="B228" s="7">
        <v>4009</v>
      </c>
      <c r="C228" s="21" t="s">
        <v>204</v>
      </c>
      <c r="D228" s="21" t="s">
        <v>925</v>
      </c>
      <c r="E228" s="13">
        <v>42881.300335648149</v>
      </c>
      <c r="F228" s="13">
        <v>42881.302256944444</v>
      </c>
      <c r="G228" s="7">
        <v>1</v>
      </c>
      <c r="H228" s="21" t="s">
        <v>590</v>
      </c>
      <c r="I228" s="13">
        <v>42881.303946759261</v>
      </c>
      <c r="J228" s="7">
        <v>0</v>
      </c>
      <c r="K228" s="92" t="str">
        <f t="shared" si="91"/>
        <v>4009/4010</v>
      </c>
      <c r="L228" s="21" t="str">
        <f>VLOOKUP(A228,'Trips&amp;Operators'!$C$1:$G$99999,5,FALSE)</f>
        <v>LALONDE GREGORY</v>
      </c>
      <c r="M228" s="6">
        <f t="shared" si="92"/>
        <v>1.6898148169275373E-3</v>
      </c>
      <c r="N228" s="7">
        <f t="shared" si="106"/>
        <v>2.4333333363756537</v>
      </c>
      <c r="O228" s="7"/>
      <c r="P228" s="7"/>
      <c r="Q228" s="22"/>
      <c r="R228" s="173"/>
      <c r="S228" s="176">
        <f t="shared" si="107"/>
        <v>0</v>
      </c>
      <c r="T228" s="202" t="e">
        <f t="shared" si="93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94"/>
        <v>https://d0f6bd738d7f1b3e5a7ca70fe4ff75f0.us-east-1.aws.found.io/app/kibana#/discover/Steve-Slow-Train-Analysis-(2080s-and-2083s)?_g=(refreshInterval:(display:Off,pause:!f,section:0,value:0),time:(from:'2017-05-26T06:12:29-0600',mode:absolute,to:'2017-05-26T08:17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204" t="str">
        <f t="shared" si="95"/>
        <v>Y</v>
      </c>
      <c r="X228" s="204" t="e">
        <f t="shared" si="101"/>
        <v>#VALUE!</v>
      </c>
      <c r="Y228" s="204">
        <f t="shared" si="88"/>
        <v>0.4864</v>
      </c>
      <c r="Z228" s="204">
        <f t="shared" si="89"/>
        <v>6.9199999999999998E-2</v>
      </c>
      <c r="AA228" s="204">
        <f t="shared" si="96"/>
        <v>0.41720000000000002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7"/>
        <v>55-26</v>
      </c>
      <c r="AE228" s="80" t="str">
        <f t="shared" si="98"/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AF228" s="77" t="str">
        <f t="shared" si="99"/>
        <v>"C:\Program Files (x86)\AstroGrep\AstroGrep.exe" /e /r /s /spath="%USERPROFILE%\AppData\Local\Temp\OnboardLogs" /stypes="app*4009*20170526*" /stext=" 13:.+((SYSTEM_STATE.+slice.+state.+changed )|(ment ac)|(multiple cpu faults)|(system.+state.+changed )|(\[timeout)|(PRM\|1\|D)|(kpr)|(kdp)|(train st.+moving)|(\|lc)|(penalty))"</v>
      </c>
      <c r="AG228" s="1" t="str">
        <f t="shared" si="100"/>
        <v>Other</v>
      </c>
      <c r="AH228" s="81" t="str">
        <f t="shared" si="102"/>
        <v>"%USERPROFILE%\Documents\GitHub\eaglep3\Utilities\RefineRTDCRunTimes.py" --tripid 55-26 --locoid 4009 --swversion DE.1.0.9.0 --startMP 300:4864 --initTime 2017-05-26T07:12:29 --startdatetime 2017-05-26T07:15:15 --delay 1 --endMP 204:692 --enddatetime 2017-05-26T07:17:41 --enforcementcount 0 &gt;&gt;C:\Users\stu\Documents\GitHub\eaglep3-reporting\EC\2017-05-26-refined-times.txt</v>
      </c>
      <c r="AI228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{"issue":{"subject":"","project_id":79,"tracker_id":40,"status_id":1,"priority_id":2,"assigned_to_id":23,"start_date":"2017-05-26","description":"","custom_fields":[{"id":1,"name":"Subdivision","value":"Other"},{"id":4,"name":"Milepost","value":"0.0692"},{"id":17,"name":"Train ID","value":"55-26"},{"id":16,"name":"Locomotive ID","value":"4009"},{"id":130,"name":"Impact","value":""},{"id":150,"name":"Time of Event (Mountain Time)","value":"07:17:41"},{"id":151,"name":"Denver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4"/>
        <v>start /low /b %USERPROFILE%\Documents\GitHub\eaglep3\Utilities\DownloadLogsFromS3.py --loco 4009 --day 2017-05-26</v>
      </c>
      <c r="AN228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13:17:41"},{"id":29,"name":"Sharepoint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668</v>
      </c>
      <c r="B229" s="7">
        <v>4010</v>
      </c>
      <c r="C229" s="21" t="s">
        <v>204</v>
      </c>
      <c r="D229" s="21" t="s">
        <v>926</v>
      </c>
      <c r="E229" s="13">
        <v>42881.294421296298</v>
      </c>
      <c r="F229" s="13">
        <v>42881.302256944444</v>
      </c>
      <c r="G229" s="7">
        <v>1</v>
      </c>
      <c r="H229" s="21" t="s">
        <v>927</v>
      </c>
      <c r="I229" s="13">
        <v>42881.303946759261</v>
      </c>
      <c r="J229" s="7">
        <v>0</v>
      </c>
      <c r="K229" s="92" t="str">
        <f t="shared" si="91"/>
        <v>4009/4010</v>
      </c>
      <c r="L229" s="21" t="str">
        <f>VLOOKUP(A229,'Trips&amp;Operators'!$C$1:$G$99999,5,FALSE)</f>
        <v>LALONDE GREGORY</v>
      </c>
      <c r="M229" s="6">
        <f t="shared" si="92"/>
        <v>1.6898148169275373E-3</v>
      </c>
      <c r="N229" s="7">
        <f t="shared" si="106"/>
        <v>2.4333333363756537</v>
      </c>
      <c r="O229" s="7"/>
      <c r="P229" s="7"/>
      <c r="Q229" s="22"/>
      <c r="R229" s="173"/>
      <c r="S229" s="176">
        <f t="shared" si="107"/>
        <v>0</v>
      </c>
      <c r="T229" s="202" t="e">
        <f t="shared" si="93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94"/>
        <v>https://d0f6bd738d7f1b3e5a7ca70fe4ff75f0.us-east-1.aws.found.io/app/kibana#/discover/Steve-Slow-Train-Analysis-(2080s-and-2083s)?_g=(refreshInterval:(display:Off,pause:!f,section:0,value:0),time:(from:'2017-05-26T06:03:58-0600',mode:absolute,to:'2017-05-26T08:17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9" s="204" t="str">
        <f t="shared" si="95"/>
        <v>Y</v>
      </c>
      <c r="X229" s="204" t="e">
        <f t="shared" si="101"/>
        <v>#VALUE!</v>
      </c>
      <c r="Y229" s="204">
        <f t="shared" si="88"/>
        <v>0.14860000000000001</v>
      </c>
      <c r="Z229" s="204">
        <f t="shared" si="89"/>
        <v>0.52600000000000002</v>
      </c>
      <c r="AA229" s="204">
        <f t="shared" si="96"/>
        <v>0.37740000000000001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7"/>
        <v>55-26</v>
      </c>
      <c r="AE229" s="80" t="str">
        <f t="shared" si="98"/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AF229" s="77" t="str">
        <f t="shared" si="99"/>
        <v>"C:\Program Files (x86)\AstroGrep\AstroGrep.exe" /e /r /s /spath="%USERPROFILE%\AppData\Local\Temp\OnboardLogs" /stypes="app*4010*20170526*" /stext=" 13:.+((SYSTEM_STATE.+slice.+state.+changed )|(ment ac)|(multiple cpu faults)|(system.+state.+changed )|(\[timeout)|(PRM\|1\|D)|(kpr)|(kdp)|(train st.+moving)|(\|lc)|(penalty))"</v>
      </c>
      <c r="AG229" s="1" t="str">
        <f t="shared" si="100"/>
        <v>Other</v>
      </c>
      <c r="AH229" s="81" t="str">
        <f t="shared" si="102"/>
        <v>"%USERPROFILE%\Documents\GitHub\eaglep3\Utilities\RefineRTDCRunTimes.py" --tripid 55-26 --locoid 4010 --swversion DE.1.0.9.0 --startMP 204:1486 --initTime 2017-05-26T07:03:58 --startdatetime 2017-05-26T07:15:15 --delay 1 --endMP 300:5260 --enddatetime 2017-05-26T07:17:41 --enforcementcount 0 &gt;&gt;C:\Users\stu\Documents\GitHub\eaglep3-reporting\EC\2017-05-26-refined-times.txt</v>
      </c>
      <c r="AI229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{"issue":{"subject":"","project_id":79,"tracker_id":40,"status_id":1,"priority_id":2,"assigned_to_id":23,"start_date":"2017-05-26","description":"","custom_fields":[{"id":1,"name":"Subdivision","value":"Other"},{"id":4,"name":"Milepost","value":"0.526"},{"id":17,"name":"Train ID","value":"55-26"},{"id":16,"name":"Locomotive ID","value":"4010"},{"id":130,"name":"Impact","value":""},{"id":150,"name":"Time of Event (Mountain Time)","value":"07:17:41"},{"id":151,"name":"Denver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4"/>
        <v>start /low /b %USERPROFILE%\Documents\GitHub\eaglep3\Utilities\DownloadLogsFromS3.py --loco 4010 --day 2017-05-26</v>
      </c>
      <c r="AN229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13:17:41"},{"id":29,"name":"Sharepoint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680</v>
      </c>
      <c r="B230" s="7">
        <v>4023</v>
      </c>
      <c r="C230" s="21" t="s">
        <v>204</v>
      </c>
      <c r="D230" s="21" t="s">
        <v>928</v>
      </c>
      <c r="E230" s="13">
        <v>42881.332337962966</v>
      </c>
      <c r="F230" s="13">
        <v>42881.33357638889</v>
      </c>
      <c r="G230" s="7">
        <v>1</v>
      </c>
      <c r="H230" s="21" t="s">
        <v>929</v>
      </c>
      <c r="I230" s="13">
        <v>42881.334687499999</v>
      </c>
      <c r="J230" s="7">
        <v>0</v>
      </c>
      <c r="K230" s="92" t="str">
        <f t="shared" si="91"/>
        <v>4023/4024</v>
      </c>
      <c r="L230" s="21" t="str">
        <f>VLOOKUP(A230,'Trips&amp;Operators'!$C$1:$G$99999,5,FALSE)</f>
        <v>BEAM ROSS</v>
      </c>
      <c r="M230" s="6">
        <f t="shared" si="92"/>
        <v>1.111111108912155E-3</v>
      </c>
      <c r="N230" s="7">
        <f t="shared" si="106"/>
        <v>1.5999999968335032</v>
      </c>
      <c r="O230" s="7"/>
      <c r="P230" s="7"/>
      <c r="Q230" s="22"/>
      <c r="R230" s="173"/>
      <c r="S230" s="176">
        <f t="shared" si="107"/>
        <v>0</v>
      </c>
      <c r="T230" s="202" t="e">
        <f t="shared" si="93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94"/>
        <v>https://d0f6bd738d7f1b3e5a7ca70fe4ff75f0.us-east-1.aws.found.io/app/kibana#/discover/Steve-Slow-Train-Analysis-(2080s-and-2083s)?_g=(refreshInterval:(display:Off,pause:!f,section:0,value:0),time:(from:'2017-05-26T06:58:34-0600',mode:absolute,to:'2017-05-26T09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0" s="204" t="str">
        <f t="shared" si="95"/>
        <v>Y</v>
      </c>
      <c r="X230" s="204" t="e">
        <f t="shared" si="101"/>
        <v>#VALUE!</v>
      </c>
      <c r="Y230" s="204">
        <f t="shared" si="88"/>
        <v>0.50090000000000001</v>
      </c>
      <c r="Z230" s="204">
        <f t="shared" si="89"/>
        <v>0.182</v>
      </c>
      <c r="AA230" s="204">
        <f t="shared" si="96"/>
        <v>0.31890000000000002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7"/>
        <v>57-26</v>
      </c>
      <c r="AE230" s="80" t="str">
        <f t="shared" si="98"/>
        <v>aws s3 cp s3://rtdc.mdm.uploadarchive.raw/RTDC4023/ "%USERPROFILE%\AppData\Local\Temp\OnboardLogs"\RTDC4023\2017-05-26 --exclude "*" --recursive --include "*20170526*" &amp; "%USERPROFILE%\Documents\GitHub\mrs-test-scripts\Headless Mode &amp; Sideloading\WalkAndUnGZ.bat" "%USERPROFILE%\AppData\Local\Temp\OnboardLogs"\RTDC4023\2017-05-26 &amp; aws s3 cp s3://rtdc.mdm.uploadarchive.raw/RTDC4023/ "%USERPROFILE%\AppData\Local\Temp\OnboardLogs"\RTDC4023\2017-05-27 --exclude "*" --recursive --include "*20170527*" &amp; "%USERPROFILE%\Documents\GitHub\mrs-test-scripts\Headless Mode &amp; Sideloading\WalkAndUnGZ.bat" "%USERPROFILE%\AppData\Local\Temp\OnboardLogs"\RTDC4023\2017-05-27</v>
      </c>
      <c r="AF230" s="77" t="str">
        <f t="shared" si="99"/>
        <v>"C:\Program Files (x86)\AstroGrep\AstroGrep.exe" /e /r /s /spath="%USERPROFILE%\AppData\Local\Temp\OnboardLogs" /stypes="app*4023*20170526*" /stext=" 14:.+((SYSTEM_STATE.+slice.+state.+changed )|(ment ac)|(multiple cpu faults)|(system.+state.+changed )|(\[timeout)|(PRM\|1\|D)|(kpr)|(kdp)|(train st.+moving)|(\|lc)|(penalty))"</v>
      </c>
      <c r="AG230" s="1" t="str">
        <f t="shared" si="100"/>
        <v>Other</v>
      </c>
      <c r="AH230" s="81" t="str">
        <f t="shared" si="102"/>
        <v>"%USERPROFILE%\Documents\GitHub\eaglep3\Utilities\RefineRTDCRunTimes.py" --tripid 57-26 --locoid 4023 --swversion DE.1.0.9.0 --startMP 300:5009 --initTime 2017-05-26T07:58:34 --startdatetime 2017-05-26T08:00:21 --delay 1 --endMP 204:1820 --enddatetime 2017-05-26T08:01:57 --enforcementcount 0 &gt;&gt;C:\Users\stu\Documents\GitHub\eaglep3-reporting\EC\2017-05-26-refined-times.txt</v>
      </c>
      <c r="AI230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{"issue":{"subject":"","project_id":79,"tracker_id":40,"status_id":1,"priority_id":2,"assigned_to_id":23,"start_date":"2017-05-26","description":"","custom_fields":[{"id":1,"name":"Subdivision","value":"Other"},{"id":4,"name":"Milepost","value":"0.182"},{"id":17,"name":"Train ID","value":"57-26"},{"id":16,"name":"Locomotive ID","value":"4023"},{"id":130,"name":"Impact","value":""},{"id":150,"name":"Time of Event (Mountain Time)","value":"08:01:57"},{"id":151,"name":"Denver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4"/>
        <v>start /low /b %USERPROFILE%\Documents\GitHub\eaglep3\Utilities\DownloadLogsFromS3.py --loco 4023 --day 2017-05-26</v>
      </c>
      <c r="AN230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680</v>
      </c>
      <c r="B231" s="7">
        <v>4024</v>
      </c>
      <c r="C231" s="21" t="s">
        <v>204</v>
      </c>
      <c r="D231" s="21" t="s">
        <v>930</v>
      </c>
      <c r="E231" s="13">
        <v>42881.325509259259</v>
      </c>
      <c r="F231" s="13">
        <v>42881.33357638889</v>
      </c>
      <c r="G231" s="7">
        <v>1</v>
      </c>
      <c r="H231" s="21" t="s">
        <v>931</v>
      </c>
      <c r="I231" s="13">
        <v>42881.334687499999</v>
      </c>
      <c r="J231" s="7">
        <v>0</v>
      </c>
      <c r="K231" s="92" t="str">
        <f t="shared" si="91"/>
        <v>4023/4024</v>
      </c>
      <c r="L231" s="21" t="str">
        <f>VLOOKUP(A231,'Trips&amp;Operators'!$C$1:$G$99999,5,FALSE)</f>
        <v>BEAM ROSS</v>
      </c>
      <c r="M231" s="6">
        <f t="shared" si="92"/>
        <v>1.111111108912155E-3</v>
      </c>
      <c r="N231" s="7">
        <f t="shared" si="106"/>
        <v>1.5999999968335032</v>
      </c>
      <c r="O231" s="7"/>
      <c r="P231" s="7"/>
      <c r="Q231" s="22"/>
      <c r="R231" s="173"/>
      <c r="S231" s="176">
        <f t="shared" si="107"/>
        <v>0</v>
      </c>
      <c r="T231" s="202" t="e">
        <f t="shared" si="93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94"/>
        <v>https://d0f6bd738d7f1b3e5a7ca70fe4ff75f0.us-east-1.aws.found.io/app/kibana#/discover/Steve-Slow-Train-Analysis-(2080s-and-2083s)?_g=(refreshInterval:(display:Off,pause:!f,section:0,value:0),time:(from:'2017-05-26T06:48:44-0600',mode:absolute,to:'2017-05-26T09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204" t="str">
        <f t="shared" si="95"/>
        <v>Y</v>
      </c>
      <c r="X231" s="204" t="e">
        <f t="shared" si="101"/>
        <v>#VALUE!</v>
      </c>
      <c r="Y231" s="204">
        <f t="shared" si="88"/>
        <v>0.14710000000000001</v>
      </c>
      <c r="Z231" s="204">
        <f t="shared" si="89"/>
        <v>0.53600000000000003</v>
      </c>
      <c r="AA231" s="204">
        <f t="shared" si="96"/>
        <v>0.38890000000000002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7"/>
        <v>57-26</v>
      </c>
      <c r="AE231" s="80" t="str">
        <f t="shared" si="98"/>
        <v>aws s3 cp s3://rtdc.mdm.uploadarchive.raw/RTDC4024/ "%USERPROFILE%\AppData\Local\Temp\OnboardLogs"\RTDC4024\2017-05-26 --exclude "*" --recursive --include "*20170526*" &amp; "%USERPROFILE%\Documents\GitHub\mrs-test-scripts\Headless Mode &amp; Sideloading\WalkAndUnGZ.bat" "%USERPROFILE%\AppData\Local\Temp\OnboardLogs"\RTDC4024\2017-05-26 &amp; aws s3 cp s3://rtdc.mdm.uploadarchive.raw/RTDC4024/ "%USERPROFILE%\AppData\Local\Temp\OnboardLogs"\RTDC4024\2017-05-27 --exclude "*" --recursive --include "*20170527*" &amp; "%USERPROFILE%\Documents\GitHub\mrs-test-scripts\Headless Mode &amp; Sideloading\WalkAndUnGZ.bat" "%USERPROFILE%\AppData\Local\Temp\OnboardLogs"\RTDC4024\2017-05-27</v>
      </c>
      <c r="AF231" s="77" t="str">
        <f t="shared" si="99"/>
        <v>"C:\Program Files (x86)\AstroGrep\AstroGrep.exe" /e /r /s /spath="%USERPROFILE%\AppData\Local\Temp\OnboardLogs" /stypes="app*4024*20170526*" /stext=" 14:.+((SYSTEM_STATE.+slice.+state.+changed )|(ment ac)|(multiple cpu faults)|(system.+state.+changed )|(\[timeout)|(PRM\|1\|D)|(kpr)|(kdp)|(train st.+moving)|(\|lc)|(penalty))"</v>
      </c>
      <c r="AG231" s="1" t="str">
        <f t="shared" si="100"/>
        <v>Other</v>
      </c>
      <c r="AH231" s="81" t="str">
        <f t="shared" si="102"/>
        <v>"%USERPROFILE%\Documents\GitHub\eaglep3\Utilities\RefineRTDCRunTimes.py" --tripid 57-26 --locoid 4024 --swversion DE.1.0.9.0 --startMP 204:1471 --initTime 2017-05-26T07:48:44 --startdatetime 2017-05-26T08:00:21 --delay 1 --endMP 300:5360 --enddatetime 2017-05-26T08:01:57 --enforcementcount 0 &gt;&gt;C:\Users\stu\Documents\GitHub\eaglep3-reporting\EC\2017-05-26-refined-times.txt</v>
      </c>
      <c r="AI231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{"issue":{"subject":"","project_id":79,"tracker_id":40,"status_id":1,"priority_id":2,"assigned_to_id":23,"start_date":"2017-05-26","description":"","custom_fields":[{"id":1,"name":"Subdivision","value":"Other"},{"id":4,"name":"Milepost","value":"0.536"},{"id":17,"name":"Train ID","value":"57-26"},{"id":16,"name":"Locomotive ID","value":"4024"},{"id":130,"name":"Impact","value":""},{"id":150,"name":"Time of Event (Mountain Time)","value":"08:01:57"},{"id":151,"name":"Denver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4"/>
        <v>start /low /b %USERPROFILE%\Documents\GitHub\eaglep3\Utilities\DownloadLogsFromS3.py --loco 4024 --day 2017-05-26</v>
      </c>
      <c r="AN231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14:01:57"},{"id":29,"name":"Sharepoint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723</v>
      </c>
      <c r="B232" s="7">
        <v>4008</v>
      </c>
      <c r="C232" s="21" t="s">
        <v>204</v>
      </c>
      <c r="D232" s="21" t="s">
        <v>349</v>
      </c>
      <c r="E232" s="13">
        <v>42881.478900462964</v>
      </c>
      <c r="F232" s="13">
        <v>42881.480729166666</v>
      </c>
      <c r="G232" s="7">
        <v>1</v>
      </c>
      <c r="H232" s="21" t="s">
        <v>356</v>
      </c>
      <c r="I232" s="13">
        <v>42881.485810185186</v>
      </c>
      <c r="J232" s="7">
        <v>0</v>
      </c>
      <c r="K232" s="92" t="str">
        <f t="shared" si="91"/>
        <v>4007/4008</v>
      </c>
      <c r="L232" s="21" t="str">
        <f>VLOOKUP(A232,'Trips&amp;Operators'!$C$1:$G$99999,5,FALSE)</f>
        <v>BIRENBAUM THOMAS</v>
      </c>
      <c r="M232" s="6">
        <f t="shared" si="92"/>
        <v>5.0810185202863067E-3</v>
      </c>
      <c r="N232" s="7">
        <f t="shared" si="106"/>
        <v>7.3166666692122817</v>
      </c>
      <c r="O232" s="7"/>
      <c r="P232" s="7"/>
      <c r="Q232" s="22"/>
      <c r="R232" s="173"/>
      <c r="S232" s="176">
        <f t="shared" si="107"/>
        <v>0</v>
      </c>
      <c r="T232" s="202" t="e">
        <f t="shared" si="93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94"/>
        <v>https://d0f6bd738d7f1b3e5a7ca70fe4ff75f0.us-east-1.aws.found.io/app/kibana#/discover/Steve-Slow-Train-Analysis-(2080s-and-2083s)?_g=(refreshInterval:(display:Off,pause:!f,section:0,value:0),time:(from:'2017-05-26T10:29:37-0600',mode:absolute,to:'2017-05-26T12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2" s="204" t="str">
        <f t="shared" si="95"/>
        <v>Y</v>
      </c>
      <c r="X232" s="204" t="e">
        <f t="shared" si="101"/>
        <v>#VALUE!</v>
      </c>
      <c r="Y232" s="204">
        <f t="shared" si="88"/>
        <v>4.4600000000000001E-2</v>
      </c>
      <c r="Z232" s="204">
        <f t="shared" si="89"/>
        <v>2.3346</v>
      </c>
      <c r="AA232" s="204">
        <f t="shared" si="96"/>
        <v>2.29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7"/>
        <v>59-26</v>
      </c>
      <c r="AE232" s="80" t="str">
        <f t="shared" si="98"/>
        <v>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 &amp; aws s3 cp s3://rtdc.mdm.uploadarchive.raw/RTDC4008/ "%USERPROFILE%\AppData\Local\Temp\OnboardLogs"\RTDC4008\2017-05-27 --exclude "*" --recursive --include "*20170527*" &amp; "%USERPROFILE%\Documents\GitHub\mrs-test-scripts\Headless Mode &amp; Sideloading\WalkAndUnGZ.bat" "%USERPROFILE%\AppData\Local\Temp\OnboardLogs"\RTDC4008\2017-05-27</v>
      </c>
      <c r="AF232" s="77" t="str">
        <f t="shared" si="99"/>
        <v>"C:\Program Files (x86)\AstroGrep\AstroGrep.exe" /e /r /s /spath="%USERPROFILE%\AppData\Local\Temp\OnboardLogs" /stypes="app*4008*20170526*" /stext=" 17:.+((SYSTEM_STATE.+slice.+state.+changed )|(ment ac)|(multiple cpu faults)|(system.+state.+changed )|(\[timeout)|(PRM\|1\|D)|(kpr)|(kdp)|(train st.+moving)|(\|lc)|(penalty))"</v>
      </c>
      <c r="AG232" s="1" t="str">
        <f t="shared" si="100"/>
        <v>Other</v>
      </c>
      <c r="AH232" s="81" t="str">
        <f t="shared" si="102"/>
        <v>"%USERPROFILE%\Documents\GitHub\eaglep3\Utilities\RefineRTDCRunTimes.py" --tripid 59-26 --locoid 4008 --swversion DE.1.0.9.0 --startMP 204:446 --initTime 2017-05-26T11:29:37 --startdatetime 2017-05-26T11:32:15 --delay 1 --endMP 300:23346 --enddatetime 2017-05-26T11:39:34 --enforcementcount 0 &gt;&gt;C:\Users\stu\Documents\GitHub\eaglep3-reporting\EC\2017-05-26-refined-times.txt</v>
      </c>
      <c r="AI232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{"issue":{"subject":"","project_id":79,"tracker_id":40,"status_id":1,"priority_id":2,"assigned_to_id":23,"start_date":"2017-05-26","description":"","custom_fields":[{"id":1,"name":"Subdivision","value":"Other"},{"id":4,"name":"Milepost","value":"2.3346"},{"id":17,"name":"Train ID","value":"59-26"},{"id":16,"name":"Locomotive ID","value":"4008"},{"id":130,"name":"Impact","value":""},{"id":150,"name":"Time of Event (Mountain Time)","value":"11:39:34"},{"id":151,"name":"Denver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4"/>
        <v>start /low /b %USERPROFILE%\Documents\GitHub\eaglep3\Utilities\DownloadLogsFromS3.py --loco 4008 --day 2017-05-26</v>
      </c>
      <c r="AN232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723</v>
      </c>
      <c r="B233" s="7">
        <v>4008</v>
      </c>
      <c r="C233" s="21" t="s">
        <v>204</v>
      </c>
      <c r="D233" s="21" t="s">
        <v>356</v>
      </c>
      <c r="E233" s="13">
        <v>42881.478900462964</v>
      </c>
      <c r="F233" s="13">
        <v>42881.480729166666</v>
      </c>
      <c r="G233" s="7">
        <v>14</v>
      </c>
      <c r="H233" s="21" t="s">
        <v>356</v>
      </c>
      <c r="I233" s="13">
        <v>42881.485810185186</v>
      </c>
      <c r="J233" s="7">
        <v>0</v>
      </c>
      <c r="K233" s="92" t="str">
        <f t="shared" si="91"/>
        <v>4007/4008</v>
      </c>
      <c r="L233" s="21" t="str">
        <f>VLOOKUP(A233,'Trips&amp;Operators'!$C$1:$G$99999,5,FALSE)</f>
        <v>BIRENBAUM THOMAS</v>
      </c>
      <c r="M233" s="6">
        <f t="shared" si="92"/>
        <v>5.0810185202863067E-3</v>
      </c>
      <c r="N233" s="7">
        <f t="shared" si="106"/>
        <v>7.3166666692122817</v>
      </c>
      <c r="O233" s="7"/>
      <c r="P233" s="7"/>
      <c r="Q233" s="22"/>
      <c r="R233" s="173"/>
      <c r="S233" s="176">
        <f t="shared" si="107"/>
        <v>0</v>
      </c>
      <c r="T233" s="202" t="e">
        <f t="shared" si="93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94"/>
        <v>https://d0f6bd738d7f1b3e5a7ca70fe4ff75f0.us-east-1.aws.found.io/app/kibana#/discover/Steve-Slow-Train-Analysis-(2080s-and-2083s)?_g=(refreshInterval:(display:Off,pause:!f,section:0,value:0),time:(from:'2017-05-26T10:29:37-0600',mode:absolute,to:'2017-05-26T12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3" s="204" t="str">
        <f t="shared" si="95"/>
        <v>Y</v>
      </c>
      <c r="X233" s="204" t="e">
        <f t="shared" si="101"/>
        <v>#VALUE!</v>
      </c>
      <c r="Y233" s="204">
        <f t="shared" si="88"/>
        <v>2.3346</v>
      </c>
      <c r="Z233" s="204">
        <f t="shared" si="89"/>
        <v>2.3346</v>
      </c>
      <c r="AA233" s="204">
        <f t="shared" si="96"/>
        <v>0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7"/>
        <v>59-26</v>
      </c>
      <c r="AE233" s="80" t="str">
        <f t="shared" si="98"/>
        <v>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 &amp; aws s3 cp s3://rtdc.mdm.uploadarchive.raw/RTDC4008/ "%USERPROFILE%\AppData\Local\Temp\OnboardLogs"\RTDC4008\2017-05-27 --exclude "*" --recursive --include "*20170527*" &amp; "%USERPROFILE%\Documents\GitHub\mrs-test-scripts\Headless Mode &amp; Sideloading\WalkAndUnGZ.bat" "%USERPROFILE%\AppData\Local\Temp\OnboardLogs"\RTDC4008\2017-05-27</v>
      </c>
      <c r="AF233" s="77" t="str">
        <f t="shared" si="99"/>
        <v>"C:\Program Files (x86)\AstroGrep\AstroGrep.exe" /e /r /s /spath="%USERPROFILE%\AppData\Local\Temp\OnboardLogs" /stypes="app*4008*20170526*" /stext=" 17:.+((SYSTEM_STATE.+slice.+state.+changed )|(ment ac)|(multiple cpu faults)|(system.+state.+changed )|(\[timeout)|(PRM\|1\|D)|(kpr)|(kdp)|(train st.+moving)|(\|lc)|(penalty))"</v>
      </c>
      <c r="AG233" s="1" t="str">
        <f t="shared" si="100"/>
        <v>Other</v>
      </c>
      <c r="AH233" s="81" t="str">
        <f t="shared" si="102"/>
        <v>"%USERPROFILE%\Documents\GitHub\eaglep3\Utilities\RefineRTDCRunTimes.py" --tripid 59-26 --locoid 4008 --swversion DE.1.0.9.0 --startMP 300:23346 --initTime 2017-05-26T11:29:37 --startdatetime 2017-05-26T11:32:15 --delay 14 --endMP 300:23346 --enddatetime 2017-05-26T11:39:34 --enforcementcount 0 &gt;&gt;C:\Users\stu\Documents\GitHub\eaglep3-reporting\EC\2017-05-26-refined-times.txt</v>
      </c>
      <c r="AI233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{"issue":{"subject":"","project_id":79,"tracker_id":40,"status_id":1,"priority_id":2,"assigned_to_id":23,"start_date":"2017-05-26","description":"","custom_fields":[{"id":1,"name":"Subdivision","value":"Other"},{"id":4,"name":"Milepost","value":"2.3346"},{"id":17,"name":"Train ID","value":"59-26"},{"id":16,"name":"Locomotive ID","value":"4008"},{"id":130,"name":"Impact","value":""},{"id":150,"name":"Time of Event (Mountain Time)","value":"11:39:34"},{"id":151,"name":"Denver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4"/>
        <v>start /low /b %USERPROFILE%\Documents\GitHub\eaglep3\Utilities\DownloadLogsFromS3.py --loco 4008 --day 2017-05-26</v>
      </c>
      <c r="AN233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17:39:34"},{"id":29,"name":"Sharepoint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707</v>
      </c>
      <c r="B234" s="7">
        <v>4007</v>
      </c>
      <c r="C234" s="21" t="s">
        <v>204</v>
      </c>
      <c r="D234" s="21" t="s">
        <v>932</v>
      </c>
      <c r="E234" s="13">
        <v>42881.441574074073</v>
      </c>
      <c r="F234" s="13">
        <v>42881.444525462961</v>
      </c>
      <c r="G234" s="7">
        <v>4</v>
      </c>
      <c r="H234" s="21" t="s">
        <v>933</v>
      </c>
      <c r="I234" s="13">
        <v>42881.450289351851</v>
      </c>
      <c r="J234" s="7">
        <v>0</v>
      </c>
      <c r="K234" s="92" t="str">
        <f t="shared" si="91"/>
        <v>4007/4008</v>
      </c>
      <c r="L234" s="21" t="str">
        <f>VLOOKUP(A234,'Trips&amp;Operators'!$C$1:$G$99999,5,FALSE)</f>
        <v>MAYBERRY BILL</v>
      </c>
      <c r="M234" s="6">
        <f t="shared" si="92"/>
        <v>5.7638888902147301E-3</v>
      </c>
      <c r="N234" s="7">
        <f t="shared" si="106"/>
        <v>8.3000000019092113</v>
      </c>
      <c r="O234" s="7"/>
      <c r="P234" s="7"/>
      <c r="Q234" s="22"/>
      <c r="R234" s="173"/>
      <c r="S234" s="176">
        <f t="shared" si="107"/>
        <v>0</v>
      </c>
      <c r="T234" s="202" t="e">
        <f t="shared" si="93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94"/>
        <v>https://d0f6bd738d7f1b3e5a7ca70fe4ff75f0.us-east-1.aws.found.io/app/kibana#/discover/Steve-Slow-Train-Analysis-(2080s-and-2083s)?_g=(refreshInterval:(display:Off,pause:!f,section:0,value:0),time:(from:'2017-05-26T09:35:52-0600',mode:absolute,to:'2017-05-26T11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4" s="204" t="str">
        <f t="shared" si="95"/>
        <v>Y</v>
      </c>
      <c r="X234" s="204" t="e">
        <f t="shared" si="101"/>
        <v>#VALUE!</v>
      </c>
      <c r="Y234" s="204">
        <f t="shared" si="88"/>
        <v>2.3117999999999999</v>
      </c>
      <c r="Z234" s="204">
        <f t="shared" si="89"/>
        <v>1.44E-2</v>
      </c>
      <c r="AA234" s="204">
        <f t="shared" si="96"/>
        <v>2.2973999999999997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7"/>
        <v>61-26</v>
      </c>
      <c r="AE234" s="80" t="str">
        <f t="shared" si="98"/>
        <v>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 &amp; aws s3 cp s3://rtdc.mdm.uploadarchive.raw/RTDC4007/ "%USERPROFILE%\AppData\Local\Temp\OnboardLogs"\RTDC4007\2017-05-27 --exclude "*" --recursive --include "*20170527*" &amp; "%USERPROFILE%\Documents\GitHub\mrs-test-scripts\Headless Mode &amp; Sideloading\WalkAndUnGZ.bat" "%USERPROFILE%\AppData\Local\Temp\OnboardLogs"\RTDC4007\2017-05-27</v>
      </c>
      <c r="AF234" s="77" t="str">
        <f t="shared" si="99"/>
        <v>"C:\Program Files (x86)\AstroGrep\AstroGrep.exe" /e /r /s /spath="%USERPROFILE%\AppData\Local\Temp\OnboardLogs" /stypes="app*4007*20170526*" /stext=" 16:.+((SYSTEM_STATE.+slice.+state.+changed )|(ment ac)|(multiple cpu faults)|(system.+state.+changed )|(\[timeout)|(PRM\|1\|D)|(kpr)|(kdp)|(train st.+moving)|(\|lc)|(penalty))"</v>
      </c>
      <c r="AG234" s="1" t="str">
        <f t="shared" si="100"/>
        <v>Other</v>
      </c>
      <c r="AH234" s="81" t="str">
        <f t="shared" si="102"/>
        <v>"%USERPROFILE%\Documents\GitHub\eaglep3\Utilities\RefineRTDCRunTimes.py" --tripid 61-26 --locoid 4007 --swversion DE.1.0.9.0 --startMP 300:23118 --initTime 2017-05-26T10:35:52 --startdatetime 2017-05-26T10:40:07 --delay 4 --endMP 204:144 --enddatetime 2017-05-26T10:48:25 --enforcementcount 0 &gt;&gt;C:\Users\stu\Documents\GitHub\eaglep3-reporting\EC\2017-05-26-refined-times.txt</v>
      </c>
      <c r="AI234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{"issue":{"subject":"","project_id":79,"tracker_id":40,"status_id":1,"priority_id":2,"assigned_to_id":23,"start_date":"2017-05-26","description":"","custom_fields":[{"id":1,"name":"Subdivision","value":"Other"},{"id":4,"name":"Milepost","value":"0.0144"},{"id":17,"name":"Train ID","value":"61-26"},{"id":16,"name":"Locomotive ID","value":"4007"},{"id":130,"name":"Impact","value":""},{"id":150,"name":"Time of Event (Mountain Time)","value":"10:48:25"},{"id":151,"name":"Denver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4"/>
        <v>start /low /b %USERPROFILE%\Documents\GitHub\eaglep3\Utilities\DownloadLogsFromS3.py --loco 4007 --day 2017-05-26</v>
      </c>
      <c r="AN234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16:48:25"},{"id":29,"name":"Sharepoint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785</v>
      </c>
      <c r="B235" s="7">
        <v>4055</v>
      </c>
      <c r="C235" s="21" t="s">
        <v>204</v>
      </c>
      <c r="D235" s="21" t="s">
        <v>934</v>
      </c>
      <c r="E235" s="13">
        <v>42881.730034722219</v>
      </c>
      <c r="F235" s="13">
        <v>42881.733611111114</v>
      </c>
      <c r="G235" s="7">
        <v>5</v>
      </c>
      <c r="H235" s="21" t="s">
        <v>935</v>
      </c>
      <c r="I235" s="13">
        <v>42881.738923611112</v>
      </c>
      <c r="J235" s="7">
        <v>0</v>
      </c>
      <c r="K235" s="92" t="str">
        <f t="shared" si="91"/>
        <v>4055/4056</v>
      </c>
      <c r="L235" s="21" t="str">
        <f>VLOOKUP(A235,'Trips&amp;Operators'!$C$1:$G$99999,5,FALSE)</f>
        <v>ROMERO CHAD</v>
      </c>
      <c r="M235" s="6">
        <f t="shared" si="92"/>
        <v>5.3124999976716936E-3</v>
      </c>
      <c r="N235" s="7">
        <f t="shared" si="106"/>
        <v>7.6499999966472387</v>
      </c>
      <c r="O235" s="7"/>
      <c r="P235" s="7"/>
      <c r="Q235" s="22"/>
      <c r="R235" s="173"/>
      <c r="S235" s="176">
        <f t="shared" si="107"/>
        <v>0</v>
      </c>
      <c r="T235" s="202" t="e">
        <f t="shared" si="93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94"/>
        <v>https://d0f6bd738d7f1b3e5a7ca70fe4ff75f0.us-east-1.aws.found.io/app/kibana#/discover/Steve-Slow-Train-Analysis-(2080s-and-2083s)?_g=(refreshInterval:(display:Off,pause:!f,section:0,value:0),time:(from:'2017-05-26T16:31:15-0600',mode:absolute,to:'2017-05-26T18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204" t="str">
        <f t="shared" si="95"/>
        <v>Y</v>
      </c>
      <c r="X235" s="204" t="e">
        <f t="shared" si="101"/>
        <v>#VALUE!</v>
      </c>
      <c r="Y235" s="204">
        <f t="shared" si="88"/>
        <v>2.1947000000000001</v>
      </c>
      <c r="Z235" s="204">
        <f t="shared" si="89"/>
        <v>0.1515</v>
      </c>
      <c r="AA235" s="204">
        <f t="shared" si="96"/>
        <v>2.0432000000000001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7"/>
        <v>70-26</v>
      </c>
      <c r="AE235" s="80" t="str">
        <f t="shared" si="98"/>
        <v>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 &amp; aws s3 cp s3://rtdc.mdm.uploadarchive.raw/RTDC4055/ "%USERPROFILE%\AppData\Local\Temp\OnboardLogs"\RTDC4055\2017-05-27 --exclude "*" --recursive --include "*20170527*" &amp; "%USERPROFILE%\Documents\GitHub\mrs-test-scripts\Headless Mode &amp; Sideloading\WalkAndUnGZ.bat" "%USERPROFILE%\AppData\Local\Temp\OnboardLogs"\RTDC4055\2017-05-27</v>
      </c>
      <c r="AF235" s="77" t="str">
        <f t="shared" si="99"/>
        <v>"C:\Program Files (x86)\AstroGrep\AstroGrep.exe" /e /r /s /spath="%USERPROFILE%\AppData\Local\Temp\OnboardLogs" /stypes="app*4055*20170526*" /stext=" 23:.+((SYSTEM_STATE.+slice.+state.+changed )|(ment ac)|(multiple cpu faults)|(system.+state.+changed )|(\[timeout)|(PRM\|1\|D)|(kpr)|(kdp)|(train st.+moving)|(\|lc)|(penalty))"</v>
      </c>
      <c r="AG235" s="1" t="str">
        <f t="shared" si="100"/>
        <v>Other</v>
      </c>
      <c r="AH235" s="81" t="str">
        <f t="shared" si="102"/>
        <v>"%USERPROFILE%\Documents\GitHub\eaglep3\Utilities\RefineRTDCRunTimes.py" --tripid 70-26 --locoid 4055 --swversion DE.1.0.9.0 --startMP 300:21947 --initTime 2017-05-26T17:31:15 --startdatetime 2017-05-26T17:36:24 --delay 5 --endMP 204:1515 --enddatetime 2017-05-26T17:44:03 --enforcementcount 0 &gt;&gt;C:\Users\stu\Documents\GitHub\eaglep3-reporting\EC\2017-05-26-refined-times.txt</v>
      </c>
      <c r="AI235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{"issue":{"subject":"","project_id":79,"tracker_id":40,"status_id":1,"priority_id":2,"assigned_to_id":23,"start_date":"2017-05-26","description":"","custom_fields":[{"id":1,"name":"Subdivision","value":"Other"},{"id":4,"name":"Milepost","value":"0.1515"},{"id":17,"name":"Train ID","value":"70-26"},{"id":16,"name":"Locomotive ID","value":"4055"},{"id":130,"name":"Impact","value":""},{"id":150,"name":"Time of Event (Mountain Time)","value":"17:44:03"},{"id":151,"name":"Denver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4"/>
        <v>start /low /b %USERPROFILE%\Documents\GitHub\eaglep3\Utilities\DownloadLogsFromS3.py --loco 4055 --day 2017-05-26</v>
      </c>
      <c r="AN235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621</v>
      </c>
      <c r="B236" s="7">
        <v>4020</v>
      </c>
      <c r="C236" s="21" t="s">
        <v>204</v>
      </c>
      <c r="D236" s="21" t="s">
        <v>936</v>
      </c>
      <c r="E236" s="13">
        <v>42881.725451388891</v>
      </c>
      <c r="F236" s="13">
        <v>42881.729513888888</v>
      </c>
      <c r="G236" s="7">
        <v>1</v>
      </c>
      <c r="H236" s="21" t="s">
        <v>356</v>
      </c>
      <c r="I236" s="13">
        <v>42881.744814814818</v>
      </c>
      <c r="J236" s="7">
        <v>0</v>
      </c>
      <c r="K236" s="92" t="str">
        <f t="shared" si="91"/>
        <v>4019/4020</v>
      </c>
      <c r="L236" s="21" t="str">
        <f>VLOOKUP(A236,'Trips&amp;Operators'!$C$1:$G$99999,5,FALSE)</f>
        <v>MAYBERRY BILL</v>
      </c>
      <c r="M236" s="6">
        <f t="shared" si="92"/>
        <v>1.5300925930205267E-2</v>
      </c>
      <c r="N236" s="7">
        <f t="shared" si="106"/>
        <v>22.033333339495584</v>
      </c>
      <c r="O236" s="7"/>
      <c r="P236" s="7"/>
      <c r="Q236" s="22"/>
      <c r="R236" s="173"/>
      <c r="S236" s="176">
        <f t="shared" si="107"/>
        <v>0</v>
      </c>
      <c r="T236" s="202" t="e">
        <f t="shared" si="93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94"/>
        <v>https://d0f6bd738d7f1b3e5a7ca70fe4ff75f0.us-east-1.aws.found.io/app/kibana#/discover/Steve-Slow-Train-Analysis-(2080s-and-2083s)?_g=(refreshInterval:(display:Off,pause:!f,section:0,value:0),time:(from:'2017-05-26T16:24:39-0600',mode:absolute,to:'2017-05-26T18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204" t="str">
        <f t="shared" si="95"/>
        <v>Y</v>
      </c>
      <c r="X236" s="204" t="e">
        <f t="shared" si="101"/>
        <v>#VALUE!</v>
      </c>
      <c r="Y236" s="204">
        <f t="shared" si="88"/>
        <v>0.1462</v>
      </c>
      <c r="Z236" s="204">
        <f t="shared" si="89"/>
        <v>2.3346</v>
      </c>
      <c r="AA236" s="204">
        <f t="shared" si="96"/>
        <v>2.1884000000000001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7"/>
        <v>75-26</v>
      </c>
      <c r="AE236" s="80" t="str">
        <f t="shared" si="98"/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AF236" s="77" t="str">
        <f t="shared" si="99"/>
        <v>"C:\Program Files (x86)\AstroGrep\AstroGrep.exe" /e /r /s /spath="%USERPROFILE%\AppData\Local\Temp\OnboardLogs" /stypes="app*4020*20170526*" /stext=" 23:.+((SYSTEM_STATE.+slice.+state.+changed )|(ment ac)|(multiple cpu faults)|(system.+state.+changed )|(\[timeout)|(PRM\|1\|D)|(kpr)|(kdp)|(train st.+moving)|(\|lc)|(penalty))"</v>
      </c>
      <c r="AG236" s="1" t="str">
        <f t="shared" si="100"/>
        <v>Other</v>
      </c>
      <c r="AH236" s="81" t="str">
        <f t="shared" si="102"/>
        <v>"%USERPROFILE%\Documents\GitHub\eaglep3\Utilities\RefineRTDCRunTimes.py" --tripid 75-26 --locoid 4020 --swversion DE.1.0.9.0 --startMP 204:1462 --initTime 2017-05-26T17:24:39 --startdatetime 2017-05-26T17:30:30 --delay 1 --endMP 300:23346 --enddatetime 2017-05-26T17:52:32 --enforcementcount 0 &gt;&gt;C:\Users\stu\Documents\GitHub\eaglep3-reporting\EC\2017-05-26-refined-times.txt</v>
      </c>
      <c r="AI236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{"issue":{"subject":"","project_id":79,"tracker_id":40,"status_id":1,"priority_id":2,"assigned_to_id":23,"start_date":"2017-05-26","description":"","custom_fields":[{"id":1,"name":"Subdivision","value":"Other"},{"id":4,"name":"Milepost","value":"2.3346"},{"id":17,"name":"Train ID","value":"75-26"},{"id":16,"name":"Locomotive ID","value":"4020"},{"id":130,"name":"Impact","value":""},{"id":150,"name":"Time of Event (Mountain Time)","value":"17:52:32"},{"id":151,"name":"Denver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4"/>
        <v>start /low /b %USERPROFILE%\Documents\GitHub\eaglep3\Utilities\DownloadLogsFromS3.py --loco 4020 --day 2017-05-26</v>
      </c>
      <c r="AN236" s="154" t="str">
        <f t="shared" si="10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23:52:32"},{"id":29,"name":"Sharepoint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809</v>
      </c>
      <c r="B237" s="7">
        <v>4033</v>
      </c>
      <c r="C237" s="21" t="s">
        <v>204</v>
      </c>
      <c r="D237" s="21" t="s">
        <v>937</v>
      </c>
      <c r="E237" s="13">
        <v>42881.894270833334</v>
      </c>
      <c r="F237" s="13">
        <v>42881.899930555555</v>
      </c>
      <c r="G237" s="7">
        <v>2</v>
      </c>
      <c r="H237" s="21" t="s">
        <v>351</v>
      </c>
      <c r="I237" s="13">
        <v>42881.932175925926</v>
      </c>
      <c r="J237" s="7">
        <v>0</v>
      </c>
      <c r="K237" s="92" t="str">
        <f t="shared" si="91"/>
        <v>4033/4034</v>
      </c>
      <c r="L237" s="21" t="str">
        <f>VLOOKUP(A237,'Trips&amp;Operators'!$C$1:$G$99999,5,FALSE)</f>
        <v>SULLIVAN BRANDON</v>
      </c>
      <c r="M237" s="6">
        <f t="shared" si="92"/>
        <v>3.2245370370219462E-2</v>
      </c>
      <c r="N237" s="7">
        <f t="shared" si="106"/>
        <v>46.433333333116025</v>
      </c>
      <c r="O237" s="7"/>
      <c r="P237" s="7"/>
      <c r="Q237" s="22"/>
      <c r="R237" s="173"/>
      <c r="S237" s="176">
        <f t="shared" si="107"/>
        <v>0</v>
      </c>
      <c r="T237" s="202" t="e">
        <f t="shared" si="93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94"/>
        <v>https://d0f6bd738d7f1b3e5a7ca70fe4ff75f0.us-east-1.aws.found.io/app/kibana#/discover/Steve-Slow-Train-Analysis-(2080s-and-2083s)?_g=(refreshInterval:(display:Off,pause:!f,section:0,value:0),time:(from:'2017-05-26T20:27:45-0600',mode:absolute,to:'2017-05-26T23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7" s="204" t="str">
        <f t="shared" si="95"/>
        <v>N</v>
      </c>
      <c r="X237" s="204" t="e">
        <f t="shared" si="101"/>
        <v>#VALUE!</v>
      </c>
      <c r="Y237" s="204">
        <f t="shared" si="88"/>
        <v>23.296199999999999</v>
      </c>
      <c r="Z237" s="204">
        <f t="shared" si="89"/>
        <v>1.4999999999999999E-2</v>
      </c>
      <c r="AA237" s="204">
        <f t="shared" si="96"/>
        <v>23.281199999999998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7"/>
        <v>80-26</v>
      </c>
      <c r="AE237" s="80" t="str">
        <f t="shared" si="98"/>
        <v>aws s3 cp s3://rtdc.mdm.uploadarchive.raw/RTDC4033/ "%USERPROFILE%\AppData\Local\Temp\OnboardLogs"\RTDC4033\2017-05-26 --exclude "*" --recursive --include "*20170526*" &amp; "%USERPROFILE%\Documents\GitHub\mrs-test-scripts\Headless Mode &amp; Sideloading\WalkAndUnGZ.bat" "%USERPROFILE%\AppData\Local\Temp\OnboardLogs"\RTDC4033\2017-05-26 &amp; 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</v>
      </c>
      <c r="AF237" s="77" t="str">
        <f t="shared" si="99"/>
        <v>"C:\Program Files (x86)\AstroGrep\AstroGrep.exe" /e /r /s /spath="%USERPROFILE%\AppData\Local\Temp\OnboardLogs" /stypes="app*4033*20170527*" /stext=" 04:.+((SYSTEM_STATE.+slice.+state.+changed )|(ment ac)|(multiple cpu faults)|(system.+state.+changed )|(\[timeout)|(PRM\|1\|D)|(kpr)|(kdp)|(train st.+moving)|(\|lc)|(penalty))"</v>
      </c>
      <c r="AG237" s="1" t="str">
        <f t="shared" si="100"/>
        <v>Other</v>
      </c>
      <c r="AH237" s="81" t="str">
        <f t="shared" si="102"/>
        <v>"%USERPROFILE%\Documents\GitHub\eaglep3\Utilities\RefineRTDCRunTimes.py" --tripid 80-26 --locoid 4033 --swversion DE.1.0.9.0 --startMP 204:232962 --initTime 2017-05-26T21:27:45 --startdatetime 2017-05-26T21:35:54 --delay 2 --endMP 204:150 --enddatetime 2017-05-26T22:22:20 --enforcementcount 0 &gt;&gt;C:\Users\stu\Documents\GitHub\eaglep3-reporting\EC\2017-05-26-refined-times.txt</v>
      </c>
      <c r="AI237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{"issue":{"subject":"","project_id":79,"tracker_id":40,"status_id":1,"priority_id":2,"assigned_to_id":23,"start_date":"2017-05-26","description":"","custom_fields":[{"id":1,"name":"Subdivision","value":"Other"},{"id":4,"name":"Milepost","value":"0.015"},{"id":17,"name":"Train ID","value":"80-26"},{"id":16,"name":"Locomotive ID","value":"4033"},{"id":130,"name":"Impact","value":""},{"id":150,"name":"Time of Event (Mountain Time)","value":"22:22:20"},{"id":151,"name":"Denver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4"/>
        <v>start /low /b %USERPROFILE%\Documents\GitHub\eaglep3\Utilities\DownloadLogsFromS3.py --loco 4033 --day 2017-05-26</v>
      </c>
      <c r="AN237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809</v>
      </c>
      <c r="B238" s="7">
        <v>4033</v>
      </c>
      <c r="C238" s="21" t="s">
        <v>204</v>
      </c>
      <c r="D238" s="21" t="s">
        <v>497</v>
      </c>
      <c r="E238" s="13">
        <v>42881.979120370372</v>
      </c>
      <c r="F238" s="13">
        <v>42881.980486111112</v>
      </c>
      <c r="G238" s="7">
        <v>1</v>
      </c>
      <c r="H238" s="21" t="s">
        <v>364</v>
      </c>
      <c r="I238" s="13">
        <v>42882.014016203706</v>
      </c>
      <c r="J238" s="7">
        <v>0</v>
      </c>
      <c r="K238" s="92" t="str">
        <f t="shared" si="91"/>
        <v>4033/4034</v>
      </c>
      <c r="L238" s="21" t="str">
        <f>VLOOKUP(A238,'Trips&amp;Operators'!$C$1:$G$99999,5,FALSE)</f>
        <v>SULLIVAN BRANDON</v>
      </c>
      <c r="M238" s="6">
        <f t="shared" si="92"/>
        <v>3.3530092594446614E-2</v>
      </c>
      <c r="N238" s="7">
        <f t="shared" si="106"/>
        <v>48.283333336003125</v>
      </c>
      <c r="O238" s="7"/>
      <c r="P238" s="7"/>
      <c r="Q238" s="22"/>
      <c r="R238" s="173"/>
      <c r="S238" s="176">
        <f t="shared" si="107"/>
        <v>0</v>
      </c>
      <c r="T238" s="202" t="e">
        <f t="shared" si="93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94"/>
        <v>https://d0f6bd738d7f1b3e5a7ca70fe4ff75f0.us-east-1.aws.found.io/app/kibana#/discover/Steve-Slow-Train-Analysis-(2080s-and-2083s)?_g=(refreshInterval:(display:Off,pause:!f,section:0,value:0),time:(from:'2017-05-26T22:29:56-0600',mode:absolute,to:'2017-05-27T01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8" s="204" t="str">
        <f t="shared" si="95"/>
        <v>N</v>
      </c>
      <c r="X238" s="204" t="e">
        <f t="shared" si="101"/>
        <v>#VALUE!</v>
      </c>
      <c r="Y238" s="204">
        <f t="shared" si="88"/>
        <v>23.296900000000001</v>
      </c>
      <c r="Z238" s="204">
        <f t="shared" si="89"/>
        <v>1.47E-2</v>
      </c>
      <c r="AA238" s="204">
        <f t="shared" si="96"/>
        <v>23.2822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7"/>
        <v>80-26</v>
      </c>
      <c r="AE238" s="80" t="str">
        <f t="shared" si="98"/>
        <v>aws s3 cp s3://rtdc.mdm.uploadarchive.raw/RTDC4033/ "%USERPROFILE%\AppData\Local\Temp\OnboardLogs"\RTDC4033\2017-05-26 --exclude "*" --recursive --include "*20170526*" &amp; "%USERPROFILE%\Documents\GitHub\mrs-test-scripts\Headless Mode &amp; Sideloading\WalkAndUnGZ.bat" "%USERPROFILE%\AppData\Local\Temp\OnboardLogs"\RTDC4033\2017-05-26 &amp; 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</v>
      </c>
      <c r="AF238" s="77" t="str">
        <f t="shared" si="99"/>
        <v>"C:\Program Files (x86)\AstroGrep\AstroGrep.exe" /e /r /s /spath="%USERPROFILE%\AppData\Local\Temp\OnboardLogs" /stypes="app*4033*20170527*" /stext=" 06:.+((SYSTEM_STATE.+slice.+state.+changed )|(ment ac)|(multiple cpu faults)|(system.+state.+changed )|(\[timeout)|(PRM\|1\|D)|(kpr)|(kdp)|(train st.+moving)|(\|lc)|(penalty))"</v>
      </c>
      <c r="AG238" s="1" t="str">
        <f t="shared" si="100"/>
        <v>Other</v>
      </c>
      <c r="AH238" s="81" t="str">
        <f t="shared" si="102"/>
        <v>"%USERPROFILE%\Documents\GitHub\eaglep3\Utilities\RefineRTDCRunTimes.py" --tripid 80-26 --locoid 4033 --swversion DE.1.0.9.0 --startMP 204:232969 --initTime 2017-05-26T23:29:56 --startdatetime 2017-05-26T23:31:54 --delay 1 --endMP 204:147 --enddatetime 2017-05-27T00:20:11 --enforcementcount 0 &gt;&gt;C:\Users\stu\Documents\GitHub\eaglep3-reporting\EC\2017-05-26-refined-times.txt</v>
      </c>
      <c r="AI238" s="99" t="str">
        <f t="shared" si="103"/>
        <v>echo {"issue":{"subject":"","project_id":79,"tracker_id":40,"status_id":1,"priority_id":2,"assigned_to_id":23,"start_date":"2017-05-27","description":"","custom_fields":[{"id":1,"name":"Subdivision","value":"Other"},{"id":4,"name":"Milepost","value":"0.0147"},{"id":17,"name":"Train ID","value":"80-26"},{"id":16,"name":"Locomotive ID","value":"4033"},{"id":130,"name":"Impact","value":""},{"id":150,"name":"Time of Event (Mountain Time)","value":"00:20:11"},{"id":151,"name":"Denver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4"/>
        <v>start /low /b %USERPROFILE%\Documents\GitHub\eaglep3\Utilities\DownloadLogsFromS3.py --loco 4033 --day 2017-05-26</v>
      </c>
      <c r="AN238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06:20:11"},{"id":29,"name":"Sharepoint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809</v>
      </c>
      <c r="B239" s="7">
        <v>4033</v>
      </c>
      <c r="C239" s="21" t="s">
        <v>204</v>
      </c>
      <c r="D239" s="21" t="s">
        <v>938</v>
      </c>
      <c r="E239" s="13">
        <v>42881.824189814812</v>
      </c>
      <c r="F239" s="13">
        <v>42881.831817129627</v>
      </c>
      <c r="G239" s="7">
        <v>10</v>
      </c>
      <c r="H239" s="21" t="s">
        <v>939</v>
      </c>
      <c r="I239" s="13">
        <v>42881.837361111109</v>
      </c>
      <c r="J239" s="7">
        <v>0</v>
      </c>
      <c r="K239" s="92" t="str">
        <f t="shared" si="91"/>
        <v>4033/4034</v>
      </c>
      <c r="L239" s="21" t="str">
        <f>VLOOKUP(A239,'Trips&amp;Operators'!$C$1:$G$99999,5,FALSE)</f>
        <v>SULLIVAN BRANDON</v>
      </c>
      <c r="M239" s="6">
        <f t="shared" si="92"/>
        <v>5.543981482333038E-3</v>
      </c>
      <c r="N239" s="7">
        <f t="shared" si="106"/>
        <v>7.9833333345595747</v>
      </c>
      <c r="O239" s="7"/>
      <c r="P239" s="7"/>
      <c r="Q239" s="22"/>
      <c r="R239" s="173"/>
      <c r="S239" s="176">
        <f t="shared" si="107"/>
        <v>0</v>
      </c>
      <c r="T239" s="202" t="e">
        <f t="shared" si="93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94"/>
        <v>https://d0f6bd738d7f1b3e5a7ca70fe4ff75f0.us-east-1.aws.found.io/app/kibana#/discover/Steve-Slow-Train-Analysis-(2080s-and-2083s)?_g=(refreshInterval:(display:Off,pause:!f,section:0,value:0),time:(from:'2017-05-26T18:46:50-0600',mode:absolute,to:'2017-05-26T21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9" s="204" t="str">
        <f t="shared" si="95"/>
        <v>Y</v>
      </c>
      <c r="X239" s="204" t="e">
        <f t="shared" si="101"/>
        <v>#VALUE!</v>
      </c>
      <c r="Y239" s="204">
        <f t="shared" si="88"/>
        <v>2.2292999999999998</v>
      </c>
      <c r="Z239" s="204">
        <f t="shared" si="89"/>
        <v>9.11E-2</v>
      </c>
      <c r="AA239" s="204">
        <f t="shared" si="96"/>
        <v>2.1381999999999999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7"/>
        <v>80-26</v>
      </c>
      <c r="AE239" s="80" t="str">
        <f t="shared" si="98"/>
        <v>aws s3 cp s3://rtdc.mdm.uploadarchive.raw/RTDC4033/ "%USERPROFILE%\AppData\Local\Temp\OnboardLogs"\RTDC4033\2017-05-26 --exclude "*" --recursive --include "*20170526*" &amp; "%USERPROFILE%\Documents\GitHub\mrs-test-scripts\Headless Mode &amp; Sideloading\WalkAndUnGZ.bat" "%USERPROFILE%\AppData\Local\Temp\OnboardLogs"\RTDC4033\2017-05-26 &amp; 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</v>
      </c>
      <c r="AF239" s="77" t="str">
        <f t="shared" si="99"/>
        <v>"C:\Program Files (x86)\AstroGrep\AstroGrep.exe" /e /r /s /spath="%USERPROFILE%\AppData\Local\Temp\OnboardLogs" /stypes="app*4033*20170527*" /stext=" 02:.+((SYSTEM_STATE.+slice.+state.+changed )|(ment ac)|(multiple cpu faults)|(system.+state.+changed )|(\[timeout)|(PRM\|1\|D)|(kpr)|(kdp)|(train st.+moving)|(\|lc)|(penalty))"</v>
      </c>
      <c r="AG239" s="1" t="str">
        <f t="shared" si="100"/>
        <v>Other</v>
      </c>
      <c r="AH239" s="81" t="str">
        <f t="shared" si="102"/>
        <v>"%USERPROFILE%\Documents\GitHub\eaglep3\Utilities\RefineRTDCRunTimes.py" --tripid 80-26 --locoid 4033 --swversion DE.1.0.9.0 --startMP 300:22293 --initTime 2017-05-26T19:46:50 --startdatetime 2017-05-26T19:57:49 --delay 10 --endMP 204:911 --enddatetime 2017-05-26T20:05:48 --enforcementcount 0 &gt;&gt;C:\Users\stu\Documents\GitHub\eaglep3-reporting\EC\2017-05-26-refined-times.txt</v>
      </c>
      <c r="AI239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{"issue":{"subject":"","project_id":79,"tracker_id":40,"status_id":1,"priority_id":2,"assigned_to_id":23,"start_date":"2017-05-26","description":"","custom_fields":[{"id":1,"name":"Subdivision","value":"Other"},{"id":4,"name":"Milepost","value":"0.0911"},{"id":17,"name":"Train ID","value":"80-26"},{"id":16,"name":"Locomotive ID","value":"4033"},{"id":130,"name":"Impact","value":""},{"id":150,"name":"Time of Event (Mountain Time)","value":"20:05:48"},{"id":151,"name":"Denver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4"/>
        <v>start /low /b %USERPROFILE%\Documents\GitHub\eaglep3\Utilities\DownloadLogsFromS3.py --loco 4033 --day 2017-05-26</v>
      </c>
      <c r="AN239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627</v>
      </c>
      <c r="B240" s="7">
        <v>4034</v>
      </c>
      <c r="C240" s="21" t="s">
        <v>204</v>
      </c>
      <c r="D240" s="21" t="s">
        <v>946</v>
      </c>
      <c r="E240" s="13">
        <v>42881.838564814818</v>
      </c>
      <c r="F240" s="13">
        <v>42881.858032407406</v>
      </c>
      <c r="G240" s="7">
        <v>1</v>
      </c>
      <c r="H240" s="21" t="s">
        <v>903</v>
      </c>
      <c r="I240" s="13">
        <v>42881.887152777781</v>
      </c>
      <c r="J240" s="7">
        <v>0</v>
      </c>
      <c r="K240" s="92" t="str">
        <f t="shared" si="91"/>
        <v>4033/4034</v>
      </c>
      <c r="L240" s="21" t="str">
        <f>VLOOKUP(A240,'Trips&amp;Operators'!$C$1:$G$99999,5,FALSE)</f>
        <v>SULLIVAN BRANDON</v>
      </c>
      <c r="M240" s="6">
        <f t="shared" si="92"/>
        <v>2.9120370374585036E-2</v>
      </c>
      <c r="N240" s="7">
        <f t="shared" si="106"/>
        <v>41.933333339402452</v>
      </c>
      <c r="O240" s="7"/>
      <c r="P240" s="7"/>
      <c r="Q240" s="22"/>
      <c r="R240" s="173"/>
      <c r="S240" s="176">
        <f t="shared" si="107"/>
        <v>0</v>
      </c>
      <c r="T240" s="202" t="e">
        <f t="shared" si="93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94"/>
        <v>https://d0f6bd738d7f1b3e5a7ca70fe4ff75f0.us-east-1.aws.found.io/app/kibana#/discover/Steve-Slow-Train-Analysis-(2080s-and-2083s)?_g=(refreshInterval:(display:Off,pause:!f,section:0,value:0),time:(from:'2017-05-26T19:07:32-0600',mode:absolute,to:'2017-05-26T22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0" s="204" t="str">
        <f t="shared" si="95"/>
        <v>N</v>
      </c>
      <c r="X240" s="204" t="e">
        <f t="shared" si="101"/>
        <v>#VALUE!</v>
      </c>
      <c r="Y240" s="204">
        <f t="shared" si="88"/>
        <v>0.1212</v>
      </c>
      <c r="Z240" s="204">
        <f t="shared" si="89"/>
        <v>23.327999999999999</v>
      </c>
      <c r="AA240" s="204">
        <f t="shared" si="96"/>
        <v>23.206799999999998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7"/>
        <v>81-26</v>
      </c>
      <c r="AE240" s="80" t="str">
        <f t="shared" si="98"/>
        <v>aws s3 cp s3://rtdc.mdm.uploadarchive.raw/RTDC4034/ "%USERPROFILE%\AppData\Local\Temp\OnboardLogs"\RTDC4034\2017-05-26 --exclude "*" --recursive --include "*20170526*" &amp; "%USERPROFILE%\Documents\GitHub\mrs-test-scripts\Headless Mode &amp; Sideloading\WalkAndUnGZ.bat" "%USERPROFILE%\AppData\Local\Temp\OnboardLogs"\RTDC4034\2017-05-26 &amp; 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</v>
      </c>
      <c r="AF240" s="77" t="str">
        <f t="shared" si="99"/>
        <v>"C:\Program Files (x86)\AstroGrep\AstroGrep.exe" /e /r /s /spath="%USERPROFILE%\AppData\Local\Temp\OnboardLogs" /stypes="app*4034*20170527*" /stext=" 03:.+((SYSTEM_STATE.+slice.+state.+changed )|(ment ac)|(multiple cpu faults)|(system.+state.+changed )|(\[timeout)|(PRM\|1\|D)|(kpr)|(kdp)|(train st.+moving)|(\|lc)|(penalty))"</v>
      </c>
      <c r="AG240" s="1" t="str">
        <f t="shared" si="100"/>
        <v>Other</v>
      </c>
      <c r="AH240" s="81" t="str">
        <f t="shared" si="102"/>
        <v>"%USERPROFILE%\Documents\GitHub\eaglep3\Utilities\RefineRTDCRunTimes.py" --tripid 81-26 --locoid 4034 --swversion DE.1.0.9.0 --startMP 204:1212 --initTime 2017-05-26T20:07:32 --startdatetime 2017-05-26T20:35:34 --delay 1 --endMP 204:233280 --enddatetime 2017-05-26T21:17:30 --enforcementcount 0 &gt;&gt;C:\Users\stu\Documents\GitHub\eaglep3-reporting\EC\2017-05-26-refined-times.txt</v>
      </c>
      <c r="AI240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{"issue":{"subject":"","project_id":79,"tracker_id":40,"status_id":1,"priority_id":2,"assigned_to_id":23,"start_date":"2017-05-26","description":"","custom_fields":[{"id":1,"name":"Subdivision","value":"Other"},{"id":4,"name":"Milepost","value":"23.328"},{"id":17,"name":"Train ID","value":"81-26"},{"id":16,"name":"Locomotive ID","value":"4034"},{"id":130,"name":"Impact","value":""},{"id":150,"name":"Time of Event (Mountain Time)","value":"21:17:30"},{"id":151,"name":"Denver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4"/>
        <v>start /low /b %USERPROFILE%\Documents\GitHub\eaglep3\Utilities\DownloadLogsFromS3.py --loco 4034 --day 2017-05-26</v>
      </c>
      <c r="AN240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03:17:30"},{"id":29,"name":"Sharepoint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627</v>
      </c>
      <c r="B241" s="7">
        <v>4034</v>
      </c>
      <c r="C241" s="21" t="s">
        <v>204</v>
      </c>
      <c r="D241" s="21" t="s">
        <v>368</v>
      </c>
      <c r="E241" s="13">
        <v>42881.936203703706</v>
      </c>
      <c r="F241" s="13">
        <v>42881.941631944443</v>
      </c>
      <c r="G241" s="7">
        <v>1</v>
      </c>
      <c r="H241" s="21" t="s">
        <v>947</v>
      </c>
      <c r="I241" s="13">
        <v>42881.971909722219</v>
      </c>
      <c r="J241" s="7">
        <v>0</v>
      </c>
      <c r="K241" s="92" t="str">
        <f t="shared" si="91"/>
        <v>4033/4034</v>
      </c>
      <c r="L241" s="21" t="str">
        <f>VLOOKUP(A241,'Trips&amp;Operators'!$C$1:$G$99999,5,FALSE)</f>
        <v>SULLIVAN BRANDON</v>
      </c>
      <c r="M241" s="6">
        <f t="shared" si="92"/>
        <v>3.0277777776063886E-2</v>
      </c>
      <c r="N241" s="7">
        <f t="shared" si="106"/>
        <v>43.599999997531995</v>
      </c>
      <c r="O241" s="7"/>
      <c r="P241" s="7"/>
      <c r="Q241" s="22"/>
      <c r="R241" s="173"/>
      <c r="S241" s="176">
        <f t="shared" si="107"/>
        <v>0</v>
      </c>
      <c r="T241" s="202" t="e">
        <f t="shared" si="93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94"/>
        <v>https://d0f6bd738d7f1b3e5a7ca70fe4ff75f0.us-east-1.aws.found.io/app/kibana#/discover/Steve-Slow-Train-Analysis-(2080s-and-2083s)?_g=(refreshInterval:(display:Off,pause:!f,section:0,value:0),time:(from:'2017-05-26T21:28:08-0600',mode:absolute,to:'2017-05-27T00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1" s="204" t="str">
        <f t="shared" si="95"/>
        <v>N</v>
      </c>
      <c r="X241" s="204" t="e">
        <f t="shared" si="101"/>
        <v>#VALUE!</v>
      </c>
      <c r="Y241" s="204">
        <f t="shared" si="88"/>
        <v>4.5499999999999999E-2</v>
      </c>
      <c r="Z241" s="204">
        <f t="shared" si="89"/>
        <v>23.330100000000002</v>
      </c>
      <c r="AA241" s="204">
        <f t="shared" si="96"/>
        <v>23.284600000000001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7"/>
        <v>81-26</v>
      </c>
      <c r="AE241" s="80" t="str">
        <f t="shared" si="98"/>
        <v>aws s3 cp s3://rtdc.mdm.uploadarchive.raw/RTDC4034/ "%USERPROFILE%\AppData\Local\Temp\OnboardLogs"\RTDC4034\2017-05-26 --exclude "*" --recursive --include "*20170526*" &amp; "%USERPROFILE%\Documents\GitHub\mrs-test-scripts\Headless Mode &amp; Sideloading\WalkAndUnGZ.bat" "%USERPROFILE%\AppData\Local\Temp\OnboardLogs"\RTDC4034\2017-05-26 &amp; 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</v>
      </c>
      <c r="AF241" s="77" t="str">
        <f t="shared" si="99"/>
        <v>"C:\Program Files (x86)\AstroGrep\AstroGrep.exe" /e /r /s /spath="%USERPROFILE%\AppData\Local\Temp\OnboardLogs" /stypes="app*4034*20170527*" /stext=" 05:.+((SYSTEM_STATE.+slice.+state.+changed )|(ment ac)|(multiple cpu faults)|(system.+state.+changed )|(\[timeout)|(PRM\|1\|D)|(kpr)|(kdp)|(train st.+moving)|(\|lc)|(penalty))"</v>
      </c>
      <c r="AG241" s="1" t="str">
        <f t="shared" si="100"/>
        <v>Other</v>
      </c>
      <c r="AH241" s="81" t="str">
        <f t="shared" si="102"/>
        <v>"%USERPROFILE%\Documents\GitHub\eaglep3\Utilities\RefineRTDCRunTimes.py" --tripid 81-26 --locoid 4034 --swversion DE.1.0.9.0 --startMP 204:455 --initTime 2017-05-26T22:28:08 --startdatetime 2017-05-26T22:35:57 --delay 1 --endMP 204:233301 --enddatetime 2017-05-26T23:19:33 --enforcementcount 0 &gt;&gt;C:\Users\stu\Documents\GitHub\eaglep3-reporting\EC\2017-05-26-refined-times.txt</v>
      </c>
      <c r="AI241" s="99" t="str">
        <f t="shared" si="103"/>
        <v>echo {"issue":{"subject":"","project_id":79,"tracker_id":40,"status_id":1,"priority_id":2,"assigned_to_id":23,"start_date":"2017-05-26","description":"","custom_fields":[{"id":1,"name":"Subdivision","value":"Other"},{"id":4,"name":"Milepost","value":"23.3301"},{"id":17,"name":"Train ID","value":"81-26"},{"id":16,"name":"Locomotive ID","value":"4034"},{"id":130,"name":"Impact","value":""},{"id":150,"name":"Time of Event (Mountain Time)","value":"23:19:33"},{"id":151,"name":"Denver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4"/>
        <v>start /low /b %USERPROFILE%\Documents\GitHub\eaglep3\Utilities\DownloadLogsFromS3.py --loco 4034 --day 2017-05-26</v>
      </c>
      <c r="AN241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05:19:33"},{"id":29,"name":"Sharepoint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627</v>
      </c>
      <c r="B242" s="7">
        <v>4034</v>
      </c>
      <c r="C242" s="21" t="s">
        <v>204</v>
      </c>
      <c r="D242" s="21" t="s">
        <v>408</v>
      </c>
      <c r="E242" s="13">
        <v>42882.018483796295</v>
      </c>
      <c r="F242" s="13">
        <v>42882.025300925925</v>
      </c>
      <c r="G242" s="7">
        <v>1</v>
      </c>
      <c r="H242" s="21" t="s">
        <v>529</v>
      </c>
      <c r="I242" s="13">
        <v>42882.055671296293</v>
      </c>
      <c r="J242" s="7">
        <v>0</v>
      </c>
      <c r="K242" s="92" t="str">
        <f t="shared" si="91"/>
        <v>4033/4034</v>
      </c>
      <c r="L242" s="21" t="str">
        <f>VLOOKUP(A242,'Trips&amp;Operators'!$C$1:$G$99999,5,FALSE)</f>
        <v>SULLIVAN BRANDON</v>
      </c>
      <c r="M242" s="6">
        <f t="shared" si="92"/>
        <v>3.0370370368473232E-2</v>
      </c>
      <c r="N242" s="7">
        <f t="shared" si="106"/>
        <v>43.733333330601454</v>
      </c>
      <c r="O242" s="7"/>
      <c r="P242" s="7"/>
      <c r="Q242" s="22"/>
      <c r="R242" s="173"/>
      <c r="S242" s="176">
        <f t="shared" si="107"/>
        <v>0</v>
      </c>
      <c r="T242" s="202" t="e">
        <f t="shared" si="93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94"/>
        <v>https://d0f6bd738d7f1b3e5a7ca70fe4ff75f0.us-east-1.aws.found.io/app/kibana#/discover/Steve-Slow-Train-Analysis-(2080s-and-2083s)?_g=(refreshInterval:(display:Off,pause:!f,section:0,value:0),time:(from:'2017-05-26T23:26:37-0600',mode:absolute,to:'2017-05-27T02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2" s="204" t="str">
        <f t="shared" si="95"/>
        <v>N</v>
      </c>
      <c r="X242" s="204" t="e">
        <f t="shared" si="101"/>
        <v>#VALUE!</v>
      </c>
      <c r="Y242" s="204">
        <f t="shared" si="88"/>
        <v>4.7300000000000002E-2</v>
      </c>
      <c r="Z242" s="204">
        <f t="shared" si="89"/>
        <v>23.331900000000001</v>
      </c>
      <c r="AA242" s="204">
        <f t="shared" si="96"/>
        <v>23.284600000000001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7"/>
        <v>81-26</v>
      </c>
      <c r="AE242" s="80" t="str">
        <f t="shared" si="98"/>
        <v>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 &amp; 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</v>
      </c>
      <c r="AF242" s="77" t="str">
        <f t="shared" si="99"/>
        <v>"C:\Program Files (x86)\AstroGrep\AstroGrep.exe" /e /r /s /spath="%USERPROFILE%\AppData\Local\Temp\OnboardLogs" /stypes="app*4034*20170527*" /stext=" 07:.+((SYSTEM_STATE.+slice.+state.+changed )|(ment ac)|(multiple cpu faults)|(system.+state.+changed )|(\[timeout)|(PRM\|1\|D)|(kpr)|(kdp)|(train st.+moving)|(\|lc)|(penalty))"</v>
      </c>
      <c r="AG242" s="1" t="str">
        <f t="shared" si="100"/>
        <v>Other</v>
      </c>
      <c r="AH242" s="81" t="str">
        <f t="shared" si="102"/>
        <v>"%USERPROFILE%\Documents\GitHub\eaglep3\Utilities\RefineRTDCRunTimes.py" --tripid 81-26 --locoid 4034 --swversion DE.1.0.9.0 --startMP 204:473 --initTime 2017-05-27T00:26:37 --startdatetime 2017-05-27T00:36:26 --delay 1 --endMP 204:233319 --enddatetime 2017-05-27T01:20:10 --enforcementcount 0 &gt;&gt;C:\Users\stu\Documents\GitHub\eaglep3-reporting\EC\2017-05-26-refined-times.txt</v>
      </c>
      <c r="AI242" s="99" t="str">
        <f t="shared" si="103"/>
        <v>echo {"issue":{"subject":"","project_id":79,"tracker_id":40,"status_id":1,"priority_id":2,"assigned_to_id":23,"start_date":"2017-05-27","description":"","custom_fields":[{"id":1,"name":"Subdivision","value":"Other"},{"id":4,"name":"Milepost","value":"23.3319"},{"id":17,"name":"Train ID","value":"81-26"},{"id":16,"name":"Locomotive ID","value":"4034"},{"id":130,"name":"Impact","value":""},{"id":150,"name":"Time of Event (Mountain Time)","value":"01:20:10"},{"id":151,"name":"Denver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4"/>
        <v>start /low /b %USERPROFILE%\Documents\GitHub\eaglep3\Utilities\DownloadLogsFromS3.py --loco 4034 --day 2017-05-27</v>
      </c>
      <c r="AN242" s="154" t="str">
        <f t="shared" si="10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6">
    <sortState ref="A13:AG266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70:X1048576 W13:X242">
    <cfRule type="cellIs" dxfId="10" priority="401" operator="equal">
      <formula>"Y"</formula>
    </cfRule>
  </conditionalFormatting>
  <conditionalFormatting sqref="X270:X1048576 X13:X242">
    <cfRule type="cellIs" dxfId="9" priority="384" operator="greaterThan">
      <formula>1</formula>
    </cfRule>
  </conditionalFormatting>
  <conditionalFormatting sqref="X270:X1048576 X12:X242">
    <cfRule type="cellIs" dxfId="8" priority="381" operator="equal">
      <formula>0</formula>
    </cfRule>
  </conditionalFormatting>
  <conditionalFormatting sqref="A13:S24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opLeftCell="A2" zoomScaleNormal="100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COUNTIF($O$7:$O$280,"=Y")</f>
        <v>7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COUNTA($O$7:$O$280)-O2</f>
        <v>25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42881.978842592594</v>
      </c>
      <c r="B7" s="30" t="s">
        <v>624</v>
      </c>
      <c r="C7" s="30" t="s">
        <v>628</v>
      </c>
      <c r="D7" s="30" t="s">
        <v>49</v>
      </c>
      <c r="E7" s="30" t="s">
        <v>189</v>
      </c>
      <c r="F7" s="42">
        <v>0</v>
      </c>
      <c r="G7" s="42">
        <v>207</v>
      </c>
      <c r="H7" s="42">
        <v>31089</v>
      </c>
      <c r="I7" s="42">
        <v>30719</v>
      </c>
      <c r="J7" s="30" t="s">
        <v>190</v>
      </c>
      <c r="K7" s="42">
        <v>30970</v>
      </c>
      <c r="L7" s="134" t="s">
        <v>51</v>
      </c>
      <c r="M7" s="135">
        <f t="shared" ref="M7:M38" si="0">CONVERT((I7-K7)/10000,"mi","ft")*IF(L7="Increasing Mileposts (1)",-1,1)</f>
        <v>-132.52799999999999</v>
      </c>
      <c r="N7" s="136" t="str">
        <f>VLOOKUP(C7,'Trips&amp;Operators'!$C$1:$G$99999,5,FALSE)</f>
        <v>ARVIDSON DANIEL</v>
      </c>
      <c r="O7" s="210" t="s">
        <v>182</v>
      </c>
      <c r="P7" s="137" t="s">
        <v>405</v>
      </c>
      <c r="Q7" s="30"/>
      <c r="R7" s="84" t="str">
        <f>IF(VLOOKUP(C7,'Train Runs'!$A$13:$AE$9925,1,1)=C7,VLOOKUP(C7,'Train Runs'!$A$13:$AE$9925,31,1),NA())</f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S7" s="87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-05-26T21:54:30-0600',mode:absolute,to:'2017-05-27T00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/stypes="*4001*201705270*" /stext=" 05:.+((SYSTEM_STATE.+slice.+state.+changed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4001</v>
      </c>
      <c r="V7" s="31">
        <f t="shared" ref="V7:V38" si="3">A7-utc_offset/24</f>
        <v>42882.228842592594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arrival","project_id":79,"tracker_id":40,"status_id":1,"priority_id":2,"assigned_to_id":23,"start_date":"2017-05-26","description":"","custom_fields":[{"id":1,"name":"Subdivision","value":"EC"},{"id":4,"name":"Milepost","value":"3.097"},{"id":17,"name":"Train ID","value":"234-26"},{"id":16,"name":"Locomotive ID","value":"4001"},{"id":130,"name":"Impact","value":""},{"id":150,"name":"Time of Event (Mountain Time)","value":"23:29:32"},{"id":151,"name":"Denver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/cygdrive/c/Users/stu/AppData/Local/Temp/OnboardLogs/RTDC4001 --include="*4001*201705270*"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"%USERPROFILE%\AppData\Local\Temp\OnboardLogs"\RTDC4001\*4001*201705270* &gt;&gt; 2017-05-26-SliceDisagreementCheck.txt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4001 --day 2017-05-27</v>
      </c>
    </row>
    <row r="8" spans="1:32" s="1" customFormat="1" x14ac:dyDescent="0.25">
      <c r="A8" s="31">
        <v>42881.244606481479</v>
      </c>
      <c r="B8" s="30" t="s">
        <v>513</v>
      </c>
      <c r="C8" s="30" t="s">
        <v>599</v>
      </c>
      <c r="D8" s="30" t="s">
        <v>49</v>
      </c>
      <c r="E8" s="30" t="s">
        <v>189</v>
      </c>
      <c r="F8" s="42">
        <v>0</v>
      </c>
      <c r="G8" s="42">
        <v>393</v>
      </c>
      <c r="H8" s="42">
        <v>58785</v>
      </c>
      <c r="I8" s="42">
        <v>57667</v>
      </c>
      <c r="J8" s="30" t="s">
        <v>190</v>
      </c>
      <c r="K8" s="42">
        <v>58301</v>
      </c>
      <c r="L8" s="134" t="s">
        <v>51</v>
      </c>
      <c r="M8" s="135">
        <f t="shared" si="0"/>
        <v>-334.75200000000001</v>
      </c>
      <c r="N8" s="136" t="str">
        <f>VLOOKUP(C8,'Trips&amp;Operators'!$C$1:$G$99999,5,FALSE)</f>
        <v>BIRENBAUM THOMAS</v>
      </c>
      <c r="O8" s="210" t="s">
        <v>182</v>
      </c>
      <c r="P8" s="137" t="s">
        <v>405</v>
      </c>
      <c r="Q8" s="30"/>
      <c r="R8" s="84" t="str">
        <f>IF(VLOOKUP(C8,'Train Runs'!$A$13:$AE$9925,1,1)=C8,VLOOKUP(C8,'Train Runs'!$A$13:$AE$9925,31,1),NA())</f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S8" s="87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-05-26T04:13:27-0600',mode:absolute,to:'2017-05-26T07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9" t="str">
        <f t="shared" si="1"/>
        <v>"C:\Program Files (x86)\AstroGrep\AstroGrep.exe" /e /r /s /spath="%USERPROFILE%\AppData\Local\Temp\OnboardLogs" /stypes="*4057*201705261*"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42881.494606481479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arrival","project_id":79,"tracker_id":40,"status_id":1,"priority_id":2,"assigned_to_id":23,"start_date":"2017-05-26","description":"","custom_fields":[{"id":1,"name":"Subdivision","value":"EC"},{"id":4,"name":"Milepost","value":"5.8301"},{"id":17,"name":"Train ID","value":"108-26"},{"id":16,"name":"Locomotive ID","value":"4057"},{"id":130,"name":"Impact","value":""},{"id":150,"name":"Time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/cygdrive/c/Users/stu/AppData/Local/Temp/OnboardLogs/RTDC4057 --include="*4057*201705261*"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"%USERPROFILE%\AppData\Local\Temp\OnboardLogs"\RTDC4057\*4057*201705261* &gt;&gt; 2017-05-26-SliceDisagreementCheck.txt</v>
      </c>
      <c r="AE8" s="148" t="str">
        <f t="shared" ref="AE8:AE38" si="9">"start /low /b "&amp;dls3logs&amp;" --loco "&amp;U8&amp;" --day "&amp;TEXT(V8,"YYYY-MM-DD")</f>
        <v>start /low /b %USERPROFILE%\Documents\GitHub\eaglep3\Utilities\DownloadLogsFromS3.py --loco 4057 --day 2017-05-26</v>
      </c>
    </row>
    <row r="9" spans="1:32" s="1" customFormat="1" x14ac:dyDescent="0.25">
      <c r="A9" s="31">
        <v>42881.817349537036</v>
      </c>
      <c r="B9" s="30" t="s">
        <v>624</v>
      </c>
      <c r="C9" s="30" t="s">
        <v>625</v>
      </c>
      <c r="D9" s="30" t="s">
        <v>49</v>
      </c>
      <c r="E9" s="30" t="s">
        <v>189</v>
      </c>
      <c r="F9" s="42">
        <v>340</v>
      </c>
      <c r="G9" s="42">
        <v>390</v>
      </c>
      <c r="H9" s="42">
        <v>58828</v>
      </c>
      <c r="I9" s="42">
        <v>57576</v>
      </c>
      <c r="J9" s="30" t="s">
        <v>190</v>
      </c>
      <c r="K9" s="42">
        <v>58301</v>
      </c>
      <c r="L9" s="134" t="s">
        <v>51</v>
      </c>
      <c r="M9" s="135">
        <f t="shared" si="0"/>
        <v>-382.8</v>
      </c>
      <c r="N9" s="136" t="str">
        <f>VLOOKUP(C9,'Trips&amp;Operators'!$C$1:$G$99999,5,FALSE)</f>
        <v>ARVIDSON DANIEL</v>
      </c>
      <c r="O9" s="210" t="s">
        <v>182</v>
      </c>
      <c r="P9" s="137" t="s">
        <v>405</v>
      </c>
      <c r="Q9" s="30"/>
      <c r="R9" s="84" t="str">
        <f>IF(VLOOKUP(C9,'Train Runs'!$A$13:$AE$9925,1,1)=C9,VLOOKUP(C9,'Train Runs'!$A$13:$AE$9925,31,1),NA())</f>
        <v>aws s3 cp s3://rtdc.mdm.uploadarchive.raw/RTDC4001/ "%USERPROFILE%\AppData\Local\Temp\OnboardLogs"\RTDC4001\2017-05-26 --exclude "*" --recursive --include "*20170526*" &amp; "%USERPROFILE%\Documents\GitHub\mrs-test-scripts\Headless Mode &amp; Sideloading\WalkAndUnGZ.bat" "%USERPROFILE%\AppData\Local\Temp\OnboardLogs"\RTDC4001\2017-05-26 &amp; aws s3 cp s3://rtdc.mdm.uploadarchive.raw/RTDC4001/ "%USERPROFILE%\AppData\Local\Temp\OnboardLogs"\RTDC4001\2017-05-27 --exclude "*" --recursive --include "*20170527*" &amp; "%USERPROFILE%\Documents\GitHub\mrs-test-scripts\Headless Mode &amp; Sideloading\WalkAndUnGZ.bat" "%USERPROFILE%\AppData\Local\Temp\OnboardLogs"\RTDC4001\2017-05-27</v>
      </c>
      <c r="S9" s="87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-05-26T18:07:59-0600',mode:absolute,to:'2017-05-26T20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9" t="str">
        <f t="shared" si="1"/>
        <v>"C:\Program Files (x86)\AstroGrep\AstroGrep.exe" /e /r /s /spath="%USERPROFILE%\AppData\Local\Temp\OnboardLogs" /stypes="*4001*201705270*"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42882.067349537036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arrival","project_id":79,"tracker_id":40,"status_id":1,"priority_id":2,"assigned_to_id":23,"start_date":"2017-05-26","description":"","custom_fields":[{"id":1,"name":"Subdivision","value":"EC"},{"id":4,"name":"Milepost","value":"5.8301"},{"id":17,"name":"Train ID","value":"218-26"},{"id":16,"name":"Locomotive ID","value":"4001"},{"id":130,"name":"Impact","value":""},{"id":150,"name":"Time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/cygdrive/c/Users/stu/AppData/Local/Temp/OnboardLogs/RTDC4001 --include="*4001*201705270*"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"%USERPROFILE%\AppData\Local\Temp\OnboardLogs"\RTDC4001\*4001*201705270* &gt;&gt; 2017-05-26-SliceDisagreementCheck.txt</v>
      </c>
      <c r="AE9" s="148" t="str">
        <f t="shared" si="9"/>
        <v>start /low /b %USERPROFILE%\Documents\GitHub\eaglep3\Utilities\DownloadLogsFromS3.py --loco 4001 --day 2017-05-27</v>
      </c>
    </row>
    <row r="10" spans="1:32" s="1" customFormat="1" x14ac:dyDescent="0.25">
      <c r="A10" s="31">
        <v>42881.426006944443</v>
      </c>
      <c r="B10" s="30" t="s">
        <v>479</v>
      </c>
      <c r="C10" s="30" t="s">
        <v>607</v>
      </c>
      <c r="D10" s="30" t="s">
        <v>49</v>
      </c>
      <c r="E10" s="30" t="s">
        <v>189</v>
      </c>
      <c r="F10" s="42">
        <v>320</v>
      </c>
      <c r="G10" s="42">
        <v>496</v>
      </c>
      <c r="H10" s="42">
        <v>61699</v>
      </c>
      <c r="I10" s="42">
        <v>63120</v>
      </c>
      <c r="J10" s="30" t="s">
        <v>190</v>
      </c>
      <c r="K10" s="42">
        <v>63069</v>
      </c>
      <c r="L10" s="134" t="s">
        <v>50</v>
      </c>
      <c r="M10" s="135">
        <f t="shared" si="0"/>
        <v>-26.928000000000001</v>
      </c>
      <c r="N10" s="136" t="str">
        <f>VLOOKUP(C10,'Trips&amp;Operators'!$C$1:$G$99999,5,FALSE)</f>
        <v>DAVIS WENDY</v>
      </c>
      <c r="O10" s="210" t="s">
        <v>182</v>
      </c>
      <c r="P10" s="137" t="s">
        <v>405</v>
      </c>
      <c r="Q10" s="30"/>
      <c r="R10" s="84" t="str">
        <f>IF(VLOOKUP(C10,'Train Runs'!$A$13:$AE$9925,1,1)=C10,VLOOKUP(C10,'Train Runs'!$A$13:$AE$9925,31,1),NA())</f>
        <v>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 &amp; 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</v>
      </c>
      <c r="S10" s="87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-05-26T08:54:32-0600',mode:absolute,to:'2017-05-26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9" t="str">
        <f t="shared" si="1"/>
        <v>"C:\Program Files (x86)\AstroGrep\AstroGrep.exe" /e /r /s /spath="%USERPROFILE%\AppData\Local\Temp\OnboardLogs" /stypes="*4044*201705261*"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42881.676006944443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arrival","project_id":79,"tracker_id":40,"status_id":1,"priority_id":2,"assigned_to_id":23,"start_date":"2017-05-26","description":"","custom_fields":[{"id":1,"name":"Subdivision","value":"EC"},{"id":4,"name":"Milepost","value":"6.3069"},{"id":17,"name":"Train ID","value":"151-26"},{"id":16,"name":"Locomotive ID","value":"4044"},{"id":130,"name":"Impact","value":""},{"id":150,"name":"Time of Event (Mountain Time)","value":"10:13:27"},{"id":151,"name":"Denver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/cygdrive/c/Users/stu/AppData/Local/Temp/OnboardLogs/RTDC4044 --include="*4044*201705261*"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"%USERPROFILE%\AppData\Local\Temp\OnboardLogs"\RTDC4044\*4044*201705261* &gt;&gt; 2017-05-26-SliceDisagreementCheck.txt</v>
      </c>
      <c r="AE10" s="148" t="str">
        <f t="shared" si="9"/>
        <v>start /low /b %USERPROFILE%\Documents\GitHub\eaglep3\Utilities\DownloadLogsFromS3.py --loco 4044 --day 2017-05-26</v>
      </c>
    </row>
    <row r="11" spans="1:32" s="1" customFormat="1" x14ac:dyDescent="0.25">
      <c r="A11" s="31">
        <v>42881.788148148145</v>
      </c>
      <c r="B11" s="30" t="s">
        <v>453</v>
      </c>
      <c r="C11" s="30" t="s">
        <v>623</v>
      </c>
      <c r="D11" s="30" t="s">
        <v>98</v>
      </c>
      <c r="E11" s="30" t="s">
        <v>189</v>
      </c>
      <c r="F11" s="42">
        <v>0</v>
      </c>
      <c r="G11" s="42">
        <v>142</v>
      </c>
      <c r="H11" s="42">
        <v>63282</v>
      </c>
      <c r="I11" s="42">
        <v>60439</v>
      </c>
      <c r="J11" s="30" t="s">
        <v>190</v>
      </c>
      <c r="K11" s="42">
        <v>63309</v>
      </c>
      <c r="L11" s="134" t="s">
        <v>51</v>
      </c>
      <c r="M11" s="135">
        <f t="shared" si="0"/>
        <v>-1515.36</v>
      </c>
      <c r="N11" s="136" t="str">
        <f>VLOOKUP(C11,'Trips&amp;Operators'!$C$1:$G$99999,5,FALSE)</f>
        <v>LEVIN SCOTT</v>
      </c>
      <c r="O11" s="210" t="s">
        <v>182</v>
      </c>
      <c r="P11" s="137" t="s">
        <v>405</v>
      </c>
      <c r="Q11" s="30"/>
      <c r="R11" s="84" t="str">
        <f>IF(VLOOKUP(C11,'Train Runs'!$A$13:$AE$9925,1,1)=C11,VLOOKUP(C11,'Train Runs'!$A$13:$AE$9925,31,1),NA())</f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S11" s="87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-05-26T17:16:06-0600',mode:absolute,to:'2017-05-26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1" s="89" t="str">
        <f t="shared" si="1"/>
        <v>"C:\Program Files (x86)\AstroGrep\AstroGrep.exe" /e /r /s /spath="%USERPROFILE%\AppData\Local\Temp\OnboardLogs" /stypes="*4025*201705270*"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4025</v>
      </c>
      <c r="V11" s="31">
        <f t="shared" si="3"/>
        <v>42882.038148148145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arrival","project_id":79,"tracker_id":40,"status_id":1,"priority_id":2,"assigned_to_id":23,"start_date":"2017-05-26","description":"","custom_fields":[{"id":1,"name":"Subdivision","value":"EC"},{"id":4,"name":"Milepost","value":"6.3309"},{"id":17,"name":"Train ID","value":"212-26"},{"id":16,"name":"Locomotive ID","value":"4025"},{"id":130,"name":"Impact","value":""},{"id":150,"name":"Time of Event (Mountain Time)","value":"18:54:56"},{"id":151,"name":"Denver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/cygdrive/c/Users/stu/AppData/Local/Temp/OnboardLogs/RTDC4025 --include="*4025*201705270*"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"%USERPROFILE%\AppData\Local\Temp\OnboardLogs"\RTDC4025\*4025*201705270* &gt;&gt; 2017-05-26-SliceDisagreementCheck.txt</v>
      </c>
      <c r="AE11" s="148" t="str">
        <f t="shared" si="9"/>
        <v>start /low /b %USERPROFILE%\Documents\GitHub\eaglep3\Utilities\DownloadLogsFromS3.py --loco 4025 --day 2017-05-27</v>
      </c>
    </row>
    <row r="12" spans="1:32" s="1" customFormat="1" x14ac:dyDescent="0.25">
      <c r="A12" s="31">
        <v>42881.292951388888</v>
      </c>
      <c r="B12" s="30" t="s">
        <v>601</v>
      </c>
      <c r="C12" s="30" t="s">
        <v>602</v>
      </c>
      <c r="D12" s="30" t="s">
        <v>49</v>
      </c>
      <c r="E12" s="30" t="s">
        <v>189</v>
      </c>
      <c r="F12" s="42">
        <v>550</v>
      </c>
      <c r="G12" s="42">
        <v>687</v>
      </c>
      <c r="H12" s="42">
        <v>76328</v>
      </c>
      <c r="I12" s="42">
        <v>78732</v>
      </c>
      <c r="J12" s="30" t="s">
        <v>190</v>
      </c>
      <c r="K12" s="42">
        <v>78349</v>
      </c>
      <c r="L12" s="134" t="s">
        <v>50</v>
      </c>
      <c r="M12" s="135">
        <f t="shared" si="0"/>
        <v>-202.22399999999999</v>
      </c>
      <c r="N12" s="136" t="str">
        <f>VLOOKUP(C12,'Trips&amp;Operators'!$C$1:$G$99999,5,FALSE)</f>
        <v>STARKS ANGELINA</v>
      </c>
      <c r="O12" s="210" t="s">
        <v>182</v>
      </c>
      <c r="P12" s="137" t="s">
        <v>405</v>
      </c>
      <c r="Q12" s="30"/>
      <c r="R12" s="84" t="str">
        <f>IF(VLOOKUP(C12,'Train Runs'!$A$13:$AE$9925,1,1)=C12,VLOOKUP(C12,'Train Runs'!$A$13:$AE$9925,31,1),NA())</f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S12" s="87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-05-26T05:39:56-0600',mode:absolute,to:'2017-05-26T08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2" s="89" t="str">
        <f t="shared" si="1"/>
        <v>"C:\Program Files (x86)\AstroGrep\AstroGrep.exe" /e /r /s /spath="%USERPROFILE%\AppData\Local\Temp\OnboardLogs" /stypes="*4016*201705261*"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4016</v>
      </c>
      <c r="V12" s="31">
        <f t="shared" si="3"/>
        <v>42881.542951388888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arrival","project_id":79,"tracker_id":40,"status_id":1,"priority_id":2,"assigned_to_id":23,"start_date":"2017-05-26","description":"","custom_fields":[{"id":1,"name":"Subdivision","value":"EC"},{"id":4,"name":"Milepost","value":"7.8349"},{"id":17,"name":"Train ID","value":"125-26"},{"id":16,"name":"Locomotive ID","value":"4016"},{"id":130,"name":"Impact","value":""},{"id":150,"name":"Time of Event (Mountain Time)","value":"07:01:51"},{"id":151,"name":"Denver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/cygdrive/c/Users/stu/AppData/Local/Temp/OnboardLogs/RTDC4016 --include="*4016*201705261*"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"%USERPROFILE%\AppData\Local\Temp\OnboardLogs"\RTDC4016\*4016*201705261* &gt;&gt; 2017-05-26-SliceDisagreementCheck.txt</v>
      </c>
      <c r="AE12" s="148" t="str">
        <f t="shared" si="9"/>
        <v>start /low /b %USERPROFILE%\Documents\GitHub\eaglep3\Utilities\DownloadLogsFromS3.py --loco 4016 --day 2017-05-26</v>
      </c>
    </row>
    <row r="13" spans="1:32" s="1" customFormat="1" x14ac:dyDescent="0.25">
      <c r="A13" s="31">
        <v>42881.565393518518</v>
      </c>
      <c r="B13" s="30" t="s">
        <v>453</v>
      </c>
      <c r="C13" s="30" t="s">
        <v>616</v>
      </c>
      <c r="D13" s="30" t="s">
        <v>49</v>
      </c>
      <c r="E13" s="30" t="s">
        <v>189</v>
      </c>
      <c r="F13" s="42">
        <v>440</v>
      </c>
      <c r="G13" s="42">
        <v>491</v>
      </c>
      <c r="H13" s="42">
        <v>79629</v>
      </c>
      <c r="I13" s="42">
        <v>78325</v>
      </c>
      <c r="J13" s="30" t="s">
        <v>190</v>
      </c>
      <c r="K13" s="42">
        <v>78469</v>
      </c>
      <c r="L13" s="134" t="s">
        <v>51</v>
      </c>
      <c r="M13" s="135">
        <f t="shared" si="0"/>
        <v>-76.031999999999996</v>
      </c>
      <c r="N13" s="136" t="str">
        <f>VLOOKUP(C13,'Trips&amp;Operators'!$C$1:$G$99999,5,FALSE)</f>
        <v>LEVIN SCOTT</v>
      </c>
      <c r="O13" s="210" t="s">
        <v>182</v>
      </c>
      <c r="P13" s="137" t="s">
        <v>405</v>
      </c>
      <c r="Q13" s="30"/>
      <c r="R13" s="84" t="str">
        <f>IF(VLOOKUP(C13,'Train Runs'!$A$13:$AE$9925,1,1)=C13,VLOOKUP(C13,'Train Runs'!$A$13:$AE$9925,31,1),NA())</f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S13" s="87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-05-26T12:08:03-0600',mode:absolute,to:'2017-05-26T14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9" t="str">
        <f t="shared" si="1"/>
        <v>"C:\Program Files (x86)\AstroGrep\AstroGrep.exe" /e /r /s /spath="%USERPROFILE%\AppData\Local\Temp\OnboardLogs" /stypes="*4025*201705261*"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42881.815393518518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arrival","project_id":79,"tracker_id":40,"status_id":1,"priority_id":2,"assigned_to_id":23,"start_date":"2017-05-26","description":"","custom_fields":[{"id":1,"name":"Subdivision","value":"EC"},{"id":4,"name":"Milepost","value":"7.8469"},{"id":17,"name":"Train ID","value":"170-26"},{"id":16,"name":"Locomotive ID","value":"4025"},{"id":130,"name":"Impact","value":""},{"id":150,"name":"Time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/cygdrive/c/Users/stu/AppData/Local/Temp/OnboardLogs/RTDC4025 --include="*4025*201705261*"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"%USERPROFILE%\AppData\Local\Temp\OnboardLogs"\RTDC4025\*4025*201705261* &gt;&gt; 2017-05-26-SliceDisagreementCheck.txt</v>
      </c>
      <c r="AE13" s="148" t="str">
        <f t="shared" si="9"/>
        <v>start /low /b %USERPROFILE%\Documents\GitHub\eaglep3\Utilities\DownloadLogsFromS3.py --loco 4025 --day 2017-05-26</v>
      </c>
    </row>
    <row r="14" spans="1:32" x14ac:dyDescent="0.25">
      <c r="A14" s="31">
        <v>42881.260520833333</v>
      </c>
      <c r="B14" s="30" t="s">
        <v>436</v>
      </c>
      <c r="C14" s="30" t="s">
        <v>600</v>
      </c>
      <c r="D14" s="30" t="s">
        <v>49</v>
      </c>
      <c r="E14" s="30" t="s">
        <v>189</v>
      </c>
      <c r="F14" s="42">
        <v>0</v>
      </c>
      <c r="G14" s="42">
        <v>434</v>
      </c>
      <c r="H14" s="42">
        <v>110074</v>
      </c>
      <c r="I14" s="42">
        <v>108995</v>
      </c>
      <c r="J14" s="30" t="s">
        <v>190</v>
      </c>
      <c r="K14" s="42">
        <v>109135</v>
      </c>
      <c r="L14" s="134" t="s">
        <v>51</v>
      </c>
      <c r="M14" s="135">
        <f t="shared" si="0"/>
        <v>-73.92</v>
      </c>
      <c r="N14" s="136" t="str">
        <f>VLOOKUP(C14,'Trips&amp;Operators'!$C$1:$G$99999,5,FALSE)</f>
        <v>SPECTOR MICHAEL</v>
      </c>
      <c r="O14" s="210" t="s">
        <v>182</v>
      </c>
      <c r="P14" s="137" t="s">
        <v>405</v>
      </c>
      <c r="Q14" s="30"/>
      <c r="R14" s="84" t="str">
        <f>IF(VLOOKUP(C14,'Train Runs'!$A$13:$AE$9925,1,1)=C14,VLOOKUP(C14,'Train Runs'!$A$13:$AE$9925,31,1),NA())</f>
        <v>aws s3 cp s3://rtdc.mdm.uploadarchive.raw/RTDC4015/ "%USERPROFILE%\AppData\Local\Temp\OnboardLogs"\RTDC4015\2017-05-26 --exclude "*" --recursive --include "*20170526*" &amp; "%USERPROFILE%\Documents\GitHub\mrs-test-scripts\Headless Mode &amp; Sideloading\WalkAndUnGZ.bat" "%USERPROFILE%\AppData\Local\Temp\OnboardLogs"\RTDC4015\2017-05-26 &amp; aws s3 cp s3://rtdc.mdm.uploadarchive.raw/RTDC4015/ "%USERPROFILE%\AppData\Local\Temp\OnboardLogs"\RTDC4015\2017-05-27 --exclude "*" --recursive --include "*20170527*" &amp; "%USERPROFILE%\Documents\GitHub\mrs-test-scripts\Headless Mode &amp; Sideloading\WalkAndUnGZ.bat" "%USERPROFILE%\AppData\Local\Temp\OnboardLogs"\RTDC4015\2017-05-27</v>
      </c>
      <c r="S14" s="87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-05-26T04:44:05-0600',mode:absolute,to:'2017-05-26T07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9" t="str">
        <f t="shared" si="1"/>
        <v>"C:\Program Files (x86)\AstroGrep\AstroGrep.exe" /e /r /s /spath="%USERPROFILE%\AppData\Local\Temp\OnboardLogs" /stypes="*4015*201705261*"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42881.510520833333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arrival","project_id":79,"tracker_id":40,"status_id":1,"priority_id":2,"assigned_to_id":23,"start_date":"2017-05-26","description":"","custom_fields":[{"id":1,"name":"Subdivision","value":"EC"},{"id":4,"name":"Milepost","value":"10.9135"},{"id":17,"name":"Train ID","value":"112-26"},{"id":16,"name":"Locomotive ID","value":"4015"},{"id":130,"name":"Impact","value":""},{"id":150,"name":"Time of Event (Mountain Time)","value":"06:15:09"},{"id":151,"name":"Denver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/cygdrive/c/Users/stu/AppData/Local/Temp/OnboardLogs/RTDC4015 --include="*4015*201705261*"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"%USERPROFILE%\AppData\Local\Temp\OnboardLogs"\RTDC4015\*4015*201705261* &gt;&gt; 2017-05-26-SliceDisagreementCheck.txt</v>
      </c>
      <c r="AE14" s="148" t="str">
        <f t="shared" si="9"/>
        <v>start /low /b %USERPROFILE%\Documents\GitHub\eaglep3\Utilities\DownloadLogsFromS3.py --loco 4015 --day 2017-05-26</v>
      </c>
      <c r="AF14" s="1"/>
    </row>
    <row r="15" spans="1:32" x14ac:dyDescent="0.25">
      <c r="A15" s="31">
        <v>42881.521724537037</v>
      </c>
      <c r="B15" s="30" t="s">
        <v>452</v>
      </c>
      <c r="C15" s="30" t="s">
        <v>612</v>
      </c>
      <c r="D15" s="30" t="s">
        <v>49</v>
      </c>
      <c r="E15" s="30" t="s">
        <v>202</v>
      </c>
      <c r="F15" s="42">
        <v>300</v>
      </c>
      <c r="G15" s="42">
        <v>354</v>
      </c>
      <c r="H15" s="42">
        <v>22297</v>
      </c>
      <c r="I15" s="42">
        <v>21393</v>
      </c>
      <c r="J15" s="30" t="s">
        <v>203</v>
      </c>
      <c r="K15" s="42">
        <v>21848</v>
      </c>
      <c r="L15" s="134" t="s">
        <v>51</v>
      </c>
      <c r="M15" s="135">
        <f t="shared" si="0"/>
        <v>-240.24</v>
      </c>
      <c r="N15" s="136" t="str">
        <f>VLOOKUP(C15,'Trips&amp;Operators'!$C$1:$G$99999,5,FALSE)</f>
        <v>LOZA FIDEL</v>
      </c>
      <c r="O15" s="210" t="s">
        <v>182</v>
      </c>
      <c r="P15" s="137"/>
      <c r="Q15" s="30"/>
      <c r="R15" s="84" t="str">
        <f>IF(VLOOKUP(C15,'Train Runs'!$A$13:$AE$9925,1,1)=C15,VLOOKUP(C15,'Train Runs'!$A$13:$AE$9925,31,1),NA())</f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S15" s="87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-05-26T10:50:23-0600',mode:absolute,to:'2017-05-26T13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89" t="str">
        <f t="shared" si="1"/>
        <v>"C:\Program Files (x86)\AstroGrep\AstroGrep.exe" /e /r /s /spath="%USERPROFILE%\AppData\Local\Temp\OnboardLogs" /stypes="*4005*201705261*"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4005</v>
      </c>
      <c r="V15" s="31">
        <f t="shared" si="3"/>
        <v>42881.771724537037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{"issue":{"subject":"","project_id":79,"tracker_id":40,"status_id":1,"priority_id":2,"assigned_to_id":23,"start_date":"2017-05-26","description":"","custom_fields":[{"id":1,"name":"Subdivision","value":"EC"},{"id":4,"name":"Milepost","value":"2.1848"},{"id":17,"name":"Train ID","value":"160-26"},{"id":16,"name":"Locomotive ID","value":"4005"},{"id":130,"name":"Impact","value":""},{"id":150,"name":"Time of Event (Mountain Time)","value":"12:31:17"},{"id":151,"name":"Denver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/cygdrive/c/Users/stu/AppData/Local/Temp/OnboardLogs/RTDC4005 --include="*4005*201705261*"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"%USERPROFILE%\AppData\Local\Temp\OnboardLogs"\RTDC4005\*4005*201705261* &gt;&gt; 2017-05-26-SliceDisagreementCheck.txt</v>
      </c>
      <c r="AE15" s="148" t="str">
        <f t="shared" si="9"/>
        <v>start /low /b %USERPROFILE%\Documents\GitHub\eaglep3\Utilities\DownloadLogsFromS3.py --loco 4005 --day 2017-05-26</v>
      </c>
      <c r="AF15" s="1"/>
    </row>
    <row r="16" spans="1:32" x14ac:dyDescent="0.25">
      <c r="A16" s="31">
        <v>42881.302581018521</v>
      </c>
      <c r="B16" s="30" t="s">
        <v>601</v>
      </c>
      <c r="C16" s="30" t="s">
        <v>602</v>
      </c>
      <c r="D16" s="30" t="s">
        <v>49</v>
      </c>
      <c r="E16" s="30" t="s">
        <v>202</v>
      </c>
      <c r="F16" s="42">
        <v>600</v>
      </c>
      <c r="G16" s="42">
        <v>707</v>
      </c>
      <c r="H16" s="42">
        <v>181579</v>
      </c>
      <c r="I16" s="42">
        <v>184486</v>
      </c>
      <c r="J16" s="30" t="s">
        <v>203</v>
      </c>
      <c r="K16" s="42">
        <v>183829</v>
      </c>
      <c r="L16" s="134" t="s">
        <v>50</v>
      </c>
      <c r="M16" s="135">
        <f t="shared" si="0"/>
        <v>-346.89599999999996</v>
      </c>
      <c r="N16" s="136" t="str">
        <f>VLOOKUP(C16,'Trips&amp;Operators'!$C$1:$G$99999,5,FALSE)</f>
        <v>STARKS ANGELINA</v>
      </c>
      <c r="O16" s="210" t="s">
        <v>182</v>
      </c>
      <c r="P16" s="137"/>
      <c r="Q16" s="30"/>
      <c r="R16" s="84" t="str">
        <f>IF(VLOOKUP(C16,'Train Runs'!$A$13:$AE$9925,1,1)=C16,VLOOKUP(C16,'Train Runs'!$A$13:$AE$9925,31,1),NA())</f>
        <v>aws s3 cp s3://rtdc.mdm.uploadarchive.raw/RTDC4016/ "%USERPROFILE%\AppData\Local\Temp\OnboardLogs"\RTDC4016\2017-05-26 --exclude "*" --recursive --include "*20170526*" &amp; "%USERPROFILE%\Documents\GitHub\mrs-test-scripts\Headless Mode &amp; Sideloading\WalkAndUnGZ.bat" "%USERPROFILE%\AppData\Local\Temp\OnboardLogs"\RTDC4016\2017-05-26 &amp; aws s3 cp s3://rtdc.mdm.uploadarchive.raw/RTDC4016/ "%USERPROFILE%\AppData\Local\Temp\OnboardLogs"\RTDC4016\2017-05-27 --exclude "*" --recursive --include "*20170527*" &amp; "%USERPROFILE%\Documents\GitHub\mrs-test-scripts\Headless Mode &amp; Sideloading\WalkAndUnGZ.bat" "%USERPROFILE%\AppData\Local\Temp\OnboardLogs"\RTDC4016\2017-05-27</v>
      </c>
      <c r="S16" s="87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-05-26T05:39:56-0600',mode:absolute,to:'2017-05-26T08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89" t="str">
        <f t="shared" si="1"/>
        <v>"C:\Program Files (x86)\AstroGrep\AstroGrep.exe" /e /r /s /spath="%USERPROFILE%\AppData\Local\Temp\OnboardLogs" /stypes="*4016*201705261*"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4016</v>
      </c>
      <c r="V16" s="31">
        <f t="shared" si="3"/>
        <v>42881.552581018521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{"issue":{"subject":"","project_id":79,"tracker_id":40,"status_id":1,"priority_id":2,"assigned_to_id":23,"start_date":"2017-05-26","description":"","custom_fields":[{"id":1,"name":"Subdivision","value":"EC"},{"id":4,"name":"Milepost","value":"18.3829"},{"id":17,"name":"Train ID","value":"125-26"},{"id":16,"name":"Locomotive ID","value":"4016"},{"id":130,"name":"Impact","value":""},{"id":150,"name":"Time of Event (Mountain Time)","value":"07:15:43"},{"id":151,"name":"Denver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/cygdrive/c/Users/stu/AppData/Local/Temp/OnboardLogs/RTDC4016 --include="*4016*201705261*"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"%USERPROFILE%\AppData\Local\Temp\OnboardLogs"\RTDC4016\*4016*201705261* &gt;&gt; 2017-05-26-SliceDisagreementCheck.txt</v>
      </c>
      <c r="AE16" s="148" t="str">
        <f t="shared" si="9"/>
        <v>start /low /b %USERPROFILE%\Documents\GitHub\eaglep3\Utilities\DownloadLogsFromS3.py --loco 4016 --day 2017-05-26</v>
      </c>
      <c r="AF16" s="1"/>
    </row>
    <row r="17" spans="1:32" x14ac:dyDescent="0.25">
      <c r="A17" s="31">
        <v>42881.323275462964</v>
      </c>
      <c r="B17" s="30" t="s">
        <v>603</v>
      </c>
      <c r="C17" s="30" t="s">
        <v>604</v>
      </c>
      <c r="D17" s="30" t="s">
        <v>49</v>
      </c>
      <c r="E17" s="30" t="s">
        <v>366</v>
      </c>
      <c r="F17" s="42">
        <v>0</v>
      </c>
      <c r="G17" s="42">
        <v>158</v>
      </c>
      <c r="H17" s="42">
        <v>959</v>
      </c>
      <c r="I17" s="42">
        <v>1120</v>
      </c>
      <c r="J17" s="30" t="s">
        <v>367</v>
      </c>
      <c r="K17" s="42">
        <v>1692</v>
      </c>
      <c r="L17" s="134" t="s">
        <v>50</v>
      </c>
      <c r="M17" s="135">
        <f t="shared" si="0"/>
        <v>302.01600000000002</v>
      </c>
      <c r="N17" s="136" t="str">
        <f>VLOOKUP(C17,'Trips&amp;Operators'!$C$1:$G$99999,5,FALSE)</f>
        <v>BONDS REYNALDO</v>
      </c>
      <c r="O17" s="210" t="s">
        <v>182</v>
      </c>
      <c r="P17" s="137" t="s">
        <v>1015</v>
      </c>
      <c r="Q17" s="30"/>
      <c r="R17" s="84" t="str">
        <f>IF(VLOOKUP(C17,'Train Runs'!$A$13:$AE$9925,1,1)=C17,VLOOKUP(C17,'Train Runs'!$A$13:$AE$9925,31,1),NA())</f>
        <v>aws s3 cp s3://rtdc.mdm.uploadarchive.raw/RTDC4002/ "%USERPROFILE%\AppData\Local\Temp\OnboardLogs"\RTDC4002\2017-05-26 --exclude "*" --recursive --include "*20170526*" &amp; "%USERPROFILE%\Documents\GitHub\mrs-test-scripts\Headless Mode &amp; Sideloading\WalkAndUnGZ.bat" "%USERPROFILE%\AppData\Local\Temp\OnboardLogs"\RTDC4002\2017-05-26 &amp; aws s3 cp s3://rtdc.mdm.uploadarchive.raw/RTDC4002/ "%USERPROFILE%\AppData\Local\Temp\OnboardLogs"\RTDC4002\2017-05-27 --exclude "*" --recursive --include "*20170527*" &amp; "%USERPROFILE%\Documents\GitHub\mrs-test-scripts\Headless Mode &amp; Sideloading\WalkAndUnGZ.bat" "%USERPROFILE%\AppData\Local\Temp\OnboardLogs"\RTDC4002\2017-05-27</v>
      </c>
      <c r="S17" s="87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-05-26T06:39:54-0600',mode:absolute,to:'2017-05-26T09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9" t="str">
        <f t="shared" si="1"/>
        <v>"C:\Program Files (x86)\AstroGrep\AstroGrep.exe" /e /r /s /spath="%USERPROFILE%\AppData\Local\Temp\OnboardLogs" /stypes="*4002*201705261*"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4002</v>
      </c>
      <c r="V17" s="31">
        <f t="shared" si="3"/>
        <v>42881.573275462964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{"issue":{"subject":"Selected wrong track","project_id":79,"tracker_id":40,"status_id":1,"priority_id":2,"assigned_to_id":23,"start_date":"2017-05-26","description":"","custom_fields":[{"id":1,"name":"Subdivision","value":"EC"},{"id":4,"name":"Milepost","value":"0.1692"},{"id":17,"name":"Train ID","value":"133-26"},{"id":16,"name":"Locomotive ID","value":"4002"},{"id":130,"name":"Impact","value":""},{"id":150,"name":"Time of Event (Mountain Time)","value":"07:45:31"},{"id":151,"name":"Denver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/cygdrive/c/Users/stu/AppData/Local/Temp/OnboardLogs/RTDC4002 --include="*4002*201705261*"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"%USERPROFILE%\AppData\Local\Temp\OnboardLogs"\RTDC4002\*4002*201705261* &gt;&gt; 2017-05-26-SliceDisagreementCheck.txt</v>
      </c>
      <c r="AE17" s="148" t="str">
        <f t="shared" si="9"/>
        <v>start /low /b %USERPROFILE%\Documents\GitHub\eaglep3\Utilities\DownloadLogsFromS3.py --loco 4002 --day 2017-05-26</v>
      </c>
      <c r="AF17" s="1"/>
    </row>
    <row r="18" spans="1:32" x14ac:dyDescent="0.25">
      <c r="A18" s="31">
        <v>42881.188391203701</v>
      </c>
      <c r="B18" s="30" t="s">
        <v>453</v>
      </c>
      <c r="C18" s="30" t="s">
        <v>596</v>
      </c>
      <c r="D18" s="30" t="s">
        <v>49</v>
      </c>
      <c r="E18" s="30" t="s">
        <v>366</v>
      </c>
      <c r="F18" s="42">
        <v>0</v>
      </c>
      <c r="G18" s="42">
        <v>514</v>
      </c>
      <c r="H18" s="42">
        <v>134018</v>
      </c>
      <c r="I18" s="42">
        <v>132461</v>
      </c>
      <c r="J18" s="30" t="s">
        <v>367</v>
      </c>
      <c r="K18" s="42">
        <v>133166</v>
      </c>
      <c r="L18" s="134" t="s">
        <v>51</v>
      </c>
      <c r="M18" s="135">
        <f t="shared" si="0"/>
        <v>-372.24</v>
      </c>
      <c r="N18" s="136" t="str">
        <f>VLOOKUP(C18,'Trips&amp;Operators'!$C$1:$G$99999,5,FALSE)</f>
        <v>STARKS ANGELINA</v>
      </c>
      <c r="O18" s="210" t="s">
        <v>424</v>
      </c>
      <c r="P18" s="137" t="s">
        <v>426</v>
      </c>
      <c r="Q18" s="30"/>
      <c r="R18" s="84" t="str">
        <f>IF(VLOOKUP(C18,'Train Runs'!$A$13:$AE$9925,1,1)=C18,VLOOKUP(C18,'Train Runs'!$A$13:$AE$9925,31,1),NA())</f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S18" s="87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-05-26T03:13:38-0600',mode:absolute,to:'2017-05-26T05:59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9" t="str">
        <f t="shared" si="1"/>
        <v>"C:\Program Files (x86)\AstroGrep\AstroGrep.exe" /e /r /s /spath="%USERPROFILE%\AppData\Local\Temp\OnboardLogs" /stypes="*4025*201705261*"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42881.438391203701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drop","project_id":79,"tracker_id":40,"status_id":1,"priority_id":2,"assigned_to_id":23,"start_date":"2017-05-26","description":"","custom_fields":[{"id":1,"name":"Subdivision","value":"EC"},{"id":4,"name":"Milepost","value":"13.3166"},{"id":17,"name":"Train ID","value":"102-26"},{"id":16,"name":"Locomotive ID","value":"4025"},{"id":130,"name":"Impact","value":""},{"id":150,"name":"Time of Event (Mountain Time)","value":"04:31:17"},{"id":151,"name":"Denver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/cygdrive/c/Users/stu/AppData/Local/Temp/OnboardLogs/RTDC4025 --include="*4025*201705261*"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"%USERPROFILE%\AppData\Local\Temp\OnboardLogs"\RTDC4025\*4025*201705261* &gt;&gt; 2017-05-26-SliceDisagreementCheck.txt</v>
      </c>
      <c r="AE18" s="148" t="str">
        <f t="shared" si="9"/>
        <v>start /low /b %USERPROFILE%\Documents\GitHub\eaglep3\Utilities\DownloadLogsFromS3.py --loco 4025 --day 2017-05-26</v>
      </c>
      <c r="AF18" s="1"/>
    </row>
    <row r="19" spans="1:32" x14ac:dyDescent="0.25">
      <c r="A19" s="31">
        <v>42881.483182870368</v>
      </c>
      <c r="B19" s="30" t="s">
        <v>453</v>
      </c>
      <c r="C19" s="30" t="s">
        <v>611</v>
      </c>
      <c r="D19" s="30" t="s">
        <v>49</v>
      </c>
      <c r="E19" s="30" t="s">
        <v>366</v>
      </c>
      <c r="F19" s="42">
        <v>0</v>
      </c>
      <c r="G19" s="42">
        <v>662</v>
      </c>
      <c r="H19" s="42">
        <v>171268</v>
      </c>
      <c r="I19" s="42">
        <v>168350</v>
      </c>
      <c r="J19" s="30" t="s">
        <v>367</v>
      </c>
      <c r="K19" s="42">
        <v>168014</v>
      </c>
      <c r="L19" s="134" t="s">
        <v>51</v>
      </c>
      <c r="M19" s="135">
        <f t="shared" si="0"/>
        <v>177.40799999999999</v>
      </c>
      <c r="N19" s="136" t="str">
        <f>VLOOKUP(C19,'Trips&amp;Operators'!$C$1:$G$99999,5,FALSE)</f>
        <v>THOMPSON LESTER</v>
      </c>
      <c r="O19" s="210" t="s">
        <v>424</v>
      </c>
      <c r="P19" s="137" t="s">
        <v>426</v>
      </c>
      <c r="Q19" s="30"/>
      <c r="R19" s="84" t="str">
        <f>IF(VLOOKUP(C19,'Train Runs'!$A$13:$AE$9925,1,1)=C19,VLOOKUP(C19,'Train Runs'!$A$13:$AE$9925,31,1),NA())</f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S19" s="87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-05-26T10:22:02-0600',mode:absolute,to:'2017-05-26T13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9" t="str">
        <f t="shared" si="1"/>
        <v>"C:\Program Files (x86)\AstroGrep\AstroGrep.exe" /e /r /s /spath="%USERPROFILE%\AppData\Local\Temp\OnboardLogs" /stypes="*4025*201705261*"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4025</v>
      </c>
      <c r="V19" s="31">
        <f t="shared" si="3"/>
        <v>42881.733182870368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drop","project_id":79,"tracker_id":40,"status_id":1,"priority_id":2,"assigned_to_id":23,"start_date":"2017-05-26","description":"","custom_fields":[{"id":1,"name":"Subdivision","value":"EC"},{"id":4,"name":"Milepost","value":"16.8014"},{"id":17,"name":"Train ID","value":"156-26"},{"id":16,"name":"Locomotive ID","value":"4025"},{"id":130,"name":"Impact","value":""},{"id":150,"name":"Time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/cygdrive/c/Users/stu/AppData/Local/Temp/OnboardLogs/RTDC4025 --include="*4025*201705261*"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"%USERPROFILE%\AppData\Local\Temp\OnboardLogs"\RTDC4025\*4025*201705261* &gt;&gt; 2017-05-26-SliceDisagreementCheck.txt</v>
      </c>
      <c r="AE19" s="148" t="str">
        <f t="shared" si="9"/>
        <v>start /low /b %USERPROFILE%\Documents\GitHub\eaglep3\Utilities\DownloadLogsFromS3.py --loco 4025 --day 2017-05-26</v>
      </c>
      <c r="AF19" s="1"/>
    </row>
    <row r="20" spans="1:32" x14ac:dyDescent="0.25">
      <c r="A20" s="31">
        <v>42881.503541666665</v>
      </c>
      <c r="B20" s="30" t="s">
        <v>452</v>
      </c>
      <c r="C20" s="30" t="s">
        <v>612</v>
      </c>
      <c r="D20" s="30" t="s">
        <v>49</v>
      </c>
      <c r="E20" s="30" t="s">
        <v>366</v>
      </c>
      <c r="F20" s="42">
        <v>0</v>
      </c>
      <c r="G20" s="42">
        <v>665</v>
      </c>
      <c r="H20" s="42">
        <v>172679</v>
      </c>
      <c r="I20" s="42">
        <v>169923</v>
      </c>
      <c r="J20" s="30" t="s">
        <v>367</v>
      </c>
      <c r="K20" s="42">
        <v>168014</v>
      </c>
      <c r="L20" s="134" t="s">
        <v>51</v>
      </c>
      <c r="M20" s="135">
        <f t="shared" si="0"/>
        <v>1007.952</v>
      </c>
      <c r="N20" s="136" t="str">
        <f>VLOOKUP(C20,'Trips&amp;Operators'!$C$1:$G$99999,5,FALSE)</f>
        <v>LOZA FIDEL</v>
      </c>
      <c r="O20" s="210" t="s">
        <v>424</v>
      </c>
      <c r="P20" s="137" t="s">
        <v>426</v>
      </c>
      <c r="Q20" s="30"/>
      <c r="R20" s="84" t="str">
        <f>IF(VLOOKUP(C20,'Train Runs'!$A$13:$AE$9925,1,1)=C20,VLOOKUP(C20,'Train Runs'!$A$13:$AE$9925,31,1),NA())</f>
        <v>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 &amp; 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</v>
      </c>
      <c r="S20" s="87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-05-26T10:50:23-0600',mode:absolute,to:'2017-05-26T13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0" s="89" t="str">
        <f t="shared" si="1"/>
        <v>"C:\Program Files (x86)\AstroGrep\AstroGrep.exe" /e /r /s /spath="%USERPROFILE%\AppData\Local\Temp\OnboardLogs" /stypes="*4005*201705261*"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4005</v>
      </c>
      <c r="V20" s="31">
        <f t="shared" si="3"/>
        <v>42881.753541666665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drop","project_id":79,"tracker_id":40,"status_id":1,"priority_id":2,"assigned_to_id":23,"start_date":"2017-05-26","description":"","custom_fields":[{"id":1,"name":"Subdivision","value":"EC"},{"id":4,"name":"Milepost","value":"16.8014"},{"id":17,"name":"Train ID","value":"160-26"},{"id":16,"name":"Locomotive ID","value":"4005"},{"id":130,"name":"Impact","value":""},{"id":150,"name":"Time of Event (Mountain Time)","value":"12:05:06"},{"id":151,"name":"Denver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/cygdrive/c/Users/stu/AppData/Local/Temp/OnboardLogs/RTDC4005 --include="*4005*201705261*"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"%USERPROFILE%\AppData\Local\Temp\OnboardLogs"\RTDC4005\*4005*201705261* &gt;&gt; 2017-05-26-SliceDisagreementCheck.txt</v>
      </c>
      <c r="AE20" s="148" t="str">
        <f t="shared" si="9"/>
        <v>start /low /b %USERPROFILE%\Documents\GitHub\eaglep3\Utilities\DownloadLogsFromS3.py --loco 4005 --day 2017-05-26</v>
      </c>
      <c r="AF20" s="1"/>
    </row>
    <row r="21" spans="1:32" x14ac:dyDescent="0.25">
      <c r="A21" s="31">
        <v>42881.524513888886</v>
      </c>
      <c r="B21" s="30" t="s">
        <v>513</v>
      </c>
      <c r="C21" s="30" t="s">
        <v>614</v>
      </c>
      <c r="D21" s="30" t="s">
        <v>49</v>
      </c>
      <c r="E21" s="30" t="s">
        <v>366</v>
      </c>
      <c r="F21" s="42">
        <v>0</v>
      </c>
      <c r="G21" s="42">
        <v>701</v>
      </c>
      <c r="H21" s="42">
        <v>172773</v>
      </c>
      <c r="I21" s="42">
        <v>169313</v>
      </c>
      <c r="J21" s="30" t="s">
        <v>367</v>
      </c>
      <c r="K21" s="42">
        <v>168014</v>
      </c>
      <c r="L21" s="134" t="s">
        <v>51</v>
      </c>
      <c r="M21" s="135">
        <f t="shared" si="0"/>
        <v>685.87199999999996</v>
      </c>
      <c r="N21" s="136" t="str">
        <f>VLOOKUP(C21,'Trips&amp;Operators'!$C$1:$G$99999,5,FALSE)</f>
        <v>STEWART MICHAEL</v>
      </c>
      <c r="O21" s="210" t="s">
        <v>424</v>
      </c>
      <c r="P21" s="137" t="s">
        <v>426</v>
      </c>
      <c r="Q21" s="30"/>
      <c r="R21" s="84" t="str">
        <f>IF(VLOOKUP(C21,'Train Runs'!$A$13:$AE$9925,1,1)=C21,VLOOKUP(C21,'Train Runs'!$A$13:$AE$9925,31,1),NA())</f>
        <v>aws s3 cp s3://rtdc.mdm.uploadarchive.raw/RTDC4057/ "%USERPROFILE%\AppData\Local\Temp\OnboardLogs"\RTDC4057\2017-05-26 --exclude "*" --recursive --include "*20170526*" &amp; "%USERPROFILE%\Documents\GitHub\mrs-test-scripts\Headless Mode &amp; Sideloading\WalkAndUnGZ.bat" "%USERPROFILE%\AppData\Local\Temp\OnboardLogs"\RTDC4057\2017-05-26 &amp; aws s3 cp s3://rtdc.mdm.uploadarchive.raw/RTDC4057/ "%USERPROFILE%\AppData\Local\Temp\OnboardLogs"\RTDC4057\2017-05-27 --exclude "*" --recursive --include "*20170527*" &amp; "%USERPROFILE%\Documents\GitHub\mrs-test-scripts\Headless Mode &amp; Sideloading\WalkAndUnGZ.bat" "%USERPROFILE%\AppData\Local\Temp\OnboardLogs"\RTDC4057\2017-05-27</v>
      </c>
      <c r="S21" s="87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-05-26T11:22:24-0600',mode:absolute,to:'2017-05-26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1" s="89" t="str">
        <f t="shared" si="1"/>
        <v>"C:\Program Files (x86)\AstroGrep\AstroGrep.exe" /e /r /s /spath="%USERPROFILE%\AppData\Local\Temp\OnboardLogs" /stypes="*4057*201705261*"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4057</v>
      </c>
      <c r="V21" s="31">
        <f t="shared" si="3"/>
        <v>42881.774513888886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drop","project_id":79,"tracker_id":40,"status_id":1,"priority_id":2,"assigned_to_id":23,"start_date":"2017-05-26","description":"","custom_fields":[{"id":1,"name":"Subdivision","value":"EC"},{"id":4,"name":"Milepost","value":"16.8014"},{"id":17,"name":"Train ID","value":"164-26"},{"id":16,"name":"Locomotive ID","value":"4057"},{"id":130,"name":"Impact","value":""},{"id":150,"name":"Time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/cygdrive/c/Users/stu/AppData/Local/Temp/OnboardLogs/RTDC4057 --include="*4057*201705261*"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"%USERPROFILE%\AppData\Local\Temp\OnboardLogs"\RTDC4057\*4057*201705261* &gt;&gt; 2017-05-26-SliceDisagreementCheck.txt</v>
      </c>
      <c r="AE21" s="148" t="str">
        <f t="shared" si="9"/>
        <v>start /low /b %USERPROFILE%\Documents\GitHub\eaglep3\Utilities\DownloadLogsFromS3.py --loco 4057 --day 2017-05-26</v>
      </c>
      <c r="AF21" s="1"/>
    </row>
    <row r="22" spans="1:32" x14ac:dyDescent="0.25">
      <c r="A22" s="31">
        <v>42881.426423611112</v>
      </c>
      <c r="B22" s="30" t="s">
        <v>608</v>
      </c>
      <c r="C22" s="30" t="s">
        <v>609</v>
      </c>
      <c r="D22" s="30" t="s">
        <v>49</v>
      </c>
      <c r="E22" s="30" t="s">
        <v>366</v>
      </c>
      <c r="F22" s="42">
        <v>0</v>
      </c>
      <c r="G22" s="42">
        <v>684</v>
      </c>
      <c r="H22" s="42">
        <v>181071</v>
      </c>
      <c r="I22" s="42">
        <v>183931</v>
      </c>
      <c r="J22" s="30" t="s">
        <v>367</v>
      </c>
      <c r="K22" s="42">
        <v>182907</v>
      </c>
      <c r="L22" s="134" t="s">
        <v>50</v>
      </c>
      <c r="M22" s="135">
        <f t="shared" si="0"/>
        <v>-540.67200000000003</v>
      </c>
      <c r="N22" s="136" t="str">
        <f>VLOOKUP(C22,'Trips&amp;Operators'!$C$1:$G$99999,5,FALSE)</f>
        <v>BIRENBAUM THOMAS</v>
      </c>
      <c r="O22" s="210" t="s">
        <v>424</v>
      </c>
      <c r="P22" s="137" t="s">
        <v>426</v>
      </c>
      <c r="Q22" s="30"/>
      <c r="R22" s="84" t="str">
        <f>IF(VLOOKUP(C22,'Train Runs'!$A$13:$AE$9925,1,1)=C22,VLOOKUP(C22,'Train Runs'!$A$13:$AE$9925,31,1),NA())</f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S22" s="87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-05-26T08:40:04-0600',mode:absolute,to:'2017-05-26T11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9" t="str">
        <f t="shared" si="1"/>
        <v>"C:\Program Files (x86)\AstroGrep\AstroGrep.exe" /e /r /s /spath="%USERPROFILE%\AppData\Local\Temp\OnboardLogs" /stypes="*4058*201705261*"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4058</v>
      </c>
      <c r="V22" s="31">
        <f t="shared" si="3"/>
        <v>42881.676423611112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drop","project_id":79,"tracker_id":40,"status_id":1,"priority_id":2,"assigned_to_id":23,"start_date":"2017-05-26","description":"","custom_fields":[{"id":1,"name":"Subdivision","value":"EC"},{"id":4,"name":"Milepost","value":"18.2907"},{"id":17,"name":"Train ID","value":"149-26"},{"id":16,"name":"Locomotive ID","value":"4058"},{"id":130,"name":"Impact","value":""},{"id":150,"name":"Time of Event (Mountain Time)","value":"10:14:03"},{"id":151,"name":"Denver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/cygdrive/c/Users/stu/AppData/Local/Temp/OnboardLogs/RTDC4058 --include="*4058*201705261*"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"%USERPROFILE%\AppData\Local\Temp\OnboardLogs"\RTDC4058\*4058*201705261* &gt;&gt; 2017-05-26-SliceDisagreementCheck.txt</v>
      </c>
      <c r="AE22" s="148" t="str">
        <f t="shared" si="9"/>
        <v>start /low /b %USERPROFILE%\Documents\GitHub\eaglep3\Utilities\DownloadLogsFromS3.py --loco 4058 --day 2017-05-26</v>
      </c>
      <c r="AF22" s="1"/>
    </row>
    <row r="23" spans="1:32" x14ac:dyDescent="0.25">
      <c r="A23" s="31">
        <v>42881.554675925923</v>
      </c>
      <c r="B23" s="30" t="s">
        <v>608</v>
      </c>
      <c r="C23" s="30" t="s">
        <v>615</v>
      </c>
      <c r="D23" s="30" t="s">
        <v>49</v>
      </c>
      <c r="E23" s="30" t="s">
        <v>432</v>
      </c>
      <c r="F23" s="42">
        <v>0</v>
      </c>
      <c r="G23" s="42">
        <v>591</v>
      </c>
      <c r="H23" s="42">
        <v>13095</v>
      </c>
      <c r="I23" s="42">
        <v>16576</v>
      </c>
      <c r="J23" s="30" t="s">
        <v>427</v>
      </c>
      <c r="K23" s="42">
        <v>14363</v>
      </c>
      <c r="L23" s="134" t="s">
        <v>50</v>
      </c>
      <c r="M23" s="135">
        <f t="shared" si="0"/>
        <v>-1168.4639999999999</v>
      </c>
      <c r="N23" s="136" t="str">
        <f>VLOOKUP(C23,'Trips&amp;Operators'!$C$1:$G$99999,5,FALSE)</f>
        <v>STEWART MICHAEL</v>
      </c>
      <c r="O23" s="210" t="s">
        <v>424</v>
      </c>
      <c r="P23" s="137" t="s">
        <v>426</v>
      </c>
      <c r="Q23" s="30"/>
      <c r="R23" s="84" t="str">
        <f>IF(VLOOKUP(C23,'Train Runs'!$A$13:$AE$9925,1,1)=C23,VLOOKUP(C23,'Train Runs'!$A$13:$AE$9925,31,1),NA())</f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S23" s="87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-05-26T12:10:38-0600',mode:absolute,to:'2017-05-26T14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3" s="89" t="str">
        <f t="shared" si="1"/>
        <v>"C:\Program Files (x86)\AstroGrep\AstroGrep.exe" /e /r /s /spath="%USERPROFILE%\AppData\Local\Temp\OnboardLogs" /stypes="*4058*201705261*"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4058</v>
      </c>
      <c r="V23" s="31">
        <f t="shared" si="3"/>
        <v>42881.804675925923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drop","project_id":79,"tracker_id":40,"status_id":1,"priority_id":2,"assigned_to_id":23,"start_date":"2017-05-26","description":"","custom_fields":[{"id":1,"name":"Subdivision","value":"EC"},{"id":4,"name":"Milepost","value":"1.4363"},{"id":17,"name":"Train ID","value":"177-26"},{"id":16,"name":"Locomotive ID","value":"4058"},{"id":130,"name":"Impact","value":""},{"id":150,"name":"Time of Event (Mountain Time)","value":"13:18:44"},{"id":151,"name":"Denver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/cygdrive/c/Users/stu/AppData/Local/Temp/OnboardLogs/RTDC4058 --include="*4058*201705261*"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"%USERPROFILE%\AppData\Local\Temp\OnboardLogs"\RTDC4058\*4058*201705261* &gt;&gt; 2017-05-26-SliceDisagreementCheck.txt</v>
      </c>
      <c r="AE23" s="148" t="str">
        <f t="shared" si="9"/>
        <v>start /low /b %USERPROFILE%\Documents\GitHub\eaglep3\Utilities\DownloadLogsFromS3.py --loco 4058 --day 2017-05-26</v>
      </c>
      <c r="AF23" s="1"/>
    </row>
    <row r="24" spans="1:32" x14ac:dyDescent="0.25">
      <c r="A24" s="31">
        <v>42881.797534722224</v>
      </c>
      <c r="B24" s="30" t="s">
        <v>453</v>
      </c>
      <c r="C24" s="30" t="s">
        <v>623</v>
      </c>
      <c r="D24" s="30" t="s">
        <v>49</v>
      </c>
      <c r="E24" s="30" t="s">
        <v>183</v>
      </c>
      <c r="F24" s="42">
        <v>0</v>
      </c>
      <c r="G24" s="42">
        <v>62</v>
      </c>
      <c r="H24" s="42">
        <v>218</v>
      </c>
      <c r="I24" s="42">
        <v>180</v>
      </c>
      <c r="J24" s="30" t="s">
        <v>184</v>
      </c>
      <c r="K24" s="42">
        <v>1</v>
      </c>
      <c r="L24" s="134" t="s">
        <v>51</v>
      </c>
      <c r="M24" s="135">
        <f t="shared" si="0"/>
        <v>94.512</v>
      </c>
      <c r="N24" s="136" t="str">
        <f>VLOOKUP(C24,'Trips&amp;Operators'!$C$1:$G$99999,5,FALSE)</f>
        <v>LEVIN SCOTT</v>
      </c>
      <c r="O24" s="210" t="s">
        <v>182</v>
      </c>
      <c r="P24" s="137"/>
      <c r="Q24" s="30"/>
      <c r="R24" s="84" t="str">
        <f>IF(VLOOKUP(C24,'Train Runs'!$A$13:$AE$9925,1,1)=C24,VLOOKUP(C24,'Train Runs'!$A$13:$AE$9925,31,1),NA())</f>
        <v>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 &amp; 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</v>
      </c>
      <c r="S24" s="87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-05-26T17:16:06-0600',mode:absolute,to:'2017-05-26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9" t="str">
        <f t="shared" si="1"/>
        <v>"C:\Program Files (x86)\AstroGrep\AstroGrep.exe" /e /r /s /spath="%USERPROFILE%\AppData\Local\Temp\OnboardLogs" /stypes="*4025*201705270*" /stext=" 01:.+((SYSTEM_STATE.+slice.+state.+changed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42882.047534722224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{"issue":{"subject":"","project_id":79,"tracker_id":40,"status_id":1,"priority_id":2,"assigned_to_id":23,"start_date":"2017-05-26","description":"","custom_fields":[{"id":1,"name":"Subdivision","value":"EC"},{"id":4,"name":"Milepost","value":"0.0001"},{"id":17,"name":"Train ID","value":"212-26"},{"id":16,"name":"Locomotive ID","value":"4025"},{"id":130,"name":"Impact","value":""},{"id":150,"name":"Time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/cygdrive/c/Users/stu/AppData/Local/Temp/OnboardLogs/RTDC4025 --include="*4025*201705270*"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"%USERPROFILE%\AppData\Local\Temp\OnboardLogs"\RTDC4025\*4025*201705270* &gt;&gt; 2017-05-26-SliceDisagreementCheck.txt</v>
      </c>
      <c r="AE24" s="148" t="str">
        <f t="shared" si="9"/>
        <v>start /low /b %USERPROFILE%\Documents\GitHub\eaglep3\Utilities\DownloadLogsFromS3.py --loco 4025 --day 2017-05-27</v>
      </c>
      <c r="AF24" s="1"/>
    </row>
    <row r="25" spans="1:32" x14ac:dyDescent="0.25">
      <c r="A25" s="31">
        <v>42881.186469907407</v>
      </c>
      <c r="B25" s="30" t="s">
        <v>594</v>
      </c>
      <c r="C25" s="30" t="s">
        <v>595</v>
      </c>
      <c r="D25" s="30" t="s">
        <v>49</v>
      </c>
      <c r="E25" s="30" t="s">
        <v>183</v>
      </c>
      <c r="F25" s="42">
        <v>0</v>
      </c>
      <c r="G25" s="42">
        <v>52</v>
      </c>
      <c r="H25" s="42">
        <v>233234</v>
      </c>
      <c r="I25" s="42">
        <v>233289</v>
      </c>
      <c r="J25" s="30" t="s">
        <v>184</v>
      </c>
      <c r="K25" s="42">
        <v>233491</v>
      </c>
      <c r="L25" s="134" t="s">
        <v>50</v>
      </c>
      <c r="M25" s="135">
        <f t="shared" si="0"/>
        <v>106.65600000000001</v>
      </c>
      <c r="N25" s="136" t="str">
        <f>VLOOKUP(C25,'Trips&amp;Operators'!$C$1:$G$99999,5,FALSE)</f>
        <v>WILLIAMS DONTE</v>
      </c>
      <c r="O25" s="210" t="s">
        <v>182</v>
      </c>
      <c r="P25" s="137"/>
      <c r="Q25" s="30"/>
      <c r="R25" s="84" t="str">
        <f>IF(VLOOKUP(C25,'Train Runs'!$A$13:$AE$9925,1,1)=C25,VLOOKUP(C25,'Train Runs'!$A$13:$AE$9925,31,1),NA())</f>
        <v>aws s3 cp s3://rtdc.mdm.uploadarchive.raw/RTDC4062/ "%USERPROFILE%\AppData\Local\Temp\OnboardLogs"\RTDC4062\2017-05-26 --exclude "*" --recursive --include "*20170526*" &amp; "%USERPROFILE%\Documents\GitHub\mrs-test-scripts\Headless Mode &amp; Sideloading\WalkAndUnGZ.bat" "%USERPROFILE%\AppData\Local\Temp\OnboardLogs"\RTDC4062\2017-05-26 &amp; aws s3 cp s3://rtdc.mdm.uploadarchive.raw/RTDC4062/ "%USERPROFILE%\AppData\Local\Temp\OnboardLogs"\RTDC4062\2017-05-27 --exclude "*" --recursive --include "*20170527*" &amp; "%USERPROFILE%\Documents\GitHub\mrs-test-scripts\Headless Mode &amp; Sideloading\WalkAndUnGZ.bat" "%USERPROFILE%\AppData\Local\Temp\OnboardLogs"\RTDC4062\2017-05-27</v>
      </c>
      <c r="S25" s="87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-05-26T02:41:35-0600',mode:absolute,to:'2017-05-26T05:28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5" s="89" t="str">
        <f t="shared" si="1"/>
        <v>"C:\Program Files (x86)\AstroGrep\AstroGrep.exe" /e /r /s /spath="%USERPROFILE%\AppData\Local\Temp\OnboardLogs" /stypes="*4062*201705261*" /stext=" 10:.+((SYSTEM_STATE.+slice.+state.+changed )|(ment ac)|(multiple cpu faults)|(system.+state.+changed )|(\[timeout)|(PRM\|1\|D)|(kpr)|(kdp)|(train st.+moving)|(\|lc)|(penalty))"</v>
      </c>
      <c r="U25" s="9" t="str">
        <f t="shared" si="2"/>
        <v>4062</v>
      </c>
      <c r="V25" s="31">
        <f t="shared" si="3"/>
        <v>42881.436469907407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{"issue":{"subject":"","project_id":79,"tracker_id":40,"status_id":1,"priority_id":2,"assigned_to_id":23,"start_date":"2017-05-26","description":"","custom_fields":[{"id":1,"name":"Subdivision","value":"EC"},{"id":4,"name":"Milepost","value":"23.3491"},{"id":17,"name":"Train ID","value":"103-26"},{"id":16,"name":"Locomotive ID","value":"4062"},{"id":130,"name":"Impact","value":""},{"id":150,"name":"Time of Event (Mountain Time)","value":"04:28:31"},{"id":151,"name":"Denver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/cygdrive/c/Users/stu/AppData/Local/Temp/OnboardLogs/RTDC4062 --include="*4062*201705261*"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"%USERPROFILE%\AppData\Local\Temp\OnboardLogs"\RTDC4062\*4062*201705261* &gt;&gt; 2017-05-26-SliceDisagreementCheck.txt</v>
      </c>
      <c r="AE25" s="148" t="str">
        <f t="shared" si="9"/>
        <v>start /low /b %USERPROFILE%\Documents\GitHub\eaglep3\Utilities\DownloadLogsFromS3.py --loco 4062 --day 2017-05-26</v>
      </c>
      <c r="AF25" s="1"/>
    </row>
    <row r="26" spans="1:32" x14ac:dyDescent="0.25">
      <c r="A26" s="31">
        <v>42881.650462962964</v>
      </c>
      <c r="B26" s="30" t="s">
        <v>608</v>
      </c>
      <c r="C26" s="30" t="s">
        <v>619</v>
      </c>
      <c r="D26" s="30" t="s">
        <v>49</v>
      </c>
      <c r="E26" s="30" t="s">
        <v>183</v>
      </c>
      <c r="F26" s="42">
        <v>0</v>
      </c>
      <c r="G26" s="42">
        <v>140</v>
      </c>
      <c r="H26" s="42">
        <v>232917</v>
      </c>
      <c r="I26" s="42">
        <v>233132</v>
      </c>
      <c r="J26" s="30" t="s">
        <v>184</v>
      </c>
      <c r="K26" s="42">
        <v>233491</v>
      </c>
      <c r="L26" s="134" t="s">
        <v>50</v>
      </c>
      <c r="M26" s="135">
        <f t="shared" si="0"/>
        <v>189.55199999999999</v>
      </c>
      <c r="N26" s="136" t="str">
        <f>VLOOKUP(C26,'Trips&amp;Operators'!$C$1:$G$99999,5,FALSE)</f>
        <v>STEWART MICHAEL</v>
      </c>
      <c r="O26" s="210" t="s">
        <v>182</v>
      </c>
      <c r="P26" s="137"/>
      <c r="Q26" s="30"/>
      <c r="R26" s="84" t="str">
        <f>IF(VLOOKUP(C26,'Train Runs'!$A$13:$AE$9925,1,1)=C26,VLOOKUP(C26,'Train Runs'!$A$13:$AE$9925,31,1),NA())</f>
        <v>aws s3 cp s3://rtdc.mdm.uploadarchive.raw/RTDC4058/ "%USERPROFILE%\AppData\Local\Temp\OnboardLogs"\RTDC4058\2017-05-26 --exclude "*" --recursive --include "*20170526*" &amp; "%USERPROFILE%\Documents\GitHub\mrs-test-scripts\Headless Mode &amp; Sideloading\WalkAndUnGZ.bat" "%USERPROFILE%\AppData\Local\Temp\OnboardLogs"\RTDC4058\2017-05-26 &amp; 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</v>
      </c>
      <c r="S26" s="87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-05-26T13:57:32-0600',mode:absolute,to:'2017-05-26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6" s="89" t="str">
        <f t="shared" si="1"/>
        <v>"C:\Program Files (x86)\AstroGrep\AstroGrep.exe" /e /r /s /spath="%USERPROFILE%\AppData\Local\Temp\OnboardLogs" /stypes="*4058*201705262*"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4058</v>
      </c>
      <c r="V26" s="31">
        <f t="shared" si="3"/>
        <v>42881.900462962964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{"issue":{"subject":"","project_id":79,"tracker_id":40,"status_id":1,"priority_id":2,"assigned_to_id":23,"start_date":"2017-05-26","description":"","custom_fields":[{"id":1,"name":"Subdivision","value":"EC"},{"id":4,"name":"Milepost","value":"23.3491"},{"id":17,"name":"Train ID","value":"191-26"},{"id":16,"name":"Locomotive ID","value":"4058"},{"id":130,"name":"Impact","value":""},{"id":150,"name":"Time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/cygdrive/c/Users/stu/AppData/Local/Temp/OnboardLogs/RTDC4058 --include="*4058*201705262*"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"%USERPROFILE%\AppData\Local\Temp\OnboardLogs"\RTDC4058\*4058*201705262* &gt;&gt; 2017-05-26-SliceDisagreementCheck.txt</v>
      </c>
      <c r="AE26" s="148" t="str">
        <f t="shared" si="9"/>
        <v>start /low /b %USERPROFILE%\Documents\GitHub\eaglep3\Utilities\DownloadLogsFromS3.py --loco 4058 --day 2017-05-26</v>
      </c>
      <c r="AF26" s="1"/>
    </row>
    <row r="27" spans="1:32" x14ac:dyDescent="0.25">
      <c r="A27" s="31">
        <v>42881.6015162037</v>
      </c>
      <c r="B27" s="30" t="s">
        <v>514</v>
      </c>
      <c r="C27" s="30" t="s">
        <v>617</v>
      </c>
      <c r="D27" s="30" t="s">
        <v>49</v>
      </c>
      <c r="E27" s="30" t="s">
        <v>202</v>
      </c>
      <c r="F27" s="42">
        <v>300</v>
      </c>
      <c r="G27" s="42">
        <v>351</v>
      </c>
      <c r="H27" s="42">
        <v>20275</v>
      </c>
      <c r="I27" s="42">
        <v>21352</v>
      </c>
      <c r="J27" s="30" t="s">
        <v>203</v>
      </c>
      <c r="K27" s="42">
        <v>21299</v>
      </c>
      <c r="L27" s="134" t="s">
        <v>50</v>
      </c>
      <c r="M27" s="135">
        <f t="shared" si="0"/>
        <v>-27.984000000000002</v>
      </c>
      <c r="N27" s="136" t="str">
        <f>VLOOKUP(C27,'Trips&amp;Operators'!$C$1:$G$99999,5,FALSE)</f>
        <v>LAMAR NEKESHA</v>
      </c>
      <c r="O27" s="210" t="s">
        <v>182</v>
      </c>
      <c r="P27" s="137"/>
      <c r="Q27" s="30"/>
      <c r="R27" s="84" t="str">
        <f>IF(VLOOKUP(C27,'Train Runs'!$A$13:$AE$9925,1,1)=C27,VLOOKUP(C27,'Train Runs'!$A$13:$AE$9925,31,1),NA())</f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S27" s="87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-05-26T13:02:16-0600',mode:absolute,to:'2017-05-26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89" t="str">
        <f t="shared" si="1"/>
        <v>"C:\Program Files (x86)\AstroGrep\AstroGrep.exe" /e /r /s /spath="%USERPROFILE%\AppData\Local\Temp\OnboardLogs" /stypes="*4010*201705262*"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4010</v>
      </c>
      <c r="V27" s="31">
        <f t="shared" si="3"/>
        <v>42881.8515162037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{"issue":{"subject":"","project_id":79,"tracker_id":40,"status_id":1,"priority_id":2,"assigned_to_id":23,"start_date":"2017-05-26","description":"","custom_fields":[{"id":1,"name":"Subdivision","value":"NW"},{"id":4,"name":"Milepost","value":"2.1299"},{"id":17,"name":"Train ID","value":"823-26"},{"id":16,"name":"Locomotive ID","value":"4010"},{"id":130,"name":"Impact","value":""},{"id":150,"name":"Time of Event (Mountain Time)","value":"14:26:11"},{"id":151,"name":"Denver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/cygdrive/c/Users/stu/AppData/Local/Temp/OnboardLogs/RTDC4010 --include="*4010*201705262*"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"%USERPROFILE%\AppData\Local\Temp\OnboardLogs"\RTDC4010\*4010*201705262* &gt;&gt; 2017-05-26-SliceDisagreementCheck.txt</v>
      </c>
      <c r="AE27" s="148" t="str">
        <f t="shared" si="9"/>
        <v>start /low /b %USERPROFILE%\Documents\GitHub\eaglep3\Utilities\DownloadLogsFromS3.py --loco 4010 --day 2017-05-26</v>
      </c>
      <c r="AF27" s="1"/>
    </row>
    <row r="28" spans="1:32" x14ac:dyDescent="0.25">
      <c r="A28" s="31">
        <v>42881.52144675926</v>
      </c>
      <c r="B28" s="30" t="s">
        <v>514</v>
      </c>
      <c r="C28" s="30" t="s">
        <v>613</v>
      </c>
      <c r="D28" s="30" t="s">
        <v>98</v>
      </c>
      <c r="E28" s="30" t="s">
        <v>202</v>
      </c>
      <c r="F28" s="42">
        <v>400</v>
      </c>
      <c r="G28" s="42">
        <v>453</v>
      </c>
      <c r="H28" s="42">
        <v>49347</v>
      </c>
      <c r="I28" s="42">
        <v>50506</v>
      </c>
      <c r="J28" s="30" t="s">
        <v>203</v>
      </c>
      <c r="K28" s="42">
        <v>47810</v>
      </c>
      <c r="L28" s="134" t="s">
        <v>50</v>
      </c>
      <c r="M28" s="135">
        <f t="shared" si="0"/>
        <v>-1423.4880000000001</v>
      </c>
      <c r="N28" s="136" t="str">
        <f>VLOOKUP(C28,'Trips&amp;Operators'!$C$1:$G$99999,5,FALSE)</f>
        <v>ZEWDU DEREJE</v>
      </c>
      <c r="O28" s="210" t="s">
        <v>182</v>
      </c>
      <c r="P28" s="137"/>
      <c r="Q28" s="30"/>
      <c r="R28" s="84" t="str">
        <f>IF(VLOOKUP(C28,'Train Runs'!$A$13:$AE$9925,1,1)=C28,VLOOKUP(C28,'Train Runs'!$A$13:$AE$9925,31,1),NA())</f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S28" s="87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-05-26T10:56:59-0600',mode:absolute,to:'2017-05-26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9" t="str">
        <f t="shared" si="1"/>
        <v>"C:\Program Files (x86)\AstroGrep\AstroGrep.exe" /e /r /s /spath="%USERPROFILE%\AppData\Local\Temp\OnboardLogs" /stypes="*4010*201705261*"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4010</v>
      </c>
      <c r="V28" s="31">
        <f t="shared" si="3"/>
        <v>42881.77144675926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{"issue":{"subject":"","project_id":79,"tracker_id":40,"status_id":1,"priority_id":2,"assigned_to_id":23,"start_date":"2017-05-26","description":"","custom_fields":[{"id":1,"name":"Subdivision","value":"NW"},{"id":4,"name":"Milepost","value":"4.781"},{"id":17,"name":"Train ID","value":"819-26"},{"id":16,"name":"Locomotive ID","value":"4010"},{"id":130,"name":"Impact","value":""},{"id":150,"name":"Time of Event (Mountain Time)","value":"12:30:53"},{"id":151,"name":"Denver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/cygdrive/c/Users/stu/AppData/Local/Temp/OnboardLogs/RTDC4010 --include="*4010*201705261*"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"%USERPROFILE%\AppData\Local\Temp\OnboardLogs"\RTDC4010\*4010*201705261* &gt;&gt; 2017-05-26-SliceDisagreementCheck.txt</v>
      </c>
      <c r="AE28" s="148" t="str">
        <f t="shared" si="9"/>
        <v>start /low /b %USERPROFILE%\Documents\GitHub\eaglep3\Utilities\DownloadLogsFromS3.py --loco 4010 --day 2017-05-26</v>
      </c>
      <c r="AF28" s="1"/>
    </row>
    <row r="29" spans="1:32" x14ac:dyDescent="0.25">
      <c r="A29" s="31">
        <v>42881.436226851853</v>
      </c>
      <c r="B29" s="30" t="s">
        <v>514</v>
      </c>
      <c r="C29" s="30" t="s">
        <v>610</v>
      </c>
      <c r="D29" s="30" t="s">
        <v>49</v>
      </c>
      <c r="E29" s="30" t="s">
        <v>366</v>
      </c>
      <c r="F29" s="42">
        <v>0</v>
      </c>
      <c r="G29" s="42">
        <v>302</v>
      </c>
      <c r="H29" s="42">
        <v>33419</v>
      </c>
      <c r="I29" s="42">
        <v>34171</v>
      </c>
      <c r="J29" s="30" t="s">
        <v>367</v>
      </c>
      <c r="K29" s="42">
        <v>34583</v>
      </c>
      <c r="L29" s="134" t="s">
        <v>50</v>
      </c>
      <c r="M29" s="135">
        <f t="shared" si="0"/>
        <v>217.536</v>
      </c>
      <c r="N29" s="136" t="str">
        <f>VLOOKUP(C29,'Trips&amp;Operators'!$C$1:$G$99999,5,FALSE)</f>
        <v>ZEWDU DEREJE</v>
      </c>
      <c r="O29" s="210" t="s">
        <v>424</v>
      </c>
      <c r="P29" s="137" t="s">
        <v>426</v>
      </c>
      <c r="Q29" s="30"/>
      <c r="R29" s="84" t="str">
        <f>IF(VLOOKUP(C29,'Train Runs'!$A$13:$AE$9925,1,1)=C29,VLOOKUP(C29,'Train Runs'!$A$13:$AE$9925,31,1),NA())</f>
        <v>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 &amp; aws s3 cp s3://rtdc.mdm.uploadarchive.raw/RTDC4010/ "%USERPROFILE%\AppData\Local\Temp\OnboardLogs"\RTDC4010\2017-05-27 --exclude "*" --recursive --include "*20170527*" &amp; "%USERPROFILE%\Documents\GitHub\mrs-test-scripts\Headless Mode &amp; Sideloading\WalkAndUnGZ.bat" "%USERPROFILE%\AppData\Local\Temp\OnboardLogs"\RTDC4010\2017-05-27</v>
      </c>
      <c r="S29" s="87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-05-26T08:57:42-0600',mode:absolute,to:'2017-05-26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9" t="str">
        <f t="shared" si="1"/>
        <v>"C:\Program Files (x86)\AstroGrep\AstroGrep.exe" /e /r /s /spath="%USERPROFILE%\AppData\Local\Temp\OnboardLogs" /stypes="*4010*201705261*"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42881.686226851853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drop","project_id":79,"tracker_id":40,"status_id":1,"priority_id":2,"assigned_to_id":23,"start_date":"2017-05-26","description":"","custom_fields":[{"id":1,"name":"Subdivision","value":"NW"},{"id":4,"name":"Milepost","value":"3.4583"},{"id":17,"name":"Train ID","value":"815-26"},{"id":16,"name":"Locomotive ID","value":"4010"},{"id":130,"name":"Impact","value":""},{"id":150,"name":"Time of Event (Mountain Time)","value":"10:28:10"},{"id":151,"name":"Denver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/cygdrive/c/Users/stu/AppData/Local/Temp/OnboardLogs/RTDC4010 --include="*4010*201705261*"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"%USERPROFILE%\AppData\Local\Temp\OnboardLogs"\RTDC4010\*4010*201705261* &gt;&gt; 2017-05-26-SliceDisagreementCheck.txt</v>
      </c>
      <c r="AE29" s="148" t="str">
        <f t="shared" si="9"/>
        <v>start /low /b %USERPROFILE%\Documents\GitHub\eaglep3\Utilities\DownloadLogsFromS3.py --loco 4010 --day 2017-05-26</v>
      </c>
      <c r="AF29" s="1"/>
    </row>
    <row r="30" spans="1:32" x14ac:dyDescent="0.25">
      <c r="A30" s="31">
        <v>42881.413275462961</v>
      </c>
      <c r="B30" s="30" t="s">
        <v>605</v>
      </c>
      <c r="C30" s="30" t="s">
        <v>606</v>
      </c>
      <c r="D30" s="30" t="s">
        <v>49</v>
      </c>
      <c r="E30" s="30" t="s">
        <v>183</v>
      </c>
      <c r="F30" s="42">
        <v>0</v>
      </c>
      <c r="G30" s="42">
        <v>42</v>
      </c>
      <c r="H30" s="42">
        <v>724</v>
      </c>
      <c r="I30" s="42">
        <v>670</v>
      </c>
      <c r="J30" s="30" t="s">
        <v>184</v>
      </c>
      <c r="K30" s="42">
        <v>575</v>
      </c>
      <c r="L30" s="134" t="s">
        <v>51</v>
      </c>
      <c r="M30" s="135">
        <f t="shared" si="0"/>
        <v>50.16</v>
      </c>
      <c r="N30" s="136" t="str">
        <f>VLOOKUP(C30,'Trips&amp;Operators'!$C$1:$G$99999,5,FALSE)</f>
        <v>ZEWDU DEREJE</v>
      </c>
      <c r="O30" s="210" t="s">
        <v>182</v>
      </c>
      <c r="P30" s="137"/>
      <c r="Q30" s="30"/>
      <c r="R30" s="84" t="str">
        <f>IF(VLOOKUP(C30,'Train Runs'!$A$13:$AE$9925,1,1)=C30,VLOOKUP(C30,'Train Runs'!$A$13:$AE$9925,31,1),NA())</f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S30" s="87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-05-26T08:36:49-0600',mode:absolute,to:'2017-05-26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89" t="str">
        <f t="shared" si="1"/>
        <v>"C:\Program Files (x86)\AstroGrep\AstroGrep.exe" /e /r /s /spath="%USERPROFILE%\AppData\Local\Temp\OnboardLogs" /stypes="*4009*201705261*"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4009</v>
      </c>
      <c r="V30" s="31">
        <f t="shared" si="3"/>
        <v>42881.663275462961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{"issue":{"subject":"","project_id":79,"tracker_id":40,"status_id":1,"priority_id":2,"assigned_to_id":23,"start_date":"2017-05-26","description":"","custom_fields":[{"id":1,"name":"Subdivision","value":"NW"},{"id":4,"name":"Milepost","value":"0.0575"},{"id":17,"name":"Train ID","value":"814-26"},{"id":16,"name":"Locomotive ID","value":"4009"},{"id":130,"name":"Impact","value":""},{"id":150,"name":"Time of Event (Mountain Time)","value":"09:55:07"},{"id":151,"name":"Denver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/cygdrive/c/Users/stu/AppData/Local/Temp/OnboardLogs/RTDC4009 --include="*4009*201705261*"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"%USERPROFILE%\AppData\Local\Temp\OnboardLogs"\RTDC4009\*4009*201705261* &gt;&gt; 2017-05-26-SliceDisagreementCheck.txt</v>
      </c>
      <c r="AE30" s="148" t="str">
        <f t="shared" si="9"/>
        <v>start /low /b %USERPROFILE%\Documents\GitHub\eaglep3\Utilities\DownloadLogsFromS3.py --loco 4009 --day 2017-05-26</v>
      </c>
      <c r="AF30" s="1"/>
    </row>
    <row r="31" spans="1:32" x14ac:dyDescent="0.25">
      <c r="A31" s="31">
        <v>42881.623680555553</v>
      </c>
      <c r="B31" s="30" t="s">
        <v>605</v>
      </c>
      <c r="C31" s="30" t="s">
        <v>618</v>
      </c>
      <c r="D31" s="30" t="s">
        <v>49</v>
      </c>
      <c r="E31" s="30" t="s">
        <v>183</v>
      </c>
      <c r="F31" s="42">
        <v>0</v>
      </c>
      <c r="G31" s="42">
        <v>30</v>
      </c>
      <c r="H31" s="42">
        <v>692</v>
      </c>
      <c r="I31" s="42">
        <v>666</v>
      </c>
      <c r="J31" s="30" t="s">
        <v>184</v>
      </c>
      <c r="K31" s="42">
        <v>575</v>
      </c>
      <c r="L31" s="134" t="s">
        <v>51</v>
      </c>
      <c r="M31" s="135">
        <f t="shared" si="0"/>
        <v>48.048000000000002</v>
      </c>
      <c r="N31" s="136" t="str">
        <f>VLOOKUP(C31,'Trips&amp;Operators'!$C$1:$G$99999,5,FALSE)</f>
        <v>LAMAR NEKESHA</v>
      </c>
      <c r="O31" s="210" t="s">
        <v>182</v>
      </c>
      <c r="P31" s="137"/>
      <c r="Q31" s="30"/>
      <c r="R31" s="84" t="str">
        <f>IF(VLOOKUP(C31,'Train Runs'!$A$13:$AE$9925,1,1)=C31,VLOOKUP(C31,'Train Runs'!$A$13:$AE$9925,31,1),NA())</f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S31" s="87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-05-26T13:37:35-0600',mode:absolute,to:'2017-05-26T15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89" t="str">
        <f t="shared" si="1"/>
        <v>"C:\Program Files (x86)\AstroGrep\AstroGrep.exe" /e /r /s /spath="%USERPROFILE%\AppData\Local\Temp\OnboardLogs" /stypes="*4009*201705262*"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4009</v>
      </c>
      <c r="V31" s="31">
        <f t="shared" si="3"/>
        <v>42881.873680555553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{"issue":{"subject":"","project_id":79,"tracker_id":40,"status_id":1,"priority_id":2,"assigned_to_id":23,"start_date":"2017-05-26","description":"","custom_fields":[{"id":1,"name":"Subdivision","value":"NW"},{"id":4,"name":"Milepost","value":"0.0575"},{"id":17,"name":"Train ID","value":"824-26"},{"id":16,"name":"Locomotive ID","value":"4009"},{"id":130,"name":"Impact","value":""},{"id":150,"name":"Time of Event (Mountain Time)","value":"14:58:06"},{"id":151,"name":"Denver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/cygdrive/c/Users/stu/AppData/Local/Temp/OnboardLogs/RTDC4009 --include="*4009*201705262*"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"%USERPROFILE%\AppData\Local\Temp\OnboardLogs"\RTDC4009\*4009*201705262* &gt;&gt; 2017-05-26-SliceDisagreementCheck.txt</v>
      </c>
      <c r="AE31" s="148" t="str">
        <f t="shared" si="9"/>
        <v>start /low /b %USERPROFILE%\Documents\GitHub\eaglep3\Utilities\DownloadLogsFromS3.py --loco 4009 --day 2017-05-26</v>
      </c>
      <c r="AF31" s="1"/>
    </row>
    <row r="32" spans="1:32" x14ac:dyDescent="0.25">
      <c r="A32" s="31">
        <v>42881.684293981481</v>
      </c>
      <c r="B32" s="30" t="s">
        <v>378</v>
      </c>
      <c r="C32" s="30" t="s">
        <v>620</v>
      </c>
      <c r="D32" s="30" t="s">
        <v>49</v>
      </c>
      <c r="E32" s="30" t="s">
        <v>183</v>
      </c>
      <c r="F32" s="42">
        <v>0</v>
      </c>
      <c r="G32" s="42">
        <v>41</v>
      </c>
      <c r="H32" s="42">
        <v>701</v>
      </c>
      <c r="I32" s="42">
        <v>668</v>
      </c>
      <c r="J32" s="30" t="s">
        <v>184</v>
      </c>
      <c r="K32" s="42">
        <v>575</v>
      </c>
      <c r="L32" s="134" t="s">
        <v>51</v>
      </c>
      <c r="M32" s="135">
        <f t="shared" si="0"/>
        <v>49.103999999999999</v>
      </c>
      <c r="N32" s="136" t="str">
        <f>VLOOKUP(C32,'Trips&amp;Operators'!$C$1:$G$99999,5,FALSE)</f>
        <v>MCREYNOLDS KYLE</v>
      </c>
      <c r="O32" s="210" t="s">
        <v>182</v>
      </c>
      <c r="P32" s="137"/>
      <c r="Q32" s="30"/>
      <c r="R32" s="84" t="str">
        <f>IF(VLOOKUP(C32,'Train Runs'!$A$13:$AE$9925,1,1)=C32,VLOOKUP(C32,'Train Runs'!$A$13:$AE$9925,31,1),NA())</f>
        <v>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 &amp; 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</v>
      </c>
      <c r="S32" s="87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-05-26T15:06:56-0600',mode:absolute,to:'2017-05-26T17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89" t="str">
        <f t="shared" si="1"/>
        <v>"C:\Program Files (x86)\AstroGrep\AstroGrep.exe" /e /r /s /spath="%USERPROFILE%\AppData\Local\Temp\OnboardLogs" /stypes="*4039*201705262*"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4039</v>
      </c>
      <c r="V32" s="31">
        <f t="shared" si="3"/>
        <v>42881.934293981481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{"issue":{"subject":"","project_id":79,"tracker_id":40,"status_id":1,"priority_id":2,"assigned_to_id":23,"start_date":"2017-05-26","description":"","custom_fields":[{"id":1,"name":"Subdivision","value":"NW"},{"id":4,"name":"Milepost","value":"0.0575"},{"id":17,"name":"Train ID","value":"828-26"},{"id":16,"name":"Locomotive ID","value":"4039"},{"id":130,"name":"Impact","value":""},{"id":150,"name":"Time of Event (Mountain Time)","value":"16:25:23"},{"id":151,"name":"Denver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/cygdrive/c/Users/stu/AppData/Local/Temp/OnboardLogs/RTDC4039 --include="*4039*201705262*"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"%USERPROFILE%\AppData\Local\Temp\OnboardLogs"\RTDC4039\*4039*201705262* &gt;&gt; 2017-05-26-SliceDisagreementCheck.txt</v>
      </c>
      <c r="AE32" s="148" t="str">
        <f t="shared" si="9"/>
        <v>start /low /b %USERPROFILE%\Documents\GitHub\eaglep3\Utilities\DownloadLogsFromS3.py --loco 4039 --day 2017-05-26</v>
      </c>
      <c r="AF32" s="1"/>
    </row>
    <row r="33" spans="1:32" x14ac:dyDescent="0.25">
      <c r="A33" s="31">
        <v>42881.747442129628</v>
      </c>
      <c r="B33" s="30" t="s">
        <v>605</v>
      </c>
      <c r="C33" s="30" t="s">
        <v>622</v>
      </c>
      <c r="D33" s="30" t="s">
        <v>49</v>
      </c>
      <c r="E33" s="30" t="s">
        <v>183</v>
      </c>
      <c r="F33" s="42">
        <v>0</v>
      </c>
      <c r="G33" s="42">
        <v>24</v>
      </c>
      <c r="H33" s="42">
        <v>645</v>
      </c>
      <c r="I33" s="42">
        <v>631</v>
      </c>
      <c r="J33" s="30" t="s">
        <v>184</v>
      </c>
      <c r="K33" s="42">
        <v>575</v>
      </c>
      <c r="L33" s="134" t="s">
        <v>51</v>
      </c>
      <c r="M33" s="135">
        <f t="shared" si="0"/>
        <v>29.568000000000001</v>
      </c>
      <c r="N33" s="136" t="str">
        <f>VLOOKUP(C33,'Trips&amp;Operators'!$C$1:$G$99999,5,FALSE)</f>
        <v>LAMAR NEKESHA</v>
      </c>
      <c r="O33" s="210" t="s">
        <v>182</v>
      </c>
      <c r="P33" s="137"/>
      <c r="Q33" s="30"/>
      <c r="R33" s="84" t="str">
        <f>IF(VLOOKUP(C33,'Train Runs'!$A$13:$AE$9925,1,1)=C33,VLOOKUP(C33,'Train Runs'!$A$13:$AE$9925,31,1),NA())</f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S33" s="87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-05-26T16:37:37-0600',mode:absolute,to:'2017-05-26T18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9" t="str">
        <f t="shared" si="1"/>
        <v>"C:\Program Files (x86)\AstroGrep\AstroGrep.exe" /e /r /s /spath="%USERPROFILE%\AppData\Local\Temp\OnboardLogs" /stypes="*4009*201705262*"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4009</v>
      </c>
      <c r="V33" s="31">
        <f t="shared" si="3"/>
        <v>42881.997442129628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{"issue":{"subject":"","project_id":79,"tracker_id":40,"status_id":1,"priority_id":2,"assigned_to_id":23,"start_date":"2017-05-26","description":"","custom_fields":[{"id":1,"name":"Subdivision","value":"NW"},{"id":4,"name":"Milepost","value":"0.0575"},{"id":17,"name":"Train ID","value":"834-26"},{"id":16,"name":"Locomotive ID","value":"4009"},{"id":130,"name":"Impact","value":""},{"id":150,"name":"Time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/cygdrive/c/Users/stu/AppData/Local/Temp/OnboardLogs/RTDC4009 --include="*4009*201705262*"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"%USERPROFILE%\AppData\Local\Temp\OnboardLogs"\RTDC4009\*4009*201705262* &gt;&gt; 2017-05-26-SliceDisagreementCheck.txt</v>
      </c>
      <c r="AE33" s="148" t="str">
        <f t="shared" si="9"/>
        <v>start /low /b %USERPROFILE%\Documents\GitHub\eaglep3\Utilities\DownloadLogsFromS3.py --loco 4009 --day 2017-05-26</v>
      </c>
      <c r="AF33" s="1"/>
    </row>
    <row r="34" spans="1:32" x14ac:dyDescent="0.25">
      <c r="A34" s="31">
        <v>42881.832870370374</v>
      </c>
      <c r="B34" s="30" t="s">
        <v>605</v>
      </c>
      <c r="C34" s="30" t="s">
        <v>626</v>
      </c>
      <c r="D34" s="30" t="s">
        <v>49</v>
      </c>
      <c r="E34" s="30" t="s">
        <v>183</v>
      </c>
      <c r="F34" s="42">
        <v>0</v>
      </c>
      <c r="G34" s="42">
        <v>63</v>
      </c>
      <c r="H34" s="42">
        <v>841</v>
      </c>
      <c r="I34" s="42">
        <v>745</v>
      </c>
      <c r="J34" s="30" t="s">
        <v>184</v>
      </c>
      <c r="K34" s="42">
        <v>575</v>
      </c>
      <c r="L34" s="134" t="s">
        <v>51</v>
      </c>
      <c r="M34" s="135">
        <f t="shared" si="0"/>
        <v>89.76</v>
      </c>
      <c r="N34" s="136" t="str">
        <f>VLOOKUP(C34,'Trips&amp;Operators'!$C$1:$G$99999,5,FALSE)</f>
        <v>LAMAR NEKESHA</v>
      </c>
      <c r="O34" s="210" t="s">
        <v>182</v>
      </c>
      <c r="P34" s="137"/>
      <c r="Q34" s="30"/>
      <c r="R34" s="84" t="str">
        <f>IF(VLOOKUP(C34,'Train Runs'!$A$13:$AE$9925,1,1)=C34,VLOOKUP(C34,'Train Runs'!$A$13:$AE$9925,31,1),NA())</f>
        <v>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 &amp; aws s3 cp s3://rtdc.mdm.uploadarchive.raw/RTDC4009/ "%USERPROFILE%\AppData\Local\Temp\OnboardLogs"\RTDC4009\2017-05-27 --exclude "*" --recursive --include "*20170527*" &amp; "%USERPROFILE%\Documents\GitHub\mrs-test-scripts\Headless Mode &amp; Sideloading\WalkAndUnGZ.bat" "%USERPROFILE%\AppData\Local\Temp\OnboardLogs"\RTDC4009\2017-05-27</v>
      </c>
      <c r="S34" s="87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-05-26T18:38:09-0600',mode:absolute,to:'2017-05-26T20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4" s="89" t="str">
        <f t="shared" si="1"/>
        <v>"C:\Program Files (x86)\AstroGrep\AstroGrep.exe" /e /r /s /spath="%USERPROFILE%\AppData\Local\Temp\OnboardLogs" /stypes="*4009*201705270*"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4009</v>
      </c>
      <c r="V34" s="31">
        <f t="shared" si="3"/>
        <v>42882.082870370374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{"issue":{"subject":"","project_id":79,"tracker_id":40,"status_id":1,"priority_id":2,"assigned_to_id":23,"start_date":"2017-05-26","description":"","custom_fields":[{"id":1,"name":"Subdivision","value":"NW"},{"id":4,"name":"Milepost","value":"0.0575"},{"id":17,"name":"Train ID","value":"840-26"},{"id":16,"name":"Locomotive ID","value":"4009"},{"id":130,"name":"Impact","value":""},{"id":150,"name":"Time of Event (Mountain Time)","value":"19:59:20"},{"id":151,"name":"Denver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/cygdrive/c/Users/stu/AppData/Local/Temp/OnboardLogs/RTDC4009 --include="*4009*201705270*"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"%USERPROFILE%\AppData\Local\Temp\OnboardLogs"\RTDC4009\*4009*201705270* &gt;&gt; 2017-05-26-SliceDisagreementCheck.txt</v>
      </c>
      <c r="AE34" s="148" t="str">
        <f t="shared" si="9"/>
        <v>start /low /b %USERPROFILE%\Documents\GitHub\eaglep3\Utilities\DownloadLogsFromS3.py --loco 4009 --day 2017-05-27</v>
      </c>
      <c r="AF34" s="1"/>
    </row>
    <row r="35" spans="1:32" x14ac:dyDescent="0.25">
      <c r="A35" s="31">
        <v>42881.730879629627</v>
      </c>
      <c r="B35" s="30" t="s">
        <v>478</v>
      </c>
      <c r="C35" s="30" t="s">
        <v>621</v>
      </c>
      <c r="D35" s="30" t="s">
        <v>98</v>
      </c>
      <c r="E35" s="30" t="s">
        <v>202</v>
      </c>
      <c r="F35" s="42">
        <v>150</v>
      </c>
      <c r="G35" s="42">
        <v>206</v>
      </c>
      <c r="H35" s="42">
        <v>5358</v>
      </c>
      <c r="I35" s="42">
        <v>5700</v>
      </c>
      <c r="J35" s="30" t="s">
        <v>203</v>
      </c>
      <c r="K35" s="42">
        <v>3478</v>
      </c>
      <c r="L35" s="134" t="s">
        <v>50</v>
      </c>
      <c r="M35" s="135">
        <f t="shared" si="0"/>
        <v>-1173.2159999999999</v>
      </c>
      <c r="N35" s="136" t="str">
        <f>VLOOKUP(C35,'Trips&amp;Operators'!$C$1:$G$99999,5,FALSE)</f>
        <v>MAYBERRY BILL</v>
      </c>
      <c r="O35" s="210" t="s">
        <v>182</v>
      </c>
      <c r="P35" s="137"/>
      <c r="Q35" s="30"/>
      <c r="R35" s="84" t="e">
        <f>IF(VLOOKUP(C35,'Train Runs'!$A$13:$AE$9925,1,1)=C35,VLOOKUP(C35,'Train Runs'!$A$13:$AE$9925,31,1),NA())</f>
        <v>#N/A</v>
      </c>
      <c r="S35" s="87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-05-26T16:24:39-0600',mode:absolute,to:'2017-05-26T18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89" t="str">
        <f t="shared" si="1"/>
        <v>"C:\Program Files (x86)\AstroGrep\AstroGrep.exe" /e /r /s /spath="%USERPROFILE%\AppData\Local\Temp\OnboardLogs" /stypes="*4020*201705262*"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4020</v>
      </c>
      <c r="V35" s="31">
        <f t="shared" si="3"/>
        <v>42881.980879629627</v>
      </c>
      <c r="W35" s="45" t="str">
        <f t="shared" si="4"/>
        <v>Other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{"issue":{"subject":"","project_id":79,"tracker_id":40,"status_id":1,"priority_id":2,"assigned_to_id":23,"start_date":"2017-05-26","description":"","custom_fields":[{"id":1,"name":"Subdivision","value":"Other"},{"id":4,"name":"Milepost","value":"0.3478"},{"id":17,"name":"Train ID","value":"75-26"},{"id":16,"name":"Locomotive ID","value":"4020"},{"id":130,"name":"Impact","value":""},{"id":150,"name":"Time of Event (Mountain Time)","value":"17:32:28"},{"id":151,"name":"Denver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/cygdrive/c/Users/stu/AppData/Local/Temp/OnboardLogs/RTDC4020 --include="*4020*201705262*"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"%USERPROFILE%\AppData\Local\Temp\OnboardLogs"\RTDC4020\*4020*201705262* &gt;&gt; 2017-05-26-SliceDisagreementCheck.txt</v>
      </c>
      <c r="AE35" s="148" t="str">
        <f t="shared" si="9"/>
        <v>start /low /b %USERPROFILE%\Documents\GitHub\eaglep3\Utilities\DownloadLogsFromS3.py --loco 4020 --day 2017-05-26</v>
      </c>
      <c r="AF35" s="1"/>
    </row>
    <row r="36" spans="1:32" x14ac:dyDescent="0.25">
      <c r="A36" s="31">
        <v>42881.87704861111</v>
      </c>
      <c r="B36" s="30" t="s">
        <v>370</v>
      </c>
      <c r="C36" s="30" t="s">
        <v>627</v>
      </c>
      <c r="D36" s="30" t="s">
        <v>49</v>
      </c>
      <c r="E36" s="30" t="s">
        <v>366</v>
      </c>
      <c r="F36" s="42">
        <v>0</v>
      </c>
      <c r="G36" s="42">
        <v>288</v>
      </c>
      <c r="H36" s="42">
        <v>148284</v>
      </c>
      <c r="I36" s="42">
        <v>148949</v>
      </c>
      <c r="J36" s="30" t="s">
        <v>367</v>
      </c>
      <c r="K36" s="42">
        <v>149694</v>
      </c>
      <c r="L36" s="134" t="s">
        <v>50</v>
      </c>
      <c r="M36" s="135">
        <f t="shared" si="0"/>
        <v>393.36</v>
      </c>
      <c r="N36" s="136" t="str">
        <f>VLOOKUP(C36,'Trips&amp;Operators'!$C$1:$G$99999,5,FALSE)</f>
        <v>SULLIVAN BRANDON</v>
      </c>
      <c r="O36" s="210" t="s">
        <v>182</v>
      </c>
      <c r="P36" s="137"/>
      <c r="Q36" s="30"/>
      <c r="R36" s="84" t="e">
        <f>IF(VLOOKUP(C36,'Train Runs'!$A$13:$AE$9925,1,1)=C36,VLOOKUP(C36,'Train Runs'!$A$13:$AE$9925,31,1),NA())</f>
        <v>#N/A</v>
      </c>
      <c r="S36" s="87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-05-26T19:07:32-0600',mode:absolute,to:'2017-05-26T22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6" s="89" t="str">
        <f t="shared" si="1"/>
        <v>"C:\Program Files (x86)\AstroGrep\AstroGrep.exe" /e /r /s /spath="%USERPROFILE%\AppData\Local\Temp\OnboardLogs" /stypes="*4034*201705270*"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4034</v>
      </c>
      <c r="V36" s="31">
        <f t="shared" si="3"/>
        <v>42882.12704861111</v>
      </c>
      <c r="W36" s="45" t="str">
        <f t="shared" si="4"/>
        <v>Other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{"issue":{"subject":"","project_id":79,"tracker_id":40,"status_id":1,"priority_id":2,"assigned_to_id":23,"start_date":"2017-05-26","description":"","custom_fields":[{"id":1,"name":"Subdivision","value":"Other"},{"id":4,"name":"Milepost","value":"14.9694"},{"id":17,"name":"Train ID","value":"81-26"},{"id":16,"name":"Locomotive ID","value":"4034"},{"id":130,"name":"Impact","value":""},{"id":150,"name":"Time of Event (Mountain Time)","value":"21:02:57"},{"id":151,"name":"Denver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/cygdrive/c/Users/stu/AppData/Local/Temp/OnboardLogs/RTDC4034 --include="*4034*201705270*"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"%USERPROFILE%\AppData\Local\Temp\OnboardLogs"\RTDC4034\*4034*201705270* &gt;&gt; 2017-05-26-SliceDisagreementCheck.txt</v>
      </c>
      <c r="AE36" s="148" t="str">
        <f t="shared" si="9"/>
        <v>start /low /b %USERPROFILE%\Documents\GitHub\eaglep3\Utilities\DownloadLogsFromS3.py --loco 4034 --day 2017-05-27</v>
      </c>
      <c r="AF36" s="1"/>
    </row>
    <row r="37" spans="1:32" x14ac:dyDescent="0.25">
      <c r="A37" s="31">
        <v>42881.205254629633</v>
      </c>
      <c r="B37" s="30" t="s">
        <v>478</v>
      </c>
      <c r="C37" s="30" t="s">
        <v>597</v>
      </c>
      <c r="D37" s="30" t="s">
        <v>98</v>
      </c>
      <c r="E37" s="30" t="s">
        <v>598</v>
      </c>
      <c r="F37" s="42">
        <v>0</v>
      </c>
      <c r="G37" s="42">
        <v>69</v>
      </c>
      <c r="H37" s="42">
        <v>29583</v>
      </c>
      <c r="I37" s="42">
        <v>29668</v>
      </c>
      <c r="J37" s="30" t="s">
        <v>427</v>
      </c>
      <c r="K37" s="42">
        <v>28990</v>
      </c>
      <c r="L37" s="134" t="s">
        <v>50</v>
      </c>
      <c r="M37" s="135">
        <f t="shared" si="0"/>
        <v>-357.98399999999998</v>
      </c>
      <c r="N37" s="136" t="str">
        <f>VLOOKUP(C37,'Trips&amp;Operators'!$C$1:$G$99999,5,FALSE)</f>
        <v>GUZMAN DANNY</v>
      </c>
      <c r="O37" s="210" t="s">
        <v>182</v>
      </c>
      <c r="P37" s="137"/>
      <c r="Q37" s="30"/>
      <c r="R37" s="84" t="str">
        <f>IF(VLOOKUP(C37,'Train Runs'!$A$13:$AE$9925,1,1)=C37,VLOOKUP(C37,'Train Runs'!$A$13:$AE$9925,31,1),NA())</f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S37" s="87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-05-26T03:44:14-0600',mode:absolute,to:'2017-05-26T05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89" t="str">
        <f t="shared" si="1"/>
        <v>"C:\Program Files (x86)\AstroGrep\AstroGrep.exe" /e /r /s /spath="%USERPROFILE%\AppData\Local\Temp\OnboardLogs" /stypes="*4020*201705261*" /stext=" 10:.+((SYSTEM_STATE.+slice.+state.+changed )|(ment ac)|(multiple cpu faults)|(system.+state.+changed )|(\[timeout)|(PRM\|1\|D)|(kpr)|(kdp)|(train st.+moving)|(\|lc)|(penalty))"</v>
      </c>
      <c r="U37" s="9" t="str">
        <f t="shared" si="2"/>
        <v>4020</v>
      </c>
      <c r="V37" s="31">
        <f t="shared" si="3"/>
        <v>42881.455254629633</v>
      </c>
      <c r="W37" s="45" t="str">
        <f t="shared" si="4"/>
        <v>Other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{"issue":{"subject":"","project_id":79,"tracker_id":40,"status_id":1,"priority_id":2,"assigned_to_id":23,"start_date":"2017-05-26","description":"","custom_fields":[{"id":1,"name":"Subdivision","value":"Other"},{"id":4,"name":"Milepost","value":"2.899"},{"id":17,"name":"Train ID","value":"901-26"},{"id":16,"name":"Locomotive ID","value":"4020"},{"id":130,"name":"Impact","value":""},{"id":150,"name":"Time of Event (Mountain Time)","value":"04:55:34"},{"id":151,"name":"Denver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/cygdrive/c/Users/stu/AppData/Local/Temp/OnboardLogs/RTDC4020 --include="*4020*201705261*"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"%USERPROFILE%\AppData\Local\Temp\OnboardLogs"\RTDC4020\*4020*201705261* &gt;&gt; 2017-05-26-SliceDisagreementCheck.txt</v>
      </c>
      <c r="AE37" s="148" t="str">
        <f t="shared" si="9"/>
        <v>start /low /b %USERPROFILE%\Documents\GitHub\eaglep3\Utilities\DownloadLogsFromS3.py --loco 4020 --day 2017-05-26</v>
      </c>
      <c r="AF37" s="1"/>
    </row>
    <row r="38" spans="1:32" x14ac:dyDescent="0.25">
      <c r="A38" s="31">
        <v>42881.206099537034</v>
      </c>
      <c r="B38" s="30" t="s">
        <v>478</v>
      </c>
      <c r="C38" s="30" t="s">
        <v>597</v>
      </c>
      <c r="D38" s="30" t="s">
        <v>98</v>
      </c>
      <c r="E38" s="30" t="s">
        <v>598</v>
      </c>
      <c r="F38" s="42">
        <v>0</v>
      </c>
      <c r="G38" s="42">
        <v>4</v>
      </c>
      <c r="H38" s="42">
        <v>29670</v>
      </c>
      <c r="I38" s="42">
        <v>29695</v>
      </c>
      <c r="J38" s="30" t="s">
        <v>427</v>
      </c>
      <c r="K38" s="42">
        <v>28990</v>
      </c>
      <c r="L38" s="134" t="s">
        <v>50</v>
      </c>
      <c r="M38" s="135">
        <f t="shared" si="0"/>
        <v>-372.24</v>
      </c>
      <c r="N38" s="136" t="str">
        <f>VLOOKUP(C38,'Trips&amp;Operators'!$C$1:$G$99999,5,FALSE)</f>
        <v>GUZMAN DANNY</v>
      </c>
      <c r="O38" s="210" t="s">
        <v>182</v>
      </c>
      <c r="P38" s="137"/>
      <c r="Q38" s="30"/>
      <c r="R38" s="84" t="str">
        <f>IF(VLOOKUP(C38,'Train Runs'!$A$13:$AE$9925,1,1)=C38,VLOOKUP(C38,'Train Runs'!$A$13:$AE$9925,31,1),NA())</f>
        <v>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 &amp; aws s3 cp s3://rtdc.mdm.uploadarchive.raw/RTDC4020/ "%USERPROFILE%\AppData\Local\Temp\OnboardLogs"\RTDC4020\2017-05-27 --exclude "*" --recursive --include "*20170527*" &amp; "%USERPROFILE%\Documents\GitHub\mrs-test-scripts\Headless Mode &amp; Sideloading\WalkAndUnGZ.bat" "%USERPROFILE%\AppData\Local\Temp\OnboardLogs"\RTDC4020\2017-05-27</v>
      </c>
      <c r="S38" s="87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-05-26T03:44:14-0600',mode:absolute,to:'2017-05-26T05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9" t="str">
        <f t="shared" si="1"/>
        <v>"C:\Program Files (x86)\AstroGrep\AstroGrep.exe" /e /r /s /spath="%USERPROFILE%\AppData\Local\Temp\OnboardLogs" /stypes="*4020*201705261*"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42881.456099537034</v>
      </c>
      <c r="W38" s="45" t="str">
        <f t="shared" si="4"/>
        <v>Other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{"issue":{"subject":"","project_id":79,"tracker_id":40,"status_id":1,"priority_id":2,"assigned_to_id":23,"start_date":"2017-05-26","description":"","custom_fields":[{"id":1,"name":"Subdivision","value":"Other"},{"id":4,"name":"Milepost","value":"2.899"},{"id":17,"name":"Train ID","value":"901-26"},{"id":16,"name":"Locomotive ID","value":"4020"},{"id":130,"name":"Impact","value":""},{"id":150,"name":"Time of Event (Mountain Time)","value":"04:56:47"},{"id":151,"name":"Denver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/cygdrive/c/Users/stu/AppData/Local/Temp/OnboardLogs/RTDC4020 --include="*4020*201705261*"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"%USERPROFILE%\AppData\Local\Temp\OnboardLogs"\RTDC4020\*4020*201705261* &gt;&gt; 2017-05-26-SliceDisagreementCheck.txt</v>
      </c>
      <c r="AE38" s="148" t="str">
        <f t="shared" si="9"/>
        <v>start /low /b %USERPROFILE%\Documents\GitHub\eaglep3\Utilities\DownloadLogsFromS3.py --loco 4020 --day 2017-05-26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</sheetData>
  <autoFilter ref="A6:AC52">
    <sortState ref="A7:AC54">
      <sortCondition ref="W7:W40"/>
      <sortCondition ref="E7:E40"/>
      <sortCondition ref="K7:K40"/>
      <sortCondition ref="F7:F4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59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2"/>
  <sheetViews>
    <sheetView workbookViewId="0">
      <selection activeCell="E7" sqref="E7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2017-05-26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>
        <v>803</v>
      </c>
      <c r="B3" s="42" t="str">
        <f>A3&amp;"-"&amp;IF(DAY(Variables!$A$2)&lt;10,0,"")&amp;DAY(Variables!$A$2)</f>
        <v>803-26</v>
      </c>
      <c r="C3" s="138"/>
      <c r="D3" s="156"/>
      <c r="E3" s="30" t="s">
        <v>1014</v>
      </c>
      <c r="F3" s="21" t="str">
        <f>VLOOKUP(B3,'Trips&amp;Operators'!$C$2:$E$10000,3,FALSE)</f>
        <v>ZEWDU</v>
      </c>
      <c r="G3" s="21" t="str">
        <f>VLOOKUP(B3,'Trips&amp;Operators'!$C$1:$F$10000,4,FALSE)</f>
        <v>DEREJE</v>
      </c>
      <c r="H3" s="29" t="str">
        <f>VLOOKUP(B3,'Trips&amp;Operators'!$C$1:$H$10000,5,FALSE)</f>
        <v>ZEWDU DEREJE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22803-26%22)),sort:!(Time.ISO8601,asc))</v>
      </c>
      <c r="J3" s="30" t="e">
        <f>VLOOKUP(B3,'Train Runs'!$A$13:$A$99922,1,FALSE)</f>
        <v>#N/A</v>
      </c>
    </row>
    <row r="4" spans="1:10" x14ac:dyDescent="0.25">
      <c r="A4" s="202">
        <v>804</v>
      </c>
      <c r="B4" s="42" t="str">
        <f>A4&amp;"-"&amp;IF(DAY(Variables!$A$2)&lt;10,0,"")&amp;DAY(Variables!$A$2)</f>
        <v>804-26</v>
      </c>
      <c r="C4" s="138"/>
      <c r="D4" s="156"/>
      <c r="E4" s="30" t="s">
        <v>1014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ref="I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22804-26%22)),sort:!(Time.ISO8601,asc))</v>
      </c>
      <c r="J4" s="30" t="e">
        <f>VLOOKUP(B4,'Train Runs'!$A$13:$A$99922,1,FALSE)</f>
        <v>#N/A</v>
      </c>
    </row>
    <row r="5" spans="1:10" x14ac:dyDescent="0.25">
      <c r="A5" s="202"/>
      <c r="B5" s="42" t="str">
        <f>A5&amp;"-"&amp;IF(DAY(Variables!$A$2)&lt;10,0,"")&amp;DAY(Variables!$A$2)</f>
        <v>-26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Runs'!$A$13:$A$99922,1,FALSE)</f>
        <v>#N/A</v>
      </c>
    </row>
    <row r="6" spans="1:10" x14ac:dyDescent="0.25">
      <c r="A6" s="202"/>
      <c r="B6" s="42" t="str">
        <f>A6&amp;"-"&amp;IF(DAY(Variables!$A$2)&lt;10,0,"")&amp;DAY(Variables!$A$2)</f>
        <v>-26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Runs'!$A$13:$A$99922,1,FALSE)</f>
        <v>#N/A</v>
      </c>
    </row>
    <row r="7" spans="1:10" x14ac:dyDescent="0.25">
      <c r="A7" s="202"/>
      <c r="B7" s="42" t="str">
        <f>A7&amp;"-"&amp;IF(DAY(Variables!$A$2)&lt;10,0,"")&amp;DAY(Variables!$A$2)</f>
        <v>-26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Runs'!$A$13:$A$99922,1,FALSE)</f>
        <v>#N/A</v>
      </c>
    </row>
    <row r="8" spans="1:10" x14ac:dyDescent="0.25">
      <c r="A8" s="202"/>
      <c r="B8" s="42" t="str">
        <f>A8&amp;"-"&amp;IF(DAY(Variables!$A$2)&lt;10,0,"")&amp;DAY(Variables!$A$2)</f>
        <v>-26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Runs'!$A$13:$A$99922,1,FALSE)</f>
        <v>#N/A</v>
      </c>
    </row>
    <row r="9" spans="1:10" x14ac:dyDescent="0.25">
      <c r="A9" s="202"/>
      <c r="B9" s="42" t="str">
        <f>A9&amp;"-"&amp;IF(DAY(Variables!$A$2)&lt;10,0,"")&amp;DAY(Variables!$A$2)</f>
        <v>-26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Runs'!$A$13:$A$99922,1,FALSE)</f>
        <v>#N/A</v>
      </c>
    </row>
    <row r="10" spans="1:10" x14ac:dyDescent="0.25">
      <c r="A10" s="202"/>
      <c r="B10" s="42" t="str">
        <f>A10&amp;"-"&amp;IF(DAY(Variables!$A$2)&lt;10,0,"")&amp;DAY(Variables!$A$2)</f>
        <v>-26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Runs'!$A$13:$A$99922,1,FALSE)</f>
        <v>#N/A</v>
      </c>
    </row>
    <row r="11" spans="1:10" x14ac:dyDescent="0.25">
      <c r="A11" s="202"/>
      <c r="B11" s="42" t="str">
        <f>A11&amp;"-"&amp;IF(DAY(Variables!$A$2)&lt;10,0,"")&amp;DAY(Variables!$A$2)</f>
        <v>-26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Runs'!$A$13:$A$99922,1,FALSE)</f>
        <v>#N/A</v>
      </c>
    </row>
    <row r="12" spans="1:10" x14ac:dyDescent="0.25">
      <c r="A12" s="202"/>
      <c r="B12" s="42" t="str">
        <f>A12&amp;"-"&amp;IF(DAY(Variables!$A$2)&lt;10,0,"")&amp;DAY(Variables!$A$2)</f>
        <v>-26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Runs'!$A$13:$A$99922,1,FALSE)</f>
        <v>#N/A</v>
      </c>
    </row>
    <row r="13" spans="1:10" x14ac:dyDescent="0.25">
      <c r="A13" s="202"/>
      <c r="B13" s="42" t="str">
        <f>A13&amp;"-"&amp;IF(DAY(Variables!$A$2)&lt;10,0,"")&amp;DAY(Variables!$A$2)</f>
        <v>-26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Runs'!$A$13:$A$99922,1,FALSE)</f>
        <v>#N/A</v>
      </c>
    </row>
    <row r="14" spans="1:10" x14ac:dyDescent="0.25">
      <c r="A14" s="202"/>
      <c r="B14" s="42" t="str">
        <f>A14&amp;"-"&amp;IF(DAY(Variables!$A$2)&lt;10,0,"")&amp;DAY(Variables!$A$2)</f>
        <v>-26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Runs'!$A$13:$A$99922,1,FALSE)</f>
        <v>#N/A</v>
      </c>
    </row>
    <row r="15" spans="1:10" x14ac:dyDescent="0.25">
      <c r="A15" s="202"/>
      <c r="B15" s="42" t="str">
        <f>A15&amp;"-"&amp;IF(DAY(Variables!$A$2)&lt;10,0,"")&amp;DAY(Variables!$A$2)</f>
        <v>-26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Runs'!$A$13:$A$99922,1,FALSE)</f>
        <v>#N/A</v>
      </c>
    </row>
    <row r="16" spans="1:10" x14ac:dyDescent="0.25">
      <c r="A16" s="202"/>
      <c r="B16" s="42" t="str">
        <f>A16&amp;"-"&amp;IF(DAY(Variables!$A$2)&lt;10,0,"")&amp;DAY(Variables!$A$2)</f>
        <v>-26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Runs'!$A$13:$A$99922,1,FALSE)</f>
        <v>#N/A</v>
      </c>
    </row>
    <row r="17" spans="1:10" x14ac:dyDescent="0.25">
      <c r="A17" s="202"/>
      <c r="B17" s="42" t="str">
        <f>A17&amp;"-"&amp;IF(DAY(Variables!$A$2)&lt;10,0,"")&amp;DAY(Variables!$A$2)</f>
        <v>-26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Runs'!$A$13:$A$99922,1,FALSE)</f>
        <v>#N/A</v>
      </c>
    </row>
    <row r="18" spans="1:10" x14ac:dyDescent="0.25">
      <c r="A18" s="202"/>
      <c r="B18" s="42" t="str">
        <f>A18&amp;"-"&amp;IF(DAY(Variables!$A$2)&lt;10,0,"")&amp;DAY(Variables!$A$2)</f>
        <v>-26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Runs'!$A$13:$A$99922,1,FALSE)</f>
        <v>#N/A</v>
      </c>
    </row>
    <row r="19" spans="1:10" x14ac:dyDescent="0.25">
      <c r="A19" s="202"/>
      <c r="B19" s="42" t="str">
        <f>A19&amp;"-"&amp;IF(DAY(Variables!$A$2)&lt;10,0,"")&amp;DAY(Variables!$A$2)</f>
        <v>-26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Runs'!$A$13:$A$99922,1,FALSE)</f>
        <v>#N/A</v>
      </c>
    </row>
    <row r="20" spans="1:10" x14ac:dyDescent="0.25">
      <c r="A20" s="202"/>
      <c r="B20" s="42" t="str">
        <f>A20&amp;"-"&amp;IF(DAY(Variables!$A$2)&lt;10,0,"")&amp;DAY(Variables!$A$2)</f>
        <v>-26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Runs'!$A$13:$A$99922,1,FALSE)</f>
        <v>#N/A</v>
      </c>
    </row>
    <row r="21" spans="1:10" x14ac:dyDescent="0.25">
      <c r="A21" s="202"/>
      <c r="B21" s="42" t="str">
        <f>A21&amp;"-"&amp;IF(DAY(Variables!$A$2)&lt;10,0,"")&amp;DAY(Variables!$A$2)</f>
        <v>-26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Runs'!$A$13:$A$99922,1,FALSE)</f>
        <v>#N/A</v>
      </c>
    </row>
    <row r="22" spans="1:10" x14ac:dyDescent="0.25">
      <c r="A22" s="202"/>
      <c r="B22" s="42" t="str">
        <f>A22&amp;"-"&amp;IF(DAY(Variables!$A$2)&lt;10,0,"")&amp;DAY(Variables!$A$2)</f>
        <v>-26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Runs'!$A$13:$A$99922,1,FALSE)</f>
        <v>#N/A</v>
      </c>
    </row>
    <row r="23" spans="1:10" x14ac:dyDescent="0.25">
      <c r="A23" s="202"/>
      <c r="B23" s="42" t="str">
        <f>A23&amp;"-"&amp;IF(DAY(Variables!$A$2)&lt;10,0,"")&amp;DAY(Variables!$A$2)</f>
        <v>-26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Runs'!$A$13:$A$99922,1,FALSE)</f>
        <v>#N/A</v>
      </c>
    </row>
    <row r="24" spans="1:10" x14ac:dyDescent="0.25">
      <c r="A24" s="202"/>
      <c r="B24" s="42" t="str">
        <f>A24&amp;"-"&amp;IF(DAY(Variables!$A$2)&lt;10,0,"")&amp;DAY(Variables!$A$2)</f>
        <v>-26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Runs'!$A$13:$A$99922,1,FALSE)</f>
        <v>#N/A</v>
      </c>
    </row>
    <row r="25" spans="1:10" x14ac:dyDescent="0.25">
      <c r="A25" s="202"/>
      <c r="B25" s="42" t="str">
        <f>A25&amp;"-"&amp;IF(DAY(Variables!$A$2)&lt;10,0,"")&amp;DAY(Variables!$A$2)</f>
        <v>-26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Runs'!$A$13:$A$99922,1,FALSE)</f>
        <v>#N/A</v>
      </c>
    </row>
    <row r="26" spans="1:10" x14ac:dyDescent="0.25">
      <c r="A26" s="202"/>
      <c r="B26" s="42" t="str">
        <f>A26&amp;"-"&amp;IF(DAY(Variables!$A$2)&lt;10,0,"")&amp;DAY(Variables!$A$2)</f>
        <v>-26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Runs'!$A$13:$A$99922,1,FALSE)</f>
        <v>#N/A</v>
      </c>
    </row>
    <row r="27" spans="1:10" x14ac:dyDescent="0.25">
      <c r="A27" s="202"/>
      <c r="B27" s="42" t="str">
        <f>A27&amp;"-"&amp;IF(DAY(Variables!$A$2)&lt;10,0,"")&amp;DAY(Variables!$A$2)</f>
        <v>-26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Runs'!$A$13:$A$99922,1,FALSE)</f>
        <v>#N/A</v>
      </c>
    </row>
    <row r="28" spans="1:10" x14ac:dyDescent="0.25">
      <c r="A28" s="202"/>
      <c r="B28" s="42" t="str">
        <f>A28&amp;"-"&amp;IF(DAY(Variables!$A$2)&lt;10,0,"")&amp;DAY(Variables!$A$2)</f>
        <v>-26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Runs'!$A$13:$A$99922,1,FALSE)</f>
        <v>#N/A</v>
      </c>
    </row>
    <row r="29" spans="1:10" x14ac:dyDescent="0.25">
      <c r="A29" s="202"/>
      <c r="B29" s="42" t="str">
        <f>A29&amp;"-"&amp;IF(DAY(Variables!$A$2)&lt;10,0,"")&amp;DAY(Variables!$A$2)</f>
        <v>-26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0" t="e">
        <f>VLOOKUP(B29,'Train Runs'!$A$13:$A$99922,1,FALSE)</f>
        <v>#N/A</v>
      </c>
    </row>
    <row r="30" spans="1:10" x14ac:dyDescent="0.25">
      <c r="A30" s="202"/>
      <c r="B30" s="42" t="str">
        <f>A30&amp;"-"&amp;IF(DAY(Variables!$A$2)&lt;10,0,"")&amp;DAY(Variables!$A$2)</f>
        <v>-26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0" t="e">
        <f>VLOOKUP(B30,'Train Runs'!$A$13:$A$99922,1,FALSE)</f>
        <v>#N/A</v>
      </c>
    </row>
    <row r="31" spans="1:10" x14ac:dyDescent="0.25">
      <c r="A31" s="202"/>
      <c r="B31" s="42" t="str">
        <f>A31&amp;"-"&amp;IF(DAY(Variables!$A$2)&lt;10,0,"")&amp;DAY(Variables!$A$2)</f>
        <v>-26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0" t="e">
        <f>VLOOKUP(B31,'Train Runs'!$A$13:$A$99922,1,FALSE)</f>
        <v>#N/A</v>
      </c>
    </row>
    <row r="32" spans="1:10" x14ac:dyDescent="0.25">
      <c r="A32" s="202"/>
      <c r="B32" s="42" t="str">
        <f>A32&amp;"-"&amp;IF(DAY(Variables!$A$2)&lt;10,0,"")&amp;DAY(Variables!$A$2)</f>
        <v>-26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0" t="e">
        <f>VLOOKUP(B32,'Train Runs'!$A$13:$A$99922,1,FALSE)</f>
        <v>#N/A</v>
      </c>
    </row>
    <row r="33" spans="1:10" x14ac:dyDescent="0.25">
      <c r="A33" s="202"/>
      <c r="B33" s="42" t="str">
        <f>A33&amp;"-"&amp;IF(DAY(Variables!$A$2)&lt;10,0,"")&amp;DAY(Variables!$A$2)</f>
        <v>-26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0" t="e">
        <f>VLOOKUP(B33,'Train Runs'!$A$13:$A$99922,1,FALSE)</f>
        <v>#N/A</v>
      </c>
    </row>
    <row r="34" spans="1:10" x14ac:dyDescent="0.25">
      <c r="A34" s="202"/>
      <c r="B34" s="42" t="str">
        <f>A34&amp;"-"&amp;IF(DAY(Variables!$A$2)&lt;10,0,"")&amp;DAY(Variables!$A$2)</f>
        <v>-26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0" t="e">
        <f>VLOOKUP(B34,'Train Runs'!$A$13:$A$99922,1,FALSE)</f>
        <v>#N/A</v>
      </c>
    </row>
    <row r="35" spans="1:10" x14ac:dyDescent="0.25">
      <c r="A35" s="202"/>
      <c r="B35" s="42" t="str">
        <f>A35&amp;"-"&amp;IF(DAY(Variables!$A$2)&lt;10,0,"")&amp;DAY(Variables!$A$2)</f>
        <v>-26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0" t="e">
        <f>VLOOKUP(B35,'Train Runs'!$A$13:$A$99922,1,FALSE)</f>
        <v>#N/A</v>
      </c>
    </row>
    <row r="36" spans="1:10" x14ac:dyDescent="0.25">
      <c r="A36" s="202"/>
      <c r="B36" s="42" t="str">
        <f>A36&amp;"-"&amp;IF(DAY(Variables!$A$2)&lt;10,0,"")&amp;DAY(Variables!$A$2)</f>
        <v>-26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0" t="e">
        <f>VLOOKUP(B36,'Train Runs'!$A$13:$A$99922,1,FALSE)</f>
        <v>#N/A</v>
      </c>
    </row>
    <row r="37" spans="1:10" x14ac:dyDescent="0.25">
      <c r="A37" s="202"/>
      <c r="B37" s="42" t="str">
        <f>A37&amp;"-"&amp;IF(DAY(Variables!$A$2)&lt;10,0,"")&amp;DAY(Variables!$A$2)</f>
        <v>-26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0" t="e">
        <f>VLOOKUP(B37,'Train Runs'!$A$13:$A$99922,1,FALSE)</f>
        <v>#N/A</v>
      </c>
    </row>
    <row r="38" spans="1:10" x14ac:dyDescent="0.25">
      <c r="A38" s="202"/>
      <c r="B38" s="42" t="str">
        <f>A38&amp;"-"&amp;IF(DAY(Variables!$A$2)&lt;10,0,"")&amp;DAY(Variables!$A$2)</f>
        <v>-26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0" t="e">
        <f>VLOOKUP(B38,'Train Runs'!$A$13:$A$99922,1,FALSE)</f>
        <v>#N/A</v>
      </c>
    </row>
    <row r="39" spans="1:10" x14ac:dyDescent="0.25">
      <c r="A39" s="202"/>
      <c r="B39" s="42" t="str">
        <f>A39&amp;"-"&amp;IF(DAY(Variables!$A$2)&lt;10,0,"")&amp;DAY(Variables!$A$2)</f>
        <v>-26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0" t="e">
        <f>VLOOKUP(B39,'Train Runs'!$A$13:$A$99922,1,FALSE)</f>
        <v>#N/A</v>
      </c>
    </row>
    <row r="40" spans="1:10" x14ac:dyDescent="0.25">
      <c r="A40" s="202"/>
      <c r="B40" s="42" t="str">
        <f>A40&amp;"-"&amp;IF(DAY(Variables!$A$2)&lt;10,0,"")&amp;DAY(Variables!$A$2)</f>
        <v>-26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0" t="e">
        <f>VLOOKUP(B40,'Train Runs'!$A$13:$A$99922,1,FALSE)</f>
        <v>#N/A</v>
      </c>
    </row>
    <row r="41" spans="1:10" x14ac:dyDescent="0.25">
      <c r="A41" s="202"/>
      <c r="B41" s="42" t="str">
        <f>A41&amp;"-"&amp;IF(DAY(Variables!$A$2)&lt;10,0,"")&amp;DAY(Variables!$A$2)</f>
        <v>-26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0" t="e">
        <f>VLOOKUP(B41,'Train Runs'!$A$13:$A$99922,1,FALSE)</f>
        <v>#N/A</v>
      </c>
    </row>
    <row r="42" spans="1:10" x14ac:dyDescent="0.25">
      <c r="A42" s="202"/>
      <c r="B42" s="42" t="str">
        <f>A42&amp;"-"&amp;IF(DAY(Variables!$A$2)&lt;10,0,"")&amp;DAY(Variables!$A$2)</f>
        <v>-26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0" t="e">
        <f>VLOOKUP(B42,'Train Runs'!$A$13:$A$99922,1,FALSE)</f>
        <v>#N/A</v>
      </c>
    </row>
    <row r="43" spans="1:10" x14ac:dyDescent="0.25">
      <c r="A43" s="202"/>
      <c r="B43" s="42" t="str">
        <f>A43&amp;"-"&amp;IF(DAY(Variables!$A$2)&lt;10,0,"")&amp;DAY(Variables!$A$2)</f>
        <v>-26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0" t="e">
        <f>VLOOKUP(B43,'Train Runs'!$A$13:$A$99922,1,FALSE)</f>
        <v>#N/A</v>
      </c>
    </row>
    <row r="44" spans="1:10" x14ac:dyDescent="0.25">
      <c r="A44" s="202"/>
      <c r="B44" s="42" t="str">
        <f>A44&amp;"-"&amp;IF(DAY(Variables!$A$2)&lt;10,0,"")&amp;DAY(Variables!$A$2)</f>
        <v>-26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0" t="e">
        <f>VLOOKUP(B44,'Train Runs'!$A$13:$A$99922,1,FALSE)</f>
        <v>#N/A</v>
      </c>
    </row>
    <row r="45" spans="1:10" x14ac:dyDescent="0.25">
      <c r="A45" s="202"/>
      <c r="B45" s="42" t="str">
        <f>A45&amp;"-"&amp;IF(DAY(Variables!$A$2)&lt;10,0,"")&amp;DAY(Variables!$A$2)</f>
        <v>-26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5" s="30" t="e">
        <f>VLOOKUP(B45,'Train Runs'!$A$13:$A$99922,1,FALSE)</f>
        <v>#N/A</v>
      </c>
    </row>
    <row r="46" spans="1:10" x14ac:dyDescent="0.25">
      <c r="A46" s="202"/>
      <c r="B46" s="42" t="str">
        <f>A46&amp;"-"&amp;IF(DAY(Variables!$A$2)&lt;10,0,"")&amp;DAY(Variables!$A$2)</f>
        <v>-26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ref="I46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6" s="30" t="e">
        <f>VLOOKUP(B46,'Train Runs'!$A$13:$A$99922,1,FALSE)</f>
        <v>#N/A</v>
      </c>
    </row>
    <row r="47" spans="1:10" x14ac:dyDescent="0.25">
      <c r="A47" s="202"/>
      <c r="B47" s="42" t="str">
        <f>A47&amp;"-"&amp;IF(DAY(Variables!$A$2)&lt;10,0,"")&amp;DAY(Variables!$A$2)</f>
        <v>-26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7" s="30" t="e">
        <f>VLOOKUP(B47,'Train Runs'!$A$13:$A$99922,1,FALSE)</f>
        <v>#N/A</v>
      </c>
    </row>
    <row r="48" spans="1:10" x14ac:dyDescent="0.25">
      <c r="A48" s="202"/>
      <c r="B48" s="42" t="str">
        <f>A48&amp;"-"&amp;IF(DAY(Variables!$A$2)&lt;10,0,"")&amp;DAY(Variables!$A$2)</f>
        <v>-26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8" s="30" t="e">
        <f>VLOOKUP(B48,'Train Runs'!$A$13:$A$99922,1,FALSE)</f>
        <v>#N/A</v>
      </c>
    </row>
    <row r="49" spans="1:10" x14ac:dyDescent="0.25">
      <c r="A49" s="202"/>
      <c r="B49" s="42" t="str">
        <f>A49&amp;"-"&amp;IF(DAY(Variables!$A$2)&lt;10,0,"")&amp;DAY(Variables!$A$2)</f>
        <v>-26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9" s="30" t="e">
        <f>VLOOKUP(B49,'Train Runs'!$A$13:$A$99922,1,FALSE)</f>
        <v>#N/A</v>
      </c>
    </row>
    <row r="50" spans="1:10" x14ac:dyDescent="0.25">
      <c r="A50" s="202"/>
      <c r="B50" s="42" t="str">
        <f>A50&amp;"-"&amp;IF(DAY(Variables!$A$2)&lt;10,0,"")&amp;DAY(Variables!$A$2)</f>
        <v>-26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0" s="30" t="e">
        <f>VLOOKUP(B50,'Train Runs'!$A$13:$A$99922,1,FALSE)</f>
        <v>#N/A</v>
      </c>
    </row>
    <row r="51" spans="1:10" x14ac:dyDescent="0.25">
      <c r="A51" s="202"/>
      <c r="B51" s="42" t="str">
        <f>A51&amp;"-"&amp;IF(DAY(Variables!$A$2)&lt;10,0,"")&amp;DAY(Variables!$A$2)</f>
        <v>-26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1" s="30" t="e">
        <f>VLOOKUP(B51,'Train Runs'!$A$13:$A$99922,1,FALSE)</f>
        <v>#N/A</v>
      </c>
    </row>
    <row r="52" spans="1:10" x14ac:dyDescent="0.25">
      <c r="A52" s="202"/>
      <c r="B52" s="42" t="str">
        <f>A52&amp;"-"&amp;IF(DAY(Variables!$A$2)&lt;10,0,"")&amp;DAY(Variables!$A$2)</f>
        <v>-26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2" s="30" t="e">
        <f>VLOOKUP(B52,'Train Runs'!$A$13:$A$99922,1,FALSE)</f>
        <v>#N/A</v>
      </c>
    </row>
    <row r="53" spans="1:10" x14ac:dyDescent="0.25">
      <c r="A53" s="202"/>
      <c r="B53" s="42" t="str">
        <f>A53&amp;"-"&amp;IF(DAY(Variables!$A$2)&lt;10,0,"")&amp;DAY(Variables!$A$2)</f>
        <v>-26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3" s="30" t="e">
        <f>VLOOKUP(B53,'Train Runs'!$A$13:$A$99922,1,FALSE)</f>
        <v>#N/A</v>
      </c>
    </row>
    <row r="54" spans="1:10" x14ac:dyDescent="0.25">
      <c r="A54" s="202"/>
      <c r="B54" s="42" t="str">
        <f>A54&amp;"-"&amp;IF(DAY(Variables!$A$2)&lt;10,0,"")&amp;DAY(Variables!$A$2)</f>
        <v>-26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4" s="30" t="e">
        <f>VLOOKUP(B54,'Train Runs'!$A$13:$A$99922,1,FALSE)</f>
        <v>#N/A</v>
      </c>
    </row>
    <row r="55" spans="1:10" x14ac:dyDescent="0.25">
      <c r="A55" s="202"/>
      <c r="B55" s="42" t="str">
        <f>A55&amp;"-"&amp;IF(DAY(Variables!$A$2)&lt;10,0,"")&amp;DAY(Variables!$A$2)</f>
        <v>-26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5" s="30" t="e">
        <f>VLOOKUP(B55,'Train Runs'!$A$13:$A$99922,1,FALSE)</f>
        <v>#N/A</v>
      </c>
    </row>
    <row r="56" spans="1:10" x14ac:dyDescent="0.25">
      <c r="A56" s="202"/>
      <c r="B56" s="42" t="str">
        <f>A56&amp;"-"&amp;IF(DAY(Variables!$A$2)&lt;10,0,"")&amp;DAY(Variables!$A$2)</f>
        <v>-26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6" s="30" t="e">
        <f>VLOOKUP(B56,'Train Runs'!$A$13:$A$99922,1,FALSE)</f>
        <v>#N/A</v>
      </c>
    </row>
    <row r="57" spans="1:10" x14ac:dyDescent="0.25">
      <c r="A57" s="202"/>
      <c r="B57" s="42" t="str">
        <f>A57&amp;"-"&amp;IF(DAY(Variables!$A$2)&lt;10,0,"")&amp;DAY(Variables!$A$2)</f>
        <v>-26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7" s="30" t="e">
        <f>VLOOKUP(B57,'Train Runs'!$A$13:$A$99922,1,FALSE)</f>
        <v>#N/A</v>
      </c>
    </row>
    <row r="58" spans="1:10" x14ac:dyDescent="0.25">
      <c r="A58" s="202"/>
      <c r="B58" s="42" t="str">
        <f>A58&amp;"-"&amp;IF(DAY(Variables!$A$2)&lt;10,0,"")&amp;DAY(Variables!$A$2)</f>
        <v>-26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8" s="30" t="e">
        <f>VLOOKUP(B58,'Train Runs'!$A$13:$A$99922,1,FALSE)</f>
        <v>#N/A</v>
      </c>
    </row>
    <row r="59" spans="1:10" x14ac:dyDescent="0.25">
      <c r="A59" s="202"/>
      <c r="B59" s="42" t="str">
        <f>A59&amp;"-"&amp;IF(DAY(Variables!$A$2)&lt;10,0,"")&amp;DAY(Variables!$A$2)</f>
        <v>-26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9" s="30" t="e">
        <f>VLOOKUP(B59,'Train Runs'!$A$13:$A$99922,1,FALSE)</f>
        <v>#N/A</v>
      </c>
    </row>
    <row r="60" spans="1:10" x14ac:dyDescent="0.25">
      <c r="A60" s="202"/>
      <c r="B60" s="42" t="str">
        <f>A60&amp;"-"&amp;IF(DAY(Variables!$A$2)&lt;10,0,"")&amp;DAY(Variables!$A$2)</f>
        <v>-26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0" s="30" t="e">
        <f>VLOOKUP(B60,'Train Runs'!$A$13:$A$99922,1,FALSE)</f>
        <v>#N/A</v>
      </c>
    </row>
    <row r="61" spans="1:10" x14ac:dyDescent="0.25">
      <c r="A61" s="202"/>
      <c r="B61" s="42" t="str">
        <f>A61&amp;"-"&amp;IF(DAY(Variables!$A$2)&lt;10,0,"")&amp;DAY(Variables!$A$2)</f>
        <v>-26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1" s="30" t="e">
        <f>VLOOKUP(B61,'Train Runs'!$A$13:$A$99922,1,FALSE)</f>
        <v>#N/A</v>
      </c>
    </row>
    <row r="62" spans="1:10" x14ac:dyDescent="0.25">
      <c r="A62" s="202"/>
      <c r="B62" s="42" t="str">
        <f>A62&amp;"-"&amp;IF(DAY(Variables!$A$2)&lt;10,0,"")&amp;DAY(Variables!$A$2)</f>
        <v>-26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2" s="30" t="e">
        <f>VLOOKUP(B62,'Train Runs'!$A$13:$A$99922,1,FALSE)</f>
        <v>#N/A</v>
      </c>
    </row>
    <row r="63" spans="1:10" x14ac:dyDescent="0.25">
      <c r="A63" s="202"/>
      <c r="B63" s="42" t="str">
        <f>A63&amp;"-"&amp;IF(DAY(Variables!$A$2)&lt;10,0,"")&amp;DAY(Variables!$A$2)</f>
        <v>-26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3" s="30" t="e">
        <f>VLOOKUP(B63,'Train Runs'!$A$13:$A$99922,1,FALSE)</f>
        <v>#N/A</v>
      </c>
    </row>
    <row r="64" spans="1:10" x14ac:dyDescent="0.25">
      <c r="A64" s="202"/>
      <c r="B64" s="42" t="str">
        <f>A64&amp;"-"&amp;IF(DAY(Variables!$A$2)&lt;10,0,"")&amp;DAY(Variables!$A$2)</f>
        <v>-26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4" s="30" t="e">
        <f>VLOOKUP(B64,'Train Runs'!$A$13:$A$99922,1,FALSE)</f>
        <v>#N/A</v>
      </c>
    </row>
    <row r="65" spans="1:10" x14ac:dyDescent="0.25">
      <c r="A65" s="202"/>
      <c r="B65" s="42" t="str">
        <f>A65&amp;"-"&amp;IF(DAY(Variables!$A$2)&lt;10,0,"")&amp;DAY(Variables!$A$2)</f>
        <v>-26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5" s="30" t="e">
        <f>VLOOKUP(B65,'Train Runs'!$A$13:$A$99922,1,FALSE)</f>
        <v>#N/A</v>
      </c>
    </row>
    <row r="66" spans="1:10" x14ac:dyDescent="0.25">
      <c r="A66" s="202"/>
      <c r="B66" s="42" t="str">
        <f>A66&amp;"-"&amp;IF(DAY(Variables!$A$2)&lt;10,0,"")&amp;DAY(Variables!$A$2)</f>
        <v>-26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6" s="30" t="e">
        <f>VLOOKUP(B66,'Train Runs'!$A$13:$A$99922,1,FALSE)</f>
        <v>#N/A</v>
      </c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202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202"/>
      <c r="B122" s="42"/>
      <c r="C122" s="138"/>
      <c r="D122" s="156"/>
      <c r="E122" s="30"/>
      <c r="F122" s="21"/>
      <c r="G122" s="21"/>
      <c r="H122" s="29"/>
      <c r="I122" s="45"/>
      <c r="J122" s="30"/>
    </row>
  </sheetData>
  <autoFilter ref="A2:J7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42881.0387962963</v>
      </c>
      <c r="B2" s="20" t="s">
        <v>433</v>
      </c>
      <c r="C2" s="20" t="s">
        <v>543</v>
      </c>
      <c r="D2" s="141">
        <v>2230000</v>
      </c>
      <c r="E2" s="20" t="s">
        <v>344</v>
      </c>
      <c r="F2" s="20" t="s">
        <v>194</v>
      </c>
      <c r="G2" s="8" t="str">
        <f>E2&amp;" "&amp;F2</f>
        <v>SMITH MICHAEL</v>
      </c>
    </row>
    <row r="3" spans="1:7" x14ac:dyDescent="0.25">
      <c r="A3" s="8">
        <v>42881.041932870372</v>
      </c>
      <c r="B3" s="20" t="s">
        <v>535</v>
      </c>
      <c r="C3" s="20" t="s">
        <v>544</v>
      </c>
      <c r="D3" s="141">
        <v>2260000</v>
      </c>
      <c r="E3" s="20" t="s">
        <v>523</v>
      </c>
      <c r="F3" s="20" t="s">
        <v>524</v>
      </c>
      <c r="G3" s="8" t="str">
        <f t="shared" ref="G3:G66" si="0">E3&amp;" "&amp;F3</f>
        <v>ARVIDSON DANIEL</v>
      </c>
    </row>
    <row r="4" spans="1:7" x14ac:dyDescent="0.25">
      <c r="A4" s="8">
        <v>42881.054166666669</v>
      </c>
      <c r="B4" s="20" t="s">
        <v>342</v>
      </c>
      <c r="C4" s="20" t="s">
        <v>545</v>
      </c>
      <c r="D4" s="141">
        <v>3000000</v>
      </c>
      <c r="E4" s="20" t="s">
        <v>481</v>
      </c>
      <c r="F4" s="20" t="s">
        <v>482</v>
      </c>
      <c r="G4" s="8" t="str">
        <f t="shared" si="0"/>
        <v>FORTUNATO FRANK</v>
      </c>
    </row>
    <row r="5" spans="1:7" x14ac:dyDescent="0.25">
      <c r="A5" s="8">
        <v>42881.05809027778</v>
      </c>
      <c r="B5" s="20" t="s">
        <v>535</v>
      </c>
      <c r="C5" s="20" t="s">
        <v>544</v>
      </c>
      <c r="D5" s="141">
        <v>2260000</v>
      </c>
      <c r="E5" s="20" t="s">
        <v>523</v>
      </c>
      <c r="F5" s="20" t="s">
        <v>524</v>
      </c>
      <c r="G5" s="8" t="str">
        <f t="shared" si="0"/>
        <v>ARVIDSON DANIEL</v>
      </c>
    </row>
    <row r="6" spans="1:7" x14ac:dyDescent="0.25">
      <c r="A6" s="8">
        <v>42881.059872685182</v>
      </c>
      <c r="B6" s="20" t="s">
        <v>362</v>
      </c>
      <c r="C6" s="20" t="s">
        <v>546</v>
      </c>
      <c r="D6" s="141">
        <v>2230000</v>
      </c>
      <c r="E6" s="20" t="s">
        <v>344</v>
      </c>
      <c r="F6" s="20" t="s">
        <v>194</v>
      </c>
      <c r="G6" s="8" t="str">
        <f t="shared" si="0"/>
        <v>SMITH MICHAEL</v>
      </c>
    </row>
    <row r="7" spans="1:7" x14ac:dyDescent="0.25">
      <c r="A7" s="8">
        <v>42881.073819444442</v>
      </c>
      <c r="B7" s="20" t="s">
        <v>342</v>
      </c>
      <c r="C7" s="20" t="s">
        <v>545</v>
      </c>
      <c r="D7" s="141">
        <v>3000000</v>
      </c>
      <c r="E7" s="20" t="s">
        <v>481</v>
      </c>
      <c r="F7" s="20" t="s">
        <v>482</v>
      </c>
      <c r="G7" s="8" t="str">
        <f t="shared" si="0"/>
        <v>FORTUNATO FRANK</v>
      </c>
    </row>
    <row r="8" spans="1:7" x14ac:dyDescent="0.25">
      <c r="A8" s="8">
        <v>42881.080381944441</v>
      </c>
      <c r="B8" s="20" t="s">
        <v>342</v>
      </c>
      <c r="C8" s="20" t="s">
        <v>545</v>
      </c>
      <c r="D8" s="141">
        <v>3000000</v>
      </c>
      <c r="E8" s="20" t="s">
        <v>481</v>
      </c>
      <c r="F8" s="20" t="s">
        <v>482</v>
      </c>
      <c r="G8" s="8" t="str">
        <f t="shared" si="0"/>
        <v>FORTUNATO FRANK</v>
      </c>
    </row>
    <row r="9" spans="1:7" ht="15.75" thickBot="1" x14ac:dyDescent="0.3">
      <c r="A9" s="24">
        <v>42881.081099537034</v>
      </c>
      <c r="B9" s="20" t="s">
        <v>536</v>
      </c>
      <c r="C9" s="20" t="s">
        <v>547</v>
      </c>
      <c r="D9" s="141">
        <v>2260000</v>
      </c>
      <c r="E9" s="20" t="s">
        <v>523</v>
      </c>
      <c r="F9" s="20" t="s">
        <v>524</v>
      </c>
      <c r="G9" s="8" t="str">
        <f t="shared" si="0"/>
        <v>ARVIDSON DANIEL</v>
      </c>
    </row>
    <row r="10" spans="1:7" x14ac:dyDescent="0.25">
      <c r="A10" s="8">
        <v>42881.105925925927</v>
      </c>
      <c r="B10" s="20" t="s">
        <v>341</v>
      </c>
      <c r="C10" s="20" t="s">
        <v>548</v>
      </c>
      <c r="D10" s="141">
        <v>3000000</v>
      </c>
      <c r="E10" s="20" t="s">
        <v>481</v>
      </c>
      <c r="F10" s="20" t="s">
        <v>482</v>
      </c>
      <c r="G10" s="8" t="str">
        <f t="shared" si="0"/>
        <v>FORTUNATO FRANK</v>
      </c>
    </row>
    <row r="11" spans="1:7" x14ac:dyDescent="0.25">
      <c r="A11" s="8">
        <v>42881.113726851851</v>
      </c>
      <c r="B11" s="20" t="s">
        <v>436</v>
      </c>
      <c r="C11" s="20" t="s">
        <v>549</v>
      </c>
      <c r="D11" s="141">
        <v>1110000</v>
      </c>
      <c r="E11" s="20" t="s">
        <v>456</v>
      </c>
      <c r="F11" s="20" t="s">
        <v>457</v>
      </c>
      <c r="G11" s="8" t="str">
        <f t="shared" si="0"/>
        <v>STARKS ANGELINA</v>
      </c>
    </row>
    <row r="12" spans="1:7" x14ac:dyDescent="0.25">
      <c r="A12" s="8">
        <v>42881.114340277774</v>
      </c>
      <c r="B12" s="20" t="s">
        <v>436</v>
      </c>
      <c r="C12" s="20" t="s">
        <v>549</v>
      </c>
      <c r="D12" s="141">
        <v>1110000</v>
      </c>
      <c r="E12" s="20" t="s">
        <v>456</v>
      </c>
      <c r="F12" s="20" t="s">
        <v>457</v>
      </c>
      <c r="G12" s="8" t="str">
        <f t="shared" si="0"/>
        <v>STARKS ANGELINA</v>
      </c>
    </row>
    <row r="13" spans="1:7" x14ac:dyDescent="0.25">
      <c r="A13" s="8">
        <v>42881.116041666668</v>
      </c>
      <c r="B13" s="20" t="s">
        <v>436</v>
      </c>
      <c r="C13" s="20" t="s">
        <v>549</v>
      </c>
      <c r="D13" s="141">
        <v>1110000</v>
      </c>
      <c r="E13" s="20" t="s">
        <v>456</v>
      </c>
      <c r="F13" s="20" t="s">
        <v>457</v>
      </c>
      <c r="G13" s="8" t="str">
        <f t="shared" si="0"/>
        <v>STARKS ANGELINA</v>
      </c>
    </row>
    <row r="14" spans="1:7" x14ac:dyDescent="0.25">
      <c r="A14" s="8">
        <v>42881.128425925926</v>
      </c>
      <c r="B14" s="20" t="s">
        <v>601</v>
      </c>
      <c r="C14" s="20" t="s">
        <v>629</v>
      </c>
      <c r="D14" s="141">
        <v>1090000</v>
      </c>
      <c r="E14" s="20" t="s">
        <v>527</v>
      </c>
      <c r="F14" s="20" t="s">
        <v>194</v>
      </c>
      <c r="G14" s="8" t="str">
        <f t="shared" si="0"/>
        <v>SPECTOR MICHAEL</v>
      </c>
    </row>
    <row r="15" spans="1:7" x14ac:dyDescent="0.25">
      <c r="A15" s="8">
        <v>42881.130023148151</v>
      </c>
      <c r="B15" s="20" t="s">
        <v>430</v>
      </c>
      <c r="C15" s="20" t="s">
        <v>630</v>
      </c>
      <c r="D15" s="141">
        <v>1110000</v>
      </c>
      <c r="E15" s="20" t="s">
        <v>456</v>
      </c>
      <c r="F15" s="20" t="s">
        <v>457</v>
      </c>
      <c r="G15" s="8" t="str">
        <f t="shared" si="0"/>
        <v>STARKS ANGELINA</v>
      </c>
    </row>
    <row r="16" spans="1:7" x14ac:dyDescent="0.25">
      <c r="A16" s="8">
        <v>42881.140509259261</v>
      </c>
      <c r="B16" s="20" t="s">
        <v>436</v>
      </c>
      <c r="C16" s="20" t="s">
        <v>631</v>
      </c>
      <c r="D16" s="141">
        <v>1090000</v>
      </c>
      <c r="E16" s="20" t="s">
        <v>527</v>
      </c>
      <c r="F16" s="20" t="s">
        <v>194</v>
      </c>
      <c r="G16" s="8" t="str">
        <f t="shared" si="0"/>
        <v>SPECTOR MICHAEL</v>
      </c>
    </row>
    <row r="17" spans="1:7" x14ac:dyDescent="0.25">
      <c r="A17" s="8">
        <v>42881.141168981485</v>
      </c>
      <c r="B17" s="20" t="s">
        <v>632</v>
      </c>
      <c r="C17" s="20" t="s">
        <v>633</v>
      </c>
      <c r="D17" s="141">
        <v>3040000</v>
      </c>
      <c r="E17" s="20" t="s">
        <v>391</v>
      </c>
      <c r="F17" s="20" t="s">
        <v>392</v>
      </c>
      <c r="G17" s="8" t="str">
        <f t="shared" si="0"/>
        <v>WILLIAMS DONTE</v>
      </c>
    </row>
    <row r="18" spans="1:7" x14ac:dyDescent="0.25">
      <c r="A18" s="8">
        <v>42881.154606481483</v>
      </c>
      <c r="B18" s="20" t="s">
        <v>594</v>
      </c>
      <c r="C18" s="20" t="s">
        <v>595</v>
      </c>
      <c r="D18" s="141">
        <v>3040000</v>
      </c>
      <c r="E18" s="20" t="s">
        <v>391</v>
      </c>
      <c r="F18" s="20" t="s">
        <v>392</v>
      </c>
      <c r="G18" s="8" t="str">
        <f t="shared" si="0"/>
        <v>WILLIAMS DONTE</v>
      </c>
    </row>
    <row r="19" spans="1:7" x14ac:dyDescent="0.25">
      <c r="A19" s="8">
        <v>42881.163611111115</v>
      </c>
      <c r="B19" s="20" t="s">
        <v>624</v>
      </c>
      <c r="C19" s="20" t="s">
        <v>634</v>
      </c>
      <c r="D19" s="141">
        <v>940000</v>
      </c>
      <c r="E19" s="20" t="s">
        <v>454</v>
      </c>
      <c r="F19" s="20" t="s">
        <v>455</v>
      </c>
      <c r="G19" s="8" t="str">
        <f t="shared" si="0"/>
        <v>BONDS REYNALDO</v>
      </c>
    </row>
    <row r="20" spans="1:7" x14ac:dyDescent="0.25">
      <c r="A20" s="8">
        <v>42881.167175925926</v>
      </c>
      <c r="B20" s="20" t="s">
        <v>513</v>
      </c>
      <c r="C20" s="20" t="s">
        <v>635</v>
      </c>
      <c r="D20" s="141">
        <v>3030000</v>
      </c>
      <c r="E20" s="20" t="s">
        <v>390</v>
      </c>
      <c r="F20" s="20" t="s">
        <v>373</v>
      </c>
      <c r="G20" s="8" t="str">
        <f t="shared" si="0"/>
        <v>BIRENBAUM THOMAS</v>
      </c>
    </row>
    <row r="21" spans="1:7" x14ac:dyDescent="0.25">
      <c r="A21" s="8">
        <v>42881.173715277779</v>
      </c>
      <c r="B21" s="20" t="s">
        <v>603</v>
      </c>
      <c r="C21" s="20" t="s">
        <v>636</v>
      </c>
      <c r="D21" s="141">
        <v>940000</v>
      </c>
      <c r="E21" s="20" t="s">
        <v>454</v>
      </c>
      <c r="F21" s="20" t="s">
        <v>455</v>
      </c>
      <c r="G21" s="8" t="str">
        <f t="shared" si="0"/>
        <v>BONDS REYNALDO</v>
      </c>
    </row>
    <row r="22" spans="1:7" x14ac:dyDescent="0.25">
      <c r="A22" s="26">
        <v>42881.17659722222</v>
      </c>
      <c r="B22" s="20" t="s">
        <v>453</v>
      </c>
      <c r="C22" s="20" t="s">
        <v>596</v>
      </c>
      <c r="D22" s="141">
        <v>1110000</v>
      </c>
      <c r="E22" s="20" t="s">
        <v>456</v>
      </c>
      <c r="F22" s="20" t="s">
        <v>457</v>
      </c>
      <c r="G22" s="8" t="str">
        <f t="shared" si="0"/>
        <v>STARKS ANGELINA</v>
      </c>
    </row>
    <row r="23" spans="1:7" x14ac:dyDescent="0.25">
      <c r="A23" s="8">
        <v>42881.182962962965</v>
      </c>
      <c r="B23" s="20" t="s">
        <v>608</v>
      </c>
      <c r="C23" s="20" t="s">
        <v>637</v>
      </c>
      <c r="D23" s="141">
        <v>3030000</v>
      </c>
      <c r="E23" s="20" t="s">
        <v>390</v>
      </c>
      <c r="F23" s="20" t="s">
        <v>373</v>
      </c>
      <c r="G23" s="8" t="str">
        <f t="shared" si="0"/>
        <v>BIRENBAUM THOMAS</v>
      </c>
    </row>
    <row r="24" spans="1:7" x14ac:dyDescent="0.25">
      <c r="A24" s="8">
        <v>42881.18378472222</v>
      </c>
      <c r="B24" s="20" t="s">
        <v>475</v>
      </c>
      <c r="C24" s="20" t="s">
        <v>638</v>
      </c>
      <c r="D24" s="141">
        <v>1990000</v>
      </c>
      <c r="E24" s="20" t="s">
        <v>435</v>
      </c>
      <c r="F24" s="20" t="s">
        <v>538</v>
      </c>
      <c r="G24" s="8" t="str">
        <f t="shared" si="0"/>
        <v>DAVIS WENDY</v>
      </c>
    </row>
    <row r="25" spans="1:7" x14ac:dyDescent="0.25">
      <c r="A25" s="8">
        <v>42881.190636574072</v>
      </c>
      <c r="B25" s="20" t="s">
        <v>632</v>
      </c>
      <c r="C25" s="20" t="s">
        <v>639</v>
      </c>
      <c r="D25" s="141">
        <v>3040000</v>
      </c>
      <c r="E25" s="20" t="s">
        <v>391</v>
      </c>
      <c r="F25" s="20" t="s">
        <v>392</v>
      </c>
      <c r="G25" s="8" t="str">
        <f t="shared" si="0"/>
        <v>WILLIAMS DONTE</v>
      </c>
    </row>
    <row r="26" spans="1:7" x14ac:dyDescent="0.25">
      <c r="A26" s="8">
        <v>42881.193032407406</v>
      </c>
      <c r="B26" s="20" t="s">
        <v>479</v>
      </c>
      <c r="C26" s="20" t="s">
        <v>640</v>
      </c>
      <c r="D26" s="141">
        <v>1990000</v>
      </c>
      <c r="E26" s="20" t="s">
        <v>435</v>
      </c>
      <c r="F26" s="20" t="s">
        <v>538</v>
      </c>
      <c r="G26" s="8" t="str">
        <f t="shared" si="0"/>
        <v>DAVIS WENDY</v>
      </c>
    </row>
    <row r="27" spans="1:7" x14ac:dyDescent="0.25">
      <c r="A27" s="8">
        <v>42881.194687499999</v>
      </c>
      <c r="B27" s="20" t="s">
        <v>478</v>
      </c>
      <c r="C27" s="20" t="s">
        <v>597</v>
      </c>
      <c r="D27" s="141">
        <v>2970000</v>
      </c>
      <c r="E27" s="20" t="s">
        <v>388</v>
      </c>
      <c r="F27" s="20" t="s">
        <v>389</v>
      </c>
      <c r="G27" s="8" t="str">
        <f t="shared" si="0"/>
        <v>GUZMAN DANNY</v>
      </c>
    </row>
    <row r="28" spans="1:7" x14ac:dyDescent="0.25">
      <c r="A28" s="8">
        <v>42881.195486111108</v>
      </c>
      <c r="B28" s="20" t="s">
        <v>478</v>
      </c>
      <c r="C28" s="20" t="s">
        <v>597</v>
      </c>
      <c r="D28" s="141">
        <v>2970000</v>
      </c>
      <c r="E28" s="20" t="s">
        <v>388</v>
      </c>
      <c r="F28" s="20" t="s">
        <v>389</v>
      </c>
      <c r="G28" s="8" t="str">
        <f t="shared" si="0"/>
        <v>GUZMAN DANNY</v>
      </c>
    </row>
    <row r="29" spans="1:7" x14ac:dyDescent="0.25">
      <c r="A29" s="8">
        <v>42881.197743055556</v>
      </c>
      <c r="B29" s="20" t="s">
        <v>478</v>
      </c>
      <c r="C29" s="20" t="s">
        <v>597</v>
      </c>
      <c r="D29" s="141">
        <v>2970000</v>
      </c>
      <c r="E29" s="20" t="s">
        <v>388</v>
      </c>
      <c r="F29" s="20" t="s">
        <v>389</v>
      </c>
      <c r="G29" s="8" t="str">
        <f t="shared" si="0"/>
        <v>GUZMAN DANNY</v>
      </c>
    </row>
    <row r="30" spans="1:7" x14ac:dyDescent="0.25">
      <c r="A30" s="8">
        <v>42881.199594907404</v>
      </c>
      <c r="B30" s="20" t="s">
        <v>605</v>
      </c>
      <c r="C30" s="20" t="s">
        <v>641</v>
      </c>
      <c r="D30" s="141">
        <v>2600000</v>
      </c>
      <c r="E30" s="20" t="s">
        <v>642</v>
      </c>
      <c r="F30" s="20" t="s">
        <v>643</v>
      </c>
      <c r="G30" s="8" t="str">
        <f t="shared" si="0"/>
        <v>DAVIDSON DAVID</v>
      </c>
    </row>
    <row r="31" spans="1:7" x14ac:dyDescent="0.25">
      <c r="A31" s="8">
        <v>42881.204780092594</v>
      </c>
      <c r="B31" s="20" t="s">
        <v>601</v>
      </c>
      <c r="C31" s="20" t="s">
        <v>644</v>
      </c>
      <c r="D31" s="141">
        <v>1090000</v>
      </c>
      <c r="E31" s="20" t="s">
        <v>527</v>
      </c>
      <c r="F31" s="20" t="s">
        <v>194</v>
      </c>
      <c r="G31" s="8" t="str">
        <f t="shared" si="0"/>
        <v>SPECTOR MICHAEL</v>
      </c>
    </row>
    <row r="32" spans="1:7" x14ac:dyDescent="0.25">
      <c r="A32" s="8">
        <v>42881.213969907411</v>
      </c>
      <c r="B32" s="20" t="s">
        <v>476</v>
      </c>
      <c r="C32" s="20" t="s">
        <v>645</v>
      </c>
      <c r="D32" s="141">
        <v>2970000</v>
      </c>
      <c r="E32" s="20" t="s">
        <v>388</v>
      </c>
      <c r="F32" s="20" t="s">
        <v>389</v>
      </c>
      <c r="G32" s="8" t="str">
        <f t="shared" si="0"/>
        <v>GUZMAN DANNY</v>
      </c>
    </row>
    <row r="33" spans="1:7" x14ac:dyDescent="0.25">
      <c r="A33" s="8">
        <v>42881.214479166665</v>
      </c>
      <c r="B33" s="20" t="s">
        <v>624</v>
      </c>
      <c r="C33" s="20" t="s">
        <v>646</v>
      </c>
      <c r="D33" s="141">
        <v>940000</v>
      </c>
      <c r="E33" s="20" t="s">
        <v>454</v>
      </c>
      <c r="F33" s="20" t="s">
        <v>455</v>
      </c>
      <c r="G33" s="8" t="str">
        <f t="shared" si="0"/>
        <v>BONDS REYNALDO</v>
      </c>
    </row>
    <row r="34" spans="1:7" x14ac:dyDescent="0.25">
      <c r="A34" s="8">
        <v>42881.215173611112</v>
      </c>
      <c r="B34" s="20" t="s">
        <v>430</v>
      </c>
      <c r="C34" s="20" t="s">
        <v>647</v>
      </c>
      <c r="D34" s="141">
        <v>2600000</v>
      </c>
      <c r="E34" s="20" t="s">
        <v>642</v>
      </c>
      <c r="F34" s="20" t="s">
        <v>643</v>
      </c>
      <c r="G34" s="8" t="str">
        <f t="shared" si="0"/>
        <v>DAVIDSON DAVID</v>
      </c>
    </row>
    <row r="35" spans="1:7" x14ac:dyDescent="0.25">
      <c r="A35" s="8">
        <v>42881.217974537038</v>
      </c>
      <c r="B35" s="20" t="s">
        <v>513</v>
      </c>
      <c r="C35" s="20" t="s">
        <v>599</v>
      </c>
      <c r="D35" s="141">
        <v>3030000</v>
      </c>
      <c r="E35" s="20" t="s">
        <v>390</v>
      </c>
      <c r="F35" s="20" t="s">
        <v>373</v>
      </c>
      <c r="G35" s="8" t="str">
        <f t="shared" si="0"/>
        <v>BIRENBAUM THOMAS</v>
      </c>
    </row>
    <row r="36" spans="1:7" x14ac:dyDescent="0.25">
      <c r="A36" s="8">
        <v>42881.227418981478</v>
      </c>
      <c r="B36" s="20" t="s">
        <v>452</v>
      </c>
      <c r="C36" s="20" t="s">
        <v>648</v>
      </c>
      <c r="D36" s="141">
        <v>890000</v>
      </c>
      <c r="E36" s="20" t="s">
        <v>460</v>
      </c>
      <c r="F36" s="20" t="s">
        <v>461</v>
      </c>
      <c r="G36" s="8" t="str">
        <f t="shared" si="0"/>
        <v>LOZA FIDEL</v>
      </c>
    </row>
    <row r="37" spans="1:7" x14ac:dyDescent="0.25">
      <c r="A37" s="8">
        <v>42881.228310185186</v>
      </c>
      <c r="B37" s="20" t="s">
        <v>478</v>
      </c>
      <c r="C37" s="20" t="s">
        <v>649</v>
      </c>
      <c r="D37" s="141">
        <v>2970000</v>
      </c>
      <c r="E37" s="20" t="s">
        <v>388</v>
      </c>
      <c r="F37" s="20" t="s">
        <v>389</v>
      </c>
      <c r="G37" s="8" t="str">
        <f t="shared" si="0"/>
        <v>GUZMAN DANNY</v>
      </c>
    </row>
    <row r="38" spans="1:7" x14ac:dyDescent="0.25">
      <c r="A38" s="8">
        <v>42881.229131944441</v>
      </c>
      <c r="B38" s="20" t="s">
        <v>594</v>
      </c>
      <c r="C38" s="20" t="s">
        <v>650</v>
      </c>
      <c r="D38" s="141">
        <v>3040000</v>
      </c>
      <c r="E38" s="20" t="s">
        <v>391</v>
      </c>
      <c r="F38" s="20" t="s">
        <v>392</v>
      </c>
      <c r="G38" s="8" t="str">
        <f t="shared" si="0"/>
        <v>WILLIAMS DONTE</v>
      </c>
    </row>
    <row r="39" spans="1:7" x14ac:dyDescent="0.25">
      <c r="A39" s="8">
        <v>42881.231770833336</v>
      </c>
      <c r="B39" s="20" t="s">
        <v>475</v>
      </c>
      <c r="C39" s="20" t="s">
        <v>651</v>
      </c>
      <c r="D39" s="141">
        <v>1990000</v>
      </c>
      <c r="E39" s="20" t="s">
        <v>435</v>
      </c>
      <c r="F39" s="20" t="s">
        <v>538</v>
      </c>
      <c r="G39" s="8" t="str">
        <f t="shared" si="0"/>
        <v>DAVIS WENDY</v>
      </c>
    </row>
    <row r="40" spans="1:7" x14ac:dyDescent="0.25">
      <c r="A40" s="8">
        <v>42881.237395833334</v>
      </c>
      <c r="B40" s="25" t="s">
        <v>451</v>
      </c>
      <c r="C40" s="20" t="s">
        <v>652</v>
      </c>
      <c r="D40" s="141">
        <v>890000</v>
      </c>
      <c r="E40" s="20" t="s">
        <v>460</v>
      </c>
      <c r="F40" s="20" t="s">
        <v>461</v>
      </c>
      <c r="G40" s="8" t="str">
        <f t="shared" si="0"/>
        <v>LOZA FIDEL</v>
      </c>
    </row>
    <row r="41" spans="1:7" x14ac:dyDescent="0.25">
      <c r="A41" s="8">
        <v>42881.239421296297</v>
      </c>
      <c r="B41" s="20" t="s">
        <v>436</v>
      </c>
      <c r="C41" s="20" t="s">
        <v>600</v>
      </c>
      <c r="D41" s="141">
        <v>1090000</v>
      </c>
      <c r="E41" s="20" t="s">
        <v>527</v>
      </c>
      <c r="F41" s="20" t="s">
        <v>194</v>
      </c>
      <c r="G41" s="8" t="str">
        <f t="shared" si="0"/>
        <v>SPECTOR MICHAEL</v>
      </c>
    </row>
    <row r="42" spans="1:7" x14ac:dyDescent="0.25">
      <c r="A42" s="8">
        <v>42881.240162037036</v>
      </c>
      <c r="B42" s="20" t="s">
        <v>653</v>
      </c>
      <c r="C42" s="20" t="s">
        <v>654</v>
      </c>
      <c r="D42" s="141">
        <v>3130000</v>
      </c>
      <c r="E42" s="20" t="s">
        <v>393</v>
      </c>
      <c r="F42" s="20" t="s">
        <v>394</v>
      </c>
      <c r="G42" s="8" t="str">
        <f t="shared" si="0"/>
        <v>ZEWDU DEREJE</v>
      </c>
    </row>
    <row r="43" spans="1:7" x14ac:dyDescent="0.25">
      <c r="A43" s="8">
        <v>42881.242534722223</v>
      </c>
      <c r="B43" s="20" t="s">
        <v>653</v>
      </c>
      <c r="C43" s="20" t="s">
        <v>654</v>
      </c>
      <c r="D43" s="141">
        <v>3130000</v>
      </c>
      <c r="E43" s="20" t="s">
        <v>393</v>
      </c>
      <c r="F43" s="20" t="s">
        <v>394</v>
      </c>
      <c r="G43" s="8" t="str">
        <f t="shared" si="0"/>
        <v>ZEWDU DEREJE</v>
      </c>
    </row>
    <row r="44" spans="1:7" x14ac:dyDescent="0.25">
      <c r="A44" s="8">
        <v>42881.246817129628</v>
      </c>
      <c r="B44" s="20" t="s">
        <v>603</v>
      </c>
      <c r="C44" s="20" t="s">
        <v>655</v>
      </c>
      <c r="D44" s="141">
        <v>940000</v>
      </c>
      <c r="E44" s="20" t="s">
        <v>454</v>
      </c>
      <c r="F44" s="20" t="s">
        <v>455</v>
      </c>
      <c r="G44" s="8" t="str">
        <f t="shared" si="0"/>
        <v>BONDS REYNALDO</v>
      </c>
    </row>
    <row r="45" spans="1:7" x14ac:dyDescent="0.25">
      <c r="A45" s="8">
        <v>42881.247453703705</v>
      </c>
      <c r="B45" s="20" t="s">
        <v>476</v>
      </c>
      <c r="C45" s="20" t="s">
        <v>656</v>
      </c>
      <c r="D45" s="141">
        <v>2970000</v>
      </c>
      <c r="E45" s="20" t="s">
        <v>388</v>
      </c>
      <c r="F45" s="20" t="s">
        <v>389</v>
      </c>
      <c r="G45" s="8" t="str">
        <f t="shared" si="0"/>
        <v>GUZMAN DANNY</v>
      </c>
    </row>
    <row r="46" spans="1:7" x14ac:dyDescent="0.25">
      <c r="A46" s="8">
        <v>42881.250439814816</v>
      </c>
      <c r="B46" s="20" t="s">
        <v>453</v>
      </c>
      <c r="C46" s="20" t="s">
        <v>657</v>
      </c>
      <c r="D46" s="141">
        <v>2600000</v>
      </c>
      <c r="E46" s="20" t="s">
        <v>642</v>
      </c>
      <c r="F46" s="20" t="s">
        <v>643</v>
      </c>
      <c r="G46" s="8" t="str">
        <f t="shared" si="0"/>
        <v>DAVIDSON DAVID</v>
      </c>
    </row>
    <row r="47" spans="1:7" x14ac:dyDescent="0.25">
      <c r="A47" s="8">
        <v>42881.253067129626</v>
      </c>
      <c r="B47" s="20" t="s">
        <v>658</v>
      </c>
      <c r="C47" s="20" t="s">
        <v>659</v>
      </c>
      <c r="D47" s="141">
        <v>3130000</v>
      </c>
      <c r="E47" s="20" t="s">
        <v>393</v>
      </c>
      <c r="F47" s="20" t="s">
        <v>394</v>
      </c>
      <c r="G47" s="8" t="str">
        <f t="shared" si="0"/>
        <v>ZEWDU DEREJE</v>
      </c>
    </row>
    <row r="48" spans="1:7" x14ac:dyDescent="0.25">
      <c r="A48" s="8">
        <v>42881.257025462961</v>
      </c>
      <c r="B48" s="20" t="s">
        <v>608</v>
      </c>
      <c r="C48" s="20" t="s">
        <v>660</v>
      </c>
      <c r="D48" s="141">
        <v>3030000</v>
      </c>
      <c r="E48" s="20" t="s">
        <v>390</v>
      </c>
      <c r="F48" s="20" t="s">
        <v>373</v>
      </c>
      <c r="G48" s="8" t="str">
        <f t="shared" si="0"/>
        <v>BIRENBAUM THOMAS</v>
      </c>
    </row>
    <row r="49" spans="1:7" x14ac:dyDescent="0.25">
      <c r="A49" s="8">
        <v>42881.258680555555</v>
      </c>
      <c r="B49" s="20" t="s">
        <v>632</v>
      </c>
      <c r="C49" s="20" t="s">
        <v>661</v>
      </c>
      <c r="D49" s="141">
        <v>3040000</v>
      </c>
      <c r="E49" s="20" t="s">
        <v>391</v>
      </c>
      <c r="F49" s="20" t="s">
        <v>392</v>
      </c>
      <c r="G49" s="8" t="str">
        <f t="shared" si="0"/>
        <v>WILLIAMS DONTE</v>
      </c>
    </row>
    <row r="50" spans="1:7" x14ac:dyDescent="0.25">
      <c r="A50" s="8">
        <v>42881.267372685186</v>
      </c>
      <c r="B50" s="20" t="s">
        <v>479</v>
      </c>
      <c r="C50" s="20" t="s">
        <v>662</v>
      </c>
      <c r="D50" s="141">
        <v>1990000</v>
      </c>
      <c r="E50" s="20" t="s">
        <v>435</v>
      </c>
      <c r="F50" s="20" t="s">
        <v>538</v>
      </c>
      <c r="G50" s="8" t="str">
        <f t="shared" si="0"/>
        <v>DAVIS WENDY</v>
      </c>
    </row>
    <row r="51" spans="1:7" x14ac:dyDescent="0.25">
      <c r="A51" s="8">
        <v>42881.272546296299</v>
      </c>
      <c r="B51" s="20" t="s">
        <v>478</v>
      </c>
      <c r="C51" s="20" t="s">
        <v>663</v>
      </c>
      <c r="D51" s="141">
        <v>2970000</v>
      </c>
      <c r="E51" s="20" t="s">
        <v>388</v>
      </c>
      <c r="F51" s="20" t="s">
        <v>389</v>
      </c>
      <c r="G51" s="8" t="str">
        <f t="shared" si="0"/>
        <v>GUZMAN DANNY</v>
      </c>
    </row>
    <row r="52" spans="1:7" x14ac:dyDescent="0.25">
      <c r="A52" s="8">
        <v>42881.276643518519</v>
      </c>
      <c r="B52" s="20" t="s">
        <v>452</v>
      </c>
      <c r="C52" s="20" t="s">
        <v>664</v>
      </c>
      <c r="D52" s="141">
        <v>890000</v>
      </c>
      <c r="E52" s="20" t="s">
        <v>460</v>
      </c>
      <c r="F52" s="20" t="s">
        <v>461</v>
      </c>
      <c r="G52" s="8" t="str">
        <f t="shared" si="0"/>
        <v>LOZA FIDEL</v>
      </c>
    </row>
    <row r="53" spans="1:7" x14ac:dyDescent="0.25">
      <c r="A53" s="8">
        <v>42881.278287037036</v>
      </c>
      <c r="B53" s="20" t="s">
        <v>601</v>
      </c>
      <c r="C53" s="20" t="s">
        <v>602</v>
      </c>
      <c r="D53" s="141">
        <v>1110000</v>
      </c>
      <c r="E53" s="20" t="s">
        <v>456</v>
      </c>
      <c r="F53" s="20" t="s">
        <v>457</v>
      </c>
      <c r="G53" s="8" t="str">
        <f t="shared" si="0"/>
        <v>STARKS ANGELINA</v>
      </c>
    </row>
    <row r="54" spans="1:7" x14ac:dyDescent="0.25">
      <c r="A54" s="8">
        <v>42881.282916666663</v>
      </c>
      <c r="B54" s="20" t="s">
        <v>653</v>
      </c>
      <c r="C54" s="20" t="s">
        <v>629</v>
      </c>
      <c r="D54" s="141">
        <v>3130000</v>
      </c>
      <c r="E54" s="20" t="s">
        <v>393</v>
      </c>
      <c r="F54" s="20" t="s">
        <v>394</v>
      </c>
      <c r="G54" s="8" t="str">
        <f t="shared" si="0"/>
        <v>ZEWDU DEREJE</v>
      </c>
    </row>
    <row r="55" spans="1:7" x14ac:dyDescent="0.25">
      <c r="A55" s="8">
        <v>42881.285810185182</v>
      </c>
      <c r="B55" s="20" t="s">
        <v>624</v>
      </c>
      <c r="C55" s="20" t="s">
        <v>665</v>
      </c>
      <c r="D55" s="141">
        <v>940000</v>
      </c>
      <c r="E55" s="20" t="s">
        <v>454</v>
      </c>
      <c r="F55" s="20" t="s">
        <v>455</v>
      </c>
      <c r="G55" s="8" t="str">
        <f t="shared" si="0"/>
        <v>BONDS REYNALDO</v>
      </c>
    </row>
    <row r="56" spans="1:7" x14ac:dyDescent="0.25">
      <c r="A56" s="8">
        <v>42881.287881944445</v>
      </c>
      <c r="B56" s="20" t="s">
        <v>513</v>
      </c>
      <c r="C56" s="20" t="s">
        <v>666</v>
      </c>
      <c r="D56" s="141">
        <v>3030000</v>
      </c>
      <c r="E56" s="20" t="s">
        <v>390</v>
      </c>
      <c r="F56" s="20" t="s">
        <v>373</v>
      </c>
      <c r="G56" s="8" t="str">
        <f t="shared" si="0"/>
        <v>BIRENBAUM THOMAS</v>
      </c>
    </row>
    <row r="57" spans="1:7" x14ac:dyDescent="0.25">
      <c r="A57" s="8">
        <v>42881.288831018515</v>
      </c>
      <c r="B57" s="20" t="s">
        <v>430</v>
      </c>
      <c r="C57" s="20" t="s">
        <v>667</v>
      </c>
      <c r="D57" s="141">
        <v>2600000</v>
      </c>
      <c r="E57" s="20" t="s">
        <v>642</v>
      </c>
      <c r="F57" s="20" t="s">
        <v>643</v>
      </c>
      <c r="G57" s="8" t="str">
        <f t="shared" si="0"/>
        <v>DAVIDSON DAVID</v>
      </c>
    </row>
    <row r="58" spans="1:7" x14ac:dyDescent="0.25">
      <c r="A58" s="8">
        <v>42881.294895833336</v>
      </c>
      <c r="B58" s="20" t="s">
        <v>514</v>
      </c>
      <c r="C58" s="20" t="s">
        <v>668</v>
      </c>
      <c r="D58" s="141">
        <v>2530000</v>
      </c>
      <c r="E58" s="20" t="s">
        <v>669</v>
      </c>
      <c r="F58" s="20" t="s">
        <v>670</v>
      </c>
      <c r="G58" s="8" t="str">
        <f t="shared" si="0"/>
        <v>LALONDE GREGORY</v>
      </c>
    </row>
    <row r="59" spans="1:7" x14ac:dyDescent="0.25">
      <c r="A59" s="8">
        <v>42881.299675925926</v>
      </c>
      <c r="B59" s="20" t="s">
        <v>594</v>
      </c>
      <c r="C59" s="20" t="s">
        <v>671</v>
      </c>
      <c r="D59" s="141">
        <v>3040000</v>
      </c>
      <c r="E59" s="20" t="s">
        <v>391</v>
      </c>
      <c r="F59" s="20" t="s">
        <v>392</v>
      </c>
      <c r="G59" s="8" t="str">
        <f t="shared" si="0"/>
        <v>WILLIAMS DONTE</v>
      </c>
    </row>
    <row r="60" spans="1:7" x14ac:dyDescent="0.25">
      <c r="A60" s="8">
        <v>42881.299907407411</v>
      </c>
      <c r="B60" s="20" t="s">
        <v>476</v>
      </c>
      <c r="C60" s="20" t="s">
        <v>672</v>
      </c>
      <c r="D60" s="141">
        <v>2970000</v>
      </c>
      <c r="E60" s="20" t="s">
        <v>388</v>
      </c>
      <c r="F60" s="20" t="s">
        <v>389</v>
      </c>
      <c r="G60" s="8" t="str">
        <f t="shared" si="0"/>
        <v>GUZMAN DANNY</v>
      </c>
    </row>
    <row r="61" spans="1:7" x14ac:dyDescent="0.25">
      <c r="A61" s="8">
        <v>42881.300752314812</v>
      </c>
      <c r="B61" s="20" t="s">
        <v>605</v>
      </c>
      <c r="C61" s="20" t="s">
        <v>668</v>
      </c>
      <c r="D61" s="141">
        <v>2530000</v>
      </c>
      <c r="E61" s="20" t="s">
        <v>669</v>
      </c>
      <c r="F61" s="20" t="s">
        <v>670</v>
      </c>
      <c r="G61" s="8" t="str">
        <f t="shared" si="0"/>
        <v>LALONDE GREGORY</v>
      </c>
    </row>
    <row r="62" spans="1:7" x14ac:dyDescent="0.25">
      <c r="A62" s="8">
        <v>42881.307256944441</v>
      </c>
      <c r="B62" s="20" t="s">
        <v>514</v>
      </c>
      <c r="C62" s="20" t="s">
        <v>673</v>
      </c>
      <c r="D62" s="141">
        <v>3130000</v>
      </c>
      <c r="E62" s="20" t="s">
        <v>393</v>
      </c>
      <c r="F62" s="20" t="s">
        <v>394</v>
      </c>
      <c r="G62" s="8" t="str">
        <f t="shared" si="0"/>
        <v>ZEWDU DEREJE</v>
      </c>
    </row>
    <row r="63" spans="1:7" x14ac:dyDescent="0.25">
      <c r="A63" s="8">
        <v>42881.307280092595</v>
      </c>
      <c r="B63" s="20" t="s">
        <v>475</v>
      </c>
      <c r="C63" s="20" t="s">
        <v>674</v>
      </c>
      <c r="D63" s="141">
        <v>1990000</v>
      </c>
      <c r="E63" s="20" t="s">
        <v>435</v>
      </c>
      <c r="F63" s="20" t="s">
        <v>538</v>
      </c>
      <c r="G63" s="8" t="str">
        <f t="shared" si="0"/>
        <v>DAVIS WENDY</v>
      </c>
    </row>
    <row r="64" spans="1:7" x14ac:dyDescent="0.25">
      <c r="A64" s="26">
        <v>42881.310335648152</v>
      </c>
      <c r="B64" s="20" t="s">
        <v>451</v>
      </c>
      <c r="C64" s="20" t="s">
        <v>675</v>
      </c>
      <c r="D64" s="141">
        <v>890000</v>
      </c>
      <c r="E64" s="20" t="s">
        <v>460</v>
      </c>
      <c r="F64" s="20" t="s">
        <v>461</v>
      </c>
      <c r="G64" s="8" t="str">
        <f t="shared" si="0"/>
        <v>LOZA FIDEL</v>
      </c>
    </row>
    <row r="65" spans="1:7" x14ac:dyDescent="0.25">
      <c r="A65" s="8">
        <v>42881.314479166664</v>
      </c>
      <c r="B65" s="20" t="s">
        <v>478</v>
      </c>
      <c r="C65" s="20" t="s">
        <v>676</v>
      </c>
      <c r="D65" s="141">
        <v>2970000</v>
      </c>
      <c r="E65" s="20" t="s">
        <v>388</v>
      </c>
      <c r="F65" s="20" t="s">
        <v>389</v>
      </c>
      <c r="G65" s="8" t="str">
        <f t="shared" si="0"/>
        <v>GUZMAN DANNY</v>
      </c>
    </row>
    <row r="66" spans="1:7" x14ac:dyDescent="0.25">
      <c r="A66" s="8">
        <v>42881.318252314813</v>
      </c>
      <c r="B66" s="20" t="s">
        <v>436</v>
      </c>
      <c r="C66" s="20" t="s">
        <v>677</v>
      </c>
      <c r="D66" s="141">
        <v>1110000</v>
      </c>
      <c r="E66" s="20" t="s">
        <v>456</v>
      </c>
      <c r="F66" s="20" t="s">
        <v>457</v>
      </c>
      <c r="G66" s="8" t="str">
        <f t="shared" si="0"/>
        <v>STARKS ANGELINA</v>
      </c>
    </row>
    <row r="67" spans="1:7" x14ac:dyDescent="0.25">
      <c r="A67" s="8">
        <v>42881.318622685183</v>
      </c>
      <c r="B67" s="20" t="s">
        <v>605</v>
      </c>
      <c r="C67" s="20" t="s">
        <v>678</v>
      </c>
      <c r="D67" s="141">
        <v>3130000</v>
      </c>
      <c r="E67" s="20" t="s">
        <v>393</v>
      </c>
      <c r="F67" s="20" t="s">
        <v>394</v>
      </c>
      <c r="G67" s="8" t="str">
        <f t="shared" ref="G67:G130" si="1">E67&amp;" "&amp;F67</f>
        <v>ZEWDU DEREJE</v>
      </c>
    </row>
    <row r="68" spans="1:7" x14ac:dyDescent="0.25">
      <c r="A68" s="8">
        <v>42881.319664351853</v>
      </c>
      <c r="B68" s="20" t="s">
        <v>603</v>
      </c>
      <c r="C68" s="20" t="s">
        <v>604</v>
      </c>
      <c r="D68" s="141">
        <v>940000</v>
      </c>
      <c r="E68" s="20" t="s">
        <v>454</v>
      </c>
      <c r="F68" s="20" t="s">
        <v>455</v>
      </c>
      <c r="G68" s="8" t="str">
        <f t="shared" si="1"/>
        <v>BONDS REYNALDO</v>
      </c>
    </row>
    <row r="69" spans="1:7" x14ac:dyDescent="0.25">
      <c r="A69" s="8">
        <v>42881.320798611108</v>
      </c>
      <c r="B69" s="20" t="s">
        <v>453</v>
      </c>
      <c r="C69" s="20" t="s">
        <v>679</v>
      </c>
      <c r="D69" s="141">
        <v>2600000</v>
      </c>
      <c r="E69" s="20" t="s">
        <v>642</v>
      </c>
      <c r="F69" s="20" t="s">
        <v>643</v>
      </c>
      <c r="G69" s="8" t="str">
        <f t="shared" si="1"/>
        <v>DAVIDSON DAVID</v>
      </c>
    </row>
    <row r="70" spans="1:7" x14ac:dyDescent="0.25">
      <c r="A70" s="8">
        <v>42881.325914351852</v>
      </c>
      <c r="B70" s="20" t="s">
        <v>658</v>
      </c>
      <c r="C70" s="20" t="s">
        <v>680</v>
      </c>
      <c r="D70" s="141">
        <v>1340000</v>
      </c>
      <c r="E70" s="20" t="s">
        <v>515</v>
      </c>
      <c r="F70" s="20" t="s">
        <v>516</v>
      </c>
      <c r="G70" s="8" t="str">
        <f t="shared" si="1"/>
        <v>BEAM ROSS</v>
      </c>
    </row>
    <row r="71" spans="1:7" x14ac:dyDescent="0.25">
      <c r="A71" s="8">
        <v>42881.329780092594</v>
      </c>
      <c r="B71" s="20" t="s">
        <v>608</v>
      </c>
      <c r="C71" s="20" t="s">
        <v>681</v>
      </c>
      <c r="D71" s="141">
        <v>3030000</v>
      </c>
      <c r="E71" s="20" t="s">
        <v>390</v>
      </c>
      <c r="F71" s="20" t="s">
        <v>373</v>
      </c>
      <c r="G71" s="8" t="str">
        <f t="shared" si="1"/>
        <v>BIRENBAUM THOMAS</v>
      </c>
    </row>
    <row r="72" spans="1:7" x14ac:dyDescent="0.25">
      <c r="A72" s="8">
        <v>42881.330555555556</v>
      </c>
      <c r="B72" s="20" t="s">
        <v>632</v>
      </c>
      <c r="C72" s="20" t="s">
        <v>682</v>
      </c>
      <c r="D72" s="141">
        <v>3040000</v>
      </c>
      <c r="E72" s="20" t="s">
        <v>391</v>
      </c>
      <c r="F72" s="20" t="s">
        <v>392</v>
      </c>
      <c r="G72" s="8" t="str">
        <f t="shared" si="1"/>
        <v>WILLIAMS DONTE</v>
      </c>
    </row>
    <row r="73" spans="1:7" x14ac:dyDescent="0.25">
      <c r="A73" s="8">
        <v>42881.332291666666</v>
      </c>
      <c r="B73" s="20" t="s">
        <v>514</v>
      </c>
      <c r="C73" s="20" t="s">
        <v>683</v>
      </c>
      <c r="D73" s="141">
        <v>3130000</v>
      </c>
      <c r="E73" s="20" t="s">
        <v>393</v>
      </c>
      <c r="F73" s="20" t="s">
        <v>394</v>
      </c>
      <c r="G73" s="8" t="str">
        <f t="shared" si="1"/>
        <v>ZEWDU DEREJE</v>
      </c>
    </row>
    <row r="74" spans="1:7" x14ac:dyDescent="0.25">
      <c r="A74" s="8">
        <v>42881.332685185182</v>
      </c>
      <c r="B74" s="20" t="s">
        <v>653</v>
      </c>
      <c r="C74" s="20" t="s">
        <v>680</v>
      </c>
      <c r="D74" s="141">
        <v>1340000</v>
      </c>
      <c r="E74" s="20" t="s">
        <v>515</v>
      </c>
      <c r="F74" s="20" t="s">
        <v>516</v>
      </c>
      <c r="G74" s="8" t="str">
        <f t="shared" si="1"/>
        <v>BEAM ROSS</v>
      </c>
    </row>
    <row r="75" spans="1:7" x14ac:dyDescent="0.25">
      <c r="A75" s="8">
        <v>42881.33866898148</v>
      </c>
      <c r="B75" s="20" t="s">
        <v>476</v>
      </c>
      <c r="C75" s="20" t="s">
        <v>684</v>
      </c>
      <c r="D75" s="141">
        <v>2970000</v>
      </c>
      <c r="E75" s="20" t="s">
        <v>388</v>
      </c>
      <c r="F75" s="20" t="s">
        <v>389</v>
      </c>
      <c r="G75" s="8" t="str">
        <f t="shared" si="1"/>
        <v>GUZMAN DANNY</v>
      </c>
    </row>
    <row r="76" spans="1:7" x14ac:dyDescent="0.25">
      <c r="A76" s="8">
        <v>42881.340439814812</v>
      </c>
      <c r="B76" s="20" t="s">
        <v>479</v>
      </c>
      <c r="C76" s="20" t="s">
        <v>685</v>
      </c>
      <c r="D76" s="141">
        <v>1990000</v>
      </c>
      <c r="E76" s="20" t="s">
        <v>435</v>
      </c>
      <c r="F76" s="20" t="s">
        <v>538</v>
      </c>
      <c r="G76" s="8" t="str">
        <f t="shared" si="1"/>
        <v>DAVIS WENDY</v>
      </c>
    </row>
    <row r="77" spans="1:7" x14ac:dyDescent="0.25">
      <c r="A77" s="8">
        <v>42881.349178240744</v>
      </c>
      <c r="B77" s="20" t="s">
        <v>452</v>
      </c>
      <c r="C77" s="20" t="s">
        <v>686</v>
      </c>
      <c r="D77" s="141">
        <v>890000</v>
      </c>
      <c r="E77" s="20" t="s">
        <v>460</v>
      </c>
      <c r="F77" s="20" t="s">
        <v>461</v>
      </c>
      <c r="G77" s="8" t="str">
        <f t="shared" si="1"/>
        <v>LOZA FIDEL</v>
      </c>
    </row>
    <row r="78" spans="1:7" x14ac:dyDescent="0.25">
      <c r="A78" s="8">
        <v>42881.352013888885</v>
      </c>
      <c r="B78" s="20" t="s">
        <v>601</v>
      </c>
      <c r="C78" s="20" t="s">
        <v>687</v>
      </c>
      <c r="D78" s="141">
        <v>1110000</v>
      </c>
      <c r="E78" s="20" t="s">
        <v>456</v>
      </c>
      <c r="F78" s="20" t="s">
        <v>457</v>
      </c>
      <c r="G78" s="8" t="str">
        <f t="shared" si="1"/>
        <v>STARKS ANGELINA</v>
      </c>
    </row>
    <row r="79" spans="1:7" x14ac:dyDescent="0.25">
      <c r="A79" s="8">
        <v>42881.357997685183</v>
      </c>
      <c r="B79" s="20" t="s">
        <v>658</v>
      </c>
      <c r="C79" s="20" t="s">
        <v>688</v>
      </c>
      <c r="D79" s="141">
        <v>2970000</v>
      </c>
      <c r="E79" s="20" t="s">
        <v>388</v>
      </c>
      <c r="F79" s="20" t="s">
        <v>389</v>
      </c>
      <c r="G79" s="8" t="str">
        <f t="shared" si="1"/>
        <v>GUZMAN DANNY</v>
      </c>
    </row>
    <row r="80" spans="1:7" x14ac:dyDescent="0.25">
      <c r="A80" s="8">
        <v>42881.359178240738</v>
      </c>
      <c r="B80" s="20" t="s">
        <v>605</v>
      </c>
      <c r="C80" s="20" t="s">
        <v>689</v>
      </c>
      <c r="D80" s="141">
        <v>3130000</v>
      </c>
      <c r="E80" s="20" t="s">
        <v>393</v>
      </c>
      <c r="F80" s="20" t="s">
        <v>394</v>
      </c>
      <c r="G80" s="8" t="str">
        <f t="shared" si="1"/>
        <v>ZEWDU DEREJE</v>
      </c>
    </row>
    <row r="81" spans="1:7" x14ac:dyDescent="0.25">
      <c r="A81" s="8">
        <v>42881.360011574077</v>
      </c>
      <c r="B81" s="20" t="s">
        <v>624</v>
      </c>
      <c r="C81" s="20" t="s">
        <v>690</v>
      </c>
      <c r="D81" s="141">
        <v>940000</v>
      </c>
      <c r="E81" s="20" t="s">
        <v>454</v>
      </c>
      <c r="F81" s="20" t="s">
        <v>455</v>
      </c>
      <c r="G81" s="8" t="str">
        <f t="shared" si="1"/>
        <v>BONDS REYNALDO</v>
      </c>
    </row>
    <row r="82" spans="1:7" x14ac:dyDescent="0.25">
      <c r="A82" s="8">
        <v>42881.360694444447</v>
      </c>
      <c r="B82" s="20" t="s">
        <v>513</v>
      </c>
      <c r="C82" s="20" t="s">
        <v>691</v>
      </c>
      <c r="D82" s="141">
        <v>3030000</v>
      </c>
      <c r="E82" s="20" t="s">
        <v>390</v>
      </c>
      <c r="F82" s="20" t="s">
        <v>373</v>
      </c>
      <c r="G82" s="8" t="str">
        <f t="shared" si="1"/>
        <v>BIRENBAUM THOMAS</v>
      </c>
    </row>
    <row r="83" spans="1:7" x14ac:dyDescent="0.25">
      <c r="A83" s="8">
        <v>42881.361435185187</v>
      </c>
      <c r="B83" s="20" t="s">
        <v>430</v>
      </c>
      <c r="C83" s="20" t="s">
        <v>692</v>
      </c>
      <c r="D83" s="141">
        <v>2600000</v>
      </c>
      <c r="E83" s="20" t="s">
        <v>642</v>
      </c>
      <c r="F83" s="20" t="s">
        <v>643</v>
      </c>
      <c r="G83" s="8" t="str">
        <f t="shared" si="1"/>
        <v>DAVIDSON DAVID</v>
      </c>
    </row>
    <row r="84" spans="1:7" x14ac:dyDescent="0.25">
      <c r="A84" s="8">
        <v>42881.373101851852</v>
      </c>
      <c r="B84" s="20" t="s">
        <v>594</v>
      </c>
      <c r="C84" s="20" t="s">
        <v>693</v>
      </c>
      <c r="D84" s="141">
        <v>3040000</v>
      </c>
      <c r="E84" s="20" t="s">
        <v>391</v>
      </c>
      <c r="F84" s="20" t="s">
        <v>392</v>
      </c>
      <c r="G84" s="8" t="str">
        <f t="shared" si="1"/>
        <v>WILLIAMS DONTE</v>
      </c>
    </row>
    <row r="85" spans="1:7" x14ac:dyDescent="0.25">
      <c r="A85" s="8">
        <v>42881.373680555553</v>
      </c>
      <c r="B85" s="20" t="s">
        <v>514</v>
      </c>
      <c r="C85" s="20" t="s">
        <v>694</v>
      </c>
      <c r="D85" s="141">
        <v>3130000</v>
      </c>
      <c r="E85" s="20" t="s">
        <v>393</v>
      </c>
      <c r="F85" s="20" t="s">
        <v>394</v>
      </c>
      <c r="G85" s="8" t="str">
        <f t="shared" si="1"/>
        <v>ZEWDU DEREJE</v>
      </c>
    </row>
    <row r="86" spans="1:7" x14ac:dyDescent="0.25">
      <c r="A86" s="8">
        <v>42881.379687499997</v>
      </c>
      <c r="B86" s="20" t="s">
        <v>475</v>
      </c>
      <c r="C86" s="20" t="s">
        <v>695</v>
      </c>
      <c r="D86" s="141">
        <v>1990000</v>
      </c>
      <c r="E86" s="20" t="s">
        <v>435</v>
      </c>
      <c r="F86" s="20" t="s">
        <v>538</v>
      </c>
      <c r="G86" s="8" t="str">
        <f t="shared" si="1"/>
        <v>DAVIS WENDY</v>
      </c>
    </row>
    <row r="87" spans="1:7" x14ac:dyDescent="0.25">
      <c r="A87" s="8">
        <v>42881.381736111114</v>
      </c>
      <c r="B87" s="20" t="s">
        <v>451</v>
      </c>
      <c r="C87" s="20" t="s">
        <v>696</v>
      </c>
      <c r="D87" s="141">
        <v>890000</v>
      </c>
      <c r="E87" s="20" t="s">
        <v>460</v>
      </c>
      <c r="F87" s="20" t="s">
        <v>461</v>
      </c>
      <c r="G87" s="8" t="str">
        <f t="shared" si="1"/>
        <v>LOZA FIDEL</v>
      </c>
    </row>
    <row r="88" spans="1:7" x14ac:dyDescent="0.25">
      <c r="A88" s="8">
        <v>42881.391284722224</v>
      </c>
      <c r="B88" s="20" t="s">
        <v>436</v>
      </c>
      <c r="C88" s="20" t="s">
        <v>697</v>
      </c>
      <c r="D88" s="141">
        <v>1110000</v>
      </c>
      <c r="E88" s="20" t="s">
        <v>456</v>
      </c>
      <c r="F88" s="20" t="s">
        <v>457</v>
      </c>
      <c r="G88" s="8" t="str">
        <f t="shared" si="1"/>
        <v>STARKS ANGELINA</v>
      </c>
    </row>
    <row r="89" spans="1:7" x14ac:dyDescent="0.25">
      <c r="A89" s="8">
        <v>42881.39334490741</v>
      </c>
      <c r="B89" s="20" t="s">
        <v>603</v>
      </c>
      <c r="C89" s="20" t="s">
        <v>698</v>
      </c>
      <c r="D89" s="141">
        <v>940000</v>
      </c>
      <c r="E89" s="20" t="s">
        <v>454</v>
      </c>
      <c r="F89" s="20" t="s">
        <v>455</v>
      </c>
      <c r="G89" s="8" t="str">
        <f t="shared" si="1"/>
        <v>BONDS REYNALDO</v>
      </c>
    </row>
    <row r="90" spans="1:7" x14ac:dyDescent="0.25">
      <c r="A90" s="8">
        <v>42881.394942129627</v>
      </c>
      <c r="B90" s="20" t="s">
        <v>453</v>
      </c>
      <c r="C90" s="20" t="s">
        <v>699</v>
      </c>
      <c r="D90" s="141">
        <v>2600000</v>
      </c>
      <c r="E90" s="20" t="s">
        <v>642</v>
      </c>
      <c r="F90" s="20" t="s">
        <v>643</v>
      </c>
      <c r="G90" s="8" t="str">
        <f t="shared" si="1"/>
        <v>DAVIDSON DAVID</v>
      </c>
    </row>
    <row r="91" spans="1:7" x14ac:dyDescent="0.25">
      <c r="A91" s="8">
        <v>42881.400995370372</v>
      </c>
      <c r="B91" s="20" t="s">
        <v>605</v>
      </c>
      <c r="C91" s="20" t="s">
        <v>606</v>
      </c>
      <c r="D91" s="141">
        <v>3130000</v>
      </c>
      <c r="E91" s="20" t="s">
        <v>393</v>
      </c>
      <c r="F91" s="20" t="s">
        <v>394</v>
      </c>
      <c r="G91" s="8" t="str">
        <f t="shared" si="1"/>
        <v>ZEWDU DEREJE</v>
      </c>
    </row>
    <row r="92" spans="1:7" x14ac:dyDescent="0.25">
      <c r="A92" s="8">
        <v>42881.403171296297</v>
      </c>
      <c r="B92" s="20" t="s">
        <v>608</v>
      </c>
      <c r="C92" s="20" t="s">
        <v>609</v>
      </c>
      <c r="D92" s="141">
        <v>3030000</v>
      </c>
      <c r="E92" s="20" t="s">
        <v>390</v>
      </c>
      <c r="F92" s="20" t="s">
        <v>373</v>
      </c>
      <c r="G92" s="8" t="str">
        <f t="shared" si="1"/>
        <v>BIRENBAUM THOMAS</v>
      </c>
    </row>
    <row r="93" spans="1:7" x14ac:dyDescent="0.25">
      <c r="A93" s="8">
        <v>42881.403483796297</v>
      </c>
      <c r="B93" s="20" t="s">
        <v>632</v>
      </c>
      <c r="C93" s="20" t="s">
        <v>700</v>
      </c>
      <c r="D93" s="141">
        <v>3040000</v>
      </c>
      <c r="E93" s="20" t="s">
        <v>391</v>
      </c>
      <c r="F93" s="20" t="s">
        <v>392</v>
      </c>
      <c r="G93" s="8" t="str">
        <f t="shared" si="1"/>
        <v>WILLIAMS DONTE</v>
      </c>
    </row>
    <row r="94" spans="1:7" x14ac:dyDescent="0.25">
      <c r="A94" s="8">
        <v>42881.413217592592</v>
      </c>
      <c r="B94" s="20" t="s">
        <v>479</v>
      </c>
      <c r="C94" s="20" t="s">
        <v>607</v>
      </c>
      <c r="D94" s="141">
        <v>1990000</v>
      </c>
      <c r="E94" s="20" t="s">
        <v>435</v>
      </c>
      <c r="F94" s="20" t="s">
        <v>538</v>
      </c>
      <c r="G94" s="8" t="str">
        <f t="shared" si="1"/>
        <v>DAVIS WENDY</v>
      </c>
    </row>
    <row r="95" spans="1:7" x14ac:dyDescent="0.25">
      <c r="A95" s="8">
        <v>42881.415439814817</v>
      </c>
      <c r="B95" s="20" t="s">
        <v>514</v>
      </c>
      <c r="C95" s="20" t="s">
        <v>610</v>
      </c>
      <c r="D95" s="141">
        <v>3130000</v>
      </c>
      <c r="E95" s="20" t="s">
        <v>393</v>
      </c>
      <c r="F95" s="20" t="s">
        <v>394</v>
      </c>
      <c r="G95" s="8" t="str">
        <f t="shared" si="1"/>
        <v>ZEWDU DEREJE</v>
      </c>
    </row>
    <row r="96" spans="1:7" x14ac:dyDescent="0.25">
      <c r="A96" s="8">
        <v>42881.421701388892</v>
      </c>
      <c r="B96" s="20" t="s">
        <v>452</v>
      </c>
      <c r="C96" s="20" t="s">
        <v>701</v>
      </c>
      <c r="D96" s="141">
        <v>890000</v>
      </c>
      <c r="E96" s="20" t="s">
        <v>460</v>
      </c>
      <c r="F96" s="20" t="s">
        <v>461</v>
      </c>
      <c r="G96" s="8" t="str">
        <f t="shared" si="1"/>
        <v>LOZA FIDEL</v>
      </c>
    </row>
    <row r="97" spans="1:7" x14ac:dyDescent="0.25">
      <c r="A97" s="8">
        <v>42881.42396990741</v>
      </c>
      <c r="B97" s="20" t="s">
        <v>601</v>
      </c>
      <c r="C97" s="20" t="s">
        <v>702</v>
      </c>
      <c r="D97" s="141">
        <v>2970000</v>
      </c>
      <c r="E97" s="20" t="s">
        <v>388</v>
      </c>
      <c r="F97" s="20" t="s">
        <v>389</v>
      </c>
      <c r="G97" s="8" t="str">
        <f t="shared" si="1"/>
        <v>GUZMAN DANNY</v>
      </c>
    </row>
    <row r="98" spans="1:7" x14ac:dyDescent="0.25">
      <c r="A98" s="8">
        <v>42881.432280092595</v>
      </c>
      <c r="B98" s="20" t="s">
        <v>624</v>
      </c>
      <c r="C98" s="20" t="s">
        <v>703</v>
      </c>
      <c r="D98" s="141">
        <v>940000</v>
      </c>
      <c r="E98" s="20" t="s">
        <v>454</v>
      </c>
      <c r="F98" s="20" t="s">
        <v>455</v>
      </c>
      <c r="G98" s="8" t="str">
        <f t="shared" si="1"/>
        <v>BONDS REYNALDO</v>
      </c>
    </row>
    <row r="99" spans="1:7" x14ac:dyDescent="0.25">
      <c r="A99" s="8">
        <v>42881.435960648145</v>
      </c>
      <c r="B99" s="20" t="s">
        <v>430</v>
      </c>
      <c r="C99" s="20" t="s">
        <v>704</v>
      </c>
      <c r="D99" s="141">
        <v>3120000</v>
      </c>
      <c r="E99" s="20" t="s">
        <v>705</v>
      </c>
      <c r="F99" s="20" t="s">
        <v>706</v>
      </c>
      <c r="G99" s="8" t="str">
        <f t="shared" si="1"/>
        <v>THOMPSON LESTER</v>
      </c>
    </row>
    <row r="100" spans="1:7" x14ac:dyDescent="0.25">
      <c r="A100" s="8">
        <v>42881.442407407405</v>
      </c>
      <c r="B100" s="20" t="s">
        <v>412</v>
      </c>
      <c r="C100" s="20" t="s">
        <v>707</v>
      </c>
      <c r="D100" s="141">
        <v>1520000</v>
      </c>
      <c r="E100" s="20" t="s">
        <v>708</v>
      </c>
      <c r="F100" s="20" t="s">
        <v>709</v>
      </c>
      <c r="G100" s="8" t="str">
        <f t="shared" si="1"/>
        <v>MAYBERRY BILL</v>
      </c>
    </row>
    <row r="101" spans="1:7" x14ac:dyDescent="0.25">
      <c r="A101" s="8">
        <v>42881.442962962959</v>
      </c>
      <c r="B101" s="20" t="s">
        <v>513</v>
      </c>
      <c r="C101" s="20" t="s">
        <v>710</v>
      </c>
      <c r="D101" s="141">
        <v>3030000</v>
      </c>
      <c r="E101" s="20" t="s">
        <v>390</v>
      </c>
      <c r="F101" s="20" t="s">
        <v>373</v>
      </c>
      <c r="G101" s="8" t="str">
        <f t="shared" si="1"/>
        <v>BIRENBAUM THOMAS</v>
      </c>
    </row>
    <row r="102" spans="1:7" x14ac:dyDescent="0.25">
      <c r="A102" s="8">
        <v>42881.443368055552</v>
      </c>
      <c r="B102" s="20" t="s">
        <v>605</v>
      </c>
      <c r="C102" s="20" t="s">
        <v>711</v>
      </c>
      <c r="D102" s="141">
        <v>3130000</v>
      </c>
      <c r="E102" s="20" t="s">
        <v>393</v>
      </c>
      <c r="F102" s="20" t="s">
        <v>394</v>
      </c>
      <c r="G102" s="8" t="str">
        <f t="shared" si="1"/>
        <v>ZEWDU DEREJE</v>
      </c>
    </row>
    <row r="103" spans="1:7" x14ac:dyDescent="0.25">
      <c r="A103" s="8">
        <v>42881.445196759261</v>
      </c>
      <c r="B103" s="20" t="s">
        <v>594</v>
      </c>
      <c r="C103" s="20" t="s">
        <v>712</v>
      </c>
      <c r="D103" s="141">
        <v>2480000</v>
      </c>
      <c r="E103" s="20" t="s">
        <v>713</v>
      </c>
      <c r="F103" s="20" t="s">
        <v>714</v>
      </c>
      <c r="G103" s="8" t="str">
        <f t="shared" si="1"/>
        <v>WHITED DUSTIN</v>
      </c>
    </row>
    <row r="104" spans="1:7" x14ac:dyDescent="0.25">
      <c r="A104" s="8">
        <v>42881.453680555554</v>
      </c>
      <c r="B104" s="20" t="s">
        <v>451</v>
      </c>
      <c r="C104" s="20" t="s">
        <v>715</v>
      </c>
      <c r="D104" s="141">
        <v>890000</v>
      </c>
      <c r="E104" s="20" t="s">
        <v>460</v>
      </c>
      <c r="F104" s="20" t="s">
        <v>461</v>
      </c>
      <c r="G104" s="8" t="str">
        <f t="shared" si="1"/>
        <v>LOZA FIDEL</v>
      </c>
    </row>
    <row r="105" spans="1:7" x14ac:dyDescent="0.25">
      <c r="A105" s="8">
        <v>42881.453726851854</v>
      </c>
      <c r="B105" s="20" t="s">
        <v>475</v>
      </c>
      <c r="C105" s="20" t="s">
        <v>716</v>
      </c>
      <c r="D105" s="141">
        <v>1990000</v>
      </c>
      <c r="E105" s="20" t="s">
        <v>435</v>
      </c>
      <c r="F105" s="20" t="s">
        <v>538</v>
      </c>
      <c r="G105" s="8" t="str">
        <f t="shared" si="1"/>
        <v>DAVIS WENDY</v>
      </c>
    </row>
    <row r="106" spans="1:7" x14ac:dyDescent="0.25">
      <c r="A106" s="8">
        <v>42881.454884259256</v>
      </c>
      <c r="B106" s="20" t="s">
        <v>436</v>
      </c>
      <c r="C106" s="20" t="s">
        <v>717</v>
      </c>
      <c r="D106" s="141">
        <v>2970000</v>
      </c>
      <c r="E106" s="20" t="s">
        <v>388</v>
      </c>
      <c r="F106" s="20" t="s">
        <v>389</v>
      </c>
      <c r="G106" s="8" t="str">
        <f t="shared" si="1"/>
        <v>GUZMAN DANNY</v>
      </c>
    </row>
    <row r="107" spans="1:7" x14ac:dyDescent="0.25">
      <c r="A107" s="8">
        <v>42881.45758101852</v>
      </c>
      <c r="B107" s="20" t="s">
        <v>514</v>
      </c>
      <c r="C107" s="20" t="s">
        <v>718</v>
      </c>
      <c r="D107" s="141">
        <v>3130000</v>
      </c>
      <c r="E107" s="20" t="s">
        <v>393</v>
      </c>
      <c r="F107" s="20" t="s">
        <v>394</v>
      </c>
      <c r="G107" s="8" t="str">
        <f t="shared" si="1"/>
        <v>ZEWDU DEREJE</v>
      </c>
    </row>
    <row r="108" spans="1:7" x14ac:dyDescent="0.25">
      <c r="A108" s="8">
        <v>42881.467523148145</v>
      </c>
      <c r="B108" s="20" t="s">
        <v>603</v>
      </c>
      <c r="C108" s="20" t="s">
        <v>719</v>
      </c>
      <c r="D108" s="141">
        <v>1360000</v>
      </c>
      <c r="E108" s="20" t="s">
        <v>720</v>
      </c>
      <c r="F108" s="20" t="s">
        <v>721</v>
      </c>
      <c r="G108" s="8" t="str">
        <f t="shared" si="1"/>
        <v>SANTIZO D. EDY</v>
      </c>
    </row>
    <row r="109" spans="1:7" x14ac:dyDescent="0.25">
      <c r="A109" s="8">
        <v>42881.474479166667</v>
      </c>
      <c r="B109" s="20" t="s">
        <v>453</v>
      </c>
      <c r="C109" s="20" t="s">
        <v>611</v>
      </c>
      <c r="D109" s="141">
        <v>3120000</v>
      </c>
      <c r="E109" s="20" t="s">
        <v>705</v>
      </c>
      <c r="F109" s="20" t="s">
        <v>706</v>
      </c>
      <c r="G109" s="8" t="str">
        <f t="shared" si="1"/>
        <v>THOMPSON LESTER</v>
      </c>
    </row>
    <row r="110" spans="1:7" x14ac:dyDescent="0.25">
      <c r="A110" s="8">
        <v>42881.478171296294</v>
      </c>
      <c r="B110" s="20" t="s">
        <v>608</v>
      </c>
      <c r="C110" s="20" t="s">
        <v>722</v>
      </c>
      <c r="D110" s="141">
        <v>880000</v>
      </c>
      <c r="E110" s="20" t="s">
        <v>480</v>
      </c>
      <c r="F110" s="20" t="s">
        <v>194</v>
      </c>
      <c r="G110" s="8" t="str">
        <f t="shared" si="1"/>
        <v>STEWART MICHAEL</v>
      </c>
    </row>
    <row r="111" spans="1:7" x14ac:dyDescent="0.25">
      <c r="A111" s="8">
        <v>42881.479560185187</v>
      </c>
      <c r="B111" s="20" t="s">
        <v>411</v>
      </c>
      <c r="C111" s="20" t="s">
        <v>723</v>
      </c>
      <c r="D111" s="141">
        <v>3030000</v>
      </c>
      <c r="E111" s="20" t="s">
        <v>390</v>
      </c>
      <c r="F111" s="20" t="s">
        <v>373</v>
      </c>
      <c r="G111" s="8" t="str">
        <f t="shared" si="1"/>
        <v>BIRENBAUM THOMAS</v>
      </c>
    </row>
    <row r="112" spans="1:7" x14ac:dyDescent="0.25">
      <c r="A112" s="8">
        <v>42881.482314814813</v>
      </c>
      <c r="B112" s="20" t="s">
        <v>632</v>
      </c>
      <c r="C112" s="20" t="s">
        <v>724</v>
      </c>
      <c r="D112" s="141">
        <v>2480000</v>
      </c>
      <c r="E112" s="20" t="s">
        <v>713</v>
      </c>
      <c r="F112" s="20" t="s">
        <v>714</v>
      </c>
      <c r="G112" s="8" t="str">
        <f t="shared" si="1"/>
        <v>WHITED DUSTIN</v>
      </c>
    </row>
    <row r="113" spans="1:7" x14ac:dyDescent="0.25">
      <c r="A113" s="8">
        <v>42881.484965277778</v>
      </c>
      <c r="B113" s="20" t="s">
        <v>605</v>
      </c>
      <c r="C113" s="20" t="s">
        <v>725</v>
      </c>
      <c r="D113" s="141">
        <v>3130000</v>
      </c>
      <c r="E113" s="20" t="s">
        <v>393</v>
      </c>
      <c r="F113" s="20" t="s">
        <v>394</v>
      </c>
      <c r="G113" s="8" t="str">
        <f t="shared" si="1"/>
        <v>ZEWDU DEREJE</v>
      </c>
    </row>
    <row r="114" spans="1:7" x14ac:dyDescent="0.25">
      <c r="A114" s="8">
        <v>42881.488310185188</v>
      </c>
      <c r="B114" s="20" t="s">
        <v>479</v>
      </c>
      <c r="C114" s="20" t="s">
        <v>726</v>
      </c>
      <c r="D114" s="141">
        <v>1780000</v>
      </c>
      <c r="E114" s="20" t="s">
        <v>519</v>
      </c>
      <c r="F114" s="20" t="s">
        <v>520</v>
      </c>
      <c r="G114" s="8" t="str">
        <f t="shared" si="1"/>
        <v>DE LA ROSA ALEX</v>
      </c>
    </row>
    <row r="115" spans="1:7" x14ac:dyDescent="0.25">
      <c r="A115" s="8">
        <v>42881.493796296294</v>
      </c>
      <c r="B115" s="20" t="s">
        <v>452</v>
      </c>
      <c r="C115" s="20" t="s">
        <v>612</v>
      </c>
      <c r="D115" s="141">
        <v>890000</v>
      </c>
      <c r="E115" s="20" t="s">
        <v>460</v>
      </c>
      <c r="F115" s="20" t="s">
        <v>461</v>
      </c>
      <c r="G115" s="8" t="str">
        <f t="shared" si="1"/>
        <v>LOZA FIDEL</v>
      </c>
    </row>
    <row r="116" spans="1:7" x14ac:dyDescent="0.25">
      <c r="A116" s="8">
        <v>42881.495891203704</v>
      </c>
      <c r="B116" s="20" t="s">
        <v>624</v>
      </c>
      <c r="C116" s="20" t="s">
        <v>727</v>
      </c>
      <c r="D116" s="141">
        <v>1360000</v>
      </c>
      <c r="E116" s="20" t="s">
        <v>720</v>
      </c>
      <c r="F116" s="20" t="s">
        <v>721</v>
      </c>
      <c r="G116" s="8" t="str">
        <f t="shared" si="1"/>
        <v>SANTIZO D. EDY</v>
      </c>
    </row>
    <row r="117" spans="1:7" x14ac:dyDescent="0.25">
      <c r="A117" s="8">
        <v>42881.498194444444</v>
      </c>
      <c r="B117" s="20" t="s">
        <v>514</v>
      </c>
      <c r="C117" s="20" t="s">
        <v>613</v>
      </c>
      <c r="D117" s="141">
        <v>3130000</v>
      </c>
      <c r="E117" s="20" t="s">
        <v>393</v>
      </c>
      <c r="F117" s="20" t="s">
        <v>394</v>
      </c>
      <c r="G117" s="8" t="str">
        <f t="shared" si="1"/>
        <v>ZEWDU DEREJE</v>
      </c>
    </row>
    <row r="118" spans="1:7" x14ac:dyDescent="0.25">
      <c r="A118" s="8">
        <v>42881.499143518522</v>
      </c>
      <c r="B118" s="20" t="s">
        <v>601</v>
      </c>
      <c r="C118" s="20" t="s">
        <v>728</v>
      </c>
      <c r="D118" s="141">
        <v>1800000</v>
      </c>
      <c r="E118" s="20" t="s">
        <v>386</v>
      </c>
      <c r="F118" s="20" t="s">
        <v>387</v>
      </c>
      <c r="G118" s="8" t="str">
        <f t="shared" si="1"/>
        <v>CHANDLER KELVIN</v>
      </c>
    </row>
    <row r="119" spans="1:7" x14ac:dyDescent="0.25">
      <c r="A119" s="8">
        <v>42881.509525462963</v>
      </c>
      <c r="B119" s="20" t="s">
        <v>430</v>
      </c>
      <c r="C119" s="20" t="s">
        <v>729</v>
      </c>
      <c r="D119" s="141">
        <v>1300000</v>
      </c>
      <c r="E119" s="20" t="s">
        <v>462</v>
      </c>
      <c r="F119" s="20" t="s">
        <v>463</v>
      </c>
      <c r="G119" s="8" t="str">
        <f t="shared" si="1"/>
        <v>LEVIN SCOTT</v>
      </c>
    </row>
    <row r="120" spans="1:7" x14ac:dyDescent="0.25">
      <c r="A120" s="8">
        <v>42881.516423611109</v>
      </c>
      <c r="B120" s="20" t="s">
        <v>513</v>
      </c>
      <c r="C120" s="20" t="s">
        <v>614</v>
      </c>
      <c r="D120" s="141">
        <v>880000</v>
      </c>
      <c r="E120" s="20" t="s">
        <v>480</v>
      </c>
      <c r="F120" s="20" t="s">
        <v>194</v>
      </c>
      <c r="G120" s="8" t="str">
        <f t="shared" si="1"/>
        <v>STEWART MICHAEL</v>
      </c>
    </row>
    <row r="121" spans="1:7" x14ac:dyDescent="0.25">
      <c r="A121" s="8">
        <v>42881.517152777778</v>
      </c>
      <c r="B121" s="20" t="s">
        <v>594</v>
      </c>
      <c r="C121" s="20" t="s">
        <v>730</v>
      </c>
      <c r="D121" s="141">
        <v>2480000</v>
      </c>
      <c r="E121" s="20" t="s">
        <v>713</v>
      </c>
      <c r="F121" s="20" t="s">
        <v>714</v>
      </c>
      <c r="G121" s="8" t="str">
        <f t="shared" si="1"/>
        <v>WHITED DUSTIN</v>
      </c>
    </row>
    <row r="122" spans="1:7" x14ac:dyDescent="0.25">
      <c r="A122" s="8">
        <v>42881.52652777778</v>
      </c>
      <c r="B122" s="25" t="s">
        <v>605</v>
      </c>
      <c r="C122" s="20" t="s">
        <v>731</v>
      </c>
      <c r="D122" s="141">
        <v>3130000</v>
      </c>
      <c r="E122" s="20" t="s">
        <v>393</v>
      </c>
      <c r="F122" s="20" t="s">
        <v>394</v>
      </c>
      <c r="G122" s="8" t="str">
        <f t="shared" si="1"/>
        <v>ZEWDU DEREJE</v>
      </c>
    </row>
    <row r="123" spans="1:7" x14ac:dyDescent="0.25">
      <c r="A123" s="8">
        <v>42881.527245370373</v>
      </c>
      <c r="B123" s="20" t="s">
        <v>475</v>
      </c>
      <c r="C123" s="20" t="s">
        <v>732</v>
      </c>
      <c r="D123" s="141">
        <v>1780000</v>
      </c>
      <c r="E123" s="20" t="s">
        <v>519</v>
      </c>
      <c r="F123" s="20" t="s">
        <v>520</v>
      </c>
      <c r="G123" s="8" t="str">
        <f t="shared" si="1"/>
        <v>DE LA ROSA ALEX</v>
      </c>
    </row>
    <row r="124" spans="1:7" x14ac:dyDescent="0.25">
      <c r="A124" s="8">
        <v>42881.530474537038</v>
      </c>
      <c r="B124" s="20" t="s">
        <v>412</v>
      </c>
      <c r="C124" s="20" t="s">
        <v>733</v>
      </c>
      <c r="D124" s="141">
        <v>1520000</v>
      </c>
      <c r="E124" s="20" t="s">
        <v>708</v>
      </c>
      <c r="F124" s="20" t="s">
        <v>709</v>
      </c>
      <c r="G124" s="8" t="str">
        <f t="shared" si="1"/>
        <v>MAYBERRY BILL</v>
      </c>
    </row>
    <row r="125" spans="1:7" x14ac:dyDescent="0.25">
      <c r="A125" s="8">
        <v>42881.531747685185</v>
      </c>
      <c r="B125" s="20" t="s">
        <v>451</v>
      </c>
      <c r="C125" s="20" t="s">
        <v>734</v>
      </c>
      <c r="D125" s="141">
        <v>2420000</v>
      </c>
      <c r="E125" s="20" t="s">
        <v>521</v>
      </c>
      <c r="F125" s="20" t="s">
        <v>522</v>
      </c>
      <c r="G125" s="8" t="str">
        <f t="shared" si="1"/>
        <v>HOLCOMB KAMDEN</v>
      </c>
    </row>
    <row r="126" spans="1:7" x14ac:dyDescent="0.25">
      <c r="A126" s="8">
        <v>42881.535810185182</v>
      </c>
      <c r="B126" s="20" t="s">
        <v>436</v>
      </c>
      <c r="C126" s="20" t="s">
        <v>735</v>
      </c>
      <c r="D126" s="141">
        <v>1800000</v>
      </c>
      <c r="E126" s="20" t="s">
        <v>386</v>
      </c>
      <c r="F126" s="20" t="s">
        <v>387</v>
      </c>
      <c r="G126" s="8" t="str">
        <f t="shared" si="1"/>
        <v>CHANDLER KELVIN</v>
      </c>
    </row>
    <row r="127" spans="1:7" x14ac:dyDescent="0.25">
      <c r="A127" s="8">
        <v>42881.538159722222</v>
      </c>
      <c r="B127" s="20" t="s">
        <v>603</v>
      </c>
      <c r="C127" s="20" t="s">
        <v>736</v>
      </c>
      <c r="D127" s="141">
        <v>2360000</v>
      </c>
      <c r="E127" s="20" t="s">
        <v>737</v>
      </c>
      <c r="F127" s="20" t="s">
        <v>738</v>
      </c>
      <c r="G127" s="8" t="str">
        <f t="shared" si="1"/>
        <v>BRANDNER MELINDA</v>
      </c>
    </row>
    <row r="128" spans="1:7" x14ac:dyDescent="0.25">
      <c r="A128" s="8">
        <v>42881.540081018517</v>
      </c>
      <c r="B128" s="20" t="s">
        <v>514</v>
      </c>
      <c r="C128" s="20" t="s">
        <v>739</v>
      </c>
      <c r="D128" s="141">
        <v>3090000</v>
      </c>
      <c r="E128" s="20" t="s">
        <v>384</v>
      </c>
      <c r="F128" s="20" t="s">
        <v>385</v>
      </c>
      <c r="G128" s="8" t="str">
        <f t="shared" si="1"/>
        <v>LAMAR NEKESHA</v>
      </c>
    </row>
    <row r="129" spans="1:7" x14ac:dyDescent="0.25">
      <c r="A129" s="8">
        <v>42881.547824074078</v>
      </c>
      <c r="B129" s="20" t="s">
        <v>453</v>
      </c>
      <c r="C129" s="20" t="s">
        <v>616</v>
      </c>
      <c r="D129" s="141">
        <v>1300000</v>
      </c>
      <c r="E129" s="20" t="s">
        <v>462</v>
      </c>
      <c r="F129" s="20" t="s">
        <v>463</v>
      </c>
      <c r="G129" s="8" t="str">
        <f t="shared" si="1"/>
        <v>LEVIN SCOTT</v>
      </c>
    </row>
    <row r="130" spans="1:7" x14ac:dyDescent="0.25">
      <c r="A130" s="8">
        <v>42881.54960648148</v>
      </c>
      <c r="B130" s="20" t="s">
        <v>608</v>
      </c>
      <c r="C130" s="20" t="s">
        <v>615</v>
      </c>
      <c r="D130" s="141">
        <v>880000</v>
      </c>
      <c r="E130" s="20" t="s">
        <v>480</v>
      </c>
      <c r="F130" s="20" t="s">
        <v>194</v>
      </c>
      <c r="G130" s="8" t="str">
        <f t="shared" si="1"/>
        <v>STEWART MICHAEL</v>
      </c>
    </row>
    <row r="131" spans="1:7" x14ac:dyDescent="0.25">
      <c r="A131" s="8">
        <v>42881.555775462963</v>
      </c>
      <c r="B131" s="20" t="s">
        <v>632</v>
      </c>
      <c r="C131" s="20" t="s">
        <v>740</v>
      </c>
      <c r="D131" s="141">
        <v>2480000</v>
      </c>
      <c r="E131" s="20" t="s">
        <v>713</v>
      </c>
      <c r="F131" s="20" t="s">
        <v>714</v>
      </c>
      <c r="G131" s="8" t="str">
        <f t="shared" ref="G131:G194" si="2">E131&amp;" "&amp;F131</f>
        <v>WHITED DUSTIN</v>
      </c>
    </row>
    <row r="132" spans="1:7" x14ac:dyDescent="0.25">
      <c r="A132" s="8">
        <v>42881.55877314815</v>
      </c>
      <c r="B132" s="20" t="s">
        <v>479</v>
      </c>
      <c r="C132" s="20" t="s">
        <v>741</v>
      </c>
      <c r="D132" s="141">
        <v>1290000</v>
      </c>
      <c r="E132" s="20" t="s">
        <v>539</v>
      </c>
      <c r="F132" s="20" t="s">
        <v>540</v>
      </c>
      <c r="G132" s="8" t="str">
        <f t="shared" si="2"/>
        <v>COOLAHAN JOHN</v>
      </c>
    </row>
    <row r="133" spans="1:7" x14ac:dyDescent="0.25">
      <c r="A133" s="8">
        <v>42881.563217592593</v>
      </c>
      <c r="B133" s="20" t="s">
        <v>452</v>
      </c>
      <c r="C133" s="20" t="s">
        <v>742</v>
      </c>
      <c r="D133" s="141">
        <v>2420000</v>
      </c>
      <c r="E133" s="20" t="s">
        <v>521</v>
      </c>
      <c r="F133" s="20" t="s">
        <v>522</v>
      </c>
      <c r="G133" s="8" t="str">
        <f t="shared" si="2"/>
        <v>HOLCOMB KAMDEN</v>
      </c>
    </row>
    <row r="134" spans="1:7" x14ac:dyDescent="0.25">
      <c r="A134" s="8">
        <v>42881.567418981482</v>
      </c>
      <c r="B134" s="20" t="s">
        <v>605</v>
      </c>
      <c r="C134" s="20" t="s">
        <v>743</v>
      </c>
      <c r="D134" s="141">
        <v>2370000</v>
      </c>
      <c r="E134" s="20" t="s">
        <v>517</v>
      </c>
      <c r="F134" s="20" t="s">
        <v>518</v>
      </c>
      <c r="G134" s="8" t="str">
        <f t="shared" si="2"/>
        <v>DELGADO DIANAH</v>
      </c>
    </row>
    <row r="135" spans="1:7" x14ac:dyDescent="0.25">
      <c r="A135" s="8">
        <v>42881.568067129629</v>
      </c>
      <c r="B135" s="20" t="s">
        <v>479</v>
      </c>
      <c r="C135" s="20" t="s">
        <v>741</v>
      </c>
      <c r="D135" s="141">
        <v>1290000</v>
      </c>
      <c r="E135" s="20" t="s">
        <v>539</v>
      </c>
      <c r="F135" s="20" t="s">
        <v>540</v>
      </c>
      <c r="G135" s="8" t="str">
        <f t="shared" si="2"/>
        <v>COOLAHAN JOHN</v>
      </c>
    </row>
    <row r="136" spans="1:7" x14ac:dyDescent="0.25">
      <c r="A136" s="8">
        <v>42881.571076388886</v>
      </c>
      <c r="B136" s="20" t="s">
        <v>601</v>
      </c>
      <c r="C136" s="20" t="s">
        <v>744</v>
      </c>
      <c r="D136" s="141">
        <v>1800000</v>
      </c>
      <c r="E136" s="20" t="s">
        <v>386</v>
      </c>
      <c r="F136" s="20" t="s">
        <v>387</v>
      </c>
      <c r="G136" s="8" t="str">
        <f t="shared" si="2"/>
        <v>CHANDLER KELVIN</v>
      </c>
    </row>
    <row r="137" spans="1:7" x14ac:dyDescent="0.25">
      <c r="A137" s="8">
        <v>42881.579432870371</v>
      </c>
      <c r="B137" s="20" t="s">
        <v>624</v>
      </c>
      <c r="C137" s="20" t="s">
        <v>745</v>
      </c>
      <c r="D137" s="141">
        <v>2360000</v>
      </c>
      <c r="E137" s="20" t="s">
        <v>737</v>
      </c>
      <c r="F137" s="20" t="s">
        <v>738</v>
      </c>
      <c r="G137" s="8" t="str">
        <f t="shared" si="2"/>
        <v>BRANDNER MELINDA</v>
      </c>
    </row>
    <row r="138" spans="1:7" x14ac:dyDescent="0.25">
      <c r="A138" s="8">
        <v>42881.581076388888</v>
      </c>
      <c r="B138" s="20" t="s">
        <v>430</v>
      </c>
      <c r="C138" s="20" t="s">
        <v>746</v>
      </c>
      <c r="D138" s="141">
        <v>1300000</v>
      </c>
      <c r="E138" s="20" t="s">
        <v>462</v>
      </c>
      <c r="F138" s="20" t="s">
        <v>463</v>
      </c>
      <c r="G138" s="8" t="str">
        <f t="shared" si="2"/>
        <v>LEVIN SCOTT</v>
      </c>
    </row>
    <row r="139" spans="1:7" x14ac:dyDescent="0.25">
      <c r="A139" s="8">
        <v>42881.585370370369</v>
      </c>
      <c r="B139" s="20" t="s">
        <v>514</v>
      </c>
      <c r="C139" s="20" t="s">
        <v>617</v>
      </c>
      <c r="D139" s="141">
        <v>3090000</v>
      </c>
      <c r="E139" s="20" t="s">
        <v>384</v>
      </c>
      <c r="F139" s="20" t="s">
        <v>385</v>
      </c>
      <c r="G139" s="8" t="str">
        <f t="shared" si="2"/>
        <v>LAMAR NEKESHA</v>
      </c>
    </row>
    <row r="140" spans="1:7" x14ac:dyDescent="0.25">
      <c r="A140" s="8">
        <v>42881.589513888888</v>
      </c>
      <c r="B140" s="20" t="s">
        <v>513</v>
      </c>
      <c r="C140" s="20" t="s">
        <v>747</v>
      </c>
      <c r="D140" s="141">
        <v>880000</v>
      </c>
      <c r="E140" s="20" t="s">
        <v>480</v>
      </c>
      <c r="F140" s="20" t="s">
        <v>194</v>
      </c>
      <c r="G140" s="8" t="str">
        <f t="shared" si="2"/>
        <v>STEWART MICHAEL</v>
      </c>
    </row>
    <row r="141" spans="1:7" x14ac:dyDescent="0.25">
      <c r="A141" s="8">
        <v>42881.59103009259</v>
      </c>
      <c r="B141" s="20" t="s">
        <v>594</v>
      </c>
      <c r="C141" s="20" t="s">
        <v>748</v>
      </c>
      <c r="D141" s="141">
        <v>2480000</v>
      </c>
      <c r="E141" s="20" t="s">
        <v>713</v>
      </c>
      <c r="F141" s="20" t="s">
        <v>714</v>
      </c>
      <c r="G141" s="8" t="str">
        <f t="shared" si="2"/>
        <v>WHITED DUSTIN</v>
      </c>
    </row>
    <row r="142" spans="1:7" x14ac:dyDescent="0.25">
      <c r="A142" s="8">
        <v>42881.599456018521</v>
      </c>
      <c r="B142" s="20" t="s">
        <v>475</v>
      </c>
      <c r="C142" s="20" t="s">
        <v>749</v>
      </c>
      <c r="D142" s="141">
        <v>1290000</v>
      </c>
      <c r="E142" s="20" t="s">
        <v>539</v>
      </c>
      <c r="F142" s="20" t="s">
        <v>540</v>
      </c>
      <c r="G142" s="8" t="str">
        <f t="shared" si="2"/>
        <v>COOLAHAN JOHN</v>
      </c>
    </row>
    <row r="143" spans="1:7" x14ac:dyDescent="0.25">
      <c r="A143" s="8">
        <v>42881.602384259262</v>
      </c>
      <c r="B143" s="20" t="s">
        <v>451</v>
      </c>
      <c r="C143" s="20" t="s">
        <v>750</v>
      </c>
      <c r="D143" s="141">
        <v>2420000</v>
      </c>
      <c r="E143" s="20" t="s">
        <v>521</v>
      </c>
      <c r="F143" s="20" t="s">
        <v>522</v>
      </c>
      <c r="G143" s="8" t="str">
        <f t="shared" si="2"/>
        <v>HOLCOMB KAMDEN</v>
      </c>
    </row>
    <row r="144" spans="1:7" x14ac:dyDescent="0.25">
      <c r="A144" s="8">
        <v>42881.610069444447</v>
      </c>
      <c r="B144" s="20" t="s">
        <v>605</v>
      </c>
      <c r="C144" s="20" t="s">
        <v>618</v>
      </c>
      <c r="D144" s="141">
        <v>3090000</v>
      </c>
      <c r="E144" s="20" t="s">
        <v>384</v>
      </c>
      <c r="F144" s="20" t="s">
        <v>385</v>
      </c>
      <c r="G144" s="8" t="str">
        <f t="shared" si="2"/>
        <v>LAMAR NEKESHA</v>
      </c>
    </row>
    <row r="145" spans="1:7" x14ac:dyDescent="0.25">
      <c r="A145" s="8">
        <v>42881.611064814817</v>
      </c>
      <c r="B145" s="20" t="s">
        <v>436</v>
      </c>
      <c r="C145" s="20" t="s">
        <v>751</v>
      </c>
      <c r="D145" s="141">
        <v>1800000</v>
      </c>
      <c r="E145" s="20" t="s">
        <v>386</v>
      </c>
      <c r="F145" s="20" t="s">
        <v>387</v>
      </c>
      <c r="G145" s="8" t="str">
        <f t="shared" si="2"/>
        <v>CHANDLER KELVIN</v>
      </c>
    </row>
    <row r="146" spans="1:7" x14ac:dyDescent="0.25">
      <c r="A146" s="8">
        <v>42881.611643518518</v>
      </c>
      <c r="B146" s="20" t="s">
        <v>603</v>
      </c>
      <c r="C146" s="20" t="s">
        <v>752</v>
      </c>
      <c r="D146" s="141">
        <v>2360000</v>
      </c>
      <c r="E146" s="20" t="s">
        <v>737</v>
      </c>
      <c r="F146" s="20" t="s">
        <v>738</v>
      </c>
      <c r="G146" s="8" t="str">
        <f t="shared" si="2"/>
        <v>BRANDNER MELINDA</v>
      </c>
    </row>
    <row r="147" spans="1:7" x14ac:dyDescent="0.25">
      <c r="A147" s="8">
        <v>42881.618414351855</v>
      </c>
      <c r="B147" s="20" t="s">
        <v>453</v>
      </c>
      <c r="C147" s="20" t="s">
        <v>753</v>
      </c>
      <c r="D147" s="141">
        <v>1300000</v>
      </c>
      <c r="E147" s="20" t="s">
        <v>462</v>
      </c>
      <c r="F147" s="20" t="s">
        <v>463</v>
      </c>
      <c r="G147" s="8" t="str">
        <f t="shared" si="2"/>
        <v>LEVIN SCOTT</v>
      </c>
    </row>
    <row r="148" spans="1:7" x14ac:dyDescent="0.25">
      <c r="A148" s="8">
        <v>42881.623923611114</v>
      </c>
      <c r="B148" s="20" t="s">
        <v>608</v>
      </c>
      <c r="C148" s="20" t="s">
        <v>619</v>
      </c>
      <c r="D148" s="141">
        <v>880000</v>
      </c>
      <c r="E148" s="20" t="s">
        <v>480</v>
      </c>
      <c r="F148" s="20" t="s">
        <v>194</v>
      </c>
      <c r="G148" s="8" t="str">
        <f t="shared" si="2"/>
        <v>STEWART MICHAEL</v>
      </c>
    </row>
    <row r="149" spans="1:7" x14ac:dyDescent="0.25">
      <c r="A149" s="8">
        <v>42881.627326388887</v>
      </c>
      <c r="B149" s="20" t="s">
        <v>514</v>
      </c>
      <c r="C149" s="20" t="s">
        <v>754</v>
      </c>
      <c r="D149" s="141">
        <v>3090000</v>
      </c>
      <c r="E149" s="20" t="s">
        <v>384</v>
      </c>
      <c r="F149" s="20" t="s">
        <v>385</v>
      </c>
      <c r="G149" s="8" t="str">
        <f t="shared" si="2"/>
        <v>LAMAR NEKESHA</v>
      </c>
    </row>
    <row r="150" spans="1:7" x14ac:dyDescent="0.25">
      <c r="A150" s="8">
        <v>42881.628750000003</v>
      </c>
      <c r="B150" s="20" t="s">
        <v>632</v>
      </c>
      <c r="C150" s="20" t="s">
        <v>755</v>
      </c>
      <c r="D150" s="141">
        <v>2480000</v>
      </c>
      <c r="E150" s="20" t="s">
        <v>713</v>
      </c>
      <c r="F150" s="20" t="s">
        <v>714</v>
      </c>
      <c r="G150" s="8" t="str">
        <f t="shared" si="2"/>
        <v>WHITED DUSTIN</v>
      </c>
    </row>
    <row r="151" spans="1:7" x14ac:dyDescent="0.25">
      <c r="A151" s="8">
        <v>42881.63140046296</v>
      </c>
      <c r="B151" s="20" t="s">
        <v>452</v>
      </c>
      <c r="C151" s="20" t="s">
        <v>750</v>
      </c>
      <c r="D151" s="141">
        <v>2420000</v>
      </c>
      <c r="E151" s="20" t="s">
        <v>521</v>
      </c>
      <c r="F151" s="20" t="s">
        <v>522</v>
      </c>
      <c r="G151" s="8" t="str">
        <f t="shared" si="2"/>
        <v>HOLCOMB KAMDEN</v>
      </c>
    </row>
    <row r="152" spans="1:7" x14ac:dyDescent="0.25">
      <c r="A152" s="8">
        <v>42881.631678240738</v>
      </c>
      <c r="B152" s="20" t="s">
        <v>479</v>
      </c>
      <c r="C152" s="20" t="s">
        <v>756</v>
      </c>
      <c r="D152" s="141">
        <v>1360000</v>
      </c>
      <c r="E152" s="20" t="s">
        <v>720</v>
      </c>
      <c r="F152" s="20" t="s">
        <v>721</v>
      </c>
      <c r="G152" s="8" t="str">
        <f t="shared" si="2"/>
        <v>SANTIZO D. EDY</v>
      </c>
    </row>
    <row r="153" spans="1:7" x14ac:dyDescent="0.25">
      <c r="A153" s="8">
        <v>42881.639502314814</v>
      </c>
      <c r="B153" s="20" t="s">
        <v>378</v>
      </c>
      <c r="C153" s="20" t="s">
        <v>757</v>
      </c>
      <c r="D153" s="141">
        <v>2540000</v>
      </c>
      <c r="E153" s="20" t="s">
        <v>758</v>
      </c>
      <c r="F153" s="20" t="s">
        <v>759</v>
      </c>
      <c r="G153" s="8" t="str">
        <f t="shared" si="2"/>
        <v>MCREYNOLDS KYLE</v>
      </c>
    </row>
    <row r="154" spans="1:7" x14ac:dyDescent="0.25">
      <c r="A154" s="8">
        <v>42881.642430555556</v>
      </c>
      <c r="B154" s="20" t="s">
        <v>452</v>
      </c>
      <c r="C154" s="20" t="s">
        <v>760</v>
      </c>
      <c r="D154" s="141">
        <v>2420000</v>
      </c>
      <c r="E154" s="20" t="s">
        <v>521</v>
      </c>
      <c r="F154" s="20" t="s">
        <v>522</v>
      </c>
      <c r="G154" s="8" t="str">
        <f t="shared" si="2"/>
        <v>HOLCOMB KAMDEN</v>
      </c>
    </row>
    <row r="155" spans="1:7" x14ac:dyDescent="0.25">
      <c r="A155" s="8">
        <v>42881.644629629627</v>
      </c>
      <c r="B155" s="20" t="s">
        <v>601</v>
      </c>
      <c r="C155" s="20" t="s">
        <v>761</v>
      </c>
      <c r="D155" s="141">
        <v>1800000</v>
      </c>
      <c r="E155" s="20" t="s">
        <v>386</v>
      </c>
      <c r="F155" s="20" t="s">
        <v>387</v>
      </c>
      <c r="G155" s="8" t="str">
        <f t="shared" si="2"/>
        <v>CHANDLER KELVIN</v>
      </c>
    </row>
    <row r="156" spans="1:7" x14ac:dyDescent="0.25">
      <c r="A156" s="8">
        <v>42881.650497685187</v>
      </c>
      <c r="B156" s="20" t="s">
        <v>624</v>
      </c>
      <c r="C156" s="20" t="s">
        <v>762</v>
      </c>
      <c r="D156" s="141">
        <v>2360000</v>
      </c>
      <c r="E156" s="20" t="s">
        <v>737</v>
      </c>
      <c r="F156" s="20" t="s">
        <v>738</v>
      </c>
      <c r="G156" s="8" t="str">
        <f t="shared" si="2"/>
        <v>BRANDNER MELINDA</v>
      </c>
    </row>
    <row r="157" spans="1:7" x14ac:dyDescent="0.25">
      <c r="A157" s="8">
        <v>42881.650775462964</v>
      </c>
      <c r="B157" s="20" t="s">
        <v>605</v>
      </c>
      <c r="C157" s="20" t="s">
        <v>763</v>
      </c>
      <c r="D157" s="141">
        <v>3090000</v>
      </c>
      <c r="E157" s="20" t="s">
        <v>384</v>
      </c>
      <c r="F157" s="20" t="s">
        <v>385</v>
      </c>
      <c r="G157" s="8" t="str">
        <f t="shared" si="2"/>
        <v>LAMAR NEKESHA</v>
      </c>
    </row>
    <row r="158" spans="1:7" x14ac:dyDescent="0.25">
      <c r="A158" s="8">
        <v>42881.651620370372</v>
      </c>
      <c r="B158" s="20" t="s">
        <v>608</v>
      </c>
      <c r="C158" s="20" t="s">
        <v>619</v>
      </c>
      <c r="D158" s="141">
        <v>880000</v>
      </c>
      <c r="E158" s="20" t="s">
        <v>480</v>
      </c>
      <c r="F158" s="20" t="s">
        <v>194</v>
      </c>
      <c r="G158" s="8" t="str">
        <f t="shared" si="2"/>
        <v>STEWART MICHAEL</v>
      </c>
    </row>
    <row r="159" spans="1:7" x14ac:dyDescent="0.25">
      <c r="A159" s="8">
        <v>42881.65252314815</v>
      </c>
      <c r="B159" s="20" t="s">
        <v>430</v>
      </c>
      <c r="C159" s="20" t="s">
        <v>764</v>
      </c>
      <c r="D159" s="141">
        <v>1300000</v>
      </c>
      <c r="E159" s="20" t="s">
        <v>462</v>
      </c>
      <c r="F159" s="20" t="s">
        <v>463</v>
      </c>
      <c r="G159" s="8" t="str">
        <f t="shared" si="2"/>
        <v>LEVIN SCOTT</v>
      </c>
    </row>
    <row r="160" spans="1:7" x14ac:dyDescent="0.25">
      <c r="A160" s="8">
        <v>42881.657314814816</v>
      </c>
      <c r="B160" s="20" t="s">
        <v>381</v>
      </c>
      <c r="C160" s="20" t="s">
        <v>765</v>
      </c>
      <c r="D160" s="141">
        <v>2540000</v>
      </c>
      <c r="E160" s="20" t="s">
        <v>758</v>
      </c>
      <c r="F160" s="20" t="s">
        <v>759</v>
      </c>
      <c r="G160" s="8" t="str">
        <f t="shared" si="2"/>
        <v>MCREYNOLDS KYLE</v>
      </c>
    </row>
    <row r="161" spans="1:7" x14ac:dyDescent="0.25">
      <c r="A161" s="8">
        <v>42881.66070601852</v>
      </c>
      <c r="B161" s="20" t="s">
        <v>513</v>
      </c>
      <c r="C161" s="20" t="s">
        <v>766</v>
      </c>
      <c r="D161" s="141">
        <v>880000</v>
      </c>
      <c r="E161" s="20" t="s">
        <v>480</v>
      </c>
      <c r="F161" s="20" t="s">
        <v>194</v>
      </c>
      <c r="G161" s="8" t="str">
        <f t="shared" si="2"/>
        <v>STEWART MICHAEL</v>
      </c>
    </row>
    <row r="162" spans="1:7" x14ac:dyDescent="0.25">
      <c r="A162" s="8">
        <v>42881.662175925929</v>
      </c>
      <c r="B162" s="20" t="s">
        <v>594</v>
      </c>
      <c r="C162" s="20" t="s">
        <v>767</v>
      </c>
      <c r="D162" s="141">
        <v>2480000</v>
      </c>
      <c r="E162" s="20" t="s">
        <v>713</v>
      </c>
      <c r="F162" s="20" t="s">
        <v>714</v>
      </c>
      <c r="G162" s="8" t="str">
        <f t="shared" si="2"/>
        <v>WHITED DUSTIN</v>
      </c>
    </row>
    <row r="163" spans="1:7" x14ac:dyDescent="0.25">
      <c r="A163" s="8">
        <v>42881.663414351853</v>
      </c>
      <c r="B163" s="20" t="s">
        <v>475</v>
      </c>
      <c r="C163" s="20" t="s">
        <v>768</v>
      </c>
      <c r="D163" s="141">
        <v>1360000</v>
      </c>
      <c r="E163" s="20" t="s">
        <v>720</v>
      </c>
      <c r="F163" s="20" t="s">
        <v>721</v>
      </c>
      <c r="G163" s="8" t="str">
        <f t="shared" si="2"/>
        <v>SANTIZO D. EDY</v>
      </c>
    </row>
    <row r="164" spans="1:7" x14ac:dyDescent="0.25">
      <c r="A164" s="8">
        <v>42881.665532407409</v>
      </c>
      <c r="B164" s="20" t="s">
        <v>514</v>
      </c>
      <c r="C164" s="20" t="s">
        <v>769</v>
      </c>
      <c r="D164" s="141">
        <v>3090000</v>
      </c>
      <c r="E164" s="20" t="s">
        <v>384</v>
      </c>
      <c r="F164" s="20" t="s">
        <v>385</v>
      </c>
      <c r="G164" s="8" t="str">
        <f t="shared" si="2"/>
        <v>LAMAR NEKESHA</v>
      </c>
    </row>
    <row r="165" spans="1:7" x14ac:dyDescent="0.25">
      <c r="A165" s="8">
        <v>42881.671805555554</v>
      </c>
      <c r="B165" s="20" t="s">
        <v>378</v>
      </c>
      <c r="C165" s="20" t="s">
        <v>620</v>
      </c>
      <c r="D165" s="141">
        <v>2540000</v>
      </c>
      <c r="E165" s="20" t="s">
        <v>758</v>
      </c>
      <c r="F165" s="20" t="s">
        <v>759</v>
      </c>
      <c r="G165" s="8" t="str">
        <f t="shared" si="2"/>
        <v>MCREYNOLDS KYLE</v>
      </c>
    </row>
    <row r="166" spans="1:7" x14ac:dyDescent="0.25">
      <c r="A166" s="8">
        <v>42881.673472222225</v>
      </c>
      <c r="B166" s="20" t="s">
        <v>451</v>
      </c>
      <c r="C166" s="20" t="s">
        <v>770</v>
      </c>
      <c r="D166" s="141">
        <v>2420000</v>
      </c>
      <c r="E166" s="20" t="s">
        <v>521</v>
      </c>
      <c r="F166" s="20" t="s">
        <v>522</v>
      </c>
      <c r="G166" s="8" t="str">
        <f t="shared" si="2"/>
        <v>HOLCOMB KAMDEN</v>
      </c>
    </row>
    <row r="167" spans="1:7" x14ac:dyDescent="0.25">
      <c r="A167" s="8">
        <v>42881.683171296296</v>
      </c>
      <c r="B167" s="20" t="s">
        <v>436</v>
      </c>
      <c r="C167" s="20" t="s">
        <v>771</v>
      </c>
      <c r="D167" s="141">
        <v>1800000</v>
      </c>
      <c r="E167" s="20" t="s">
        <v>386</v>
      </c>
      <c r="F167" s="20" t="s">
        <v>387</v>
      </c>
      <c r="G167" s="8" t="str">
        <f t="shared" si="2"/>
        <v>CHANDLER KELVIN</v>
      </c>
    </row>
    <row r="168" spans="1:7" x14ac:dyDescent="0.25">
      <c r="A168" s="8">
        <v>42881.684224537035</v>
      </c>
      <c r="B168" s="20" t="s">
        <v>603</v>
      </c>
      <c r="C168" s="20" t="s">
        <v>772</v>
      </c>
      <c r="D168" s="141">
        <v>2360000</v>
      </c>
      <c r="E168" s="20" t="s">
        <v>737</v>
      </c>
      <c r="F168" s="20" t="s">
        <v>738</v>
      </c>
      <c r="G168" s="8" t="str">
        <f t="shared" si="2"/>
        <v>BRANDNER MELINDA</v>
      </c>
    </row>
    <row r="169" spans="1:7" x14ac:dyDescent="0.25">
      <c r="A169" s="8">
        <v>42881.69189814815</v>
      </c>
      <c r="B169" s="20" t="s">
        <v>453</v>
      </c>
      <c r="C169" s="20" t="s">
        <v>773</v>
      </c>
      <c r="D169" s="141">
        <v>1300000</v>
      </c>
      <c r="E169" s="20" t="s">
        <v>462</v>
      </c>
      <c r="F169" s="20" t="s">
        <v>463</v>
      </c>
      <c r="G169" s="8" t="str">
        <f t="shared" si="2"/>
        <v>LEVIN SCOTT</v>
      </c>
    </row>
    <row r="170" spans="1:7" x14ac:dyDescent="0.25">
      <c r="A170" s="8">
        <v>42881.692245370374</v>
      </c>
      <c r="B170" s="20" t="s">
        <v>605</v>
      </c>
      <c r="C170" s="20" t="s">
        <v>774</v>
      </c>
      <c r="D170" s="141">
        <v>3090000</v>
      </c>
      <c r="E170" s="20" t="s">
        <v>384</v>
      </c>
      <c r="F170" s="20" t="s">
        <v>385</v>
      </c>
      <c r="G170" s="8" t="str">
        <f t="shared" si="2"/>
        <v>LAMAR NEKESHA</v>
      </c>
    </row>
    <row r="171" spans="1:7" x14ac:dyDescent="0.25">
      <c r="A171" s="8">
        <v>42881.69636574074</v>
      </c>
      <c r="B171" s="20" t="s">
        <v>608</v>
      </c>
      <c r="C171" s="20" t="s">
        <v>775</v>
      </c>
      <c r="D171" s="141">
        <v>880000</v>
      </c>
      <c r="E171" s="20" t="s">
        <v>480</v>
      </c>
      <c r="F171" s="20" t="s">
        <v>194</v>
      </c>
      <c r="G171" s="8" t="str">
        <f t="shared" si="2"/>
        <v>STEWART MICHAEL</v>
      </c>
    </row>
    <row r="172" spans="1:7" x14ac:dyDescent="0.25">
      <c r="A172" s="8">
        <v>42881.697245370371</v>
      </c>
      <c r="B172" s="20" t="s">
        <v>381</v>
      </c>
      <c r="C172" s="20" t="s">
        <v>776</v>
      </c>
      <c r="D172" s="141">
        <v>2540000</v>
      </c>
      <c r="E172" s="20" t="s">
        <v>758</v>
      </c>
      <c r="F172" s="20" t="s">
        <v>759</v>
      </c>
      <c r="G172" s="8" t="str">
        <f t="shared" si="2"/>
        <v>MCREYNOLDS KYLE</v>
      </c>
    </row>
    <row r="173" spans="1:7" x14ac:dyDescent="0.25">
      <c r="A173" s="8">
        <v>42881.703668981485</v>
      </c>
      <c r="B173" s="20" t="s">
        <v>632</v>
      </c>
      <c r="C173" s="20" t="s">
        <v>777</v>
      </c>
      <c r="D173" s="141">
        <v>2480000</v>
      </c>
      <c r="E173" s="20" t="s">
        <v>713</v>
      </c>
      <c r="F173" s="20" t="s">
        <v>714</v>
      </c>
      <c r="G173" s="8" t="str">
        <f t="shared" si="2"/>
        <v>WHITED DUSTIN</v>
      </c>
    </row>
    <row r="174" spans="1:7" x14ac:dyDescent="0.25">
      <c r="A174" s="8">
        <v>42881.707939814813</v>
      </c>
      <c r="B174" s="20" t="s">
        <v>479</v>
      </c>
      <c r="C174" s="20" t="s">
        <v>778</v>
      </c>
      <c r="D174" s="141">
        <v>1780000</v>
      </c>
      <c r="E174" s="20" t="s">
        <v>519</v>
      </c>
      <c r="F174" s="20" t="s">
        <v>520</v>
      </c>
      <c r="G174" s="8" t="str">
        <f t="shared" si="2"/>
        <v>DE LA ROSA ALEX</v>
      </c>
    </row>
    <row r="175" spans="1:7" x14ac:dyDescent="0.25">
      <c r="A175" s="8">
        <v>42881.708356481482</v>
      </c>
      <c r="B175" s="20" t="s">
        <v>514</v>
      </c>
      <c r="C175" s="20" t="s">
        <v>779</v>
      </c>
      <c r="D175" s="141">
        <v>3090000</v>
      </c>
      <c r="E175" s="20" t="s">
        <v>384</v>
      </c>
      <c r="F175" s="20" t="s">
        <v>385</v>
      </c>
      <c r="G175" s="8" t="str">
        <f t="shared" si="2"/>
        <v>LAMAR NEKESHA</v>
      </c>
    </row>
    <row r="176" spans="1:7" x14ac:dyDescent="0.25">
      <c r="A176" s="8">
        <v>42881.714189814818</v>
      </c>
      <c r="B176" s="20" t="s">
        <v>378</v>
      </c>
      <c r="C176" s="20" t="s">
        <v>780</v>
      </c>
      <c r="D176" s="141">
        <v>2540000</v>
      </c>
      <c r="E176" s="20" t="s">
        <v>758</v>
      </c>
      <c r="F176" s="20" t="s">
        <v>759</v>
      </c>
      <c r="G176" s="8" t="str">
        <f t="shared" si="2"/>
        <v>MCREYNOLDS KYLE</v>
      </c>
    </row>
    <row r="177" spans="1:7" x14ac:dyDescent="0.25">
      <c r="A177" s="8">
        <v>42881.716365740744</v>
      </c>
      <c r="B177" s="20" t="s">
        <v>452</v>
      </c>
      <c r="C177" s="20" t="s">
        <v>781</v>
      </c>
      <c r="D177" s="141">
        <v>2420000</v>
      </c>
      <c r="E177" s="20" t="s">
        <v>521</v>
      </c>
      <c r="F177" s="20" t="s">
        <v>522</v>
      </c>
      <c r="G177" s="8" t="str">
        <f t="shared" si="2"/>
        <v>HOLCOMB KAMDEN</v>
      </c>
    </row>
    <row r="178" spans="1:7" x14ac:dyDescent="0.25">
      <c r="A178" s="8">
        <v>42881.717453703706</v>
      </c>
      <c r="B178" s="20" t="s">
        <v>601</v>
      </c>
      <c r="C178" s="20" t="s">
        <v>782</v>
      </c>
      <c r="D178" s="141">
        <v>1800000</v>
      </c>
      <c r="E178" s="20" t="s">
        <v>386</v>
      </c>
      <c r="F178" s="20" t="s">
        <v>387</v>
      </c>
      <c r="G178" s="8" t="str">
        <f t="shared" si="2"/>
        <v>CHANDLER KELVIN</v>
      </c>
    </row>
    <row r="179" spans="1:7" x14ac:dyDescent="0.25">
      <c r="A179" s="8">
        <v>42881.724004629628</v>
      </c>
      <c r="B179" s="20" t="s">
        <v>624</v>
      </c>
      <c r="C179" s="20" t="s">
        <v>783</v>
      </c>
      <c r="D179" s="141">
        <v>2360000</v>
      </c>
      <c r="E179" s="20" t="s">
        <v>737</v>
      </c>
      <c r="F179" s="20" t="s">
        <v>738</v>
      </c>
      <c r="G179" s="8" t="str">
        <f t="shared" si="2"/>
        <v>BRANDNER MELINDA</v>
      </c>
    </row>
    <row r="180" spans="1:7" x14ac:dyDescent="0.25">
      <c r="A180" s="8">
        <v>42881.725937499999</v>
      </c>
      <c r="B180" s="20" t="s">
        <v>430</v>
      </c>
      <c r="C180" s="20" t="s">
        <v>784</v>
      </c>
      <c r="D180" s="141">
        <v>1300000</v>
      </c>
      <c r="E180" s="20" t="s">
        <v>462</v>
      </c>
      <c r="F180" s="20" t="s">
        <v>463</v>
      </c>
      <c r="G180" s="8" t="str">
        <f t="shared" si="2"/>
        <v>LEVIN SCOTT</v>
      </c>
    </row>
    <row r="181" spans="1:7" x14ac:dyDescent="0.25">
      <c r="A181" s="8">
        <v>42881.726006944446</v>
      </c>
      <c r="B181" s="20" t="s">
        <v>478</v>
      </c>
      <c r="C181" s="20" t="s">
        <v>621</v>
      </c>
      <c r="D181" s="141">
        <v>1520000</v>
      </c>
      <c r="E181" s="20" t="s">
        <v>708</v>
      </c>
      <c r="F181" s="20" t="s">
        <v>709</v>
      </c>
      <c r="G181" s="8" t="str">
        <f t="shared" si="2"/>
        <v>MAYBERRY BILL</v>
      </c>
    </row>
    <row r="182" spans="1:7" x14ac:dyDescent="0.25">
      <c r="A182" s="8">
        <v>42881.73096064815</v>
      </c>
      <c r="B182" s="20" t="s">
        <v>537</v>
      </c>
      <c r="C182" s="20" t="s">
        <v>785</v>
      </c>
      <c r="D182" s="141">
        <v>2470000</v>
      </c>
      <c r="E182" s="20" t="s">
        <v>541</v>
      </c>
      <c r="F182" s="20" t="s">
        <v>542</v>
      </c>
      <c r="G182" s="8" t="str">
        <f t="shared" si="2"/>
        <v>ROMERO CHAD</v>
      </c>
    </row>
    <row r="183" spans="1:7" x14ac:dyDescent="0.25">
      <c r="A183" s="8">
        <v>42881.734560185185</v>
      </c>
      <c r="B183" s="20" t="s">
        <v>513</v>
      </c>
      <c r="C183" s="20" t="s">
        <v>775</v>
      </c>
      <c r="D183" s="141">
        <v>880000</v>
      </c>
      <c r="E183" s="20" t="s">
        <v>480</v>
      </c>
      <c r="F183" s="20" t="s">
        <v>194</v>
      </c>
      <c r="G183" s="8" t="str">
        <f t="shared" si="2"/>
        <v>STEWART MICHAEL</v>
      </c>
    </row>
    <row r="184" spans="1:7" x14ac:dyDescent="0.25">
      <c r="A184" s="8">
        <v>42881.734953703701</v>
      </c>
      <c r="B184" s="20" t="s">
        <v>605</v>
      </c>
      <c r="C184" s="20" t="s">
        <v>622</v>
      </c>
      <c r="D184" s="141">
        <v>3090000</v>
      </c>
      <c r="E184" s="20" t="s">
        <v>384</v>
      </c>
      <c r="F184" s="20" t="s">
        <v>385</v>
      </c>
      <c r="G184" s="8" t="str">
        <f t="shared" si="2"/>
        <v>LAMAR NEKESHA</v>
      </c>
    </row>
    <row r="185" spans="1:7" x14ac:dyDescent="0.25">
      <c r="A185" s="8">
        <v>42881.735648148147</v>
      </c>
      <c r="B185" s="20" t="s">
        <v>513</v>
      </c>
      <c r="C185" s="20" t="s">
        <v>786</v>
      </c>
      <c r="D185" s="141">
        <v>880000</v>
      </c>
      <c r="E185" s="20" t="s">
        <v>480</v>
      </c>
      <c r="F185" s="20" t="s">
        <v>194</v>
      </c>
      <c r="G185" s="8" t="str">
        <f t="shared" si="2"/>
        <v>STEWART MICHAEL</v>
      </c>
    </row>
    <row r="186" spans="1:7" x14ac:dyDescent="0.25">
      <c r="A186" s="8">
        <v>42881.737511574072</v>
      </c>
      <c r="B186" s="20" t="s">
        <v>594</v>
      </c>
      <c r="C186" s="20" t="s">
        <v>787</v>
      </c>
      <c r="D186" s="141">
        <v>1540000</v>
      </c>
      <c r="E186" s="20" t="s">
        <v>458</v>
      </c>
      <c r="F186" s="20" t="s">
        <v>459</v>
      </c>
      <c r="G186" s="8" t="str">
        <f t="shared" si="2"/>
        <v>HELVIE ADAM</v>
      </c>
    </row>
    <row r="187" spans="1:7" x14ac:dyDescent="0.25">
      <c r="A187" s="8">
        <v>42881.739606481482</v>
      </c>
      <c r="B187" s="20" t="s">
        <v>381</v>
      </c>
      <c r="C187" s="20" t="s">
        <v>788</v>
      </c>
      <c r="D187" s="141">
        <v>2540000</v>
      </c>
      <c r="E187" s="20" t="s">
        <v>758</v>
      </c>
      <c r="F187" s="20" t="s">
        <v>759</v>
      </c>
      <c r="G187" s="8" t="str">
        <f t="shared" si="2"/>
        <v>MCREYNOLDS KYLE</v>
      </c>
    </row>
    <row r="188" spans="1:7" x14ac:dyDescent="0.25">
      <c r="A188" s="8">
        <v>42881.744629629633</v>
      </c>
      <c r="B188" s="20" t="s">
        <v>475</v>
      </c>
      <c r="C188" s="20" t="s">
        <v>789</v>
      </c>
      <c r="D188" s="141">
        <v>1780000</v>
      </c>
      <c r="E188" s="20" t="s">
        <v>519</v>
      </c>
      <c r="F188" s="20" t="s">
        <v>520</v>
      </c>
      <c r="G188" s="8" t="str">
        <f t="shared" si="2"/>
        <v>DE LA ROSA ALEX</v>
      </c>
    </row>
    <row r="189" spans="1:7" x14ac:dyDescent="0.25">
      <c r="A189" s="8">
        <v>42881.747361111113</v>
      </c>
      <c r="B189" s="20" t="s">
        <v>451</v>
      </c>
      <c r="C189" s="20" t="s">
        <v>790</v>
      </c>
      <c r="D189" s="141">
        <v>2420000</v>
      </c>
      <c r="E189" s="20" t="s">
        <v>521</v>
      </c>
      <c r="F189" s="20" t="s">
        <v>522</v>
      </c>
      <c r="G189" s="8" t="str">
        <f t="shared" si="2"/>
        <v>HOLCOMB KAMDEN</v>
      </c>
    </row>
    <row r="190" spans="1:7" x14ac:dyDescent="0.25">
      <c r="A190" s="8">
        <v>42881.749641203707</v>
      </c>
      <c r="B190" s="20" t="s">
        <v>514</v>
      </c>
      <c r="C190" s="20" t="s">
        <v>791</v>
      </c>
      <c r="D190" s="141">
        <v>3090000</v>
      </c>
      <c r="E190" s="20" t="s">
        <v>384</v>
      </c>
      <c r="F190" s="20" t="s">
        <v>385</v>
      </c>
      <c r="G190" s="8" t="str">
        <f t="shared" si="2"/>
        <v>LAMAR NEKESHA</v>
      </c>
    </row>
    <row r="191" spans="1:7" x14ac:dyDescent="0.25">
      <c r="A191" s="8">
        <v>42881.755740740744</v>
      </c>
      <c r="B191" s="20" t="s">
        <v>378</v>
      </c>
      <c r="C191" s="20" t="s">
        <v>792</v>
      </c>
      <c r="D191" s="141">
        <v>2540000</v>
      </c>
      <c r="E191" s="20" t="s">
        <v>758</v>
      </c>
      <c r="F191" s="20" t="s">
        <v>759</v>
      </c>
      <c r="G191" s="8" t="str">
        <f t="shared" si="2"/>
        <v>MCREYNOLDS KYLE</v>
      </c>
    </row>
    <row r="192" spans="1:7" x14ac:dyDescent="0.25">
      <c r="A192" s="8">
        <v>42881.755844907406</v>
      </c>
      <c r="B192" s="20" t="s">
        <v>436</v>
      </c>
      <c r="C192" s="20" t="s">
        <v>793</v>
      </c>
      <c r="D192" s="141">
        <v>1800000</v>
      </c>
      <c r="E192" s="20" t="s">
        <v>386</v>
      </c>
      <c r="F192" s="20" t="s">
        <v>387</v>
      </c>
      <c r="G192" s="8" t="str">
        <f t="shared" si="2"/>
        <v>CHANDLER KELVIN</v>
      </c>
    </row>
    <row r="193" spans="1:7" x14ac:dyDescent="0.25">
      <c r="A193" s="8">
        <v>42881.759097222224</v>
      </c>
      <c r="B193" s="20" t="s">
        <v>603</v>
      </c>
      <c r="C193" s="20" t="s">
        <v>794</v>
      </c>
      <c r="D193" s="141">
        <v>2260000</v>
      </c>
      <c r="E193" s="20" t="s">
        <v>523</v>
      </c>
      <c r="F193" s="20" t="s">
        <v>524</v>
      </c>
      <c r="G193" s="8" t="str">
        <f t="shared" si="2"/>
        <v>ARVIDSON DANIEL</v>
      </c>
    </row>
    <row r="194" spans="1:7" x14ac:dyDescent="0.25">
      <c r="A194" s="8">
        <v>42881.76152777778</v>
      </c>
      <c r="B194" s="20" t="s">
        <v>453</v>
      </c>
      <c r="C194" s="20" t="s">
        <v>623</v>
      </c>
      <c r="D194" s="141">
        <v>1300000</v>
      </c>
      <c r="E194" s="20" t="s">
        <v>462</v>
      </c>
      <c r="F194" s="20" t="s">
        <v>463</v>
      </c>
      <c r="G194" s="8" t="str">
        <f t="shared" si="2"/>
        <v>LEVIN SCOTT</v>
      </c>
    </row>
    <row r="195" spans="1:7" x14ac:dyDescent="0.25">
      <c r="A195" s="8">
        <v>42881.770995370367</v>
      </c>
      <c r="B195" s="20" t="s">
        <v>608</v>
      </c>
      <c r="C195" s="20" t="s">
        <v>795</v>
      </c>
      <c r="D195" s="141">
        <v>3000000</v>
      </c>
      <c r="E195" s="20" t="s">
        <v>481</v>
      </c>
      <c r="F195" s="20" t="s">
        <v>482</v>
      </c>
      <c r="G195" s="8" t="str">
        <f t="shared" ref="G195:G258" si="3">E195&amp;" "&amp;F195</f>
        <v>FORTUNATO FRANK</v>
      </c>
    </row>
    <row r="196" spans="1:7" x14ac:dyDescent="0.25">
      <c r="A196" s="8">
        <v>42881.775555555556</v>
      </c>
      <c r="B196" s="20" t="s">
        <v>605</v>
      </c>
      <c r="C196" s="20" t="s">
        <v>796</v>
      </c>
      <c r="D196" s="141">
        <v>3090000</v>
      </c>
      <c r="E196" s="20" t="s">
        <v>384</v>
      </c>
      <c r="F196" s="20" t="s">
        <v>385</v>
      </c>
      <c r="G196" s="8" t="str">
        <f t="shared" si="3"/>
        <v>LAMAR NEKESHA</v>
      </c>
    </row>
    <row r="197" spans="1:7" x14ac:dyDescent="0.25">
      <c r="A197" s="8">
        <v>42881.776053240741</v>
      </c>
      <c r="B197" s="20" t="s">
        <v>632</v>
      </c>
      <c r="C197" s="20" t="s">
        <v>797</v>
      </c>
      <c r="D197" s="141">
        <v>1540000</v>
      </c>
      <c r="E197" s="20" t="s">
        <v>458</v>
      </c>
      <c r="F197" s="20" t="s">
        <v>459</v>
      </c>
      <c r="G197" s="8" t="str">
        <f t="shared" si="3"/>
        <v>HELVIE ADAM</v>
      </c>
    </row>
    <row r="198" spans="1:7" x14ac:dyDescent="0.25">
      <c r="A198" s="8">
        <v>42881.777361111112</v>
      </c>
      <c r="B198" s="20" t="s">
        <v>479</v>
      </c>
      <c r="C198" s="20" t="s">
        <v>798</v>
      </c>
      <c r="D198" s="141">
        <v>1780000</v>
      </c>
      <c r="E198" s="20" t="s">
        <v>519</v>
      </c>
      <c r="F198" s="20" t="s">
        <v>520</v>
      </c>
      <c r="G198" s="8" t="str">
        <f t="shared" si="3"/>
        <v>DE LA ROSA ALEX</v>
      </c>
    </row>
    <row r="199" spans="1:7" x14ac:dyDescent="0.25">
      <c r="A199" s="8">
        <v>42881.779710648145</v>
      </c>
      <c r="B199" s="20" t="s">
        <v>381</v>
      </c>
      <c r="C199" s="20" t="s">
        <v>799</v>
      </c>
      <c r="D199" s="141">
        <v>2540000</v>
      </c>
      <c r="E199" s="20" t="s">
        <v>758</v>
      </c>
      <c r="F199" s="20" t="s">
        <v>759</v>
      </c>
      <c r="G199" s="8" t="str">
        <f t="shared" si="3"/>
        <v>MCREYNOLDS KYLE</v>
      </c>
    </row>
    <row r="200" spans="1:7" x14ac:dyDescent="0.25">
      <c r="A200" s="8">
        <v>42881.788865740738</v>
      </c>
      <c r="B200" s="20" t="s">
        <v>452</v>
      </c>
      <c r="C200" s="20" t="s">
        <v>800</v>
      </c>
      <c r="D200" s="141">
        <v>2420000</v>
      </c>
      <c r="E200" s="20" t="s">
        <v>521</v>
      </c>
      <c r="F200" s="20" t="s">
        <v>522</v>
      </c>
      <c r="G200" s="8" t="str">
        <f t="shared" si="3"/>
        <v>HOLCOMB KAMDEN</v>
      </c>
    </row>
    <row r="201" spans="1:7" x14ac:dyDescent="0.25">
      <c r="A201" s="8">
        <v>42881.789351851854</v>
      </c>
      <c r="B201" s="20" t="s">
        <v>601</v>
      </c>
      <c r="C201" s="20" t="s">
        <v>801</v>
      </c>
      <c r="D201" s="141">
        <v>2440000</v>
      </c>
      <c r="E201" s="20" t="s">
        <v>525</v>
      </c>
      <c r="F201" s="20" t="s">
        <v>526</v>
      </c>
      <c r="G201" s="8" t="str">
        <f t="shared" si="3"/>
        <v>LOPES KIMBERLY</v>
      </c>
    </row>
    <row r="202" spans="1:7" x14ac:dyDescent="0.25">
      <c r="A202" s="26">
        <v>42881.793055555558</v>
      </c>
      <c r="B202" s="20" t="s">
        <v>514</v>
      </c>
      <c r="C202" s="20" t="s">
        <v>626</v>
      </c>
      <c r="D202" s="141">
        <v>3090000</v>
      </c>
      <c r="E202" s="20" t="s">
        <v>384</v>
      </c>
      <c r="F202" s="20" t="s">
        <v>385</v>
      </c>
      <c r="G202" s="8" t="str">
        <f t="shared" si="3"/>
        <v>LAMAR NEKESHA</v>
      </c>
    </row>
    <row r="203" spans="1:7" x14ac:dyDescent="0.25">
      <c r="A203" s="8">
        <v>42881.795567129629</v>
      </c>
      <c r="B203" s="20" t="s">
        <v>514</v>
      </c>
      <c r="C203" s="20" t="s">
        <v>802</v>
      </c>
      <c r="D203" s="141">
        <v>3090000</v>
      </c>
      <c r="E203" s="20" t="s">
        <v>384</v>
      </c>
      <c r="F203" s="20" t="s">
        <v>385</v>
      </c>
      <c r="G203" s="8" t="str">
        <f t="shared" si="3"/>
        <v>LAMAR NEKESHA</v>
      </c>
    </row>
    <row r="204" spans="1:7" x14ac:dyDescent="0.25">
      <c r="A204" s="8">
        <v>42881.797523148147</v>
      </c>
      <c r="B204" s="20" t="s">
        <v>378</v>
      </c>
      <c r="C204" s="20" t="s">
        <v>803</v>
      </c>
      <c r="D204" s="141">
        <v>2540000</v>
      </c>
      <c r="E204" s="20" t="s">
        <v>758</v>
      </c>
      <c r="F204" s="20" t="s">
        <v>759</v>
      </c>
      <c r="G204" s="8" t="str">
        <f t="shared" si="3"/>
        <v>MCREYNOLDS KYLE</v>
      </c>
    </row>
    <row r="205" spans="1:7" x14ac:dyDescent="0.25">
      <c r="A205" s="8">
        <v>42881.797905092593</v>
      </c>
      <c r="B205" s="20" t="s">
        <v>624</v>
      </c>
      <c r="C205" s="20" t="s">
        <v>625</v>
      </c>
      <c r="D205" s="141">
        <v>2260000</v>
      </c>
      <c r="E205" s="20" t="s">
        <v>523</v>
      </c>
      <c r="F205" s="20" t="s">
        <v>524</v>
      </c>
      <c r="G205" s="8" t="str">
        <f t="shared" si="3"/>
        <v>ARVIDSON DANIEL</v>
      </c>
    </row>
    <row r="206" spans="1:7" x14ac:dyDescent="0.25">
      <c r="A206" s="8">
        <v>42881.800138888888</v>
      </c>
      <c r="B206" s="20" t="s">
        <v>430</v>
      </c>
      <c r="C206" s="20" t="s">
        <v>804</v>
      </c>
      <c r="D206" s="141">
        <v>1300000</v>
      </c>
      <c r="E206" s="20" t="s">
        <v>462</v>
      </c>
      <c r="F206" s="20" t="s">
        <v>463</v>
      </c>
      <c r="G206" s="8" t="str">
        <f t="shared" si="3"/>
        <v>LEVIN SCOTT</v>
      </c>
    </row>
    <row r="207" spans="1:7" x14ac:dyDescent="0.25">
      <c r="A207" s="8">
        <v>42881.803043981483</v>
      </c>
      <c r="B207" s="20" t="s">
        <v>513</v>
      </c>
      <c r="C207" s="20" t="s">
        <v>805</v>
      </c>
      <c r="D207" s="141">
        <v>3000000</v>
      </c>
      <c r="E207" s="20" t="s">
        <v>481</v>
      </c>
      <c r="F207" s="20" t="s">
        <v>482</v>
      </c>
      <c r="G207" s="8" t="str">
        <f t="shared" si="3"/>
        <v>FORTUNATO FRANK</v>
      </c>
    </row>
    <row r="208" spans="1:7" x14ac:dyDescent="0.25">
      <c r="A208" s="8">
        <v>42881.810231481482</v>
      </c>
      <c r="B208" s="20" t="s">
        <v>594</v>
      </c>
      <c r="C208" s="20" t="s">
        <v>806</v>
      </c>
      <c r="D208" s="141">
        <v>1540000</v>
      </c>
      <c r="E208" s="20" t="s">
        <v>458</v>
      </c>
      <c r="F208" s="20" t="s">
        <v>459</v>
      </c>
      <c r="G208" s="8" t="str">
        <f t="shared" si="3"/>
        <v>HELVIE ADAM</v>
      </c>
    </row>
    <row r="209" spans="1:7" x14ac:dyDescent="0.25">
      <c r="A209" s="8">
        <v>42881.817407407405</v>
      </c>
      <c r="B209" s="20" t="s">
        <v>605</v>
      </c>
      <c r="C209" s="20" t="s">
        <v>802</v>
      </c>
      <c r="D209" s="141">
        <v>3090000</v>
      </c>
      <c r="E209" s="20" t="s">
        <v>384</v>
      </c>
      <c r="F209" s="20" t="s">
        <v>385</v>
      </c>
      <c r="G209" s="8" t="str">
        <f t="shared" si="3"/>
        <v>LAMAR NEKESHA</v>
      </c>
    </row>
    <row r="210" spans="1:7" x14ac:dyDescent="0.25">
      <c r="A210" s="8">
        <v>42881.818483796298</v>
      </c>
      <c r="B210" s="20" t="s">
        <v>605</v>
      </c>
      <c r="C210" s="20" t="s">
        <v>626</v>
      </c>
      <c r="D210" s="141">
        <v>3090000</v>
      </c>
      <c r="E210" s="20" t="s">
        <v>384</v>
      </c>
      <c r="F210" s="20" t="s">
        <v>385</v>
      </c>
      <c r="G210" s="8" t="str">
        <f t="shared" si="3"/>
        <v>LAMAR NEKESHA</v>
      </c>
    </row>
    <row r="211" spans="1:7" x14ac:dyDescent="0.25">
      <c r="A211" s="8">
        <v>42881.821122685185</v>
      </c>
      <c r="B211" s="20" t="s">
        <v>451</v>
      </c>
      <c r="C211" s="20" t="s">
        <v>807</v>
      </c>
      <c r="D211" s="141">
        <v>2420000</v>
      </c>
      <c r="E211" s="20" t="s">
        <v>521</v>
      </c>
      <c r="F211" s="20" t="s">
        <v>522</v>
      </c>
      <c r="G211" s="8" t="str">
        <f t="shared" si="3"/>
        <v>HOLCOMB KAMDEN</v>
      </c>
    </row>
    <row r="212" spans="1:7" x14ac:dyDescent="0.25">
      <c r="A212" s="8">
        <v>42881.824236111112</v>
      </c>
      <c r="B212" s="20" t="s">
        <v>436</v>
      </c>
      <c r="C212" s="20" t="s">
        <v>808</v>
      </c>
      <c r="D212" s="141">
        <v>2440000</v>
      </c>
      <c r="E212" s="20" t="s">
        <v>525</v>
      </c>
      <c r="F212" s="20" t="s">
        <v>526</v>
      </c>
      <c r="G212" s="8" t="str">
        <f t="shared" si="3"/>
        <v>LOPES KIMBERLY</v>
      </c>
    </row>
    <row r="213" spans="1:7" x14ac:dyDescent="0.25">
      <c r="A213" s="8">
        <v>42881.824837962966</v>
      </c>
      <c r="B213" s="20" t="s">
        <v>369</v>
      </c>
      <c r="C213" s="20" t="s">
        <v>809</v>
      </c>
      <c r="D213" s="141">
        <v>3010000</v>
      </c>
      <c r="E213" s="20" t="s">
        <v>402</v>
      </c>
      <c r="F213" s="20" t="s">
        <v>403</v>
      </c>
      <c r="G213" s="8" t="str">
        <f t="shared" si="3"/>
        <v>SULLIVAN BRANDON</v>
      </c>
    </row>
    <row r="214" spans="1:7" x14ac:dyDescent="0.25">
      <c r="A214" s="8">
        <v>42881.832418981481</v>
      </c>
      <c r="B214" s="20" t="s">
        <v>603</v>
      </c>
      <c r="C214" s="20" t="s">
        <v>810</v>
      </c>
      <c r="D214" s="141">
        <v>2260000</v>
      </c>
      <c r="E214" s="20" t="s">
        <v>523</v>
      </c>
      <c r="F214" s="20" t="s">
        <v>524</v>
      </c>
      <c r="G214" s="8" t="str">
        <f t="shared" si="3"/>
        <v>ARVIDSON DANIEL</v>
      </c>
    </row>
    <row r="215" spans="1:7" x14ac:dyDescent="0.25">
      <c r="A215" s="8">
        <v>42881.835115740738</v>
      </c>
      <c r="B215" s="20" t="s">
        <v>514</v>
      </c>
      <c r="C215" s="20" t="s">
        <v>811</v>
      </c>
      <c r="D215" s="141">
        <v>3090000</v>
      </c>
      <c r="E215" s="20" t="s">
        <v>384</v>
      </c>
      <c r="F215" s="20" t="s">
        <v>385</v>
      </c>
      <c r="G215" s="8" t="str">
        <f t="shared" si="3"/>
        <v>LAMAR NEKESHA</v>
      </c>
    </row>
    <row r="216" spans="1:7" x14ac:dyDescent="0.25">
      <c r="A216" s="8">
        <v>42881.839085648149</v>
      </c>
      <c r="B216" s="20" t="s">
        <v>370</v>
      </c>
      <c r="C216" s="20" t="s">
        <v>627</v>
      </c>
      <c r="D216" s="141">
        <v>3010000</v>
      </c>
      <c r="E216" s="20" t="s">
        <v>402</v>
      </c>
      <c r="F216" s="20" t="s">
        <v>403</v>
      </c>
      <c r="G216" s="8" t="str">
        <f t="shared" si="3"/>
        <v>SULLIVAN BRANDON</v>
      </c>
    </row>
    <row r="217" spans="1:7" x14ac:dyDescent="0.25">
      <c r="A217" s="8">
        <v>42881.843495370369</v>
      </c>
      <c r="B217" s="20" t="s">
        <v>514</v>
      </c>
      <c r="C217" s="20" t="s">
        <v>811</v>
      </c>
      <c r="D217" s="141">
        <v>3090000</v>
      </c>
      <c r="E217" s="20" t="s">
        <v>384</v>
      </c>
      <c r="F217" s="20" t="s">
        <v>385</v>
      </c>
      <c r="G217" s="8" t="str">
        <f t="shared" si="3"/>
        <v>LAMAR NEKESHA</v>
      </c>
    </row>
    <row r="218" spans="1:7" x14ac:dyDescent="0.25">
      <c r="A218" s="8">
        <v>42881.845289351855</v>
      </c>
      <c r="B218" s="20" t="s">
        <v>608</v>
      </c>
      <c r="C218" s="20" t="s">
        <v>812</v>
      </c>
      <c r="D218" s="141">
        <v>3000000</v>
      </c>
      <c r="E218" s="20" t="s">
        <v>481</v>
      </c>
      <c r="F218" s="20" t="s">
        <v>482</v>
      </c>
      <c r="G218" s="8" t="str">
        <f t="shared" si="3"/>
        <v>FORTUNATO FRANK</v>
      </c>
    </row>
    <row r="219" spans="1:7" x14ac:dyDescent="0.25">
      <c r="A219" s="8">
        <v>42881.850393518522</v>
      </c>
      <c r="B219" s="20" t="s">
        <v>632</v>
      </c>
      <c r="C219" s="20" t="s">
        <v>813</v>
      </c>
      <c r="D219" s="141">
        <v>1540000</v>
      </c>
      <c r="E219" s="20" t="s">
        <v>458</v>
      </c>
      <c r="F219" s="20" t="s">
        <v>459</v>
      </c>
      <c r="G219" s="8" t="str">
        <f t="shared" si="3"/>
        <v>HELVIE ADAM</v>
      </c>
    </row>
    <row r="220" spans="1:7" x14ac:dyDescent="0.25">
      <c r="A220" s="8">
        <v>42881.858668981484</v>
      </c>
      <c r="B220" s="20" t="s">
        <v>605</v>
      </c>
      <c r="C220" s="20" t="s">
        <v>814</v>
      </c>
      <c r="D220" s="141">
        <v>3090000</v>
      </c>
      <c r="E220" s="20" t="s">
        <v>384</v>
      </c>
      <c r="F220" s="20" t="s">
        <v>385</v>
      </c>
      <c r="G220" s="8" t="str">
        <f t="shared" si="3"/>
        <v>LAMAR NEKESHA</v>
      </c>
    </row>
    <row r="221" spans="1:7" x14ac:dyDescent="0.25">
      <c r="A221" s="8">
        <v>42881.869560185187</v>
      </c>
      <c r="B221" s="20" t="s">
        <v>624</v>
      </c>
      <c r="C221" s="20" t="s">
        <v>815</v>
      </c>
      <c r="D221" s="141">
        <v>2260000</v>
      </c>
      <c r="E221" s="20" t="s">
        <v>523</v>
      </c>
      <c r="F221" s="20" t="s">
        <v>524</v>
      </c>
      <c r="G221" s="8" t="str">
        <f t="shared" si="3"/>
        <v>ARVIDSON DANIEL</v>
      </c>
    </row>
    <row r="222" spans="1:7" x14ac:dyDescent="0.25">
      <c r="A222" s="8">
        <v>42881.872013888889</v>
      </c>
      <c r="B222" s="20" t="s">
        <v>601</v>
      </c>
      <c r="C222" s="20" t="s">
        <v>816</v>
      </c>
      <c r="D222" s="141">
        <v>2440000</v>
      </c>
      <c r="E222" s="20" t="s">
        <v>525</v>
      </c>
      <c r="F222" s="20" t="s">
        <v>526</v>
      </c>
      <c r="G222" s="8" t="str">
        <f t="shared" si="3"/>
        <v>LOPES KIMBERLY</v>
      </c>
    </row>
    <row r="223" spans="1:7" x14ac:dyDescent="0.25">
      <c r="A223" s="8">
        <v>42881.881562499999</v>
      </c>
      <c r="B223" s="20" t="s">
        <v>513</v>
      </c>
      <c r="C223" s="20" t="s">
        <v>817</v>
      </c>
      <c r="D223" s="141">
        <v>3000000</v>
      </c>
      <c r="E223" s="20" t="s">
        <v>481</v>
      </c>
      <c r="F223" s="20" t="s">
        <v>482</v>
      </c>
      <c r="G223" s="8" t="str">
        <f t="shared" si="3"/>
        <v>FORTUNATO FRANK</v>
      </c>
    </row>
    <row r="224" spans="1:7" x14ac:dyDescent="0.25">
      <c r="A224" s="8">
        <v>42881.884664351855</v>
      </c>
      <c r="B224" t="s">
        <v>514</v>
      </c>
      <c r="C224" t="s">
        <v>818</v>
      </c>
      <c r="D224" s="141">
        <v>2540000</v>
      </c>
      <c r="E224" t="s">
        <v>758</v>
      </c>
      <c r="F224" s="20" t="s">
        <v>759</v>
      </c>
      <c r="G224" s="8" t="str">
        <f t="shared" si="3"/>
        <v>MCREYNOLDS KYLE</v>
      </c>
    </row>
    <row r="225" spans="1:7" x14ac:dyDescent="0.25">
      <c r="A225" s="8">
        <v>42881.891365740739</v>
      </c>
      <c r="B225" t="s">
        <v>594</v>
      </c>
      <c r="C225" t="s">
        <v>819</v>
      </c>
      <c r="D225" s="141">
        <v>1540000</v>
      </c>
      <c r="E225" t="s">
        <v>458</v>
      </c>
      <c r="F225" s="20" t="s">
        <v>459</v>
      </c>
      <c r="G225" s="8" t="str">
        <f t="shared" si="3"/>
        <v>HELVIE ADAM</v>
      </c>
    </row>
    <row r="226" spans="1:7" x14ac:dyDescent="0.25">
      <c r="A226" s="8">
        <v>42881.894560185188</v>
      </c>
      <c r="B226" t="s">
        <v>369</v>
      </c>
      <c r="C226" t="s">
        <v>809</v>
      </c>
      <c r="D226" s="141">
        <v>3010000</v>
      </c>
      <c r="E226" t="s">
        <v>402</v>
      </c>
      <c r="F226" s="20" t="s">
        <v>403</v>
      </c>
      <c r="G226" s="8" t="str">
        <f t="shared" si="3"/>
        <v>SULLIVAN BRANDON</v>
      </c>
    </row>
    <row r="227" spans="1:7" x14ac:dyDescent="0.25">
      <c r="A227" s="8">
        <v>42881.902442129627</v>
      </c>
      <c r="B227" t="s">
        <v>605</v>
      </c>
      <c r="C227" t="s">
        <v>820</v>
      </c>
      <c r="D227" s="141">
        <v>2540000</v>
      </c>
      <c r="E227" t="s">
        <v>758</v>
      </c>
      <c r="F227" s="20" t="s">
        <v>759</v>
      </c>
      <c r="G227" s="8" t="str">
        <f t="shared" si="3"/>
        <v>MCREYNOLDS KYLE</v>
      </c>
    </row>
    <row r="228" spans="1:7" x14ac:dyDescent="0.25">
      <c r="A228" s="8">
        <v>42881.908634259256</v>
      </c>
      <c r="B228" t="s">
        <v>436</v>
      </c>
      <c r="C228" t="s">
        <v>821</v>
      </c>
      <c r="D228" s="141">
        <v>2440000</v>
      </c>
      <c r="E228" t="s">
        <v>525</v>
      </c>
      <c r="F228" s="20" t="s">
        <v>526</v>
      </c>
      <c r="G228" s="8" t="str">
        <f t="shared" si="3"/>
        <v>LOPES KIMBERLY</v>
      </c>
    </row>
    <row r="229" spans="1:7" x14ac:dyDescent="0.25">
      <c r="A229" s="8">
        <v>42881.914050925923</v>
      </c>
      <c r="B229" t="s">
        <v>603</v>
      </c>
      <c r="C229" t="s">
        <v>822</v>
      </c>
      <c r="D229" s="141">
        <v>2260000</v>
      </c>
      <c r="E229" t="s">
        <v>523</v>
      </c>
      <c r="F229" s="20" t="s">
        <v>524</v>
      </c>
      <c r="G229" s="8" t="str">
        <f t="shared" si="3"/>
        <v>ARVIDSON DANIEL</v>
      </c>
    </row>
    <row r="230" spans="1:7" x14ac:dyDescent="0.25">
      <c r="A230" s="8">
        <v>42881.923252314817</v>
      </c>
      <c r="B230" t="s">
        <v>608</v>
      </c>
      <c r="C230" t="s">
        <v>823</v>
      </c>
      <c r="D230" s="141">
        <v>3000000</v>
      </c>
      <c r="E230" t="s">
        <v>481</v>
      </c>
      <c r="F230" s="20" t="s">
        <v>482</v>
      </c>
      <c r="G230" s="8" t="str">
        <f t="shared" si="3"/>
        <v>FORTUNATO FRANK</v>
      </c>
    </row>
    <row r="231" spans="1:7" x14ac:dyDescent="0.25">
      <c r="A231" s="8">
        <v>42881.927175925928</v>
      </c>
      <c r="B231" t="s">
        <v>514</v>
      </c>
      <c r="C231" t="s">
        <v>824</v>
      </c>
      <c r="D231" s="141">
        <v>2540000</v>
      </c>
      <c r="E231" t="s">
        <v>758</v>
      </c>
      <c r="F231" s="20" t="s">
        <v>759</v>
      </c>
      <c r="G231" s="8" t="str">
        <f t="shared" si="3"/>
        <v>MCREYNOLDS KYLE</v>
      </c>
    </row>
    <row r="232" spans="1:7" x14ac:dyDescent="0.25">
      <c r="A232" s="8">
        <v>42881.934641203705</v>
      </c>
      <c r="B232" t="s">
        <v>632</v>
      </c>
      <c r="C232" t="s">
        <v>825</v>
      </c>
      <c r="D232" s="141">
        <v>1540000</v>
      </c>
      <c r="E232" t="s">
        <v>458</v>
      </c>
      <c r="F232" s="20" t="s">
        <v>459</v>
      </c>
      <c r="G232" s="8" t="str">
        <f t="shared" si="3"/>
        <v>HELVIE ADAM</v>
      </c>
    </row>
    <row r="233" spans="1:7" x14ac:dyDescent="0.25">
      <c r="A233" s="8">
        <v>42881.936574074076</v>
      </c>
      <c r="B233" t="s">
        <v>370</v>
      </c>
      <c r="C233" t="s">
        <v>627</v>
      </c>
      <c r="D233" s="141">
        <v>3010000</v>
      </c>
      <c r="E233" t="s">
        <v>402</v>
      </c>
      <c r="F233" s="20" t="s">
        <v>403</v>
      </c>
      <c r="G233" s="8" t="str">
        <f t="shared" si="3"/>
        <v>SULLIVAN BRANDON</v>
      </c>
    </row>
    <row r="234" spans="1:7" x14ac:dyDescent="0.25">
      <c r="A234" s="8">
        <v>42881.944398148145</v>
      </c>
      <c r="B234" t="s">
        <v>605</v>
      </c>
      <c r="C234" t="s">
        <v>826</v>
      </c>
      <c r="D234" s="141">
        <v>2540000</v>
      </c>
      <c r="E234" t="s">
        <v>758</v>
      </c>
      <c r="F234" s="20" t="s">
        <v>759</v>
      </c>
      <c r="G234" s="8" t="str">
        <f t="shared" si="3"/>
        <v>MCREYNOLDS KYLE</v>
      </c>
    </row>
    <row r="235" spans="1:7" x14ac:dyDescent="0.25">
      <c r="A235" s="8">
        <v>42881.95517361111</v>
      </c>
      <c r="B235" t="s">
        <v>624</v>
      </c>
      <c r="C235" t="s">
        <v>628</v>
      </c>
      <c r="D235" s="141">
        <v>2260000</v>
      </c>
      <c r="E235" t="s">
        <v>523</v>
      </c>
      <c r="F235" s="20" t="s">
        <v>524</v>
      </c>
      <c r="G235" s="8" t="str">
        <f t="shared" si="3"/>
        <v>ARVIDSON DANIEL</v>
      </c>
    </row>
    <row r="236" spans="1:7" x14ac:dyDescent="0.25">
      <c r="A236" s="8">
        <v>42881.956886574073</v>
      </c>
      <c r="B236" t="s">
        <v>601</v>
      </c>
      <c r="C236" t="s">
        <v>827</v>
      </c>
      <c r="D236" s="141">
        <v>2440000</v>
      </c>
      <c r="E236" t="s">
        <v>525</v>
      </c>
      <c r="F236" s="20" t="s">
        <v>526</v>
      </c>
      <c r="G236" s="8" t="str">
        <f t="shared" si="3"/>
        <v>LOPES KIMBERLY</v>
      </c>
    </row>
    <row r="237" spans="1:7" x14ac:dyDescent="0.25">
      <c r="A237" s="8">
        <v>42881.956990740742</v>
      </c>
      <c r="B237" t="s">
        <v>514</v>
      </c>
      <c r="C237" t="s">
        <v>828</v>
      </c>
      <c r="D237" s="141">
        <v>2540000</v>
      </c>
      <c r="E237" t="s">
        <v>758</v>
      </c>
      <c r="F237" s="20" t="s">
        <v>759</v>
      </c>
      <c r="G237" s="8" t="str">
        <f t="shared" si="3"/>
        <v>MCREYNOLDS KYLE</v>
      </c>
    </row>
    <row r="238" spans="1:7" x14ac:dyDescent="0.25">
      <c r="A238" s="8">
        <v>42881.967349537037</v>
      </c>
      <c r="B238" t="s">
        <v>513</v>
      </c>
      <c r="C238" t="s">
        <v>829</v>
      </c>
      <c r="D238" s="141">
        <v>3000000</v>
      </c>
      <c r="E238" t="s">
        <v>481</v>
      </c>
      <c r="F238" s="20" t="s">
        <v>482</v>
      </c>
      <c r="G238" s="8" t="str">
        <f t="shared" si="3"/>
        <v>FORTUNATO FRANK</v>
      </c>
    </row>
    <row r="239" spans="1:7" x14ac:dyDescent="0.25">
      <c r="A239" s="8">
        <v>42881.977326388886</v>
      </c>
      <c r="B239" t="s">
        <v>594</v>
      </c>
      <c r="C239" t="s">
        <v>830</v>
      </c>
      <c r="D239" s="141">
        <v>1540000</v>
      </c>
      <c r="E239" t="s">
        <v>458</v>
      </c>
      <c r="F239" s="20" t="s">
        <v>459</v>
      </c>
      <c r="G239" s="8" t="str">
        <f t="shared" si="3"/>
        <v>HELVIE ADAM</v>
      </c>
    </row>
    <row r="240" spans="1:7" x14ac:dyDescent="0.25">
      <c r="A240" s="8">
        <v>42881.979409722226</v>
      </c>
      <c r="B240" t="s">
        <v>369</v>
      </c>
      <c r="C240" t="s">
        <v>809</v>
      </c>
      <c r="D240" s="141">
        <v>3010000</v>
      </c>
      <c r="E240" t="s">
        <v>402</v>
      </c>
      <c r="F240" s="20" t="s">
        <v>403</v>
      </c>
      <c r="G240" s="8" t="str">
        <f t="shared" si="3"/>
        <v>SULLIVAN BRANDON</v>
      </c>
    </row>
    <row r="241" spans="1:7" x14ac:dyDescent="0.25">
      <c r="A241" s="8">
        <v>42881.985069444447</v>
      </c>
      <c r="B241" t="s">
        <v>605</v>
      </c>
      <c r="C241" t="s">
        <v>831</v>
      </c>
      <c r="D241" s="141">
        <v>2540000</v>
      </c>
      <c r="E241" t="s">
        <v>758</v>
      </c>
      <c r="F241" s="20" t="s">
        <v>759</v>
      </c>
      <c r="G241" s="8" t="str">
        <f t="shared" si="3"/>
        <v>MCREYNOLDS KYLE</v>
      </c>
    </row>
    <row r="242" spans="1:7" x14ac:dyDescent="0.25">
      <c r="A242" s="8">
        <v>42881.994016203702</v>
      </c>
      <c r="B242" t="s">
        <v>436</v>
      </c>
      <c r="C242" t="s">
        <v>832</v>
      </c>
      <c r="D242" s="141">
        <v>2440000</v>
      </c>
      <c r="E242" t="s">
        <v>525</v>
      </c>
      <c r="F242" s="20" t="s">
        <v>526</v>
      </c>
      <c r="G242" s="8" t="str">
        <f t="shared" si="3"/>
        <v>LOPES KIMBERLY</v>
      </c>
    </row>
    <row r="243" spans="1:7" x14ac:dyDescent="0.25">
      <c r="A243" s="8">
        <v>42881.99417824074</v>
      </c>
      <c r="B243" t="s">
        <v>514</v>
      </c>
      <c r="C243" t="s">
        <v>831</v>
      </c>
      <c r="D243" s="141">
        <v>2540000</v>
      </c>
      <c r="E243" t="s">
        <v>758</v>
      </c>
      <c r="F243" s="20" t="s">
        <v>759</v>
      </c>
      <c r="G243" s="8" t="str">
        <f t="shared" si="3"/>
        <v>MCREYNOLDS KYLE</v>
      </c>
    </row>
    <row r="244" spans="1:7" x14ac:dyDescent="0.25">
      <c r="A244" s="8">
        <v>42881.997233796297</v>
      </c>
      <c r="B244" t="s">
        <v>603</v>
      </c>
      <c r="C244" t="s">
        <v>833</v>
      </c>
      <c r="D244" s="141">
        <v>2260000</v>
      </c>
      <c r="E244" t="s">
        <v>523</v>
      </c>
      <c r="F244" s="20" t="s">
        <v>524</v>
      </c>
      <c r="G244" s="8" t="str">
        <f t="shared" si="3"/>
        <v>ARVIDSON DANIEL</v>
      </c>
    </row>
    <row r="245" spans="1:7" x14ac:dyDescent="0.25">
      <c r="A245" s="8">
        <v>42882.00744212963</v>
      </c>
      <c r="B245" t="s">
        <v>608</v>
      </c>
      <c r="C245" t="s">
        <v>834</v>
      </c>
      <c r="D245" s="141">
        <v>3000000</v>
      </c>
      <c r="E245" t="s">
        <v>481</v>
      </c>
      <c r="F245" s="20" t="s">
        <v>482</v>
      </c>
      <c r="G245" s="8" t="str">
        <f t="shared" si="3"/>
        <v>FORTUNATO FRANK</v>
      </c>
    </row>
    <row r="246" spans="1:7" x14ac:dyDescent="0.25">
      <c r="A246" s="8">
        <v>42882.014282407406</v>
      </c>
      <c r="B246" t="s">
        <v>632</v>
      </c>
      <c r="C246" t="s">
        <v>835</v>
      </c>
      <c r="D246" s="141">
        <v>1540000</v>
      </c>
      <c r="E246" t="s">
        <v>458</v>
      </c>
      <c r="F246" s="20" t="s">
        <v>459</v>
      </c>
      <c r="G246" s="8" t="str">
        <f t="shared" si="3"/>
        <v>HELVIE ADAM</v>
      </c>
    </row>
    <row r="247" spans="1:7" x14ac:dyDescent="0.25">
      <c r="A247" s="8">
        <v>42882.018819444442</v>
      </c>
      <c r="B247" t="s">
        <v>370</v>
      </c>
      <c r="C247" t="s">
        <v>627</v>
      </c>
      <c r="D247" s="141">
        <v>3010000</v>
      </c>
      <c r="E247" t="s">
        <v>402</v>
      </c>
      <c r="F247" s="20" t="s">
        <v>403</v>
      </c>
      <c r="G247" s="8" t="str">
        <f t="shared" si="3"/>
        <v>SULLIVAN BRANDON</v>
      </c>
    </row>
    <row r="248" spans="1:7" x14ac:dyDescent="0.25">
      <c r="A248" s="8">
        <v>42882.037546296298</v>
      </c>
      <c r="B248" t="s">
        <v>601</v>
      </c>
      <c r="C248" t="s">
        <v>836</v>
      </c>
      <c r="D248" s="141">
        <v>2440000</v>
      </c>
      <c r="E248" t="s">
        <v>525</v>
      </c>
      <c r="F248" s="20" t="s">
        <v>526</v>
      </c>
      <c r="G248" s="8" t="str">
        <f t="shared" si="3"/>
        <v>LOPES KIMBERLY</v>
      </c>
    </row>
    <row r="249" spans="1:7" x14ac:dyDescent="0.25">
      <c r="A249" s="8">
        <v>42882.038275462961</v>
      </c>
      <c r="B249" t="s">
        <v>624</v>
      </c>
      <c r="C249" t="s">
        <v>837</v>
      </c>
      <c r="D249" s="141">
        <v>2260000</v>
      </c>
      <c r="E249" t="s">
        <v>523</v>
      </c>
      <c r="F249" s="20" t="s">
        <v>524</v>
      </c>
      <c r="G249" s="8" t="str">
        <f t="shared" si="3"/>
        <v>ARVIDSON DANIEL</v>
      </c>
    </row>
    <row r="250" spans="1:7" x14ac:dyDescent="0.25">
      <c r="A250" s="8">
        <v>42882.047766203701</v>
      </c>
      <c r="B250" t="s">
        <v>594</v>
      </c>
      <c r="C250" t="s">
        <v>838</v>
      </c>
      <c r="D250" s="141">
        <v>1540000</v>
      </c>
      <c r="E250" t="s">
        <v>458</v>
      </c>
      <c r="F250" s="20" t="s">
        <v>459</v>
      </c>
      <c r="G250" s="8" t="str">
        <f t="shared" si="3"/>
        <v>HELVIE ADAM</v>
      </c>
    </row>
    <row r="251" spans="1:7" x14ac:dyDescent="0.25">
      <c r="A251" s="8">
        <v>42882.049062500002</v>
      </c>
      <c r="B251" t="s">
        <v>513</v>
      </c>
      <c r="C251" t="s">
        <v>839</v>
      </c>
      <c r="D251" s="141">
        <v>3000000</v>
      </c>
      <c r="E251" t="s">
        <v>481</v>
      </c>
      <c r="F251" s="20" t="s">
        <v>482</v>
      </c>
      <c r="G251" s="8" t="str">
        <f t="shared" si="3"/>
        <v>FORTUNATO FRANK</v>
      </c>
    </row>
    <row r="252" spans="1:7" x14ac:dyDescent="0.25">
      <c r="A252" s="8">
        <v>42882.06113425926</v>
      </c>
      <c r="B252" t="s">
        <v>369</v>
      </c>
      <c r="C252" t="s">
        <v>809</v>
      </c>
      <c r="D252" s="141">
        <v>3010000</v>
      </c>
      <c r="E252" t="s">
        <v>402</v>
      </c>
      <c r="F252" s="20" t="s">
        <v>403</v>
      </c>
      <c r="G252" s="8" t="str">
        <f t="shared" si="3"/>
        <v>SULLIVAN BRANDON</v>
      </c>
    </row>
    <row r="253" spans="1:7" x14ac:dyDescent="0.25">
      <c r="A253" s="8">
        <v>42882.070347222223</v>
      </c>
      <c r="B253" t="s">
        <v>603</v>
      </c>
      <c r="C253" t="s">
        <v>840</v>
      </c>
      <c r="D253" s="141">
        <v>2260000</v>
      </c>
      <c r="E253" t="s">
        <v>523</v>
      </c>
      <c r="F253" s="20" t="s">
        <v>524</v>
      </c>
      <c r="G253" s="8" t="str">
        <f t="shared" si="3"/>
        <v>ARVIDSON DANIEL</v>
      </c>
    </row>
    <row r="254" spans="1:7" x14ac:dyDescent="0.25">
      <c r="A254" s="8">
        <v>42882.071944444448</v>
      </c>
      <c r="B254" t="s">
        <v>436</v>
      </c>
      <c r="C254" t="s">
        <v>841</v>
      </c>
      <c r="D254" s="141">
        <v>2440000</v>
      </c>
      <c r="E254" t="s">
        <v>525</v>
      </c>
      <c r="F254" s="20" t="s">
        <v>526</v>
      </c>
      <c r="G254" s="8" t="str">
        <f t="shared" si="3"/>
        <v>LOPES KIMBERLY</v>
      </c>
    </row>
    <row r="255" spans="1:7" x14ac:dyDescent="0.25">
      <c r="A255" s="8">
        <v>42882.091122685182</v>
      </c>
      <c r="B255" t="s">
        <v>608</v>
      </c>
      <c r="C255" t="s">
        <v>842</v>
      </c>
      <c r="D255" s="141">
        <v>3000000</v>
      </c>
      <c r="E255" t="s">
        <v>481</v>
      </c>
      <c r="F255" s="20" t="s">
        <v>482</v>
      </c>
      <c r="G255" s="8" t="str">
        <f t="shared" si="3"/>
        <v>FORTUNATO FRANK</v>
      </c>
    </row>
    <row r="256" spans="1:7" x14ac:dyDescent="0.25">
      <c r="A256" s="8">
        <v>42882.095868055556</v>
      </c>
      <c r="B256" t="s">
        <v>370</v>
      </c>
      <c r="C256" t="s">
        <v>627</v>
      </c>
      <c r="D256" s="141">
        <v>3010000</v>
      </c>
      <c r="E256" t="s">
        <v>402</v>
      </c>
      <c r="F256" s="20" t="s">
        <v>403</v>
      </c>
      <c r="G256" s="8" t="str">
        <f t="shared" si="3"/>
        <v>SULLIVAN BRANDON</v>
      </c>
    </row>
    <row r="257" spans="1:7" x14ac:dyDescent="0.25">
      <c r="A257" s="8">
        <v>42882.104456018518</v>
      </c>
      <c r="B257" t="s">
        <v>370</v>
      </c>
      <c r="C257" t="s">
        <v>627</v>
      </c>
      <c r="D257" s="141">
        <v>3010000</v>
      </c>
      <c r="E257" t="s">
        <v>402</v>
      </c>
      <c r="F257" s="20" t="s">
        <v>403</v>
      </c>
      <c r="G257" s="8" t="str">
        <f t="shared" si="3"/>
        <v>SULLIVAN BRANDON</v>
      </c>
    </row>
    <row r="258" spans="1:7" x14ac:dyDescent="0.25">
      <c r="A258" s="8">
        <v>42882.107453703706</v>
      </c>
      <c r="B258" t="s">
        <v>369</v>
      </c>
      <c r="C258" t="s">
        <v>809</v>
      </c>
      <c r="D258" s="141">
        <v>3010000</v>
      </c>
      <c r="E258" t="s">
        <v>402</v>
      </c>
      <c r="F258" s="20" t="s">
        <v>403</v>
      </c>
      <c r="G258" s="8" t="str">
        <f t="shared" si="3"/>
        <v>SULLIVAN BRANDON</v>
      </c>
    </row>
    <row r="259" spans="1:7" x14ac:dyDescent="0.25">
      <c r="A259" s="8">
        <v>42878.966261574074</v>
      </c>
      <c r="B259" t="s">
        <v>410</v>
      </c>
      <c r="C259" t="s">
        <v>483</v>
      </c>
      <c r="D259" s="141">
        <v>2680000</v>
      </c>
      <c r="E259" t="s">
        <v>437</v>
      </c>
      <c r="F259" s="20" t="s">
        <v>438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484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475</v>
      </c>
      <c r="C261" t="s">
        <v>485</v>
      </c>
      <c r="D261" s="141">
        <v>2610000</v>
      </c>
      <c r="E261" t="s">
        <v>439</v>
      </c>
      <c r="F261" s="20" t="s">
        <v>440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409</v>
      </c>
      <c r="C262" t="s">
        <v>477</v>
      </c>
      <c r="D262" s="141">
        <v>2680000</v>
      </c>
      <c r="E262" t="s">
        <v>437</v>
      </c>
      <c r="F262" s="20" t="s">
        <v>438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378</v>
      </c>
      <c r="C263" t="s">
        <v>486</v>
      </c>
      <c r="D263" s="141">
        <v>2000000</v>
      </c>
      <c r="E263" t="s">
        <v>434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410</v>
      </c>
      <c r="C264" t="s">
        <v>483</v>
      </c>
      <c r="D264" s="141">
        <v>2680000</v>
      </c>
      <c r="E264" t="s">
        <v>437</v>
      </c>
      <c r="F264" s="20" t="s">
        <v>438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433</v>
      </c>
      <c r="C265" t="s">
        <v>487</v>
      </c>
      <c r="D265" s="141">
        <v>2140000</v>
      </c>
      <c r="E265" t="s">
        <v>428</v>
      </c>
      <c r="F265" s="20" t="s">
        <v>429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381</v>
      </c>
      <c r="C266" t="s">
        <v>486</v>
      </c>
      <c r="D266" s="141">
        <v>2000000</v>
      </c>
      <c r="E266" t="s">
        <v>434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478</v>
      </c>
      <c r="C267" t="s">
        <v>488</v>
      </c>
      <c r="D267" s="141">
        <v>3000000</v>
      </c>
      <c r="E267" t="s">
        <v>481</v>
      </c>
      <c r="F267" s="20" t="s">
        <v>482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409</v>
      </c>
      <c r="C268" t="s">
        <v>477</v>
      </c>
      <c r="D268" s="141">
        <v>2680000</v>
      </c>
      <c r="E268" t="s">
        <v>437</v>
      </c>
      <c r="F268" s="20" t="s">
        <v>438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489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479</v>
      </c>
      <c r="C270" t="s">
        <v>490</v>
      </c>
      <c r="D270" s="141">
        <v>2610000</v>
      </c>
      <c r="E270" t="s">
        <v>439</v>
      </c>
      <c r="F270" s="20" t="s">
        <v>440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491</v>
      </c>
      <c r="D271" s="141">
        <v>2140000</v>
      </c>
      <c r="E271" t="s">
        <v>428</v>
      </c>
      <c r="F271" s="20" t="s">
        <v>429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476</v>
      </c>
      <c r="C272" t="s">
        <v>492</v>
      </c>
      <c r="D272" s="141">
        <v>3000000</v>
      </c>
      <c r="E272" t="s">
        <v>481</v>
      </c>
      <c r="F272" s="20" t="s">
        <v>482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410</v>
      </c>
      <c r="C273" t="s">
        <v>483</v>
      </c>
      <c r="D273" s="141">
        <v>2680000</v>
      </c>
      <c r="E273" t="s">
        <v>437</v>
      </c>
      <c r="F273" s="20" t="s">
        <v>438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493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475</v>
      </c>
      <c r="C275" t="s">
        <v>494</v>
      </c>
      <c r="D275" s="141">
        <v>2610000</v>
      </c>
      <c r="E275" t="s">
        <v>439</v>
      </c>
      <c r="F275" s="20" t="s">
        <v>440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478</v>
      </c>
      <c r="C276" t="s">
        <v>495</v>
      </c>
      <c r="D276" s="141">
        <v>3000000</v>
      </c>
      <c r="E276" t="s">
        <v>481</v>
      </c>
      <c r="F276" s="20" t="s">
        <v>482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479</v>
      </c>
      <c r="C277" t="s">
        <v>496</v>
      </c>
      <c r="D277" s="141">
        <v>2610000</v>
      </c>
      <c r="E277" t="s">
        <v>439</v>
      </c>
      <c r="F277" s="20" t="s">
        <v>440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414</v>
      </c>
      <c r="C278" t="s">
        <v>415</v>
      </c>
      <c r="D278" s="141">
        <v>2970000</v>
      </c>
      <c r="E278" t="s">
        <v>388</v>
      </c>
      <c r="F278" s="20" t="s">
        <v>389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413</v>
      </c>
      <c r="C279" t="s">
        <v>419</v>
      </c>
      <c r="D279" s="141">
        <v>1810000</v>
      </c>
      <c r="E279" t="s">
        <v>374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420</v>
      </c>
      <c r="D280" s="141">
        <v>3090000</v>
      </c>
      <c r="E280" t="s">
        <v>384</v>
      </c>
      <c r="F280" s="20" t="s">
        <v>385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410</v>
      </c>
      <c r="C281" t="s">
        <v>416</v>
      </c>
      <c r="D281" s="141">
        <v>3010000</v>
      </c>
      <c r="E281" t="s">
        <v>402</v>
      </c>
      <c r="F281" s="20" t="s">
        <v>403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417</v>
      </c>
      <c r="C282" t="s">
        <v>418</v>
      </c>
      <c r="D282" s="141">
        <v>2970000</v>
      </c>
      <c r="E282" t="s">
        <v>388</v>
      </c>
      <c r="F282" s="20" t="s">
        <v>389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409</v>
      </c>
      <c r="C283" t="s">
        <v>416</v>
      </c>
      <c r="D283" s="141">
        <v>3010000</v>
      </c>
      <c r="E283" t="s">
        <v>402</v>
      </c>
      <c r="F283" s="20" t="s">
        <v>403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411</v>
      </c>
      <c r="C284" t="s">
        <v>421</v>
      </c>
      <c r="D284" s="141">
        <v>3030000</v>
      </c>
      <c r="E284" t="s">
        <v>390</v>
      </c>
      <c r="F284" s="20" t="s">
        <v>373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409</v>
      </c>
      <c r="C285" t="s">
        <v>416</v>
      </c>
      <c r="D285" s="141">
        <v>3010000</v>
      </c>
      <c r="E285" t="s">
        <v>402</v>
      </c>
      <c r="F285" s="20" t="s">
        <v>403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414</v>
      </c>
      <c r="C286" t="s">
        <v>415</v>
      </c>
      <c r="D286" s="141">
        <v>2970000</v>
      </c>
      <c r="E286" t="s">
        <v>388</v>
      </c>
      <c r="F286" s="20" t="s">
        <v>389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417</v>
      </c>
      <c r="C287" t="s">
        <v>418</v>
      </c>
      <c r="D287" s="141">
        <v>2970000</v>
      </c>
      <c r="E287" t="s">
        <v>388</v>
      </c>
      <c r="F287" s="20" t="s">
        <v>389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422</v>
      </c>
      <c r="D288" s="141">
        <v>3090000</v>
      </c>
      <c r="E288" t="s">
        <v>384</v>
      </c>
      <c r="F288" s="20" t="s">
        <v>385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414</v>
      </c>
      <c r="C289" t="s">
        <v>415</v>
      </c>
      <c r="D289" s="141">
        <v>2970000</v>
      </c>
      <c r="E289" t="s">
        <v>388</v>
      </c>
      <c r="F289" s="20" t="s">
        <v>389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410</v>
      </c>
      <c r="C290" t="s">
        <v>416</v>
      </c>
      <c r="D290" s="141">
        <v>3010000</v>
      </c>
      <c r="E290" t="s">
        <v>402</v>
      </c>
      <c r="F290" s="20" t="s">
        <v>403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410</v>
      </c>
      <c r="C291" t="s">
        <v>416</v>
      </c>
      <c r="D291" s="141">
        <v>3010000</v>
      </c>
      <c r="E291" t="s">
        <v>402</v>
      </c>
      <c r="F291" s="20" t="s">
        <v>403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410</v>
      </c>
      <c r="C292" t="s">
        <v>416</v>
      </c>
      <c r="D292" s="141">
        <v>3010000</v>
      </c>
      <c r="E292" t="s">
        <v>402</v>
      </c>
      <c r="F292" s="20" t="s">
        <v>403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410</v>
      </c>
      <c r="C293" t="s">
        <v>416</v>
      </c>
      <c r="D293" s="141">
        <v>3010000</v>
      </c>
      <c r="E293" t="s">
        <v>402</v>
      </c>
      <c r="F293" s="20" t="s">
        <v>403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417</v>
      </c>
      <c r="C294" t="s">
        <v>418</v>
      </c>
      <c r="D294" s="141">
        <v>2970000</v>
      </c>
      <c r="E294" t="s">
        <v>388</v>
      </c>
      <c r="F294" s="20" t="s">
        <v>389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395</v>
      </c>
      <c r="D295" s="141">
        <v>1800000</v>
      </c>
      <c r="E295" t="s">
        <v>386</v>
      </c>
      <c r="F295" s="20" t="s">
        <v>387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372</v>
      </c>
      <c r="C296" t="s">
        <v>396</v>
      </c>
      <c r="D296" s="141">
        <v>3030000</v>
      </c>
      <c r="E296" t="s">
        <v>390</v>
      </c>
      <c r="F296" s="20" t="s">
        <v>373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383</v>
      </c>
      <c r="C297" t="s">
        <v>379</v>
      </c>
      <c r="D297" s="141">
        <v>2970000</v>
      </c>
      <c r="E297" t="s">
        <v>388</v>
      </c>
      <c r="F297" s="20" t="s">
        <v>389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397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377</v>
      </c>
      <c r="C299" t="s">
        <v>379</v>
      </c>
      <c r="D299" s="141">
        <v>2970000</v>
      </c>
      <c r="E299" t="s">
        <v>388</v>
      </c>
      <c r="F299" s="20" t="s">
        <v>389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378</v>
      </c>
      <c r="C300" t="s">
        <v>382</v>
      </c>
      <c r="D300" s="141">
        <v>3130000</v>
      </c>
      <c r="E300" t="s">
        <v>393</v>
      </c>
      <c r="F300" s="20" t="s">
        <v>394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377</v>
      </c>
      <c r="C301" t="s">
        <v>379</v>
      </c>
      <c r="D301" s="141">
        <v>2970000</v>
      </c>
      <c r="E301" t="s">
        <v>388</v>
      </c>
      <c r="F301" s="20" t="s">
        <v>389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380</v>
      </c>
      <c r="D302" s="141">
        <v>3040000</v>
      </c>
      <c r="E302" t="s">
        <v>391</v>
      </c>
      <c r="F302" s="20" t="s">
        <v>392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380</v>
      </c>
      <c r="D303" s="141">
        <v>3040000</v>
      </c>
      <c r="E303" t="s">
        <v>391</v>
      </c>
      <c r="F303" s="20" t="s">
        <v>392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398</v>
      </c>
      <c r="D304" s="141">
        <v>3030000</v>
      </c>
      <c r="E304" t="s">
        <v>390</v>
      </c>
      <c r="F304" s="20" t="s">
        <v>373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383</v>
      </c>
      <c r="C305" t="s">
        <v>379</v>
      </c>
      <c r="D305" s="141">
        <v>2970000</v>
      </c>
      <c r="E305" t="s">
        <v>388</v>
      </c>
      <c r="F305" s="20" t="s">
        <v>389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377</v>
      </c>
      <c r="C306" t="s">
        <v>379</v>
      </c>
      <c r="D306" s="141">
        <v>2970000</v>
      </c>
      <c r="E306" t="s">
        <v>388</v>
      </c>
      <c r="F306" s="20" t="s">
        <v>389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380</v>
      </c>
      <c r="D307" s="141">
        <v>3040000</v>
      </c>
      <c r="E307" t="s">
        <v>391</v>
      </c>
      <c r="F307" s="20" t="s">
        <v>392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381</v>
      </c>
      <c r="C308" t="s">
        <v>399</v>
      </c>
      <c r="D308" s="141">
        <v>3130000</v>
      </c>
      <c r="E308" t="s">
        <v>393</v>
      </c>
      <c r="F308" s="20" t="s">
        <v>394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380</v>
      </c>
      <c r="D309" s="141">
        <v>3040000</v>
      </c>
      <c r="E309" t="s">
        <v>391</v>
      </c>
      <c r="F309" s="20" t="s">
        <v>392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383</v>
      </c>
      <c r="C310" t="s">
        <v>379</v>
      </c>
      <c r="D310" s="141">
        <v>2970000</v>
      </c>
      <c r="E310" t="s">
        <v>388</v>
      </c>
      <c r="F310" s="20" t="s">
        <v>389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377</v>
      </c>
      <c r="C311" t="s">
        <v>379</v>
      </c>
      <c r="D311" s="141">
        <v>2970000</v>
      </c>
      <c r="E311" t="s">
        <v>388</v>
      </c>
      <c r="F311" s="20" t="s">
        <v>389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375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52.51</v>
      </c>
      <c r="B2" s="179">
        <v>0.75</v>
      </c>
      <c r="C2" s="179">
        <v>46.09</v>
      </c>
      <c r="D2" s="8">
        <v>42881</v>
      </c>
      <c r="E2" s="179">
        <v>0.79</v>
      </c>
      <c r="F2" s="179" t="s">
        <v>376</v>
      </c>
      <c r="G2" s="179">
        <v>343.35</v>
      </c>
      <c r="H2" s="179">
        <v>7.3000000000000001E-3</v>
      </c>
      <c r="I2" s="179">
        <v>0.36</v>
      </c>
      <c r="J2" s="179" t="s">
        <v>376</v>
      </c>
      <c r="K2" s="179">
        <v>1009.37</v>
      </c>
      <c r="L2" s="179" t="s">
        <v>551</v>
      </c>
      <c r="M2" s="179">
        <v>52.51</v>
      </c>
      <c r="N2" s="179">
        <v>1495778400</v>
      </c>
      <c r="O2" s="179">
        <v>4.04</v>
      </c>
      <c r="P2" s="179">
        <v>75</v>
      </c>
      <c r="Q2" s="179">
        <v>1.43</v>
      </c>
      <c r="R2"/>
    </row>
    <row r="3" spans="1:18" x14ac:dyDescent="0.25">
      <c r="A3" s="179">
        <v>48.8</v>
      </c>
      <c r="B3" s="179">
        <v>0.67</v>
      </c>
      <c r="C3" s="179">
        <v>45.27</v>
      </c>
      <c r="D3" s="8">
        <v>42881.041666666664</v>
      </c>
      <c r="E3" s="179">
        <v>0.88</v>
      </c>
      <c r="F3" s="179" t="s">
        <v>376</v>
      </c>
      <c r="G3" s="179">
        <v>344.09</v>
      </c>
      <c r="H3" s="179">
        <v>1.0800000000000001E-2</v>
      </c>
      <c r="I3" s="179">
        <v>0.52</v>
      </c>
      <c r="J3" s="179" t="s">
        <v>376</v>
      </c>
      <c r="K3" s="179">
        <v>1009.95</v>
      </c>
      <c r="L3" s="179" t="s">
        <v>552</v>
      </c>
      <c r="M3" s="179">
        <v>48.8</v>
      </c>
      <c r="N3" s="179">
        <v>1495782000</v>
      </c>
      <c r="O3" s="179">
        <v>4.17</v>
      </c>
      <c r="P3" s="179">
        <v>38</v>
      </c>
      <c r="Q3" s="179">
        <v>2.2000000000000002</v>
      </c>
      <c r="R3"/>
    </row>
    <row r="4" spans="1:18" x14ac:dyDescent="0.25">
      <c r="A4" s="179">
        <v>48.4</v>
      </c>
      <c r="B4" s="179">
        <v>0.6</v>
      </c>
      <c r="C4" s="179">
        <v>45.75</v>
      </c>
      <c r="D4" s="8">
        <v>42881.083333333336</v>
      </c>
      <c r="E4" s="179">
        <v>0.9</v>
      </c>
      <c r="F4" s="179" t="s">
        <v>376</v>
      </c>
      <c r="G4" s="179">
        <v>344.84</v>
      </c>
      <c r="H4" s="179">
        <v>1.43E-2</v>
      </c>
      <c r="I4" s="179">
        <v>0.56000000000000005</v>
      </c>
      <c r="J4" s="179" t="s">
        <v>376</v>
      </c>
      <c r="K4" s="179">
        <v>1010.52</v>
      </c>
      <c r="L4" s="179" t="s">
        <v>552</v>
      </c>
      <c r="M4" s="179">
        <v>48.4</v>
      </c>
      <c r="N4" s="179">
        <v>1495785600</v>
      </c>
      <c r="O4" s="179">
        <v>4.3</v>
      </c>
      <c r="P4" s="179">
        <v>215</v>
      </c>
      <c r="Q4" s="179">
        <v>2.08</v>
      </c>
      <c r="R4"/>
    </row>
    <row r="5" spans="1:18" x14ac:dyDescent="0.25">
      <c r="A5" s="179">
        <v>47.37</v>
      </c>
      <c r="B5" s="179">
        <v>0.55000000000000004</v>
      </c>
      <c r="C5" s="179">
        <v>45.3</v>
      </c>
      <c r="D5" s="8">
        <v>42881.125</v>
      </c>
      <c r="E5" s="179">
        <v>0.92</v>
      </c>
      <c r="F5" s="179" t="s">
        <v>376</v>
      </c>
      <c r="G5" s="179">
        <v>345.58</v>
      </c>
      <c r="H5" s="179">
        <v>1.78E-2</v>
      </c>
      <c r="I5" s="179">
        <v>0.59</v>
      </c>
      <c r="J5" s="179" t="s">
        <v>376</v>
      </c>
      <c r="K5" s="179">
        <v>1011.1</v>
      </c>
      <c r="L5" s="179" t="s">
        <v>552</v>
      </c>
      <c r="M5" s="179">
        <v>47.37</v>
      </c>
      <c r="N5" s="179">
        <v>1495789200</v>
      </c>
      <c r="O5" s="179">
        <v>3.97</v>
      </c>
      <c r="P5" s="179">
        <v>211</v>
      </c>
      <c r="Q5" s="179">
        <v>2.2999999999999998</v>
      </c>
      <c r="R5"/>
    </row>
    <row r="6" spans="1:18" x14ac:dyDescent="0.25">
      <c r="A6" s="179">
        <v>47.07</v>
      </c>
      <c r="B6" s="179">
        <v>0.6</v>
      </c>
      <c r="C6" s="179">
        <v>45.19</v>
      </c>
      <c r="D6" s="8">
        <v>42881.166666666664</v>
      </c>
      <c r="E6" s="179">
        <v>0.93</v>
      </c>
      <c r="F6" s="179" t="s">
        <v>376</v>
      </c>
      <c r="G6" s="179">
        <v>346.37</v>
      </c>
      <c r="H6" s="179">
        <v>1.3899999999999999E-2</v>
      </c>
      <c r="I6" s="179">
        <v>0.55000000000000004</v>
      </c>
      <c r="J6" s="179" t="s">
        <v>376</v>
      </c>
      <c r="K6" s="179">
        <v>1011.76</v>
      </c>
      <c r="L6" s="179" t="s">
        <v>552</v>
      </c>
      <c r="M6" s="179">
        <v>47.07</v>
      </c>
      <c r="N6" s="179">
        <v>1495792800</v>
      </c>
      <c r="O6" s="179">
        <v>10</v>
      </c>
      <c r="P6" s="179">
        <v>210</v>
      </c>
      <c r="Q6" s="179">
        <v>2.5099999999999998</v>
      </c>
      <c r="R6"/>
    </row>
    <row r="7" spans="1:18" x14ac:dyDescent="0.25">
      <c r="A7" s="179">
        <v>48.13</v>
      </c>
      <c r="B7" s="179">
        <v>0.66</v>
      </c>
      <c r="C7" s="179">
        <v>46.06</v>
      </c>
      <c r="D7" s="8">
        <v>42881.208333333336</v>
      </c>
      <c r="E7" s="179">
        <v>0.93</v>
      </c>
      <c r="F7" s="179" t="s">
        <v>376</v>
      </c>
      <c r="G7" s="179">
        <v>347.17</v>
      </c>
      <c r="H7" s="179">
        <v>7.1000000000000004E-3</v>
      </c>
      <c r="I7" s="179">
        <v>0.35</v>
      </c>
      <c r="J7" s="179" t="s">
        <v>376</v>
      </c>
      <c r="K7" s="179">
        <v>1012.37</v>
      </c>
      <c r="L7" s="179" t="s">
        <v>551</v>
      </c>
      <c r="M7" s="179">
        <v>48.13</v>
      </c>
      <c r="N7" s="179">
        <v>1495796400</v>
      </c>
      <c r="O7" s="179">
        <v>5.48</v>
      </c>
      <c r="P7" s="179">
        <v>222</v>
      </c>
      <c r="Q7" s="179">
        <v>2.34</v>
      </c>
      <c r="R7"/>
    </row>
    <row r="8" spans="1:18" x14ac:dyDescent="0.25">
      <c r="A8" s="179">
        <v>48.59</v>
      </c>
      <c r="B8" s="179">
        <v>0.69</v>
      </c>
      <c r="C8" s="179">
        <v>46.3</v>
      </c>
      <c r="D8" s="8">
        <v>42881.25</v>
      </c>
      <c r="E8" s="179">
        <v>0.92</v>
      </c>
      <c r="F8" s="179" t="s">
        <v>443</v>
      </c>
      <c r="G8" s="179">
        <v>347.87</v>
      </c>
      <c r="H8" s="179">
        <v>1.8E-3</v>
      </c>
      <c r="I8" s="179">
        <v>0.04</v>
      </c>
      <c r="J8" s="179" t="s">
        <v>376</v>
      </c>
      <c r="K8" s="179">
        <v>1012.8</v>
      </c>
      <c r="L8" s="179" t="s">
        <v>550</v>
      </c>
      <c r="M8" s="179">
        <v>48.59</v>
      </c>
      <c r="N8" s="179">
        <v>1495800000</v>
      </c>
      <c r="O8" s="179">
        <v>4.03</v>
      </c>
      <c r="P8" s="179">
        <v>222</v>
      </c>
      <c r="Q8" s="179">
        <v>0.7</v>
      </c>
      <c r="R8"/>
    </row>
    <row r="9" spans="1:18" x14ac:dyDescent="0.25">
      <c r="A9" s="179">
        <v>49.1</v>
      </c>
      <c r="B9" s="179">
        <v>0.63</v>
      </c>
      <c r="C9" s="179">
        <v>46.45</v>
      </c>
      <c r="D9" s="8">
        <v>42881.291666666664</v>
      </c>
      <c r="E9" s="179">
        <v>0.91</v>
      </c>
      <c r="F9" s="179" t="s">
        <v>443</v>
      </c>
      <c r="G9" s="179">
        <v>348.6</v>
      </c>
      <c r="H9" s="179">
        <v>0</v>
      </c>
      <c r="I9" s="179">
        <v>0</v>
      </c>
      <c r="J9" s="179"/>
      <c r="K9" s="179">
        <v>1012.8</v>
      </c>
      <c r="L9" s="179" t="s">
        <v>550</v>
      </c>
      <c r="M9" s="179">
        <v>49.1</v>
      </c>
      <c r="N9" s="179">
        <v>1495803600</v>
      </c>
      <c r="O9" s="179">
        <v>3.35</v>
      </c>
      <c r="P9" s="179">
        <v>99</v>
      </c>
      <c r="Q9" s="179">
        <v>0.43</v>
      </c>
      <c r="R9"/>
    </row>
    <row r="10" spans="1:18" x14ac:dyDescent="0.25">
      <c r="A10" s="179">
        <v>51.89</v>
      </c>
      <c r="B10" s="179">
        <v>0.56000000000000005</v>
      </c>
      <c r="C10" s="179">
        <v>47.23</v>
      </c>
      <c r="D10" s="8">
        <v>42881.333333333336</v>
      </c>
      <c r="E10" s="179">
        <v>0.84</v>
      </c>
      <c r="F10" s="179" t="s">
        <v>443</v>
      </c>
      <c r="G10" s="179">
        <v>349.22</v>
      </c>
      <c r="H10" s="179">
        <v>0</v>
      </c>
      <c r="I10" s="179">
        <v>0</v>
      </c>
      <c r="J10" s="179"/>
      <c r="K10" s="179">
        <v>1012.43</v>
      </c>
      <c r="L10" s="179" t="s">
        <v>442</v>
      </c>
      <c r="M10" s="179">
        <v>51.89</v>
      </c>
      <c r="N10" s="179">
        <v>1495807200</v>
      </c>
      <c r="O10" s="179">
        <v>3.04</v>
      </c>
      <c r="P10" s="179">
        <v>355</v>
      </c>
      <c r="Q10" s="179">
        <v>0.53</v>
      </c>
      <c r="R10"/>
    </row>
    <row r="11" spans="1:18" x14ac:dyDescent="0.25">
      <c r="A11" s="179">
        <v>53.82</v>
      </c>
      <c r="B11" s="179">
        <v>0.51</v>
      </c>
      <c r="C11" s="179">
        <v>46.68</v>
      </c>
      <c r="D11" s="8">
        <v>42881.375</v>
      </c>
      <c r="E11" s="179">
        <v>0.77</v>
      </c>
      <c r="F11" s="179" t="s">
        <v>443</v>
      </c>
      <c r="G11" s="179">
        <v>349.2</v>
      </c>
      <c r="H11" s="179">
        <v>0</v>
      </c>
      <c r="I11" s="179">
        <v>0</v>
      </c>
      <c r="J11" s="179"/>
      <c r="K11" s="179">
        <v>1011.73</v>
      </c>
      <c r="L11" s="179" t="s">
        <v>442</v>
      </c>
      <c r="M11" s="179">
        <v>53.82</v>
      </c>
      <c r="N11" s="179">
        <v>1495810800</v>
      </c>
      <c r="O11" s="179">
        <v>2.91</v>
      </c>
      <c r="P11" s="179">
        <v>62</v>
      </c>
      <c r="Q11" s="179">
        <v>0.7</v>
      </c>
      <c r="R11"/>
    </row>
    <row r="12" spans="1:18" x14ac:dyDescent="0.25">
      <c r="A12" s="179">
        <v>57.28</v>
      </c>
      <c r="B12" s="179">
        <v>0.52</v>
      </c>
      <c r="C12" s="179">
        <v>47.04</v>
      </c>
      <c r="D12" s="8">
        <v>42881.416666666664</v>
      </c>
      <c r="E12" s="179">
        <v>0.69</v>
      </c>
      <c r="F12" s="179" t="s">
        <v>443</v>
      </c>
      <c r="G12" s="179">
        <v>347.91</v>
      </c>
      <c r="H12" s="179">
        <v>0</v>
      </c>
      <c r="I12" s="179">
        <v>0</v>
      </c>
      <c r="J12" s="179"/>
      <c r="K12" s="179">
        <v>1010.71</v>
      </c>
      <c r="L12" s="179" t="s">
        <v>442</v>
      </c>
      <c r="M12" s="179">
        <v>57.28</v>
      </c>
      <c r="N12" s="179">
        <v>1495814400</v>
      </c>
      <c r="O12" s="179">
        <v>2.86</v>
      </c>
      <c r="P12" s="179">
        <v>62</v>
      </c>
      <c r="Q12" s="179">
        <v>1.75</v>
      </c>
      <c r="R12"/>
    </row>
    <row r="13" spans="1:18" x14ac:dyDescent="0.25">
      <c r="A13" s="179">
        <v>60.68</v>
      </c>
      <c r="B13" s="179">
        <v>0.63</v>
      </c>
      <c r="C13" s="179">
        <v>47.7</v>
      </c>
      <c r="D13" s="8">
        <v>42881.458333333336</v>
      </c>
      <c r="E13" s="179">
        <v>0.62</v>
      </c>
      <c r="F13" s="179" t="s">
        <v>443</v>
      </c>
      <c r="G13" s="179">
        <v>345.99</v>
      </c>
      <c r="H13" s="179">
        <v>0</v>
      </c>
      <c r="I13" s="179">
        <v>0</v>
      </c>
      <c r="J13" s="179"/>
      <c r="K13" s="179">
        <v>1009.43</v>
      </c>
      <c r="L13" s="179" t="s">
        <v>550</v>
      </c>
      <c r="M13" s="179">
        <v>60.68</v>
      </c>
      <c r="N13" s="179">
        <v>1495818000</v>
      </c>
      <c r="O13" s="179">
        <v>2.87</v>
      </c>
      <c r="P13" s="179">
        <v>66</v>
      </c>
      <c r="Q13" s="179">
        <v>2.8</v>
      </c>
      <c r="R13"/>
    </row>
    <row r="14" spans="1:18" x14ac:dyDescent="0.25">
      <c r="A14" s="179">
        <v>63.72</v>
      </c>
      <c r="B14" s="179">
        <v>0.68</v>
      </c>
      <c r="C14" s="179">
        <v>48.98</v>
      </c>
      <c r="D14" s="8">
        <v>42881.5</v>
      </c>
      <c r="E14" s="179">
        <v>0.59</v>
      </c>
      <c r="F14" s="179" t="s">
        <v>443</v>
      </c>
      <c r="G14" s="179">
        <v>344.81</v>
      </c>
      <c r="H14" s="179">
        <v>8.0000000000000004E-4</v>
      </c>
      <c r="I14" s="179">
        <v>0.01</v>
      </c>
      <c r="J14" s="179" t="s">
        <v>376</v>
      </c>
      <c r="K14" s="179">
        <v>1008.33</v>
      </c>
      <c r="L14" s="179" t="s">
        <v>550</v>
      </c>
      <c r="M14" s="179">
        <v>63.72</v>
      </c>
      <c r="N14" s="179">
        <v>1495821600</v>
      </c>
      <c r="O14" s="179">
        <v>9.7200000000000006</v>
      </c>
      <c r="P14" s="179">
        <v>45</v>
      </c>
      <c r="Q14" s="179">
        <v>3.44</v>
      </c>
      <c r="R14"/>
    </row>
    <row r="15" spans="1:18" x14ac:dyDescent="0.25">
      <c r="A15" s="179">
        <v>62.84</v>
      </c>
      <c r="B15" s="179">
        <v>0.68</v>
      </c>
      <c r="C15" s="179">
        <v>51.03</v>
      </c>
      <c r="D15" s="8">
        <v>42881.541666666664</v>
      </c>
      <c r="E15" s="179">
        <v>0.65</v>
      </c>
      <c r="F15" s="179" t="s">
        <v>376</v>
      </c>
      <c r="G15" s="179">
        <v>345.32</v>
      </c>
      <c r="H15" s="179">
        <v>5.0000000000000001E-3</v>
      </c>
      <c r="I15" s="179">
        <v>0.21</v>
      </c>
      <c r="J15" s="179" t="s">
        <v>376</v>
      </c>
      <c r="K15" s="179">
        <v>1007.42</v>
      </c>
      <c r="L15" s="179" t="s">
        <v>551</v>
      </c>
      <c r="M15" s="179">
        <v>62.84</v>
      </c>
      <c r="N15" s="179">
        <v>1495825200</v>
      </c>
      <c r="O15" s="179">
        <v>2.99</v>
      </c>
      <c r="P15" s="179">
        <v>39</v>
      </c>
      <c r="Q15" s="179">
        <v>3.22</v>
      </c>
      <c r="R15"/>
    </row>
    <row r="16" spans="1:18" x14ac:dyDescent="0.25">
      <c r="A16" s="179">
        <v>65.709999999999994</v>
      </c>
      <c r="B16" s="179">
        <v>0.66</v>
      </c>
      <c r="C16" s="179">
        <v>50.93</v>
      </c>
      <c r="D16" s="8">
        <v>42881.583333333336</v>
      </c>
      <c r="E16" s="179">
        <v>0.59</v>
      </c>
      <c r="F16" s="179" t="s">
        <v>376</v>
      </c>
      <c r="G16" s="179">
        <v>346.59</v>
      </c>
      <c r="H16" s="179">
        <v>1.03E-2</v>
      </c>
      <c r="I16" s="179">
        <v>0.51</v>
      </c>
      <c r="J16" s="179" t="s">
        <v>376</v>
      </c>
      <c r="K16" s="179">
        <v>1006.24</v>
      </c>
      <c r="L16" s="179" t="s">
        <v>552</v>
      </c>
      <c r="M16" s="179">
        <v>65.709999999999994</v>
      </c>
      <c r="N16" s="179">
        <v>1495828800</v>
      </c>
      <c r="O16" s="179">
        <v>3.02</v>
      </c>
      <c r="P16" s="179">
        <v>17</v>
      </c>
      <c r="Q16" s="179">
        <v>3</v>
      </c>
      <c r="R16"/>
    </row>
    <row r="17" spans="1:18" x14ac:dyDescent="0.25">
      <c r="A17" s="179">
        <v>68.27</v>
      </c>
      <c r="B17" s="179">
        <v>0.72</v>
      </c>
      <c r="C17" s="179">
        <v>51.7</v>
      </c>
      <c r="D17" s="8">
        <v>42881.625</v>
      </c>
      <c r="E17" s="179">
        <v>0.55000000000000004</v>
      </c>
      <c r="F17" s="179" t="s">
        <v>376</v>
      </c>
      <c r="G17" s="179">
        <v>347.13</v>
      </c>
      <c r="H17" s="179">
        <v>1.3100000000000001E-2</v>
      </c>
      <c r="I17" s="179">
        <v>0.55000000000000004</v>
      </c>
      <c r="J17" s="179" t="s">
        <v>376</v>
      </c>
      <c r="K17" s="179">
        <v>1005.39</v>
      </c>
      <c r="L17" s="179" t="s">
        <v>552</v>
      </c>
      <c r="M17" s="179">
        <v>68.27</v>
      </c>
      <c r="N17" s="179">
        <v>1495832400</v>
      </c>
      <c r="O17" s="179">
        <v>2.99</v>
      </c>
      <c r="P17" s="179">
        <v>7</v>
      </c>
      <c r="Q17" s="179">
        <v>3.22</v>
      </c>
      <c r="R17"/>
    </row>
    <row r="18" spans="1:18" x14ac:dyDescent="0.25">
      <c r="A18" s="179">
        <v>69.17</v>
      </c>
      <c r="B18" s="179">
        <v>0.75</v>
      </c>
      <c r="C18" s="179">
        <v>50.89</v>
      </c>
      <c r="D18" s="8">
        <v>42881.666666666664</v>
      </c>
      <c r="E18" s="179">
        <v>0.52</v>
      </c>
      <c r="F18" s="179" t="s">
        <v>376</v>
      </c>
      <c r="G18" s="179">
        <v>346</v>
      </c>
      <c r="H18" s="179">
        <v>1.03E-2</v>
      </c>
      <c r="I18" s="179">
        <v>0.51</v>
      </c>
      <c r="J18" s="179" t="s">
        <v>376</v>
      </c>
      <c r="K18" s="179">
        <v>1004.62</v>
      </c>
      <c r="L18" s="179" t="s">
        <v>552</v>
      </c>
      <c r="M18" s="179">
        <v>69.17</v>
      </c>
      <c r="N18" s="179">
        <v>1495836000</v>
      </c>
      <c r="O18" s="179">
        <v>10</v>
      </c>
      <c r="P18" s="179">
        <v>308</v>
      </c>
      <c r="Q18" s="179">
        <v>1.62</v>
      </c>
      <c r="R18"/>
    </row>
    <row r="19" spans="1:18" x14ac:dyDescent="0.25">
      <c r="A19" s="179">
        <v>70.040000000000006</v>
      </c>
      <c r="B19" s="179">
        <v>0.8</v>
      </c>
      <c r="C19" s="179">
        <v>50.17</v>
      </c>
      <c r="D19" s="8">
        <v>42881.708333333336</v>
      </c>
      <c r="E19" s="179">
        <v>0.49</v>
      </c>
      <c r="F19" s="179" t="s">
        <v>376</v>
      </c>
      <c r="G19" s="179">
        <v>344.16</v>
      </c>
      <c r="H19" s="179">
        <v>6.0000000000000001E-3</v>
      </c>
      <c r="I19" s="179">
        <v>0.27</v>
      </c>
      <c r="J19" s="179" t="s">
        <v>376</v>
      </c>
      <c r="K19" s="179">
        <v>1004.11</v>
      </c>
      <c r="L19" s="179" t="s">
        <v>551</v>
      </c>
      <c r="M19" s="179">
        <v>70.040000000000006</v>
      </c>
      <c r="N19" s="179">
        <v>1495839600</v>
      </c>
      <c r="O19" s="179">
        <v>3.4</v>
      </c>
      <c r="P19" s="179">
        <v>274</v>
      </c>
      <c r="Q19" s="179">
        <v>1.54</v>
      </c>
      <c r="R19"/>
    </row>
    <row r="20" spans="1:18" x14ac:dyDescent="0.25">
      <c r="A20" s="179">
        <v>70.25</v>
      </c>
      <c r="B20" s="179">
        <v>0.78</v>
      </c>
      <c r="C20" s="179">
        <v>47.66</v>
      </c>
      <c r="D20" s="8">
        <v>42881.75</v>
      </c>
      <c r="E20" s="179">
        <v>0.45</v>
      </c>
      <c r="F20" s="179" t="s">
        <v>443</v>
      </c>
      <c r="G20" s="179">
        <v>343.02</v>
      </c>
      <c r="H20" s="179">
        <v>0</v>
      </c>
      <c r="I20" s="179">
        <v>0</v>
      </c>
      <c r="J20" s="179"/>
      <c r="K20" s="179">
        <v>1004.13</v>
      </c>
      <c r="L20" s="179" t="s">
        <v>550</v>
      </c>
      <c r="M20" s="179">
        <v>70.25</v>
      </c>
      <c r="N20" s="179">
        <v>1495843200</v>
      </c>
      <c r="O20" s="179">
        <v>3.51</v>
      </c>
      <c r="P20" s="179">
        <v>341</v>
      </c>
      <c r="Q20" s="179">
        <v>1.27</v>
      </c>
      <c r="R20"/>
    </row>
    <row r="21" spans="1:18" x14ac:dyDescent="0.25">
      <c r="A21" s="179">
        <v>68.75</v>
      </c>
      <c r="B21" s="179">
        <v>0.53</v>
      </c>
      <c r="C21" s="179">
        <v>49.52</v>
      </c>
      <c r="D21" s="8">
        <v>42881.791666666664</v>
      </c>
      <c r="E21" s="179">
        <v>0.5</v>
      </c>
      <c r="F21" s="179" t="s">
        <v>443</v>
      </c>
      <c r="G21" s="179">
        <v>343.38</v>
      </c>
      <c r="H21" s="179">
        <v>0</v>
      </c>
      <c r="I21" s="179">
        <v>0</v>
      </c>
      <c r="J21" s="179"/>
      <c r="K21" s="179">
        <v>1004.39</v>
      </c>
      <c r="L21" s="179" t="s">
        <v>442</v>
      </c>
      <c r="M21" s="179">
        <v>68.75</v>
      </c>
      <c r="N21" s="179">
        <v>1495846800</v>
      </c>
      <c r="O21" s="179">
        <v>3.78</v>
      </c>
      <c r="P21" s="179">
        <v>345</v>
      </c>
      <c r="Q21" s="179">
        <v>3.68</v>
      </c>
      <c r="R21"/>
    </row>
    <row r="22" spans="1:18" x14ac:dyDescent="0.25">
      <c r="A22" s="179">
        <v>63.66</v>
      </c>
      <c r="B22" s="179">
        <v>0.36</v>
      </c>
      <c r="C22" s="179">
        <v>49.95</v>
      </c>
      <c r="D22" s="8">
        <v>42881.833333333336</v>
      </c>
      <c r="E22" s="179">
        <v>0.61</v>
      </c>
      <c r="F22" s="179" t="s">
        <v>443</v>
      </c>
      <c r="G22" s="179">
        <v>344.45</v>
      </c>
      <c r="H22" s="179">
        <v>1.6000000000000001E-3</v>
      </c>
      <c r="I22" s="179">
        <v>0.03</v>
      </c>
      <c r="J22" s="179" t="s">
        <v>376</v>
      </c>
      <c r="K22" s="179">
        <v>1005.32</v>
      </c>
      <c r="L22" s="179" t="s">
        <v>442</v>
      </c>
      <c r="M22" s="179">
        <v>63.66</v>
      </c>
      <c r="N22" s="179">
        <v>1495850400</v>
      </c>
      <c r="O22" s="179">
        <v>4.3099999999999996</v>
      </c>
      <c r="P22" s="179">
        <v>345</v>
      </c>
      <c r="Q22" s="179">
        <v>3.16</v>
      </c>
      <c r="R22"/>
    </row>
    <row r="23" spans="1:18" x14ac:dyDescent="0.25">
      <c r="A23" s="179">
        <v>61.11</v>
      </c>
      <c r="B23" s="179">
        <v>0.28999999999999998</v>
      </c>
      <c r="C23" s="179">
        <v>50.12</v>
      </c>
      <c r="D23" s="8">
        <v>42881.875</v>
      </c>
      <c r="E23" s="179">
        <v>0.67</v>
      </c>
      <c r="F23" s="179" t="s">
        <v>441</v>
      </c>
      <c r="G23" s="179">
        <v>345.32</v>
      </c>
      <c r="H23" s="179">
        <v>3.0000000000000001E-3</v>
      </c>
      <c r="I23" s="179">
        <v>0.1</v>
      </c>
      <c r="J23" s="179" t="s">
        <v>376</v>
      </c>
      <c r="K23" s="179">
        <v>1006.7</v>
      </c>
      <c r="L23" s="179" t="s">
        <v>442</v>
      </c>
      <c r="M23" s="179">
        <v>61.11</v>
      </c>
      <c r="N23" s="179">
        <v>1495854000</v>
      </c>
      <c r="O23" s="179">
        <v>5.25</v>
      </c>
      <c r="P23" s="179">
        <v>340</v>
      </c>
      <c r="Q23" s="179">
        <v>4.6500000000000004</v>
      </c>
      <c r="R23"/>
    </row>
    <row r="24" spans="1:18" x14ac:dyDescent="0.25">
      <c r="A24" s="179">
        <v>56.48</v>
      </c>
      <c r="B24" s="179">
        <v>0.43</v>
      </c>
      <c r="C24" s="179">
        <v>45.43</v>
      </c>
      <c r="D24" s="8">
        <v>42881.916666666664</v>
      </c>
      <c r="E24" s="179">
        <v>0.66</v>
      </c>
      <c r="F24" s="179" t="s">
        <v>441</v>
      </c>
      <c r="G24" s="179">
        <v>345.67</v>
      </c>
      <c r="H24" s="179">
        <v>3.8999999999999998E-3</v>
      </c>
      <c r="I24" s="179">
        <v>0.15</v>
      </c>
      <c r="J24" s="179" t="s">
        <v>376</v>
      </c>
      <c r="K24" s="179">
        <v>1008.9</v>
      </c>
      <c r="L24" s="179" t="s">
        <v>442</v>
      </c>
      <c r="M24" s="179">
        <v>56.48</v>
      </c>
      <c r="N24" s="179">
        <v>1495857600</v>
      </c>
      <c r="O24" s="179">
        <v>3.84</v>
      </c>
      <c r="P24" s="179">
        <v>355</v>
      </c>
      <c r="Q24" s="179">
        <v>6.3</v>
      </c>
      <c r="R24"/>
    </row>
    <row r="25" spans="1:18" x14ac:dyDescent="0.25">
      <c r="A25" s="179">
        <v>53.82</v>
      </c>
      <c r="B25" s="179">
        <v>0.65</v>
      </c>
      <c r="C25" s="179">
        <v>44.78</v>
      </c>
      <c r="D25" s="8">
        <v>42881.958333333336</v>
      </c>
      <c r="E25" s="179">
        <v>0.71</v>
      </c>
      <c r="F25" s="179" t="s">
        <v>441</v>
      </c>
      <c r="G25" s="179">
        <v>345.83</v>
      </c>
      <c r="H25" s="179">
        <v>4.7999999999999996E-3</v>
      </c>
      <c r="I25" s="179">
        <v>0.2</v>
      </c>
      <c r="J25" s="179" t="s">
        <v>376</v>
      </c>
      <c r="K25" s="179">
        <v>1011.42</v>
      </c>
      <c r="L25" s="179" t="s">
        <v>550</v>
      </c>
      <c r="M25" s="179">
        <v>53.82</v>
      </c>
      <c r="N25" s="179">
        <v>1495861200</v>
      </c>
      <c r="O25" s="179">
        <v>2.5099999999999998</v>
      </c>
      <c r="P25" s="179">
        <v>354</v>
      </c>
      <c r="Q25" s="179">
        <v>5.46</v>
      </c>
      <c r="R25"/>
    </row>
    <row r="26" spans="1:18" x14ac:dyDescent="0.25">
      <c r="A26" s="179">
        <v>51.94</v>
      </c>
      <c r="B26" s="179">
        <v>0.89</v>
      </c>
      <c r="C26" s="179">
        <v>45.26</v>
      </c>
      <c r="D26" s="8">
        <v>42882</v>
      </c>
      <c r="E26" s="179">
        <v>0.78</v>
      </c>
      <c r="F26" s="179" t="s">
        <v>441</v>
      </c>
      <c r="G26" s="179">
        <v>345.89</v>
      </c>
      <c r="H26" s="179">
        <v>4.8999999999999998E-3</v>
      </c>
      <c r="I26" s="179">
        <v>0.21</v>
      </c>
      <c r="J26" s="179" t="s">
        <v>376</v>
      </c>
      <c r="K26" s="179">
        <v>1013.04</v>
      </c>
      <c r="L26" s="179" t="s">
        <v>550</v>
      </c>
      <c r="M26" s="179">
        <v>51.94</v>
      </c>
      <c r="N26" s="179">
        <v>1495864800</v>
      </c>
      <c r="O26" s="179">
        <v>2.06</v>
      </c>
      <c r="P26" s="179">
        <v>348</v>
      </c>
      <c r="Q26" s="179">
        <v>4.49</v>
      </c>
      <c r="R26"/>
    </row>
    <row r="27" spans="1:18" x14ac:dyDescent="0.25">
      <c r="A27" s="179">
        <v>51.87</v>
      </c>
      <c r="B27" s="179">
        <v>0.91</v>
      </c>
      <c r="C27" s="179">
        <v>44.92</v>
      </c>
      <c r="D27" s="8">
        <v>42882.041666666664</v>
      </c>
      <c r="E27" s="179">
        <v>0.77</v>
      </c>
      <c r="F27" s="179" t="s">
        <v>843</v>
      </c>
      <c r="G27" s="179">
        <v>345.79</v>
      </c>
      <c r="H27" s="179">
        <v>3.0000000000000001E-3</v>
      </c>
      <c r="I27" s="179">
        <v>0.1</v>
      </c>
      <c r="J27" s="179" t="s">
        <v>376</v>
      </c>
      <c r="K27" s="179">
        <v>1012.95</v>
      </c>
      <c r="L27" s="179" t="s">
        <v>844</v>
      </c>
      <c r="M27" s="179">
        <v>51.87</v>
      </c>
      <c r="N27" s="179">
        <v>1495868400</v>
      </c>
      <c r="O27" s="179">
        <v>1.91</v>
      </c>
      <c r="P27" s="179">
        <v>337</v>
      </c>
      <c r="Q27" s="179">
        <v>4.17</v>
      </c>
      <c r="R27"/>
    </row>
    <row r="28" spans="1:18" x14ac:dyDescent="0.25">
      <c r="A28" s="179">
        <v>51.32</v>
      </c>
      <c r="B28" s="179">
        <v>0.9</v>
      </c>
      <c r="C28" s="179">
        <v>44.5</v>
      </c>
      <c r="D28" s="8">
        <v>42882.083333333336</v>
      </c>
      <c r="E28" s="179">
        <v>0.77</v>
      </c>
      <c r="F28" s="179" t="s">
        <v>843</v>
      </c>
      <c r="G28" s="179">
        <v>345.69</v>
      </c>
      <c r="H28" s="179">
        <v>1.5E-3</v>
      </c>
      <c r="I28" s="179">
        <v>0.03</v>
      </c>
      <c r="J28" s="179" t="s">
        <v>376</v>
      </c>
      <c r="K28" s="179">
        <v>1013.07</v>
      </c>
      <c r="L28" s="179" t="s">
        <v>844</v>
      </c>
      <c r="M28" s="179">
        <v>51.32</v>
      </c>
      <c r="N28" s="179">
        <v>1495872000</v>
      </c>
      <c r="O28" s="179">
        <v>1.64</v>
      </c>
      <c r="P28" s="179">
        <v>299</v>
      </c>
      <c r="Q28" s="179">
        <v>3.67</v>
      </c>
      <c r="R28"/>
    </row>
    <row r="29" spans="1:18" x14ac:dyDescent="0.25">
      <c r="A29" s="179">
        <v>51.04</v>
      </c>
      <c r="B29" s="179">
        <v>0.9</v>
      </c>
      <c r="C29" s="179">
        <v>44.54</v>
      </c>
      <c r="D29" s="8">
        <v>42882.125</v>
      </c>
      <c r="E29" s="179">
        <v>0.78</v>
      </c>
      <c r="F29" s="179" t="s">
        <v>843</v>
      </c>
      <c r="G29" s="179">
        <v>345.58</v>
      </c>
      <c r="H29" s="179">
        <v>0</v>
      </c>
      <c r="I29" s="179">
        <v>0</v>
      </c>
      <c r="J29" s="179"/>
      <c r="K29" s="179">
        <v>1013.27</v>
      </c>
      <c r="L29" s="179" t="s">
        <v>844</v>
      </c>
      <c r="M29" s="179">
        <v>51.04</v>
      </c>
      <c r="N29" s="179">
        <v>1495875600</v>
      </c>
      <c r="O29" s="179">
        <v>1.55</v>
      </c>
      <c r="P29" s="179">
        <v>290</v>
      </c>
      <c r="Q29" s="179">
        <v>2.48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42881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511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512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593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998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1002</v>
      </c>
      <c r="J25" s="143" t="s">
        <v>148</v>
      </c>
      <c r="M25" s="157" t="b">
        <v>1</v>
      </c>
    </row>
    <row r="26" spans="3:24" x14ac:dyDescent="0.25">
      <c r="C26" t="s">
        <v>1003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C:\Users\stu\Documents\GitHub\eaglep3-reporting\EC\2017-05-26-refined-times.txt</v>
      </c>
    </row>
    <row r="27" spans="3:24" x14ac:dyDescent="0.25">
      <c r="C27" t="s">
        <v>1004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C:\Users\stu\Documents\GitHub\eaglep3-reporting\EC\2017-05-26-Enforcements.txt</v>
      </c>
    </row>
    <row r="28" spans="3:24" x14ac:dyDescent="0.25">
      <c r="C28" t="s">
        <v>1005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C:\Users\stu\Documents\GitHub\eaglep3-reporting\EC\2017-05-26-Runs-refined.txt</v>
      </c>
    </row>
    <row r="29" spans="3:24" x14ac:dyDescent="0.25">
      <c r="C29" t="s">
        <v>1006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C:\Users\stu\Documents\GitHub\eaglep3-reporting\EC\2017-05-26-Trips.txt</v>
      </c>
    </row>
    <row r="30" spans="3:24" x14ac:dyDescent="0.25">
      <c r="C30" t="s">
        <v>1007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C:\Users\stu\Documents\GitHub\eaglep3-reporting\EC\2017-05-26-Weather.txt</v>
      </c>
    </row>
    <row r="31" spans="3:24" x14ac:dyDescent="0.25">
      <c r="C31" t="s">
        <v>1008</v>
      </c>
      <c r="J31" s="143" t="s">
        <v>198</v>
      </c>
      <c r="M31" s="157" t="s">
        <v>199</v>
      </c>
    </row>
    <row r="32" spans="3:24" x14ac:dyDescent="0.25">
      <c r="C32" t="s">
        <v>1009</v>
      </c>
    </row>
    <row r="33" spans="3:3" x14ac:dyDescent="0.25">
      <c r="C33" t="s">
        <v>1010</v>
      </c>
    </row>
    <row r="34" spans="3:3" x14ac:dyDescent="0.25">
      <c r="C34" t="s">
        <v>1011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2017-05-30T15:34:02Z</dcterms:modified>
</cp:coreProperties>
</file>